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68033c730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242b879526c45e1"/>
    <x:sheet xmlns:r="http://schemas.openxmlformats.org/officeDocument/2006/relationships" name="Assumptions" sheetId="2" r:id="R6d1921fa62fa4c58"/>
    <x:sheet xmlns:r="http://schemas.openxmlformats.org/officeDocument/2006/relationships" name="SKU_Master" sheetId="3" r:id="R2d85b05eaac84182"/>
    <x:sheet xmlns:r="http://schemas.openxmlformats.org/officeDocument/2006/relationships" name="Channel_Assumptions" sheetId="4" r:id="R77d93b9250414923"/>
    <x:sheet xmlns:r="http://schemas.openxmlformats.org/officeDocument/2006/relationships" name="Revenue_Model" sheetId="5" r:id="Rcf44bbd548a04466"/>
    <x:sheet xmlns:r="http://schemas.openxmlformats.org/officeDocument/2006/relationships" name="Geo_Revenue_View" sheetId="6" r:id="R26bdd7840b1d48bd"/>
    <x:sheet xmlns:r="http://schemas.openxmlformats.org/officeDocument/2006/relationships" name="Inventory_Model" sheetId="7" r:id="R7adf0eb67a3f4b7b"/>
    <x:sheet xmlns:r="http://schemas.openxmlformats.org/officeDocument/2006/relationships" name="Shipping_Warehouse" sheetId="8" r:id="R234cd4a03c0447b6"/>
    <x:sheet xmlns:r="http://schemas.openxmlformats.org/officeDocument/2006/relationships" name="Marketing" sheetId="9" r:id="Re2333af981d14028"/>
    <x:sheet xmlns:r="http://schemas.openxmlformats.org/officeDocument/2006/relationships" name="Headcount_Opex" sheetId="10" r:id="Rdd0b2398b33e4ac0"/>
    <x:sheet xmlns:r="http://schemas.openxmlformats.org/officeDocument/2006/relationships" name="Financial_Model" sheetId="11" r:id="R0d183a0b2b6f4f0d"/>
    <x:sheet xmlns:r="http://schemas.openxmlformats.org/officeDocument/2006/relationships" name="Monthly_Board" sheetId="12" r:id="Rbbcf605b2d0d4526"/>
    <x:sheet xmlns:r="http://schemas.openxmlformats.org/officeDocument/2006/relationships" name="Scenarios" sheetId="13" r:id="Rb6e8ae93418d48c7"/>
    <x:sheet xmlns:r="http://schemas.openxmlformats.org/officeDocument/2006/relationships" name="Sensitivity" sheetId="14" r:id="Rda94c10e646a4ceb"/>
    <x:sheet xmlns:r="http://schemas.openxmlformats.org/officeDocument/2006/relationships" name="Checks" sheetId="15" r:id="R8f85b24c33714d3f"/>
    <x:sheet xmlns:r="http://schemas.openxmlformats.org/officeDocument/2006/relationships" name="Sources" sheetId="16" r:id="R95be179d605a4aad"/>
  </x:sheets>
</x:workbook>
</file>

<file path=xl/comments1.xml><?xml version="1.0" encoding="utf-8"?>
<x:comments xmlns:x="http://schemas.openxmlformats.org/spreadsheetml/2006/main">
  <x:authors>
    <x:author>tc={EBD4E74E-24A6-81BC-7FB7-B64A6C5F536C}</x:author>
    <x:author>tc={27547ABF-DE37-58AC-8FA1-7D5A4EBDF680}</x:author>
  </x:authors>
  <x:commentList>
    <x:comment ref="B1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Scenario selector controls forecast traffic, conversion, pricing, cost, shipping, and opex multipliers.</x:t>
        </x:r>
      </x:text>
    </x:comment>
    <x:comment ref="B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Forecast begins January 2026 after 12 months of seeded 2025 weekly actuals.</x:t>
        </x:r>
      </x:text>
    </x:comment>
  </x:commentList>
</x:comments>
</file>

<file path=xl/comments2.xml><?xml version="1.0" encoding="utf-8"?>
<x:comments xmlns:x="http://schemas.openxmlformats.org/spreadsheetml/2006/main">
  <x:authors>
    <x:author>tc={6FEAAA4F-521B-38FB-C15C-5C3143F77E40}</x:author>
    <x:author>tc={75E9DE17-76B0-BC8C-6B99-3EFDA887AAFD}</x:author>
  </x:authors>
  <x:commentList>
    <x:comment ref="I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SKU prices were selected within the user-requested $15-$65 range and should be replaced with current pricing.</x:t>
        </x:r>
      </x:text>
    </x:comment>
    <x:comment ref="J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Manufacturing and landed costs are reasonable placeholders for physical goods; replace with vendor quotes or ERP actuals.</x:t>
        </x:r>
      </x:text>
    </x:comment>
  </x:commentList>
</x:comments>
</file>

<file path=xl/comments3.xml><?xml version="1.0" encoding="utf-8"?>
<x:comments xmlns:x="http://schemas.openxmlformats.org/spreadsheetml/2006/main">
  <x:authors>
    <x:author>tc={E760C150-CF33-34E8-65D4-53DFC108B9D6}</x:author>
  </x:authors>
  <x:commentList>
    <x:comment ref="C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Channel mix is illustrative and should be replaced with actual or forecasted channel traffic allocation.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[Red](#,##0);-"/>
    <x:numFmt numFmtId="201" formatCode="0.0%;[Red](0.0%);-"/>
    <x:numFmt numFmtId="202" formatCode="$#,##0;[Red]($#,##0);-"/>
    <x:numFmt numFmtId="203" formatCode="$0.00"/>
    <x:numFmt numFmtId="204" formatCode="0.00x"/>
    <x:numFmt numFmtId="205" formatCode="yyyy-mm-dd"/>
    <x:numFmt numFmtId="206" formatCode="$#,##0.0;[Red]($#,##0.0);-"/>
    <x:numFmt numFmtId="207" formatCode="#,##0.0;[Red](#,##0.0);-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</x:border>
    <x:border>
      <x:left style="thin">
        <x:color rgb="FFD9E2EA"/>
      </x:left>
      <x:right style="thin">
        <x:color rgb="FFD9E2EA"/>
      </x:right>
    </x:border>
    <x:border>
      <x:left style="thin">
        <x:color rgb="FFD9E2EA"/>
      </x:left>
      <x:right style="thin">
        <x:color rgb="FFD9E2EA"/>
      </x:right>
      <x:bottom style="thin">
        <x:color rgb="FFD9E2EA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200" fontId="4" fillId="4" borderId="0" xfId="0" applyNumberFormat="1" applyFont="1" applyFill="1" applyBorder="1"/>
    <x:xf numFmtId="200" fontId="5" fillId="4" borderId="0" xfId="0" applyNumberFormat="1" applyFont="1" applyFill="1" applyBorder="1"/>
    <x:xf numFmtId="201" fontId="4" fillId="4" borderId="0" xfId="0" applyNumberFormat="1" applyFont="1" applyFill="1" applyBorder="1"/>
    <x:xf numFmtId="202" fontId="4" fillId="4" borderId="0" xfId="0" applyNumberFormat="1" applyFont="1" applyFill="1" applyBorder="1"/>
    <x:xf numFmtId="203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204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4" borderId="0" xfId="0" applyNumberFormat="1" applyFont="1" applyFill="1" applyBorder="1"/>
    <x:xf numFmtId="204" fontId="0" fillId="4" borderId="0" xfId="0" applyNumberFormat="1" applyFont="1" applyFill="1" applyBorder="1"/>
    <x:xf numFmtId="204" fontId="4" fillId="4" borderId="0" xfId="0" applyNumberFormat="1" applyFont="1" applyFill="1" applyBorder="1"/>
    <x:xf numFmtId="205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203" fontId="0" fillId="4" borderId="0" xfId="0" applyNumberFormat="1" applyFont="1" applyFill="1" applyBorder="1"/>
    <x:xf numFmtId="200" fontId="0" fillId="4" borderId="0" xfId="0" applyNumberFormat="1" applyFont="1" applyFill="1" applyBorder="1"/>
    <x:xf numFmtId="203" fontId="6" fillId="4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6" fontId="0" fillId="4" borderId="0" xfId="0" applyNumberFormat="1" applyFont="1" applyFill="1" applyBorder="1"/>
    <x:xf numFmtId="206" fontId="4" fillId="4" borderId="0" xfId="0" applyNumberFormat="1" applyFont="1" applyFill="1" applyBorder="1"/>
    <x:xf numFmtId="205" fontId="3" fillId="2" borderId="2" xfId="0" applyNumberFormat="1" applyFont="1" applyFill="1" applyBorder="1" applyAlignment="1">
      <x:alignment horizontal="center"/>
    </x:xf>
    <x:xf numFmtId="205" fontId="3" fillId="2" borderId="3" xfId="0" applyNumberFormat="1" applyFont="1" applyFill="1" applyBorder="1" applyAlignment="1">
      <x:alignment horizontal="center"/>
    </x:xf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6" fillId="0" borderId="0" xfId="0" applyNumberFormat="1" applyFont="1" applyFill="1" applyBorder="1"/>
    <x:xf numFmtId="200" fontId="7" fillId="5" borderId="2" xfId="0" applyNumberFormat="1" applyFont="1" applyFill="1" applyBorder="1"/>
    <x:xf numFmtId="200" fontId="7" fillId="5" borderId="3" xfId="0" applyNumberFormat="1" applyFont="1" applyFill="1" applyBorder="1"/>
    <x:xf numFmtId="206" fontId="6" fillId="0" borderId="0" xfId="0" applyNumberFormat="1" applyFont="1" applyFill="1" applyBorder="1"/>
    <x:xf numFmtId="201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206" fontId="3" fillId="2" borderId="2" xfId="0" applyNumberFormat="1" applyFont="1" applyFill="1" applyBorder="1" applyAlignment="1">
      <x:alignment horizontal="center"/>
    </x:xf>
    <x:xf numFmtId="206" fontId="3" fillId="2" borderId="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83af0e1e14387" /><Relationship Type="http://schemas.openxmlformats.org/officeDocument/2006/relationships/theme" Target="/xl/theme/theme1.xml" Id="R70ca108800d140fc" /><Relationship Type="http://schemas.openxmlformats.org/officeDocument/2006/relationships/sharedStrings" Target="/xl/sharedStrings.xml" Id="R0943d072defd4f74" /><Relationship Type="http://schemas.openxmlformats.org/officeDocument/2006/relationships/worksheet" Target="/xl/worksheets/sheet1.xml" Id="Re242b879526c45e1" /><Relationship Type="http://schemas.openxmlformats.org/officeDocument/2006/relationships/worksheet" Target="/xl/worksheets/sheet2.xml" Id="R6d1921fa62fa4c58" /><Relationship Type="http://schemas.openxmlformats.org/officeDocument/2006/relationships/worksheet" Target="/xl/worksheets/sheet3.xml" Id="R2d85b05eaac84182" /><Relationship Type="http://schemas.openxmlformats.org/officeDocument/2006/relationships/worksheet" Target="/xl/worksheets/sheet4.xml" Id="R77d93b9250414923" /><Relationship Type="http://schemas.openxmlformats.org/officeDocument/2006/relationships/worksheet" Target="/xl/worksheets/sheet5.xml" Id="Rcf44bbd548a04466" /><Relationship Type="http://schemas.openxmlformats.org/officeDocument/2006/relationships/worksheet" Target="/xl/worksheets/sheet6.xml" Id="R26bdd7840b1d48bd" /><Relationship Type="http://schemas.openxmlformats.org/officeDocument/2006/relationships/worksheet" Target="/xl/worksheets/sheet7.xml" Id="R7adf0eb67a3f4b7b" /><Relationship Type="http://schemas.openxmlformats.org/officeDocument/2006/relationships/worksheet" Target="/xl/worksheets/sheet8.xml" Id="R234cd4a03c0447b6" /><Relationship Type="http://schemas.openxmlformats.org/officeDocument/2006/relationships/worksheet" Target="/xl/worksheets/sheet9.xml" Id="Re2333af981d14028" /><Relationship Type="http://schemas.openxmlformats.org/officeDocument/2006/relationships/worksheet" Target="/xl/worksheets/sheet10.xml" Id="Rdd0b2398b33e4ac0" /><Relationship Type="http://schemas.openxmlformats.org/officeDocument/2006/relationships/worksheet" Target="/xl/worksheets/sheet11.xml" Id="R0d183a0b2b6f4f0d" /><Relationship Type="http://schemas.openxmlformats.org/officeDocument/2006/relationships/worksheet" Target="/xl/worksheets/sheet12.xml" Id="Rbbcf605b2d0d4526" /><Relationship Type="http://schemas.openxmlformats.org/officeDocument/2006/relationships/worksheet" Target="/xl/worksheets/sheet13.xml" Id="Rb6e8ae93418d48c7" /><Relationship Type="http://schemas.openxmlformats.org/officeDocument/2006/relationships/worksheet" Target="/xl/worksheets/sheet14.xml" Id="Rda94c10e646a4ceb" /><Relationship Type="http://schemas.openxmlformats.org/officeDocument/2006/relationships/worksheet" Target="/xl/worksheets/sheet15.xml" Id="R8f85b24c33714d3f" /><Relationship Type="http://schemas.openxmlformats.org/officeDocument/2006/relationships/worksheet" Target="/xl/worksheets/sheet16.xml" Id="R95be179d605a4aad" /><Relationship Type="http://schemas.microsoft.com/office/2017/10/relationships/person" Target="/xl/persons/person.xml" Id="R1e6e259dabb449d5" /></Relationships>
</file>

<file path=xl/persons/person.xml><?xml version="1.0" encoding="utf-8"?>
<xltc:personList xmlns:xltc="http://schemas.microsoft.com/office/spreadsheetml/2018/threadedcomments">
  <xltc:person displayName="User" id="{1B6F09C0-1FB1-442A-85EE-85FCCD3F76C8}"/>
</xltc:personList>
</file>

<file path=xl/tables/table1.xml><?xml version="1.0" encoding="utf-8"?>
<x:table xmlns:x="http://schemas.openxmlformats.org/spreadsheetml/2006/main" id="1" name="GeoMixTable" displayName="GeoMixTable" ref="A31:C35" headerRowCount="1" totalsRowCount="0" totalsRowShown="0">
  <x:autoFilter ref="A31:C35"/>
  <x:tableColumns count="3">
    <x:tableColumn id="1" name="Geography"/>
    <x:tableColumn id="2" name="Traffic Mix"/>
    <x:tableColumn id="3" name="Note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3" name="SKUMasterTable" displayName="SKUMasterTable" ref="A4:W9" headerRowCount="1" totalsRowCount="0" totalsRowShown="0">
  <x:autoFilter ref="A4:W9"/>
  <x:tableColumns count="23">
    <x:tableColumn id="1" name="SKU"/>
    <x:tableColumn id="2" name="Product"/>
    <x:tableColumn id="3" name="Behavior"/>
    <x:tableColumn id="4" name="Seasonal?"/>
    <x:tableColumn id="5" name="Seasonality"/>
    <x:tableColumn id="6" name="Status"/>
    <x:tableColumn id="7" name="Launch Date"/>
    <x:tableColumn id="8" name="Discontinue Date"/>
    <x:tableColumn id="9" name="ASP $"/>
    <x:tableColumn id="10" name="Mfg Cost $"/>
    <x:tableColumn id="11" name="Packaging $"/>
    <x:tableColumn id="12" name="Inbound Freight $"/>
    <x:tableColumn id="13" name="Duty $"/>
    <x:tableColumn id="14" name="Fully Loaded Unit Cost $"/>
    <x:tableColumn id="15" name="Return Rate"/>
    <x:tableColumn id="16" name="Warranty Rate"/>
    <x:tableColumn id="17" name="Warranty Cost $"/>
    <x:tableColumn id="18" name="Starting Inventory Units"/>
    <x:tableColumn id="19" name="MOQ Units"/>
    <x:tableColumn id="20" name="Lead Time Weeks"/>
    <x:tableColumn id="21" name="Safety Stock Weeks"/>
    <x:tableColumn id="22" name="Traffic Weight"/>
    <x:tableColumn id="23" name="Conversion Mult.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ChannelAssumptionTable" displayName="ChannelAssumptionTable" ref="A4:M8" headerRowCount="1" totalsRowCount="0" totalsRowShown="0">
  <x:autoFilter ref="A4:M8"/>
  <x:tableColumns count="13">
    <x:tableColumn id="1" name="Channel"/>
    <x:tableColumn id="2" name="Customer Type"/>
    <x:tableColumn id="3" name="Traffic Mix"/>
    <x:tableColumn id="4" name="Discount Rate"/>
    <x:tableColumn id="5" name="Processor Fee"/>
    <x:tableColumn id="6" name="Marketplace Fee"/>
    <x:tableColumn id="7" name="CPC $"/>
    <x:tableColumn id="8" name="Conversion Mult."/>
    <x:tableColumn id="9" name="Outbound Shipping $"/>
    <x:tableColumn id="10" name="Customer Shipping Recovery $"/>
    <x:tableColumn id="11" name="Pick/Pack $"/>
    <x:tableColumn id="12" name="Collection Terms Days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RevenueDetailTable" displayName="RevenueDetailTable" ref="A4:AD2084" headerRowCount="1" totalsRowCount="0" totalsRowShown="0">
  <x:autoFilter ref="A4:AD2084"/>
  <x:tableColumns count="30">
    <x:tableColumn id="1" name="Week Start"/>
    <x:tableColumn id="2" name="Month"/>
    <x:tableColumn id="3" name="Month Label"/>
    <x:tableColumn id="4" name="Period"/>
    <x:tableColumn id="5" name="SKU"/>
    <x:tableColumn id="6" name="Product"/>
    <x:tableColumn id="7" name="Behavior"/>
    <x:tableColumn id="8" name="Seasonality"/>
    <x:tableColumn id="9" name="Lifecycle"/>
    <x:tableColumn id="10" name="Channel"/>
    <x:tableColumn id="11" name="Customer Type"/>
    <x:tableColumn id="12" name="Geography"/>
    <x:tableColumn id="13" name="Traffic"/>
    <x:tableColumn id="14" name="Conversion Rate"/>
    <x:tableColumn id="15" name="Gross Demand Units"/>
    <x:tableColumn id="16" name="Inventory Fill Rate"/>
    <x:tableColumn id="17" name="Units Sold"/>
    <x:tableColumn id="18" name="ASP $"/>
    <x:tableColumn id="19" name="Gross Revenue $000s"/>
    <x:tableColumn id="20" name="Discount $000s"/>
    <x:tableColumn id="21" name="Returns $000s"/>
    <x:tableColumn id="22" name="Net Revenue $000s"/>
    <x:tableColumn id="23" name="COGS $000s"/>
    <x:tableColumn id="24" name="Payment Fees $000s"/>
    <x:tableColumn id="25" name="Marketplace Fees $000s"/>
    <x:tableColumn id="26" name="Outbound Shipping $000s"/>
    <x:tableColumn id="27" name="Pick/Pack $000s"/>
    <x:tableColumn id="28" name="Warranty $000s"/>
    <x:tableColumn id="29" name="Contribution Margin $000s"/>
    <x:tableColumn id="30" name="Contribution Margin %"/>
  </x:tableColumns>
  <x:tableStyleInfo name="TableStyleMedium9" showFirstColumn="0" showLastColumn="0" showRowStripes="1" showColumnStripes="0"/>
</x:table>
</file>

<file path=xl/tables/table5.xml><?xml version="1.0" encoding="utf-8"?>
<x:table xmlns:x="http://schemas.openxmlformats.org/spreadsheetml/2006/main" id="6" name="GeoRevenueViewTable" displayName="GeoRevenueViewTable" ref="A4:L1924" headerRowCount="1" totalsRowCount="0" totalsRowShown="0">
  <x:autoFilter ref="A4:L1924"/>
  <x:tableColumns count="12">
    <x:tableColumn id="1" name="Month"/>
    <x:tableColumn id="2" name="Month Label"/>
    <x:tableColumn id="3" name="Period"/>
    <x:tableColumn id="4" name="SKU"/>
    <x:tableColumn id="5" name="Product"/>
    <x:tableColumn id="6" name="Channel"/>
    <x:tableColumn id="7" name="Customer Type"/>
    <x:tableColumn id="8" name="Geography"/>
    <x:tableColumn id="9" name="Units Sold"/>
    <x:tableColumn id="10" name="Net Revenue $000s"/>
    <x:tableColumn id="11" name="Contribution Margin $000s"/>
    <x:tableColumn id="12" name="Contribution Margin %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7" name="InventoryTable" displayName="InventoryTable" ref="A4:P524" headerRowCount="1" totalsRowCount="0" totalsRowShown="0">
  <x:autoFilter ref="A4:P524"/>
  <x:tableColumns count="16">
    <x:tableColumn id="1" name="Week Start"/>
    <x:tableColumn id="2" name="Month"/>
    <x:tableColumn id="3" name="Period"/>
    <x:tableColumn id="4" name="SKU"/>
    <x:tableColumn id="5" name="Opening Inventory"/>
    <x:tableColumn id="6" name="Production Received"/>
    <x:tableColumn id="7" name="Gross Demand Units"/>
    <x:tableColumn id="8" name="Sellable Units"/>
    <x:tableColumn id="9" name="Fill Rate"/>
    <x:tableColumn id="10" name="Units Sold"/>
    <x:tableColumn id="11" name="Returns Restocked"/>
    <x:tableColumn id="12" name="Ending Inventory"/>
    <x:tableColumn id="13" name="Weeks of Supply"/>
    <x:tableColumn id="14" name="Stockout Status"/>
    <x:tableColumn id="15" name="Suggested Action"/>
    <x:tableColumn id="16" name="Production Cost $000s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8" name="ShippingWarehouseTable" displayName="ShippingWarehouseTable" ref="A4:I124" headerRowCount="1" totalsRowCount="0" totalsRowShown="0">
  <x:autoFilter ref="A4:I124"/>
  <x:tableColumns count="9">
    <x:tableColumn id="1" name="Month"/>
    <x:tableColumn id="2" name="Month Label"/>
    <x:tableColumn id="3" name="Period"/>
    <x:tableColumn id="4" name="Cost Type"/>
    <x:tableColumn id="5" name="Cost Basis"/>
    <x:tableColumn id="6" name="Amount $000s"/>
    <x:tableColumn id="7" name="Driver"/>
    <x:tableColumn id="8" name="Owner"/>
    <x:tableColumn id="9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MarketingTable" displayName="MarketingTable" ref="A4:K420" headerRowCount="1" totalsRowCount="0" totalsRowShown="0">
  <x:autoFilter ref="A4:K420"/>
  <x:tableColumns count="11">
    <x:tableColumn id="1" name="Week Start"/>
    <x:tableColumn id="2" name="Month"/>
    <x:tableColumn id="3" name="Month Label"/>
    <x:tableColumn id="4" name="Period"/>
    <x:tableColumn id="5" name="Channel"/>
    <x:tableColumn id="6" name="Traffic"/>
    <x:tableColumn id="7" name="CPC $"/>
    <x:tableColumn id="8" name="Ad Spend $000s"/>
    <x:tableColumn id="9" name="Units Sold"/>
    <x:tableColumn id="10" name="CAC $"/>
    <x:tableColumn id="11" name="Notes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10" name="OpexTable" displayName="OpexTable" ref="A4:J388" headerRowCount="1" totalsRowCount="0" totalsRowShown="0">
  <x:autoFilter ref="A4:J388"/>
  <x:tableColumns count="10">
    <x:tableColumn id="1" name="Month"/>
    <x:tableColumn id="2" name="Month Label"/>
    <x:tableColumn id="3" name="Period"/>
    <x:tableColumn id="4" name="Account"/>
    <x:tableColumn id="5" name="Department"/>
    <x:tableColumn id="6" name="Expense Type"/>
    <x:tableColumn id="7" name="Amount $000s"/>
    <x:tableColumn id="8" name="Driver"/>
    <x:tableColumn id="9" name="Cash / Non-Cash"/>
    <x:tableColumn id="10" name="Base Monthly Cost $000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1" name="MonthlyBoardTable" displayName="MonthlyBoardTable" ref="A4:R28" headerRowCount="1" totalsRowCount="0" totalsRowShown="0">
  <x:autoFilter ref="A4:R28"/>
  <x:tableColumns count="18">
    <x:tableColumn id="1" name="Month"/>
    <x:tableColumn id="2" name="Month Label"/>
    <x:tableColumn id="3" name="Period"/>
    <x:tableColumn id="4" name="Units Sold"/>
    <x:tableColumn id="5" name="Net Revenue $000s"/>
    <x:tableColumn id="6" name="Gross Margin %"/>
    <x:tableColumn id="7" name="Contribution Margin $000s"/>
    <x:tableColumn id="8" name="Contribution Margin %"/>
    <x:tableColumn id="9" name="Marketing $000s"/>
    <x:tableColumn id="10" name="Payroll $000s"/>
    <x:tableColumn id="11" name="Other Opex $000s"/>
    <x:tableColumn id="12" name="EBITDA $000s"/>
    <x:tableColumn id="13" name="EBITDA Margin %"/>
    <x:tableColumn id="14" name="Net Cash Flow $000s"/>
    <x:tableColumn id="15" name="Ending Cash $000s"/>
    <x:tableColumn id="16" name="Ending Inventory Units"/>
    <x:tableColumn id="17" name="Stockout Risk SKU-Weeks"/>
    <x:tableColumn id="18" name="Model Status"/>
  </x:tableColumns>
  <x:tableStyleInfo name="TableStyleMedium9" showFirstColumn="0" showLastColumn="0" showRowStripes="1" showColumnStripes="0"/>
</x:table>
</file>

<file path=xl/tables/table11.xml><?xml version="1.0" encoding="utf-8"?>
<x:table xmlns:x="http://schemas.openxmlformats.org/spreadsheetml/2006/main" id="2" name="ScenarioTable" displayName="ScenarioTable" ref="A4:I7" headerRowCount="1" totalsRowCount="0" totalsRowShown="0">
  <x:autoFilter ref="A4:I7"/>
  <x:tableColumns count="9">
    <x:tableColumn id="1" name="Scenario"/>
    <x:tableColumn id="2" name="Traffic Mult."/>
    <x:tableColumn id="3" name="Conversion Mult."/>
    <x:tableColumn id="4" name="COGS Mult."/>
    <x:tableColumn id="5" name="Shipping Mult."/>
    <x:tableColumn id="6" name="Opex Mult."/>
    <x:tableColumn id="7" name="Marketing Efficiency"/>
    <x:tableColumn id="8" name="Price Mult."/>
    <x:tableColumn id="9" name="Notes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ChecksTable" displayName="ChecksTable" ref="A4:H12" headerRowCount="1" totalsRowCount="0" totalsRowShown="0">
  <x:autoFilter ref="A4:H12"/>
  <x:tableColumns count="8">
    <x:tableColumn id="1" name="Check"/>
    <x:tableColumn id="2" name="Actual"/>
    <x:tableColumn id="3" name="Expected"/>
    <x:tableColumn id="4" name="Difference"/>
    <x:tableColumn id="5" name="Tolerance"/>
    <x:tableColumn id="6" name="Status"/>
    <x:tableColumn id="7" name="Where to Fix"/>
    <x:tableColumn id="8" name="Notes"/>
  </x:tableColumns>
  <x:tableStyleInfo name="TableStyleMedium3" showFirstColumn="0" showLastColumn="0" showRowStripes="1" showColumnStripes="0"/>
</x:table>
</file>

<file path=xl/tables/table13.xml><?xml version="1.0" encoding="utf-8"?>
<x:table xmlns:x="http://schemas.openxmlformats.org/spreadsheetml/2006/main" id="13" name="SourceLogTable" displayName="SourceLogTable" ref="A4:J17" headerRowCount="1" totalsRowCount="0" totalsRowShown="0">
  <x:autoFilter ref="A4:J17"/>
  <x:tableColumns count="10">
    <x:tableColumn id="1" name="Item"/>
    <x:tableColumn id="2" name="Value"/>
    <x:tableColumn id="3" name="Units"/>
    <x:tableColumn id="4" name="Period / As-of"/>
    <x:tableColumn id="5" name="Source Type"/>
    <x:tableColumn id="6" name="Source Name"/>
    <x:tableColumn id="7" name="Ref"/>
    <x:tableColumn id="8" name="Owner"/>
    <x:tableColumn id="9" name="Notes"/>
    <x:tableColumn id="10" name="Accessed / Refresh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0" dT="2026-07-25T03:05:39.693" personId="{1B6F09C0-1FB1-442A-85EE-85FCCD3F76C8}" id="{EBD4E74E-24A6-81BC-7FB7-B64A6C5F536C}">
    <xltc:text>Assumption: Scenario selector controls forecast traffic, conversion, pricing, cost, shipping, and opex multipliers.</xltc:text>
  </xltc:threadedComment>
  <xltc:threadedComment ref="B7" dT="2026-07-25T03:05:39.693" personId="{1B6F09C0-1FB1-442A-85EE-85FCCD3F76C8}" id="{27547ABF-DE37-58AC-8FA1-7D5A4EBDF680}">
    <xltc:text>Assumption: Forecast begins January 2026 after 12 months of seeded 2025 weekly actuals.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I5" dT="2026-07-25T03:05:39.693" personId="{1B6F09C0-1FB1-442A-85EE-85FCCD3F76C8}" id="{6FEAAA4F-521B-38FB-C15C-5C3143F77E40}">
    <xltc:text>Assumption: SKU prices were selected within the user-requested $15-$65 range and should be replaced with current pricing.</xltc:text>
  </xltc:threadedComment>
  <xltc:threadedComment ref="J5" dT="2026-07-25T03:05:39.693" personId="{1B6F09C0-1FB1-442A-85EE-85FCCD3F76C8}" id="{75E9DE17-76B0-BC8C-6B99-3EFDA887AAFD}">
    <xltc:text>Assumption: Manufacturing and landed costs are reasonable placeholders for physical goods; replace with vendor quotes or ERP actuals.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C5" dT="2026-07-25T03:05:39.693" personId="{1B6F09C0-1FB1-442A-85EE-85FCCD3F76C8}" id="{E760C150-CF33-34E8-65D4-53DFC108B9D6}">
    <xltc:text>Assumption: Channel mix is illustrative and should be replaced with actual or forecasted channel traffic allocation.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992b84320464ca6" /><Relationship Type="http://schemas.openxmlformats.org/officeDocument/2006/relationships/vmlDrawing" Target="/xl/drawings/vmldrawing.vml" Id="R8ea9e631aaf34676" /><Relationship Type="http://schemas.microsoft.com/office/2017/10/relationships/threadedComment" Target="/xl/threadedcomments/threadedcomment.xml" Id="R47a5c6962b7b4f90" /><Relationship Type="http://schemas.openxmlformats.org/officeDocument/2006/relationships/table" Target="/xl/tables/table1.xml" Id="R430e4a1eebb643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aca47726d1ef433d" /><Relationship Type="http://schemas.openxmlformats.org/officeDocument/2006/relationships/vmlDrawing" Target="/xl/drawings/vmldrawing2.vml" Id="Rafac5a1f16a54a72" /><Relationship Type="http://schemas.microsoft.com/office/2017/10/relationships/threadedComment" Target="/xl/threadedcomments/threadedcomment2.xml" Id="Rb3d46c4b88484f07" /><Relationship Type="http://schemas.openxmlformats.org/officeDocument/2006/relationships/table" Target="/xl/tables/table2.xml" Id="R4c2da1d9f27945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ab6b39cbcfdd4869" /><Relationship Type="http://schemas.openxmlformats.org/officeDocument/2006/relationships/vmlDrawing" Target="/xl/drawings/vmldrawing3.vml" Id="R321d1ab835e74b84" /><Relationship Type="http://schemas.microsoft.com/office/2017/10/relationships/threadedComment" Target="/xl/threadedcomments/threadedcomment3.xml" Id="R87276b14bdc14988" /><Relationship Type="http://schemas.openxmlformats.org/officeDocument/2006/relationships/table" Target="/xl/tables/table3.xml" Id="R994122aa360a4a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af79e5f0d349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6e0452ed084c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8a37aba96f4a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b0eed1db1749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b9396c1a47428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60dbc4814ab470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92c4228609d432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4982f267611e44d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a4a7b412ca804fb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697544308b304e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8" customHeight="1">
      <x:c r="A1" s="3" t="str">
        <x:v>DreamBig Ecommerce Financial Model</x:v>
      </x:c>
    </x:row>
    <x:row r="2">
      <x:c r="A2" s="6" t="str">
        <x:v>Weekly operating model with monthly board reporting; 2025 seeded actuals and 2026 formula-driven forecast.</x:v>
      </x:c>
    </x:row>
    <x:row r="4">
      <x:c r="A4" s="11" t="str">
        <x:v>Model Metadata</x:v>
      </x:c>
      <x:c r="B4" s="12" t="str">
        <x:v>Value</x:v>
      </x:c>
      <x:c r="C4" s="12" t="str">
        <x:v>Notes</x:v>
      </x:c>
      <x:c r="D4" s="13" t="str"/>
    </x:row>
    <x:row r="5">
      <x:c r="A5" t="str">
        <x:v>Company</x:v>
      </x:c>
      <x:c r="B5" t="str">
        <x:v>DreamBig</x:v>
      </x:c>
      <x:c r="C5" t="str">
        <x:v>Existing ecommerce company</x:v>
      </x:c>
    </x:row>
    <x:row r="6">
      <x:c r="A6" t="str">
        <x:v>Model Purpose</x:v>
      </x:c>
      <x:c r="B6" t="str">
        <x:v>Board reporting and operating planning</x:v>
      </x:c>
      <x:c r="C6" t="str">
        <x:v>Weekly detail rolls into monthly board view</x:v>
      </x:c>
    </x:row>
    <x:row r="7">
      <x:c r="A7" t="str">
        <x:v>Currency</x:v>
      </x:c>
      <x:c r="B7" t="str">
        <x:v>$000s</x:v>
      </x:c>
      <x:c r="C7" t="str">
        <x:v>Unit economics stay in dollars where labeled</x:v>
      </x:c>
    </x:row>
    <x:row r="8">
      <x:c r="A8" t="str">
        <x:v>Basis</x:v>
      </x:c>
      <x:c r="B8" t="str">
        <x:v>Cash basis</x:v>
      </x:c>
      <x:c r="C8" t="str">
        <x:v>Cash flow rows include inventory purchases, capex, interest, and taxes</x:v>
      </x:c>
    </x:row>
    <x:row r="9">
      <x:c r="A9" t="str">
        <x:v>Historic Data</x:v>
      </x:c>
      <x:c r="B9" t="str">
        <x:v>2025 seeded actuals</x:v>
      </x:c>
      <x:c r="C9" t="str">
        <x:v>Replace with real exports when available</x:v>
      </x:c>
    </x:row>
    <x:row r="10">
      <x:c r="A10" t="str">
        <x:v>Forecast Data</x:v>
      </x:c>
      <x:c r="B10" t="str">
        <x:v>2026 Base case</x:v>
      </x:c>
      <x:c r="C10" t="str">
        <x:v>Controlled by scenario selector</x:v>
      </x:c>
    </x:row>
    <x:row r="11">
      <x:c r="A11" t="str">
        <x:v>Scenario</x:v>
      </x:c>
      <x:c r="B11" t="str">
        <x:f>'Assumptions'!$B$10</x:f>
        <x:v>Base</x:v>
      </x:c>
      <x:c r="C11" t="str">
        <x:v>Linked to Assumptions!B10</x:v>
      </x:c>
    </x:row>
    <x:row r="12">
      <x:c r="A12" t="str">
        <x:v>Model Status</x:v>
      </x:c>
      <x:c r="B12" t="str">
        <x:f>'Checks'!$B$14</x:f>
        <x:v>WATCH</x:v>
      </x:c>
      <x:c r="C12" t="str">
        <x:v>Linked to Checks!B14</x:v>
      </x:c>
    </x:row>
    <x:row r="15">
      <x:c r="A15" s="11" t="str">
        <x:v>Board KPI</x:v>
      </x:c>
      <x:c r="B15" s="12" t="str">
        <x:v>2025 Actual</x:v>
      </x:c>
      <x:c r="C15" s="12" t="str">
        <x:v>2026 Forecast</x:v>
      </x:c>
      <x:c r="D15" s="12" t="str">
        <x:v>Change</x:v>
      </x:c>
      <x:c r="E15" s="12" t="str">
        <x:v>Notes</x:v>
      </x:c>
      <x:c r="F15" s="13" t="str"/>
    </x:row>
    <x:row r="16">
      <x:c r="A16" t="str">
        <x:v>Net Revenue</x:v>
      </x:c>
      <x:c r="B16" s="38" t="n">
        <x:f>SUMIFS('Monthly_Board'!$E$5:$E$28,'Monthly_Board'!$C$5:$C$28,"Actual")</x:f>
        <x:v>2383.94786725</x:v>
      </x:c>
      <x:c r="C16" s="38" t="n">
        <x:f>SUMIFS('Monthly_Board'!$E$5:$E$28,'Monthly_Board'!$C$5:$C$28,"Forecast")</x:f>
        <x:v>2964.4051606999997</x:v>
      </x:c>
      <x:c r="D16" s="38" t="n">
        <x:f>C16-B16</x:f>
        <x:v>580.4572934499997</x:v>
      </x:c>
      <x:c r="E16" t="str">
        <x:v>Monthly_Board rollup</x:v>
      </x:c>
    </x:row>
    <x:row r="17">
      <x:c r="A17" t="str">
        <x:v>Gross Margin %</x:v>
      </x:c>
      <x:c r="B17" s="28" t="n">
        <x:f>SUMIFS('Financial_Model'!$B$13:$M$13,'Financial_Model'!$B$5:$M$5,"Actual")/SUMIFS('Financial_Model'!$B$11:$M$11,'Financial_Model'!$B$5:$M$5,"Actual")</x:f>
        <x:v>0.5934214110486858</x:v>
      </x:c>
      <x:c r="C17" s="28" t="n">
        <x:f>SUMIFS('Financial_Model'!$N$13:$Y$13,'Financial_Model'!$N$5:$Y$5,"Forecast")/SUMIFS('Financial_Model'!$N$11:$Y$11,'Financial_Model'!$N$5:$Y$5,"Forecast")</x:f>
        <x:v>0.5955033893825591</x:v>
      </x:c>
      <x:c r="D17" s="28" t="n">
        <x:f>C17-B17</x:f>
        <x:v>0.0020819783338732467</x:v>
      </x:c>
      <x:c r="E17" t="str">
        <x:v>Weighted annual margin</x:v>
      </x:c>
    </x:row>
    <x:row r="18">
      <x:c r="A18" t="str">
        <x:v>Contribution Margin</x:v>
      </x:c>
      <x:c r="B18" s="38" t="n">
        <x:f>SUMIFS('Monthly_Board'!$G$5:$G$28,'Monthly_Board'!$C$5:$C$28,"Actual")</x:f>
        <x:v>747.3048790765002</x:v>
      </x:c>
      <x:c r="C18" s="38" t="n">
        <x:f>SUMIFS('Monthly_Board'!$G$5:$G$28,'Monthly_Board'!$C$5:$C$28,"Forecast")</x:f>
        <x:v>929.9447538481993</x:v>
      </x:c>
      <x:c r="D18" s="38" t="n">
        <x:f>C18-B18</x:f>
        <x:v>182.63987477169906</x:v>
      </x:c>
      <x:c r="E18" t="str">
        <x:v>After COGS, fees, shipping, pick/pack, warranty</x:v>
      </x:c>
    </x:row>
    <x:row r="19">
      <x:c r="A19" t="str">
        <x:v>Marketing</x:v>
      </x:c>
      <x:c r="B19" s="38" t="n">
        <x:f>SUMIFS('Monthly_Board'!$I$5:$I$28,'Monthly_Board'!$C$5:$C$28,"Actual")</x:f>
        <x:v>1566.0524200000002</x:v>
      </x:c>
      <x:c r="C19" s="38" t="n">
        <x:f>SUMIFS('Monthly_Board'!$I$5:$I$28,'Monthly_Board'!$C$5:$C$28,"Forecast")</x:f>
        <x:v>1952.1032400000004</x:v>
      </x:c>
      <x:c r="D19" s="38" t="n">
        <x:f>C19-B19</x:f>
        <x:v>386.05082000000016</x:v>
      </x:c>
      <x:c r="E19" t="str">
        <x:v>Traffic-driven spend</x:v>
      </x:c>
    </x:row>
    <x:row r="20">
      <x:c r="A20" t="str">
        <x:v>EBITDA</x:v>
      </x:c>
      <x:c r="B20" s="38" t="n">
        <x:f>SUMIFS('Monthly_Board'!$L$5:$L$28,'Monthly_Board'!$C$5:$C$28,"Actual")</x:f>
        <x:v>-5647.5907409235</x:v>
      </x:c>
      <x:c r="C20" s="38" t="n">
        <x:f>SUMIFS('Monthly_Board'!$L$5:$L$28,'Monthly_Board'!$C$5:$C$28,"Forecast")</x:f>
        <x:v>-6034.7984861518</x:v>
      </x:c>
      <x:c r="D20" s="38" t="n">
        <x:f>C20-B20</x:f>
        <x:v>-387.20774522830015</x:v>
      </x:c>
      <x:c r="E20" t="str">
        <x:v>Contribution less marketing, payroll, other opex</x:v>
      </x:c>
    </x:row>
    <x:row r="21">
      <x:c r="A21" t="str">
        <x:v>Ending Cash</x:v>
      </x:c>
      <x:c r="B21" s="38" t="n">
        <x:f>'Financial_Model'!M32</x:f>
        <x:v>-6732.0407409234995</x:v>
      </x:c>
      <x:c r="C21" s="38" t="n">
        <x:f>'Financial_Model'!Y32</x:f>
        <x:v>-13102.689227075298</x:v>
      </x:c>
      <x:c r="D21" s="38" t="n">
        <x:f>C21-B21</x:f>
        <x:v>-6370.648486151798</x:v>
      </x:c>
      <x:c r="E21" t="str">
        <x:v>December ending cash</x:v>
      </x:c>
    </x:row>
    <x:row r="22">
      <x:c r="A22" t="str">
        <x:v>Ending Inventory Units</x:v>
      </x:c>
      <x:c r="B22" s="34" t="n">
        <x:f>'Financial_Model'!M33</x:f>
        <x:v>938418.2749999999</x:v>
      </x:c>
      <x:c r="C22" s="34" t="n">
        <x:f>'Financial_Model'!Y33</x:f>
        <x:v>392851.4549999999</x:v>
      </x:c>
      <x:c r="D22" s="34" t="n">
        <x:f>C22-B22</x:f>
        <x:v>-545566.8200000001</x:v>
      </x:c>
      <x:c r="E22" t="str">
        <x:v>December ending inventory</x:v>
      </x:c>
    </x:row>
    <x:row r="23">
      <x:c r="A23" t="str">
        <x:v>Stockout Risk SKU-Weeks</x:v>
      </x:c>
      <x:c r="B23" s="34" t="n">
        <x:f>SUMIFS('Monthly_Board'!$Q$5:$Q$28,'Monthly_Board'!$C$5:$C$28,"Actual")</x:f>
        <x:v>0</x:v>
      </x:c>
      <x:c r="C23" s="34" t="n">
        <x:f>SUMIFS('Monthly_Board'!$Q$5:$Q$28,'Monthly_Board'!$C$5:$C$28,"Forecast")</x:f>
        <x:v>0</x:v>
      </x:c>
      <x:c r="D23" s="34" t="n">
        <x:f>C23-B23</x:f>
        <x:v>0</x:v>
      </x:c>
      <x:c r="E23" t="str">
        <x:v>Inventory watch metric</x:v>
      </x:c>
    </x:row>
    <x:row r="26">
      <x:c r="A26" s="11" t="str">
        <x:v>Navigation</x:v>
      </x:c>
      <x:c r="B26" s="12" t="str">
        <x:v>Purpose</x:v>
      </x:c>
      <x:c r="C26" s="12" t="str">
        <x:v>Primary Sort / Filter Cuts</x:v>
      </x:c>
      <x:c r="D26" s="12" t="str">
        <x:v>Next Step Chart Use</x:v>
      </x:c>
      <x:c r="E26" s="12" t="str"/>
      <x:c r="F26" s="13" t="str"/>
    </x:row>
    <x:row r="27">
      <x:c r="A27" t="str">
        <x:v>SKU_Master</x:v>
      </x:c>
      <x:c r="B27" t="str">
        <x:v>Product economics and lifecycle</x:v>
      </x:c>
      <x:c r="C27" t="str">
        <x:v>SKU, behavior, seasonality, status</x:v>
      </x:c>
      <x:c r="D27" t="str">
        <x:v>SKU margin, discontinuation analysis</x:v>
      </x:c>
    </x:row>
    <x:row r="28">
      <x:c r="A28" t="str">
        <x:v>Revenue_Model</x:v>
      </x:c>
      <x:c r="B28" t="str">
        <x:v>Weekly revenue and contribution detail</x:v>
      </x:c>
      <x:c r="C28" t="str">
        <x:v>Week, month, SKU, channel, customer type</x:v>
      </x:c>
      <x:c r="D28" t="str">
        <x:v>Revenue, units, margin trends</x:v>
      </x:c>
    </x:row>
    <x:row r="29">
      <x:c r="A29" t="str">
        <x:v>Geo_Revenue_View</x:v>
      </x:c>
      <x:c r="B29" t="str">
        <x:v>Monthly geography allocation</x:v>
      </x:c>
      <x:c r="C29" t="str">
        <x:v>Month, SKU, channel, customer type, geography</x:v>
      </x:c>
      <x:c r="D29" t="str">
        <x:v>Regional revenue and margin cuts</x:v>
      </x:c>
    </x:row>
    <x:row r="30">
      <x:c r="A30" t="str">
        <x:v>Inventory_Model</x:v>
      </x:c>
      <x:c r="B30" t="str">
        <x:v>SKU inventory availability and stockout risk</x:v>
      </x:c>
      <x:c r="C30" t="str">
        <x:v>SKU, week, stockout status</x:v>
      </x:c>
      <x:c r="D30" t="str">
        <x:v>Inventory runway, stockout flags</x:v>
      </x:c>
    </x:row>
    <x:row r="31">
      <x:c r="A31" t="str">
        <x:v>Marketing</x:v>
      </x:c>
      <x:c r="B31" t="str">
        <x:v>Traffic and CAC by channel</x:v>
      </x:c>
      <x:c r="C31" t="str">
        <x:v>Week, month, channel</x:v>
      </x:c>
      <x:c r="D31" t="str">
        <x:v>CAC and spend efficiency</x:v>
      </x:c>
    </x:row>
    <x:row r="32">
      <x:c r="A32" t="str">
        <x:v>Shipping_Warehouse</x:v>
      </x:c>
      <x:c r="B32" t="str">
        <x:v>Logistics cost rollup</x:v>
      </x:c>
      <x:c r="C32" t="str">
        <x:v>Month, cost type</x:v>
      </x:c>
      <x:c r="D32" t="str">
        <x:v>Fulfillment cost trend</x:v>
      </x:c>
    </x:row>
    <x:row r="33">
      <x:c r="A33" t="str">
        <x:v>Headcount_Opex</x:v>
      </x:c>
      <x:c r="B33" t="str">
        <x:v>Department operating budget</x:v>
      </x:c>
      <x:c r="C33" t="str">
        <x:v>Department, account, fixed/variable</x:v>
      </x:c>
      <x:c r="D33" t="str">
        <x:v>Opex bridge</x:v>
      </x:c>
    </x:row>
    <x:row r="34">
      <x:c r="A34" t="str">
        <x:v>Monthly_Board</x:v>
      </x:c>
      <x:c r="B34" t="str">
        <x:v>Board reporting feed</x:v>
      </x:c>
      <x:c r="C34" t="str">
        <x:v>Period, month, model status</x:v>
      </x:c>
      <x:c r="D34" t="str">
        <x:v>Board charts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8" customHeight="1">
      <x:c r="A1" s="3" t="str">
        <x:v>DreamBig Ecommerce Model Assumptions</x:v>
      </x:c>
    </x:row>
    <x:row r="2">
      <x:c r="A2" s="6" t="str">
        <x:v>Blue/yellow cells are editable drivers. Forecast formulas use the scenario selector and all cost/revenue assumptions from this tab.</x:v>
      </x:c>
    </x:row>
    <x:row r="4">
      <x:c r="A4" s="11" t="str">
        <x:v>Model Control</x:v>
      </x:c>
      <x:c r="B4" s="12" t="str">
        <x:v>Value</x:v>
      </x:c>
      <x:c r="C4" s="12" t="str">
        <x:v>Units</x:v>
      </x:c>
      <x:c r="D4" s="13" t="str">
        <x:v>Notes</x:v>
      </x:c>
      <x:c r="F4" s="11" t="str">
        <x:v>Color Legend</x:v>
      </x:c>
      <x:c r="G4" s="12" t="str">
        <x:v>Meaning</x:v>
      </x:c>
      <x:c r="H4" s="12" t="str">
        <x:v>Example</x:v>
      </x:c>
      <x:c r="I4" s="12" t="str">
        <x:v>Owner</x:v>
      </x:c>
      <x:c r="J4" s="13" t="str">
        <x:v>Action</x:v>
      </x:c>
    </x:row>
    <x:row r="5">
      <x:c r="A5" t="str">
        <x:v>Company</x:v>
      </x:c>
      <x:c r="B5" t="str">
        <x:v>DreamBig</x:v>
      </x:c>
      <x:c r="C5" t="str">
        <x:v>Text</x:v>
      </x:c>
      <x:c r="D5" t="str">
        <x:v>Existing ecommerce company</x:v>
      </x:c>
      <x:c r="F5" s="15" t="str">
        <x:v>Blue font / yellow fill</x:v>
      </x:c>
      <x:c r="G5" t="str">
        <x:v>Editable inputs</x:v>
      </x:c>
      <x:c r="H5" t="str">
        <x:v>Scenario Selector</x:v>
      </x:c>
      <x:c r="I5" t="str">
        <x:v>Management</x:v>
      </x:c>
      <x:c r="J5" t="str">
        <x:v>Update</x:v>
      </x:c>
    </x:row>
    <x:row r="6">
      <x:c r="A6" t="str">
        <x:v>Currency Units</x:v>
      </x:c>
      <x:c r="B6" t="str">
        <x:v>$000s</x:v>
      </x:c>
      <x:c r="C6" t="str">
        <x:v>Text</x:v>
      </x:c>
      <x:c r="D6" t="str">
        <x:v>Financial outputs are shown in thousands</x:v>
      </x:c>
      <x:c r="F6" s="15" t="str">
        <x:v>Black font</x:v>
      </x:c>
      <x:c r="G6" t="str">
        <x:v>Formulas/calculations</x:v>
      </x:c>
      <x:c r="H6" t="str">
        <x:v>Monthly board output</x:v>
      </x:c>
      <x:c r="I6" t="str">
        <x:v>Model</x:v>
      </x:c>
      <x:c r="J6" t="str">
        <x:v>Do not hardcode</x:v>
      </x:c>
    </x:row>
    <x:row r="7">
      <x:c r="A7" t="str">
        <x:v>Forecast Start</x:v>
      </x:c>
      <x:c r="B7" s="15" t="n">
        <x:v>46023</x:v>
      </x:c>
      <x:c r="C7" t="str">
        <x:v>Date</x:v>
      </x:c>
      <x:c r="D7" t="str">
        <x:v>Forecast year begins in January</x:v>
      </x:c>
      <x:c r="F7" s="15" t="str">
        <x:v>Green font</x:v>
      </x:c>
      <x:c r="G7" t="str">
        <x:v>Cross-sheet links</x:v>
      </x:c>
      <x:c r="H7" t="str">
        <x:v>Financial_Model to Board</x:v>
      </x:c>
      <x:c r="I7" t="str">
        <x:v>Model</x:v>
      </x:c>
      <x:c r="J7" t="str">
        <x:v>Audit</x:v>
      </x:c>
    </x:row>
    <x:row r="8">
      <x:c r="A8" t="str">
        <x:v>Historic Period</x:v>
      </x:c>
      <x:c r="B8" s="15" t="str">
        <x:v>2025 actual weekly data</x:v>
      </x:c>
      <x:c r="C8" t="str">
        <x:v>Text</x:v>
      </x:c>
      <x:c r="D8" t="str">
        <x:v>Seeded illustrative actuals to be replaced with real operating exports</x:v>
      </x:c>
      <x:c r="F8" s="15" t="str">
        <x:v>Red font</x:v>
      </x:c>
      <x:c r="G8" t="str">
        <x:v>External links</x:v>
      </x:c>
      <x:c r="H8" t="str">
        <x:v>None used</x:v>
      </x:c>
      <x:c r="I8" t="str">
        <x:v>Model</x:v>
      </x:c>
      <x:c r="J8" t="str">
        <x:v>Avoid</x:v>
      </x:c>
    </x:row>
    <x:row r="9">
      <x:c r="A9" t="str">
        <x:v>Forecast Period</x:v>
      </x:c>
      <x:c r="B9" s="17" t="str">
        <x:v>2026 forecast weekly data</x:v>
      </x:c>
      <x:c r="C9" t="str">
        <x:v>Text</x:v>
      </x:c>
      <x:c r="D9" t="str">
        <x:v>Formula-driven forecast</x:v>
      </x:c>
    </x:row>
    <x:row r="10">
      <x:c r="A10" t="str">
        <x:v>Scenario Selector</x:v>
      </x:c>
      <x:c r="B10" s="18" t="str">
        <x:v>Base</x:v>
      </x:c>
      <x:c r="C10" t="str">
        <x:v>Case</x:v>
      </x:c>
      <x:c r="D10" t="str">
        <x:v>Valid cases: Downside, Base, Upside</x:v>
      </x:c>
    </x:row>
    <x:row r="11">
      <x:c r="A11" t="str">
        <x:v>Base Weekly Traffic</x:v>
      </x:c>
      <x:c r="B11" s="19" t="n">
        <x:v>46000</x:v>
      </x:c>
      <x:c r="C11" t="str">
        <x:v>Sessions</x:v>
      </x:c>
      <x:c r="D11" t="str">
        <x:v>Total weekly traffic before channel/SKU/geo mix</x:v>
      </x:c>
    </x:row>
    <x:row r="12">
      <x:c r="A12" t="str">
        <x:v>Base Conversion Rate</x:v>
      </x:c>
      <x:c r="B12" s="19" t="n">
        <x:v>0.036</x:v>
      </x:c>
      <x:c r="C12" t="str">
        <x:v>%</x:v>
      </x:c>
      <x:c r="D12" t="str">
        <x:v>Site/order conversion before channel and SKU modifiers</x:v>
      </x:c>
    </x:row>
    <x:row r="13">
      <x:c r="A13" t="str">
        <x:v>Actual Year Traffic Ramp</x:v>
      </x:c>
      <x:c r="B13" s="15" t="n">
        <x:v>0.18</x:v>
      </x:c>
      <x:c r="C13" t="str">
        <x:v>%</x:v>
      </x:c>
      <x:c r="D13" t="str">
        <x:v>Illustrative actuals ramp from lower base through historic year</x:v>
      </x:c>
    </x:row>
    <x:row r="14">
      <x:c r="A14" t="str">
        <x:v>Forecast Growth</x:v>
      </x:c>
      <x:c r="B14" s="15" t="n">
        <x:v>0.22</x:v>
      </x:c>
      <x:c r="C14" t="str">
        <x:v>%</x:v>
      </x:c>
      <x:c r="D14" t="str">
        <x:v>Annual traffic lift in forecast year before scenario</x:v>
      </x:c>
    </x:row>
    <x:row r="15">
      <x:c r="A15" t="str">
        <x:v>Free Shipping Threshold</x:v>
      </x:c>
      <x:c r="B15" s="15" t="n">
        <x:v>50</x:v>
      </x:c>
      <x:c r="C15" t="str">
        <x:v>$</x:v>
      </x:c>
      <x:c r="D15" t="str">
        <x:v>Assumed blended customer shipping recovery</x:v>
      </x:c>
    </x:row>
    <x:row r="16">
      <x:c r="A16" t="str">
        <x:v>Benefits + Payroll Tax</x:v>
      </x:c>
      <x:c r="B16" s="20" t="n">
        <x:v>0.24</x:v>
      </x:c>
      <x:c r="C16" t="str">
        <x:v>% of payroll</x:v>
      </x:c>
      <x:c r="D16" t="str">
        <x:v>Used for payroll-loaded opex</x:v>
      </x:c>
    </x:row>
    <x:row r="17">
      <x:c r="A17" t="str">
        <x:v>Tax Rate</x:v>
      </x:c>
      <x:c r="B17" s="15" t="n">
        <x:v>0.21</x:v>
      </x:c>
      <x:c r="C17" t="str">
        <x:v>%</x:v>
      </x:c>
      <x:c r="D17" t="str">
        <x:v>Simplified cash tax assumption</x:v>
      </x:c>
    </x:row>
    <x:row r="18">
      <x:c r="A18" t="str">
        <x:v>Starting Cash</x:v>
      </x:c>
      <x:c r="B18" s="19" t="n">
        <x:v>1650</x:v>
      </x:c>
      <x:c r="C18" t="str">
        <x:v>$000s</x:v>
      </x:c>
      <x:c r="D18" t="str">
        <x:v>Opening cash balance</x:v>
      </x:c>
    </x:row>
    <x:row r="19">
      <x:c r="A19" t="str">
        <x:v>Debt Balance</x:v>
      </x:c>
      <x:c r="B19" s="19" t="n">
        <x:v>750</x:v>
      </x:c>
      <x:c r="C19" t="str">
        <x:v>$000s</x:v>
      </x:c>
      <x:c r="D19" t="str">
        <x:v>Illustrative working capital facility</x:v>
      </x:c>
    </x:row>
    <x:row r="20">
      <x:c r="A20" t="str">
        <x:v>Debt Interest Rate</x:v>
      </x:c>
      <x:c r="B20" s="20" t="n">
        <x:v>0.095</x:v>
      </x:c>
      <x:c r="C20" t="str">
        <x:v>%</x:v>
      </x:c>
      <x:c r="D20" t="str">
        <x:v>Annual cash interest</x:v>
      </x:c>
    </x:row>
    <x:row r="21">
      <x:c r="A21" t="str">
        <x:v>Capex / Tooling Monthly</x:v>
      </x:c>
      <x:c r="B21" s="20" t="n">
        <x:v>18</x:v>
      </x:c>
      <x:c r="C21" t="str">
        <x:v>$000s</x:v>
      </x:c>
      <x:c r="D21" t="str">
        <x:v>Maintenance tooling and warehouse improvements</x:v>
      </x:c>
    </x:row>
    <x:row r="22">
      <x:c r="A22" t="str">
        <x:v>Warehouse Storage / Unit / Week</x:v>
      </x:c>
      <x:c r="B22" s="21" t="n">
        <x:v>0.04</x:v>
      </x:c>
      <x:c r="C22" t="str">
        <x:v>$/unit/week</x:v>
      </x:c>
      <x:c r="D22" t="str">
        <x:v>Storage cost applied to average ending inventory</x:v>
      </x:c>
    </x:row>
    <x:row r="25">
      <x:c r="A25" s="24" t="str">
        <x:v>Seasonality Table</x:v>
      </x:c>
      <x:c r="B25" s="25" t="str">
        <x:v>Jan</x:v>
      </x:c>
      <x:c r="C25" s="25" t="str">
        <x:v>Feb</x:v>
      </x:c>
      <x:c r="D25" s="25" t="str">
        <x:v>Mar</x:v>
      </x:c>
      <x:c r="E25" s="25" t="str">
        <x:v>Apr</x:v>
      </x:c>
      <x:c r="F25" s="25" t="str">
        <x:v>May</x:v>
      </x:c>
      <x:c r="G25" s="25" t="str">
        <x:v>Jun</x:v>
      </x:c>
      <x:c r="H25" s="25" t="str">
        <x:v>Jul</x:v>
      </x:c>
      <x:c r="I25" s="25" t="str">
        <x:v>Aug</x:v>
      </x:c>
      <x:c r="J25" s="26" t="str">
        <x:v>Sep</x:v>
      </x:c>
      <x:c r="K25" s="24" t="str">
        <x:v>Oct</x:v>
      </x:c>
      <x:c r="L25" s="25" t="str">
        <x:v>Nov</x:v>
      </x:c>
      <x:c r="M25" s="25" t="str">
        <x:v>Dec</x:v>
      </x:c>
      <x:c r="N25" s="26" t="str">
        <x:v>Notes</x:v>
      </x:c>
    </x:row>
    <x:row r="26">
      <x:c r="A26" t="str">
        <x:v>None</x:v>
      </x:c>
      <x:c r="B26" s="27" t="n">
        <x:v>1</x:v>
      </x:c>
      <x:c r="C26" s="27" t="n">
        <x:v>1</x:v>
      </x:c>
      <x:c r="D26" s="27" t="n">
        <x:v>1</x:v>
      </x:c>
      <x:c r="E26" s="27" t="n">
        <x:v>1</x:v>
      </x:c>
      <x:c r="F26" s="27" t="n">
        <x:v>1</x:v>
      </x:c>
      <x:c r="G26" s="27" t="n">
        <x:v>1</x:v>
      </x:c>
      <x:c r="H26" s="27" t="n">
        <x:v>1</x:v>
      </x:c>
      <x:c r="I26" s="27" t="n">
        <x:v>1</x:v>
      </x:c>
      <x:c r="J26" s="27" t="n">
        <x:v>1</x:v>
      </x:c>
      <x:c r="K26" s="27" t="n">
        <x:v>1</x:v>
      </x:c>
      <x:c r="L26" s="27" t="n">
        <x:v>1</x:v>
      </x:c>
      <x:c r="M26" s="27" t="n">
        <x:v>1</x:v>
      </x:c>
      <x:c r="N26" t="str">
        <x:v>Baseline demand</x:v>
      </x:c>
    </x:row>
    <x:row r="27">
      <x:c r="A27" t="str">
        <x:v>Summer peak</x:v>
      </x:c>
      <x:c r="B27" s="27" t="n">
        <x:v>0.75</x:v>
      </x:c>
      <x:c r="C27" s="27" t="n">
        <x:v>0.78</x:v>
      </x:c>
      <x:c r="D27" s="27" t="n">
        <x:v>0.88</x:v>
      </x:c>
      <x:c r="E27" s="27" t="n">
        <x:v>1.05</x:v>
      </x:c>
      <x:c r="F27" s="27" t="n">
        <x:v>1.28</x:v>
      </x:c>
      <x:c r="G27" s="27" t="n">
        <x:v>1.45</x:v>
      </x:c>
      <x:c r="H27" s="27" t="n">
        <x:v>1.42</x:v>
      </x:c>
      <x:c r="I27" s="27" t="n">
        <x:v>1.18</x:v>
      </x:c>
      <x:c r="J27" s="27" t="n">
        <x:v>0.98</x:v>
      </x:c>
      <x:c r="K27" s="27" t="n">
        <x:v>0.88</x:v>
      </x:c>
      <x:c r="L27" s="27" t="n">
        <x:v>0.78</x:v>
      </x:c>
      <x:c r="M27" s="27" t="n">
        <x:v>0.72</x:v>
      </x:c>
      <x:c r="N27" t="str">
        <x:v>Summer SKU demand peaks in Jun/Jul</x:v>
      </x:c>
    </x:row>
    <x:row r="28">
      <x:c r="A28" t="str">
        <x:v>Winter peak</x:v>
      </x:c>
      <x:c r="B28" s="27" t="n">
        <x:v>1.22</x:v>
      </x:c>
      <x:c r="C28" s="27" t="n">
        <x:v>1.08</x:v>
      </x:c>
      <x:c r="D28" s="27" t="n">
        <x:v>0.92</x:v>
      </x:c>
      <x:c r="E28" s="27" t="n">
        <x:v>0.82</x:v>
      </x:c>
      <x:c r="F28" s="27" t="n">
        <x:v>0.78</x:v>
      </x:c>
      <x:c r="G28" s="27" t="n">
        <x:v>0.75</x:v>
      </x:c>
      <x:c r="H28" s="27" t="n">
        <x:v>0.78</x:v>
      </x:c>
      <x:c r="I28" s="27" t="n">
        <x:v>0.86</x:v>
      </x:c>
      <x:c r="J28" s="27" t="n">
        <x:v>0.98</x:v>
      </x:c>
      <x:c r="K28" s="27" t="n">
        <x:v>1.18</x:v>
      </x:c>
      <x:c r="L28" s="27" t="n">
        <x:v>1.42</x:v>
      </x:c>
      <x:c r="M28" s="27" t="n">
        <x:v>1.55</x:v>
      </x:c>
      <x:c r="N28" t="str">
        <x:v>Winter SKU demand peaks in Nov/Dec</x:v>
      </x:c>
    </x:row>
    <x:row r="31">
      <x:c r="A31" s="11" t="str">
        <x:v>Geography</x:v>
      </x:c>
      <x:c r="B31" s="12" t="str">
        <x:v>Traffic Mix</x:v>
      </x:c>
      <x:c r="C31" s="13" t="str">
        <x:v>Notes</x:v>
      </x:c>
    </x:row>
    <x:row r="32">
      <x:c r="A32" t="str">
        <x:v>US West</x:v>
      </x:c>
      <x:c r="B32" s="19" t="n">
        <x:v>0.34</x:v>
      </x:c>
      <x:c r="C32" t="str">
        <x:v>Editable geography mix for sortable revenue detail</x:v>
      </x:c>
    </x:row>
    <x:row r="33">
      <x:c r="A33" t="str">
        <x:v>US Central</x:v>
      </x:c>
      <x:c r="B33" s="19" t="n">
        <x:v>0.24</x:v>
      </x:c>
      <x:c r="C33" t="str">
        <x:v>Editable geography mix for sortable revenue detail</x:v>
      </x:c>
    </x:row>
    <x:row r="34">
      <x:c r="A34" t="str">
        <x:v>US East</x:v>
      </x:c>
      <x:c r="B34" s="19" t="n">
        <x:v>0.32</x:v>
      </x:c>
      <x:c r="C34" t="str">
        <x:v>Editable geography mix for sortable revenue detail</x:v>
      </x:c>
    </x:row>
    <x:row r="35">
      <x:c r="A35" t="str">
        <x:v>Canada</x:v>
      </x:c>
      <x:c r="B35" s="19" t="n">
        <x:v>0.1</x:v>
      </x:c>
      <x:c r="C35" t="str">
        <x:v>Editable geography mix for sortable revenue detail</x:v>
      </x:c>
    </x:row>
  </x:sheetData>
  <x:mergeCells>
    <x:mergeCell ref="A1:J1"/>
    <x:mergeCell ref="A2:J2"/>
  </x:mergeCells>
  <x:dataValidations count="1">
    <x:dataValidation type="list" sqref="B10">
      <x:formula1>"Downside,Base,Upside"</x:formula1>
    </x:dataValidation>
  </x:dataValidations>
  <x:pageMargins left="0.7" right="0.7" top="0.75" bottom="0.75" header="0.3" footer="0.3"/>
  <x:legacyDrawing xmlns:r="http://schemas.openxmlformats.org/officeDocument/2006/relationships" r:id="R8ea9e631aaf34676"/>
  <x:tableParts count="1">
    <x:tablePart xmlns:r="http://schemas.openxmlformats.org/officeDocument/2006/relationships" r:id="R430e4a1eebb643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 ht="28" customHeight="1">
      <x:c r="A1" s="3" t="str">
        <x:v>SKU Master</x:v>
      </x:c>
    </x:row>
    <x:row r="2">
      <x:c r="A2" s="6" t="str">
        <x:v>Each product has editable price, manufacturing, fulfillment, return, inventory, and lifecycle assumptions.</x:v>
      </x:c>
    </x:row>
    <x:row r="4">
      <x:c r="A4" s="11" t="str">
        <x:v>SKU</x:v>
      </x:c>
      <x:c r="B4" s="12" t="str">
        <x:v>Product</x:v>
      </x:c>
      <x:c r="C4" s="12" t="str">
        <x:v>Behavior</x:v>
      </x:c>
      <x:c r="D4" s="12" t="str">
        <x:v>Seasonal?</x:v>
      </x:c>
      <x:c r="E4" s="12" t="str">
        <x:v>Seasonality</x:v>
      </x:c>
      <x:c r="F4" s="12" t="str">
        <x:v>Status</x:v>
      </x:c>
      <x:c r="G4" s="12" t="str">
        <x:v>Launch Date</x:v>
      </x:c>
      <x:c r="H4" s="12" t="str">
        <x:v>Discontinue Date</x:v>
      </x:c>
      <x:c r="I4" s="12" t="str">
        <x:v>ASP $</x:v>
      </x:c>
      <x:c r="J4" s="12" t="str">
        <x:v>Mfg Cost $</x:v>
      </x:c>
      <x:c r="K4" s="12" t="str">
        <x:v>Packaging $</x:v>
      </x:c>
      <x:c r="L4" s="12" t="str">
        <x:v>Inbound Freight $</x:v>
      </x:c>
      <x:c r="M4" s="12" t="str">
        <x:v>Duty $</x:v>
      </x:c>
      <x:c r="N4" s="12" t="str">
        <x:v>Fully Loaded Unit Cost $</x:v>
      </x:c>
      <x:c r="O4" s="12" t="str">
        <x:v>Return Rate</x:v>
      </x:c>
      <x:c r="P4" s="12" t="str">
        <x:v>Warranty Rate</x:v>
      </x:c>
      <x:c r="Q4" s="12" t="str">
        <x:v>Warranty Cost $</x:v>
      </x:c>
      <x:c r="R4" s="12" t="str">
        <x:v>Starting Inventory Units</x:v>
      </x:c>
      <x:c r="S4" s="12" t="str">
        <x:v>MOQ Units</x:v>
      </x:c>
      <x:c r="T4" s="12" t="str">
        <x:v>Lead Time Weeks</x:v>
      </x:c>
      <x:c r="U4" s="12" t="str">
        <x:v>Safety Stock Weeks</x:v>
      </x:c>
      <x:c r="V4" s="12" t="str">
        <x:v>Traffic Weight</x:v>
      </x:c>
      <x:c r="W4" s="13" t="str">
        <x:v>Conversion Mult.</x:v>
      </x:c>
    </x:row>
    <x:row r="5">
      <x:c r="A5" t="str">
        <x:v>DB-101</x:v>
      </x:c>
      <x:c r="B5" t="str">
        <x:v>AeroSip Bottle</x:v>
      </x:c>
      <x:c r="C5" t="str">
        <x:v>One-time purchase</x:v>
      </x:c>
      <x:c r="D5" t="str">
        <x:v>No</x:v>
      </x:c>
      <x:c r="E5" t="str">
        <x:v>None</x:v>
      </x:c>
      <x:c r="F5" t="str">
        <x:v>Active</x:v>
      </x:c>
      <x:c r="G5" s="32" t="n">
        <x:v>45627</x:v>
      </x:c>
      <x:c r="H5" s="32"/>
      <x:c r="I5" s="21" t="n">
        <x:v>29</x:v>
      </x:c>
      <x:c r="J5" s="21" t="n">
        <x:v>8.4</x:v>
      </x:c>
      <x:c r="K5" s="21" t="n">
        <x:v>1.15</x:v>
      </x:c>
      <x:c r="L5" s="21" t="n">
        <x:v>0.9</x:v>
      </x:c>
      <x:c r="M5" s="21" t="n">
        <x:v>0.35</x:v>
      </x:c>
      <x:c r="N5" s="37" t="n">
        <x:f>SUM(J5:M5)</x:f>
        <x:v>10.8</x:v>
      </x:c>
      <x:c r="O5" s="19" t="n">
        <x:v>0.045</x:v>
      </x:c>
      <x:c r="P5" s="19" t="n">
        <x:v>0.012</x:v>
      </x:c>
      <x:c r="Q5" s="21" t="n">
        <x:v>3</x:v>
      </x:c>
      <x:c r="R5" s="17" t="n">
        <x:v>12000</x:v>
      </x:c>
      <x:c r="S5" s="17" t="n">
        <x:v>4500</x:v>
      </x:c>
      <x:c r="T5" s="17" t="n">
        <x:v>8</x:v>
      </x:c>
      <x:c r="U5" s="17" t="n">
        <x:v>6</x:v>
      </x:c>
      <x:c r="V5" s="31" t="n">
        <x:v>0.26</x:v>
      </x:c>
      <x:c r="W5" s="31" t="n">
        <x:v>0.95</x:v>
      </x:c>
    </x:row>
    <x:row r="6">
      <x:c r="A6" t="str">
        <x:v>DB-102</x:v>
      </x:c>
      <x:c r="B6" t="str">
        <x:v>GlowPatch Balm</x:v>
      </x:c>
      <x:c r="C6" t="str">
        <x:v>Consumable repeat</x:v>
      </x:c>
      <x:c r="D6" t="str">
        <x:v>No</x:v>
      </x:c>
      <x:c r="E6" t="str">
        <x:v>None</x:v>
      </x:c>
      <x:c r="F6" t="str">
        <x:v>Active</x:v>
      </x:c>
      <x:c r="G6" s="32" t="n">
        <x:v>45627</x:v>
      </x:c>
      <x:c r="H6" s="32"/>
      <x:c r="I6" s="21" t="n">
        <x:v>18</x:v>
      </x:c>
      <x:c r="J6" s="21" t="n">
        <x:v>4.2</x:v>
      </x:c>
      <x:c r="K6" s="21" t="n">
        <x:v>0.65</x:v>
      </x:c>
      <x:c r="L6" s="21" t="n">
        <x:v>0.42</x:v>
      </x:c>
      <x:c r="M6" s="21" t="n">
        <x:v>0.14</x:v>
      </x:c>
      <x:c r="N6" s="37" t="n">
        <x:f>SUM(J6:M6)</x:f>
        <x:v>5.41</x:v>
      </x:c>
      <x:c r="O6" s="19" t="n">
        <x:v>0.025</x:v>
      </x:c>
      <x:c r="P6" s="19" t="n">
        <x:v>0.004</x:v>
      </x:c>
      <x:c r="Q6" s="21" t="n">
        <x:v>1.5</x:v>
      </x:c>
      <x:c r="R6" s="17" t="n">
        <x:v>24000</x:v>
      </x:c>
      <x:c r="S6" s="17" t="n">
        <x:v>9000</x:v>
      </x:c>
      <x:c r="T6" s="17" t="n">
        <x:v>6</x:v>
      </x:c>
      <x:c r="U6" s="17" t="n">
        <x:v>5</x:v>
      </x:c>
      <x:c r="V6" s="31" t="n">
        <x:v>0.21</x:v>
      </x:c>
      <x:c r="W6" s="31" t="n">
        <x:v>1.18</x:v>
      </x:c>
    </x:row>
    <x:row r="7">
      <x:c r="A7" t="str">
        <x:v>DB-103</x:v>
      </x:c>
      <x:c r="B7" t="str">
        <x:v>EmberTrail Camp Mug</x:v>
      </x:c>
      <x:c r="C7" t="str">
        <x:v>One-time purchase</x:v>
      </x:c>
      <x:c r="D7" t="str">
        <x:v>Yes</x:v>
      </x:c>
      <x:c r="E7" t="str">
        <x:v>Winter peak</x:v>
      </x:c>
      <x:c r="F7" t="str">
        <x:v>Discontinued in forecast</x:v>
      </x:c>
      <x:c r="G7" s="32" t="n">
        <x:v>45627</x:v>
      </x:c>
      <x:c r="H7" s="32" t="n">
        <x:v>46356</x:v>
      </x:c>
      <x:c r="I7" s="21" t="n">
        <x:v>34</x:v>
      </x:c>
      <x:c r="J7" s="21" t="n">
        <x:v>10.8</x:v>
      </x:c>
      <x:c r="K7" s="21" t="n">
        <x:v>1.35</x:v>
      </x:c>
      <x:c r="L7" s="21" t="n">
        <x:v>1.1</x:v>
      </x:c>
      <x:c r="M7" s="21" t="n">
        <x:v>0.42</x:v>
      </x:c>
      <x:c r="N7" s="37" t="n">
        <x:f>SUM(J7:M7)</x:f>
        <x:v>13.67</x:v>
      </x:c>
      <x:c r="O7" s="19" t="n">
        <x:v>0.055</x:v>
      </x:c>
      <x:c r="P7" s="19" t="n">
        <x:v>0.016</x:v>
      </x:c>
      <x:c r="Q7" s="21" t="n">
        <x:v>3.5</x:v>
      </x:c>
      <x:c r="R7" s="17" t="n">
        <x:v>10000</x:v>
      </x:c>
      <x:c r="S7" s="17" t="n">
        <x:v>5000</x:v>
      </x:c>
      <x:c r="T7" s="17" t="n">
        <x:v>9</x:v>
      </x:c>
      <x:c r="U7" s="17" t="n">
        <x:v>7</x:v>
      </x:c>
      <x:c r="V7" s="31" t="n">
        <x:v>0.18</x:v>
      </x:c>
      <x:c r="W7" s="31" t="n">
        <x:v>0.9</x:v>
      </x:c>
    </x:row>
    <x:row r="8">
      <x:c r="A8" t="str">
        <x:v>DB-104</x:v>
      </x:c>
      <x:c r="B8" t="str">
        <x:v>SunNest Cooling Towel</x:v>
      </x:c>
      <x:c r="C8" t="str">
        <x:v>Consumable repeat</x:v>
      </x:c>
      <x:c r="D8" t="str">
        <x:v>Yes</x:v>
      </x:c>
      <x:c r="E8" t="str">
        <x:v>Summer peak</x:v>
      </x:c>
      <x:c r="F8" t="str">
        <x:v>Discontinued in forecast</x:v>
      </x:c>
      <x:c r="G8" s="32" t="n">
        <x:v>45627</x:v>
      </x:c>
      <x:c r="H8" s="32" t="n">
        <x:v>46265</x:v>
      </x:c>
      <x:c r="I8" s="21" t="n">
        <x:v>42</x:v>
      </x:c>
      <x:c r="J8" s="21" t="n">
        <x:v>12.6</x:v>
      </x:c>
      <x:c r="K8" s="21" t="n">
        <x:v>1.05</x:v>
      </x:c>
      <x:c r="L8" s="21" t="n">
        <x:v>1</x:v>
      </x:c>
      <x:c r="M8" s="21" t="n">
        <x:v>0.4</x:v>
      </x:c>
      <x:c r="N8" s="37" t="n">
        <x:f>SUM(J8:M8)</x:f>
        <x:v>15.05</x:v>
      </x:c>
      <x:c r="O8" s="19" t="n">
        <x:v>0.05</x:v>
      </x:c>
      <x:c r="P8" s="19" t="n">
        <x:v>0.01</x:v>
      </x:c>
      <x:c r="Q8" s="21" t="n">
        <x:v>2.8</x:v>
      </x:c>
      <x:c r="R8" s="17" t="n">
        <x:v>9000</x:v>
      </x:c>
      <x:c r="S8" s="17" t="n">
        <x:v>4800</x:v>
      </x:c>
      <x:c r="T8" s="17" t="n">
        <x:v>7</x:v>
      </x:c>
      <x:c r="U8" s="17" t="n">
        <x:v>6</x:v>
      </x:c>
      <x:c r="V8" s="31" t="n">
        <x:v>0.17</x:v>
      </x:c>
      <x:c r="W8" s="31" t="n">
        <x:v>0.92</x:v>
      </x:c>
    </x:row>
    <x:row r="9">
      <x:c r="A9" t="str">
        <x:v>DB-105</x:v>
      </x:c>
      <x:c r="B9" t="str">
        <x:v>DreamFuel Refill Pack</x:v>
      </x:c>
      <x:c r="C9" t="str">
        <x:v>Subscription</x:v>
      </x:c>
      <x:c r="D9" t="str">
        <x:v>No</x:v>
      </x:c>
      <x:c r="E9" t="str">
        <x:v>None</x:v>
      </x:c>
      <x:c r="F9" t="str">
        <x:v>Active</x:v>
      </x:c>
      <x:c r="G9" s="32" t="n">
        <x:v>45627</x:v>
      </x:c>
      <x:c r="H9" s="32"/>
      <x:c r="I9" s="21" t="n">
        <x:v>56</x:v>
      </x:c>
      <x:c r="J9" s="21" t="n">
        <x:v>15.4</x:v>
      </x:c>
      <x:c r="K9" s="21" t="n">
        <x:v>1.45</x:v>
      </x:c>
      <x:c r="L9" s="21" t="n">
        <x:v>1.25</x:v>
      </x:c>
      <x:c r="M9" s="21" t="n">
        <x:v>0.52</x:v>
      </x:c>
      <x:c r="N9" s="37" t="n">
        <x:f>SUM(J9:M9)</x:f>
        <x:v>18.62</x:v>
      </x:c>
      <x:c r="O9" s="19" t="n">
        <x:v>0.02</x:v>
      </x:c>
      <x:c r="P9" s="19" t="n">
        <x:v>0.003</x:v>
      </x:c>
      <x:c r="Q9" s="21" t="n">
        <x:v>1.2</x:v>
      </x:c>
      <x:c r="R9" s="17" t="n">
        <x:v>8500</x:v>
      </x:c>
      <x:c r="S9" s="17" t="n">
        <x:v>6000</x:v>
      </x:c>
      <x:c r="T9" s="17" t="n">
        <x:v>6</x:v>
      </x:c>
      <x:c r="U9" s="17" t="n">
        <x:v>5</x:v>
      </x:c>
      <x:c r="V9" s="31" t="n">
        <x:v>0.18</x:v>
      </x:c>
      <x:c r="W9" s="31" t="n">
        <x:v>1.08</x:v>
      </x:c>
    </x:row>
  </x:sheetData>
  <x:mergeCells>
    <x:mergeCell ref="A1:R1"/>
    <x:mergeCell ref="A2:R2"/>
  </x:mergeCells>
  <x:pageMargins left="0.7" right="0.7" top="0.75" bottom="0.75" header="0.3" footer="0.3"/>
  <x:legacyDrawing xmlns:r="http://schemas.openxmlformats.org/officeDocument/2006/relationships" r:id="Rafac5a1f16a54a72"/>
  <x:tableParts count="1">
    <x:tablePart xmlns:r="http://schemas.openxmlformats.org/officeDocument/2006/relationships" r:id="R4c2da1d9f27945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8" customHeight="1">
      <x:c r="A1" s="3" t="str">
        <x:v>Channel Assumptions</x:v>
      </x:c>
    </x:row>
    <x:row r="2">
      <x:c r="A2" s="6" t="str">
        <x:v>Channel economics feed traffic allocation, discounts, fees, shipping, and cash timing.</x:v>
      </x:c>
    </x:row>
    <x:row r="4">
      <x:c r="A4" s="11" t="str">
        <x:v>Channel</x:v>
      </x:c>
      <x:c r="B4" s="12" t="str">
        <x:v>Customer Type</x:v>
      </x:c>
      <x:c r="C4" s="12" t="str">
        <x:v>Traffic Mix</x:v>
      </x:c>
      <x:c r="D4" s="12" t="str">
        <x:v>Discount Rate</x:v>
      </x:c>
      <x:c r="E4" s="12" t="str">
        <x:v>Processor Fee</x:v>
      </x:c>
      <x:c r="F4" s="12" t="str">
        <x:v>Marketplace Fee</x:v>
      </x:c>
      <x:c r="G4" s="12" t="str">
        <x:v>CPC $</x:v>
      </x:c>
      <x:c r="H4" s="12" t="str">
        <x:v>Conversion Mult.</x:v>
      </x:c>
      <x:c r="I4" s="12" t="str">
        <x:v>Outbound Shipping $</x:v>
      </x:c>
      <x:c r="J4" s="12" t="str">
        <x:v>Customer Shipping Recovery $</x:v>
      </x:c>
      <x:c r="K4" s="12" t="str">
        <x:v>Pick/Pack $</x:v>
      </x:c>
      <x:c r="L4" s="12" t="str">
        <x:v>Collection Terms Days</x:v>
      </x:c>
      <x:c r="M4" s="13" t="str">
        <x:v>Notes</x:v>
      </x:c>
    </x:row>
    <x:row r="5">
      <x:c r="A5" t="str">
        <x:v>Shopify DTC</x:v>
      </x:c>
      <x:c r="B5" t="str">
        <x:v>Consumer</x:v>
      </x:c>
      <x:c r="C5" s="19" t="n">
        <x:v>0.5</x:v>
      </x:c>
      <x:c r="D5" s="19" t="n">
        <x:v>0.08</x:v>
      </x:c>
      <x:c r="E5" s="19" t="n">
        <x:v>0.029</x:v>
      </x:c>
      <x:c r="F5" s="19" t="n">
        <x:v>0</x:v>
      </x:c>
      <x:c r="G5" s="21" t="n">
        <x:v>0.78</x:v>
      </x:c>
      <x:c r="H5" s="21" t="n">
        <x:v>1</x:v>
      </x:c>
      <x:c r="I5" s="21" t="n">
        <x:v>6.4</x:v>
      </x:c>
      <x:c r="J5" s="21" t="n">
        <x:v>2.25</x:v>
      </x:c>
      <x:c r="K5" s="21" t="n">
        <x:v>1.65</x:v>
      </x:c>
      <x:c r="L5" s="17" t="n">
        <x:v>2</x:v>
      </x:c>
      <x:c r="M5" t="str">
        <x:v>Editable channel economics</x:v>
      </x:c>
    </x:row>
    <x:row r="6">
      <x:c r="A6" t="str">
        <x:v>Amazon Marketplace</x:v>
      </x:c>
      <x:c r="B6" t="str">
        <x:v>Marketplace Consumer</x:v>
      </x:c>
      <x:c r="C6" s="19" t="n">
        <x:v>0.25</x:v>
      </x:c>
      <x:c r="D6" s="19" t="n">
        <x:v>0.05</x:v>
      </x:c>
      <x:c r="E6" s="19" t="n">
        <x:v>0</x:v>
      </x:c>
      <x:c r="F6" s="19" t="n">
        <x:v>0.15</x:v>
      </x:c>
      <x:c r="G6" s="21" t="n">
        <x:v>0.92</x:v>
      </x:c>
      <x:c r="H6" s="21" t="n">
        <x:v>1.18</x:v>
      </x:c>
      <x:c r="I6" s="21" t="n">
        <x:v>5.2</x:v>
      </x:c>
      <x:c r="J6" s="21" t="n">
        <x:v>0</x:v>
      </x:c>
      <x:c r="K6" s="21" t="n">
        <x:v>2.15</x:v>
      </x:c>
      <x:c r="L6" s="17" t="n">
        <x:v>14</x:v>
      </x:c>
      <x:c r="M6" t="str">
        <x:v>Editable channel economics</x:v>
      </x:c>
    </x:row>
    <x:row r="7">
      <x:c r="A7" t="str">
        <x:v>Wholesale</x:v>
      </x:c>
      <x:c r="B7" t="str">
        <x:v>Retailer</x:v>
      </x:c>
      <x:c r="C7" s="19" t="n">
        <x:v>0.15</x:v>
      </x:c>
      <x:c r="D7" s="19" t="n">
        <x:v>0.35</x:v>
      </x:c>
      <x:c r="E7" s="19" t="n">
        <x:v>0</x:v>
      </x:c>
      <x:c r="F7" s="19" t="n">
        <x:v>0</x:v>
      </x:c>
      <x:c r="G7" s="21" t="n">
        <x:v>0.2</x:v>
      </x:c>
      <x:c r="H7" s="21" t="n">
        <x:v>0.55</x:v>
      </x:c>
      <x:c r="I7" s="21" t="n">
        <x:v>2.3</x:v>
      </x:c>
      <x:c r="J7" s="21" t="n">
        <x:v>0</x:v>
      </x:c>
      <x:c r="K7" s="21" t="n">
        <x:v>0.85</x:v>
      </x:c>
      <x:c r="L7" s="17" t="n">
        <x:v>45</x:v>
      </x:c>
      <x:c r="M7" t="str">
        <x:v>Editable channel economics</x:v>
      </x:c>
    </x:row>
    <x:row r="8">
      <x:c r="A8" t="str">
        <x:v>TikTok Shop</x:v>
      </x:c>
      <x:c r="B8" t="str">
        <x:v>Social Commerce</x:v>
      </x:c>
      <x:c r="C8" s="19" t="n">
        <x:v>0.1</x:v>
      </x:c>
      <x:c r="D8" s="19" t="n">
        <x:v>0.12</x:v>
      </x:c>
      <x:c r="E8" s="19" t="n">
        <x:v>0.029</x:v>
      </x:c>
      <x:c r="F8" s="19" t="n">
        <x:v>0.06</x:v>
      </x:c>
      <x:c r="G8" s="21" t="n">
        <x:v>0.62</x:v>
      </x:c>
      <x:c r="H8" s="21" t="n">
        <x:v>1.26</x:v>
      </x:c>
      <x:c r="I8" s="21" t="n">
        <x:v>6.1</x:v>
      </x:c>
      <x:c r="J8" s="21" t="n">
        <x:v>1</x:v>
      </x:c>
      <x:c r="K8" s="21" t="n">
        <x:v>1.75</x:v>
      </x:c>
      <x:c r="L8" s="17" t="n">
        <x:v>7</x:v>
      </x:c>
      <x:c r="M8" t="str">
        <x:v>Editable channel economics</x:v>
      </x:c>
    </x:row>
  </x:sheetData>
  <x:mergeCells>
    <x:mergeCell ref="A1:N1"/>
    <x:mergeCell ref="A2:N2"/>
  </x:mergeCells>
  <x:pageMargins left="0.7" right="0.7" top="0.75" bottom="0.75" header="0.3" footer="0.3"/>
  <x:legacyDrawing xmlns:r="http://schemas.openxmlformats.org/officeDocument/2006/relationships" r:id="R321d1ab835e74b84"/>
  <x:tableParts count="1">
    <x:tablePart xmlns:r="http://schemas.openxmlformats.org/officeDocument/2006/relationships" r:id="R994122aa360a4a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</x:cols>
  <x:sheetData>
    <x:row r="1" ht="28" customHeight="1">
      <x:c r="A1" s="3" t="str">
        <x:v>Weekly Revenue Model</x:v>
      </x:c>
    </x:row>
    <x:row r="2">
      <x:c r="A2" s="6" t="str">
        <x:v>Sortable weekly detail by SKU, channel, customer type, geography, and month. Revenue and costs are in $000s except unit metrics and ASP.</x:v>
      </x:c>
    </x:row>
    <x:row r="4">
      <x:c r="A4" s="11" t="str">
        <x:v>Week Start</x:v>
      </x:c>
      <x:c r="B4" s="12" t="str">
        <x:v>Month</x:v>
      </x:c>
      <x:c r="C4" s="12" t="str">
        <x:v>Month Label</x:v>
      </x:c>
      <x:c r="D4" s="12" t="str">
        <x:v>Period</x:v>
      </x:c>
      <x:c r="E4" s="12" t="str">
        <x:v>SKU</x:v>
      </x:c>
      <x:c r="F4" s="12" t="str">
        <x:v>Product</x:v>
      </x:c>
      <x:c r="G4" s="12" t="str">
        <x:v>Behavior</x:v>
      </x:c>
      <x:c r="H4" s="12" t="str">
        <x:v>Seasonality</x:v>
      </x:c>
      <x:c r="I4" s="12" t="str">
        <x:v>Lifecycle</x:v>
      </x:c>
      <x:c r="J4" s="12" t="str">
        <x:v>Channel</x:v>
      </x:c>
      <x:c r="K4" s="12" t="str">
        <x:v>Customer Type</x:v>
      </x:c>
      <x:c r="L4" s="12" t="str">
        <x:v>Geography</x:v>
      </x:c>
      <x:c r="M4" s="12" t="str">
        <x:v>Traffic</x:v>
      </x:c>
      <x:c r="N4" s="12" t="str">
        <x:v>Conversion Rate</x:v>
      </x:c>
      <x:c r="O4" s="12" t="str">
        <x:v>Gross Demand Units</x:v>
      </x:c>
      <x:c r="P4" s="12" t="str">
        <x:v>Inventory Fill Rate</x:v>
      </x:c>
      <x:c r="Q4" s="12" t="str">
        <x:v>Units Sold</x:v>
      </x:c>
      <x:c r="R4" s="12" t="str">
        <x:v>ASP $</x:v>
      </x:c>
      <x:c r="S4" s="12" t="str">
        <x:v>Gross Revenue $000s</x:v>
      </x:c>
      <x:c r="T4" s="12" t="str">
        <x:v>Discount $000s</x:v>
      </x:c>
      <x:c r="U4" s="12" t="str">
        <x:v>Returns $000s</x:v>
      </x:c>
      <x:c r="V4" s="12" t="str">
        <x:v>Net Revenue $000s</x:v>
      </x:c>
      <x:c r="W4" s="12" t="str">
        <x:v>COGS $000s</x:v>
      </x:c>
      <x:c r="X4" s="12" t="str">
        <x:v>Payment Fees $000s</x:v>
      </x:c>
      <x:c r="Y4" s="12" t="str">
        <x:v>Marketplace Fees $000s</x:v>
      </x:c>
      <x:c r="Z4" s="12" t="str">
        <x:v>Outbound Shipping $000s</x:v>
      </x:c>
      <x:c r="AA4" s="12" t="str">
        <x:v>Pick/Pack $000s</x:v>
      </x:c>
      <x:c r="AB4" s="12" t="str">
        <x:v>Warranty $000s</x:v>
      </x:c>
      <x:c r="AC4" s="12" t="str">
        <x:v>Contribution Margin $000s</x:v>
      </x:c>
      <x:c r="AD4" s="13" t="str">
        <x:v>Contribution Margin %</x:v>
      </x:c>
    </x:row>
    <x:row r="5">
      <x:c r="A5" s="32" t="n">
        <x:v>45663</x:v>
      </x:c>
      <x:c r="B5" s="32" t="n">
        <x:v>45658</x:v>
      </x:c>
      <x:c r="C5" t="str">
        <x:v>Jan 2025</x:v>
      </x:c>
      <x:c r="D5" t="str">
        <x:v>Actual</x:v>
      </x:c>
      <x:c r="E5" t="str">
        <x:v>DB-101</x:v>
      </x:c>
      <x:c r="F5" t="str">
        <x:v>AeroSip Bottle</x:v>
      </x:c>
      <x:c r="G5" t="str">
        <x:v>One-time purchase</x:v>
      </x:c>
      <x:c r="H5" t="str">
        <x:v>None</x:v>
      </x:c>
      <x:c r="I5" t="str">
        <x:v>Active</x:v>
      </x:c>
      <x:c r="J5" t="str">
        <x:v>Shopify DTC</x:v>
      </x:c>
      <x:c r="K5" t="str">
        <x:v>Consumer</x:v>
      </x:c>
      <x:c r="L5" t="str">
        <x:v>All Geographies</x:v>
      </x:c>
      <x:c r="M5" s="34" t="n">
        <x:v>4924</x:v>
      </x:c>
      <x:c r="N5" s="28" t="n">
        <x:v>0.034199999999999994</x:v>
      </x:c>
      <x:c r="O5" s="34" t="n">
        <x:v>168</x:v>
      </x:c>
      <x:c r="P5" s="34" t="n">
        <x:v>1</x:v>
      </x:c>
      <x:c r="Q5" s="34" t="n">
        <x:v>168</x:v>
      </x:c>
      <x:c r="R5" s="33" t="n">
        <x:v>29</x:v>
      </x:c>
      <x:c r="S5" s="38" t="n">
        <x:v>4.872</x:v>
      </x:c>
      <x:c r="T5" s="38" t="n">
        <x:v>0.38976</x:v>
      </x:c>
      <x:c r="U5" s="38" t="n">
        <x:v>0.20170079999999999</x:v>
      </x:c>
      <x:c r="V5" s="38" t="n">
        <x:v>4.2805392</x:v>
      </x:c>
      <x:c r="W5" s="38" t="n">
        <x:v>1.8144</x:v>
      </x:c>
      <x:c r="X5" s="38" t="n">
        <x:v>0.1241356368</x:v>
      </x:c>
      <x:c r="Y5" s="38" t="n">
        <x:v>0</x:v>
      </x:c>
      <x:c r="Z5" s="38" t="n">
        <x:v>0.6972</x:v>
      </x:c>
      <x:c r="AA5" s="38" t="n">
        <x:v>0.2772</x:v>
      </x:c>
      <x:c r="AB5" s="38" t="n">
        <x:v>0.006048</x:v>
      </x:c>
      <x:c r="AC5" s="38" t="n">
        <x:v>1.3615555631999994</x:v>
      </x:c>
      <x:c r="AD5" s="28" t="n">
        <x:v>0.3180803865083164</x:v>
      </x:c>
    </x:row>
    <x:row r="6">
      <x:c r="A6" s="32" t="n">
        <x:v>45663</x:v>
      </x:c>
      <x:c r="B6" s="32" t="n">
        <x:v>45658</x:v>
      </x:c>
      <x:c r="C6" t="str">
        <x:v>Jan 2025</x:v>
      </x:c>
      <x:c r="D6" t="str">
        <x:v>Actual</x:v>
      </x:c>
      <x:c r="E6" t="str">
        <x:v>DB-101</x:v>
      </x:c>
      <x:c r="F6" t="str">
        <x:v>AeroSip Bottle</x:v>
      </x:c>
      <x:c r="G6" t="str">
        <x:v>One-time purchase</x:v>
      </x:c>
      <x:c r="H6" t="str">
        <x:v>None</x:v>
      </x:c>
      <x:c r="I6" t="str">
        <x:v>Active</x:v>
      </x:c>
      <x:c r="J6" t="str">
        <x:v>Amazon Marketplace</x:v>
      </x:c>
      <x:c r="K6" t="str">
        <x:v>Marketplace Consumer</x:v>
      </x:c>
      <x:c r="L6" t="str">
        <x:v>All Geographies</x:v>
      </x:c>
      <x:c r="M6" s="34" t="n">
        <x:v>2462</x:v>
      </x:c>
      <x:c r="N6" s="28" t="n">
        <x:v>0.040355999999999996</x:v>
      </x:c>
      <x:c r="O6" s="34" t="n">
        <x:v>99</x:v>
      </x:c>
      <x:c r="P6" s="34" t="n">
        <x:v>1</x:v>
      </x:c>
      <x:c r="Q6" s="34" t="n">
        <x:v>99</x:v>
      </x:c>
      <x:c r="R6" s="33" t="n">
        <x:v>29</x:v>
      </x:c>
      <x:c r="S6" s="38" t="n">
        <x:v>2.871</x:v>
      </x:c>
      <x:c r="T6" s="38" t="n">
        <x:v>0.14355</x:v>
      </x:c>
      <x:c r="U6" s="38" t="n">
        <x:v>0.12273525</x:v>
      </x:c>
      <x:c r="V6" s="38" t="n">
        <x:v>2.6047147500000003</x:v>
      </x:c>
      <x:c r="W6" s="38" t="n">
        <x:v>1.0692000000000002</x:v>
      </x:c>
      <x:c r="X6" s="38" t="n">
        <x:v>0</x:v>
      </x:c>
      <x:c r="Y6" s="38" t="n">
        <x:v>0.3907072125</x:v>
      </x:c>
      <x:c r="Z6" s="38" t="n">
        <x:v>0.5148</x:v>
      </x:c>
      <x:c r="AA6" s="38" t="n">
        <x:v>0.21284999999999998</x:v>
      </x:c>
      <x:c r="AB6" s="38" t="n">
        <x:v>0.003564</x:v>
      </x:c>
      <x:c r="AC6" s="38" t="n">
        <x:v>0.41359353750000016</x:v>
      </x:c>
      <x:c r="AD6" s="28" t="n">
        <x:v>0.15878649955815705</x:v>
      </x:c>
    </x:row>
    <x:row r="7">
      <x:c r="A7" s="32" t="n">
        <x:v>45663</x:v>
      </x:c>
      <x:c r="B7" s="32" t="n">
        <x:v>45658</x:v>
      </x:c>
      <x:c r="C7" t="str">
        <x:v>Jan 2025</x:v>
      </x:c>
      <x:c r="D7" t="str">
        <x:v>Actual</x:v>
      </x:c>
      <x:c r="E7" t="str">
        <x:v>DB-101</x:v>
      </x:c>
      <x:c r="F7" t="str">
        <x:v>AeroSip Bottle</x:v>
      </x:c>
      <x:c r="G7" t="str">
        <x:v>One-time purchase</x:v>
      </x:c>
      <x:c r="H7" t="str">
        <x:v>None</x:v>
      </x:c>
      <x:c r="I7" t="str">
        <x:v>Active</x:v>
      </x:c>
      <x:c r="J7" t="str">
        <x:v>Wholesale</x:v>
      </x:c>
      <x:c r="K7" t="str">
        <x:v>Retailer</x:v>
      </x:c>
      <x:c r="L7" t="str">
        <x:v>All Geographies</x:v>
      </x:c>
      <x:c r="M7" s="34" t="n">
        <x:v>1477</x:v>
      </x:c>
      <x:c r="N7" s="28" t="n">
        <x:v>0.01881</x:v>
      </x:c>
      <x:c r="O7" s="34" t="n">
        <x:v>28</x:v>
      </x:c>
      <x:c r="P7" s="34" t="n">
        <x:v>1</x:v>
      </x:c>
      <x:c r="Q7" s="34" t="n">
        <x:v>28</x:v>
      </x:c>
      <x:c r="R7" s="33" t="n">
        <x:v>29</x:v>
      </x:c>
      <x:c r="S7" s="38" t="n">
        <x:v>0.812</x:v>
      </x:c>
      <x:c r="T7" s="38" t="n">
        <x:v>0.2842</x:v>
      </x:c>
      <x:c r="U7" s="38" t="n">
        <x:v>0.023751</x:v>
      </x:c>
      <x:c r="V7" s="38" t="n">
        <x:v>0.5040490000000001</x:v>
      </x:c>
      <x:c r="W7" s="38" t="n">
        <x:v>0.30240000000000006</x:v>
      </x:c>
      <x:c r="X7" s="38" t="n">
        <x:v>0</x:v>
      </x:c>
      <x:c r="Y7" s="38" t="n">
        <x:v>0</x:v>
      </x:c>
      <x:c r="Z7" s="38" t="n">
        <x:v>0.06439999999999999</x:v>
      </x:c>
      <x:c r="AA7" s="38" t="n">
        <x:v>0.0238</x:v>
      </x:c>
      <x:c r="AB7" s="38" t="n">
        <x:v>0.001008</x:v>
      </x:c>
      <x:c r="AC7" s="38" t="n">
        <x:v>0.11244100000000004</x:v>
      </x:c>
      <x:c r="AD7" s="28" t="n">
        <x:v>0.22307553432305197</x:v>
      </x:c>
    </x:row>
    <x:row r="8">
      <x:c r="A8" s="32" t="n">
        <x:v>45663</x:v>
      </x:c>
      <x:c r="B8" s="32" t="n">
        <x:v>45658</x:v>
      </x:c>
      <x:c r="C8" t="str">
        <x:v>Jan 2025</x:v>
      </x:c>
      <x:c r="D8" t="str">
        <x:v>Actual</x:v>
      </x:c>
      <x:c r="E8" t="str">
        <x:v>DB-101</x:v>
      </x:c>
      <x:c r="F8" t="str">
        <x:v>AeroSip Bottle</x:v>
      </x:c>
      <x:c r="G8" t="str">
        <x:v>One-time purchase</x:v>
      </x:c>
      <x:c r="H8" t="str">
        <x:v>None</x:v>
      </x:c>
      <x:c r="I8" t="str">
        <x:v>Active</x:v>
      </x:c>
      <x:c r="J8" t="str">
        <x:v>TikTok Shop</x:v>
      </x:c>
      <x:c r="K8" t="str">
        <x:v>Social Commerce</x:v>
      </x:c>
      <x:c r="L8" t="str">
        <x:v>All Geographies</x:v>
      </x:c>
      <x:c r="M8" s="34" t="n">
        <x:v>985</x:v>
      </x:c>
      <x:c r="N8" s="28" t="n">
        <x:v>0.043092</x:v>
      </x:c>
      <x:c r="O8" s="34" t="n">
        <x:v>42</x:v>
      </x:c>
      <x:c r="P8" s="34" t="n">
        <x:v>1</x:v>
      </x:c>
      <x:c r="Q8" s="34" t="n">
        <x:v>42</x:v>
      </x:c>
      <x:c r="R8" s="33" t="n">
        <x:v>29</x:v>
      </x:c>
      <x:c r="S8" s="38" t="n">
        <x:v>1.218</x:v>
      </x:c>
      <x:c r="T8" s="38" t="n">
        <x:v>0.14615999999999998</x:v>
      </x:c>
      <x:c r="U8" s="38" t="n">
        <x:v>0.04823279999999999</x:v>
      </x:c>
      <x:c r="V8" s="38" t="n">
        <x:v>1.0236071999999998</x:v>
      </x:c>
      <x:c r="W8" s="38" t="n">
        <x:v>0.4536</x:v>
      </x:c>
      <x:c r="X8" s="38" t="n">
        <x:v>0.029684608799999998</x:v>
      </x:c>
      <x:c r="Y8" s="38" t="n">
        <x:v>0.061416431999999986</x:v>
      </x:c>
      <x:c r="Z8" s="38" t="n">
        <x:v>0.2142</x:v>
      </x:c>
      <x:c r="AA8" s="38" t="n">
        <x:v>0.0735</x:v>
      </x:c>
      <x:c r="AB8" s="38" t="n">
        <x:v>0.001512</x:v>
      </x:c>
      <x:c r="AC8" s="38" t="n">
        <x:v>0.18969415919999982</x:v>
      </x:c>
      <x:c r="AD8" s="28" t="n">
        <x:v>0.1853192896650198</x:v>
      </x:c>
    </x:row>
    <x:row r="9">
      <x:c r="A9" s="32" t="n">
        <x:v>45663</x:v>
      </x:c>
      <x:c r="B9" s="32" t="n">
        <x:v>45658</x:v>
      </x:c>
      <x:c r="C9" t="str">
        <x:v>Jan 2025</x:v>
      </x:c>
      <x:c r="D9" t="str">
        <x:v>Actual</x:v>
      </x:c>
      <x:c r="E9" t="str">
        <x:v>DB-102</x:v>
      </x:c>
      <x:c r="F9" t="str">
        <x:v>GlowPatch Balm</x:v>
      </x:c>
      <x:c r="G9" t="str">
        <x:v>Consumable repeat</x:v>
      </x:c>
      <x:c r="H9" t="str">
        <x:v>None</x:v>
      </x:c>
      <x:c r="I9" t="str">
        <x:v>Active</x:v>
      </x:c>
      <x:c r="J9" t="str">
        <x:v>Shopify DTC</x:v>
      </x:c>
      <x:c r="K9" t="str">
        <x:v>Consumer</x:v>
      </x:c>
      <x:c r="L9" t="str">
        <x:v>All Geographies</x:v>
      </x:c>
      <x:c r="M9" s="34" t="n">
        <x:v>3977</x:v>
      </x:c>
      <x:c r="N9" s="28" t="n">
        <x:v>0.04248</x:v>
      </x:c>
      <x:c r="O9" s="34" t="n">
        <x:v>169</x:v>
      </x:c>
      <x:c r="P9" s="34" t="n">
        <x:v>1</x:v>
      </x:c>
      <x:c r="Q9" s="34" t="n">
        <x:v>169</x:v>
      </x:c>
      <x:c r="R9" s="33" t="n">
        <x:v>18</x:v>
      </x:c>
      <x:c r="S9" s="38" t="n">
        <x:v>3.042</x:v>
      </x:c>
      <x:c r="T9" s="38" t="n">
        <x:v>0.24336</x:v>
      </x:c>
      <x:c r="U9" s="38" t="n">
        <x:v>0.069966</x:v>
      </x:c>
      <x:c r="V9" s="38" t="n">
        <x:v>2.728674</x:v>
      </x:c>
      <x:c r="W9" s="38" t="n">
        <x:v>0.91429</x:v>
      </x:c>
      <x:c r="X9" s="38" t="n">
        <x:v>0.079131546</x:v>
      </x:c>
      <x:c r="Y9" s="38" t="n">
        <x:v>0</x:v>
      </x:c>
      <x:c r="Z9" s="38" t="n">
        <x:v>0.70135</x:v>
      </x:c>
      <x:c r="AA9" s="38" t="n">
        <x:v>0.27885</x:v>
      </x:c>
      <x:c r="AB9" s="38" t="n">
        <x:v>0.001014</x:v>
      </x:c>
      <x:c r="AC9" s="38" t="n">
        <x:v>0.7540384539999997</x:v>
      </x:c>
      <x:c r="AD9" s="28" t="n">
        <x:v>0.2763387835996531</x:v>
      </x:c>
    </x:row>
    <x:row r="10">
      <x:c r="A10" s="32" t="n">
        <x:v>45663</x:v>
      </x:c>
      <x:c r="B10" s="32" t="n">
        <x:v>45658</x:v>
      </x:c>
      <x:c r="C10" t="str">
        <x:v>Jan 2025</x:v>
      </x:c>
      <x:c r="D10" t="str">
        <x:v>Actual</x:v>
      </x:c>
      <x:c r="E10" t="str">
        <x:v>DB-102</x:v>
      </x:c>
      <x:c r="F10" t="str">
        <x:v>GlowPatch Balm</x:v>
      </x:c>
      <x:c r="G10" t="str">
        <x:v>Consumable repeat</x:v>
      </x:c>
      <x:c r="H10" t="str">
        <x:v>None</x:v>
      </x:c>
      <x:c r="I10" t="str">
        <x:v>Active</x:v>
      </x:c>
      <x:c r="J10" t="str">
        <x:v>Amazon Marketplace</x:v>
      </x:c>
      <x:c r="K10" t="str">
        <x:v>Marketplace Consumer</x:v>
      </x:c>
      <x:c r="L10" t="str">
        <x:v>All Geographies</x:v>
      </x:c>
      <x:c r="M10" s="34" t="n">
        <x:v>1989</x:v>
      </x:c>
      <x:c r="N10" s="28" t="n">
        <x:v>0.050126399999999995</x:v>
      </x:c>
      <x:c r="O10" s="34" t="n">
        <x:v>100</x:v>
      </x:c>
      <x:c r="P10" s="34" t="n">
        <x:v>1</x:v>
      </x:c>
      <x:c r="Q10" s="34" t="n">
        <x:v>100</x:v>
      </x:c>
      <x:c r="R10" s="33" t="n">
        <x:v>18</x:v>
      </x:c>
      <x:c r="S10" s="38" t="n">
        <x:v>1.8</x:v>
      </x:c>
      <x:c r="T10" s="38" t="n">
        <x:v>0.09000000000000001</x:v>
      </x:c>
      <x:c r="U10" s="38" t="n">
        <x:v>0.04275</x:v>
      </x:c>
      <x:c r="V10" s="38" t="n">
        <x:v>1.66725</x:v>
      </x:c>
      <x:c r="W10" s="38" t="n">
        <x:v>0.541</x:v>
      </x:c>
      <x:c r="X10" s="38" t="n">
        <x:v>0</x:v>
      </x:c>
      <x:c r="Y10" s="38" t="n">
        <x:v>0.25008749999999996</x:v>
      </x:c>
      <x:c r="Z10" s="38" t="n">
        <x:v>0.52</x:v>
      </x:c>
      <x:c r="AA10" s="38" t="n">
        <x:v>0.215</x:v>
      </x:c>
      <x:c r="AB10" s="38" t="n">
        <x:v>0.0006000000000000001</x:v>
      </x:c>
      <x:c r="AC10" s="38" t="n">
        <x:v>0.14056249999999973</x:v>
      </x:c>
      <x:c r="AD10" s="28" t="n">
        <x:v>0.08430799220272889</x:v>
      </x:c>
    </x:row>
    <x:row r="11">
      <x:c r="A11" s="32" t="n">
        <x:v>45663</x:v>
      </x:c>
      <x:c r="B11" s="32" t="n">
        <x:v>45658</x:v>
      </x:c>
      <x:c r="C11" t="str">
        <x:v>Jan 2025</x:v>
      </x:c>
      <x:c r="D11" t="str">
        <x:v>Actual</x:v>
      </x:c>
      <x:c r="E11" t="str">
        <x:v>DB-102</x:v>
      </x:c>
      <x:c r="F11" t="str">
        <x:v>GlowPatch Balm</x:v>
      </x:c>
      <x:c r="G11" t="str">
        <x:v>Consumable repeat</x:v>
      </x:c>
      <x:c r="H11" t="str">
        <x:v>None</x:v>
      </x:c>
      <x:c r="I11" t="str">
        <x:v>Active</x:v>
      </x:c>
      <x:c r="J11" t="str">
        <x:v>Wholesale</x:v>
      </x:c>
      <x:c r="K11" t="str">
        <x:v>Retailer</x:v>
      </x:c>
      <x:c r="L11" t="str">
        <x:v>All Geographies</x:v>
      </x:c>
      <x:c r="M11" s="34" t="n">
        <x:v>1193</x:v>
      </x:c>
      <x:c r="N11" s="28" t="n">
        <x:v>0.023364</x:v>
      </x:c>
      <x:c r="O11" s="34" t="n">
        <x:v>28</x:v>
      </x:c>
      <x:c r="P11" s="34" t="n">
        <x:v>1</x:v>
      </x:c>
      <x:c r="Q11" s="34" t="n">
        <x:v>28</x:v>
      </x:c>
      <x:c r="R11" s="33" t="n">
        <x:v>18</x:v>
      </x:c>
      <x:c r="S11" s="38" t="n">
        <x:v>0.504</x:v>
      </x:c>
      <x:c r="T11" s="38" t="n">
        <x:v>0.1764</x:v>
      </x:c>
      <x:c r="U11" s="38" t="n">
        <x:v>0.008190000000000001</x:v>
      </x:c>
      <x:c r="V11" s="38" t="n">
        <x:v>0.31941</x:v>
      </x:c>
      <x:c r="W11" s="38" t="n">
        <x:v>0.15148000000000003</x:v>
      </x:c>
      <x:c r="X11" s="38" t="n">
        <x:v>0</x:v>
      </x:c>
      <x:c r="Y11" s="38" t="n">
        <x:v>0</x:v>
      </x:c>
      <x:c r="Z11" s="38" t="n">
        <x:v>0.06439999999999999</x:v>
      </x:c>
      <x:c r="AA11" s="38" t="n">
        <x:v>0.0238</x:v>
      </x:c>
      <x:c r="AB11" s="38" t="n">
        <x:v>0.00016800000000000002</x:v>
      </x:c>
      <x:c r="AC11" s="38" t="n">
        <x:v>0.07956200000000001</x:v>
      </x:c>
      <x:c r="AD11" s="28" t="n">
        <x:v>0.24909051062897217</x:v>
      </x:c>
    </x:row>
    <x:row r="12">
      <x:c r="A12" s="32" t="n">
        <x:v>45663</x:v>
      </x:c>
      <x:c r="B12" s="32" t="n">
        <x:v>45658</x:v>
      </x:c>
      <x:c r="C12" t="str">
        <x:v>Jan 2025</x:v>
      </x:c>
      <x:c r="D12" t="str">
        <x:v>Actual</x:v>
      </x:c>
      <x:c r="E12" t="str">
        <x:v>DB-102</x:v>
      </x:c>
      <x:c r="F12" t="str">
        <x:v>GlowPatch Balm</x:v>
      </x:c>
      <x:c r="G12" t="str">
        <x:v>Consumable repeat</x:v>
      </x:c>
      <x:c r="H12" t="str">
        <x:v>None</x:v>
      </x:c>
      <x:c r="I12" t="str">
        <x:v>Active</x:v>
      </x:c>
      <x:c r="J12" t="str">
        <x:v>TikTok Shop</x:v>
      </x:c>
      <x:c r="K12" t="str">
        <x:v>Social Commerce</x:v>
      </x:c>
      <x:c r="L12" t="str">
        <x:v>All Geographies</x:v>
      </x:c>
      <x:c r="M12" s="34" t="n">
        <x:v>795</x:v>
      </x:c>
      <x:c r="N12" s="28" t="n">
        <x:v>0.0535248</x:v>
      </x:c>
      <x:c r="O12" s="34" t="n">
        <x:v>43</x:v>
      </x:c>
      <x:c r="P12" s="34" t="n">
        <x:v>1</x:v>
      </x:c>
      <x:c r="Q12" s="34" t="n">
        <x:v>43</x:v>
      </x:c>
      <x:c r="R12" s="33" t="n">
        <x:v>18</x:v>
      </x:c>
      <x:c r="S12" s="38" t="n">
        <x:v>0.774</x:v>
      </x:c>
      <x:c r="T12" s="38" t="n">
        <x:v>0.09288</x:v>
      </x:c>
      <x:c r="U12" s="38" t="n">
        <x:v>0.017028</x:v>
      </x:c>
      <x:c r="V12" s="38" t="n">
        <x:v>0.664092</x:v>
      </x:c>
      <x:c r="W12" s="38" t="n">
        <x:v>0.23263</x:v>
      </x:c>
      <x:c r="X12" s="38" t="n">
        <x:v>0.019258668000000003</x:v>
      </x:c>
      <x:c r="Y12" s="38" t="n">
        <x:v>0.03984552</x:v>
      </x:c>
      <x:c r="Z12" s="38" t="n">
        <x:v>0.2193</x:v>
      </x:c>
      <x:c r="AA12" s="38" t="n">
        <x:v>0.07525</x:v>
      </x:c>
      <x:c r="AB12" s="38" t="n">
        <x:v>0.000258</x:v>
      </x:c>
      <x:c r="AC12" s="38" t="n">
        <x:v>0.07754981200000002</x:v>
      </x:c>
      <x:c r="AD12" s="28" t="n">
        <x:v>0.11677570577570581</x:v>
      </x:c>
    </x:row>
    <x:row r="13">
      <x:c r="A13" s="32" t="n">
        <x:v>45663</x:v>
      </x:c>
      <x:c r="B13" s="32" t="n">
        <x:v>45658</x:v>
      </x:c>
      <x:c r="C13" t="str">
        <x:v>Jan 2025</x:v>
      </x:c>
      <x:c r="D13" t="str">
        <x:v>Actual</x:v>
      </x:c>
      <x:c r="E13" t="str">
        <x:v>DB-103</x:v>
      </x:c>
      <x:c r="F13" t="str">
        <x:v>EmberTrail Camp Mug</x:v>
      </x:c>
      <x:c r="G13" t="str">
        <x:v>One-time purchase</x:v>
      </x:c>
      <x:c r="H13" t="str">
        <x:v>Winter peak</x:v>
      </x:c>
      <x:c r="I13" t="str">
        <x:v>Active</x:v>
      </x:c>
      <x:c r="J13" t="str">
        <x:v>Shopify DTC</x:v>
      </x:c>
      <x:c r="K13" t="str">
        <x:v>Consumer</x:v>
      </x:c>
      <x:c r="L13" t="str">
        <x:v>All Geographies</x:v>
      </x:c>
      <x:c r="M13" s="34" t="n">
        <x:v>4159</x:v>
      </x:c>
      <x:c r="N13" s="28" t="n">
        <x:v>0.0324</x:v>
      </x:c>
      <x:c r="O13" s="34" t="n">
        <x:v>135</x:v>
      </x:c>
      <x:c r="P13" s="34" t="n">
        <x:v>1</x:v>
      </x:c>
      <x:c r="Q13" s="34" t="n">
        <x:v>135</x:v>
      </x:c>
      <x:c r="R13" s="33" t="n">
        <x:v>34</x:v>
      </x:c>
      <x:c r="S13" s="38" t="n">
        <x:v>4.59</x:v>
      </x:c>
      <x:c r="T13" s="38" t="n">
        <x:v>0.36719999999999997</x:v>
      </x:c>
      <x:c r="U13" s="38" t="n">
        <x:v>0.23225399999999996</x:v>
      </x:c>
      <x:c r="V13" s="38" t="n">
        <x:v>3.9905459999999993</x:v>
      </x:c>
      <x:c r="W13" s="38" t="n">
        <x:v>1.84545</x:v>
      </x:c>
      <x:c r="X13" s="38" t="n">
        <x:v>0.11572583399999999</x:v>
      </x:c>
      <x:c r="Y13" s="38" t="n">
        <x:v>0</x:v>
      </x:c>
      <x:c r="Z13" s="38" t="n">
        <x:v>0.56025</x:v>
      </x:c>
      <x:c r="AA13" s="38" t="n">
        <x:v>0.22275</x:v>
      </x:c>
      <x:c r="AB13" s="38" t="n">
        <x:v>0.007560000000000001</x:v>
      </x:c>
      <x:c r="AC13" s="38" t="n">
        <x:v>1.2388101659999993</x:v>
      </x:c>
      <x:c r="AD13" s="28" t="n">
        <x:v>0.31043625759482524</x:v>
      </x:c>
    </x:row>
    <x:row r="14">
      <x:c r="A14" s="32" t="n">
        <x:v>45663</x:v>
      </x:c>
      <x:c r="B14" s="32" t="n">
        <x:v>45658</x:v>
      </x:c>
      <x:c r="C14" t="str">
        <x:v>Jan 2025</x:v>
      </x:c>
      <x:c r="D14" t="str">
        <x:v>Actual</x:v>
      </x:c>
      <x:c r="E14" t="str">
        <x:v>DB-103</x:v>
      </x:c>
      <x:c r="F14" t="str">
        <x:v>EmberTrail Camp Mug</x:v>
      </x:c>
      <x:c r="G14" t="str">
        <x:v>One-time purchase</x:v>
      </x:c>
      <x:c r="H14" t="str">
        <x:v>Winter peak</x:v>
      </x:c>
      <x:c r="I14" t="str">
        <x:v>Active</x:v>
      </x:c>
      <x:c r="J14" t="str">
        <x:v>Amazon Marketplace</x:v>
      </x:c>
      <x:c r="K14" t="str">
        <x:v>Marketplace Consumer</x:v>
      </x:c>
      <x:c r="L14" t="str">
        <x:v>All Geographies</x:v>
      </x:c>
      <x:c r="M14" s="34" t="n">
        <x:v>2080</x:v>
      </x:c>
      <x:c r="N14" s="28" t="n">
        <x:v>0.038231999999999995</x:v>
      </x:c>
      <x:c r="O14" s="34" t="n">
        <x:v>80</x:v>
      </x:c>
      <x:c r="P14" s="34" t="n">
        <x:v>1</x:v>
      </x:c>
      <x:c r="Q14" s="34" t="n">
        <x:v>80</x:v>
      </x:c>
      <x:c r="R14" s="33" t="n">
        <x:v>34</x:v>
      </x:c>
      <x:c r="S14" s="38" t="n">
        <x:v>2.72</x:v>
      </x:c>
      <x:c r="T14" s="38" t="n">
        <x:v>0.136</x:v>
      </x:c>
      <x:c r="U14" s="38" t="n">
        <x:v>0.14212</x:v>
      </x:c>
      <x:c r="V14" s="38" t="n">
        <x:v>2.4418800000000003</x:v>
      </x:c>
      <x:c r="W14" s="38" t="n">
        <x:v>1.0936</x:v>
      </x:c>
      <x:c r="X14" s="38" t="n">
        <x:v>0</x:v>
      </x:c>
      <x:c r="Y14" s="38" t="n">
        <x:v>0.36628200000000005</x:v>
      </x:c>
      <x:c r="Z14" s="38" t="n">
        <x:v>0.416</x:v>
      </x:c>
      <x:c r="AA14" s="38" t="n">
        <x:v>0.172</x:v>
      </x:c>
      <x:c r="AB14" s="38" t="n">
        <x:v>0.0044800000000000005</x:v>
      </x:c>
      <x:c r="AC14" s="38" t="n">
        <x:v>0.3895180000000005</x:v>
      </x:c>
      <x:c r="AD14" s="28" t="n">
        <x:v>0.15951561911314252</x:v>
      </x:c>
    </x:row>
    <x:row r="15">
      <x:c r="A15" s="32" t="n">
        <x:v>45663</x:v>
      </x:c>
      <x:c r="B15" s="32" t="n">
        <x:v>45658</x:v>
      </x:c>
      <x:c r="C15" t="str">
        <x:v>Jan 2025</x:v>
      </x:c>
      <x:c r="D15" t="str">
        <x:v>Actual</x:v>
      </x:c>
      <x:c r="E15" t="str">
        <x:v>DB-103</x:v>
      </x:c>
      <x:c r="F15" t="str">
        <x:v>EmberTrail Camp Mug</x:v>
      </x:c>
      <x:c r="G15" t="str">
        <x:v>One-time purchase</x:v>
      </x:c>
      <x:c r="H15" t="str">
        <x:v>Winter peak</x:v>
      </x:c>
      <x:c r="I15" t="str">
        <x:v>Active</x:v>
      </x:c>
      <x:c r="J15" t="str">
        <x:v>Wholesale</x:v>
      </x:c>
      <x:c r="K15" t="str">
        <x:v>Retailer</x:v>
      </x:c>
      <x:c r="L15" t="str">
        <x:v>All Geographies</x:v>
      </x:c>
      <x:c r="M15" s="34" t="n">
        <x:v>1248</x:v>
      </x:c>
      <x:c r="N15" s="28" t="n">
        <x:v>0.017820000000000003</x:v>
      </x:c>
      <x:c r="O15" s="34" t="n">
        <x:v>22</x:v>
      </x:c>
      <x:c r="P15" s="34" t="n">
        <x:v>1</x:v>
      </x:c>
      <x:c r="Q15" s="34" t="n">
        <x:v>22</x:v>
      </x:c>
      <x:c r="R15" s="33" t="n">
        <x:v>34</x:v>
      </x:c>
      <x:c r="S15" s="38" t="n">
        <x:v>0.748</x:v>
      </x:c>
      <x:c r="T15" s="38" t="n">
        <x:v>0.2618</x:v>
      </x:c>
      <x:c r="U15" s="38" t="n">
        <x:v>0.026741</x:v>
      </x:c>
      <x:c r="V15" s="38" t="n">
        <x:v>0.459459</x:v>
      </x:c>
      <x:c r="W15" s="38" t="n">
        <x:v>0.30074</x:v>
      </x:c>
      <x:c r="X15" s="38" t="n">
        <x:v>0</x:v>
      </x:c>
      <x:c r="Y15" s="38" t="n">
        <x:v>0</x:v>
      </x:c>
      <x:c r="Z15" s="38" t="n">
        <x:v>0.05059999999999999</x:v>
      </x:c>
      <x:c r="AA15" s="38" t="n">
        <x:v>0.018699999999999998</x:v>
      </x:c>
      <x:c r="AB15" s="38" t="n">
        <x:v>0.001232</x:v>
      </x:c>
      <x:c r="AC15" s="38" t="n">
        <x:v>0.08818700000000002</x:v>
      </x:c>
      <x:c r="AD15" s="28" t="n">
        <x:v>0.1919366037013096</x:v>
      </x:c>
    </x:row>
    <x:row r="16">
      <x:c r="A16" s="32" t="n">
        <x:v>45663</x:v>
      </x:c>
      <x:c r="B16" s="32" t="n">
        <x:v>45658</x:v>
      </x:c>
      <x:c r="C16" t="str">
        <x:v>Jan 2025</x:v>
      </x:c>
      <x:c r="D16" t="str">
        <x:v>Actual</x:v>
      </x:c>
      <x:c r="E16" t="str">
        <x:v>DB-103</x:v>
      </x:c>
      <x:c r="F16" t="str">
        <x:v>EmberTrail Camp Mug</x:v>
      </x:c>
      <x:c r="G16" t="str">
        <x:v>One-time purchase</x:v>
      </x:c>
      <x:c r="H16" t="str">
        <x:v>Winter peak</x:v>
      </x:c>
      <x:c r="I16" t="str">
        <x:v>Active</x:v>
      </x:c>
      <x:c r="J16" t="str">
        <x:v>TikTok Shop</x:v>
      </x:c>
      <x:c r="K16" t="str">
        <x:v>Social Commerce</x:v>
      </x:c>
      <x:c r="L16" t="str">
        <x:v>All Geographies</x:v>
      </x:c>
      <x:c r="M16" s="34" t="n">
        <x:v>832</x:v>
      </x:c>
      <x:c r="N16" s="28" t="n">
        <x:v>0.040824</x:v>
      </x:c>
      <x:c r="O16" s="34" t="n">
        <x:v>34</x:v>
      </x:c>
      <x:c r="P16" s="34" t="n">
        <x:v>1</x:v>
      </x:c>
      <x:c r="Q16" s="34" t="n">
        <x:v>34</x:v>
      </x:c>
      <x:c r="R16" s="33" t="n">
        <x:v>34</x:v>
      </x:c>
      <x:c r="S16" s="38" t="n">
        <x:v>1.156</x:v>
      </x:c>
      <x:c r="T16" s="38" t="n">
        <x:v>0.13871999999999998</x:v>
      </x:c>
      <x:c r="U16" s="38" t="n">
        <x:v>0.0559504</x:v>
      </x:c>
      <x:c r="V16" s="38" t="n">
        <x:v>0.9613296</x:v>
      </x:c>
      <x:c r="W16" s="38" t="n">
        <x:v>0.46477999999999997</x:v>
      </x:c>
      <x:c r="X16" s="38" t="n">
        <x:v>0.027878558400000003</x:v>
      </x:c>
      <x:c r="Y16" s="38" t="n">
        <x:v>0.057679775999999995</x:v>
      </x:c>
      <x:c r="Z16" s="38" t="n">
        <x:v>0.17339999999999997</x:v>
      </x:c>
      <x:c r="AA16" s="38" t="n">
        <x:v>0.0595</x:v>
      </x:c>
      <x:c r="AB16" s="38" t="n">
        <x:v>0.001904</x:v>
      </x:c>
      <x:c r="AC16" s="38" t="n">
        <x:v>0.1761872656000001</x:v>
      </x:c>
      <x:c r="AD16" s="28" t="n">
        <x:v>0.18327456639221354</x:v>
      </x:c>
    </x:row>
    <x:row r="17">
      <x:c r="A17" s="32" t="n">
        <x:v>45663</x:v>
      </x:c>
      <x:c r="B17" s="32" t="n">
        <x:v>45658</x:v>
      </x:c>
      <x:c r="C17" t="str">
        <x:v>Jan 2025</x:v>
      </x:c>
      <x:c r="D17" t="str">
        <x:v>Actual</x:v>
      </x:c>
      <x:c r="E17" t="str">
        <x:v>DB-104</x:v>
      </x:c>
      <x:c r="F17" t="str">
        <x:v>SunNest Cooling Towel</x:v>
      </x:c>
      <x:c r="G17" t="str">
        <x:v>Consumable repeat</x:v>
      </x:c>
      <x:c r="H17" t="str">
        <x:v>Summer peak</x:v>
      </x:c>
      <x:c r="I17" t="str">
        <x:v>Active</x:v>
      </x:c>
      <x:c r="J17" t="str">
        <x:v>Shopify DTC</x:v>
      </x:c>
      <x:c r="K17" t="str">
        <x:v>Consumer</x:v>
      </x:c>
      <x:c r="L17" t="str">
        <x:v>All Geographies</x:v>
      </x:c>
      <x:c r="M17" s="34" t="n">
        <x:v>2415</x:v>
      </x:c>
      <x:c r="N17" s="28" t="n">
        <x:v>0.03312</x:v>
      </x:c>
      <x:c r="O17" s="34" t="n">
        <x:v>80</x:v>
      </x:c>
      <x:c r="P17" s="34" t="n">
        <x:v>1</x:v>
      </x:c>
      <x:c r="Q17" s="34" t="n">
        <x:v>80</x:v>
      </x:c>
      <x:c r="R17" s="33" t="n">
        <x:v>42</x:v>
      </x:c>
      <x:c r="S17" s="38" t="n">
        <x:v>3.36</x:v>
      </x:c>
      <x:c r="T17" s="38" t="n">
        <x:v>0.2688</x:v>
      </x:c>
      <x:c r="U17" s="38" t="n">
        <x:v>0.15456</x:v>
      </x:c>
      <x:c r="V17" s="38" t="n">
        <x:v>2.9366399999999997</x:v>
      </x:c>
      <x:c r="W17" s="38" t="n">
        <x:v>1.204</x:v>
      </x:c>
      <x:c r="X17" s="38" t="n">
        <x:v>0.08516256</x:v>
      </x:c>
      <x:c r="Y17" s="38" t="n">
        <x:v>0</x:v>
      </x:c>
      <x:c r="Z17" s="38" t="n">
        <x:v>0.332</x:v>
      </x:c>
      <x:c r="AA17" s="38" t="n">
        <x:v>0.132</x:v>
      </x:c>
      <x:c r="AB17" s="38" t="n">
        <x:v>0.00224</x:v>
      </x:c>
      <x:c r="AC17" s="38" t="n">
        <x:v>1.1812374399999999</x:v>
      </x:c>
      <x:c r="AD17" s="28" t="n">
        <x:v>0.40224114634412117</x:v>
      </x:c>
    </x:row>
    <x:row r="18">
      <x:c r="A18" s="32" t="n">
        <x:v>45663</x:v>
      </x:c>
      <x:c r="B18" s="32" t="n">
        <x:v>45658</x:v>
      </x:c>
      <x:c r="C18" t="str">
        <x:v>Jan 2025</x:v>
      </x:c>
      <x:c r="D18" t="str">
        <x:v>Actual</x:v>
      </x:c>
      <x:c r="E18" t="str">
        <x:v>DB-104</x:v>
      </x:c>
      <x:c r="F18" t="str">
        <x:v>SunNest Cooling Towel</x:v>
      </x:c>
      <x:c r="G18" t="str">
        <x:v>Consumable repeat</x:v>
      </x:c>
      <x:c r="H18" t="str">
        <x:v>Summer peak</x:v>
      </x:c>
      <x:c r="I18" t="str">
        <x:v>Active</x:v>
      </x:c>
      <x:c r="J18" t="str">
        <x:v>Amazon Marketplace</x:v>
      </x:c>
      <x:c r="K18" t="str">
        <x:v>Marketplace Consumer</x:v>
      </x:c>
      <x:c r="L18" t="str">
        <x:v>All Geographies</x:v>
      </x:c>
      <x:c r="M18" s="34" t="n">
        <x:v>1207</x:v>
      </x:c>
      <x:c r="N18" s="28" t="n">
        <x:v>0.0390816</x:v>
      </x:c>
      <x:c r="O18" s="34" t="n">
        <x:v>47</x:v>
      </x:c>
      <x:c r="P18" s="34" t="n">
        <x:v>1</x:v>
      </x:c>
      <x:c r="Q18" s="34" t="n">
        <x:v>47</x:v>
      </x:c>
      <x:c r="R18" s="33" t="n">
        <x:v>42</x:v>
      </x:c>
      <x:c r="S18" s="38" t="n">
        <x:v>1.974</x:v>
      </x:c>
      <x:c r="T18" s="38" t="n">
        <x:v>0.09870000000000001</x:v>
      </x:c>
      <x:c r="U18" s="38" t="n">
        <x:v>0.093765</x:v>
      </x:c>
      <x:c r="V18" s="38" t="n">
        <x:v>1.7815349999999999</x:v>
      </x:c>
      <x:c r="W18" s="38" t="n">
        <x:v>0.70735</x:v>
      </x:c>
      <x:c r="X18" s="38" t="n">
        <x:v>0</x:v>
      </x:c>
      <x:c r="Y18" s="38" t="n">
        <x:v>0.26723024999999995</x:v>
      </x:c>
      <x:c r="Z18" s="38" t="n">
        <x:v>0.2444</x:v>
      </x:c>
      <x:c r="AA18" s="38" t="n">
        <x:v>0.10105</x:v>
      </x:c>
      <x:c r="AB18" s="38" t="n">
        <x:v>0.0013160000000000001</x:v>
      </x:c>
      <x:c r="AC18" s="38" t="n">
        <x:v>0.46018875000000015</x:v>
      </x:c>
      <x:c r="AD18" s="28" t="n">
        <x:v>0.2583102493074793</x:v>
      </x:c>
    </x:row>
    <x:row r="19">
      <x:c r="A19" s="32" t="n">
        <x:v>45663</x:v>
      </x:c>
      <x:c r="B19" s="32" t="n">
        <x:v>45658</x:v>
      </x:c>
      <x:c r="C19" t="str">
        <x:v>Jan 2025</x:v>
      </x:c>
      <x:c r="D19" t="str">
        <x:v>Actual</x:v>
      </x:c>
      <x:c r="E19" t="str">
        <x:v>DB-104</x:v>
      </x:c>
      <x:c r="F19" t="str">
        <x:v>SunNest Cooling Towel</x:v>
      </x:c>
      <x:c r="G19" t="str">
        <x:v>Consumable repeat</x:v>
      </x:c>
      <x:c r="H19" t="str">
        <x:v>Summer peak</x:v>
      </x:c>
      <x:c r="I19" t="str">
        <x:v>Active</x:v>
      </x:c>
      <x:c r="J19" t="str">
        <x:v>Wholesale</x:v>
      </x:c>
      <x:c r="K19" t="str">
        <x:v>Retailer</x:v>
      </x:c>
      <x:c r="L19" t="str">
        <x:v>All Geographies</x:v>
      </x:c>
      <x:c r="M19" s="34" t="n">
        <x:v>724</x:v>
      </x:c>
      <x:c r="N19" s="28" t="n">
        <x:v>0.018216000000000003</x:v>
      </x:c>
      <x:c r="O19" s="34" t="n">
        <x:v>13</x:v>
      </x:c>
      <x:c r="P19" s="34" t="n">
        <x:v>1</x:v>
      </x:c>
      <x:c r="Q19" s="34" t="n">
        <x:v>13</x:v>
      </x:c>
      <x:c r="R19" s="33" t="n">
        <x:v>42</x:v>
      </x:c>
      <x:c r="S19" s="38" t="n">
        <x:v>0.546</x:v>
      </x:c>
      <x:c r="T19" s="38" t="n">
        <x:v>0.1911</x:v>
      </x:c>
      <x:c r="U19" s="38" t="n">
        <x:v>0.017745000000000004</x:v>
      </x:c>
      <x:c r="V19" s="38" t="n">
        <x:v>0.33715500000000004</x:v>
      </x:c>
      <x:c r="W19" s="38" t="n">
        <x:v>0.19565000000000002</x:v>
      </x:c>
      <x:c r="X19" s="38" t="n">
        <x:v>0</x:v>
      </x:c>
      <x:c r="Y19" s="38" t="n">
        <x:v>0</x:v>
      </x:c>
      <x:c r="Z19" s="38" t="n">
        <x:v>0.0299</x:v>
      </x:c>
      <x:c r="AA19" s="38" t="n">
        <x:v>0.011049999999999999</x:v>
      </x:c>
      <x:c r="AB19" s="38" t="n">
        <x:v>0.000364</x:v>
      </x:c>
      <x:c r="AC19" s="38" t="n">
        <x:v>0.10019100000000002</x:v>
      </x:c>
      <x:c r="AD19" s="28" t="n">
        <x:v>0.29716599190283405</x:v>
      </x:c>
    </x:row>
    <x:row r="20">
      <x:c r="A20" s="32" t="n">
        <x:v>45663</x:v>
      </x:c>
      <x:c r="B20" s="32" t="n">
        <x:v>45658</x:v>
      </x:c>
      <x:c r="C20" t="str">
        <x:v>Jan 2025</x:v>
      </x:c>
      <x:c r="D20" t="str">
        <x:v>Actual</x:v>
      </x:c>
      <x:c r="E20" t="str">
        <x:v>DB-104</x:v>
      </x:c>
      <x:c r="F20" t="str">
        <x:v>SunNest Cooling Towel</x:v>
      </x:c>
      <x:c r="G20" t="str">
        <x:v>Consumable repeat</x:v>
      </x:c>
      <x:c r="H20" t="str">
        <x:v>Summer peak</x:v>
      </x:c>
      <x:c r="I20" t="str">
        <x:v>Active</x:v>
      </x:c>
      <x:c r="J20" t="str">
        <x:v>TikTok Shop</x:v>
      </x:c>
      <x:c r="K20" t="str">
        <x:v>Social Commerce</x:v>
      </x:c>
      <x:c r="L20" t="str">
        <x:v>All Geographies</x:v>
      </x:c>
      <x:c r="M20" s="34" t="n">
        <x:v>483</x:v>
      </x:c>
      <x:c r="N20" s="28" t="n">
        <x:v>0.0417312</x:v>
      </x:c>
      <x:c r="O20" s="34" t="n">
        <x:v>20</x:v>
      </x:c>
      <x:c r="P20" s="34" t="n">
        <x:v>1</x:v>
      </x:c>
      <x:c r="Q20" s="34" t="n">
        <x:v>20</x:v>
      </x:c>
      <x:c r="R20" s="33" t="n">
        <x:v>42</x:v>
      </x:c>
      <x:c r="S20" s="38" t="n">
        <x:v>0.84</x:v>
      </x:c>
      <x:c r="T20" s="38" t="n">
        <x:v>0.10079999999999999</x:v>
      </x:c>
      <x:c r="U20" s="38" t="n">
        <x:v>0.03696</x:v>
      </x:c>
      <x:c r="V20" s="38" t="n">
        <x:v>0.70224</x:v>
      </x:c>
      <x:c r="W20" s="38" t="n">
        <x:v>0.301</x:v>
      </x:c>
      <x:c r="X20" s="38" t="n">
        <x:v>0.02036496</x:v>
      </x:c>
      <x:c r="Y20" s="38" t="n">
        <x:v>0.042134399999999995</x:v>
      </x:c>
      <x:c r="Z20" s="38" t="n">
        <x:v>0.102</x:v>
      </x:c>
      <x:c r="AA20" s="38" t="n">
        <x:v>0.035</x:v>
      </x:c>
      <x:c r="AB20" s="38" t="n">
        <x:v>0.00056</x:v>
      </x:c>
      <x:c r="AC20" s="38" t="n">
        <x:v>0.20118064</x:v>
      </x:c>
      <x:c r="AD20" s="28" t="n">
        <x:v>0.2864841649578492</x:v>
      </x:c>
    </x:row>
    <x:row r="21">
      <x:c r="A21" s="32" t="n">
        <x:v>45663</x:v>
      </x:c>
      <x:c r="B21" s="32" t="n">
        <x:v>45658</x:v>
      </x:c>
      <x:c r="C21" t="str">
        <x:v>Jan 2025</x:v>
      </x:c>
      <x:c r="D21" t="str">
        <x:v>Actual</x:v>
      </x:c>
      <x:c r="E21" t="str">
        <x:v>DB-105</x:v>
      </x:c>
      <x:c r="F21" t="str">
        <x:v>DreamFuel Refill Pack</x:v>
      </x:c>
      <x:c r="G21" t="str">
        <x:v>Subscription</x:v>
      </x:c>
      <x:c r="H21" t="str">
        <x:v>None</x:v>
      </x:c>
      <x:c r="I21" t="str">
        <x:v>Active</x:v>
      </x:c>
      <x:c r="J21" t="str">
        <x:v>Shopify DTC</x:v>
      </x:c>
      <x:c r="K21" t="str">
        <x:v>Consumer</x:v>
      </x:c>
      <x:c r="L21" t="str">
        <x:v>All Geographies</x:v>
      </x:c>
      <x:c r="M21" s="34" t="n">
        <x:v>3409</x:v>
      </x:c>
      <x:c r="N21" s="28" t="n">
        <x:v>0.03888</x:v>
      </x:c>
      <x:c r="O21" s="34" t="n">
        <x:v>133</x:v>
      </x:c>
      <x:c r="P21" s="34" t="n">
        <x:v>1</x:v>
      </x:c>
      <x:c r="Q21" s="34" t="n">
        <x:v>133</x:v>
      </x:c>
      <x:c r="R21" s="33" t="n">
        <x:v>56</x:v>
      </x:c>
      <x:c r="S21" s="38" t="n">
        <x:v>7.448</x:v>
      </x:c>
      <x:c r="T21" s="38" t="n">
        <x:v>0.59584</x:v>
      </x:c>
      <x:c r="U21" s="38" t="n">
        <x:v>0.1370432</x:v>
      </x:c>
      <x:c r="V21" s="38" t="n">
        <x:v>6.7151168000000006</x:v>
      </x:c>
      <x:c r="W21" s="38" t="n">
        <x:v>2.47646</x:v>
      </x:c>
      <x:c r="X21" s="38" t="n">
        <x:v>0.19473838720000003</x:v>
      </x:c>
      <x:c r="Y21" s="38" t="n">
        <x:v>0</x:v>
      </x:c>
      <x:c r="Z21" s="38" t="n">
        <x:v>0.55195</x:v>
      </x:c>
      <x:c r="AA21" s="38" t="n">
        <x:v>0.21944999999999998</x:v>
      </x:c>
      <x:c r="AB21" s="38" t="n">
        <x:v>0.0004788</x:v>
      </x:c>
      <x:c r="AC21" s="38" t="n">
        <x:v>3.272039612800001</x:v>
      </x:c>
      <x:c r="AD21" s="28" t="n">
        <x:v>0.48726473570794787</x:v>
      </x:c>
    </x:row>
    <x:row r="22">
      <x:c r="A22" s="32" t="n">
        <x:v>45663</x:v>
      </x:c>
      <x:c r="B22" s="32" t="n">
        <x:v>45658</x:v>
      </x:c>
      <x:c r="C22" t="str">
        <x:v>Jan 2025</x:v>
      </x:c>
      <x:c r="D22" t="str">
        <x:v>Actual</x:v>
      </x:c>
      <x:c r="E22" t="str">
        <x:v>DB-105</x:v>
      </x:c>
      <x:c r="F22" t="str">
        <x:v>DreamFuel Refill Pack</x:v>
      </x:c>
      <x:c r="G22" t="str">
        <x:v>Subscription</x:v>
      </x:c>
      <x:c r="H22" t="str">
        <x:v>None</x:v>
      </x:c>
      <x:c r="I22" t="str">
        <x:v>Active</x:v>
      </x:c>
      <x:c r="J22" t="str">
        <x:v>Amazon Marketplace</x:v>
      </x:c>
      <x:c r="K22" t="str">
        <x:v>Marketplace Consumer</x:v>
      </x:c>
      <x:c r="L22" t="str">
        <x:v>All Geographies</x:v>
      </x:c>
      <x:c r="M22" s="34" t="n">
        <x:v>1705</x:v>
      </x:c>
      <x:c r="N22" s="28" t="n">
        <x:v>0.0458784</x:v>
      </x:c>
      <x:c r="O22" s="34" t="n">
        <x:v>78</x:v>
      </x:c>
      <x:c r="P22" s="34" t="n">
        <x:v>1</x:v>
      </x:c>
      <x:c r="Q22" s="34" t="n">
        <x:v>78</x:v>
      </x:c>
      <x:c r="R22" s="33" t="n">
        <x:v>56</x:v>
      </x:c>
      <x:c r="S22" s="38" t="n">
        <x:v>4.368</x:v>
      </x:c>
      <x:c r="T22" s="38" t="n">
        <x:v>0.21840000000000004</x:v>
      </x:c>
      <x:c r="U22" s="38" t="n">
        <x:v>0.08299200000000001</x:v>
      </x:c>
      <x:c r="V22" s="38" t="n">
        <x:v>4.0666080000000004</x:v>
      </x:c>
      <x:c r="W22" s="38" t="n">
        <x:v>1.45236</x:v>
      </x:c>
      <x:c r="X22" s="38" t="n">
        <x:v>0</x:v>
      </x:c>
      <x:c r="Y22" s="38" t="n">
        <x:v>0.6099912000000001</x:v>
      </x:c>
      <x:c r="Z22" s="38" t="n">
        <x:v>0.4056</x:v>
      </x:c>
      <x:c r="AA22" s="38" t="n">
        <x:v>0.1677</x:v>
      </x:c>
      <x:c r="AB22" s="38" t="n">
        <x:v>0.0002808</x:v>
      </x:c>
      <x:c r="AC22" s="38" t="n">
        <x:v>1.4306760000000003</x:v>
      </x:c>
      <x:c r="AD22" s="28" t="n">
        <x:v>0.35181064907165877</x:v>
      </x:c>
    </x:row>
    <x:row r="23">
      <x:c r="A23" s="32" t="n">
        <x:v>45663</x:v>
      </x:c>
      <x:c r="B23" s="32" t="n">
        <x:v>45658</x:v>
      </x:c>
      <x:c r="C23" t="str">
        <x:v>Jan 2025</x:v>
      </x:c>
      <x:c r="D23" t="str">
        <x:v>Actual</x:v>
      </x:c>
      <x:c r="E23" t="str">
        <x:v>DB-105</x:v>
      </x:c>
      <x:c r="F23" t="str">
        <x:v>DreamFuel Refill Pack</x:v>
      </x:c>
      <x:c r="G23" t="str">
        <x:v>Subscription</x:v>
      </x:c>
      <x:c r="H23" t="str">
        <x:v>None</x:v>
      </x:c>
      <x:c r="I23" t="str">
        <x:v>Active</x:v>
      </x:c>
      <x:c r="J23" t="str">
        <x:v>Wholesale</x:v>
      </x:c>
      <x:c r="K23" t="str">
        <x:v>Retailer</x:v>
      </x:c>
      <x:c r="L23" t="str">
        <x:v>All Geographies</x:v>
      </x:c>
      <x:c r="M23" s="34" t="n">
        <x:v>1023</x:v>
      </x:c>
      <x:c r="N23" s="28" t="n">
        <x:v>0.021384000000000004</x:v>
      </x:c>
      <x:c r="O23" s="34" t="n">
        <x:v>22</x:v>
      </x:c>
      <x:c r="P23" s="34" t="n">
        <x:v>1</x:v>
      </x:c>
      <x:c r="Q23" s="34" t="n">
        <x:v>22</x:v>
      </x:c>
      <x:c r="R23" s="33" t="n">
        <x:v>56</x:v>
      </x:c>
      <x:c r="S23" s="38" t="n">
        <x:v>1.232</x:v>
      </x:c>
      <x:c r="T23" s="38" t="n">
        <x:v>0.43119999999999997</x:v>
      </x:c>
      <x:c r="U23" s="38" t="n">
        <x:v>0.016016</x:v>
      </x:c>
      <x:c r="V23" s="38" t="n">
        <x:v>0.7847839999999999</x:v>
      </x:c>
      <x:c r="W23" s="38" t="n">
        <x:v>0.40964000000000006</x:v>
      </x:c>
      <x:c r="X23" s="38" t="n">
        <x:v>0</x:v>
      </x:c>
      <x:c r="Y23" s="38" t="n">
        <x:v>0</x:v>
      </x:c>
      <x:c r="Z23" s="38" t="n">
        <x:v>0.05059999999999999</x:v>
      </x:c>
      <x:c r="AA23" s="38" t="n">
        <x:v>0.018699999999999998</x:v>
      </x:c>
      <x:c r="AB23" s="38" t="n">
        <x:v>0.0000792</x:v>
      </x:c>
      <x:c r="AC23" s="38" t="n">
        <x:v>0.3057647999999999</x:v>
      </x:c>
      <x:c r="AD23" s="28" t="n">
        <x:v>0.38961650594303643</x:v>
      </x:c>
    </x:row>
    <x:row r="24">
      <x:c r="A24" s="32" t="n">
        <x:v>45663</x:v>
      </x:c>
      <x:c r="B24" s="32" t="n">
        <x:v>45658</x:v>
      </x:c>
      <x:c r="C24" t="str">
        <x:v>Jan 2025</x:v>
      </x:c>
      <x:c r="D24" t="str">
        <x:v>Actual</x:v>
      </x:c>
      <x:c r="E24" t="str">
        <x:v>DB-105</x:v>
      </x:c>
      <x:c r="F24" t="str">
        <x:v>DreamFuel Refill Pack</x:v>
      </x:c>
      <x:c r="G24" t="str">
        <x:v>Subscription</x:v>
      </x:c>
      <x:c r="H24" t="str">
        <x:v>None</x:v>
      </x:c>
      <x:c r="I24" t="str">
        <x:v>Active</x:v>
      </x:c>
      <x:c r="J24" t="str">
        <x:v>TikTok Shop</x:v>
      </x:c>
      <x:c r="K24" t="str">
        <x:v>Social Commerce</x:v>
      </x:c>
      <x:c r="L24" t="str">
        <x:v>All Geographies</x:v>
      </x:c>
      <x:c r="M24" s="34" t="n">
        <x:v>682</x:v>
      </x:c>
      <x:c r="N24" s="28" t="n">
        <x:v>0.0489888</x:v>
      </x:c>
      <x:c r="O24" s="34" t="n">
        <x:v>33</x:v>
      </x:c>
      <x:c r="P24" s="34" t="n">
        <x:v>1</x:v>
      </x:c>
      <x:c r="Q24" s="34" t="n">
        <x:v>33</x:v>
      </x:c>
      <x:c r="R24" s="33" t="n">
        <x:v>56</x:v>
      </x:c>
      <x:c r="S24" s="38" t="n">
        <x:v>1.848</x:v>
      </x:c>
      <x:c r="T24" s="38" t="n">
        <x:v>0.22176</x:v>
      </x:c>
      <x:c r="U24" s="38" t="n">
        <x:v>0.032524800000000006</x:v>
      </x:c>
      <x:c r="V24" s="38" t="n">
        <x:v>1.5937152</x:v>
      </x:c>
      <x:c r="W24" s="38" t="n">
        <x:v>0.61446</x:v>
      </x:c>
      <x:c r="X24" s="38" t="n">
        <x:v>0.046217740800000004</x:v>
      </x:c>
      <x:c r="Y24" s="38" t="n">
        <x:v>0.095622912</x:v>
      </x:c>
      <x:c r="Z24" s="38" t="n">
        <x:v>0.16829999999999998</x:v>
      </x:c>
      <x:c r="AA24" s="38" t="n">
        <x:v>0.05775</x:v>
      </x:c>
      <x:c r="AB24" s="38" t="n">
        <x:v>0.0001188</x:v>
      </x:c>
      <x:c r="AC24" s="38" t="n">
        <x:v>0.6112457472000001</x:v>
      </x:c>
      <x:c r="AD24" s="28" t="n">
        <x:v>0.38353511794328127</x:v>
      </x:c>
    </x:row>
    <x:row r="25">
      <x:c r="A25" s="32" t="n">
        <x:v>45670</x:v>
      </x:c>
      <x:c r="B25" s="32" t="n">
        <x:v>45658</x:v>
      </x:c>
      <x:c r="C25" t="str">
        <x:v>Jan 2025</x:v>
      </x:c>
      <x:c r="D25" t="str">
        <x:v>Actual</x:v>
      </x:c>
      <x:c r="E25" t="str">
        <x:v>DB-101</x:v>
      </x:c>
      <x:c r="F25" t="str">
        <x:v>AeroSip Bottle</x:v>
      </x:c>
      <x:c r="G25" t="str">
        <x:v>One-time purchase</x:v>
      </x:c>
      <x:c r="H25" t="str">
        <x:v>None</x:v>
      </x:c>
      <x:c r="I25" t="str">
        <x:v>Active</x:v>
      </x:c>
      <x:c r="J25" t="str">
        <x:v>Shopify DTC</x:v>
      </x:c>
      <x:c r="K25" t="str">
        <x:v>Consumer</x:v>
      </x:c>
      <x:c r="L25" t="str">
        <x:v>All Geographies</x:v>
      </x:c>
      <x:c r="M25" s="34" t="n">
        <x:v>4945</x:v>
      </x:c>
      <x:c r="N25" s="28" t="n">
        <x:v>0.034199999999999994</x:v>
      </x:c>
      <x:c r="O25" s="34" t="n">
        <x:v>169</x:v>
      </x:c>
      <x:c r="P25" s="34" t="n">
        <x:v>1</x:v>
      </x:c>
      <x:c r="Q25" s="34" t="n">
        <x:v>169</x:v>
      </x:c>
      <x:c r="R25" s="33" t="n">
        <x:v>29</x:v>
      </x:c>
      <x:c r="S25" s="38" t="n">
        <x:v>4.901</x:v>
      </x:c>
      <x:c r="T25" s="38" t="n">
        <x:v>0.39208</x:v>
      </x:c>
      <x:c r="U25" s="38" t="n">
        <x:v>0.20290139999999998</x:v>
      </x:c>
      <x:c r="V25" s="38" t="n">
        <x:v>4.3060186</x:v>
      </x:c>
      <x:c r="W25" s="38" t="n">
        <x:v>1.8252000000000002</x:v>
      </x:c>
      <x:c r="X25" s="38" t="n">
        <x:v>0.1248745394</x:v>
      </x:c>
      <x:c r="Y25" s="38" t="n">
        <x:v>0</x:v>
      </x:c>
      <x:c r="Z25" s="38" t="n">
        <x:v>0.70135</x:v>
      </x:c>
      <x:c r="AA25" s="38" t="n">
        <x:v>0.27885</x:v>
      </x:c>
      <x:c r="AB25" s="38" t="n">
        <x:v>0.006084</x:v>
      </x:c>
      <x:c r="AC25" s="38" t="n">
        <x:v>1.3696600605999996</x:v>
      </x:c>
      <x:c r="AD25" s="28" t="n">
        <x:v>0.31808038650831644</x:v>
      </x:c>
    </x:row>
    <x:row r="26">
      <x:c r="A26" s="32" t="n">
        <x:v>45670</x:v>
      </x:c>
      <x:c r="B26" s="32" t="n">
        <x:v>45658</x:v>
      </x:c>
      <x:c r="C26" t="str">
        <x:v>Jan 2025</x:v>
      </x:c>
      <x:c r="D26" t="str">
        <x:v>Actual</x:v>
      </x:c>
      <x:c r="E26" t="str">
        <x:v>DB-101</x:v>
      </x:c>
      <x:c r="F26" t="str">
        <x:v>AeroSip Bottle</x:v>
      </x:c>
      <x:c r="G26" t="str">
        <x:v>One-time purchase</x:v>
      </x:c>
      <x:c r="H26" t="str">
        <x:v>None</x:v>
      </x:c>
      <x:c r="I26" t="str">
        <x:v>Active</x:v>
      </x:c>
      <x:c r="J26" t="str">
        <x:v>Amazon Marketplace</x:v>
      </x:c>
      <x:c r="K26" t="str">
        <x:v>Marketplace Consumer</x:v>
      </x:c>
      <x:c r="L26" t="str">
        <x:v>All Geographies</x:v>
      </x:c>
      <x:c r="M26" s="34" t="n">
        <x:v>2473</x:v>
      </x:c>
      <x:c r="N26" s="28" t="n">
        <x:v>0.040355999999999996</x:v>
      </x:c>
      <x:c r="O26" s="34" t="n">
        <x:v>100</x:v>
      </x:c>
      <x:c r="P26" s="34" t="n">
        <x:v>1</x:v>
      </x:c>
      <x:c r="Q26" s="34" t="n">
        <x:v>100</x:v>
      </x:c>
      <x:c r="R26" s="33" t="n">
        <x:v>29</x:v>
      </x:c>
      <x:c r="S26" s="38" t="n">
        <x:v>2.9</x:v>
      </x:c>
      <x:c r="T26" s="38" t="n">
        <x:v>0.145</x:v>
      </x:c>
      <x:c r="U26" s="38" t="n">
        <x:v>0.12397499999999999</x:v>
      </x:c>
      <x:c r="V26" s="38" t="n">
        <x:v>2.6310249999999997</x:v>
      </x:c>
      <x:c r="W26" s="38" t="n">
        <x:v>1.08</x:v>
      </x:c>
      <x:c r="X26" s="38" t="n">
        <x:v>0</x:v>
      </x:c>
      <x:c r="Y26" s="38" t="n">
        <x:v>0.39465374999999997</x:v>
      </x:c>
      <x:c r="Z26" s="38" t="n">
        <x:v>0.52</x:v>
      </x:c>
      <x:c r="AA26" s="38" t="n">
        <x:v>0.215</x:v>
      </x:c>
      <x:c r="AB26" s="38" t="n">
        <x:v>0.0035999999999999995</x:v>
      </x:c>
      <x:c r="AC26" s="38" t="n">
        <x:v>0.41777124999999965</x:v>
      </x:c>
      <x:c r="AD26" s="28" t="n">
        <x:v>0.15878649955815688</x:v>
      </x:c>
    </x:row>
    <x:row r="27">
      <x:c r="A27" s="32" t="n">
        <x:v>45670</x:v>
      </x:c>
      <x:c r="B27" s="32" t="n">
        <x:v>45658</x:v>
      </x:c>
      <x:c r="C27" t="str">
        <x:v>Jan 2025</x:v>
      </x:c>
      <x:c r="D27" t="str">
        <x:v>Actual</x:v>
      </x:c>
      <x:c r="E27" t="str">
        <x:v>DB-101</x:v>
      </x:c>
      <x:c r="F27" t="str">
        <x:v>AeroSip Bottle</x:v>
      </x:c>
      <x:c r="G27" t="str">
        <x:v>One-time purchase</x:v>
      </x:c>
      <x:c r="H27" t="str">
        <x:v>None</x:v>
      </x:c>
      <x:c r="I27" t="str">
        <x:v>Active</x:v>
      </x:c>
      <x:c r="J27" t="str">
        <x:v>Wholesale</x:v>
      </x:c>
      <x:c r="K27" t="str">
        <x:v>Retailer</x:v>
      </x:c>
      <x:c r="L27" t="str">
        <x:v>All Geographies</x:v>
      </x:c>
      <x:c r="M27" s="34" t="n">
        <x:v>1484</x:v>
      </x:c>
      <x:c r="N27" s="28" t="n">
        <x:v>0.01881</x:v>
      </x:c>
      <x:c r="O27" s="34" t="n">
        <x:v>28</x:v>
      </x:c>
      <x:c r="P27" s="34" t="n">
        <x:v>1</x:v>
      </x:c>
      <x:c r="Q27" s="34" t="n">
        <x:v>28</x:v>
      </x:c>
      <x:c r="R27" s="33" t="n">
        <x:v>29</x:v>
      </x:c>
      <x:c r="S27" s="38" t="n">
        <x:v>0.812</x:v>
      </x:c>
      <x:c r="T27" s="38" t="n">
        <x:v>0.2842</x:v>
      </x:c>
      <x:c r="U27" s="38" t="n">
        <x:v>0.023751</x:v>
      </x:c>
      <x:c r="V27" s="38" t="n">
        <x:v>0.5040490000000001</x:v>
      </x:c>
      <x:c r="W27" s="38" t="n">
        <x:v>0.30240000000000006</x:v>
      </x:c>
      <x:c r="X27" s="38" t="n">
        <x:v>0</x:v>
      </x:c>
      <x:c r="Y27" s="38" t="n">
        <x:v>0</x:v>
      </x:c>
      <x:c r="Z27" s="38" t="n">
        <x:v>0.06439999999999999</x:v>
      </x:c>
      <x:c r="AA27" s="38" t="n">
        <x:v>0.0238</x:v>
      </x:c>
      <x:c r="AB27" s="38" t="n">
        <x:v>0.001008</x:v>
      </x:c>
      <x:c r="AC27" s="38" t="n">
        <x:v>0.11244100000000004</x:v>
      </x:c>
      <x:c r="AD27" s="28" t="n">
        <x:v>0.22307553432305197</x:v>
      </x:c>
    </x:row>
    <x:row r="28">
      <x:c r="A28" s="32" t="n">
        <x:v>45670</x:v>
      </x:c>
      <x:c r="B28" s="32" t="n">
        <x:v>45658</x:v>
      </x:c>
      <x:c r="C28" t="str">
        <x:v>Jan 2025</x:v>
      </x:c>
      <x:c r="D28" t="str">
        <x:v>Actual</x:v>
      </x:c>
      <x:c r="E28" t="str">
        <x:v>DB-101</x:v>
      </x:c>
      <x:c r="F28" t="str">
        <x:v>AeroSip Bottle</x:v>
      </x:c>
      <x:c r="G28" t="str">
        <x:v>One-time purchase</x:v>
      </x:c>
      <x:c r="H28" t="str">
        <x:v>None</x:v>
      </x:c>
      <x:c r="I28" t="str">
        <x:v>Active</x:v>
      </x:c>
      <x:c r="J28" t="str">
        <x:v>TikTok Shop</x:v>
      </x:c>
      <x:c r="K28" t="str">
        <x:v>Social Commerce</x:v>
      </x:c>
      <x:c r="L28" t="str">
        <x:v>All Geographies</x:v>
      </x:c>
      <x:c r="M28" s="34" t="n">
        <x:v>989</x:v>
      </x:c>
      <x:c r="N28" s="28" t="n">
        <x:v>0.043092</x:v>
      </x:c>
      <x:c r="O28" s="34" t="n">
        <x:v>43</x:v>
      </x:c>
      <x:c r="P28" s="34" t="n">
        <x:v>1</x:v>
      </x:c>
      <x:c r="Q28" s="34" t="n">
        <x:v>43</x:v>
      </x:c>
      <x:c r="R28" s="33" t="n">
        <x:v>29</x:v>
      </x:c>
      <x:c r="S28" s="38" t="n">
        <x:v>1.247</x:v>
      </x:c>
      <x:c r="T28" s="38" t="n">
        <x:v>0.14964</x:v>
      </x:c>
      <x:c r="U28" s="38" t="n">
        <x:v>0.0493812</x:v>
      </x:c>
      <x:c r="V28" s="38" t="n">
        <x:v>1.0479788</x:v>
      </x:c>
      <x:c r="W28" s="38" t="n">
        <x:v>0.46440000000000003</x:v>
      </x:c>
      <x:c r="X28" s="38" t="n">
        <x:v>0.030391385200000006</x:v>
      </x:c>
      <x:c r="Y28" s="38" t="n">
        <x:v>0.06287872800000001</x:v>
      </x:c>
      <x:c r="Z28" s="38" t="n">
        <x:v>0.2193</x:v>
      </x:c>
      <x:c r="AA28" s="38" t="n">
        <x:v>0.07525</x:v>
      </x:c>
      <x:c r="AB28" s="38" t="n">
        <x:v>0.0015480000000000001</x:v>
      </x:c>
      <x:c r="AC28" s="38" t="n">
        <x:v>0.19421068680000014</x:v>
      </x:c>
      <x:c r="AD28" s="28" t="n">
        <x:v>0.18531928966502006</x:v>
      </x:c>
    </x:row>
    <x:row r="29">
      <x:c r="A29" s="32" t="n">
        <x:v>45670</x:v>
      </x:c>
      <x:c r="B29" s="32" t="n">
        <x:v>45658</x:v>
      </x:c>
      <x:c r="C29" t="str">
        <x:v>Jan 2025</x:v>
      </x:c>
      <x:c r="D29" t="str">
        <x:v>Actual</x:v>
      </x:c>
      <x:c r="E29" t="str">
        <x:v>DB-102</x:v>
      </x:c>
      <x:c r="F29" t="str">
        <x:v>GlowPatch Balm</x:v>
      </x:c>
      <x:c r="G29" t="str">
        <x:v>Consumable repeat</x:v>
      </x:c>
      <x:c r="H29" t="str">
        <x:v>None</x:v>
      </x:c>
      <x:c r="I29" t="str">
        <x:v>Active</x:v>
      </x:c>
      <x:c r="J29" t="str">
        <x:v>Shopify DTC</x:v>
      </x:c>
      <x:c r="K29" t="str">
        <x:v>Consumer</x:v>
      </x:c>
      <x:c r="L29" t="str">
        <x:v>All Geographies</x:v>
      </x:c>
      <x:c r="M29" s="34" t="n">
        <x:v>3994</x:v>
      </x:c>
      <x:c r="N29" s="28" t="n">
        <x:v>0.04248</x:v>
      </x:c>
      <x:c r="O29" s="34" t="n">
        <x:v>170</x:v>
      </x:c>
      <x:c r="P29" s="34" t="n">
        <x:v>1</x:v>
      </x:c>
      <x:c r="Q29" s="34" t="n">
        <x:v>170</x:v>
      </x:c>
      <x:c r="R29" s="33" t="n">
        <x:v>18</x:v>
      </x:c>
      <x:c r="S29" s="38" t="n">
        <x:v>3.06</x:v>
      </x:c>
      <x:c r="T29" s="38" t="n">
        <x:v>0.24480000000000002</x:v>
      </x:c>
      <x:c r="U29" s="38" t="n">
        <x:v>0.07038</x:v>
      </x:c>
      <x:c r="V29" s="38" t="n">
        <x:v>2.74482</x:v>
      </x:c>
      <x:c r="W29" s="38" t="n">
        <x:v>0.9197000000000001</x:v>
      </x:c>
      <x:c r="X29" s="38" t="n">
        <x:v>0.07959978</x:v>
      </x:c>
      <x:c r="Y29" s="38" t="n">
        <x:v>0</x:v>
      </x:c>
      <x:c r="Z29" s="38" t="n">
        <x:v>0.7055000000000001</x:v>
      </x:c>
      <x:c r="AA29" s="38" t="n">
        <x:v>0.2805</x:v>
      </x:c>
      <x:c r="AB29" s="38" t="n">
        <x:v>0.00102</x:v>
      </x:c>
      <x:c r="AC29" s="38" t="n">
        <x:v>0.7585002199999997</x:v>
      </x:c>
      <x:c r="AD29" s="28" t="n">
        <x:v>0.2763387835996531</x:v>
      </x:c>
    </x:row>
    <x:row r="30">
      <x:c r="A30" s="32" t="n">
        <x:v>45670</x:v>
      </x:c>
      <x:c r="B30" s="32" t="n">
        <x:v>45658</x:v>
      </x:c>
      <x:c r="C30" t="str">
        <x:v>Jan 2025</x:v>
      </x:c>
      <x:c r="D30" t="str">
        <x:v>Actual</x:v>
      </x:c>
      <x:c r="E30" t="str">
        <x:v>DB-102</x:v>
      </x:c>
      <x:c r="F30" t="str">
        <x:v>GlowPatch Balm</x:v>
      </x:c>
      <x:c r="G30" t="str">
        <x:v>Consumable repeat</x:v>
      </x:c>
      <x:c r="H30" t="str">
        <x:v>None</x:v>
      </x:c>
      <x:c r="I30" t="str">
        <x:v>Active</x:v>
      </x:c>
      <x:c r="J30" t="str">
        <x:v>Amazon Marketplace</x:v>
      </x:c>
      <x:c r="K30" t="str">
        <x:v>Marketplace Consumer</x:v>
      </x:c>
      <x:c r="L30" t="str">
        <x:v>All Geographies</x:v>
      </x:c>
      <x:c r="M30" s="34" t="n">
        <x:v>1997</x:v>
      </x:c>
      <x:c r="N30" s="28" t="n">
        <x:v>0.050126399999999995</x:v>
      </x:c>
      <x:c r="O30" s="34" t="n">
        <x:v>100</x:v>
      </x:c>
      <x:c r="P30" s="34" t="n">
        <x:v>1</x:v>
      </x:c>
      <x:c r="Q30" s="34" t="n">
        <x:v>100</x:v>
      </x:c>
      <x:c r="R30" s="33" t="n">
        <x:v>18</x:v>
      </x:c>
      <x:c r="S30" s="38" t="n">
        <x:v>1.8</x:v>
      </x:c>
      <x:c r="T30" s="38" t="n">
        <x:v>0.09000000000000001</x:v>
      </x:c>
      <x:c r="U30" s="38" t="n">
        <x:v>0.04275</x:v>
      </x:c>
      <x:c r="V30" s="38" t="n">
        <x:v>1.66725</x:v>
      </x:c>
      <x:c r="W30" s="38" t="n">
        <x:v>0.541</x:v>
      </x:c>
      <x:c r="X30" s="38" t="n">
        <x:v>0</x:v>
      </x:c>
      <x:c r="Y30" s="38" t="n">
        <x:v>0.25008749999999996</x:v>
      </x:c>
      <x:c r="Z30" s="38" t="n">
        <x:v>0.52</x:v>
      </x:c>
      <x:c r="AA30" s="38" t="n">
        <x:v>0.215</x:v>
      </x:c>
      <x:c r="AB30" s="38" t="n">
        <x:v>0.0006000000000000001</x:v>
      </x:c>
      <x:c r="AC30" s="38" t="n">
        <x:v>0.14056249999999973</x:v>
      </x:c>
      <x:c r="AD30" s="28" t="n">
        <x:v>0.08430799220272889</x:v>
      </x:c>
    </x:row>
    <x:row r="31">
      <x:c r="A31" s="32" t="n">
        <x:v>45670</x:v>
      </x:c>
      <x:c r="B31" s="32" t="n">
        <x:v>45658</x:v>
      </x:c>
      <x:c r="C31" t="str">
        <x:v>Jan 2025</x:v>
      </x:c>
      <x:c r="D31" t="str">
        <x:v>Actual</x:v>
      </x:c>
      <x:c r="E31" t="str">
        <x:v>DB-102</x:v>
      </x:c>
      <x:c r="F31" t="str">
        <x:v>GlowPatch Balm</x:v>
      </x:c>
      <x:c r="G31" t="str">
        <x:v>Consumable repeat</x:v>
      </x:c>
      <x:c r="H31" t="str">
        <x:v>None</x:v>
      </x:c>
      <x:c r="I31" t="str">
        <x:v>Active</x:v>
      </x:c>
      <x:c r="J31" t="str">
        <x:v>Wholesale</x:v>
      </x:c>
      <x:c r="K31" t="str">
        <x:v>Retailer</x:v>
      </x:c>
      <x:c r="L31" t="str">
        <x:v>All Geographies</x:v>
      </x:c>
      <x:c r="M31" s="34" t="n">
        <x:v>1198</x:v>
      </x:c>
      <x:c r="N31" s="28" t="n">
        <x:v>0.023364</x:v>
      </x:c>
      <x:c r="O31" s="34" t="n">
        <x:v>28</x:v>
      </x:c>
      <x:c r="P31" s="34" t="n">
        <x:v>1</x:v>
      </x:c>
      <x:c r="Q31" s="34" t="n">
        <x:v>28</x:v>
      </x:c>
      <x:c r="R31" s="33" t="n">
        <x:v>18</x:v>
      </x:c>
      <x:c r="S31" s="38" t="n">
        <x:v>0.504</x:v>
      </x:c>
      <x:c r="T31" s="38" t="n">
        <x:v>0.1764</x:v>
      </x:c>
      <x:c r="U31" s="38" t="n">
        <x:v>0.008190000000000001</x:v>
      </x:c>
      <x:c r="V31" s="38" t="n">
        <x:v>0.31941</x:v>
      </x:c>
      <x:c r="W31" s="38" t="n">
        <x:v>0.15148000000000003</x:v>
      </x:c>
      <x:c r="X31" s="38" t="n">
        <x:v>0</x:v>
      </x:c>
      <x:c r="Y31" s="38" t="n">
        <x:v>0</x:v>
      </x:c>
      <x:c r="Z31" s="38" t="n">
        <x:v>0.06439999999999999</x:v>
      </x:c>
      <x:c r="AA31" s="38" t="n">
        <x:v>0.0238</x:v>
      </x:c>
      <x:c r="AB31" s="38" t="n">
        <x:v>0.00016800000000000002</x:v>
      </x:c>
      <x:c r="AC31" s="38" t="n">
        <x:v>0.07956200000000001</x:v>
      </x:c>
      <x:c r="AD31" s="28" t="n">
        <x:v>0.24909051062897217</x:v>
      </x:c>
    </x:row>
    <x:row r="32">
      <x:c r="A32" s="32" t="n">
        <x:v>45670</x:v>
      </x:c>
      <x:c r="B32" s="32" t="n">
        <x:v>45658</x:v>
      </x:c>
      <x:c r="C32" t="str">
        <x:v>Jan 2025</x:v>
      </x:c>
      <x:c r="D32" t="str">
        <x:v>Actual</x:v>
      </x:c>
      <x:c r="E32" t="str">
        <x:v>DB-102</x:v>
      </x:c>
      <x:c r="F32" t="str">
        <x:v>GlowPatch Balm</x:v>
      </x:c>
      <x:c r="G32" t="str">
        <x:v>Consumable repeat</x:v>
      </x:c>
      <x:c r="H32" t="str">
        <x:v>None</x:v>
      </x:c>
      <x:c r="I32" t="str">
        <x:v>Active</x:v>
      </x:c>
      <x:c r="J32" t="str">
        <x:v>TikTok Shop</x:v>
      </x:c>
      <x:c r="K32" t="str">
        <x:v>Social Commerce</x:v>
      </x:c>
      <x:c r="L32" t="str">
        <x:v>All Geographies</x:v>
      </x:c>
      <x:c r="M32" s="34" t="n">
        <x:v>799</x:v>
      </x:c>
      <x:c r="N32" s="28" t="n">
        <x:v>0.0535248</x:v>
      </x:c>
      <x:c r="O32" s="34" t="n">
        <x:v>43</x:v>
      </x:c>
      <x:c r="P32" s="34" t="n">
        <x:v>1</x:v>
      </x:c>
      <x:c r="Q32" s="34" t="n">
        <x:v>43</x:v>
      </x:c>
      <x:c r="R32" s="33" t="n">
        <x:v>18</x:v>
      </x:c>
      <x:c r="S32" s="38" t="n">
        <x:v>0.774</x:v>
      </x:c>
      <x:c r="T32" s="38" t="n">
        <x:v>0.09288</x:v>
      </x:c>
      <x:c r="U32" s="38" t="n">
        <x:v>0.017028</x:v>
      </x:c>
      <x:c r="V32" s="38" t="n">
        <x:v>0.664092</x:v>
      </x:c>
      <x:c r="W32" s="38" t="n">
        <x:v>0.23263</x:v>
      </x:c>
      <x:c r="X32" s="38" t="n">
        <x:v>0.019258668000000003</x:v>
      </x:c>
      <x:c r="Y32" s="38" t="n">
        <x:v>0.03984552</x:v>
      </x:c>
      <x:c r="Z32" s="38" t="n">
        <x:v>0.2193</x:v>
      </x:c>
      <x:c r="AA32" s="38" t="n">
        <x:v>0.07525</x:v>
      </x:c>
      <x:c r="AB32" s="38" t="n">
        <x:v>0.000258</x:v>
      </x:c>
      <x:c r="AC32" s="38" t="n">
        <x:v>0.07754981200000002</x:v>
      </x:c>
      <x:c r="AD32" s="28" t="n">
        <x:v>0.11677570577570581</x:v>
      </x:c>
    </x:row>
    <x:row r="33">
      <x:c r="A33" s="32" t="n">
        <x:v>45670</x:v>
      </x:c>
      <x:c r="B33" s="32" t="n">
        <x:v>45658</x:v>
      </x:c>
      <x:c r="C33" t="str">
        <x:v>Jan 2025</x:v>
      </x:c>
      <x:c r="D33" t="str">
        <x:v>Actual</x:v>
      </x:c>
      <x:c r="E33" t="str">
        <x:v>DB-103</x:v>
      </x:c>
      <x:c r="F33" t="str">
        <x:v>EmberTrail Camp Mug</x:v>
      </x:c>
      <x:c r="G33" t="str">
        <x:v>One-time purchase</x:v>
      </x:c>
      <x:c r="H33" t="str">
        <x:v>Winter peak</x:v>
      </x:c>
      <x:c r="I33" t="str">
        <x:v>Active</x:v>
      </x:c>
      <x:c r="J33" t="str">
        <x:v>Shopify DTC</x:v>
      </x:c>
      <x:c r="K33" t="str">
        <x:v>Consumer</x:v>
      </x:c>
      <x:c r="L33" t="str">
        <x:v>All Geographies</x:v>
      </x:c>
      <x:c r="M33" s="34" t="n">
        <x:v>4177</x:v>
      </x:c>
      <x:c r="N33" s="28" t="n">
        <x:v>0.0324</x:v>
      </x:c>
      <x:c r="O33" s="34" t="n">
        <x:v>135</x:v>
      </x:c>
      <x:c r="P33" s="34" t="n">
        <x:v>1</x:v>
      </x:c>
      <x:c r="Q33" s="34" t="n">
        <x:v>135</x:v>
      </x:c>
      <x:c r="R33" s="33" t="n">
        <x:v>34</x:v>
      </x:c>
      <x:c r="S33" s="38" t="n">
        <x:v>4.59</x:v>
      </x:c>
      <x:c r="T33" s="38" t="n">
        <x:v>0.36719999999999997</x:v>
      </x:c>
      <x:c r="U33" s="38" t="n">
        <x:v>0.23225399999999996</x:v>
      </x:c>
      <x:c r="V33" s="38" t="n">
        <x:v>3.9905459999999993</x:v>
      </x:c>
      <x:c r="W33" s="38" t="n">
        <x:v>1.84545</x:v>
      </x:c>
      <x:c r="X33" s="38" t="n">
        <x:v>0.11572583399999999</x:v>
      </x:c>
      <x:c r="Y33" s="38" t="n">
        <x:v>0</x:v>
      </x:c>
      <x:c r="Z33" s="38" t="n">
        <x:v>0.56025</x:v>
      </x:c>
      <x:c r="AA33" s="38" t="n">
        <x:v>0.22275</x:v>
      </x:c>
      <x:c r="AB33" s="38" t="n">
        <x:v>0.007560000000000001</x:v>
      </x:c>
      <x:c r="AC33" s="38" t="n">
        <x:v>1.2388101659999993</x:v>
      </x:c>
      <x:c r="AD33" s="28" t="n">
        <x:v>0.31043625759482524</x:v>
      </x:c>
    </x:row>
    <x:row r="34">
      <x:c r="A34" s="32" t="n">
        <x:v>45670</x:v>
      </x:c>
      <x:c r="B34" s="32" t="n">
        <x:v>45658</x:v>
      </x:c>
      <x:c r="C34" t="str">
        <x:v>Jan 2025</x:v>
      </x:c>
      <x:c r="D34" t="str">
        <x:v>Actual</x:v>
      </x:c>
      <x:c r="E34" t="str">
        <x:v>DB-103</x:v>
      </x:c>
      <x:c r="F34" t="str">
        <x:v>EmberTrail Camp Mug</x:v>
      </x:c>
      <x:c r="G34" t="str">
        <x:v>One-time purchase</x:v>
      </x:c>
      <x:c r="H34" t="str">
        <x:v>Winter peak</x:v>
      </x:c>
      <x:c r="I34" t="str">
        <x:v>Active</x:v>
      </x:c>
      <x:c r="J34" t="str">
        <x:v>Amazon Marketplace</x:v>
      </x:c>
      <x:c r="K34" t="str">
        <x:v>Marketplace Consumer</x:v>
      </x:c>
      <x:c r="L34" t="str">
        <x:v>All Geographies</x:v>
      </x:c>
      <x:c r="M34" s="34" t="n">
        <x:v>2088</x:v>
      </x:c>
      <x:c r="N34" s="28" t="n">
        <x:v>0.038231999999999995</x:v>
      </x:c>
      <x:c r="O34" s="34" t="n">
        <x:v>80</x:v>
      </x:c>
      <x:c r="P34" s="34" t="n">
        <x:v>1</x:v>
      </x:c>
      <x:c r="Q34" s="34" t="n">
        <x:v>80</x:v>
      </x:c>
      <x:c r="R34" s="33" t="n">
        <x:v>34</x:v>
      </x:c>
      <x:c r="S34" s="38" t="n">
        <x:v>2.72</x:v>
      </x:c>
      <x:c r="T34" s="38" t="n">
        <x:v>0.136</x:v>
      </x:c>
      <x:c r="U34" s="38" t="n">
        <x:v>0.14212</x:v>
      </x:c>
      <x:c r="V34" s="38" t="n">
        <x:v>2.4418800000000003</x:v>
      </x:c>
      <x:c r="W34" s="38" t="n">
        <x:v>1.0936</x:v>
      </x:c>
      <x:c r="X34" s="38" t="n">
        <x:v>0</x:v>
      </x:c>
      <x:c r="Y34" s="38" t="n">
        <x:v>0.36628200000000005</x:v>
      </x:c>
      <x:c r="Z34" s="38" t="n">
        <x:v>0.416</x:v>
      </x:c>
      <x:c r="AA34" s="38" t="n">
        <x:v>0.172</x:v>
      </x:c>
      <x:c r="AB34" s="38" t="n">
        <x:v>0.0044800000000000005</x:v>
      </x:c>
      <x:c r="AC34" s="38" t="n">
        <x:v>0.3895180000000005</x:v>
      </x:c>
      <x:c r="AD34" s="28" t="n">
        <x:v>0.15951561911314252</x:v>
      </x:c>
    </x:row>
    <x:row r="35">
      <x:c r="A35" s="32" t="n">
        <x:v>45670</x:v>
      </x:c>
      <x:c r="B35" s="32" t="n">
        <x:v>45658</x:v>
      </x:c>
      <x:c r="C35" t="str">
        <x:v>Jan 2025</x:v>
      </x:c>
      <x:c r="D35" t="str">
        <x:v>Actual</x:v>
      </x:c>
      <x:c r="E35" t="str">
        <x:v>DB-103</x:v>
      </x:c>
      <x:c r="F35" t="str">
        <x:v>EmberTrail Camp Mug</x:v>
      </x:c>
      <x:c r="G35" t="str">
        <x:v>One-time purchase</x:v>
      </x:c>
      <x:c r="H35" t="str">
        <x:v>Winter peak</x:v>
      </x:c>
      <x:c r="I35" t="str">
        <x:v>Active</x:v>
      </x:c>
      <x:c r="J35" t="str">
        <x:v>Wholesale</x:v>
      </x:c>
      <x:c r="K35" t="str">
        <x:v>Retailer</x:v>
      </x:c>
      <x:c r="L35" t="str">
        <x:v>All Geographies</x:v>
      </x:c>
      <x:c r="M35" s="34" t="n">
        <x:v>1253</x:v>
      </x:c>
      <x:c r="N35" s="28" t="n">
        <x:v>0.017820000000000003</x:v>
      </x:c>
      <x:c r="O35" s="34" t="n">
        <x:v>22</x:v>
      </x:c>
      <x:c r="P35" s="34" t="n">
        <x:v>1</x:v>
      </x:c>
      <x:c r="Q35" s="34" t="n">
        <x:v>22</x:v>
      </x:c>
      <x:c r="R35" s="33" t="n">
        <x:v>34</x:v>
      </x:c>
      <x:c r="S35" s="38" t="n">
        <x:v>0.748</x:v>
      </x:c>
      <x:c r="T35" s="38" t="n">
        <x:v>0.2618</x:v>
      </x:c>
      <x:c r="U35" s="38" t="n">
        <x:v>0.026741</x:v>
      </x:c>
      <x:c r="V35" s="38" t="n">
        <x:v>0.459459</x:v>
      </x:c>
      <x:c r="W35" s="38" t="n">
        <x:v>0.30074</x:v>
      </x:c>
      <x:c r="X35" s="38" t="n">
        <x:v>0</x:v>
      </x:c>
      <x:c r="Y35" s="38" t="n">
        <x:v>0</x:v>
      </x:c>
      <x:c r="Z35" s="38" t="n">
        <x:v>0.05059999999999999</x:v>
      </x:c>
      <x:c r="AA35" s="38" t="n">
        <x:v>0.018699999999999998</x:v>
      </x:c>
      <x:c r="AB35" s="38" t="n">
        <x:v>0.001232</x:v>
      </x:c>
      <x:c r="AC35" s="38" t="n">
        <x:v>0.08818700000000002</x:v>
      </x:c>
      <x:c r="AD35" s="28" t="n">
        <x:v>0.1919366037013096</x:v>
      </x:c>
    </x:row>
    <x:row r="36">
      <x:c r="A36" s="32" t="n">
        <x:v>45670</x:v>
      </x:c>
      <x:c r="B36" s="32" t="n">
        <x:v>45658</x:v>
      </x:c>
      <x:c r="C36" t="str">
        <x:v>Jan 2025</x:v>
      </x:c>
      <x:c r="D36" t="str">
        <x:v>Actual</x:v>
      </x:c>
      <x:c r="E36" t="str">
        <x:v>DB-103</x:v>
      </x:c>
      <x:c r="F36" t="str">
        <x:v>EmberTrail Camp Mug</x:v>
      </x:c>
      <x:c r="G36" t="str">
        <x:v>One-time purchase</x:v>
      </x:c>
      <x:c r="H36" t="str">
        <x:v>Winter peak</x:v>
      </x:c>
      <x:c r="I36" t="str">
        <x:v>Active</x:v>
      </x:c>
      <x:c r="J36" t="str">
        <x:v>TikTok Shop</x:v>
      </x:c>
      <x:c r="K36" t="str">
        <x:v>Social Commerce</x:v>
      </x:c>
      <x:c r="L36" t="str">
        <x:v>All Geographies</x:v>
      </x:c>
      <x:c r="M36" s="34" t="n">
        <x:v>835</x:v>
      </x:c>
      <x:c r="N36" s="28" t="n">
        <x:v>0.040824</x:v>
      </x:c>
      <x:c r="O36" s="34" t="n">
        <x:v>34</x:v>
      </x:c>
      <x:c r="P36" s="34" t="n">
        <x:v>1</x:v>
      </x:c>
      <x:c r="Q36" s="34" t="n">
        <x:v>34</x:v>
      </x:c>
      <x:c r="R36" s="33" t="n">
        <x:v>34</x:v>
      </x:c>
      <x:c r="S36" s="38" t="n">
        <x:v>1.156</x:v>
      </x:c>
      <x:c r="T36" s="38" t="n">
        <x:v>0.13871999999999998</x:v>
      </x:c>
      <x:c r="U36" s="38" t="n">
        <x:v>0.0559504</x:v>
      </x:c>
      <x:c r="V36" s="38" t="n">
        <x:v>0.9613296</x:v>
      </x:c>
      <x:c r="W36" s="38" t="n">
        <x:v>0.46477999999999997</x:v>
      </x:c>
      <x:c r="X36" s="38" t="n">
        <x:v>0.027878558400000003</x:v>
      </x:c>
      <x:c r="Y36" s="38" t="n">
        <x:v>0.057679775999999995</x:v>
      </x:c>
      <x:c r="Z36" s="38" t="n">
        <x:v>0.17339999999999997</x:v>
      </x:c>
      <x:c r="AA36" s="38" t="n">
        <x:v>0.0595</x:v>
      </x:c>
      <x:c r="AB36" s="38" t="n">
        <x:v>0.001904</x:v>
      </x:c>
      <x:c r="AC36" s="38" t="n">
        <x:v>0.1761872656000001</x:v>
      </x:c>
      <x:c r="AD36" s="28" t="n">
        <x:v>0.18327456639221354</x:v>
      </x:c>
    </x:row>
    <x:row r="37">
      <x:c r="A37" s="32" t="n">
        <x:v>45670</x:v>
      </x:c>
      <x:c r="B37" s="32" t="n">
        <x:v>45658</x:v>
      </x:c>
      <x:c r="C37" t="str">
        <x:v>Jan 2025</x:v>
      </x:c>
      <x:c r="D37" t="str">
        <x:v>Actual</x:v>
      </x:c>
      <x:c r="E37" t="str">
        <x:v>DB-104</x:v>
      </x:c>
      <x:c r="F37" t="str">
        <x:v>SunNest Cooling Towel</x:v>
      </x:c>
      <x:c r="G37" t="str">
        <x:v>Consumable repeat</x:v>
      </x:c>
      <x:c r="H37" t="str">
        <x:v>Summer peak</x:v>
      </x:c>
      <x:c r="I37" t="str">
        <x:v>Active</x:v>
      </x:c>
      <x:c r="J37" t="str">
        <x:v>Shopify DTC</x:v>
      </x:c>
      <x:c r="K37" t="str">
        <x:v>Consumer</x:v>
      </x:c>
      <x:c r="L37" t="str">
        <x:v>All Geographies</x:v>
      </x:c>
      <x:c r="M37" s="34" t="n">
        <x:v>2425</x:v>
      </x:c>
      <x:c r="N37" s="28" t="n">
        <x:v>0.03312</x:v>
      </x:c>
      <x:c r="O37" s="34" t="n">
        <x:v>80</x:v>
      </x:c>
      <x:c r="P37" s="34" t="n">
        <x:v>1</x:v>
      </x:c>
      <x:c r="Q37" s="34" t="n">
        <x:v>80</x:v>
      </x:c>
      <x:c r="R37" s="33" t="n">
        <x:v>42</x:v>
      </x:c>
      <x:c r="S37" s="38" t="n">
        <x:v>3.36</x:v>
      </x:c>
      <x:c r="T37" s="38" t="n">
        <x:v>0.2688</x:v>
      </x:c>
      <x:c r="U37" s="38" t="n">
        <x:v>0.15456</x:v>
      </x:c>
      <x:c r="V37" s="38" t="n">
        <x:v>2.9366399999999997</x:v>
      </x:c>
      <x:c r="W37" s="38" t="n">
        <x:v>1.204</x:v>
      </x:c>
      <x:c r="X37" s="38" t="n">
        <x:v>0.08516256</x:v>
      </x:c>
      <x:c r="Y37" s="38" t="n">
        <x:v>0</x:v>
      </x:c>
      <x:c r="Z37" s="38" t="n">
        <x:v>0.332</x:v>
      </x:c>
      <x:c r="AA37" s="38" t="n">
        <x:v>0.132</x:v>
      </x:c>
      <x:c r="AB37" s="38" t="n">
        <x:v>0.00224</x:v>
      </x:c>
      <x:c r="AC37" s="38" t="n">
        <x:v>1.1812374399999999</x:v>
      </x:c>
      <x:c r="AD37" s="28" t="n">
        <x:v>0.40224114634412117</x:v>
      </x:c>
    </x:row>
    <x:row r="38">
      <x:c r="A38" s="32" t="n">
        <x:v>45670</x:v>
      </x:c>
      <x:c r="B38" s="32" t="n">
        <x:v>45658</x:v>
      </x:c>
      <x:c r="C38" t="str">
        <x:v>Jan 2025</x:v>
      </x:c>
      <x:c r="D38" t="str">
        <x:v>Actual</x:v>
      </x:c>
      <x:c r="E38" t="str">
        <x:v>DB-104</x:v>
      </x:c>
      <x:c r="F38" t="str">
        <x:v>SunNest Cooling Towel</x:v>
      </x:c>
      <x:c r="G38" t="str">
        <x:v>Consumable repeat</x:v>
      </x:c>
      <x:c r="H38" t="str">
        <x:v>Summer peak</x:v>
      </x:c>
      <x:c r="I38" t="str">
        <x:v>Active</x:v>
      </x:c>
      <x:c r="J38" t="str">
        <x:v>Amazon Marketplace</x:v>
      </x:c>
      <x:c r="K38" t="str">
        <x:v>Marketplace Consumer</x:v>
      </x:c>
      <x:c r="L38" t="str">
        <x:v>All Geographies</x:v>
      </x:c>
      <x:c r="M38" s="34" t="n">
        <x:v>1212</x:v>
      </x:c>
      <x:c r="N38" s="28" t="n">
        <x:v>0.0390816</x:v>
      </x:c>
      <x:c r="O38" s="34" t="n">
        <x:v>47</x:v>
      </x:c>
      <x:c r="P38" s="34" t="n">
        <x:v>1</x:v>
      </x:c>
      <x:c r="Q38" s="34" t="n">
        <x:v>47</x:v>
      </x:c>
      <x:c r="R38" s="33" t="n">
        <x:v>42</x:v>
      </x:c>
      <x:c r="S38" s="38" t="n">
        <x:v>1.974</x:v>
      </x:c>
      <x:c r="T38" s="38" t="n">
        <x:v>0.09870000000000001</x:v>
      </x:c>
      <x:c r="U38" s="38" t="n">
        <x:v>0.093765</x:v>
      </x:c>
      <x:c r="V38" s="38" t="n">
        <x:v>1.7815349999999999</x:v>
      </x:c>
      <x:c r="W38" s="38" t="n">
        <x:v>0.70735</x:v>
      </x:c>
      <x:c r="X38" s="38" t="n">
        <x:v>0</x:v>
      </x:c>
      <x:c r="Y38" s="38" t="n">
        <x:v>0.26723024999999995</x:v>
      </x:c>
      <x:c r="Z38" s="38" t="n">
        <x:v>0.2444</x:v>
      </x:c>
      <x:c r="AA38" s="38" t="n">
        <x:v>0.10105</x:v>
      </x:c>
      <x:c r="AB38" s="38" t="n">
        <x:v>0.0013160000000000001</x:v>
      </x:c>
      <x:c r="AC38" s="38" t="n">
        <x:v>0.46018875000000015</x:v>
      </x:c>
      <x:c r="AD38" s="28" t="n">
        <x:v>0.2583102493074793</x:v>
      </x:c>
    </x:row>
    <x:row r="39">
      <x:c r="A39" s="32" t="n">
        <x:v>45670</x:v>
      </x:c>
      <x:c r="B39" s="32" t="n">
        <x:v>45658</x:v>
      </x:c>
      <x:c r="C39" t="str">
        <x:v>Jan 2025</x:v>
      </x:c>
      <x:c r="D39" t="str">
        <x:v>Actual</x:v>
      </x:c>
      <x:c r="E39" t="str">
        <x:v>DB-104</x:v>
      </x:c>
      <x:c r="F39" t="str">
        <x:v>SunNest Cooling Towel</x:v>
      </x:c>
      <x:c r="G39" t="str">
        <x:v>Consumable repeat</x:v>
      </x:c>
      <x:c r="H39" t="str">
        <x:v>Summer peak</x:v>
      </x:c>
      <x:c r="I39" t="str">
        <x:v>Active</x:v>
      </x:c>
      <x:c r="J39" t="str">
        <x:v>Wholesale</x:v>
      </x:c>
      <x:c r="K39" t="str">
        <x:v>Retailer</x:v>
      </x:c>
      <x:c r="L39" t="str">
        <x:v>All Geographies</x:v>
      </x:c>
      <x:c r="M39" s="34" t="n">
        <x:v>727</x:v>
      </x:c>
      <x:c r="N39" s="28" t="n">
        <x:v>0.018216000000000003</x:v>
      </x:c>
      <x:c r="O39" s="34" t="n">
        <x:v>13</x:v>
      </x:c>
      <x:c r="P39" s="34" t="n">
        <x:v>1</x:v>
      </x:c>
      <x:c r="Q39" s="34" t="n">
        <x:v>13</x:v>
      </x:c>
      <x:c r="R39" s="33" t="n">
        <x:v>42</x:v>
      </x:c>
      <x:c r="S39" s="38" t="n">
        <x:v>0.546</x:v>
      </x:c>
      <x:c r="T39" s="38" t="n">
        <x:v>0.1911</x:v>
      </x:c>
      <x:c r="U39" s="38" t="n">
        <x:v>0.017745000000000004</x:v>
      </x:c>
      <x:c r="V39" s="38" t="n">
        <x:v>0.33715500000000004</x:v>
      </x:c>
      <x:c r="W39" s="38" t="n">
        <x:v>0.19565000000000002</x:v>
      </x:c>
      <x:c r="X39" s="38" t="n">
        <x:v>0</x:v>
      </x:c>
      <x:c r="Y39" s="38" t="n">
        <x:v>0</x:v>
      </x:c>
      <x:c r="Z39" s="38" t="n">
        <x:v>0.0299</x:v>
      </x:c>
      <x:c r="AA39" s="38" t="n">
        <x:v>0.011049999999999999</x:v>
      </x:c>
      <x:c r="AB39" s="38" t="n">
        <x:v>0.000364</x:v>
      </x:c>
      <x:c r="AC39" s="38" t="n">
        <x:v>0.10019100000000002</x:v>
      </x:c>
      <x:c r="AD39" s="28" t="n">
        <x:v>0.29716599190283405</x:v>
      </x:c>
    </x:row>
    <x:row r="40">
      <x:c r="A40" s="32" t="n">
        <x:v>45670</x:v>
      </x:c>
      <x:c r="B40" s="32" t="n">
        <x:v>45658</x:v>
      </x:c>
      <x:c r="C40" t="str">
        <x:v>Jan 2025</x:v>
      </x:c>
      <x:c r="D40" t="str">
        <x:v>Actual</x:v>
      </x:c>
      <x:c r="E40" t="str">
        <x:v>DB-104</x:v>
      </x:c>
      <x:c r="F40" t="str">
        <x:v>SunNest Cooling Towel</x:v>
      </x:c>
      <x:c r="G40" t="str">
        <x:v>Consumable repeat</x:v>
      </x:c>
      <x:c r="H40" t="str">
        <x:v>Summer peak</x:v>
      </x:c>
      <x:c r="I40" t="str">
        <x:v>Active</x:v>
      </x:c>
      <x:c r="J40" t="str">
        <x:v>TikTok Shop</x:v>
      </x:c>
      <x:c r="K40" t="str">
        <x:v>Social Commerce</x:v>
      </x:c>
      <x:c r="L40" t="str">
        <x:v>All Geographies</x:v>
      </x:c>
      <x:c r="M40" s="34" t="n">
        <x:v>485</x:v>
      </x:c>
      <x:c r="N40" s="28" t="n">
        <x:v>0.0417312</x:v>
      </x:c>
      <x:c r="O40" s="34" t="n">
        <x:v>20</x:v>
      </x:c>
      <x:c r="P40" s="34" t="n">
        <x:v>1</x:v>
      </x:c>
      <x:c r="Q40" s="34" t="n">
        <x:v>20</x:v>
      </x:c>
      <x:c r="R40" s="33" t="n">
        <x:v>42</x:v>
      </x:c>
      <x:c r="S40" s="38" t="n">
        <x:v>0.84</x:v>
      </x:c>
      <x:c r="T40" s="38" t="n">
        <x:v>0.10079999999999999</x:v>
      </x:c>
      <x:c r="U40" s="38" t="n">
        <x:v>0.03696</x:v>
      </x:c>
      <x:c r="V40" s="38" t="n">
        <x:v>0.70224</x:v>
      </x:c>
      <x:c r="W40" s="38" t="n">
        <x:v>0.301</x:v>
      </x:c>
      <x:c r="X40" s="38" t="n">
        <x:v>0.02036496</x:v>
      </x:c>
      <x:c r="Y40" s="38" t="n">
        <x:v>0.042134399999999995</x:v>
      </x:c>
      <x:c r="Z40" s="38" t="n">
        <x:v>0.102</x:v>
      </x:c>
      <x:c r="AA40" s="38" t="n">
        <x:v>0.035</x:v>
      </x:c>
      <x:c r="AB40" s="38" t="n">
        <x:v>0.00056</x:v>
      </x:c>
      <x:c r="AC40" s="38" t="n">
        <x:v>0.20118064</x:v>
      </x:c>
      <x:c r="AD40" s="28" t="n">
        <x:v>0.2864841649578492</x:v>
      </x:c>
    </x:row>
    <x:row r="41">
      <x:c r="A41" s="32" t="n">
        <x:v>45670</x:v>
      </x:c>
      <x:c r="B41" s="32" t="n">
        <x:v>45658</x:v>
      </x:c>
      <x:c r="C41" t="str">
        <x:v>Jan 2025</x:v>
      </x:c>
      <x:c r="D41" t="str">
        <x:v>Actual</x:v>
      </x:c>
      <x:c r="E41" t="str">
        <x:v>DB-105</x:v>
      </x:c>
      <x:c r="F41" t="str">
        <x:v>DreamFuel Refill Pack</x:v>
      </x:c>
      <x:c r="G41" t="str">
        <x:v>Subscription</x:v>
      </x:c>
      <x:c r="H41" t="str">
        <x:v>None</x:v>
      </x:c>
      <x:c r="I41" t="str">
        <x:v>Active</x:v>
      </x:c>
      <x:c r="J41" t="str">
        <x:v>Shopify DTC</x:v>
      </x:c>
      <x:c r="K41" t="str">
        <x:v>Consumer</x:v>
      </x:c>
      <x:c r="L41" t="str">
        <x:v>All Geographies</x:v>
      </x:c>
      <x:c r="M41" s="34" t="n">
        <x:v>3423</x:v>
      </x:c>
      <x:c r="N41" s="28" t="n">
        <x:v>0.03888</x:v>
      </x:c>
      <x:c r="O41" s="34" t="n">
        <x:v>133</x:v>
      </x:c>
      <x:c r="P41" s="34" t="n">
        <x:v>1</x:v>
      </x:c>
      <x:c r="Q41" s="34" t="n">
        <x:v>133</x:v>
      </x:c>
      <x:c r="R41" s="33" t="n">
        <x:v>56</x:v>
      </x:c>
      <x:c r="S41" s="38" t="n">
        <x:v>7.448</x:v>
      </x:c>
      <x:c r="T41" s="38" t="n">
        <x:v>0.59584</x:v>
      </x:c>
      <x:c r="U41" s="38" t="n">
        <x:v>0.1370432</x:v>
      </x:c>
      <x:c r="V41" s="38" t="n">
        <x:v>6.7151168000000006</x:v>
      </x:c>
      <x:c r="W41" s="38" t="n">
        <x:v>2.47646</x:v>
      </x:c>
      <x:c r="X41" s="38" t="n">
        <x:v>0.19473838720000003</x:v>
      </x:c>
      <x:c r="Y41" s="38" t="n">
        <x:v>0</x:v>
      </x:c>
      <x:c r="Z41" s="38" t="n">
        <x:v>0.55195</x:v>
      </x:c>
      <x:c r="AA41" s="38" t="n">
        <x:v>0.21944999999999998</x:v>
      </x:c>
      <x:c r="AB41" s="38" t="n">
        <x:v>0.0004788</x:v>
      </x:c>
      <x:c r="AC41" s="38" t="n">
        <x:v>3.272039612800001</x:v>
      </x:c>
      <x:c r="AD41" s="28" t="n">
        <x:v>0.48726473570794787</x:v>
      </x:c>
    </x:row>
    <x:row r="42">
      <x:c r="A42" s="32" t="n">
        <x:v>45670</x:v>
      </x:c>
      <x:c r="B42" s="32" t="n">
        <x:v>45658</x:v>
      </x:c>
      <x:c r="C42" t="str">
        <x:v>Jan 2025</x:v>
      </x:c>
      <x:c r="D42" t="str">
        <x:v>Actual</x:v>
      </x:c>
      <x:c r="E42" t="str">
        <x:v>DB-105</x:v>
      </x:c>
      <x:c r="F42" t="str">
        <x:v>DreamFuel Refill Pack</x:v>
      </x:c>
      <x:c r="G42" t="str">
        <x:v>Subscription</x:v>
      </x:c>
      <x:c r="H42" t="str">
        <x:v>None</x:v>
      </x:c>
      <x:c r="I42" t="str">
        <x:v>Active</x:v>
      </x:c>
      <x:c r="J42" t="str">
        <x:v>Amazon Marketplace</x:v>
      </x:c>
      <x:c r="K42" t="str">
        <x:v>Marketplace Consumer</x:v>
      </x:c>
      <x:c r="L42" t="str">
        <x:v>All Geographies</x:v>
      </x:c>
      <x:c r="M42" s="34" t="n">
        <x:v>1712</x:v>
      </x:c>
      <x:c r="N42" s="28" t="n">
        <x:v>0.0458784</x:v>
      </x:c>
      <x:c r="O42" s="34" t="n">
        <x:v>79</x:v>
      </x:c>
      <x:c r="P42" s="34" t="n">
        <x:v>1</x:v>
      </x:c>
      <x:c r="Q42" s="34" t="n">
        <x:v>79</x:v>
      </x:c>
      <x:c r="R42" s="33" t="n">
        <x:v>56</x:v>
      </x:c>
      <x:c r="S42" s="38" t="n">
        <x:v>4.424</x:v>
      </x:c>
      <x:c r="T42" s="38" t="n">
        <x:v>0.22120000000000004</x:v>
      </x:c>
      <x:c r="U42" s="38" t="n">
        <x:v>0.08405600000000002</x:v>
      </x:c>
      <x:c r="V42" s="38" t="n">
        <x:v>4.118744</x:v>
      </x:c>
      <x:c r="W42" s="38" t="n">
        <x:v>1.47098</x:v>
      </x:c>
      <x:c r="X42" s="38" t="n">
        <x:v>0</x:v>
      </x:c>
      <x:c r="Y42" s="38" t="n">
        <x:v>0.6178116</x:v>
      </x:c>
      <x:c r="Z42" s="38" t="n">
        <x:v>0.4108</x:v>
      </x:c>
      <x:c r="AA42" s="38" t="n">
        <x:v>0.16985</x:v>
      </x:c>
      <x:c r="AB42" s="38" t="n">
        <x:v>0.0002844</x:v>
      </x:c>
      <x:c r="AC42" s="38" t="n">
        <x:v>1.4490180000000004</x:v>
      </x:c>
      <x:c r="AD42" s="28" t="n">
        <x:v>0.35181064907165877</x:v>
      </x:c>
    </x:row>
    <x:row r="43">
      <x:c r="A43" s="32" t="n">
        <x:v>45670</x:v>
      </x:c>
      <x:c r="B43" s="32" t="n">
        <x:v>45658</x:v>
      </x:c>
      <x:c r="C43" t="str">
        <x:v>Jan 2025</x:v>
      </x:c>
      <x:c r="D43" t="str">
        <x:v>Actual</x:v>
      </x:c>
      <x:c r="E43" t="str">
        <x:v>DB-105</x:v>
      </x:c>
      <x:c r="F43" t="str">
        <x:v>DreamFuel Refill Pack</x:v>
      </x:c>
      <x:c r="G43" t="str">
        <x:v>Subscription</x:v>
      </x:c>
      <x:c r="H43" t="str">
        <x:v>None</x:v>
      </x:c>
      <x:c r="I43" t="str">
        <x:v>Active</x:v>
      </x:c>
      <x:c r="J43" t="str">
        <x:v>Wholesale</x:v>
      </x:c>
      <x:c r="K43" t="str">
        <x:v>Retailer</x:v>
      </x:c>
      <x:c r="L43" t="str">
        <x:v>All Geographies</x:v>
      </x:c>
      <x:c r="M43" s="34" t="n">
        <x:v>1027</x:v>
      </x:c>
      <x:c r="N43" s="28" t="n">
        <x:v>0.021384000000000004</x:v>
      </x:c>
      <x:c r="O43" s="34" t="n">
        <x:v>22</x:v>
      </x:c>
      <x:c r="P43" s="34" t="n">
        <x:v>1</x:v>
      </x:c>
      <x:c r="Q43" s="34" t="n">
        <x:v>22</x:v>
      </x:c>
      <x:c r="R43" s="33" t="n">
        <x:v>56</x:v>
      </x:c>
      <x:c r="S43" s="38" t="n">
        <x:v>1.232</x:v>
      </x:c>
      <x:c r="T43" s="38" t="n">
        <x:v>0.43119999999999997</x:v>
      </x:c>
      <x:c r="U43" s="38" t="n">
        <x:v>0.016016</x:v>
      </x:c>
      <x:c r="V43" s="38" t="n">
        <x:v>0.7847839999999999</x:v>
      </x:c>
      <x:c r="W43" s="38" t="n">
        <x:v>0.40964000000000006</x:v>
      </x:c>
      <x:c r="X43" s="38" t="n">
        <x:v>0</x:v>
      </x:c>
      <x:c r="Y43" s="38" t="n">
        <x:v>0</x:v>
      </x:c>
      <x:c r="Z43" s="38" t="n">
        <x:v>0.05059999999999999</x:v>
      </x:c>
      <x:c r="AA43" s="38" t="n">
        <x:v>0.018699999999999998</x:v>
      </x:c>
      <x:c r="AB43" s="38" t="n">
        <x:v>0.0000792</x:v>
      </x:c>
      <x:c r="AC43" s="38" t="n">
        <x:v>0.3057647999999999</x:v>
      </x:c>
      <x:c r="AD43" s="28" t="n">
        <x:v>0.38961650594303643</x:v>
      </x:c>
    </x:row>
    <x:row r="44">
      <x:c r="A44" s="32" t="n">
        <x:v>45670</x:v>
      </x:c>
      <x:c r="B44" s="32" t="n">
        <x:v>45658</x:v>
      </x:c>
      <x:c r="C44" t="str">
        <x:v>Jan 2025</x:v>
      </x:c>
      <x:c r="D44" t="str">
        <x:v>Actual</x:v>
      </x:c>
      <x:c r="E44" t="str">
        <x:v>DB-105</x:v>
      </x:c>
      <x:c r="F44" t="str">
        <x:v>DreamFuel Refill Pack</x:v>
      </x:c>
      <x:c r="G44" t="str">
        <x:v>Subscription</x:v>
      </x:c>
      <x:c r="H44" t="str">
        <x:v>None</x:v>
      </x:c>
      <x:c r="I44" t="str">
        <x:v>Active</x:v>
      </x:c>
      <x:c r="J44" t="str">
        <x:v>TikTok Shop</x:v>
      </x:c>
      <x:c r="K44" t="str">
        <x:v>Social Commerce</x:v>
      </x:c>
      <x:c r="L44" t="str">
        <x:v>All Geographies</x:v>
      </x:c>
      <x:c r="M44" s="34" t="n">
        <x:v>685</x:v>
      </x:c>
      <x:c r="N44" s="28" t="n">
        <x:v>0.0489888</x:v>
      </x:c>
      <x:c r="O44" s="34" t="n">
        <x:v>34</x:v>
      </x:c>
      <x:c r="P44" s="34" t="n">
        <x:v>1</x:v>
      </x:c>
      <x:c r="Q44" s="34" t="n">
        <x:v>34</x:v>
      </x:c>
      <x:c r="R44" s="33" t="n">
        <x:v>56</x:v>
      </x:c>
      <x:c r="S44" s="38" t="n">
        <x:v>1.904</x:v>
      </x:c>
      <x:c r="T44" s="38" t="n">
        <x:v>0.22848</x:v>
      </x:c>
      <x:c r="U44" s="38" t="n">
        <x:v>0.033510399999999996</x:v>
      </x:c>
      <x:c r="V44" s="38" t="n">
        <x:v>1.6420096</x:v>
      </x:c>
      <x:c r="W44" s="38" t="n">
        <x:v>0.6330800000000001</x:v>
      </x:c>
      <x:c r="X44" s="38" t="n">
        <x:v>0.0476182784</x:v>
      </x:c>
      <x:c r="Y44" s="38" t="n">
        <x:v>0.098520576</x:v>
      </x:c>
      <x:c r="Z44" s="38" t="n">
        <x:v>0.17339999999999997</x:v>
      </x:c>
      <x:c r="AA44" s="38" t="n">
        <x:v>0.0595</x:v>
      </x:c>
      <x:c r="AB44" s="38" t="n">
        <x:v>0.00012240000000000002</x:v>
      </x:c>
      <x:c r="AC44" s="38" t="n">
        <x:v>0.6297683456</x:v>
      </x:c>
      <x:c r="AD44" s="28" t="n">
        <x:v>0.3835351179432812</x:v>
      </x:c>
    </x:row>
    <x:row r="45">
      <x:c r="A45" s="32" t="n">
        <x:v>45677</x:v>
      </x:c>
      <x:c r="B45" s="32" t="n">
        <x:v>45658</x:v>
      </x:c>
      <x:c r="C45" t="str">
        <x:v>Jan 2025</x:v>
      </x:c>
      <x:c r="D45" t="str">
        <x:v>Actual</x:v>
      </x:c>
      <x:c r="E45" t="str">
        <x:v>DB-101</x:v>
      </x:c>
      <x:c r="F45" t="str">
        <x:v>AeroSip Bottle</x:v>
      </x:c>
      <x:c r="G45" t="str">
        <x:v>One-time purchase</x:v>
      </x:c>
      <x:c r="H45" t="str">
        <x:v>None</x:v>
      </x:c>
      <x:c r="I45" t="str">
        <x:v>Active</x:v>
      </x:c>
      <x:c r="J45" t="str">
        <x:v>Shopify DTC</x:v>
      </x:c>
      <x:c r="K45" t="str">
        <x:v>Consumer</x:v>
      </x:c>
      <x:c r="L45" t="str">
        <x:v>All Geographies</x:v>
      </x:c>
      <x:c r="M45" s="34" t="n">
        <x:v>4966</x:v>
      </x:c>
      <x:c r="N45" s="28" t="n">
        <x:v>0.034199999999999994</x:v>
      </x:c>
      <x:c r="O45" s="34" t="n">
        <x:v>170</x:v>
      </x:c>
      <x:c r="P45" s="34" t="n">
        <x:v>1</x:v>
      </x:c>
      <x:c r="Q45" s="34" t="n">
        <x:v>170</x:v>
      </x:c>
      <x:c r="R45" s="33" t="n">
        <x:v>29</x:v>
      </x:c>
      <x:c r="S45" s="38" t="n">
        <x:v>4.93</x:v>
      </x:c>
      <x:c r="T45" s="38" t="n">
        <x:v>0.3944</x:v>
      </x:c>
      <x:c r="U45" s="38" t="n">
        <x:v>0.20410199999999998</x:v>
      </x:c>
      <x:c r="V45" s="38" t="n">
        <x:v>4.331498</x:v>
      </x:c>
      <x:c r="W45" s="38" t="n">
        <x:v>1.8360000000000003</x:v>
      </x:c>
      <x:c r="X45" s="38" t="n">
        <x:v>0.125613442</x:v>
      </x:c>
      <x:c r="Y45" s="38" t="n">
        <x:v>0</x:v>
      </x:c>
      <x:c r="Z45" s="38" t="n">
        <x:v>0.7055000000000001</x:v>
      </x:c>
      <x:c r="AA45" s="38" t="n">
        <x:v>0.2805</x:v>
      </x:c>
      <x:c r="AB45" s="38" t="n">
        <x:v>0.0061200000000000004</x:v>
      </x:c>
      <x:c r="AC45" s="38" t="n">
        <x:v>1.3777645579999993</x:v>
      </x:c>
      <x:c r="AD45" s="28" t="n">
        <x:v>0.3180803865083164</x:v>
      </x:c>
    </x:row>
    <x:row r="46">
      <x:c r="A46" s="32" t="n">
        <x:v>45677</x:v>
      </x:c>
      <x:c r="B46" s="32" t="n">
        <x:v>45658</x:v>
      </x:c>
      <x:c r="C46" t="str">
        <x:v>Jan 2025</x:v>
      </x:c>
      <x:c r="D46" t="str">
        <x:v>Actual</x:v>
      </x:c>
      <x:c r="E46" t="str">
        <x:v>DB-101</x:v>
      </x:c>
      <x:c r="F46" t="str">
        <x:v>AeroSip Bottle</x:v>
      </x:c>
      <x:c r="G46" t="str">
        <x:v>One-time purchase</x:v>
      </x:c>
      <x:c r="H46" t="str">
        <x:v>None</x:v>
      </x:c>
      <x:c r="I46" t="str">
        <x:v>Active</x:v>
      </x:c>
      <x:c r="J46" t="str">
        <x:v>Amazon Marketplace</x:v>
      </x:c>
      <x:c r="K46" t="str">
        <x:v>Marketplace Consumer</x:v>
      </x:c>
      <x:c r="L46" t="str">
        <x:v>All Geographies</x:v>
      </x:c>
      <x:c r="M46" s="34" t="n">
        <x:v>2483</x:v>
      </x:c>
      <x:c r="N46" s="28" t="n">
        <x:v>0.040355999999999996</x:v>
      </x:c>
      <x:c r="O46" s="34" t="n">
        <x:v>100</x:v>
      </x:c>
      <x:c r="P46" s="34" t="n">
        <x:v>1</x:v>
      </x:c>
      <x:c r="Q46" s="34" t="n">
        <x:v>100</x:v>
      </x:c>
      <x:c r="R46" s="33" t="n">
        <x:v>29</x:v>
      </x:c>
      <x:c r="S46" s="38" t="n">
        <x:v>2.9</x:v>
      </x:c>
      <x:c r="T46" s="38" t="n">
        <x:v>0.145</x:v>
      </x:c>
      <x:c r="U46" s="38" t="n">
        <x:v>0.12397499999999999</x:v>
      </x:c>
      <x:c r="V46" s="38" t="n">
        <x:v>2.6310249999999997</x:v>
      </x:c>
      <x:c r="W46" s="38" t="n">
        <x:v>1.08</x:v>
      </x:c>
      <x:c r="X46" s="38" t="n">
        <x:v>0</x:v>
      </x:c>
      <x:c r="Y46" s="38" t="n">
        <x:v>0.39465374999999997</x:v>
      </x:c>
      <x:c r="Z46" s="38" t="n">
        <x:v>0.52</x:v>
      </x:c>
      <x:c r="AA46" s="38" t="n">
        <x:v>0.215</x:v>
      </x:c>
      <x:c r="AB46" s="38" t="n">
        <x:v>0.0035999999999999995</x:v>
      </x:c>
      <x:c r="AC46" s="38" t="n">
        <x:v>0.41777124999999965</x:v>
      </x:c>
      <x:c r="AD46" s="28" t="n">
        <x:v>0.15878649955815688</x:v>
      </x:c>
    </x:row>
    <x:row r="47">
      <x:c r="A47" s="32" t="n">
        <x:v>45677</x:v>
      </x:c>
      <x:c r="B47" s="32" t="n">
        <x:v>45658</x:v>
      </x:c>
      <x:c r="C47" t="str">
        <x:v>Jan 2025</x:v>
      </x:c>
      <x:c r="D47" t="str">
        <x:v>Actual</x:v>
      </x:c>
      <x:c r="E47" t="str">
        <x:v>DB-101</x:v>
      </x:c>
      <x:c r="F47" t="str">
        <x:v>AeroSip Bottle</x:v>
      </x:c>
      <x:c r="G47" t="str">
        <x:v>One-time purchase</x:v>
      </x:c>
      <x:c r="H47" t="str">
        <x:v>None</x:v>
      </x:c>
      <x:c r="I47" t="str">
        <x:v>Active</x:v>
      </x:c>
      <x:c r="J47" t="str">
        <x:v>Wholesale</x:v>
      </x:c>
      <x:c r="K47" t="str">
        <x:v>Retailer</x:v>
      </x:c>
      <x:c r="L47" t="str">
        <x:v>All Geographies</x:v>
      </x:c>
      <x:c r="M47" s="34" t="n">
        <x:v>1490</x:v>
      </x:c>
      <x:c r="N47" s="28" t="n">
        <x:v>0.01881</x:v>
      </x:c>
      <x:c r="O47" s="34" t="n">
        <x:v>28</x:v>
      </x:c>
      <x:c r="P47" s="34" t="n">
        <x:v>1</x:v>
      </x:c>
      <x:c r="Q47" s="34" t="n">
        <x:v>28</x:v>
      </x:c>
      <x:c r="R47" s="33" t="n">
        <x:v>29</x:v>
      </x:c>
      <x:c r="S47" s="38" t="n">
        <x:v>0.812</x:v>
      </x:c>
      <x:c r="T47" s="38" t="n">
        <x:v>0.2842</x:v>
      </x:c>
      <x:c r="U47" s="38" t="n">
        <x:v>0.023751</x:v>
      </x:c>
      <x:c r="V47" s="38" t="n">
        <x:v>0.5040490000000001</x:v>
      </x:c>
      <x:c r="W47" s="38" t="n">
        <x:v>0.30240000000000006</x:v>
      </x:c>
      <x:c r="X47" s="38" t="n">
        <x:v>0</x:v>
      </x:c>
      <x:c r="Y47" s="38" t="n">
        <x:v>0</x:v>
      </x:c>
      <x:c r="Z47" s="38" t="n">
        <x:v>0.06439999999999999</x:v>
      </x:c>
      <x:c r="AA47" s="38" t="n">
        <x:v>0.0238</x:v>
      </x:c>
      <x:c r="AB47" s="38" t="n">
        <x:v>0.001008</x:v>
      </x:c>
      <x:c r="AC47" s="38" t="n">
        <x:v>0.11244100000000004</x:v>
      </x:c>
      <x:c r="AD47" s="28" t="n">
        <x:v>0.22307553432305197</x:v>
      </x:c>
    </x:row>
    <x:row r="48">
      <x:c r="A48" s="32" t="n">
        <x:v>45677</x:v>
      </x:c>
      <x:c r="B48" s="32" t="n">
        <x:v>45658</x:v>
      </x:c>
      <x:c r="C48" t="str">
        <x:v>Jan 2025</x:v>
      </x:c>
      <x:c r="D48" t="str">
        <x:v>Actual</x:v>
      </x:c>
      <x:c r="E48" t="str">
        <x:v>DB-101</x:v>
      </x:c>
      <x:c r="F48" t="str">
        <x:v>AeroSip Bottle</x:v>
      </x:c>
      <x:c r="G48" t="str">
        <x:v>One-time purchase</x:v>
      </x:c>
      <x:c r="H48" t="str">
        <x:v>None</x:v>
      </x:c>
      <x:c r="I48" t="str">
        <x:v>Active</x:v>
      </x:c>
      <x:c r="J48" t="str">
        <x:v>TikTok Shop</x:v>
      </x:c>
      <x:c r="K48" t="str">
        <x:v>Social Commerce</x:v>
      </x:c>
      <x:c r="L48" t="str">
        <x:v>All Geographies</x:v>
      </x:c>
      <x:c r="M48" s="34" t="n">
        <x:v>993</x:v>
      </x:c>
      <x:c r="N48" s="28" t="n">
        <x:v>0.043092</x:v>
      </x:c>
      <x:c r="O48" s="34" t="n">
        <x:v>43</x:v>
      </x:c>
      <x:c r="P48" s="34" t="n">
        <x:v>1</x:v>
      </x:c>
      <x:c r="Q48" s="34" t="n">
        <x:v>43</x:v>
      </x:c>
      <x:c r="R48" s="33" t="n">
        <x:v>29</x:v>
      </x:c>
      <x:c r="S48" s="38" t="n">
        <x:v>1.247</x:v>
      </x:c>
      <x:c r="T48" s="38" t="n">
        <x:v>0.14964</x:v>
      </x:c>
      <x:c r="U48" s="38" t="n">
        <x:v>0.0493812</x:v>
      </x:c>
      <x:c r="V48" s="38" t="n">
        <x:v>1.0479788</x:v>
      </x:c>
      <x:c r="W48" s="38" t="n">
        <x:v>0.46440000000000003</x:v>
      </x:c>
      <x:c r="X48" s="38" t="n">
        <x:v>0.030391385200000006</x:v>
      </x:c>
      <x:c r="Y48" s="38" t="n">
        <x:v>0.06287872800000001</x:v>
      </x:c>
      <x:c r="Z48" s="38" t="n">
        <x:v>0.2193</x:v>
      </x:c>
      <x:c r="AA48" s="38" t="n">
        <x:v>0.07525</x:v>
      </x:c>
      <x:c r="AB48" s="38" t="n">
        <x:v>0.0015480000000000001</x:v>
      </x:c>
      <x:c r="AC48" s="38" t="n">
        <x:v>0.19421068680000014</x:v>
      </x:c>
      <x:c r="AD48" s="28" t="n">
        <x:v>0.18531928966502006</x:v>
      </x:c>
    </x:row>
    <x:row r="49">
      <x:c r="A49" s="32" t="n">
        <x:v>45677</x:v>
      </x:c>
      <x:c r="B49" s="32" t="n">
        <x:v>45658</x:v>
      </x:c>
      <x:c r="C49" t="str">
        <x:v>Jan 2025</x:v>
      </x:c>
      <x:c r="D49" t="str">
        <x:v>Actual</x:v>
      </x:c>
      <x:c r="E49" t="str">
        <x:v>DB-102</x:v>
      </x:c>
      <x:c r="F49" t="str">
        <x:v>GlowPatch Balm</x:v>
      </x:c>
      <x:c r="G49" t="str">
        <x:v>Consumable repeat</x:v>
      </x:c>
      <x:c r="H49" t="str">
        <x:v>None</x:v>
      </x:c>
      <x:c r="I49" t="str">
        <x:v>Active</x:v>
      </x:c>
      <x:c r="J49" t="str">
        <x:v>Shopify DTC</x:v>
      </x:c>
      <x:c r="K49" t="str">
        <x:v>Consumer</x:v>
      </x:c>
      <x:c r="L49" t="str">
        <x:v>All Geographies</x:v>
      </x:c>
      <x:c r="M49" s="34" t="n">
        <x:v>4011</x:v>
      </x:c>
      <x:c r="N49" s="28" t="n">
        <x:v>0.04248</x:v>
      </x:c>
      <x:c r="O49" s="34" t="n">
        <x:v>170</x:v>
      </x:c>
      <x:c r="P49" s="34" t="n">
        <x:v>1</x:v>
      </x:c>
      <x:c r="Q49" s="34" t="n">
        <x:v>170</x:v>
      </x:c>
      <x:c r="R49" s="33" t="n">
        <x:v>18</x:v>
      </x:c>
      <x:c r="S49" s="38" t="n">
        <x:v>3.06</x:v>
      </x:c>
      <x:c r="T49" s="38" t="n">
        <x:v>0.24480000000000002</x:v>
      </x:c>
      <x:c r="U49" s="38" t="n">
        <x:v>0.07038</x:v>
      </x:c>
      <x:c r="V49" s="38" t="n">
        <x:v>2.74482</x:v>
      </x:c>
      <x:c r="W49" s="38" t="n">
        <x:v>0.9197000000000001</x:v>
      </x:c>
      <x:c r="X49" s="38" t="n">
        <x:v>0.07959978</x:v>
      </x:c>
      <x:c r="Y49" s="38" t="n">
        <x:v>0</x:v>
      </x:c>
      <x:c r="Z49" s="38" t="n">
        <x:v>0.7055000000000001</x:v>
      </x:c>
      <x:c r="AA49" s="38" t="n">
        <x:v>0.2805</x:v>
      </x:c>
      <x:c r="AB49" s="38" t="n">
        <x:v>0.00102</x:v>
      </x:c>
      <x:c r="AC49" s="38" t="n">
        <x:v>0.7585002199999997</x:v>
      </x:c>
      <x:c r="AD49" s="28" t="n">
        <x:v>0.2763387835996531</x:v>
      </x:c>
    </x:row>
    <x:row r="50">
      <x:c r="A50" s="32" t="n">
        <x:v>45677</x:v>
      </x:c>
      <x:c r="B50" s="32" t="n">
        <x:v>45658</x:v>
      </x:c>
      <x:c r="C50" t="str">
        <x:v>Jan 2025</x:v>
      </x:c>
      <x:c r="D50" t="str">
        <x:v>Actual</x:v>
      </x:c>
      <x:c r="E50" t="str">
        <x:v>DB-102</x:v>
      </x:c>
      <x:c r="F50" t="str">
        <x:v>GlowPatch Balm</x:v>
      </x:c>
      <x:c r="G50" t="str">
        <x:v>Consumable repeat</x:v>
      </x:c>
      <x:c r="H50" t="str">
        <x:v>None</x:v>
      </x:c>
      <x:c r="I50" t="str">
        <x:v>Active</x:v>
      </x:c>
      <x:c r="J50" t="str">
        <x:v>Amazon Marketplace</x:v>
      </x:c>
      <x:c r="K50" t="str">
        <x:v>Marketplace Consumer</x:v>
      </x:c>
      <x:c r="L50" t="str">
        <x:v>All Geographies</x:v>
      </x:c>
      <x:c r="M50" s="34" t="n">
        <x:v>2005</x:v>
      </x:c>
      <x:c r="N50" s="28" t="n">
        <x:v>0.050126399999999995</x:v>
      </x:c>
      <x:c r="O50" s="34" t="n">
        <x:v>101</x:v>
      </x:c>
      <x:c r="P50" s="34" t="n">
        <x:v>1</x:v>
      </x:c>
      <x:c r="Q50" s="34" t="n">
        <x:v>101</x:v>
      </x:c>
      <x:c r="R50" s="33" t="n">
        <x:v>18</x:v>
      </x:c>
      <x:c r="S50" s="38" t="n">
        <x:v>1.818</x:v>
      </x:c>
      <x:c r="T50" s="38" t="n">
        <x:v>0.09090000000000001</x:v>
      </x:c>
      <x:c r="U50" s="38" t="n">
        <x:v>0.04317750000000001</x:v>
      </x:c>
      <x:c r="V50" s="38" t="n">
        <x:v>1.6839225</x:v>
      </x:c>
      <x:c r="W50" s="38" t="n">
        <x:v>0.54641</x:v>
      </x:c>
      <x:c r="X50" s="38" t="n">
        <x:v>0</x:v>
      </x:c>
      <x:c r="Y50" s="38" t="n">
        <x:v>0.252588375</x:v>
      </x:c>
      <x:c r="Z50" s="38" t="n">
        <x:v>0.5252</x:v>
      </x:c>
      <x:c r="AA50" s="38" t="n">
        <x:v>0.21714999999999998</x:v>
      </x:c>
      <x:c r="AB50" s="38" t="n">
        <x:v>0.0006060000000000001</x:v>
      </x:c>
      <x:c r="AC50" s="38" t="n">
        <x:v>0.1419681250000002</x:v>
      </x:c>
      <x:c r="AD50" s="28" t="n">
        <x:v>0.08430799220272917</x:v>
      </x:c>
    </x:row>
    <x:row r="51">
      <x:c r="A51" s="32" t="n">
        <x:v>45677</x:v>
      </x:c>
      <x:c r="B51" s="32" t="n">
        <x:v>45658</x:v>
      </x:c>
      <x:c r="C51" t="str">
        <x:v>Jan 2025</x:v>
      </x:c>
      <x:c r="D51" t="str">
        <x:v>Actual</x:v>
      </x:c>
      <x:c r="E51" t="str">
        <x:v>DB-102</x:v>
      </x:c>
      <x:c r="F51" t="str">
        <x:v>GlowPatch Balm</x:v>
      </x:c>
      <x:c r="G51" t="str">
        <x:v>Consumable repeat</x:v>
      </x:c>
      <x:c r="H51" t="str">
        <x:v>None</x:v>
      </x:c>
      <x:c r="I51" t="str">
        <x:v>Active</x:v>
      </x:c>
      <x:c r="J51" t="str">
        <x:v>Wholesale</x:v>
      </x:c>
      <x:c r="K51" t="str">
        <x:v>Retailer</x:v>
      </x:c>
      <x:c r="L51" t="str">
        <x:v>All Geographies</x:v>
      </x:c>
      <x:c r="M51" s="34" t="n">
        <x:v>1203</x:v>
      </x:c>
      <x:c r="N51" s="28" t="n">
        <x:v>0.023364</x:v>
      </x:c>
      <x:c r="O51" s="34" t="n">
        <x:v>28</x:v>
      </x:c>
      <x:c r="P51" s="34" t="n">
        <x:v>1</x:v>
      </x:c>
      <x:c r="Q51" s="34" t="n">
        <x:v>28</x:v>
      </x:c>
      <x:c r="R51" s="33" t="n">
        <x:v>18</x:v>
      </x:c>
      <x:c r="S51" s="38" t="n">
        <x:v>0.504</x:v>
      </x:c>
      <x:c r="T51" s="38" t="n">
        <x:v>0.1764</x:v>
      </x:c>
      <x:c r="U51" s="38" t="n">
        <x:v>0.008190000000000001</x:v>
      </x:c>
      <x:c r="V51" s="38" t="n">
        <x:v>0.31941</x:v>
      </x:c>
      <x:c r="W51" s="38" t="n">
        <x:v>0.15148000000000003</x:v>
      </x:c>
      <x:c r="X51" s="38" t="n">
        <x:v>0</x:v>
      </x:c>
      <x:c r="Y51" s="38" t="n">
        <x:v>0</x:v>
      </x:c>
      <x:c r="Z51" s="38" t="n">
        <x:v>0.06439999999999999</x:v>
      </x:c>
      <x:c r="AA51" s="38" t="n">
        <x:v>0.0238</x:v>
      </x:c>
      <x:c r="AB51" s="38" t="n">
        <x:v>0.00016800000000000002</x:v>
      </x:c>
      <x:c r="AC51" s="38" t="n">
        <x:v>0.07956200000000001</x:v>
      </x:c>
      <x:c r="AD51" s="28" t="n">
        <x:v>0.24909051062897217</x:v>
      </x:c>
    </x:row>
    <x:row r="52">
      <x:c r="A52" s="32" t="n">
        <x:v>45677</x:v>
      </x:c>
      <x:c r="B52" s="32" t="n">
        <x:v>45658</x:v>
      </x:c>
      <x:c r="C52" t="str">
        <x:v>Jan 2025</x:v>
      </x:c>
      <x:c r="D52" t="str">
        <x:v>Actual</x:v>
      </x:c>
      <x:c r="E52" t="str">
        <x:v>DB-102</x:v>
      </x:c>
      <x:c r="F52" t="str">
        <x:v>GlowPatch Balm</x:v>
      </x:c>
      <x:c r="G52" t="str">
        <x:v>Consumable repeat</x:v>
      </x:c>
      <x:c r="H52" t="str">
        <x:v>None</x:v>
      </x:c>
      <x:c r="I52" t="str">
        <x:v>Active</x:v>
      </x:c>
      <x:c r="J52" t="str">
        <x:v>TikTok Shop</x:v>
      </x:c>
      <x:c r="K52" t="str">
        <x:v>Social Commerce</x:v>
      </x:c>
      <x:c r="L52" t="str">
        <x:v>All Geographies</x:v>
      </x:c>
      <x:c r="M52" s="34" t="n">
        <x:v>802</x:v>
      </x:c>
      <x:c r="N52" s="28" t="n">
        <x:v>0.0535248</x:v>
      </x:c>
      <x:c r="O52" s="34" t="n">
        <x:v>43</x:v>
      </x:c>
      <x:c r="P52" s="34" t="n">
        <x:v>1</x:v>
      </x:c>
      <x:c r="Q52" s="34" t="n">
        <x:v>43</x:v>
      </x:c>
      <x:c r="R52" s="33" t="n">
        <x:v>18</x:v>
      </x:c>
      <x:c r="S52" s="38" t="n">
        <x:v>0.774</x:v>
      </x:c>
      <x:c r="T52" s="38" t="n">
        <x:v>0.09288</x:v>
      </x:c>
      <x:c r="U52" s="38" t="n">
        <x:v>0.017028</x:v>
      </x:c>
      <x:c r="V52" s="38" t="n">
        <x:v>0.664092</x:v>
      </x:c>
      <x:c r="W52" s="38" t="n">
        <x:v>0.23263</x:v>
      </x:c>
      <x:c r="X52" s="38" t="n">
        <x:v>0.019258668000000003</x:v>
      </x:c>
      <x:c r="Y52" s="38" t="n">
        <x:v>0.03984552</x:v>
      </x:c>
      <x:c r="Z52" s="38" t="n">
        <x:v>0.2193</x:v>
      </x:c>
      <x:c r="AA52" s="38" t="n">
        <x:v>0.07525</x:v>
      </x:c>
      <x:c r="AB52" s="38" t="n">
        <x:v>0.000258</x:v>
      </x:c>
      <x:c r="AC52" s="38" t="n">
        <x:v>0.07754981200000002</x:v>
      </x:c>
      <x:c r="AD52" s="28" t="n">
        <x:v>0.11677570577570581</x:v>
      </x:c>
    </x:row>
    <x:row r="53">
      <x:c r="A53" s="32" t="n">
        <x:v>45677</x:v>
      </x:c>
      <x:c r="B53" s="32" t="n">
        <x:v>45658</x:v>
      </x:c>
      <x:c r="C53" t="str">
        <x:v>Jan 2025</x:v>
      </x:c>
      <x:c r="D53" t="str">
        <x:v>Actual</x:v>
      </x:c>
      <x:c r="E53" t="str">
        <x:v>DB-103</x:v>
      </x:c>
      <x:c r="F53" t="str">
        <x:v>EmberTrail Camp Mug</x:v>
      </x:c>
      <x:c r="G53" t="str">
        <x:v>One-time purchase</x:v>
      </x:c>
      <x:c r="H53" t="str">
        <x:v>Winter peak</x:v>
      </x:c>
      <x:c r="I53" t="str">
        <x:v>Active</x:v>
      </x:c>
      <x:c r="J53" t="str">
        <x:v>Shopify DTC</x:v>
      </x:c>
      <x:c r="K53" t="str">
        <x:v>Consumer</x:v>
      </x:c>
      <x:c r="L53" t="str">
        <x:v>All Geographies</x:v>
      </x:c>
      <x:c r="M53" s="34" t="n">
        <x:v>4194</x:v>
      </x:c>
      <x:c r="N53" s="28" t="n">
        <x:v>0.0324</x:v>
      </x:c>
      <x:c r="O53" s="34" t="n">
        <x:v>136</x:v>
      </x:c>
      <x:c r="P53" s="34" t="n">
        <x:v>1</x:v>
      </x:c>
      <x:c r="Q53" s="34" t="n">
        <x:v>136</x:v>
      </x:c>
      <x:c r="R53" s="33" t="n">
        <x:v>34</x:v>
      </x:c>
      <x:c r="S53" s="38" t="n">
        <x:v>4.624</x:v>
      </x:c>
      <x:c r="T53" s="38" t="n">
        <x:v>0.36991999999999997</x:v>
      </x:c>
      <x:c r="U53" s="38" t="n">
        <x:v>0.2339744</x:v>
      </x:c>
      <x:c r="V53" s="38" t="n">
        <x:v>4.0201056</x:v>
      </x:c>
      <x:c r="W53" s="38" t="n">
        <x:v>1.8591199999999999</x:v>
      </x:c>
      <x:c r="X53" s="38" t="n">
        <x:v>0.1165830624</x:v>
      </x:c>
      <x:c r="Y53" s="38" t="n">
        <x:v>0</x:v>
      </x:c>
      <x:c r="Z53" s="38" t="n">
        <x:v>0.5644000000000001</x:v>
      </x:c>
      <x:c r="AA53" s="38" t="n">
        <x:v>0.2244</x:v>
      </x:c>
      <x:c r="AB53" s="38" t="n">
        <x:v>0.007616</x:v>
      </x:c>
      <x:c r="AC53" s="38" t="n">
        <x:v>1.2479865376</x:v>
      </x:c>
      <x:c r="AD53" s="28" t="n">
        <x:v>0.31043625759482535</x:v>
      </x:c>
    </x:row>
    <x:row r="54">
      <x:c r="A54" s="32" t="n">
        <x:v>45677</x:v>
      </x:c>
      <x:c r="B54" s="32" t="n">
        <x:v>45658</x:v>
      </x:c>
      <x:c r="C54" t="str">
        <x:v>Jan 2025</x:v>
      </x:c>
      <x:c r="D54" t="str">
        <x:v>Actual</x:v>
      </x:c>
      <x:c r="E54" t="str">
        <x:v>DB-103</x:v>
      </x:c>
      <x:c r="F54" t="str">
        <x:v>EmberTrail Camp Mug</x:v>
      </x:c>
      <x:c r="G54" t="str">
        <x:v>One-time purchase</x:v>
      </x:c>
      <x:c r="H54" t="str">
        <x:v>Winter peak</x:v>
      </x:c>
      <x:c r="I54" t="str">
        <x:v>Active</x:v>
      </x:c>
      <x:c r="J54" t="str">
        <x:v>Amazon Marketplace</x:v>
      </x:c>
      <x:c r="K54" t="str">
        <x:v>Marketplace Consumer</x:v>
      </x:c>
      <x:c r="L54" t="str">
        <x:v>All Geographies</x:v>
      </x:c>
      <x:c r="M54" s="34" t="n">
        <x:v>2097</x:v>
      </x:c>
      <x:c r="N54" s="28" t="n">
        <x:v>0.038231999999999995</x:v>
      </x:c>
      <x:c r="O54" s="34" t="n">
        <x:v>80</x:v>
      </x:c>
      <x:c r="P54" s="34" t="n">
        <x:v>1</x:v>
      </x:c>
      <x:c r="Q54" s="34" t="n">
        <x:v>80</x:v>
      </x:c>
      <x:c r="R54" s="33" t="n">
        <x:v>34</x:v>
      </x:c>
      <x:c r="S54" s="38" t="n">
        <x:v>2.72</x:v>
      </x:c>
      <x:c r="T54" s="38" t="n">
        <x:v>0.136</x:v>
      </x:c>
      <x:c r="U54" s="38" t="n">
        <x:v>0.14212</x:v>
      </x:c>
      <x:c r="V54" s="38" t="n">
        <x:v>2.4418800000000003</x:v>
      </x:c>
      <x:c r="W54" s="38" t="n">
        <x:v>1.0936</x:v>
      </x:c>
      <x:c r="X54" s="38" t="n">
        <x:v>0</x:v>
      </x:c>
      <x:c r="Y54" s="38" t="n">
        <x:v>0.36628200000000005</x:v>
      </x:c>
      <x:c r="Z54" s="38" t="n">
        <x:v>0.416</x:v>
      </x:c>
      <x:c r="AA54" s="38" t="n">
        <x:v>0.172</x:v>
      </x:c>
      <x:c r="AB54" s="38" t="n">
        <x:v>0.0044800000000000005</x:v>
      </x:c>
      <x:c r="AC54" s="38" t="n">
        <x:v>0.3895180000000005</x:v>
      </x:c>
      <x:c r="AD54" s="28" t="n">
        <x:v>0.15951561911314252</x:v>
      </x:c>
    </x:row>
    <x:row r="55">
      <x:c r="A55" s="32" t="n">
        <x:v>45677</x:v>
      </x:c>
      <x:c r="B55" s="32" t="n">
        <x:v>45658</x:v>
      </x:c>
      <x:c r="C55" t="str">
        <x:v>Jan 2025</x:v>
      </x:c>
      <x:c r="D55" t="str">
        <x:v>Actual</x:v>
      </x:c>
      <x:c r="E55" t="str">
        <x:v>DB-103</x:v>
      </x:c>
      <x:c r="F55" t="str">
        <x:v>EmberTrail Camp Mug</x:v>
      </x:c>
      <x:c r="G55" t="str">
        <x:v>One-time purchase</x:v>
      </x:c>
      <x:c r="H55" t="str">
        <x:v>Winter peak</x:v>
      </x:c>
      <x:c r="I55" t="str">
        <x:v>Active</x:v>
      </x:c>
      <x:c r="J55" t="str">
        <x:v>Wholesale</x:v>
      </x:c>
      <x:c r="K55" t="str">
        <x:v>Retailer</x:v>
      </x:c>
      <x:c r="L55" t="str">
        <x:v>All Geographies</x:v>
      </x:c>
      <x:c r="M55" s="34" t="n">
        <x:v>1258</x:v>
      </x:c>
      <x:c r="N55" s="28" t="n">
        <x:v>0.017820000000000003</x:v>
      </x:c>
      <x:c r="O55" s="34" t="n">
        <x:v>22</x:v>
      </x:c>
      <x:c r="P55" s="34" t="n">
        <x:v>1</x:v>
      </x:c>
      <x:c r="Q55" s="34" t="n">
        <x:v>22</x:v>
      </x:c>
      <x:c r="R55" s="33" t="n">
        <x:v>34</x:v>
      </x:c>
      <x:c r="S55" s="38" t="n">
        <x:v>0.748</x:v>
      </x:c>
      <x:c r="T55" s="38" t="n">
        <x:v>0.2618</x:v>
      </x:c>
      <x:c r="U55" s="38" t="n">
        <x:v>0.026741</x:v>
      </x:c>
      <x:c r="V55" s="38" t="n">
        <x:v>0.459459</x:v>
      </x:c>
      <x:c r="W55" s="38" t="n">
        <x:v>0.30074</x:v>
      </x:c>
      <x:c r="X55" s="38" t="n">
        <x:v>0</x:v>
      </x:c>
      <x:c r="Y55" s="38" t="n">
        <x:v>0</x:v>
      </x:c>
      <x:c r="Z55" s="38" t="n">
        <x:v>0.05059999999999999</x:v>
      </x:c>
      <x:c r="AA55" s="38" t="n">
        <x:v>0.018699999999999998</x:v>
      </x:c>
      <x:c r="AB55" s="38" t="n">
        <x:v>0.001232</x:v>
      </x:c>
      <x:c r="AC55" s="38" t="n">
        <x:v>0.08818700000000002</x:v>
      </x:c>
      <x:c r="AD55" s="28" t="n">
        <x:v>0.1919366037013096</x:v>
      </x:c>
    </x:row>
    <x:row r="56">
      <x:c r="A56" s="32" t="n">
        <x:v>45677</x:v>
      </x:c>
      <x:c r="B56" s="32" t="n">
        <x:v>45658</x:v>
      </x:c>
      <x:c r="C56" t="str">
        <x:v>Jan 2025</x:v>
      </x:c>
      <x:c r="D56" t="str">
        <x:v>Actual</x:v>
      </x:c>
      <x:c r="E56" t="str">
        <x:v>DB-103</x:v>
      </x:c>
      <x:c r="F56" t="str">
        <x:v>EmberTrail Camp Mug</x:v>
      </x:c>
      <x:c r="G56" t="str">
        <x:v>One-time purchase</x:v>
      </x:c>
      <x:c r="H56" t="str">
        <x:v>Winter peak</x:v>
      </x:c>
      <x:c r="I56" t="str">
        <x:v>Active</x:v>
      </x:c>
      <x:c r="J56" t="str">
        <x:v>TikTok Shop</x:v>
      </x:c>
      <x:c r="K56" t="str">
        <x:v>Social Commerce</x:v>
      </x:c>
      <x:c r="L56" t="str">
        <x:v>All Geographies</x:v>
      </x:c>
      <x:c r="M56" s="34" t="n">
        <x:v>839</x:v>
      </x:c>
      <x:c r="N56" s="28" t="n">
        <x:v>0.040824</x:v>
      </x:c>
      <x:c r="O56" s="34" t="n">
        <x:v>34</x:v>
      </x:c>
      <x:c r="P56" s="34" t="n">
        <x:v>1</x:v>
      </x:c>
      <x:c r="Q56" s="34" t="n">
        <x:v>34</x:v>
      </x:c>
      <x:c r="R56" s="33" t="n">
        <x:v>34</x:v>
      </x:c>
      <x:c r="S56" s="38" t="n">
        <x:v>1.156</x:v>
      </x:c>
      <x:c r="T56" s="38" t="n">
        <x:v>0.13871999999999998</x:v>
      </x:c>
      <x:c r="U56" s="38" t="n">
        <x:v>0.0559504</x:v>
      </x:c>
      <x:c r="V56" s="38" t="n">
        <x:v>0.9613296</x:v>
      </x:c>
      <x:c r="W56" s="38" t="n">
        <x:v>0.46477999999999997</x:v>
      </x:c>
      <x:c r="X56" s="38" t="n">
        <x:v>0.027878558400000003</x:v>
      </x:c>
      <x:c r="Y56" s="38" t="n">
        <x:v>0.057679775999999995</x:v>
      </x:c>
      <x:c r="Z56" s="38" t="n">
        <x:v>0.17339999999999997</x:v>
      </x:c>
      <x:c r="AA56" s="38" t="n">
        <x:v>0.0595</x:v>
      </x:c>
      <x:c r="AB56" s="38" t="n">
        <x:v>0.001904</x:v>
      </x:c>
      <x:c r="AC56" s="38" t="n">
        <x:v>0.1761872656000001</x:v>
      </x:c>
      <x:c r="AD56" s="28" t="n">
        <x:v>0.18327456639221354</x:v>
      </x:c>
    </x:row>
    <x:row r="57">
      <x:c r="A57" s="32" t="n">
        <x:v>45677</x:v>
      </x:c>
      <x:c r="B57" s="32" t="n">
        <x:v>45658</x:v>
      </x:c>
      <x:c r="C57" t="str">
        <x:v>Jan 2025</x:v>
      </x:c>
      <x:c r="D57" t="str">
        <x:v>Actual</x:v>
      </x:c>
      <x:c r="E57" t="str">
        <x:v>DB-104</x:v>
      </x:c>
      <x:c r="F57" t="str">
        <x:v>SunNest Cooling Towel</x:v>
      </x:c>
      <x:c r="G57" t="str">
        <x:v>Consumable repeat</x:v>
      </x:c>
      <x:c r="H57" t="str">
        <x:v>Summer peak</x:v>
      </x:c>
      <x:c r="I57" t="str">
        <x:v>Active</x:v>
      </x:c>
      <x:c r="J57" t="str">
        <x:v>Shopify DTC</x:v>
      </x:c>
      <x:c r="K57" t="str">
        <x:v>Consumer</x:v>
      </x:c>
      <x:c r="L57" t="str">
        <x:v>All Geographies</x:v>
      </x:c>
      <x:c r="M57" s="34" t="n">
        <x:v>2435</x:v>
      </x:c>
      <x:c r="N57" s="28" t="n">
        <x:v>0.03312</x:v>
      </x:c>
      <x:c r="O57" s="34" t="n">
        <x:v>81</x:v>
      </x:c>
      <x:c r="P57" s="34" t="n">
        <x:v>1</x:v>
      </x:c>
      <x:c r="Q57" s="34" t="n">
        <x:v>81</x:v>
      </x:c>
      <x:c r="R57" s="33" t="n">
        <x:v>42</x:v>
      </x:c>
      <x:c r="S57" s="38" t="n">
        <x:v>3.402</x:v>
      </x:c>
      <x:c r="T57" s="38" t="n">
        <x:v>0.27216</x:v>
      </x:c>
      <x:c r="U57" s="38" t="n">
        <x:v>0.15649200000000002</x:v>
      </x:c>
      <x:c r="V57" s="38" t="n">
        <x:v>2.973348</x:v>
      </x:c>
      <x:c r="W57" s="38" t="n">
        <x:v>1.21905</x:v>
      </x:c>
      <x:c r="X57" s="38" t="n">
        <x:v>0.086227092</x:v>
      </x:c>
      <x:c r="Y57" s="38" t="n">
        <x:v>0</x:v>
      </x:c>
      <x:c r="Z57" s="38" t="n">
        <x:v>0.33615000000000006</x:v>
      </x:c>
      <x:c r="AA57" s="38" t="n">
        <x:v>0.13365000000000002</x:v>
      </x:c>
      <x:c r="AB57" s="38" t="n">
        <x:v>0.0022679999999999996</x:v>
      </x:c>
      <x:c r="AC57" s="38" t="n">
        <x:v>1.1960029080000003</x:v>
      </x:c>
      <x:c r="AD57" s="28" t="n">
        <x:v>0.4022411463441213</x:v>
      </x:c>
    </x:row>
    <x:row r="58">
      <x:c r="A58" s="32" t="n">
        <x:v>45677</x:v>
      </x:c>
      <x:c r="B58" s="32" t="n">
        <x:v>45658</x:v>
      </x:c>
      <x:c r="C58" t="str">
        <x:v>Jan 2025</x:v>
      </x:c>
      <x:c r="D58" t="str">
        <x:v>Actual</x:v>
      </x:c>
      <x:c r="E58" t="str">
        <x:v>DB-104</x:v>
      </x:c>
      <x:c r="F58" t="str">
        <x:v>SunNest Cooling Towel</x:v>
      </x:c>
      <x:c r="G58" t="str">
        <x:v>Consumable repeat</x:v>
      </x:c>
      <x:c r="H58" t="str">
        <x:v>Summer peak</x:v>
      </x:c>
      <x:c r="I58" t="str">
        <x:v>Active</x:v>
      </x:c>
      <x:c r="J58" t="str">
        <x:v>Amazon Marketplace</x:v>
      </x:c>
      <x:c r="K58" t="str">
        <x:v>Marketplace Consumer</x:v>
      </x:c>
      <x:c r="L58" t="str">
        <x:v>All Geographies</x:v>
      </x:c>
      <x:c r="M58" s="34" t="n">
        <x:v>1218</x:v>
      </x:c>
      <x:c r="N58" s="28" t="n">
        <x:v>0.0390816</x:v>
      </x:c>
      <x:c r="O58" s="34" t="n">
        <x:v>48</x:v>
      </x:c>
      <x:c r="P58" s="34" t="n">
        <x:v>1</x:v>
      </x:c>
      <x:c r="Q58" s="34" t="n">
        <x:v>48</x:v>
      </x:c>
      <x:c r="R58" s="33" t="n">
        <x:v>42</x:v>
      </x:c>
      <x:c r="S58" s="38" t="n">
        <x:v>2.016</x:v>
      </x:c>
      <x:c r="T58" s="38" t="n">
        <x:v>0.1008</x:v>
      </x:c>
      <x:c r="U58" s="38" t="n">
        <x:v>0.09576000000000001</x:v>
      </x:c>
      <x:c r="V58" s="38" t="n">
        <x:v>1.81944</x:v>
      </x:c>
      <x:c r="W58" s="38" t="n">
        <x:v>0.7224</x:v>
      </x:c>
      <x:c r="X58" s="38" t="n">
        <x:v>0</x:v>
      </x:c>
      <x:c r="Y58" s="38" t="n">
        <x:v>0.272916</x:v>
      </x:c>
      <x:c r="Z58" s="38" t="n">
        <x:v>0.24960000000000002</x:v>
      </x:c>
      <x:c r="AA58" s="38" t="n">
        <x:v>0.10319999999999999</x:v>
      </x:c>
      <x:c r="AB58" s="38" t="n">
        <x:v>0.001344</x:v>
      </x:c>
      <x:c r="AC58" s="38" t="n">
        <x:v>0.46997999999999984</x:v>
      </x:c>
      <x:c r="AD58" s="28" t="n">
        <x:v>0.25831024930747915</x:v>
      </x:c>
    </x:row>
    <x:row r="59">
      <x:c r="A59" s="32" t="n">
        <x:v>45677</x:v>
      </x:c>
      <x:c r="B59" s="32" t="n">
        <x:v>45658</x:v>
      </x:c>
      <x:c r="C59" t="str">
        <x:v>Jan 2025</x:v>
      </x:c>
      <x:c r="D59" t="str">
        <x:v>Actual</x:v>
      </x:c>
      <x:c r="E59" t="str">
        <x:v>DB-104</x:v>
      </x:c>
      <x:c r="F59" t="str">
        <x:v>SunNest Cooling Towel</x:v>
      </x:c>
      <x:c r="G59" t="str">
        <x:v>Consumable repeat</x:v>
      </x:c>
      <x:c r="H59" t="str">
        <x:v>Summer peak</x:v>
      </x:c>
      <x:c r="I59" t="str">
        <x:v>Active</x:v>
      </x:c>
      <x:c r="J59" t="str">
        <x:v>Wholesale</x:v>
      </x:c>
      <x:c r="K59" t="str">
        <x:v>Retailer</x:v>
      </x:c>
      <x:c r="L59" t="str">
        <x:v>All Geographies</x:v>
      </x:c>
      <x:c r="M59" s="34" t="n">
        <x:v>731</x:v>
      </x:c>
      <x:c r="N59" s="28" t="n">
        <x:v>0.018216000000000003</x:v>
      </x:c>
      <x:c r="O59" s="34" t="n">
        <x:v>13</x:v>
      </x:c>
      <x:c r="P59" s="34" t="n">
        <x:v>1</x:v>
      </x:c>
      <x:c r="Q59" s="34" t="n">
        <x:v>13</x:v>
      </x:c>
      <x:c r="R59" s="33" t="n">
        <x:v>42</x:v>
      </x:c>
      <x:c r="S59" s="38" t="n">
        <x:v>0.546</x:v>
      </x:c>
      <x:c r="T59" s="38" t="n">
        <x:v>0.1911</x:v>
      </x:c>
      <x:c r="U59" s="38" t="n">
        <x:v>0.017745000000000004</x:v>
      </x:c>
      <x:c r="V59" s="38" t="n">
        <x:v>0.33715500000000004</x:v>
      </x:c>
      <x:c r="W59" s="38" t="n">
        <x:v>0.19565000000000002</x:v>
      </x:c>
      <x:c r="X59" s="38" t="n">
        <x:v>0</x:v>
      </x:c>
      <x:c r="Y59" s="38" t="n">
        <x:v>0</x:v>
      </x:c>
      <x:c r="Z59" s="38" t="n">
        <x:v>0.0299</x:v>
      </x:c>
      <x:c r="AA59" s="38" t="n">
        <x:v>0.011049999999999999</x:v>
      </x:c>
      <x:c r="AB59" s="38" t="n">
        <x:v>0.000364</x:v>
      </x:c>
      <x:c r="AC59" s="38" t="n">
        <x:v>0.10019100000000002</x:v>
      </x:c>
      <x:c r="AD59" s="28" t="n">
        <x:v>0.29716599190283405</x:v>
      </x:c>
    </x:row>
    <x:row r="60">
      <x:c r="A60" s="32" t="n">
        <x:v>45677</x:v>
      </x:c>
      <x:c r="B60" s="32" t="n">
        <x:v>45658</x:v>
      </x:c>
      <x:c r="C60" t="str">
        <x:v>Jan 2025</x:v>
      </x:c>
      <x:c r="D60" t="str">
        <x:v>Actual</x:v>
      </x:c>
      <x:c r="E60" t="str">
        <x:v>DB-104</x:v>
      </x:c>
      <x:c r="F60" t="str">
        <x:v>SunNest Cooling Towel</x:v>
      </x:c>
      <x:c r="G60" t="str">
        <x:v>Consumable repeat</x:v>
      </x:c>
      <x:c r="H60" t="str">
        <x:v>Summer peak</x:v>
      </x:c>
      <x:c r="I60" t="str">
        <x:v>Active</x:v>
      </x:c>
      <x:c r="J60" t="str">
        <x:v>TikTok Shop</x:v>
      </x:c>
      <x:c r="K60" t="str">
        <x:v>Social Commerce</x:v>
      </x:c>
      <x:c r="L60" t="str">
        <x:v>All Geographies</x:v>
      </x:c>
      <x:c r="M60" s="34" t="n">
        <x:v>487</x:v>
      </x:c>
      <x:c r="N60" s="28" t="n">
        <x:v>0.0417312</x:v>
      </x:c>
      <x:c r="O60" s="34" t="n">
        <x:v>20</x:v>
      </x:c>
      <x:c r="P60" s="34" t="n">
        <x:v>1</x:v>
      </x:c>
      <x:c r="Q60" s="34" t="n">
        <x:v>20</x:v>
      </x:c>
      <x:c r="R60" s="33" t="n">
        <x:v>42</x:v>
      </x:c>
      <x:c r="S60" s="38" t="n">
        <x:v>0.84</x:v>
      </x:c>
      <x:c r="T60" s="38" t="n">
        <x:v>0.10079999999999999</x:v>
      </x:c>
      <x:c r="U60" s="38" t="n">
        <x:v>0.03696</x:v>
      </x:c>
      <x:c r="V60" s="38" t="n">
        <x:v>0.70224</x:v>
      </x:c>
      <x:c r="W60" s="38" t="n">
        <x:v>0.301</x:v>
      </x:c>
      <x:c r="X60" s="38" t="n">
        <x:v>0.02036496</x:v>
      </x:c>
      <x:c r="Y60" s="38" t="n">
        <x:v>0.042134399999999995</x:v>
      </x:c>
      <x:c r="Z60" s="38" t="n">
        <x:v>0.102</x:v>
      </x:c>
      <x:c r="AA60" s="38" t="n">
        <x:v>0.035</x:v>
      </x:c>
      <x:c r="AB60" s="38" t="n">
        <x:v>0.00056</x:v>
      </x:c>
      <x:c r="AC60" s="38" t="n">
        <x:v>0.20118064</x:v>
      </x:c>
      <x:c r="AD60" s="28" t="n">
        <x:v>0.2864841649578492</x:v>
      </x:c>
    </x:row>
    <x:row r="61">
      <x:c r="A61" s="32" t="n">
        <x:v>45677</x:v>
      </x:c>
      <x:c r="B61" s="32" t="n">
        <x:v>45658</x:v>
      </x:c>
      <x:c r="C61" t="str">
        <x:v>Jan 2025</x:v>
      </x:c>
      <x:c r="D61" t="str">
        <x:v>Actual</x:v>
      </x:c>
      <x:c r="E61" t="str">
        <x:v>DB-105</x:v>
      </x:c>
      <x:c r="F61" t="str">
        <x:v>DreamFuel Refill Pack</x:v>
      </x:c>
      <x:c r="G61" t="str">
        <x:v>Subscription</x:v>
      </x:c>
      <x:c r="H61" t="str">
        <x:v>None</x:v>
      </x:c>
      <x:c r="I61" t="str">
        <x:v>Active</x:v>
      </x:c>
      <x:c r="J61" t="str">
        <x:v>Shopify DTC</x:v>
      </x:c>
      <x:c r="K61" t="str">
        <x:v>Consumer</x:v>
      </x:c>
      <x:c r="L61" t="str">
        <x:v>All Geographies</x:v>
      </x:c>
      <x:c r="M61" s="34" t="n">
        <x:v>3438</x:v>
      </x:c>
      <x:c r="N61" s="28" t="n">
        <x:v>0.03888</x:v>
      </x:c>
      <x:c r="O61" s="34" t="n">
        <x:v>134</x:v>
      </x:c>
      <x:c r="P61" s="34" t="n">
        <x:v>1</x:v>
      </x:c>
      <x:c r="Q61" s="34" t="n">
        <x:v>134</x:v>
      </x:c>
      <x:c r="R61" s="33" t="n">
        <x:v>56</x:v>
      </x:c>
      <x:c r="S61" s="38" t="n">
        <x:v>7.504</x:v>
      </x:c>
      <x:c r="T61" s="38" t="n">
        <x:v>0.60032</x:v>
      </x:c>
      <x:c r="U61" s="38" t="n">
        <x:v>0.1380736</x:v>
      </x:c>
      <x:c r="V61" s="38" t="n">
        <x:v>6.765606399999999</x:v>
      </x:c>
      <x:c r="W61" s="38" t="n">
        <x:v>2.4950799999999997</x:v>
      </x:c>
      <x:c r="X61" s="38" t="n">
        <x:v>0.19620258559999998</x:v>
      </x:c>
      <x:c r="Y61" s="38" t="n">
        <x:v>0</x:v>
      </x:c>
      <x:c r="Z61" s="38" t="n">
        <x:v>0.5561</x:v>
      </x:c>
      <x:c r="AA61" s="38" t="n">
        <x:v>0.2211</x:v>
      </x:c>
      <x:c r="AB61" s="38" t="n">
        <x:v>0.0004824</x:v>
      </x:c>
      <x:c r="AC61" s="38" t="n">
        <x:v>3.2966414144</x:v>
      </x:c>
      <x:c r="AD61" s="28" t="n">
        <x:v>0.4872647357079478</x:v>
      </x:c>
    </x:row>
    <x:row r="62">
      <x:c r="A62" s="32" t="n">
        <x:v>45677</x:v>
      </x:c>
      <x:c r="B62" s="32" t="n">
        <x:v>45658</x:v>
      </x:c>
      <x:c r="C62" t="str">
        <x:v>Jan 2025</x:v>
      </x:c>
      <x:c r="D62" t="str">
        <x:v>Actual</x:v>
      </x:c>
      <x:c r="E62" t="str">
        <x:v>DB-105</x:v>
      </x:c>
      <x:c r="F62" t="str">
        <x:v>DreamFuel Refill Pack</x:v>
      </x:c>
      <x:c r="G62" t="str">
        <x:v>Subscription</x:v>
      </x:c>
      <x:c r="H62" t="str">
        <x:v>None</x:v>
      </x:c>
      <x:c r="I62" t="str">
        <x:v>Active</x:v>
      </x:c>
      <x:c r="J62" t="str">
        <x:v>Amazon Marketplace</x:v>
      </x:c>
      <x:c r="K62" t="str">
        <x:v>Marketplace Consumer</x:v>
      </x:c>
      <x:c r="L62" t="str">
        <x:v>All Geographies</x:v>
      </x:c>
      <x:c r="M62" s="34" t="n">
        <x:v>1719</x:v>
      </x:c>
      <x:c r="N62" s="28" t="n">
        <x:v>0.0458784</x:v>
      </x:c>
      <x:c r="O62" s="34" t="n">
        <x:v>79</x:v>
      </x:c>
      <x:c r="P62" s="34" t="n">
        <x:v>1</x:v>
      </x:c>
      <x:c r="Q62" s="34" t="n">
        <x:v>79</x:v>
      </x:c>
      <x:c r="R62" s="33" t="n">
        <x:v>56</x:v>
      </x:c>
      <x:c r="S62" s="38" t="n">
        <x:v>4.424</x:v>
      </x:c>
      <x:c r="T62" s="38" t="n">
        <x:v>0.22120000000000004</x:v>
      </x:c>
      <x:c r="U62" s="38" t="n">
        <x:v>0.08405600000000002</x:v>
      </x:c>
      <x:c r="V62" s="38" t="n">
        <x:v>4.118744</x:v>
      </x:c>
      <x:c r="W62" s="38" t="n">
        <x:v>1.47098</x:v>
      </x:c>
      <x:c r="X62" s="38" t="n">
        <x:v>0</x:v>
      </x:c>
      <x:c r="Y62" s="38" t="n">
        <x:v>0.6178116</x:v>
      </x:c>
      <x:c r="Z62" s="38" t="n">
        <x:v>0.4108</x:v>
      </x:c>
      <x:c r="AA62" s="38" t="n">
        <x:v>0.16985</x:v>
      </x:c>
      <x:c r="AB62" s="38" t="n">
        <x:v>0.0002844</x:v>
      </x:c>
      <x:c r="AC62" s="38" t="n">
        <x:v>1.4490180000000004</x:v>
      </x:c>
      <x:c r="AD62" s="28" t="n">
        <x:v>0.35181064907165877</x:v>
      </x:c>
    </x:row>
    <x:row r="63">
      <x:c r="A63" s="32" t="n">
        <x:v>45677</x:v>
      </x:c>
      <x:c r="B63" s="32" t="n">
        <x:v>45658</x:v>
      </x:c>
      <x:c r="C63" t="str">
        <x:v>Jan 2025</x:v>
      </x:c>
      <x:c r="D63" t="str">
        <x:v>Actual</x:v>
      </x:c>
      <x:c r="E63" t="str">
        <x:v>DB-105</x:v>
      </x:c>
      <x:c r="F63" t="str">
        <x:v>DreamFuel Refill Pack</x:v>
      </x:c>
      <x:c r="G63" t="str">
        <x:v>Subscription</x:v>
      </x:c>
      <x:c r="H63" t="str">
        <x:v>None</x:v>
      </x:c>
      <x:c r="I63" t="str">
        <x:v>Active</x:v>
      </x:c>
      <x:c r="J63" t="str">
        <x:v>Wholesale</x:v>
      </x:c>
      <x:c r="K63" t="str">
        <x:v>Retailer</x:v>
      </x:c>
      <x:c r="L63" t="str">
        <x:v>All Geographies</x:v>
      </x:c>
      <x:c r="M63" s="34" t="n">
        <x:v>1031</x:v>
      </x:c>
      <x:c r="N63" s="28" t="n">
        <x:v>0.021384000000000004</x:v>
      </x:c>
      <x:c r="O63" s="34" t="n">
        <x:v>22</x:v>
      </x:c>
      <x:c r="P63" s="34" t="n">
        <x:v>1</x:v>
      </x:c>
      <x:c r="Q63" s="34" t="n">
        <x:v>22</x:v>
      </x:c>
      <x:c r="R63" s="33" t="n">
        <x:v>56</x:v>
      </x:c>
      <x:c r="S63" s="38" t="n">
        <x:v>1.232</x:v>
      </x:c>
      <x:c r="T63" s="38" t="n">
        <x:v>0.43119999999999997</x:v>
      </x:c>
      <x:c r="U63" s="38" t="n">
        <x:v>0.016016</x:v>
      </x:c>
      <x:c r="V63" s="38" t="n">
        <x:v>0.7847839999999999</x:v>
      </x:c>
      <x:c r="W63" s="38" t="n">
        <x:v>0.40964000000000006</x:v>
      </x:c>
      <x:c r="X63" s="38" t="n">
        <x:v>0</x:v>
      </x:c>
      <x:c r="Y63" s="38" t="n">
        <x:v>0</x:v>
      </x:c>
      <x:c r="Z63" s="38" t="n">
        <x:v>0.05059999999999999</x:v>
      </x:c>
      <x:c r="AA63" s="38" t="n">
        <x:v>0.018699999999999998</x:v>
      </x:c>
      <x:c r="AB63" s="38" t="n">
        <x:v>0.0000792</x:v>
      </x:c>
      <x:c r="AC63" s="38" t="n">
        <x:v>0.3057647999999999</x:v>
      </x:c>
      <x:c r="AD63" s="28" t="n">
        <x:v>0.38961650594303643</x:v>
      </x:c>
    </x:row>
    <x:row r="64">
      <x:c r="A64" s="32" t="n">
        <x:v>45677</x:v>
      </x:c>
      <x:c r="B64" s="32" t="n">
        <x:v>45658</x:v>
      </x:c>
      <x:c r="C64" t="str">
        <x:v>Jan 2025</x:v>
      </x:c>
      <x:c r="D64" t="str">
        <x:v>Actual</x:v>
      </x:c>
      <x:c r="E64" t="str">
        <x:v>DB-105</x:v>
      </x:c>
      <x:c r="F64" t="str">
        <x:v>DreamFuel Refill Pack</x:v>
      </x:c>
      <x:c r="G64" t="str">
        <x:v>Subscription</x:v>
      </x:c>
      <x:c r="H64" t="str">
        <x:v>None</x:v>
      </x:c>
      <x:c r="I64" t="str">
        <x:v>Active</x:v>
      </x:c>
      <x:c r="J64" t="str">
        <x:v>TikTok Shop</x:v>
      </x:c>
      <x:c r="K64" t="str">
        <x:v>Social Commerce</x:v>
      </x:c>
      <x:c r="L64" t="str">
        <x:v>All Geographies</x:v>
      </x:c>
      <x:c r="M64" s="34" t="n">
        <x:v>688</x:v>
      </x:c>
      <x:c r="N64" s="28" t="n">
        <x:v>0.0489888</x:v>
      </x:c>
      <x:c r="O64" s="34" t="n">
        <x:v>34</x:v>
      </x:c>
      <x:c r="P64" s="34" t="n">
        <x:v>1</x:v>
      </x:c>
      <x:c r="Q64" s="34" t="n">
        <x:v>34</x:v>
      </x:c>
      <x:c r="R64" s="33" t="n">
        <x:v>56</x:v>
      </x:c>
      <x:c r="S64" s="38" t="n">
        <x:v>1.904</x:v>
      </x:c>
      <x:c r="T64" s="38" t="n">
        <x:v>0.22848</x:v>
      </x:c>
      <x:c r="U64" s="38" t="n">
        <x:v>0.033510399999999996</x:v>
      </x:c>
      <x:c r="V64" s="38" t="n">
        <x:v>1.6420096</x:v>
      </x:c>
      <x:c r="W64" s="38" t="n">
        <x:v>0.6330800000000001</x:v>
      </x:c>
      <x:c r="X64" s="38" t="n">
        <x:v>0.0476182784</x:v>
      </x:c>
      <x:c r="Y64" s="38" t="n">
        <x:v>0.098520576</x:v>
      </x:c>
      <x:c r="Z64" s="38" t="n">
        <x:v>0.17339999999999997</x:v>
      </x:c>
      <x:c r="AA64" s="38" t="n">
        <x:v>0.0595</x:v>
      </x:c>
      <x:c r="AB64" s="38" t="n">
        <x:v>0.00012240000000000002</x:v>
      </x:c>
      <x:c r="AC64" s="38" t="n">
        <x:v>0.6297683456</x:v>
      </x:c>
      <x:c r="AD64" s="28" t="n">
        <x:v>0.3835351179432812</x:v>
      </x:c>
    </x:row>
    <x:row r="65">
      <x:c r="A65" s="32" t="n">
        <x:v>45684</x:v>
      </x:c>
      <x:c r="B65" s="32" t="n">
        <x:v>45658</x:v>
      </x:c>
      <x:c r="C65" t="str">
        <x:v>Jan 2025</x:v>
      </x:c>
      <x:c r="D65" t="str">
        <x:v>Actual</x:v>
      </x:c>
      <x:c r="E65" t="str">
        <x:v>DB-101</x:v>
      </x:c>
      <x:c r="F65" t="str">
        <x:v>AeroSip Bottle</x:v>
      </x:c>
      <x:c r="G65" t="str">
        <x:v>One-time purchase</x:v>
      </x:c>
      <x:c r="H65" t="str">
        <x:v>None</x:v>
      </x:c>
      <x:c r="I65" t="str">
        <x:v>Active</x:v>
      </x:c>
      <x:c r="J65" t="str">
        <x:v>Shopify DTC</x:v>
      </x:c>
      <x:c r="K65" t="str">
        <x:v>Consumer</x:v>
      </x:c>
      <x:c r="L65" t="str">
        <x:v>All Geographies</x:v>
      </x:c>
      <x:c r="M65" s="34" t="n">
        <x:v>4986</x:v>
      </x:c>
      <x:c r="N65" s="28" t="n">
        <x:v>0.034199999999999994</x:v>
      </x:c>
      <x:c r="O65" s="34" t="n">
        <x:v>171</x:v>
      </x:c>
      <x:c r="P65" s="34" t="n">
        <x:v>1</x:v>
      </x:c>
      <x:c r="Q65" s="34" t="n">
        <x:v>171</x:v>
      </x:c>
      <x:c r="R65" s="33" t="n">
        <x:v>29</x:v>
      </x:c>
      <x:c r="S65" s="38" t="n">
        <x:v>4.959</x:v>
      </x:c>
      <x:c r="T65" s="38" t="n">
        <x:v>0.39671999999999996</x:v>
      </x:c>
      <x:c r="U65" s="38" t="n">
        <x:v>0.20530259999999997</x:v>
      </x:c>
      <x:c r="V65" s="38" t="n">
        <x:v>4.3569774</x:v>
      </x:c>
      <x:c r="W65" s="38" t="n">
        <x:v>1.8468000000000002</x:v>
      </x:c>
      <x:c r="X65" s="38" t="n">
        <x:v>0.1263523446</x:v>
      </x:c>
      <x:c r="Y65" s="38" t="n">
        <x:v>0</x:v>
      </x:c>
      <x:c r="Z65" s="38" t="n">
        <x:v>0.7096500000000001</x:v>
      </x:c>
      <x:c r="AA65" s="38" t="n">
        <x:v>0.28214999999999996</x:v>
      </x:c>
      <x:c r="AB65" s="38" t="n">
        <x:v>0.006156000000000001</x:v>
      </x:c>
      <x:c r="AC65" s="38" t="n">
        <x:v>1.3858690554</x:v>
      </x:c>
      <x:c r="AD65" s="28" t="n">
        <x:v>0.3180803865083165</x:v>
      </x:c>
    </x:row>
    <x:row r="66">
      <x:c r="A66" s="32" t="n">
        <x:v>45684</x:v>
      </x:c>
      <x:c r="B66" s="32" t="n">
        <x:v>45658</x:v>
      </x:c>
      <x:c r="C66" t="str">
        <x:v>Jan 2025</x:v>
      </x:c>
      <x:c r="D66" t="str">
        <x:v>Actual</x:v>
      </x:c>
      <x:c r="E66" t="str">
        <x:v>DB-101</x:v>
      </x:c>
      <x:c r="F66" t="str">
        <x:v>AeroSip Bottle</x:v>
      </x:c>
      <x:c r="G66" t="str">
        <x:v>One-time purchase</x:v>
      </x:c>
      <x:c r="H66" t="str">
        <x:v>None</x:v>
      </x:c>
      <x:c r="I66" t="str">
        <x:v>Active</x:v>
      </x:c>
      <x:c r="J66" t="str">
        <x:v>Amazon Marketplace</x:v>
      </x:c>
      <x:c r="K66" t="str">
        <x:v>Marketplace Consumer</x:v>
      </x:c>
      <x:c r="L66" t="str">
        <x:v>All Geographies</x:v>
      </x:c>
      <x:c r="M66" s="34" t="n">
        <x:v>2493</x:v>
      </x:c>
      <x:c r="N66" s="28" t="n">
        <x:v>0.040355999999999996</x:v>
      </x:c>
      <x:c r="O66" s="34" t="n">
        <x:v>101</x:v>
      </x:c>
      <x:c r="P66" s="34" t="n">
        <x:v>1</x:v>
      </x:c>
      <x:c r="Q66" s="34" t="n">
        <x:v>101</x:v>
      </x:c>
      <x:c r="R66" s="33" t="n">
        <x:v>29</x:v>
      </x:c>
      <x:c r="S66" s="38" t="n">
        <x:v>2.929</x:v>
      </x:c>
      <x:c r="T66" s="38" t="n">
        <x:v>0.14645</x:v>
      </x:c>
      <x:c r="U66" s="38" t="n">
        <x:v>0.12521474999999999</x:v>
      </x:c>
      <x:c r="V66" s="38" t="n">
        <x:v>2.6573352499999996</x:v>
      </x:c>
      <x:c r="W66" s="38" t="n">
        <x:v>1.0908000000000002</x:v>
      </x:c>
      <x:c r="X66" s="38" t="n">
        <x:v>0</x:v>
      </x:c>
      <x:c r="Y66" s="38" t="n">
        <x:v>0.39860028749999993</x:v>
      </x:c>
      <x:c r="Z66" s="38" t="n">
        <x:v>0.5252</x:v>
      </x:c>
      <x:c r="AA66" s="38" t="n">
        <x:v>0.21714999999999998</x:v>
      </x:c>
      <x:c r="AB66" s="38" t="n">
        <x:v>0.003636</x:v>
      </x:c>
      <x:c r="AC66" s="38" t="n">
        <x:v>0.4219489624999996</x:v>
      </x:c>
      <x:c r="AD66" s="28" t="n">
        <x:v>0.15878649955815685</x:v>
      </x:c>
    </x:row>
    <x:row r="67">
      <x:c r="A67" s="32" t="n">
        <x:v>45684</x:v>
      </x:c>
      <x:c r="B67" s="32" t="n">
        <x:v>45658</x:v>
      </x:c>
      <x:c r="C67" t="str">
        <x:v>Jan 2025</x:v>
      </x:c>
      <x:c r="D67" t="str">
        <x:v>Actual</x:v>
      </x:c>
      <x:c r="E67" t="str">
        <x:v>DB-101</x:v>
      </x:c>
      <x:c r="F67" t="str">
        <x:v>AeroSip Bottle</x:v>
      </x:c>
      <x:c r="G67" t="str">
        <x:v>One-time purchase</x:v>
      </x:c>
      <x:c r="H67" t="str">
        <x:v>None</x:v>
      </x:c>
      <x:c r="I67" t="str">
        <x:v>Active</x:v>
      </x:c>
      <x:c r="J67" t="str">
        <x:v>Wholesale</x:v>
      </x:c>
      <x:c r="K67" t="str">
        <x:v>Retailer</x:v>
      </x:c>
      <x:c r="L67" t="str">
        <x:v>All Geographies</x:v>
      </x:c>
      <x:c r="M67" s="34" t="n">
        <x:v>1496</x:v>
      </x:c>
      <x:c r="N67" s="28" t="n">
        <x:v>0.01881</x:v>
      </x:c>
      <x:c r="O67" s="34" t="n">
        <x:v>28</x:v>
      </x:c>
      <x:c r="P67" s="34" t="n">
        <x:v>1</x:v>
      </x:c>
      <x:c r="Q67" s="34" t="n">
        <x:v>28</x:v>
      </x:c>
      <x:c r="R67" s="33" t="n">
        <x:v>29</x:v>
      </x:c>
      <x:c r="S67" s="38" t="n">
        <x:v>0.812</x:v>
      </x:c>
      <x:c r="T67" s="38" t="n">
        <x:v>0.2842</x:v>
      </x:c>
      <x:c r="U67" s="38" t="n">
        <x:v>0.023751</x:v>
      </x:c>
      <x:c r="V67" s="38" t="n">
        <x:v>0.5040490000000001</x:v>
      </x:c>
      <x:c r="W67" s="38" t="n">
        <x:v>0.30240000000000006</x:v>
      </x:c>
      <x:c r="X67" s="38" t="n">
        <x:v>0</x:v>
      </x:c>
      <x:c r="Y67" s="38" t="n">
        <x:v>0</x:v>
      </x:c>
      <x:c r="Z67" s="38" t="n">
        <x:v>0.06439999999999999</x:v>
      </x:c>
      <x:c r="AA67" s="38" t="n">
        <x:v>0.0238</x:v>
      </x:c>
      <x:c r="AB67" s="38" t="n">
        <x:v>0.001008</x:v>
      </x:c>
      <x:c r="AC67" s="38" t="n">
        <x:v>0.11244100000000004</x:v>
      </x:c>
      <x:c r="AD67" s="28" t="n">
        <x:v>0.22307553432305197</x:v>
      </x:c>
    </x:row>
    <x:row r="68">
      <x:c r="A68" s="32" t="n">
        <x:v>45684</x:v>
      </x:c>
      <x:c r="B68" s="32" t="n">
        <x:v>45658</x:v>
      </x:c>
      <x:c r="C68" t="str">
        <x:v>Jan 2025</x:v>
      </x:c>
      <x:c r="D68" t="str">
        <x:v>Actual</x:v>
      </x:c>
      <x:c r="E68" t="str">
        <x:v>DB-101</x:v>
      </x:c>
      <x:c r="F68" t="str">
        <x:v>AeroSip Bottle</x:v>
      </x:c>
      <x:c r="G68" t="str">
        <x:v>One-time purchase</x:v>
      </x:c>
      <x:c r="H68" t="str">
        <x:v>None</x:v>
      </x:c>
      <x:c r="I68" t="str">
        <x:v>Active</x:v>
      </x:c>
      <x:c r="J68" t="str">
        <x:v>TikTok Shop</x:v>
      </x:c>
      <x:c r="K68" t="str">
        <x:v>Social Commerce</x:v>
      </x:c>
      <x:c r="L68" t="str">
        <x:v>All Geographies</x:v>
      </x:c>
      <x:c r="M68" s="34" t="n">
        <x:v>997</x:v>
      </x:c>
      <x:c r="N68" s="28" t="n">
        <x:v>0.043092</x:v>
      </x:c>
      <x:c r="O68" s="34" t="n">
        <x:v>43</x:v>
      </x:c>
      <x:c r="P68" s="34" t="n">
        <x:v>1</x:v>
      </x:c>
      <x:c r="Q68" s="34" t="n">
        <x:v>43</x:v>
      </x:c>
      <x:c r="R68" s="33" t="n">
        <x:v>29</x:v>
      </x:c>
      <x:c r="S68" s="38" t="n">
        <x:v>1.247</x:v>
      </x:c>
      <x:c r="T68" s="38" t="n">
        <x:v>0.14964</x:v>
      </x:c>
      <x:c r="U68" s="38" t="n">
        <x:v>0.0493812</x:v>
      </x:c>
      <x:c r="V68" s="38" t="n">
        <x:v>1.0479788</x:v>
      </x:c>
      <x:c r="W68" s="38" t="n">
        <x:v>0.46440000000000003</x:v>
      </x:c>
      <x:c r="X68" s="38" t="n">
        <x:v>0.030391385200000006</x:v>
      </x:c>
      <x:c r="Y68" s="38" t="n">
        <x:v>0.06287872800000001</x:v>
      </x:c>
      <x:c r="Z68" s="38" t="n">
        <x:v>0.2193</x:v>
      </x:c>
      <x:c r="AA68" s="38" t="n">
        <x:v>0.07525</x:v>
      </x:c>
      <x:c r="AB68" s="38" t="n">
        <x:v>0.0015480000000000001</x:v>
      </x:c>
      <x:c r="AC68" s="38" t="n">
        <x:v>0.19421068680000014</x:v>
      </x:c>
      <x:c r="AD68" s="28" t="n">
        <x:v>0.18531928966502006</x:v>
      </x:c>
    </x:row>
    <x:row r="69">
      <x:c r="A69" s="32" t="n">
        <x:v>45684</x:v>
      </x:c>
      <x:c r="B69" s="32" t="n">
        <x:v>45658</x:v>
      </x:c>
      <x:c r="C69" t="str">
        <x:v>Jan 2025</x:v>
      </x:c>
      <x:c r="D69" t="str">
        <x:v>Actual</x:v>
      </x:c>
      <x:c r="E69" t="str">
        <x:v>DB-102</x:v>
      </x:c>
      <x:c r="F69" t="str">
        <x:v>GlowPatch Balm</x:v>
      </x:c>
      <x:c r="G69" t="str">
        <x:v>Consumable repeat</x:v>
      </x:c>
      <x:c r="H69" t="str">
        <x:v>None</x:v>
      </x:c>
      <x:c r="I69" t="str">
        <x:v>Active</x:v>
      </x:c>
      <x:c r="J69" t="str">
        <x:v>Shopify DTC</x:v>
      </x:c>
      <x:c r="K69" t="str">
        <x:v>Consumer</x:v>
      </x:c>
      <x:c r="L69" t="str">
        <x:v>All Geographies</x:v>
      </x:c>
      <x:c r="M69" s="34" t="n">
        <x:v>4027</x:v>
      </x:c>
      <x:c r="N69" s="28" t="n">
        <x:v>0.04248</x:v>
      </x:c>
      <x:c r="O69" s="34" t="n">
        <x:v>171</x:v>
      </x:c>
      <x:c r="P69" s="34" t="n">
        <x:v>1</x:v>
      </x:c>
      <x:c r="Q69" s="34" t="n">
        <x:v>171</x:v>
      </x:c>
      <x:c r="R69" s="33" t="n">
        <x:v>18</x:v>
      </x:c>
      <x:c r="S69" s="38" t="n">
        <x:v>3.078</x:v>
      </x:c>
      <x:c r="T69" s="38" t="n">
        <x:v>0.24624</x:v>
      </x:c>
      <x:c r="U69" s="38" t="n">
        <x:v>0.07079400000000001</x:v>
      </x:c>
      <x:c r="V69" s="38" t="n">
        <x:v>2.7609660000000003</x:v>
      </x:c>
      <x:c r="W69" s="38" t="n">
        <x:v>0.92511</x:v>
      </x:c>
      <x:c r="X69" s="38" t="n">
        <x:v>0.080068014</x:v>
      </x:c>
      <x:c r="Y69" s="38" t="n">
        <x:v>0</x:v>
      </x:c>
      <x:c r="Z69" s="38" t="n">
        <x:v>0.7096500000000001</x:v>
      </x:c>
      <x:c r="AA69" s="38" t="n">
        <x:v>0.28214999999999996</x:v>
      </x:c>
      <x:c r="AB69" s="38" t="n">
        <x:v>0.001026</x:v>
      </x:c>
      <x:c r="AC69" s="38" t="n">
        <x:v>0.7629619860000001</x:v>
      </x:c>
      <x:c r="AD69" s="28" t="n">
        <x:v>0.2763387835996532</x:v>
      </x:c>
    </x:row>
    <x:row r="70">
      <x:c r="A70" s="32" t="n">
        <x:v>45684</x:v>
      </x:c>
      <x:c r="B70" s="32" t="n">
        <x:v>45658</x:v>
      </x:c>
      <x:c r="C70" t="str">
        <x:v>Jan 2025</x:v>
      </x:c>
      <x:c r="D70" t="str">
        <x:v>Actual</x:v>
      </x:c>
      <x:c r="E70" t="str">
        <x:v>DB-102</x:v>
      </x:c>
      <x:c r="F70" t="str">
        <x:v>GlowPatch Balm</x:v>
      </x:c>
      <x:c r="G70" t="str">
        <x:v>Consumable repeat</x:v>
      </x:c>
      <x:c r="H70" t="str">
        <x:v>None</x:v>
      </x:c>
      <x:c r="I70" t="str">
        <x:v>Active</x:v>
      </x:c>
      <x:c r="J70" t="str">
        <x:v>Amazon Marketplace</x:v>
      </x:c>
      <x:c r="K70" t="str">
        <x:v>Marketplace Consumer</x:v>
      </x:c>
      <x:c r="L70" t="str">
        <x:v>All Geographies</x:v>
      </x:c>
      <x:c r="M70" s="34" t="n">
        <x:v>2014</x:v>
      </x:c>
      <x:c r="N70" s="28" t="n">
        <x:v>0.050126399999999995</x:v>
      </x:c>
      <x:c r="O70" s="34" t="n">
        <x:v>101</x:v>
      </x:c>
      <x:c r="P70" s="34" t="n">
        <x:v>1</x:v>
      </x:c>
      <x:c r="Q70" s="34" t="n">
        <x:v>101</x:v>
      </x:c>
      <x:c r="R70" s="33" t="n">
        <x:v>18</x:v>
      </x:c>
      <x:c r="S70" s="38" t="n">
        <x:v>1.818</x:v>
      </x:c>
      <x:c r="T70" s="38" t="n">
        <x:v>0.09090000000000001</x:v>
      </x:c>
      <x:c r="U70" s="38" t="n">
        <x:v>0.04317750000000001</x:v>
      </x:c>
      <x:c r="V70" s="38" t="n">
        <x:v>1.6839225</x:v>
      </x:c>
      <x:c r="W70" s="38" t="n">
        <x:v>0.54641</x:v>
      </x:c>
      <x:c r="X70" s="38" t="n">
        <x:v>0</x:v>
      </x:c>
      <x:c r="Y70" s="38" t="n">
        <x:v>0.252588375</x:v>
      </x:c>
      <x:c r="Z70" s="38" t="n">
        <x:v>0.5252</x:v>
      </x:c>
      <x:c r="AA70" s="38" t="n">
        <x:v>0.21714999999999998</x:v>
      </x:c>
      <x:c r="AB70" s="38" t="n">
        <x:v>0.0006060000000000001</x:v>
      </x:c>
      <x:c r="AC70" s="38" t="n">
        <x:v>0.1419681250000002</x:v>
      </x:c>
      <x:c r="AD70" s="28" t="n">
        <x:v>0.08430799220272917</x:v>
      </x:c>
    </x:row>
    <x:row r="71">
      <x:c r="A71" s="32" t="n">
        <x:v>45684</x:v>
      </x:c>
      <x:c r="B71" s="32" t="n">
        <x:v>45658</x:v>
      </x:c>
      <x:c r="C71" t="str">
        <x:v>Jan 2025</x:v>
      </x:c>
      <x:c r="D71" t="str">
        <x:v>Actual</x:v>
      </x:c>
      <x:c r="E71" t="str">
        <x:v>DB-102</x:v>
      </x:c>
      <x:c r="F71" t="str">
        <x:v>GlowPatch Balm</x:v>
      </x:c>
      <x:c r="G71" t="str">
        <x:v>Consumable repeat</x:v>
      </x:c>
      <x:c r="H71" t="str">
        <x:v>None</x:v>
      </x:c>
      <x:c r="I71" t="str">
        <x:v>Active</x:v>
      </x:c>
      <x:c r="J71" t="str">
        <x:v>Wholesale</x:v>
      </x:c>
      <x:c r="K71" t="str">
        <x:v>Retailer</x:v>
      </x:c>
      <x:c r="L71" t="str">
        <x:v>All Geographies</x:v>
      </x:c>
      <x:c r="M71" s="34" t="n">
        <x:v>1208</x:v>
      </x:c>
      <x:c r="N71" s="28" t="n">
        <x:v>0.023364</x:v>
      </x:c>
      <x:c r="O71" s="34" t="n">
        <x:v>28</x:v>
      </x:c>
      <x:c r="P71" s="34" t="n">
        <x:v>1</x:v>
      </x:c>
      <x:c r="Q71" s="34" t="n">
        <x:v>28</x:v>
      </x:c>
      <x:c r="R71" s="33" t="n">
        <x:v>18</x:v>
      </x:c>
      <x:c r="S71" s="38" t="n">
        <x:v>0.504</x:v>
      </x:c>
      <x:c r="T71" s="38" t="n">
        <x:v>0.1764</x:v>
      </x:c>
      <x:c r="U71" s="38" t="n">
        <x:v>0.008190000000000001</x:v>
      </x:c>
      <x:c r="V71" s="38" t="n">
        <x:v>0.31941</x:v>
      </x:c>
      <x:c r="W71" s="38" t="n">
        <x:v>0.15148000000000003</x:v>
      </x:c>
      <x:c r="X71" s="38" t="n">
        <x:v>0</x:v>
      </x:c>
      <x:c r="Y71" s="38" t="n">
        <x:v>0</x:v>
      </x:c>
      <x:c r="Z71" s="38" t="n">
        <x:v>0.06439999999999999</x:v>
      </x:c>
      <x:c r="AA71" s="38" t="n">
        <x:v>0.0238</x:v>
      </x:c>
      <x:c r="AB71" s="38" t="n">
        <x:v>0.00016800000000000002</x:v>
      </x:c>
      <x:c r="AC71" s="38" t="n">
        <x:v>0.07956200000000001</x:v>
      </x:c>
      <x:c r="AD71" s="28" t="n">
        <x:v>0.24909051062897217</x:v>
      </x:c>
    </x:row>
    <x:row r="72">
      <x:c r="A72" s="32" t="n">
        <x:v>45684</x:v>
      </x:c>
      <x:c r="B72" s="32" t="n">
        <x:v>45658</x:v>
      </x:c>
      <x:c r="C72" t="str">
        <x:v>Jan 2025</x:v>
      </x:c>
      <x:c r="D72" t="str">
        <x:v>Actual</x:v>
      </x:c>
      <x:c r="E72" t="str">
        <x:v>DB-102</x:v>
      </x:c>
      <x:c r="F72" t="str">
        <x:v>GlowPatch Balm</x:v>
      </x:c>
      <x:c r="G72" t="str">
        <x:v>Consumable repeat</x:v>
      </x:c>
      <x:c r="H72" t="str">
        <x:v>None</x:v>
      </x:c>
      <x:c r="I72" t="str">
        <x:v>Active</x:v>
      </x:c>
      <x:c r="J72" t="str">
        <x:v>TikTok Shop</x:v>
      </x:c>
      <x:c r="K72" t="str">
        <x:v>Social Commerce</x:v>
      </x:c>
      <x:c r="L72" t="str">
        <x:v>All Geographies</x:v>
      </x:c>
      <x:c r="M72" s="34" t="n">
        <x:v>805</x:v>
      </x:c>
      <x:c r="N72" s="28" t="n">
        <x:v>0.0535248</x:v>
      </x:c>
      <x:c r="O72" s="34" t="n">
        <x:v>43</x:v>
      </x:c>
      <x:c r="P72" s="34" t="n">
        <x:v>1</x:v>
      </x:c>
      <x:c r="Q72" s="34" t="n">
        <x:v>43</x:v>
      </x:c>
      <x:c r="R72" s="33" t="n">
        <x:v>18</x:v>
      </x:c>
      <x:c r="S72" s="38" t="n">
        <x:v>0.774</x:v>
      </x:c>
      <x:c r="T72" s="38" t="n">
        <x:v>0.09288</x:v>
      </x:c>
      <x:c r="U72" s="38" t="n">
        <x:v>0.017028</x:v>
      </x:c>
      <x:c r="V72" s="38" t="n">
        <x:v>0.664092</x:v>
      </x:c>
      <x:c r="W72" s="38" t="n">
        <x:v>0.23263</x:v>
      </x:c>
      <x:c r="X72" s="38" t="n">
        <x:v>0.019258668000000003</x:v>
      </x:c>
      <x:c r="Y72" s="38" t="n">
        <x:v>0.03984552</x:v>
      </x:c>
      <x:c r="Z72" s="38" t="n">
        <x:v>0.2193</x:v>
      </x:c>
      <x:c r="AA72" s="38" t="n">
        <x:v>0.07525</x:v>
      </x:c>
      <x:c r="AB72" s="38" t="n">
        <x:v>0.000258</x:v>
      </x:c>
      <x:c r="AC72" s="38" t="n">
        <x:v>0.07754981200000002</x:v>
      </x:c>
      <x:c r="AD72" s="28" t="n">
        <x:v>0.11677570577570581</x:v>
      </x:c>
    </x:row>
    <x:row r="73">
      <x:c r="A73" s="32" t="n">
        <x:v>45684</x:v>
      </x:c>
      <x:c r="B73" s="32" t="n">
        <x:v>45658</x:v>
      </x:c>
      <x:c r="C73" t="str">
        <x:v>Jan 2025</x:v>
      </x:c>
      <x:c r="D73" t="str">
        <x:v>Actual</x:v>
      </x:c>
      <x:c r="E73" t="str">
        <x:v>DB-103</x:v>
      </x:c>
      <x:c r="F73" t="str">
        <x:v>EmberTrail Camp Mug</x:v>
      </x:c>
      <x:c r="G73" t="str">
        <x:v>One-time purchase</x:v>
      </x:c>
      <x:c r="H73" t="str">
        <x:v>Winter peak</x:v>
      </x:c>
      <x:c r="I73" t="str">
        <x:v>Active</x:v>
      </x:c>
      <x:c r="J73" t="str">
        <x:v>Shopify DTC</x:v>
      </x:c>
      <x:c r="K73" t="str">
        <x:v>Consumer</x:v>
      </x:c>
      <x:c r="L73" t="str">
        <x:v>All Geographies</x:v>
      </x:c>
      <x:c r="M73" s="34" t="n">
        <x:v>4212</x:v>
      </x:c>
      <x:c r="N73" s="28" t="n">
        <x:v>0.0324</x:v>
      </x:c>
      <x:c r="O73" s="34" t="n">
        <x:v>136</x:v>
      </x:c>
      <x:c r="P73" s="34" t="n">
        <x:v>1</x:v>
      </x:c>
      <x:c r="Q73" s="34" t="n">
        <x:v>136</x:v>
      </x:c>
      <x:c r="R73" s="33" t="n">
        <x:v>34</x:v>
      </x:c>
      <x:c r="S73" s="38" t="n">
        <x:v>4.624</x:v>
      </x:c>
      <x:c r="T73" s="38" t="n">
        <x:v>0.36991999999999997</x:v>
      </x:c>
      <x:c r="U73" s="38" t="n">
        <x:v>0.2339744</x:v>
      </x:c>
      <x:c r="V73" s="38" t="n">
        <x:v>4.0201056</x:v>
      </x:c>
      <x:c r="W73" s="38" t="n">
        <x:v>1.8591199999999999</x:v>
      </x:c>
      <x:c r="X73" s="38" t="n">
        <x:v>0.1165830624</x:v>
      </x:c>
      <x:c r="Y73" s="38" t="n">
        <x:v>0</x:v>
      </x:c>
      <x:c r="Z73" s="38" t="n">
        <x:v>0.5644000000000001</x:v>
      </x:c>
      <x:c r="AA73" s="38" t="n">
        <x:v>0.2244</x:v>
      </x:c>
      <x:c r="AB73" s="38" t="n">
        <x:v>0.007616</x:v>
      </x:c>
      <x:c r="AC73" s="38" t="n">
        <x:v>1.2479865376</x:v>
      </x:c>
      <x:c r="AD73" s="28" t="n">
        <x:v>0.31043625759482535</x:v>
      </x:c>
    </x:row>
    <x:row r="74">
      <x:c r="A74" s="32" t="n">
        <x:v>45684</x:v>
      </x:c>
      <x:c r="B74" s="32" t="n">
        <x:v>45658</x:v>
      </x:c>
      <x:c r="C74" t="str">
        <x:v>Jan 2025</x:v>
      </x:c>
      <x:c r="D74" t="str">
        <x:v>Actual</x:v>
      </x:c>
      <x:c r="E74" t="str">
        <x:v>DB-103</x:v>
      </x:c>
      <x:c r="F74" t="str">
        <x:v>EmberTrail Camp Mug</x:v>
      </x:c>
      <x:c r="G74" t="str">
        <x:v>One-time purchase</x:v>
      </x:c>
      <x:c r="H74" t="str">
        <x:v>Winter peak</x:v>
      </x:c>
      <x:c r="I74" t="str">
        <x:v>Active</x:v>
      </x:c>
      <x:c r="J74" t="str">
        <x:v>Amazon Marketplace</x:v>
      </x:c>
      <x:c r="K74" t="str">
        <x:v>Marketplace Consumer</x:v>
      </x:c>
      <x:c r="L74" t="str">
        <x:v>All Geographies</x:v>
      </x:c>
      <x:c r="M74" s="34" t="n">
        <x:v>2106</x:v>
      </x:c>
      <x:c r="N74" s="28" t="n">
        <x:v>0.038231999999999995</x:v>
      </x:c>
      <x:c r="O74" s="34" t="n">
        <x:v>81</x:v>
      </x:c>
      <x:c r="P74" s="34" t="n">
        <x:v>1</x:v>
      </x:c>
      <x:c r="Q74" s="34" t="n">
        <x:v>81</x:v>
      </x:c>
      <x:c r="R74" s="33" t="n">
        <x:v>34</x:v>
      </x:c>
      <x:c r="S74" s="38" t="n">
        <x:v>2.754</x:v>
      </x:c>
      <x:c r="T74" s="38" t="n">
        <x:v>0.13770000000000002</x:v>
      </x:c>
      <x:c r="U74" s="38" t="n">
        <x:v>0.14389649999999998</x:v>
      </x:c>
      <x:c r="V74" s="38" t="n">
        <x:v>2.4724035</x:v>
      </x:c>
      <x:c r="W74" s="38" t="n">
        <x:v>1.10727</x:v>
      </x:c>
      <x:c r="X74" s="38" t="n">
        <x:v>0</x:v>
      </x:c>
      <x:c r="Y74" s="38" t="n">
        <x:v>0.370860525</x:v>
      </x:c>
      <x:c r="Z74" s="38" t="n">
        <x:v>0.42119999999999996</x:v>
      </x:c>
      <x:c r="AA74" s="38" t="n">
        <x:v>0.17415</x:v>
      </x:c>
      <x:c r="AB74" s="38" t="n">
        <x:v>0.004536</x:v>
      </x:c>
      <x:c r="AC74" s="38" t="n">
        <x:v>0.3943869750000001</x:v>
      </x:c>
      <x:c r="AD74" s="28" t="n">
        <x:v>0.15951561911314238</x:v>
      </x:c>
    </x:row>
    <x:row r="75">
      <x:c r="A75" s="32" t="n">
        <x:v>45684</x:v>
      </x:c>
      <x:c r="B75" s="32" t="n">
        <x:v>45658</x:v>
      </x:c>
      <x:c r="C75" t="str">
        <x:v>Jan 2025</x:v>
      </x:c>
      <x:c r="D75" t="str">
        <x:v>Actual</x:v>
      </x:c>
      <x:c r="E75" t="str">
        <x:v>DB-103</x:v>
      </x:c>
      <x:c r="F75" t="str">
        <x:v>EmberTrail Camp Mug</x:v>
      </x:c>
      <x:c r="G75" t="str">
        <x:v>One-time purchase</x:v>
      </x:c>
      <x:c r="H75" t="str">
        <x:v>Winter peak</x:v>
      </x:c>
      <x:c r="I75" t="str">
        <x:v>Active</x:v>
      </x:c>
      <x:c r="J75" t="str">
        <x:v>Wholesale</x:v>
      </x:c>
      <x:c r="K75" t="str">
        <x:v>Retailer</x:v>
      </x:c>
      <x:c r="L75" t="str">
        <x:v>All Geographies</x:v>
      </x:c>
      <x:c r="M75" s="34" t="n">
        <x:v>1263</x:v>
      </x:c>
      <x:c r="N75" s="28" t="n">
        <x:v>0.017820000000000003</x:v>
      </x:c>
      <x:c r="O75" s="34" t="n">
        <x:v>23</x:v>
      </x:c>
      <x:c r="P75" s="34" t="n">
        <x:v>1</x:v>
      </x:c>
      <x:c r="Q75" s="34" t="n">
        <x:v>23</x:v>
      </x:c>
      <x:c r="R75" s="33" t="n">
        <x:v>34</x:v>
      </x:c>
      <x:c r="S75" s="38" t="n">
        <x:v>0.782</x:v>
      </x:c>
      <x:c r="T75" s="38" t="n">
        <x:v>0.2737</x:v>
      </x:c>
      <x:c r="U75" s="38" t="n">
        <x:v>0.0279565</x:v>
      </x:c>
      <x:c r="V75" s="38" t="n">
        <x:v>0.4803435</x:v>
      </x:c>
      <x:c r="W75" s="38" t="n">
        <x:v>0.31441</x:v>
      </x:c>
      <x:c r="X75" s="38" t="n">
        <x:v>0</x:v>
      </x:c>
      <x:c r="Y75" s="38" t="n">
        <x:v>0</x:v>
      </x:c>
      <x:c r="Z75" s="38" t="n">
        <x:v>0.052899999999999996</x:v>
      </x:c>
      <x:c r="AA75" s="38" t="n">
        <x:v>0.01955</x:v>
      </x:c>
      <x:c r="AB75" s="38" t="n">
        <x:v>0.001288</x:v>
      </x:c>
      <x:c r="AC75" s="38" t="n">
        <x:v>0.09219549999999996</x:v>
      </x:c>
      <x:c r="AD75" s="28" t="n">
        <x:v>0.1919366037013095</x:v>
      </x:c>
    </x:row>
    <x:row r="76">
      <x:c r="A76" s="32" t="n">
        <x:v>45684</x:v>
      </x:c>
      <x:c r="B76" s="32" t="n">
        <x:v>45658</x:v>
      </x:c>
      <x:c r="C76" t="str">
        <x:v>Jan 2025</x:v>
      </x:c>
      <x:c r="D76" t="str">
        <x:v>Actual</x:v>
      </x:c>
      <x:c r="E76" t="str">
        <x:v>DB-103</x:v>
      </x:c>
      <x:c r="F76" t="str">
        <x:v>EmberTrail Camp Mug</x:v>
      </x:c>
      <x:c r="G76" t="str">
        <x:v>One-time purchase</x:v>
      </x:c>
      <x:c r="H76" t="str">
        <x:v>Winter peak</x:v>
      </x:c>
      <x:c r="I76" t="str">
        <x:v>Active</x:v>
      </x:c>
      <x:c r="J76" t="str">
        <x:v>TikTok Shop</x:v>
      </x:c>
      <x:c r="K76" t="str">
        <x:v>Social Commerce</x:v>
      </x:c>
      <x:c r="L76" t="str">
        <x:v>All Geographies</x:v>
      </x:c>
      <x:c r="M76" s="34" t="n">
        <x:v>842</x:v>
      </x:c>
      <x:c r="N76" s="28" t="n">
        <x:v>0.040824</x:v>
      </x:c>
      <x:c r="O76" s="34" t="n">
        <x:v>34</x:v>
      </x:c>
      <x:c r="P76" s="34" t="n">
        <x:v>1</x:v>
      </x:c>
      <x:c r="Q76" s="34" t="n">
        <x:v>34</x:v>
      </x:c>
      <x:c r="R76" s="33" t="n">
        <x:v>34</x:v>
      </x:c>
      <x:c r="S76" s="38" t="n">
        <x:v>1.156</x:v>
      </x:c>
      <x:c r="T76" s="38" t="n">
        <x:v>0.13871999999999998</x:v>
      </x:c>
      <x:c r="U76" s="38" t="n">
        <x:v>0.0559504</x:v>
      </x:c>
      <x:c r="V76" s="38" t="n">
        <x:v>0.9613296</x:v>
      </x:c>
      <x:c r="W76" s="38" t="n">
        <x:v>0.46477999999999997</x:v>
      </x:c>
      <x:c r="X76" s="38" t="n">
        <x:v>0.027878558400000003</x:v>
      </x:c>
      <x:c r="Y76" s="38" t="n">
        <x:v>0.057679775999999995</x:v>
      </x:c>
      <x:c r="Z76" s="38" t="n">
        <x:v>0.17339999999999997</x:v>
      </x:c>
      <x:c r="AA76" s="38" t="n">
        <x:v>0.0595</x:v>
      </x:c>
      <x:c r="AB76" s="38" t="n">
        <x:v>0.001904</x:v>
      </x:c>
      <x:c r="AC76" s="38" t="n">
        <x:v>0.1761872656000001</x:v>
      </x:c>
      <x:c r="AD76" s="28" t="n">
        <x:v>0.18327456639221354</x:v>
      </x:c>
    </x:row>
    <x:row r="77">
      <x:c r="A77" s="32" t="n">
        <x:v>45684</x:v>
      </x:c>
      <x:c r="B77" s="32" t="n">
        <x:v>45658</x:v>
      </x:c>
      <x:c r="C77" t="str">
        <x:v>Jan 2025</x:v>
      </x:c>
      <x:c r="D77" t="str">
        <x:v>Actual</x:v>
      </x:c>
      <x:c r="E77" t="str">
        <x:v>DB-104</x:v>
      </x:c>
      <x:c r="F77" t="str">
        <x:v>SunNest Cooling Towel</x:v>
      </x:c>
      <x:c r="G77" t="str">
        <x:v>Consumable repeat</x:v>
      </x:c>
      <x:c r="H77" t="str">
        <x:v>Summer peak</x:v>
      </x:c>
      <x:c r="I77" t="str">
        <x:v>Active</x:v>
      </x:c>
      <x:c r="J77" t="str">
        <x:v>Shopify DTC</x:v>
      </x:c>
      <x:c r="K77" t="str">
        <x:v>Consumer</x:v>
      </x:c>
      <x:c r="L77" t="str">
        <x:v>All Geographies</x:v>
      </x:c>
      <x:c r="M77" s="34" t="n">
        <x:v>2445</x:v>
      </x:c>
      <x:c r="N77" s="28" t="n">
        <x:v>0.03312</x:v>
      </x:c>
      <x:c r="O77" s="34" t="n">
        <x:v>81</x:v>
      </x:c>
      <x:c r="P77" s="34" t="n">
        <x:v>1</x:v>
      </x:c>
      <x:c r="Q77" s="34" t="n">
        <x:v>81</x:v>
      </x:c>
      <x:c r="R77" s="33" t="n">
        <x:v>42</x:v>
      </x:c>
      <x:c r="S77" s="38" t="n">
        <x:v>3.402</x:v>
      </x:c>
      <x:c r="T77" s="38" t="n">
        <x:v>0.27216</x:v>
      </x:c>
      <x:c r="U77" s="38" t="n">
        <x:v>0.15649200000000002</x:v>
      </x:c>
      <x:c r="V77" s="38" t="n">
        <x:v>2.973348</x:v>
      </x:c>
      <x:c r="W77" s="38" t="n">
        <x:v>1.21905</x:v>
      </x:c>
      <x:c r="X77" s="38" t="n">
        <x:v>0.086227092</x:v>
      </x:c>
      <x:c r="Y77" s="38" t="n">
        <x:v>0</x:v>
      </x:c>
      <x:c r="Z77" s="38" t="n">
        <x:v>0.33615000000000006</x:v>
      </x:c>
      <x:c r="AA77" s="38" t="n">
        <x:v>0.13365000000000002</x:v>
      </x:c>
      <x:c r="AB77" s="38" t="n">
        <x:v>0.0022679999999999996</x:v>
      </x:c>
      <x:c r="AC77" s="38" t="n">
        <x:v>1.1960029080000003</x:v>
      </x:c>
      <x:c r="AD77" s="28" t="n">
        <x:v>0.4022411463441213</x:v>
      </x:c>
    </x:row>
    <x:row r="78">
      <x:c r="A78" s="32" t="n">
        <x:v>45684</x:v>
      </x:c>
      <x:c r="B78" s="32" t="n">
        <x:v>45658</x:v>
      </x:c>
      <x:c r="C78" t="str">
        <x:v>Jan 2025</x:v>
      </x:c>
      <x:c r="D78" t="str">
        <x:v>Actual</x:v>
      </x:c>
      <x:c r="E78" t="str">
        <x:v>DB-104</x:v>
      </x:c>
      <x:c r="F78" t="str">
        <x:v>SunNest Cooling Towel</x:v>
      </x:c>
      <x:c r="G78" t="str">
        <x:v>Consumable repeat</x:v>
      </x:c>
      <x:c r="H78" t="str">
        <x:v>Summer peak</x:v>
      </x:c>
      <x:c r="I78" t="str">
        <x:v>Active</x:v>
      </x:c>
      <x:c r="J78" t="str">
        <x:v>Amazon Marketplace</x:v>
      </x:c>
      <x:c r="K78" t="str">
        <x:v>Marketplace Consumer</x:v>
      </x:c>
      <x:c r="L78" t="str">
        <x:v>All Geographies</x:v>
      </x:c>
      <x:c r="M78" s="34" t="n">
        <x:v>1223</x:v>
      </x:c>
      <x:c r="N78" s="28" t="n">
        <x:v>0.0390816</x:v>
      </x:c>
      <x:c r="O78" s="34" t="n">
        <x:v>48</x:v>
      </x:c>
      <x:c r="P78" s="34" t="n">
        <x:v>1</x:v>
      </x:c>
      <x:c r="Q78" s="34" t="n">
        <x:v>48</x:v>
      </x:c>
      <x:c r="R78" s="33" t="n">
        <x:v>42</x:v>
      </x:c>
      <x:c r="S78" s="38" t="n">
        <x:v>2.016</x:v>
      </x:c>
      <x:c r="T78" s="38" t="n">
        <x:v>0.1008</x:v>
      </x:c>
      <x:c r="U78" s="38" t="n">
        <x:v>0.09576000000000001</x:v>
      </x:c>
      <x:c r="V78" s="38" t="n">
        <x:v>1.81944</x:v>
      </x:c>
      <x:c r="W78" s="38" t="n">
        <x:v>0.7224</x:v>
      </x:c>
      <x:c r="X78" s="38" t="n">
        <x:v>0</x:v>
      </x:c>
      <x:c r="Y78" s="38" t="n">
        <x:v>0.272916</x:v>
      </x:c>
      <x:c r="Z78" s="38" t="n">
        <x:v>0.24960000000000002</x:v>
      </x:c>
      <x:c r="AA78" s="38" t="n">
        <x:v>0.10319999999999999</x:v>
      </x:c>
      <x:c r="AB78" s="38" t="n">
        <x:v>0.001344</x:v>
      </x:c>
      <x:c r="AC78" s="38" t="n">
        <x:v>0.46997999999999984</x:v>
      </x:c>
      <x:c r="AD78" s="28" t="n">
        <x:v>0.25831024930747915</x:v>
      </x:c>
    </x:row>
    <x:row r="79">
      <x:c r="A79" s="32" t="n">
        <x:v>45684</x:v>
      </x:c>
      <x:c r="B79" s="32" t="n">
        <x:v>45658</x:v>
      </x:c>
      <x:c r="C79" t="str">
        <x:v>Jan 2025</x:v>
      </x:c>
      <x:c r="D79" t="str">
        <x:v>Actual</x:v>
      </x:c>
      <x:c r="E79" t="str">
        <x:v>DB-104</x:v>
      </x:c>
      <x:c r="F79" t="str">
        <x:v>SunNest Cooling Towel</x:v>
      </x:c>
      <x:c r="G79" t="str">
        <x:v>Consumable repeat</x:v>
      </x:c>
      <x:c r="H79" t="str">
        <x:v>Summer peak</x:v>
      </x:c>
      <x:c r="I79" t="str">
        <x:v>Active</x:v>
      </x:c>
      <x:c r="J79" t="str">
        <x:v>Wholesale</x:v>
      </x:c>
      <x:c r="K79" t="str">
        <x:v>Retailer</x:v>
      </x:c>
      <x:c r="L79" t="str">
        <x:v>All Geographies</x:v>
      </x:c>
      <x:c r="M79" s="34" t="n">
        <x:v>734</x:v>
      </x:c>
      <x:c r="N79" s="28" t="n">
        <x:v>0.018216000000000003</x:v>
      </x:c>
      <x:c r="O79" s="34" t="n">
        <x:v>13</x:v>
      </x:c>
      <x:c r="P79" s="34" t="n">
        <x:v>1</x:v>
      </x:c>
      <x:c r="Q79" s="34" t="n">
        <x:v>13</x:v>
      </x:c>
      <x:c r="R79" s="33" t="n">
        <x:v>42</x:v>
      </x:c>
      <x:c r="S79" s="38" t="n">
        <x:v>0.546</x:v>
      </x:c>
      <x:c r="T79" s="38" t="n">
        <x:v>0.1911</x:v>
      </x:c>
      <x:c r="U79" s="38" t="n">
        <x:v>0.017745000000000004</x:v>
      </x:c>
      <x:c r="V79" s="38" t="n">
        <x:v>0.33715500000000004</x:v>
      </x:c>
      <x:c r="W79" s="38" t="n">
        <x:v>0.19565000000000002</x:v>
      </x:c>
      <x:c r="X79" s="38" t="n">
        <x:v>0</x:v>
      </x:c>
      <x:c r="Y79" s="38" t="n">
        <x:v>0</x:v>
      </x:c>
      <x:c r="Z79" s="38" t="n">
        <x:v>0.0299</x:v>
      </x:c>
      <x:c r="AA79" s="38" t="n">
        <x:v>0.011049999999999999</x:v>
      </x:c>
      <x:c r="AB79" s="38" t="n">
        <x:v>0.000364</x:v>
      </x:c>
      <x:c r="AC79" s="38" t="n">
        <x:v>0.10019100000000002</x:v>
      </x:c>
      <x:c r="AD79" s="28" t="n">
        <x:v>0.29716599190283405</x:v>
      </x:c>
    </x:row>
    <x:row r="80">
      <x:c r="A80" s="32" t="n">
        <x:v>45684</x:v>
      </x:c>
      <x:c r="B80" s="32" t="n">
        <x:v>45658</x:v>
      </x:c>
      <x:c r="C80" t="str">
        <x:v>Jan 2025</x:v>
      </x:c>
      <x:c r="D80" t="str">
        <x:v>Actual</x:v>
      </x:c>
      <x:c r="E80" t="str">
        <x:v>DB-104</x:v>
      </x:c>
      <x:c r="F80" t="str">
        <x:v>SunNest Cooling Towel</x:v>
      </x:c>
      <x:c r="G80" t="str">
        <x:v>Consumable repeat</x:v>
      </x:c>
      <x:c r="H80" t="str">
        <x:v>Summer peak</x:v>
      </x:c>
      <x:c r="I80" t="str">
        <x:v>Active</x:v>
      </x:c>
      <x:c r="J80" t="str">
        <x:v>TikTok Shop</x:v>
      </x:c>
      <x:c r="K80" t="str">
        <x:v>Social Commerce</x:v>
      </x:c>
      <x:c r="L80" t="str">
        <x:v>All Geographies</x:v>
      </x:c>
      <x:c r="M80" s="34" t="n">
        <x:v>489</x:v>
      </x:c>
      <x:c r="N80" s="28" t="n">
        <x:v>0.0417312</x:v>
      </x:c>
      <x:c r="O80" s="34" t="n">
        <x:v>20</x:v>
      </x:c>
      <x:c r="P80" s="34" t="n">
        <x:v>1</x:v>
      </x:c>
      <x:c r="Q80" s="34" t="n">
        <x:v>20</x:v>
      </x:c>
      <x:c r="R80" s="33" t="n">
        <x:v>42</x:v>
      </x:c>
      <x:c r="S80" s="38" t="n">
        <x:v>0.84</x:v>
      </x:c>
      <x:c r="T80" s="38" t="n">
        <x:v>0.10079999999999999</x:v>
      </x:c>
      <x:c r="U80" s="38" t="n">
        <x:v>0.03696</x:v>
      </x:c>
      <x:c r="V80" s="38" t="n">
        <x:v>0.70224</x:v>
      </x:c>
      <x:c r="W80" s="38" t="n">
        <x:v>0.301</x:v>
      </x:c>
      <x:c r="X80" s="38" t="n">
        <x:v>0.02036496</x:v>
      </x:c>
      <x:c r="Y80" s="38" t="n">
        <x:v>0.042134399999999995</x:v>
      </x:c>
      <x:c r="Z80" s="38" t="n">
        <x:v>0.102</x:v>
      </x:c>
      <x:c r="AA80" s="38" t="n">
        <x:v>0.035</x:v>
      </x:c>
      <x:c r="AB80" s="38" t="n">
        <x:v>0.00056</x:v>
      </x:c>
      <x:c r="AC80" s="38" t="n">
        <x:v>0.20118064</x:v>
      </x:c>
      <x:c r="AD80" s="28" t="n">
        <x:v>0.2864841649578492</x:v>
      </x:c>
    </x:row>
    <x:row r="81">
      <x:c r="A81" s="32" t="n">
        <x:v>45684</x:v>
      </x:c>
      <x:c r="B81" s="32" t="n">
        <x:v>45658</x:v>
      </x:c>
      <x:c r="C81" t="str">
        <x:v>Jan 2025</x:v>
      </x:c>
      <x:c r="D81" t="str">
        <x:v>Actual</x:v>
      </x:c>
      <x:c r="E81" t="str">
        <x:v>DB-105</x:v>
      </x:c>
      <x:c r="F81" t="str">
        <x:v>DreamFuel Refill Pack</x:v>
      </x:c>
      <x:c r="G81" t="str">
        <x:v>Subscription</x:v>
      </x:c>
      <x:c r="H81" t="str">
        <x:v>None</x:v>
      </x:c>
      <x:c r="I81" t="str">
        <x:v>Active</x:v>
      </x:c>
      <x:c r="J81" t="str">
        <x:v>Shopify DTC</x:v>
      </x:c>
      <x:c r="K81" t="str">
        <x:v>Consumer</x:v>
      </x:c>
      <x:c r="L81" t="str">
        <x:v>All Geographies</x:v>
      </x:c>
      <x:c r="M81" s="34" t="n">
        <x:v>3452</x:v>
      </x:c>
      <x:c r="N81" s="28" t="n">
        <x:v>0.03888</x:v>
      </x:c>
      <x:c r="O81" s="34" t="n">
        <x:v>134</x:v>
      </x:c>
      <x:c r="P81" s="34" t="n">
        <x:v>1</x:v>
      </x:c>
      <x:c r="Q81" s="34" t="n">
        <x:v>134</x:v>
      </x:c>
      <x:c r="R81" s="33" t="n">
        <x:v>56</x:v>
      </x:c>
      <x:c r="S81" s="38" t="n">
        <x:v>7.504</x:v>
      </x:c>
      <x:c r="T81" s="38" t="n">
        <x:v>0.60032</x:v>
      </x:c>
      <x:c r="U81" s="38" t="n">
        <x:v>0.1380736</x:v>
      </x:c>
      <x:c r="V81" s="38" t="n">
        <x:v>6.765606399999999</x:v>
      </x:c>
      <x:c r="W81" s="38" t="n">
        <x:v>2.4950799999999997</x:v>
      </x:c>
      <x:c r="X81" s="38" t="n">
        <x:v>0.19620258559999998</x:v>
      </x:c>
      <x:c r="Y81" s="38" t="n">
        <x:v>0</x:v>
      </x:c>
      <x:c r="Z81" s="38" t="n">
        <x:v>0.5561</x:v>
      </x:c>
      <x:c r="AA81" s="38" t="n">
        <x:v>0.2211</x:v>
      </x:c>
      <x:c r="AB81" s="38" t="n">
        <x:v>0.0004824</x:v>
      </x:c>
      <x:c r="AC81" s="38" t="n">
        <x:v>3.2966414144</x:v>
      </x:c>
      <x:c r="AD81" s="28" t="n">
        <x:v>0.4872647357079478</x:v>
      </x:c>
    </x:row>
    <x:row r="82">
      <x:c r="A82" s="32" t="n">
        <x:v>45684</x:v>
      </x:c>
      <x:c r="B82" s="32" t="n">
        <x:v>45658</x:v>
      </x:c>
      <x:c r="C82" t="str">
        <x:v>Jan 2025</x:v>
      </x:c>
      <x:c r="D82" t="str">
        <x:v>Actual</x:v>
      </x:c>
      <x:c r="E82" t="str">
        <x:v>DB-105</x:v>
      </x:c>
      <x:c r="F82" t="str">
        <x:v>DreamFuel Refill Pack</x:v>
      </x:c>
      <x:c r="G82" t="str">
        <x:v>Subscription</x:v>
      </x:c>
      <x:c r="H82" t="str">
        <x:v>None</x:v>
      </x:c>
      <x:c r="I82" t="str">
        <x:v>Active</x:v>
      </x:c>
      <x:c r="J82" t="str">
        <x:v>Amazon Marketplace</x:v>
      </x:c>
      <x:c r="K82" t="str">
        <x:v>Marketplace Consumer</x:v>
      </x:c>
      <x:c r="L82" t="str">
        <x:v>All Geographies</x:v>
      </x:c>
      <x:c r="M82" s="34" t="n">
        <x:v>1726</x:v>
      </x:c>
      <x:c r="N82" s="28" t="n">
        <x:v>0.0458784</x:v>
      </x:c>
      <x:c r="O82" s="34" t="n">
        <x:v>79</x:v>
      </x:c>
      <x:c r="P82" s="34" t="n">
        <x:v>1</x:v>
      </x:c>
      <x:c r="Q82" s="34" t="n">
        <x:v>79</x:v>
      </x:c>
      <x:c r="R82" s="33" t="n">
        <x:v>56</x:v>
      </x:c>
      <x:c r="S82" s="38" t="n">
        <x:v>4.424</x:v>
      </x:c>
      <x:c r="T82" s="38" t="n">
        <x:v>0.22120000000000004</x:v>
      </x:c>
      <x:c r="U82" s="38" t="n">
        <x:v>0.08405600000000002</x:v>
      </x:c>
      <x:c r="V82" s="38" t="n">
        <x:v>4.118744</x:v>
      </x:c>
      <x:c r="W82" s="38" t="n">
        <x:v>1.47098</x:v>
      </x:c>
      <x:c r="X82" s="38" t="n">
        <x:v>0</x:v>
      </x:c>
      <x:c r="Y82" s="38" t="n">
        <x:v>0.6178116</x:v>
      </x:c>
      <x:c r="Z82" s="38" t="n">
        <x:v>0.4108</x:v>
      </x:c>
      <x:c r="AA82" s="38" t="n">
        <x:v>0.16985</x:v>
      </x:c>
      <x:c r="AB82" s="38" t="n">
        <x:v>0.0002844</x:v>
      </x:c>
      <x:c r="AC82" s="38" t="n">
        <x:v>1.4490180000000004</x:v>
      </x:c>
      <x:c r="AD82" s="28" t="n">
        <x:v>0.35181064907165877</x:v>
      </x:c>
    </x:row>
    <x:row r="83">
      <x:c r="A83" s="32" t="n">
        <x:v>45684</x:v>
      </x:c>
      <x:c r="B83" s="32" t="n">
        <x:v>45658</x:v>
      </x:c>
      <x:c r="C83" t="str">
        <x:v>Jan 2025</x:v>
      </x:c>
      <x:c r="D83" t="str">
        <x:v>Actual</x:v>
      </x:c>
      <x:c r="E83" t="str">
        <x:v>DB-105</x:v>
      </x:c>
      <x:c r="F83" t="str">
        <x:v>DreamFuel Refill Pack</x:v>
      </x:c>
      <x:c r="G83" t="str">
        <x:v>Subscription</x:v>
      </x:c>
      <x:c r="H83" t="str">
        <x:v>None</x:v>
      </x:c>
      <x:c r="I83" t="str">
        <x:v>Active</x:v>
      </x:c>
      <x:c r="J83" t="str">
        <x:v>Wholesale</x:v>
      </x:c>
      <x:c r="K83" t="str">
        <x:v>Retailer</x:v>
      </x:c>
      <x:c r="L83" t="str">
        <x:v>All Geographies</x:v>
      </x:c>
      <x:c r="M83" s="34" t="n">
        <x:v>1036</x:v>
      </x:c>
      <x:c r="N83" s="28" t="n">
        <x:v>0.021384000000000004</x:v>
      </x:c>
      <x:c r="O83" s="34" t="n">
        <x:v>22</x:v>
      </x:c>
      <x:c r="P83" s="34" t="n">
        <x:v>1</x:v>
      </x:c>
      <x:c r="Q83" s="34" t="n">
        <x:v>22</x:v>
      </x:c>
      <x:c r="R83" s="33" t="n">
        <x:v>56</x:v>
      </x:c>
      <x:c r="S83" s="38" t="n">
        <x:v>1.232</x:v>
      </x:c>
      <x:c r="T83" s="38" t="n">
        <x:v>0.43119999999999997</x:v>
      </x:c>
      <x:c r="U83" s="38" t="n">
        <x:v>0.016016</x:v>
      </x:c>
      <x:c r="V83" s="38" t="n">
        <x:v>0.7847839999999999</x:v>
      </x:c>
      <x:c r="W83" s="38" t="n">
        <x:v>0.40964000000000006</x:v>
      </x:c>
      <x:c r="X83" s="38" t="n">
        <x:v>0</x:v>
      </x:c>
      <x:c r="Y83" s="38" t="n">
        <x:v>0</x:v>
      </x:c>
      <x:c r="Z83" s="38" t="n">
        <x:v>0.05059999999999999</x:v>
      </x:c>
      <x:c r="AA83" s="38" t="n">
        <x:v>0.018699999999999998</x:v>
      </x:c>
      <x:c r="AB83" s="38" t="n">
        <x:v>0.0000792</x:v>
      </x:c>
      <x:c r="AC83" s="38" t="n">
        <x:v>0.3057647999999999</x:v>
      </x:c>
      <x:c r="AD83" s="28" t="n">
        <x:v>0.38961650594303643</x:v>
      </x:c>
    </x:row>
    <x:row r="84">
      <x:c r="A84" s="32" t="n">
        <x:v>45684</x:v>
      </x:c>
      <x:c r="B84" s="32" t="n">
        <x:v>45658</x:v>
      </x:c>
      <x:c r="C84" t="str">
        <x:v>Jan 2025</x:v>
      </x:c>
      <x:c r="D84" t="str">
        <x:v>Actual</x:v>
      </x:c>
      <x:c r="E84" t="str">
        <x:v>DB-105</x:v>
      </x:c>
      <x:c r="F84" t="str">
        <x:v>DreamFuel Refill Pack</x:v>
      </x:c>
      <x:c r="G84" t="str">
        <x:v>Subscription</x:v>
      </x:c>
      <x:c r="H84" t="str">
        <x:v>None</x:v>
      </x:c>
      <x:c r="I84" t="str">
        <x:v>Active</x:v>
      </x:c>
      <x:c r="J84" t="str">
        <x:v>TikTok Shop</x:v>
      </x:c>
      <x:c r="K84" t="str">
        <x:v>Social Commerce</x:v>
      </x:c>
      <x:c r="L84" t="str">
        <x:v>All Geographies</x:v>
      </x:c>
      <x:c r="M84" s="34" t="n">
        <x:v>690</x:v>
      </x:c>
      <x:c r="N84" s="28" t="n">
        <x:v>0.0489888</x:v>
      </x:c>
      <x:c r="O84" s="34" t="n">
        <x:v>34</x:v>
      </x:c>
      <x:c r="P84" s="34" t="n">
        <x:v>1</x:v>
      </x:c>
      <x:c r="Q84" s="34" t="n">
        <x:v>34</x:v>
      </x:c>
      <x:c r="R84" s="33" t="n">
        <x:v>56</x:v>
      </x:c>
      <x:c r="S84" s="38" t="n">
        <x:v>1.904</x:v>
      </x:c>
      <x:c r="T84" s="38" t="n">
        <x:v>0.22848</x:v>
      </x:c>
      <x:c r="U84" s="38" t="n">
        <x:v>0.033510399999999996</x:v>
      </x:c>
      <x:c r="V84" s="38" t="n">
        <x:v>1.6420096</x:v>
      </x:c>
      <x:c r="W84" s="38" t="n">
        <x:v>0.6330800000000001</x:v>
      </x:c>
      <x:c r="X84" s="38" t="n">
        <x:v>0.0476182784</x:v>
      </x:c>
      <x:c r="Y84" s="38" t="n">
        <x:v>0.098520576</x:v>
      </x:c>
      <x:c r="Z84" s="38" t="n">
        <x:v>0.17339999999999997</x:v>
      </x:c>
      <x:c r="AA84" s="38" t="n">
        <x:v>0.0595</x:v>
      </x:c>
      <x:c r="AB84" s="38" t="n">
        <x:v>0.00012240000000000002</x:v>
      </x:c>
      <x:c r="AC84" s="38" t="n">
        <x:v>0.6297683456</x:v>
      </x:c>
      <x:c r="AD84" s="28" t="n">
        <x:v>0.3835351179432812</x:v>
      </x:c>
    </x:row>
    <x:row r="85">
      <x:c r="A85" s="32" t="n">
        <x:v>45691</x:v>
      </x:c>
      <x:c r="B85" s="32" t="n">
        <x:v>45689</x:v>
      </x:c>
      <x:c r="C85" t="str">
        <x:v>Feb 2025</x:v>
      </x:c>
      <x:c r="D85" t="str">
        <x:v>Actual</x:v>
      </x:c>
      <x:c r="E85" t="str">
        <x:v>DB-101</x:v>
      </x:c>
      <x:c r="F85" t="str">
        <x:v>AeroSip Bottle</x:v>
      </x:c>
      <x:c r="G85" t="str">
        <x:v>One-time purchase</x:v>
      </x:c>
      <x:c r="H85" t="str">
        <x:v>None</x:v>
      </x:c>
      <x:c r="I85" t="str">
        <x:v>Active</x:v>
      </x:c>
      <x:c r="J85" t="str">
        <x:v>Shopify DTC</x:v>
      </x:c>
      <x:c r="K85" t="str">
        <x:v>Consumer</x:v>
      </x:c>
      <x:c r="L85" t="str">
        <x:v>All Geographies</x:v>
      </x:c>
      <x:c r="M85" s="34" t="n">
        <x:v>5007</x:v>
      </x:c>
      <x:c r="N85" s="28" t="n">
        <x:v>0.034199999999999994</x:v>
      </x:c>
      <x:c r="O85" s="34" t="n">
        <x:v>171</x:v>
      </x:c>
      <x:c r="P85" s="34" t="n">
        <x:v>1</x:v>
      </x:c>
      <x:c r="Q85" s="34" t="n">
        <x:v>171</x:v>
      </x:c>
      <x:c r="R85" s="33" t="n">
        <x:v>29</x:v>
      </x:c>
      <x:c r="S85" s="38" t="n">
        <x:v>4.959</x:v>
      </x:c>
      <x:c r="T85" s="38" t="n">
        <x:v>0.39671999999999996</x:v>
      </x:c>
      <x:c r="U85" s="38" t="n">
        <x:v>0.20530259999999997</x:v>
      </x:c>
      <x:c r="V85" s="38" t="n">
        <x:v>4.3569774</x:v>
      </x:c>
      <x:c r="W85" s="38" t="n">
        <x:v>1.8468000000000002</x:v>
      </x:c>
      <x:c r="X85" s="38" t="n">
        <x:v>0.1263523446</x:v>
      </x:c>
      <x:c r="Y85" s="38" t="n">
        <x:v>0</x:v>
      </x:c>
      <x:c r="Z85" s="38" t="n">
        <x:v>0.7096500000000001</x:v>
      </x:c>
      <x:c r="AA85" s="38" t="n">
        <x:v>0.28214999999999996</x:v>
      </x:c>
      <x:c r="AB85" s="38" t="n">
        <x:v>0.006156000000000001</x:v>
      </x:c>
      <x:c r="AC85" s="38" t="n">
        <x:v>1.3858690554</x:v>
      </x:c>
      <x:c r="AD85" s="28" t="n">
        <x:v>0.3180803865083165</x:v>
      </x:c>
    </x:row>
    <x:row r="86">
      <x:c r="A86" s="32" t="n">
        <x:v>45691</x:v>
      </x:c>
      <x:c r="B86" s="32" t="n">
        <x:v>45689</x:v>
      </x:c>
      <x:c r="C86" t="str">
        <x:v>Feb 2025</x:v>
      </x:c>
      <x:c r="D86" t="str">
        <x:v>Actual</x:v>
      </x:c>
      <x:c r="E86" t="str">
        <x:v>DB-101</x:v>
      </x:c>
      <x:c r="F86" t="str">
        <x:v>AeroSip Bottle</x:v>
      </x:c>
      <x:c r="G86" t="str">
        <x:v>One-time purchase</x:v>
      </x:c>
      <x:c r="H86" t="str">
        <x:v>None</x:v>
      </x:c>
      <x:c r="I86" t="str">
        <x:v>Active</x:v>
      </x:c>
      <x:c r="J86" t="str">
        <x:v>Amazon Marketplace</x:v>
      </x:c>
      <x:c r="K86" t="str">
        <x:v>Marketplace Consumer</x:v>
      </x:c>
      <x:c r="L86" t="str">
        <x:v>All Geographies</x:v>
      </x:c>
      <x:c r="M86" s="34" t="n">
        <x:v>2504</x:v>
      </x:c>
      <x:c r="N86" s="28" t="n">
        <x:v>0.040355999999999996</x:v>
      </x:c>
      <x:c r="O86" s="34" t="n">
        <x:v>101</x:v>
      </x:c>
      <x:c r="P86" s="34" t="n">
        <x:v>1</x:v>
      </x:c>
      <x:c r="Q86" s="34" t="n">
        <x:v>101</x:v>
      </x:c>
      <x:c r="R86" s="33" t="n">
        <x:v>29</x:v>
      </x:c>
      <x:c r="S86" s="38" t="n">
        <x:v>2.929</x:v>
      </x:c>
      <x:c r="T86" s="38" t="n">
        <x:v>0.14645</x:v>
      </x:c>
      <x:c r="U86" s="38" t="n">
        <x:v>0.12521474999999999</x:v>
      </x:c>
      <x:c r="V86" s="38" t="n">
        <x:v>2.6573352499999996</x:v>
      </x:c>
      <x:c r="W86" s="38" t="n">
        <x:v>1.0908000000000002</x:v>
      </x:c>
      <x:c r="X86" s="38" t="n">
        <x:v>0</x:v>
      </x:c>
      <x:c r="Y86" s="38" t="n">
        <x:v>0.39860028749999993</x:v>
      </x:c>
      <x:c r="Z86" s="38" t="n">
        <x:v>0.5252</x:v>
      </x:c>
      <x:c r="AA86" s="38" t="n">
        <x:v>0.21714999999999998</x:v>
      </x:c>
      <x:c r="AB86" s="38" t="n">
        <x:v>0.003636</x:v>
      </x:c>
      <x:c r="AC86" s="38" t="n">
        <x:v>0.4219489624999996</x:v>
      </x:c>
      <x:c r="AD86" s="28" t="n">
        <x:v>0.15878649955815685</x:v>
      </x:c>
    </x:row>
    <x:row r="87">
      <x:c r="A87" s="32" t="n">
        <x:v>45691</x:v>
      </x:c>
      <x:c r="B87" s="32" t="n">
        <x:v>45689</x:v>
      </x:c>
      <x:c r="C87" t="str">
        <x:v>Feb 2025</x:v>
      </x:c>
      <x:c r="D87" t="str">
        <x:v>Actual</x:v>
      </x:c>
      <x:c r="E87" t="str">
        <x:v>DB-101</x:v>
      </x:c>
      <x:c r="F87" t="str">
        <x:v>AeroSip Bottle</x:v>
      </x:c>
      <x:c r="G87" t="str">
        <x:v>One-time purchase</x:v>
      </x:c>
      <x:c r="H87" t="str">
        <x:v>None</x:v>
      </x:c>
      <x:c r="I87" t="str">
        <x:v>Active</x:v>
      </x:c>
      <x:c r="J87" t="str">
        <x:v>Wholesale</x:v>
      </x:c>
      <x:c r="K87" t="str">
        <x:v>Retailer</x:v>
      </x:c>
      <x:c r="L87" t="str">
        <x:v>All Geographies</x:v>
      </x:c>
      <x:c r="M87" s="34" t="n">
        <x:v>1502</x:v>
      </x:c>
      <x:c r="N87" s="28" t="n">
        <x:v>0.01881</x:v>
      </x:c>
      <x:c r="O87" s="34" t="n">
        <x:v>28</x:v>
      </x:c>
      <x:c r="P87" s="34" t="n">
        <x:v>1</x:v>
      </x:c>
      <x:c r="Q87" s="34" t="n">
        <x:v>28</x:v>
      </x:c>
      <x:c r="R87" s="33" t="n">
        <x:v>29</x:v>
      </x:c>
      <x:c r="S87" s="38" t="n">
        <x:v>0.812</x:v>
      </x:c>
      <x:c r="T87" s="38" t="n">
        <x:v>0.2842</x:v>
      </x:c>
      <x:c r="U87" s="38" t="n">
        <x:v>0.023751</x:v>
      </x:c>
      <x:c r="V87" s="38" t="n">
        <x:v>0.5040490000000001</x:v>
      </x:c>
      <x:c r="W87" s="38" t="n">
        <x:v>0.30240000000000006</x:v>
      </x:c>
      <x:c r="X87" s="38" t="n">
        <x:v>0</x:v>
      </x:c>
      <x:c r="Y87" s="38" t="n">
        <x:v>0</x:v>
      </x:c>
      <x:c r="Z87" s="38" t="n">
        <x:v>0.06439999999999999</x:v>
      </x:c>
      <x:c r="AA87" s="38" t="n">
        <x:v>0.0238</x:v>
      </x:c>
      <x:c r="AB87" s="38" t="n">
        <x:v>0.001008</x:v>
      </x:c>
      <x:c r="AC87" s="38" t="n">
        <x:v>0.11244100000000004</x:v>
      </x:c>
      <x:c r="AD87" s="28" t="n">
        <x:v>0.22307553432305197</x:v>
      </x:c>
    </x:row>
    <x:row r="88">
      <x:c r="A88" s="32" t="n">
        <x:v>45691</x:v>
      </x:c>
      <x:c r="B88" s="32" t="n">
        <x:v>45689</x:v>
      </x:c>
      <x:c r="C88" t="str">
        <x:v>Feb 2025</x:v>
      </x:c>
      <x:c r="D88" t="str">
        <x:v>Actual</x:v>
      </x:c>
      <x:c r="E88" t="str">
        <x:v>DB-101</x:v>
      </x:c>
      <x:c r="F88" t="str">
        <x:v>AeroSip Bottle</x:v>
      </x:c>
      <x:c r="G88" t="str">
        <x:v>One-time purchase</x:v>
      </x:c>
      <x:c r="H88" t="str">
        <x:v>None</x:v>
      </x:c>
      <x:c r="I88" t="str">
        <x:v>Active</x:v>
      </x:c>
      <x:c r="J88" t="str">
        <x:v>TikTok Shop</x:v>
      </x:c>
      <x:c r="K88" t="str">
        <x:v>Social Commerce</x:v>
      </x:c>
      <x:c r="L88" t="str">
        <x:v>All Geographies</x:v>
      </x:c>
      <x:c r="M88" s="34" t="n">
        <x:v>1001</x:v>
      </x:c>
      <x:c r="N88" s="28" t="n">
        <x:v>0.043092</x:v>
      </x:c>
      <x:c r="O88" s="34" t="n">
        <x:v>43</x:v>
      </x:c>
      <x:c r="P88" s="34" t="n">
        <x:v>1</x:v>
      </x:c>
      <x:c r="Q88" s="34" t="n">
        <x:v>43</x:v>
      </x:c>
      <x:c r="R88" s="33" t="n">
        <x:v>29</x:v>
      </x:c>
      <x:c r="S88" s="38" t="n">
        <x:v>1.247</x:v>
      </x:c>
      <x:c r="T88" s="38" t="n">
        <x:v>0.14964</x:v>
      </x:c>
      <x:c r="U88" s="38" t="n">
        <x:v>0.0493812</x:v>
      </x:c>
      <x:c r="V88" s="38" t="n">
        <x:v>1.0479788</x:v>
      </x:c>
      <x:c r="W88" s="38" t="n">
        <x:v>0.46440000000000003</x:v>
      </x:c>
      <x:c r="X88" s="38" t="n">
        <x:v>0.030391385200000006</x:v>
      </x:c>
      <x:c r="Y88" s="38" t="n">
        <x:v>0.06287872800000001</x:v>
      </x:c>
      <x:c r="Z88" s="38" t="n">
        <x:v>0.2193</x:v>
      </x:c>
      <x:c r="AA88" s="38" t="n">
        <x:v>0.07525</x:v>
      </x:c>
      <x:c r="AB88" s="38" t="n">
        <x:v>0.0015480000000000001</x:v>
      </x:c>
      <x:c r="AC88" s="38" t="n">
        <x:v>0.19421068680000014</x:v>
      </x:c>
      <x:c r="AD88" s="28" t="n">
        <x:v>0.18531928966502006</x:v>
      </x:c>
    </x:row>
    <x:row r="89">
      <x:c r="A89" s="32" t="n">
        <x:v>45691</x:v>
      </x:c>
      <x:c r="B89" s="32" t="n">
        <x:v>45689</x:v>
      </x:c>
      <x:c r="C89" t="str">
        <x:v>Feb 2025</x:v>
      </x:c>
      <x:c r="D89" t="str">
        <x:v>Actual</x:v>
      </x:c>
      <x:c r="E89" t="str">
        <x:v>DB-102</x:v>
      </x:c>
      <x:c r="F89" t="str">
        <x:v>GlowPatch Balm</x:v>
      </x:c>
      <x:c r="G89" t="str">
        <x:v>Consumable repeat</x:v>
      </x:c>
      <x:c r="H89" t="str">
        <x:v>None</x:v>
      </x:c>
      <x:c r="I89" t="str">
        <x:v>Active</x:v>
      </x:c>
      <x:c r="J89" t="str">
        <x:v>Shopify DTC</x:v>
      </x:c>
      <x:c r="K89" t="str">
        <x:v>Consumer</x:v>
      </x:c>
      <x:c r="L89" t="str">
        <x:v>All Geographies</x:v>
      </x:c>
      <x:c r="M89" s="34" t="n">
        <x:v>4044</x:v>
      </x:c>
      <x:c r="N89" s="28" t="n">
        <x:v>0.04248</x:v>
      </x:c>
      <x:c r="O89" s="34" t="n">
        <x:v>172</x:v>
      </x:c>
      <x:c r="P89" s="34" t="n">
        <x:v>1</x:v>
      </x:c>
      <x:c r="Q89" s="34" t="n">
        <x:v>172</x:v>
      </x:c>
      <x:c r="R89" s="33" t="n">
        <x:v>18</x:v>
      </x:c>
      <x:c r="S89" s="38" t="n">
        <x:v>3.096</x:v>
      </x:c>
      <x:c r="T89" s="38" t="n">
        <x:v>0.24768</x:v>
      </x:c>
      <x:c r="U89" s="38" t="n">
        <x:v>0.07120800000000001</x:v>
      </x:c>
      <x:c r="V89" s="38" t="n">
        <x:v>2.7771120000000002</x:v>
      </x:c>
      <x:c r="W89" s="38" t="n">
        <x:v>0.93052</x:v>
      </x:c>
      <x:c r="X89" s="38" t="n">
        <x:v>0.080536248</x:v>
      </x:c>
      <x:c r="Y89" s="38" t="n">
        <x:v>0</x:v>
      </x:c>
      <x:c r="Z89" s="38" t="n">
        <x:v>0.7138000000000001</x:v>
      </x:c>
      <x:c r="AA89" s="38" t="n">
        <x:v>0.2838</x:v>
      </x:c>
      <x:c r="AB89" s="38" t="n">
        <x:v>0.001032</x:v>
      </x:c>
      <x:c r="AC89" s="38" t="n">
        <x:v>0.7674237520000001</x:v>
      </x:c>
      <x:c r="AD89" s="28" t="n">
        <x:v>0.2763387835996532</x:v>
      </x:c>
    </x:row>
    <x:row r="90">
      <x:c r="A90" s="32" t="n">
        <x:v>45691</x:v>
      </x:c>
      <x:c r="B90" s="32" t="n">
        <x:v>45689</x:v>
      </x:c>
      <x:c r="C90" t="str">
        <x:v>Feb 2025</x:v>
      </x:c>
      <x:c r="D90" t="str">
        <x:v>Actual</x:v>
      </x:c>
      <x:c r="E90" t="str">
        <x:v>DB-102</x:v>
      </x:c>
      <x:c r="F90" t="str">
        <x:v>GlowPatch Balm</x:v>
      </x:c>
      <x:c r="G90" t="str">
        <x:v>Consumable repeat</x:v>
      </x:c>
      <x:c r="H90" t="str">
        <x:v>None</x:v>
      </x:c>
      <x:c r="I90" t="str">
        <x:v>Active</x:v>
      </x:c>
      <x:c r="J90" t="str">
        <x:v>Amazon Marketplace</x:v>
      </x:c>
      <x:c r="K90" t="str">
        <x:v>Marketplace Consumer</x:v>
      </x:c>
      <x:c r="L90" t="str">
        <x:v>All Geographies</x:v>
      </x:c>
      <x:c r="M90" s="34" t="n">
        <x:v>2022</x:v>
      </x:c>
      <x:c r="N90" s="28" t="n">
        <x:v>0.050126399999999995</x:v>
      </x:c>
      <x:c r="O90" s="34" t="n">
        <x:v>101</x:v>
      </x:c>
      <x:c r="P90" s="34" t="n">
        <x:v>1</x:v>
      </x:c>
      <x:c r="Q90" s="34" t="n">
        <x:v>101</x:v>
      </x:c>
      <x:c r="R90" s="33" t="n">
        <x:v>18</x:v>
      </x:c>
      <x:c r="S90" s="38" t="n">
        <x:v>1.818</x:v>
      </x:c>
      <x:c r="T90" s="38" t="n">
        <x:v>0.09090000000000001</x:v>
      </x:c>
      <x:c r="U90" s="38" t="n">
        <x:v>0.04317750000000001</x:v>
      </x:c>
      <x:c r="V90" s="38" t="n">
        <x:v>1.6839225</x:v>
      </x:c>
      <x:c r="W90" s="38" t="n">
        <x:v>0.54641</x:v>
      </x:c>
      <x:c r="X90" s="38" t="n">
        <x:v>0</x:v>
      </x:c>
      <x:c r="Y90" s="38" t="n">
        <x:v>0.252588375</x:v>
      </x:c>
      <x:c r="Z90" s="38" t="n">
        <x:v>0.5252</x:v>
      </x:c>
      <x:c r="AA90" s="38" t="n">
        <x:v>0.21714999999999998</x:v>
      </x:c>
      <x:c r="AB90" s="38" t="n">
        <x:v>0.0006060000000000001</x:v>
      </x:c>
      <x:c r="AC90" s="38" t="n">
        <x:v>0.1419681250000002</x:v>
      </x:c>
      <x:c r="AD90" s="28" t="n">
        <x:v>0.08430799220272917</x:v>
      </x:c>
    </x:row>
    <x:row r="91">
      <x:c r="A91" s="32" t="n">
        <x:v>45691</x:v>
      </x:c>
      <x:c r="B91" s="32" t="n">
        <x:v>45689</x:v>
      </x:c>
      <x:c r="C91" t="str">
        <x:v>Feb 2025</x:v>
      </x:c>
      <x:c r="D91" t="str">
        <x:v>Actual</x:v>
      </x:c>
      <x:c r="E91" t="str">
        <x:v>DB-102</x:v>
      </x:c>
      <x:c r="F91" t="str">
        <x:v>GlowPatch Balm</x:v>
      </x:c>
      <x:c r="G91" t="str">
        <x:v>Consumable repeat</x:v>
      </x:c>
      <x:c r="H91" t="str">
        <x:v>None</x:v>
      </x:c>
      <x:c r="I91" t="str">
        <x:v>Active</x:v>
      </x:c>
      <x:c r="J91" t="str">
        <x:v>Wholesale</x:v>
      </x:c>
      <x:c r="K91" t="str">
        <x:v>Retailer</x:v>
      </x:c>
      <x:c r="L91" t="str">
        <x:v>All Geographies</x:v>
      </x:c>
      <x:c r="M91" s="34" t="n">
        <x:v>1213</x:v>
      </x:c>
      <x:c r="N91" s="28" t="n">
        <x:v>0.023364</x:v>
      </x:c>
      <x:c r="O91" s="34" t="n">
        <x:v>28</x:v>
      </x:c>
      <x:c r="P91" s="34" t="n">
        <x:v>1</x:v>
      </x:c>
      <x:c r="Q91" s="34" t="n">
        <x:v>28</x:v>
      </x:c>
      <x:c r="R91" s="33" t="n">
        <x:v>18</x:v>
      </x:c>
      <x:c r="S91" s="38" t="n">
        <x:v>0.504</x:v>
      </x:c>
      <x:c r="T91" s="38" t="n">
        <x:v>0.1764</x:v>
      </x:c>
      <x:c r="U91" s="38" t="n">
        <x:v>0.008190000000000001</x:v>
      </x:c>
      <x:c r="V91" s="38" t="n">
        <x:v>0.31941</x:v>
      </x:c>
      <x:c r="W91" s="38" t="n">
        <x:v>0.15148000000000003</x:v>
      </x:c>
      <x:c r="X91" s="38" t="n">
        <x:v>0</x:v>
      </x:c>
      <x:c r="Y91" s="38" t="n">
        <x:v>0</x:v>
      </x:c>
      <x:c r="Z91" s="38" t="n">
        <x:v>0.06439999999999999</x:v>
      </x:c>
      <x:c r="AA91" s="38" t="n">
        <x:v>0.0238</x:v>
      </x:c>
      <x:c r="AB91" s="38" t="n">
        <x:v>0.00016800000000000002</x:v>
      </x:c>
      <x:c r="AC91" s="38" t="n">
        <x:v>0.07956200000000001</x:v>
      </x:c>
      <x:c r="AD91" s="28" t="n">
        <x:v>0.24909051062897217</x:v>
      </x:c>
    </x:row>
    <x:row r="92">
      <x:c r="A92" s="32" t="n">
        <x:v>45691</x:v>
      </x:c>
      <x:c r="B92" s="32" t="n">
        <x:v>45689</x:v>
      </x:c>
      <x:c r="C92" t="str">
        <x:v>Feb 2025</x:v>
      </x:c>
      <x:c r="D92" t="str">
        <x:v>Actual</x:v>
      </x:c>
      <x:c r="E92" t="str">
        <x:v>DB-102</x:v>
      </x:c>
      <x:c r="F92" t="str">
        <x:v>GlowPatch Balm</x:v>
      </x:c>
      <x:c r="G92" t="str">
        <x:v>Consumable repeat</x:v>
      </x:c>
      <x:c r="H92" t="str">
        <x:v>None</x:v>
      </x:c>
      <x:c r="I92" t="str">
        <x:v>Active</x:v>
      </x:c>
      <x:c r="J92" t="str">
        <x:v>TikTok Shop</x:v>
      </x:c>
      <x:c r="K92" t="str">
        <x:v>Social Commerce</x:v>
      </x:c>
      <x:c r="L92" t="str">
        <x:v>All Geographies</x:v>
      </x:c>
      <x:c r="M92" s="34" t="n">
        <x:v>809</x:v>
      </x:c>
      <x:c r="N92" s="28" t="n">
        <x:v>0.0535248</x:v>
      </x:c>
      <x:c r="O92" s="34" t="n">
        <x:v>43</x:v>
      </x:c>
      <x:c r="P92" s="34" t="n">
        <x:v>1</x:v>
      </x:c>
      <x:c r="Q92" s="34" t="n">
        <x:v>43</x:v>
      </x:c>
      <x:c r="R92" s="33" t="n">
        <x:v>18</x:v>
      </x:c>
      <x:c r="S92" s="38" t="n">
        <x:v>0.774</x:v>
      </x:c>
      <x:c r="T92" s="38" t="n">
        <x:v>0.09288</x:v>
      </x:c>
      <x:c r="U92" s="38" t="n">
        <x:v>0.017028</x:v>
      </x:c>
      <x:c r="V92" s="38" t="n">
        <x:v>0.664092</x:v>
      </x:c>
      <x:c r="W92" s="38" t="n">
        <x:v>0.23263</x:v>
      </x:c>
      <x:c r="X92" s="38" t="n">
        <x:v>0.019258668000000003</x:v>
      </x:c>
      <x:c r="Y92" s="38" t="n">
        <x:v>0.03984552</x:v>
      </x:c>
      <x:c r="Z92" s="38" t="n">
        <x:v>0.2193</x:v>
      </x:c>
      <x:c r="AA92" s="38" t="n">
        <x:v>0.07525</x:v>
      </x:c>
      <x:c r="AB92" s="38" t="n">
        <x:v>0.000258</x:v>
      </x:c>
      <x:c r="AC92" s="38" t="n">
        <x:v>0.07754981200000002</x:v>
      </x:c>
      <x:c r="AD92" s="28" t="n">
        <x:v>0.11677570577570581</x:v>
      </x:c>
    </x:row>
    <x:row r="93">
      <x:c r="A93" s="32" t="n">
        <x:v>45691</x:v>
      </x:c>
      <x:c r="B93" s="32" t="n">
        <x:v>45689</x:v>
      </x:c>
      <x:c r="C93" t="str">
        <x:v>Feb 2025</x:v>
      </x:c>
      <x:c r="D93" t="str">
        <x:v>Actual</x:v>
      </x:c>
      <x:c r="E93" t="str">
        <x:v>DB-103</x:v>
      </x:c>
      <x:c r="F93" t="str">
        <x:v>EmberTrail Camp Mug</x:v>
      </x:c>
      <x:c r="G93" t="str">
        <x:v>One-time purchase</x:v>
      </x:c>
      <x:c r="H93" t="str">
        <x:v>Winter peak</x:v>
      </x:c>
      <x:c r="I93" t="str">
        <x:v>Active</x:v>
      </x:c>
      <x:c r="J93" t="str">
        <x:v>Shopify DTC</x:v>
      </x:c>
      <x:c r="K93" t="str">
        <x:v>Consumer</x:v>
      </x:c>
      <x:c r="L93" t="str">
        <x:v>All Geographies</x:v>
      </x:c>
      <x:c r="M93" s="34" t="n">
        <x:v>3744</x:v>
      </x:c>
      <x:c r="N93" s="28" t="n">
        <x:v>0.0324</x:v>
      </x:c>
      <x:c r="O93" s="34" t="n">
        <x:v>121</x:v>
      </x:c>
      <x:c r="P93" s="34" t="n">
        <x:v>1</x:v>
      </x:c>
      <x:c r="Q93" s="34" t="n">
        <x:v>121</x:v>
      </x:c>
      <x:c r="R93" s="33" t="n">
        <x:v>34</x:v>
      </x:c>
      <x:c r="S93" s="38" t="n">
        <x:v>4.114</x:v>
      </x:c>
      <x:c r="T93" s="38" t="n">
        <x:v>0.32912</x:v>
      </x:c>
      <x:c r="U93" s="38" t="n">
        <x:v>0.2081684</x:v>
      </x:c>
      <x:c r="V93" s="38" t="n">
        <x:v>3.5767116</x:v>
      </x:c>
      <x:c r="W93" s="38" t="n">
        <x:v>1.65407</x:v>
      </x:c>
      <x:c r="X93" s="38" t="n">
        <x:v>0.1037246364</x:v>
      </x:c>
      <x:c r="Y93" s="38" t="n">
        <x:v>0</x:v>
      </x:c>
      <x:c r="Z93" s="38" t="n">
        <x:v>0.50215</x:v>
      </x:c>
      <x:c r="AA93" s="38" t="n">
        <x:v>0.19964999999999997</x:v>
      </x:c>
      <x:c r="AB93" s="38" t="n">
        <x:v>0.006776</x:v>
      </x:c>
      <x:c r="AC93" s="38" t="n">
        <x:v>1.1103409636000003</x:v>
      </x:c>
      <x:c r="AD93" s="28" t="n">
        <x:v>0.31043625759482546</x:v>
      </x:c>
    </x:row>
    <x:row r="94">
      <x:c r="A94" s="32" t="n">
        <x:v>45691</x:v>
      </x:c>
      <x:c r="B94" s="32" t="n">
        <x:v>45689</x:v>
      </x:c>
      <x:c r="C94" t="str">
        <x:v>Feb 2025</x:v>
      </x:c>
      <x:c r="D94" t="str">
        <x:v>Actual</x:v>
      </x:c>
      <x:c r="E94" t="str">
        <x:v>DB-103</x:v>
      </x:c>
      <x:c r="F94" t="str">
        <x:v>EmberTrail Camp Mug</x:v>
      </x:c>
      <x:c r="G94" t="str">
        <x:v>One-time purchase</x:v>
      </x:c>
      <x:c r="H94" t="str">
        <x:v>Winter peak</x:v>
      </x:c>
      <x:c r="I94" t="str">
        <x:v>Active</x:v>
      </x:c>
      <x:c r="J94" t="str">
        <x:v>Amazon Marketplace</x:v>
      </x:c>
      <x:c r="K94" t="str">
        <x:v>Marketplace Consumer</x:v>
      </x:c>
      <x:c r="L94" t="str">
        <x:v>All Geographies</x:v>
      </x:c>
      <x:c r="M94" s="34" t="n">
        <x:v>1872</x:v>
      </x:c>
      <x:c r="N94" s="28" t="n">
        <x:v>0.038231999999999995</x:v>
      </x:c>
      <x:c r="O94" s="34" t="n">
        <x:v>72</x:v>
      </x:c>
      <x:c r="P94" s="34" t="n">
        <x:v>1</x:v>
      </x:c>
      <x:c r="Q94" s="34" t="n">
        <x:v>72</x:v>
      </x:c>
      <x:c r="R94" s="33" t="n">
        <x:v>34</x:v>
      </x:c>
      <x:c r="S94" s="38" t="n">
        <x:v>2.448</x:v>
      </x:c>
      <x:c r="T94" s="38" t="n">
        <x:v>0.12240000000000001</x:v>
      </x:c>
      <x:c r="U94" s="38" t="n">
        <x:v>0.127908</x:v>
      </x:c>
      <x:c r="V94" s="38" t="n">
        <x:v>2.197692</x:v>
      </x:c>
      <x:c r="W94" s="38" t="n">
        <x:v>0.98424</x:v>
      </x:c>
      <x:c r="X94" s="38" t="n">
        <x:v>0</x:v>
      </x:c>
      <x:c r="Y94" s="38" t="n">
        <x:v>0.3296538</x:v>
      </x:c>
      <x:c r="Z94" s="38" t="n">
        <x:v>0.3744</x:v>
      </x:c>
      <x:c r="AA94" s="38" t="n">
        <x:v>0.1548</x:v>
      </x:c>
      <x:c r="AB94" s="38" t="n">
        <x:v>0.004032</x:v>
      </x:c>
      <x:c r="AC94" s="38" t="n">
        <x:v>0.35056619999999994</x:v>
      </x:c>
      <x:c r="AD94" s="28" t="n">
        <x:v>0.1595156191131423</x:v>
      </x:c>
    </x:row>
    <x:row r="95">
      <x:c r="A95" s="32" t="n">
        <x:v>45691</x:v>
      </x:c>
      <x:c r="B95" s="32" t="n">
        <x:v>45689</x:v>
      </x:c>
      <x:c r="C95" t="str">
        <x:v>Feb 2025</x:v>
      </x:c>
      <x:c r="D95" t="str">
        <x:v>Actual</x:v>
      </x:c>
      <x:c r="E95" t="str">
        <x:v>DB-103</x:v>
      </x:c>
      <x:c r="F95" t="str">
        <x:v>EmberTrail Camp Mug</x:v>
      </x:c>
      <x:c r="G95" t="str">
        <x:v>One-time purchase</x:v>
      </x:c>
      <x:c r="H95" t="str">
        <x:v>Winter peak</x:v>
      </x:c>
      <x:c r="I95" t="str">
        <x:v>Active</x:v>
      </x:c>
      <x:c r="J95" t="str">
        <x:v>Wholesale</x:v>
      </x:c>
      <x:c r="K95" t="str">
        <x:v>Retailer</x:v>
      </x:c>
      <x:c r="L95" t="str">
        <x:v>All Geographies</x:v>
      </x:c>
      <x:c r="M95" s="34" t="n">
        <x:v>1123</x:v>
      </x:c>
      <x:c r="N95" s="28" t="n">
        <x:v>0.017820000000000003</x:v>
      </x:c>
      <x:c r="O95" s="34" t="n">
        <x:v>20</x:v>
      </x:c>
      <x:c r="P95" s="34" t="n">
        <x:v>1</x:v>
      </x:c>
      <x:c r="Q95" s="34" t="n">
        <x:v>20</x:v>
      </x:c>
      <x:c r="R95" s="33" t="n">
        <x:v>34</x:v>
      </x:c>
      <x:c r="S95" s="38" t="n">
        <x:v>0.68</x:v>
      </x:c>
      <x:c r="T95" s="38" t="n">
        <x:v>0.238</x:v>
      </x:c>
      <x:c r="U95" s="38" t="n">
        <x:v>0.024310000000000002</x:v>
      </x:c>
      <x:c r="V95" s="38" t="n">
        <x:v>0.41769000000000006</x:v>
      </x:c>
      <x:c r="W95" s="38" t="n">
        <x:v>0.2734</x:v>
      </x:c>
      <x:c r="X95" s="38" t="n">
        <x:v>0</x:v>
      </x:c>
      <x:c r="Y95" s="38" t="n">
        <x:v>0</x:v>
      </x:c>
      <x:c r="Z95" s="38" t="n">
        <x:v>0.046</x:v>
      </x:c>
      <x:c r="AA95" s="38" t="n">
        <x:v>0.017</x:v>
      </x:c>
      <x:c r="AB95" s="38" t="n">
        <x:v>0.0011200000000000001</x:v>
      </x:c>
      <x:c r="AC95" s="38" t="n">
        <x:v>0.08017000000000009</x:v>
      </x:c>
      <x:c r="AD95" s="28" t="n">
        <x:v>0.19193660370130977</x:v>
      </x:c>
    </x:row>
    <x:row r="96">
      <x:c r="A96" s="32" t="n">
        <x:v>45691</x:v>
      </x:c>
      <x:c r="B96" s="32" t="n">
        <x:v>45689</x:v>
      </x:c>
      <x:c r="C96" t="str">
        <x:v>Feb 2025</x:v>
      </x:c>
      <x:c r="D96" t="str">
        <x:v>Actual</x:v>
      </x:c>
      <x:c r="E96" t="str">
        <x:v>DB-103</x:v>
      </x:c>
      <x:c r="F96" t="str">
        <x:v>EmberTrail Camp Mug</x:v>
      </x:c>
      <x:c r="G96" t="str">
        <x:v>One-time purchase</x:v>
      </x:c>
      <x:c r="H96" t="str">
        <x:v>Winter peak</x:v>
      </x:c>
      <x:c r="I96" t="str">
        <x:v>Active</x:v>
      </x:c>
      <x:c r="J96" t="str">
        <x:v>TikTok Shop</x:v>
      </x:c>
      <x:c r="K96" t="str">
        <x:v>Social Commerce</x:v>
      </x:c>
      <x:c r="L96" t="str">
        <x:v>All Geographies</x:v>
      </x:c>
      <x:c r="M96" s="34" t="n">
        <x:v>749</x:v>
      </x:c>
      <x:c r="N96" s="28" t="n">
        <x:v>0.040824</x:v>
      </x:c>
      <x:c r="O96" s="34" t="n">
        <x:v>31</x:v>
      </x:c>
      <x:c r="P96" s="34" t="n">
        <x:v>1</x:v>
      </x:c>
      <x:c r="Q96" s="34" t="n">
        <x:v>31</x:v>
      </x:c>
      <x:c r="R96" s="33" t="n">
        <x:v>34</x:v>
      </x:c>
      <x:c r="S96" s="38" t="n">
        <x:v>1.054</x:v>
      </x:c>
      <x:c r="T96" s="38" t="n">
        <x:v>0.12648</x:v>
      </x:c>
      <x:c r="U96" s="38" t="n">
        <x:v>0.0510136</x:v>
      </x:c>
      <x:c r="V96" s="38" t="n">
        <x:v>0.8765064</x:v>
      </x:c>
      <x:c r="W96" s="38" t="n">
        <x:v>0.42377</x:v>
      </x:c>
      <x:c r="X96" s="38" t="n">
        <x:v>0.0254186856</x:v>
      </x:c>
      <x:c r="Y96" s="38" t="n">
        <x:v>0.052590384</x:v>
      </x:c>
      <x:c r="Z96" s="38" t="n">
        <x:v>0.1581</x:v>
      </x:c>
      <x:c r="AA96" s="38" t="n">
        <x:v>0.05425</x:v>
      </x:c>
      <x:c r="AB96" s="38" t="n">
        <x:v>0.001736</x:v>
      </x:c>
      <x:c r="AC96" s="38" t="n">
        <x:v>0.1606413304000001</x:v>
      </x:c>
      <x:c r="AD96" s="28" t="n">
        <x:v>0.18327456639221354</x:v>
      </x:c>
    </x:row>
    <x:row r="97">
      <x:c r="A97" s="32" t="n">
        <x:v>45691</x:v>
      </x:c>
      <x:c r="B97" s="32" t="n">
        <x:v>45689</x:v>
      </x:c>
      <x:c r="C97" t="str">
        <x:v>Feb 2025</x:v>
      </x:c>
      <x:c r="D97" t="str">
        <x:v>Actual</x:v>
      </x:c>
      <x:c r="E97" t="str">
        <x:v>DB-104</x:v>
      </x:c>
      <x:c r="F97" t="str">
        <x:v>SunNest Cooling Towel</x:v>
      </x:c>
      <x:c r="G97" t="str">
        <x:v>Consumable repeat</x:v>
      </x:c>
      <x:c r="H97" t="str">
        <x:v>Summer peak</x:v>
      </x:c>
      <x:c r="I97" t="str">
        <x:v>Active</x:v>
      </x:c>
      <x:c r="J97" t="str">
        <x:v>Shopify DTC</x:v>
      </x:c>
      <x:c r="K97" t="str">
        <x:v>Consumer</x:v>
      </x:c>
      <x:c r="L97" t="str">
        <x:v>All Geographies</x:v>
      </x:c>
      <x:c r="M97" s="34" t="n">
        <x:v>2554</x:v>
      </x:c>
      <x:c r="N97" s="28" t="n">
        <x:v>0.03312</x:v>
      </x:c>
      <x:c r="O97" s="34" t="n">
        <x:v>85</x:v>
      </x:c>
      <x:c r="P97" s="34" t="n">
        <x:v>1</x:v>
      </x:c>
      <x:c r="Q97" s="34" t="n">
        <x:v>85</x:v>
      </x:c>
      <x:c r="R97" s="33" t="n">
        <x:v>42</x:v>
      </x:c>
      <x:c r="S97" s="38" t="n">
        <x:v>3.57</x:v>
      </x:c>
      <x:c r="T97" s="38" t="n">
        <x:v>0.2856</x:v>
      </x:c>
      <x:c r="U97" s="38" t="n">
        <x:v>0.16422</x:v>
      </x:c>
      <x:c r="V97" s="38" t="n">
        <x:v>3.12018</x:v>
      </x:c>
      <x:c r="W97" s="38" t="n">
        <x:v>1.27925</x:v>
      </x:c>
      <x:c r="X97" s="38" t="n">
        <x:v>0.09048522</x:v>
      </x:c>
      <x:c r="Y97" s="38" t="n">
        <x:v>0</x:v>
      </x:c>
      <x:c r="Z97" s="38" t="n">
        <x:v>0.35275000000000006</x:v>
      </x:c>
      <x:c r="AA97" s="38" t="n">
        <x:v>0.14025</x:v>
      </x:c>
      <x:c r="AB97" s="38" t="n">
        <x:v>0.0023799999999999997</x:v>
      </x:c>
      <x:c r="AC97" s="38" t="n">
        <x:v>1.2550647799999999</x:v>
      </x:c>
      <x:c r="AD97" s="28" t="n">
        <x:v>0.4022411463441211</x:v>
      </x:c>
    </x:row>
    <x:row r="98">
      <x:c r="A98" s="32" t="n">
        <x:v>45691</x:v>
      </x:c>
      <x:c r="B98" s="32" t="n">
        <x:v>45689</x:v>
      </x:c>
      <x:c r="C98" t="str">
        <x:v>Feb 2025</x:v>
      </x:c>
      <x:c r="D98" t="str">
        <x:v>Actual</x:v>
      </x:c>
      <x:c r="E98" t="str">
        <x:v>DB-104</x:v>
      </x:c>
      <x:c r="F98" t="str">
        <x:v>SunNest Cooling Towel</x:v>
      </x:c>
      <x:c r="G98" t="str">
        <x:v>Consumable repeat</x:v>
      </x:c>
      <x:c r="H98" t="str">
        <x:v>Summer peak</x:v>
      </x:c>
      <x:c r="I98" t="str">
        <x:v>Active</x:v>
      </x:c>
      <x:c r="J98" t="str">
        <x:v>Amazon Marketplace</x:v>
      </x:c>
      <x:c r="K98" t="str">
        <x:v>Marketplace Consumer</x:v>
      </x:c>
      <x:c r="L98" t="str">
        <x:v>All Geographies</x:v>
      </x:c>
      <x:c r="M98" s="34" t="n">
        <x:v>1277</x:v>
      </x:c>
      <x:c r="N98" s="28" t="n">
        <x:v>0.0390816</x:v>
      </x:c>
      <x:c r="O98" s="34" t="n">
        <x:v>50</x:v>
      </x:c>
      <x:c r="P98" s="34" t="n">
        <x:v>1</x:v>
      </x:c>
      <x:c r="Q98" s="34" t="n">
        <x:v>50</x:v>
      </x:c>
      <x:c r="R98" s="33" t="n">
        <x:v>42</x:v>
      </x:c>
      <x:c r="S98" s="38" t="n">
        <x:v>2.1</x:v>
      </x:c>
      <x:c r="T98" s="38" t="n">
        <x:v>0.10500000000000001</x:v>
      </x:c>
      <x:c r="U98" s="38" t="n">
        <x:v>0.09975</x:v>
      </x:c>
      <x:c r="V98" s="38" t="n">
        <x:v>1.89525</x:v>
      </x:c>
      <x:c r="W98" s="38" t="n">
        <x:v>0.7525</x:v>
      </x:c>
      <x:c r="X98" s="38" t="n">
        <x:v>0</x:v>
      </x:c>
      <x:c r="Y98" s="38" t="n">
        <x:v>0.2842875</x:v>
      </x:c>
      <x:c r="Z98" s="38" t="n">
        <x:v>0.26</x:v>
      </x:c>
      <x:c r="AA98" s="38" t="n">
        <x:v>0.1075</x:v>
      </x:c>
      <x:c r="AB98" s="38" t="n">
        <x:v>0.0014</x:v>
      </x:c>
      <x:c r="AC98" s="38" t="n">
        <x:v>0.4895625000000001</x:v>
      </x:c>
      <x:c r="AD98" s="28" t="n">
        <x:v>0.25831024930747926</x:v>
      </x:c>
    </x:row>
    <x:row r="99">
      <x:c r="A99" s="32" t="n">
        <x:v>45691</x:v>
      </x:c>
      <x:c r="B99" s="32" t="n">
        <x:v>45689</x:v>
      </x:c>
      <x:c r="C99" t="str">
        <x:v>Feb 2025</x:v>
      </x:c>
      <x:c r="D99" t="str">
        <x:v>Actual</x:v>
      </x:c>
      <x:c r="E99" t="str">
        <x:v>DB-104</x:v>
      </x:c>
      <x:c r="F99" t="str">
        <x:v>SunNest Cooling Towel</x:v>
      </x:c>
      <x:c r="G99" t="str">
        <x:v>Consumable repeat</x:v>
      </x:c>
      <x:c r="H99" t="str">
        <x:v>Summer peak</x:v>
      </x:c>
      <x:c r="I99" t="str">
        <x:v>Active</x:v>
      </x:c>
      <x:c r="J99" t="str">
        <x:v>Wholesale</x:v>
      </x:c>
      <x:c r="K99" t="str">
        <x:v>Retailer</x:v>
      </x:c>
      <x:c r="L99" t="str">
        <x:v>All Geographies</x:v>
      </x:c>
      <x:c r="M99" s="34" t="n">
        <x:v>766</x:v>
      </x:c>
      <x:c r="N99" s="28" t="n">
        <x:v>0.018216000000000003</x:v>
      </x:c>
      <x:c r="O99" s="34" t="n">
        <x:v>14</x:v>
      </x:c>
      <x:c r="P99" s="34" t="n">
        <x:v>1</x:v>
      </x:c>
      <x:c r="Q99" s="34" t="n">
        <x:v>14</x:v>
      </x:c>
      <x:c r="R99" s="33" t="n">
        <x:v>42</x:v>
      </x:c>
      <x:c r="S99" s="38" t="n">
        <x:v>0.588</x:v>
      </x:c>
      <x:c r="T99" s="38" t="n">
        <x:v>0.20579999999999998</x:v>
      </x:c>
      <x:c r="U99" s="38" t="n">
        <x:v>0.019110000000000002</x:v>
      </x:c>
      <x:c r="V99" s="38" t="n">
        <x:v>0.36308999999999997</x:v>
      </x:c>
      <x:c r="W99" s="38" t="n">
        <x:v>0.21070000000000003</x:v>
      </x:c>
      <x:c r="X99" s="38" t="n">
        <x:v>0</x:v>
      </x:c>
      <x:c r="Y99" s="38" t="n">
        <x:v>0</x:v>
      </x:c>
      <x:c r="Z99" s="38" t="n">
        <x:v>0.03219999999999999</x:v>
      </x:c>
      <x:c r="AA99" s="38" t="n">
        <x:v>0.0119</x:v>
      </x:c>
      <x:c r="AB99" s="38" t="n">
        <x:v>0.00039200000000000004</x:v>
      </x:c>
      <x:c r="AC99" s="38" t="n">
        <x:v>0.10789799999999994</x:v>
      </x:c>
      <x:c r="AD99" s="28" t="n">
        <x:v>0.2971659919028339</x:v>
      </x:c>
    </x:row>
    <x:row r="100">
      <x:c r="A100" s="32" t="n">
        <x:v>45691</x:v>
      </x:c>
      <x:c r="B100" s="32" t="n">
        <x:v>45689</x:v>
      </x:c>
      <x:c r="C100" t="str">
        <x:v>Feb 2025</x:v>
      </x:c>
      <x:c r="D100" t="str">
        <x:v>Actual</x:v>
      </x:c>
      <x:c r="E100" t="str">
        <x:v>DB-104</x:v>
      </x:c>
      <x:c r="F100" t="str">
        <x:v>SunNest Cooling Towel</x:v>
      </x:c>
      <x:c r="G100" t="str">
        <x:v>Consumable repeat</x:v>
      </x:c>
      <x:c r="H100" t="str">
        <x:v>Summer peak</x:v>
      </x:c>
      <x:c r="I100" t="str">
        <x:v>Active</x:v>
      </x:c>
      <x:c r="J100" t="str">
        <x:v>TikTok Shop</x:v>
      </x:c>
      <x:c r="K100" t="str">
        <x:v>Social Commerce</x:v>
      </x:c>
      <x:c r="L100" t="str">
        <x:v>All Geographies</x:v>
      </x:c>
      <x:c r="M100" s="34" t="n">
        <x:v>511</x:v>
      </x:c>
      <x:c r="N100" s="28" t="n">
        <x:v>0.0417312</x:v>
      </x:c>
      <x:c r="O100" s="34" t="n">
        <x:v>21</x:v>
      </x:c>
      <x:c r="P100" s="34" t="n">
        <x:v>1</x:v>
      </x:c>
      <x:c r="Q100" s="34" t="n">
        <x:v>21</x:v>
      </x:c>
      <x:c r="R100" s="33" t="n">
        <x:v>42</x:v>
      </x:c>
      <x:c r="S100" s="38" t="n">
        <x:v>0.882</x:v>
      </x:c>
      <x:c r="T100" s="38" t="n">
        <x:v>0.10584</x:v>
      </x:c>
      <x:c r="U100" s="38" t="n">
        <x:v>0.038808</x:v>
      </x:c>
      <x:c r="V100" s="38" t="n">
        <x:v>0.737352</x:v>
      </x:c>
      <x:c r="W100" s="38" t="n">
        <x:v>0.31605</x:v>
      </x:c>
      <x:c r="X100" s="38" t="n">
        <x:v>0.021383208</x:v>
      </x:c>
      <x:c r="Y100" s="38" t="n">
        <x:v>0.04424112</x:v>
      </x:c>
      <x:c r="Z100" s="38" t="n">
        <x:v>0.1071</x:v>
      </x:c>
      <x:c r="AA100" s="38" t="n">
        <x:v>0.03675</x:v>
      </x:c>
      <x:c r="AB100" s="38" t="n">
        <x:v>0.000588</x:v>
      </x:c>
      <x:c r="AC100" s="38" t="n">
        <x:v>0.211239672</x:v>
      </x:c>
      <x:c r="AD100" s="28" t="n">
        <x:v>0.2864841649578492</x:v>
      </x:c>
    </x:row>
    <x:row r="101">
      <x:c r="A101" s="32" t="n">
        <x:v>45691</x:v>
      </x:c>
      <x:c r="B101" s="32" t="n">
        <x:v>45689</x:v>
      </x:c>
      <x:c r="C101" t="str">
        <x:v>Feb 2025</x:v>
      </x:c>
      <x:c r="D101" t="str">
        <x:v>Actual</x:v>
      </x:c>
      <x:c r="E101" t="str">
        <x:v>DB-105</x:v>
      </x:c>
      <x:c r="F101" t="str">
        <x:v>DreamFuel Refill Pack</x:v>
      </x:c>
      <x:c r="G101" t="str">
        <x:v>Subscription</x:v>
      </x:c>
      <x:c r="H101" t="str">
        <x:v>None</x:v>
      </x:c>
      <x:c r="I101" t="str">
        <x:v>Active</x:v>
      </x:c>
      <x:c r="J101" t="str">
        <x:v>Shopify DTC</x:v>
      </x:c>
      <x:c r="K101" t="str">
        <x:v>Consumer</x:v>
      </x:c>
      <x:c r="L101" t="str">
        <x:v>All Geographies</x:v>
      </x:c>
      <x:c r="M101" s="34" t="n">
        <x:v>3466</x:v>
      </x:c>
      <x:c r="N101" s="28" t="n">
        <x:v>0.03888</x:v>
      </x:c>
      <x:c r="O101" s="34" t="n">
        <x:v>135</x:v>
      </x:c>
      <x:c r="P101" s="34" t="n">
        <x:v>1</x:v>
      </x:c>
      <x:c r="Q101" s="34" t="n">
        <x:v>135</x:v>
      </x:c>
      <x:c r="R101" s="33" t="n">
        <x:v>56</x:v>
      </x:c>
      <x:c r="S101" s="38" t="n">
        <x:v>7.56</x:v>
      </x:c>
      <x:c r="T101" s="38" t="n">
        <x:v>0.6048</x:v>
      </x:c>
      <x:c r="U101" s="38" t="n">
        <x:v>0.139104</x:v>
      </x:c>
      <x:c r="V101" s="38" t="n">
        <x:v>6.816096</x:v>
      </x:c>
      <x:c r="W101" s="38" t="n">
        <x:v>2.5137000000000005</x:v>
      </x:c>
      <x:c r="X101" s="38" t="n">
        <x:v>0.197666784</x:v>
      </x:c>
      <x:c r="Y101" s="38" t="n">
        <x:v>0</x:v>
      </x:c>
      <x:c r="Z101" s="38" t="n">
        <x:v>0.56025</x:v>
      </x:c>
      <x:c r="AA101" s="38" t="n">
        <x:v>0.22275</x:v>
      </x:c>
      <x:c r="AB101" s="38" t="n">
        <x:v>0.000486</x:v>
      </x:c>
      <x:c r="AC101" s="38" t="n">
        <x:v>3.321243216</x:v>
      </x:c>
      <x:c r="AD101" s="28" t="n">
        <x:v>0.48726473570794776</x:v>
      </x:c>
    </x:row>
    <x:row r="102">
      <x:c r="A102" s="32" t="n">
        <x:v>45691</x:v>
      </x:c>
      <x:c r="B102" s="32" t="n">
        <x:v>45689</x:v>
      </x:c>
      <x:c r="C102" t="str">
        <x:v>Feb 2025</x:v>
      </x:c>
      <x:c r="D102" t="str">
        <x:v>Actual</x:v>
      </x:c>
      <x:c r="E102" t="str">
        <x:v>DB-105</x:v>
      </x:c>
      <x:c r="F102" t="str">
        <x:v>DreamFuel Refill Pack</x:v>
      </x:c>
      <x:c r="G102" t="str">
        <x:v>Subscription</x:v>
      </x:c>
      <x:c r="H102" t="str">
        <x:v>None</x:v>
      </x:c>
      <x:c r="I102" t="str">
        <x:v>Active</x:v>
      </x:c>
      <x:c r="J102" t="str">
        <x:v>Amazon Marketplace</x:v>
      </x:c>
      <x:c r="K102" t="str">
        <x:v>Marketplace Consumer</x:v>
      </x:c>
      <x:c r="L102" t="str">
        <x:v>All Geographies</x:v>
      </x:c>
      <x:c r="M102" s="34" t="n">
        <x:v>1733</x:v>
      </x:c>
      <x:c r="N102" s="28" t="n">
        <x:v>0.0458784</x:v>
      </x:c>
      <x:c r="O102" s="34" t="n">
        <x:v>80</x:v>
      </x:c>
      <x:c r="P102" s="34" t="n">
        <x:v>1</x:v>
      </x:c>
      <x:c r="Q102" s="34" t="n">
        <x:v>80</x:v>
      </x:c>
      <x:c r="R102" s="33" t="n">
        <x:v>56</x:v>
      </x:c>
      <x:c r="S102" s="38" t="n">
        <x:v>4.48</x:v>
      </x:c>
      <x:c r="T102" s="38" t="n">
        <x:v>0.22400000000000003</x:v>
      </x:c>
      <x:c r="U102" s="38" t="n">
        <x:v>0.08512</x:v>
      </x:c>
      <x:c r="V102" s="38" t="n">
        <x:v>4.17088</x:v>
      </x:c>
      <x:c r="W102" s="38" t="n">
        <x:v>1.4896</x:v>
      </x:c>
      <x:c r="X102" s="38" t="n">
        <x:v>0</x:v>
      </x:c>
      <x:c r="Y102" s="38" t="n">
        <x:v>0.6256320000000001</x:v>
      </x:c>
      <x:c r="Z102" s="38" t="n">
        <x:v>0.416</x:v>
      </x:c>
      <x:c r="AA102" s="38" t="n">
        <x:v>0.172</x:v>
      </x:c>
      <x:c r="AB102" s="38" t="n">
        <x:v>0.00028799999999999995</x:v>
      </x:c>
      <x:c r="AC102" s="38" t="n">
        <x:v>1.4673600000000002</x:v>
      </x:c>
      <x:c r="AD102" s="28" t="n">
        <x:v>0.35181064907165877</x:v>
      </x:c>
    </x:row>
    <x:row r="103">
      <x:c r="A103" s="32" t="n">
        <x:v>45691</x:v>
      </x:c>
      <x:c r="B103" s="32" t="n">
        <x:v>45689</x:v>
      </x:c>
      <x:c r="C103" t="str">
        <x:v>Feb 2025</x:v>
      </x:c>
      <x:c r="D103" t="str">
        <x:v>Actual</x:v>
      </x:c>
      <x:c r="E103" t="str">
        <x:v>DB-105</x:v>
      </x:c>
      <x:c r="F103" t="str">
        <x:v>DreamFuel Refill Pack</x:v>
      </x:c>
      <x:c r="G103" t="str">
        <x:v>Subscription</x:v>
      </x:c>
      <x:c r="H103" t="str">
        <x:v>None</x:v>
      </x:c>
      <x:c r="I103" t="str">
        <x:v>Active</x:v>
      </x:c>
      <x:c r="J103" t="str">
        <x:v>Wholesale</x:v>
      </x:c>
      <x:c r="K103" t="str">
        <x:v>Retailer</x:v>
      </x:c>
      <x:c r="L103" t="str">
        <x:v>All Geographies</x:v>
      </x:c>
      <x:c r="M103" s="34" t="n">
        <x:v>1040</x:v>
      </x:c>
      <x:c r="N103" s="28" t="n">
        <x:v>0.021384000000000004</x:v>
      </x:c>
      <x:c r="O103" s="34" t="n">
        <x:v>22</x:v>
      </x:c>
      <x:c r="P103" s="34" t="n">
        <x:v>1</x:v>
      </x:c>
      <x:c r="Q103" s="34" t="n">
        <x:v>22</x:v>
      </x:c>
      <x:c r="R103" s="33" t="n">
        <x:v>56</x:v>
      </x:c>
      <x:c r="S103" s="38" t="n">
        <x:v>1.232</x:v>
      </x:c>
      <x:c r="T103" s="38" t="n">
        <x:v>0.43119999999999997</x:v>
      </x:c>
      <x:c r="U103" s="38" t="n">
        <x:v>0.016016</x:v>
      </x:c>
      <x:c r="V103" s="38" t="n">
        <x:v>0.7847839999999999</x:v>
      </x:c>
      <x:c r="W103" s="38" t="n">
        <x:v>0.40964000000000006</x:v>
      </x:c>
      <x:c r="X103" s="38" t="n">
        <x:v>0</x:v>
      </x:c>
      <x:c r="Y103" s="38" t="n">
        <x:v>0</x:v>
      </x:c>
      <x:c r="Z103" s="38" t="n">
        <x:v>0.05059999999999999</x:v>
      </x:c>
      <x:c r="AA103" s="38" t="n">
        <x:v>0.018699999999999998</x:v>
      </x:c>
      <x:c r="AB103" s="38" t="n">
        <x:v>0.0000792</x:v>
      </x:c>
      <x:c r="AC103" s="38" t="n">
        <x:v>0.3057647999999999</x:v>
      </x:c>
      <x:c r="AD103" s="28" t="n">
        <x:v>0.38961650594303643</x:v>
      </x:c>
    </x:row>
    <x:row r="104">
      <x:c r="A104" s="32" t="n">
        <x:v>45691</x:v>
      </x:c>
      <x:c r="B104" s="32" t="n">
        <x:v>45689</x:v>
      </x:c>
      <x:c r="C104" t="str">
        <x:v>Feb 2025</x:v>
      </x:c>
      <x:c r="D104" t="str">
        <x:v>Actual</x:v>
      </x:c>
      <x:c r="E104" t="str">
        <x:v>DB-105</x:v>
      </x:c>
      <x:c r="F104" t="str">
        <x:v>DreamFuel Refill Pack</x:v>
      </x:c>
      <x:c r="G104" t="str">
        <x:v>Subscription</x:v>
      </x:c>
      <x:c r="H104" t="str">
        <x:v>None</x:v>
      </x:c>
      <x:c r="I104" t="str">
        <x:v>Active</x:v>
      </x:c>
      <x:c r="J104" t="str">
        <x:v>TikTok Shop</x:v>
      </x:c>
      <x:c r="K104" t="str">
        <x:v>Social Commerce</x:v>
      </x:c>
      <x:c r="L104" t="str">
        <x:v>All Geographies</x:v>
      </x:c>
      <x:c r="M104" s="34" t="n">
        <x:v>693</x:v>
      </x:c>
      <x:c r="N104" s="28" t="n">
        <x:v>0.0489888</x:v>
      </x:c>
      <x:c r="O104" s="34" t="n">
        <x:v>34</x:v>
      </x:c>
      <x:c r="P104" s="34" t="n">
        <x:v>1</x:v>
      </x:c>
      <x:c r="Q104" s="34" t="n">
        <x:v>34</x:v>
      </x:c>
      <x:c r="R104" s="33" t="n">
        <x:v>56</x:v>
      </x:c>
      <x:c r="S104" s="38" t="n">
        <x:v>1.904</x:v>
      </x:c>
      <x:c r="T104" s="38" t="n">
        <x:v>0.22848</x:v>
      </x:c>
      <x:c r="U104" s="38" t="n">
        <x:v>0.033510399999999996</x:v>
      </x:c>
      <x:c r="V104" s="38" t="n">
        <x:v>1.6420096</x:v>
      </x:c>
      <x:c r="W104" s="38" t="n">
        <x:v>0.6330800000000001</x:v>
      </x:c>
      <x:c r="X104" s="38" t="n">
        <x:v>0.0476182784</x:v>
      </x:c>
      <x:c r="Y104" s="38" t="n">
        <x:v>0.098520576</x:v>
      </x:c>
      <x:c r="Z104" s="38" t="n">
        <x:v>0.17339999999999997</x:v>
      </x:c>
      <x:c r="AA104" s="38" t="n">
        <x:v>0.0595</x:v>
      </x:c>
      <x:c r="AB104" s="38" t="n">
        <x:v>0.00012240000000000002</x:v>
      </x:c>
      <x:c r="AC104" s="38" t="n">
        <x:v>0.6297683456</x:v>
      </x:c>
      <x:c r="AD104" s="28" t="n">
        <x:v>0.3835351179432812</x:v>
      </x:c>
    </x:row>
    <x:row r="105">
      <x:c r="A105" s="32" t="n">
        <x:v>45698</x:v>
      </x:c>
      <x:c r="B105" s="32" t="n">
        <x:v>45689</x:v>
      </x:c>
      <x:c r="C105" t="str">
        <x:v>Feb 2025</x:v>
      </x:c>
      <x:c r="D105" t="str">
        <x:v>Actual</x:v>
      </x:c>
      <x:c r="E105" t="str">
        <x:v>DB-101</x:v>
      </x:c>
      <x:c r="F105" t="str">
        <x:v>AeroSip Bottle</x:v>
      </x:c>
      <x:c r="G105" t="str">
        <x:v>One-time purchase</x:v>
      </x:c>
      <x:c r="H105" t="str">
        <x:v>None</x:v>
      </x:c>
      <x:c r="I105" t="str">
        <x:v>Active</x:v>
      </x:c>
      <x:c r="J105" t="str">
        <x:v>Shopify DTC</x:v>
      </x:c>
      <x:c r="K105" t="str">
        <x:v>Consumer</x:v>
      </x:c>
      <x:c r="L105" t="str">
        <x:v>All Geographies</x:v>
      </x:c>
      <x:c r="M105" s="34" t="n">
        <x:v>5028</x:v>
      </x:c>
      <x:c r="N105" s="28" t="n">
        <x:v>0.034199999999999994</x:v>
      </x:c>
      <x:c r="O105" s="34" t="n">
        <x:v>172</x:v>
      </x:c>
      <x:c r="P105" s="34" t="n">
        <x:v>1</x:v>
      </x:c>
      <x:c r="Q105" s="34" t="n">
        <x:v>172</x:v>
      </x:c>
      <x:c r="R105" s="33" t="n">
        <x:v>29</x:v>
      </x:c>
      <x:c r="S105" s="38" t="n">
        <x:v>4.988</x:v>
      </x:c>
      <x:c r="T105" s="38" t="n">
        <x:v>0.39904000000000006</x:v>
      </x:c>
      <x:c r="U105" s="38" t="n">
        <x:v>0.2065032</x:v>
      </x:c>
      <x:c r="V105" s="38" t="n">
        <x:v>4.3824568</x:v>
      </x:c>
      <x:c r="W105" s="38" t="n">
        <x:v>1.8576000000000001</x:v>
      </x:c>
      <x:c r="X105" s="38" t="n">
        <x:v>0.1270912472</x:v>
      </x:c>
      <x:c r="Y105" s="38" t="n">
        <x:v>0</x:v>
      </x:c>
      <x:c r="Z105" s="38" t="n">
        <x:v>0.7138000000000001</x:v>
      </x:c>
      <x:c r="AA105" s="38" t="n">
        <x:v>0.2838</x:v>
      </x:c>
      <x:c r="AB105" s="38" t="n">
        <x:v>0.0061920000000000005</x:v>
      </x:c>
      <x:c r="AC105" s="38" t="n">
        <x:v>1.3939735527999997</x:v>
      </x:c>
      <x:c r="AD105" s="28" t="n">
        <x:v>0.31808038650831644</x:v>
      </x:c>
    </x:row>
    <x:row r="106">
      <x:c r="A106" s="32" t="n">
        <x:v>45698</x:v>
      </x:c>
      <x:c r="B106" s="32" t="n">
        <x:v>45689</x:v>
      </x:c>
      <x:c r="C106" t="str">
        <x:v>Feb 2025</x:v>
      </x:c>
      <x:c r="D106" t="str">
        <x:v>Actual</x:v>
      </x:c>
      <x:c r="E106" t="str">
        <x:v>DB-101</x:v>
      </x:c>
      <x:c r="F106" t="str">
        <x:v>AeroSip Bottle</x:v>
      </x:c>
      <x:c r="G106" t="str">
        <x:v>One-time purchase</x:v>
      </x:c>
      <x:c r="H106" t="str">
        <x:v>None</x:v>
      </x:c>
      <x:c r="I106" t="str">
        <x:v>Active</x:v>
      </x:c>
      <x:c r="J106" t="str">
        <x:v>Amazon Marketplace</x:v>
      </x:c>
      <x:c r="K106" t="str">
        <x:v>Marketplace Consumer</x:v>
      </x:c>
      <x:c r="L106" t="str">
        <x:v>All Geographies</x:v>
      </x:c>
      <x:c r="M106" s="34" t="n">
        <x:v>2514</x:v>
      </x:c>
      <x:c r="N106" s="28" t="n">
        <x:v>0.040355999999999996</x:v>
      </x:c>
      <x:c r="O106" s="34" t="n">
        <x:v>101</x:v>
      </x:c>
      <x:c r="P106" s="34" t="n">
        <x:v>1</x:v>
      </x:c>
      <x:c r="Q106" s="34" t="n">
        <x:v>101</x:v>
      </x:c>
      <x:c r="R106" s="33" t="n">
        <x:v>29</x:v>
      </x:c>
      <x:c r="S106" s="38" t="n">
        <x:v>2.929</x:v>
      </x:c>
      <x:c r="T106" s="38" t="n">
        <x:v>0.14645</x:v>
      </x:c>
      <x:c r="U106" s="38" t="n">
        <x:v>0.12521474999999999</x:v>
      </x:c>
      <x:c r="V106" s="38" t="n">
        <x:v>2.6573352499999996</x:v>
      </x:c>
      <x:c r="W106" s="38" t="n">
        <x:v>1.0908000000000002</x:v>
      </x:c>
      <x:c r="X106" s="38" t="n">
        <x:v>0</x:v>
      </x:c>
      <x:c r="Y106" s="38" t="n">
        <x:v>0.39860028749999993</x:v>
      </x:c>
      <x:c r="Z106" s="38" t="n">
        <x:v>0.5252</x:v>
      </x:c>
      <x:c r="AA106" s="38" t="n">
        <x:v>0.21714999999999998</x:v>
      </x:c>
      <x:c r="AB106" s="38" t="n">
        <x:v>0.003636</x:v>
      </x:c>
      <x:c r="AC106" s="38" t="n">
        <x:v>0.4219489624999996</x:v>
      </x:c>
      <x:c r="AD106" s="28" t="n">
        <x:v>0.15878649955815685</x:v>
      </x:c>
    </x:row>
    <x:row r="107">
      <x:c r="A107" s="32" t="n">
        <x:v>45698</x:v>
      </x:c>
      <x:c r="B107" s="32" t="n">
        <x:v>45689</x:v>
      </x:c>
      <x:c r="C107" t="str">
        <x:v>Feb 2025</x:v>
      </x:c>
      <x:c r="D107" t="str">
        <x:v>Actual</x:v>
      </x:c>
      <x:c r="E107" t="str">
        <x:v>DB-101</x:v>
      </x:c>
      <x:c r="F107" t="str">
        <x:v>AeroSip Bottle</x:v>
      </x:c>
      <x:c r="G107" t="str">
        <x:v>One-time purchase</x:v>
      </x:c>
      <x:c r="H107" t="str">
        <x:v>None</x:v>
      </x:c>
      <x:c r="I107" t="str">
        <x:v>Active</x:v>
      </x:c>
      <x:c r="J107" t="str">
        <x:v>Wholesale</x:v>
      </x:c>
      <x:c r="K107" t="str">
        <x:v>Retailer</x:v>
      </x:c>
      <x:c r="L107" t="str">
        <x:v>All Geographies</x:v>
      </x:c>
      <x:c r="M107" s="34" t="n">
        <x:v>1508</x:v>
      </x:c>
      <x:c r="N107" s="28" t="n">
        <x:v>0.01881</x:v>
      </x:c>
      <x:c r="O107" s="34" t="n">
        <x:v>28</x:v>
      </x:c>
      <x:c r="P107" s="34" t="n">
        <x:v>1</x:v>
      </x:c>
      <x:c r="Q107" s="34" t="n">
        <x:v>28</x:v>
      </x:c>
      <x:c r="R107" s="33" t="n">
        <x:v>29</x:v>
      </x:c>
      <x:c r="S107" s="38" t="n">
        <x:v>0.812</x:v>
      </x:c>
      <x:c r="T107" s="38" t="n">
        <x:v>0.2842</x:v>
      </x:c>
      <x:c r="U107" s="38" t="n">
        <x:v>0.023751</x:v>
      </x:c>
      <x:c r="V107" s="38" t="n">
        <x:v>0.5040490000000001</x:v>
      </x:c>
      <x:c r="W107" s="38" t="n">
        <x:v>0.30240000000000006</x:v>
      </x:c>
      <x:c r="X107" s="38" t="n">
        <x:v>0</x:v>
      </x:c>
      <x:c r="Y107" s="38" t="n">
        <x:v>0</x:v>
      </x:c>
      <x:c r="Z107" s="38" t="n">
        <x:v>0.06439999999999999</x:v>
      </x:c>
      <x:c r="AA107" s="38" t="n">
        <x:v>0.0238</x:v>
      </x:c>
      <x:c r="AB107" s="38" t="n">
        <x:v>0.001008</x:v>
      </x:c>
      <x:c r="AC107" s="38" t="n">
        <x:v>0.11244100000000004</x:v>
      </x:c>
      <x:c r="AD107" s="28" t="n">
        <x:v>0.22307553432305197</x:v>
      </x:c>
    </x:row>
    <x:row r="108">
      <x:c r="A108" s="32" t="n">
        <x:v>45698</x:v>
      </x:c>
      <x:c r="B108" s="32" t="n">
        <x:v>45689</x:v>
      </x:c>
      <x:c r="C108" t="str">
        <x:v>Feb 2025</x:v>
      </x:c>
      <x:c r="D108" t="str">
        <x:v>Actual</x:v>
      </x:c>
      <x:c r="E108" t="str">
        <x:v>DB-101</x:v>
      </x:c>
      <x:c r="F108" t="str">
        <x:v>AeroSip Bottle</x:v>
      </x:c>
      <x:c r="G108" t="str">
        <x:v>One-time purchase</x:v>
      </x:c>
      <x:c r="H108" t="str">
        <x:v>None</x:v>
      </x:c>
      <x:c r="I108" t="str">
        <x:v>Active</x:v>
      </x:c>
      <x:c r="J108" t="str">
        <x:v>TikTok Shop</x:v>
      </x:c>
      <x:c r="K108" t="str">
        <x:v>Social Commerce</x:v>
      </x:c>
      <x:c r="L108" t="str">
        <x:v>All Geographies</x:v>
      </x:c>
      <x:c r="M108" s="34" t="n">
        <x:v>1006</x:v>
      </x:c>
      <x:c r="N108" s="28" t="n">
        <x:v>0.043092</x:v>
      </x:c>
      <x:c r="O108" s="34" t="n">
        <x:v>43</x:v>
      </x:c>
      <x:c r="P108" s="34" t="n">
        <x:v>1</x:v>
      </x:c>
      <x:c r="Q108" s="34" t="n">
        <x:v>43</x:v>
      </x:c>
      <x:c r="R108" s="33" t="n">
        <x:v>29</x:v>
      </x:c>
      <x:c r="S108" s="38" t="n">
        <x:v>1.247</x:v>
      </x:c>
      <x:c r="T108" s="38" t="n">
        <x:v>0.14964</x:v>
      </x:c>
      <x:c r="U108" s="38" t="n">
        <x:v>0.0493812</x:v>
      </x:c>
      <x:c r="V108" s="38" t="n">
        <x:v>1.0479788</x:v>
      </x:c>
      <x:c r="W108" s="38" t="n">
        <x:v>0.46440000000000003</x:v>
      </x:c>
      <x:c r="X108" s="38" t="n">
        <x:v>0.030391385200000006</x:v>
      </x:c>
      <x:c r="Y108" s="38" t="n">
        <x:v>0.06287872800000001</x:v>
      </x:c>
      <x:c r="Z108" s="38" t="n">
        <x:v>0.2193</x:v>
      </x:c>
      <x:c r="AA108" s="38" t="n">
        <x:v>0.07525</x:v>
      </x:c>
      <x:c r="AB108" s="38" t="n">
        <x:v>0.0015480000000000001</x:v>
      </x:c>
      <x:c r="AC108" s="38" t="n">
        <x:v>0.19421068680000014</x:v>
      </x:c>
      <x:c r="AD108" s="28" t="n">
        <x:v>0.18531928966502006</x:v>
      </x:c>
    </x:row>
    <x:row r="109">
      <x:c r="A109" s="32" t="n">
        <x:v>45698</x:v>
      </x:c>
      <x:c r="B109" s="32" t="n">
        <x:v>45689</x:v>
      </x:c>
      <x:c r="C109" t="str">
        <x:v>Feb 2025</x:v>
      </x:c>
      <x:c r="D109" t="str">
        <x:v>Actual</x:v>
      </x:c>
      <x:c r="E109" t="str">
        <x:v>DB-102</x:v>
      </x:c>
      <x:c r="F109" t="str">
        <x:v>GlowPatch Balm</x:v>
      </x:c>
      <x:c r="G109" t="str">
        <x:v>Consumable repeat</x:v>
      </x:c>
      <x:c r="H109" t="str">
        <x:v>None</x:v>
      </x:c>
      <x:c r="I109" t="str">
        <x:v>Active</x:v>
      </x:c>
      <x:c r="J109" t="str">
        <x:v>Shopify DTC</x:v>
      </x:c>
      <x:c r="K109" t="str">
        <x:v>Consumer</x:v>
      </x:c>
      <x:c r="L109" t="str">
        <x:v>All Geographies</x:v>
      </x:c>
      <x:c r="M109" s="34" t="n">
        <x:v>4061</x:v>
      </x:c>
      <x:c r="N109" s="28" t="n">
        <x:v>0.04248</x:v>
      </x:c>
      <x:c r="O109" s="34" t="n">
        <x:v>173</x:v>
      </x:c>
      <x:c r="P109" s="34" t="n">
        <x:v>1</x:v>
      </x:c>
      <x:c r="Q109" s="34" t="n">
        <x:v>173</x:v>
      </x:c>
      <x:c r="R109" s="33" t="n">
        <x:v>18</x:v>
      </x:c>
      <x:c r="S109" s="38" t="n">
        <x:v>3.114</x:v>
      </x:c>
      <x:c r="T109" s="38" t="n">
        <x:v>0.24912</x:v>
      </x:c>
      <x:c r="U109" s="38" t="n">
        <x:v>0.071622</x:v>
      </x:c>
      <x:c r="V109" s="38" t="n">
        <x:v>2.793258</x:v>
      </x:c>
      <x:c r="W109" s="38" t="n">
        <x:v>0.93593</x:v>
      </x:c>
      <x:c r="X109" s="38" t="n">
        <x:v>0.081004482</x:v>
      </x:c>
      <x:c r="Y109" s="38" t="n">
        <x:v>0</x:v>
      </x:c>
      <x:c r="Z109" s="38" t="n">
        <x:v>0.7179500000000001</x:v>
      </x:c>
      <x:c r="AA109" s="38" t="n">
        <x:v>0.28545</x:v>
      </x:c>
      <x:c r="AB109" s="38" t="n">
        <x:v>0.001038</x:v>
      </x:c>
      <x:c r="AC109" s="38" t="n">
        <x:v>0.7718855179999998</x:v>
      </x:c>
      <x:c r="AD109" s="28" t="n">
        <x:v>0.27633878359965314</x:v>
      </x:c>
    </x:row>
    <x:row r="110">
      <x:c r="A110" s="32" t="n">
        <x:v>45698</x:v>
      </x:c>
      <x:c r="B110" s="32" t="n">
        <x:v>45689</x:v>
      </x:c>
      <x:c r="C110" t="str">
        <x:v>Feb 2025</x:v>
      </x:c>
      <x:c r="D110" t="str">
        <x:v>Actual</x:v>
      </x:c>
      <x:c r="E110" t="str">
        <x:v>DB-102</x:v>
      </x:c>
      <x:c r="F110" t="str">
        <x:v>GlowPatch Balm</x:v>
      </x:c>
      <x:c r="G110" t="str">
        <x:v>Consumable repeat</x:v>
      </x:c>
      <x:c r="H110" t="str">
        <x:v>None</x:v>
      </x:c>
      <x:c r="I110" t="str">
        <x:v>Active</x:v>
      </x:c>
      <x:c r="J110" t="str">
        <x:v>Amazon Marketplace</x:v>
      </x:c>
      <x:c r="K110" t="str">
        <x:v>Marketplace Consumer</x:v>
      </x:c>
      <x:c r="L110" t="str">
        <x:v>All Geographies</x:v>
      </x:c>
      <x:c r="M110" s="34" t="n">
        <x:v>2030</x:v>
      </x:c>
      <x:c r="N110" s="28" t="n">
        <x:v>0.050126399999999995</x:v>
      </x:c>
      <x:c r="O110" s="34" t="n">
        <x:v>102</x:v>
      </x:c>
      <x:c r="P110" s="34" t="n">
        <x:v>1</x:v>
      </x:c>
      <x:c r="Q110" s="34" t="n">
        <x:v>102</x:v>
      </x:c>
      <x:c r="R110" s="33" t="n">
        <x:v>18</x:v>
      </x:c>
      <x:c r="S110" s="38" t="n">
        <x:v>1.836</x:v>
      </x:c>
      <x:c r="T110" s="38" t="n">
        <x:v>0.0918</x:v>
      </x:c>
      <x:c r="U110" s="38" t="n">
        <x:v>0.043605000000000005</x:v>
      </x:c>
      <x:c r="V110" s="38" t="n">
        <x:v>1.7005949999999999</x:v>
      </x:c>
      <x:c r="W110" s="38" t="n">
        <x:v>0.5518200000000001</x:v>
      </x:c>
      <x:c r="X110" s="38" t="n">
        <x:v>0</x:v>
      </x:c>
      <x:c r="Y110" s="38" t="n">
        <x:v>0.25508925</x:v>
      </x:c>
      <x:c r="Z110" s="38" t="n">
        <x:v>0.5304</x:v>
      </x:c>
      <x:c r="AA110" s="38" t="n">
        <x:v>0.2193</x:v>
      </x:c>
      <x:c r="AB110" s="38" t="n">
        <x:v>0.0006120000000000001</x:v>
      </x:c>
      <x:c r="AC110" s="38" t="n">
        <x:v>0.14337374999999974</x:v>
      </x:c>
      <x:c r="AD110" s="28" t="n">
        <x:v>0.0843079922027289</x:v>
      </x:c>
    </x:row>
    <x:row r="111">
      <x:c r="A111" s="32" t="n">
        <x:v>45698</x:v>
      </x:c>
      <x:c r="B111" s="32" t="n">
        <x:v>45689</x:v>
      </x:c>
      <x:c r="C111" t="str">
        <x:v>Feb 2025</x:v>
      </x:c>
      <x:c r="D111" t="str">
        <x:v>Actual</x:v>
      </x:c>
      <x:c r="E111" t="str">
        <x:v>DB-102</x:v>
      </x:c>
      <x:c r="F111" t="str">
        <x:v>GlowPatch Balm</x:v>
      </x:c>
      <x:c r="G111" t="str">
        <x:v>Consumable repeat</x:v>
      </x:c>
      <x:c r="H111" t="str">
        <x:v>None</x:v>
      </x:c>
      <x:c r="I111" t="str">
        <x:v>Active</x:v>
      </x:c>
      <x:c r="J111" t="str">
        <x:v>Wholesale</x:v>
      </x:c>
      <x:c r="K111" t="str">
        <x:v>Retailer</x:v>
      </x:c>
      <x:c r="L111" t="str">
        <x:v>All Geographies</x:v>
      </x:c>
      <x:c r="M111" s="34" t="n">
        <x:v>1218</x:v>
      </x:c>
      <x:c r="N111" s="28" t="n">
        <x:v>0.023364</x:v>
      </x:c>
      <x:c r="O111" s="34" t="n">
        <x:v>28</x:v>
      </x:c>
      <x:c r="P111" s="34" t="n">
        <x:v>1</x:v>
      </x:c>
      <x:c r="Q111" s="34" t="n">
        <x:v>28</x:v>
      </x:c>
      <x:c r="R111" s="33" t="n">
        <x:v>18</x:v>
      </x:c>
      <x:c r="S111" s="38" t="n">
        <x:v>0.504</x:v>
      </x:c>
      <x:c r="T111" s="38" t="n">
        <x:v>0.1764</x:v>
      </x:c>
      <x:c r="U111" s="38" t="n">
        <x:v>0.008190000000000001</x:v>
      </x:c>
      <x:c r="V111" s="38" t="n">
        <x:v>0.31941</x:v>
      </x:c>
      <x:c r="W111" s="38" t="n">
        <x:v>0.15148000000000003</x:v>
      </x:c>
      <x:c r="X111" s="38" t="n">
        <x:v>0</x:v>
      </x:c>
      <x:c r="Y111" s="38" t="n">
        <x:v>0</x:v>
      </x:c>
      <x:c r="Z111" s="38" t="n">
        <x:v>0.06439999999999999</x:v>
      </x:c>
      <x:c r="AA111" s="38" t="n">
        <x:v>0.0238</x:v>
      </x:c>
      <x:c r="AB111" s="38" t="n">
        <x:v>0.00016800000000000002</x:v>
      </x:c>
      <x:c r="AC111" s="38" t="n">
        <x:v>0.07956200000000001</x:v>
      </x:c>
      <x:c r="AD111" s="28" t="n">
        <x:v>0.24909051062897217</x:v>
      </x:c>
    </x:row>
    <x:row r="112">
      <x:c r="A112" s="32" t="n">
        <x:v>45698</x:v>
      </x:c>
      <x:c r="B112" s="32" t="n">
        <x:v>45689</x:v>
      </x:c>
      <x:c r="C112" t="str">
        <x:v>Feb 2025</x:v>
      </x:c>
      <x:c r="D112" t="str">
        <x:v>Actual</x:v>
      </x:c>
      <x:c r="E112" t="str">
        <x:v>DB-102</x:v>
      </x:c>
      <x:c r="F112" t="str">
        <x:v>GlowPatch Balm</x:v>
      </x:c>
      <x:c r="G112" t="str">
        <x:v>Consumable repeat</x:v>
      </x:c>
      <x:c r="H112" t="str">
        <x:v>None</x:v>
      </x:c>
      <x:c r="I112" t="str">
        <x:v>Active</x:v>
      </x:c>
      <x:c r="J112" t="str">
        <x:v>TikTok Shop</x:v>
      </x:c>
      <x:c r="K112" t="str">
        <x:v>Social Commerce</x:v>
      </x:c>
      <x:c r="L112" t="str">
        <x:v>All Geographies</x:v>
      </x:c>
      <x:c r="M112" s="34" t="n">
        <x:v>812</x:v>
      </x:c>
      <x:c r="N112" s="28" t="n">
        <x:v>0.0535248</x:v>
      </x:c>
      <x:c r="O112" s="34" t="n">
        <x:v>43</x:v>
      </x:c>
      <x:c r="P112" s="34" t="n">
        <x:v>1</x:v>
      </x:c>
      <x:c r="Q112" s="34" t="n">
        <x:v>43</x:v>
      </x:c>
      <x:c r="R112" s="33" t="n">
        <x:v>18</x:v>
      </x:c>
      <x:c r="S112" s="38" t="n">
        <x:v>0.774</x:v>
      </x:c>
      <x:c r="T112" s="38" t="n">
        <x:v>0.09288</x:v>
      </x:c>
      <x:c r="U112" s="38" t="n">
        <x:v>0.017028</x:v>
      </x:c>
      <x:c r="V112" s="38" t="n">
        <x:v>0.664092</x:v>
      </x:c>
      <x:c r="W112" s="38" t="n">
        <x:v>0.23263</x:v>
      </x:c>
      <x:c r="X112" s="38" t="n">
        <x:v>0.019258668000000003</x:v>
      </x:c>
      <x:c r="Y112" s="38" t="n">
        <x:v>0.03984552</x:v>
      </x:c>
      <x:c r="Z112" s="38" t="n">
        <x:v>0.2193</x:v>
      </x:c>
      <x:c r="AA112" s="38" t="n">
        <x:v>0.07525</x:v>
      </x:c>
      <x:c r="AB112" s="38" t="n">
        <x:v>0.000258</x:v>
      </x:c>
      <x:c r="AC112" s="38" t="n">
        <x:v>0.07754981200000002</x:v>
      </x:c>
      <x:c r="AD112" s="28" t="n">
        <x:v>0.11677570577570581</x:v>
      </x:c>
    </x:row>
    <x:row r="113">
      <x:c r="A113" s="32" t="n">
        <x:v>45698</x:v>
      </x:c>
      <x:c r="B113" s="32" t="n">
        <x:v>45689</x:v>
      </x:c>
      <x:c r="C113" t="str">
        <x:v>Feb 2025</x:v>
      </x:c>
      <x:c r="D113" t="str">
        <x:v>Actual</x:v>
      </x:c>
      <x:c r="E113" t="str">
        <x:v>DB-103</x:v>
      </x:c>
      <x:c r="F113" t="str">
        <x:v>EmberTrail Camp Mug</x:v>
      </x:c>
      <x:c r="G113" t="str">
        <x:v>One-time purchase</x:v>
      </x:c>
      <x:c r="H113" t="str">
        <x:v>Winter peak</x:v>
      </x:c>
      <x:c r="I113" t="str">
        <x:v>Active</x:v>
      </x:c>
      <x:c r="J113" t="str">
        <x:v>Shopify DTC</x:v>
      </x:c>
      <x:c r="K113" t="str">
        <x:v>Consumer</x:v>
      </x:c>
      <x:c r="L113" t="str">
        <x:v>All Geographies</x:v>
      </x:c>
      <x:c r="M113" s="34" t="n">
        <x:v>3759</x:v>
      </x:c>
      <x:c r="N113" s="28" t="n">
        <x:v>0.0324</x:v>
      </x:c>
      <x:c r="O113" s="34" t="n">
        <x:v>122</x:v>
      </x:c>
      <x:c r="P113" s="34" t="n">
        <x:v>1</x:v>
      </x:c>
      <x:c r="Q113" s="34" t="n">
        <x:v>122</x:v>
      </x:c>
      <x:c r="R113" s="33" t="n">
        <x:v>34</x:v>
      </x:c>
      <x:c r="S113" s="38" t="n">
        <x:v>4.148</x:v>
      </x:c>
      <x:c r="T113" s="38" t="n">
        <x:v>0.33183999999999997</x:v>
      </x:c>
      <x:c r="U113" s="38" t="n">
        <x:v>0.2098888</x:v>
      </x:c>
      <x:c r="V113" s="38" t="n">
        <x:v>3.6062711999999997</x:v>
      </x:c>
      <x:c r="W113" s="38" t="n">
        <x:v>1.66774</x:v>
      </x:c>
      <x:c r="X113" s="38" t="n">
        <x:v>0.1045818648</x:v>
      </x:c>
      <x:c r="Y113" s="38" t="n">
        <x:v>0</x:v>
      </x:c>
      <x:c r="Z113" s="38" t="n">
        <x:v>0.5063000000000001</x:v>
      </x:c>
      <x:c r="AA113" s="38" t="n">
        <x:v>0.20129999999999998</x:v>
      </x:c>
      <x:c r="AB113" s="38" t="n">
        <x:v>0.0068319999999999995</x:v>
      </x:c>
      <x:c r="AC113" s="38" t="n">
        <x:v>1.1195173351999994</x:v>
      </x:c>
      <x:c r="AD113" s="28" t="n">
        <x:v>0.31043625759482524</x:v>
      </x:c>
    </x:row>
    <x:row r="114">
      <x:c r="A114" s="32" t="n">
        <x:v>45698</x:v>
      </x:c>
      <x:c r="B114" s="32" t="n">
        <x:v>45689</x:v>
      </x:c>
      <x:c r="C114" t="str">
        <x:v>Feb 2025</x:v>
      </x:c>
      <x:c r="D114" t="str">
        <x:v>Actual</x:v>
      </x:c>
      <x:c r="E114" t="str">
        <x:v>DB-103</x:v>
      </x:c>
      <x:c r="F114" t="str">
        <x:v>EmberTrail Camp Mug</x:v>
      </x:c>
      <x:c r="G114" t="str">
        <x:v>One-time purchase</x:v>
      </x:c>
      <x:c r="H114" t="str">
        <x:v>Winter peak</x:v>
      </x:c>
      <x:c r="I114" t="str">
        <x:v>Active</x:v>
      </x:c>
      <x:c r="J114" t="str">
        <x:v>Amazon Marketplace</x:v>
      </x:c>
      <x:c r="K114" t="str">
        <x:v>Marketplace Consumer</x:v>
      </x:c>
      <x:c r="L114" t="str">
        <x:v>All Geographies</x:v>
      </x:c>
      <x:c r="M114" s="34" t="n">
        <x:v>1880</x:v>
      </x:c>
      <x:c r="N114" s="28" t="n">
        <x:v>0.038231999999999995</x:v>
      </x:c>
      <x:c r="O114" s="34" t="n">
        <x:v>72</x:v>
      </x:c>
      <x:c r="P114" s="34" t="n">
        <x:v>1</x:v>
      </x:c>
      <x:c r="Q114" s="34" t="n">
        <x:v>72</x:v>
      </x:c>
      <x:c r="R114" s="33" t="n">
        <x:v>34</x:v>
      </x:c>
      <x:c r="S114" s="38" t="n">
        <x:v>2.448</x:v>
      </x:c>
      <x:c r="T114" s="38" t="n">
        <x:v>0.12240000000000001</x:v>
      </x:c>
      <x:c r="U114" s="38" t="n">
        <x:v>0.127908</x:v>
      </x:c>
      <x:c r="V114" s="38" t="n">
        <x:v>2.197692</x:v>
      </x:c>
      <x:c r="W114" s="38" t="n">
        <x:v>0.98424</x:v>
      </x:c>
      <x:c r="X114" s="38" t="n">
        <x:v>0</x:v>
      </x:c>
      <x:c r="Y114" s="38" t="n">
        <x:v>0.3296538</x:v>
      </x:c>
      <x:c r="Z114" s="38" t="n">
        <x:v>0.3744</x:v>
      </x:c>
      <x:c r="AA114" s="38" t="n">
        <x:v>0.1548</x:v>
      </x:c>
      <x:c r="AB114" s="38" t="n">
        <x:v>0.004032</x:v>
      </x:c>
      <x:c r="AC114" s="38" t="n">
        <x:v>0.35056619999999994</x:v>
      </x:c>
      <x:c r="AD114" s="28" t="n">
        <x:v>0.1595156191131423</x:v>
      </x:c>
    </x:row>
    <x:row r="115">
      <x:c r="A115" s="32" t="n">
        <x:v>45698</x:v>
      </x:c>
      <x:c r="B115" s="32" t="n">
        <x:v>45689</x:v>
      </x:c>
      <x:c r="C115" t="str">
        <x:v>Feb 2025</x:v>
      </x:c>
      <x:c r="D115" t="str">
        <x:v>Actual</x:v>
      </x:c>
      <x:c r="E115" t="str">
        <x:v>DB-103</x:v>
      </x:c>
      <x:c r="F115" t="str">
        <x:v>EmberTrail Camp Mug</x:v>
      </x:c>
      <x:c r="G115" t="str">
        <x:v>One-time purchase</x:v>
      </x:c>
      <x:c r="H115" t="str">
        <x:v>Winter peak</x:v>
      </x:c>
      <x:c r="I115" t="str">
        <x:v>Active</x:v>
      </x:c>
      <x:c r="J115" t="str">
        <x:v>Wholesale</x:v>
      </x:c>
      <x:c r="K115" t="str">
        <x:v>Retailer</x:v>
      </x:c>
      <x:c r="L115" t="str">
        <x:v>All Geographies</x:v>
      </x:c>
      <x:c r="M115" s="34" t="n">
        <x:v>1128</x:v>
      </x:c>
      <x:c r="N115" s="28" t="n">
        <x:v>0.017820000000000003</x:v>
      </x:c>
      <x:c r="O115" s="34" t="n">
        <x:v>20</x:v>
      </x:c>
      <x:c r="P115" s="34" t="n">
        <x:v>1</x:v>
      </x:c>
      <x:c r="Q115" s="34" t="n">
        <x:v>20</x:v>
      </x:c>
      <x:c r="R115" s="33" t="n">
        <x:v>34</x:v>
      </x:c>
      <x:c r="S115" s="38" t="n">
        <x:v>0.68</x:v>
      </x:c>
      <x:c r="T115" s="38" t="n">
        <x:v>0.238</x:v>
      </x:c>
      <x:c r="U115" s="38" t="n">
        <x:v>0.024310000000000002</x:v>
      </x:c>
      <x:c r="V115" s="38" t="n">
        <x:v>0.41769000000000006</x:v>
      </x:c>
      <x:c r="W115" s="38" t="n">
        <x:v>0.2734</x:v>
      </x:c>
      <x:c r="X115" s="38" t="n">
        <x:v>0</x:v>
      </x:c>
      <x:c r="Y115" s="38" t="n">
        <x:v>0</x:v>
      </x:c>
      <x:c r="Z115" s="38" t="n">
        <x:v>0.046</x:v>
      </x:c>
      <x:c r="AA115" s="38" t="n">
        <x:v>0.017</x:v>
      </x:c>
      <x:c r="AB115" s="38" t="n">
        <x:v>0.0011200000000000001</x:v>
      </x:c>
      <x:c r="AC115" s="38" t="n">
        <x:v>0.08017000000000009</x:v>
      </x:c>
      <x:c r="AD115" s="28" t="n">
        <x:v>0.19193660370130977</x:v>
      </x:c>
    </x:row>
    <x:row r="116">
      <x:c r="A116" s="32" t="n">
        <x:v>45698</x:v>
      </x:c>
      <x:c r="B116" s="32" t="n">
        <x:v>45689</x:v>
      </x:c>
      <x:c r="C116" t="str">
        <x:v>Feb 2025</x:v>
      </x:c>
      <x:c r="D116" t="str">
        <x:v>Actual</x:v>
      </x:c>
      <x:c r="E116" t="str">
        <x:v>DB-103</x:v>
      </x:c>
      <x:c r="F116" t="str">
        <x:v>EmberTrail Camp Mug</x:v>
      </x:c>
      <x:c r="G116" t="str">
        <x:v>One-time purchase</x:v>
      </x:c>
      <x:c r="H116" t="str">
        <x:v>Winter peak</x:v>
      </x:c>
      <x:c r="I116" t="str">
        <x:v>Active</x:v>
      </x:c>
      <x:c r="J116" t="str">
        <x:v>TikTok Shop</x:v>
      </x:c>
      <x:c r="K116" t="str">
        <x:v>Social Commerce</x:v>
      </x:c>
      <x:c r="L116" t="str">
        <x:v>All Geographies</x:v>
      </x:c>
      <x:c r="M116" s="34" t="n">
        <x:v>752</x:v>
      </x:c>
      <x:c r="N116" s="28" t="n">
        <x:v>0.040824</x:v>
      </x:c>
      <x:c r="O116" s="34" t="n">
        <x:v>31</x:v>
      </x:c>
      <x:c r="P116" s="34" t="n">
        <x:v>1</x:v>
      </x:c>
      <x:c r="Q116" s="34" t="n">
        <x:v>31</x:v>
      </x:c>
      <x:c r="R116" s="33" t="n">
        <x:v>34</x:v>
      </x:c>
      <x:c r="S116" s="38" t="n">
        <x:v>1.054</x:v>
      </x:c>
      <x:c r="T116" s="38" t="n">
        <x:v>0.12648</x:v>
      </x:c>
      <x:c r="U116" s="38" t="n">
        <x:v>0.0510136</x:v>
      </x:c>
      <x:c r="V116" s="38" t="n">
        <x:v>0.8765064</x:v>
      </x:c>
      <x:c r="W116" s="38" t="n">
        <x:v>0.42377</x:v>
      </x:c>
      <x:c r="X116" s="38" t="n">
        <x:v>0.0254186856</x:v>
      </x:c>
      <x:c r="Y116" s="38" t="n">
        <x:v>0.052590384</x:v>
      </x:c>
      <x:c r="Z116" s="38" t="n">
        <x:v>0.1581</x:v>
      </x:c>
      <x:c r="AA116" s="38" t="n">
        <x:v>0.05425</x:v>
      </x:c>
      <x:c r="AB116" s="38" t="n">
        <x:v>0.001736</x:v>
      </x:c>
      <x:c r="AC116" s="38" t="n">
        <x:v>0.1606413304000001</x:v>
      </x:c>
      <x:c r="AD116" s="28" t="n">
        <x:v>0.18327456639221354</x:v>
      </x:c>
    </x:row>
    <x:row r="117">
      <x:c r="A117" s="32" t="n">
        <x:v>45698</x:v>
      </x:c>
      <x:c r="B117" s="32" t="n">
        <x:v>45689</x:v>
      </x:c>
      <x:c r="C117" t="str">
        <x:v>Feb 2025</x:v>
      </x:c>
      <x:c r="D117" t="str">
        <x:v>Actual</x:v>
      </x:c>
      <x:c r="E117" t="str">
        <x:v>DB-104</x:v>
      </x:c>
      <x:c r="F117" t="str">
        <x:v>SunNest Cooling Towel</x:v>
      </x:c>
      <x:c r="G117" t="str">
        <x:v>Consumable repeat</x:v>
      </x:c>
      <x:c r="H117" t="str">
        <x:v>Summer peak</x:v>
      </x:c>
      <x:c r="I117" t="str">
        <x:v>Active</x:v>
      </x:c>
      <x:c r="J117" t="str">
        <x:v>Shopify DTC</x:v>
      </x:c>
      <x:c r="K117" t="str">
        <x:v>Consumer</x:v>
      </x:c>
      <x:c r="L117" t="str">
        <x:v>All Geographies</x:v>
      </x:c>
      <x:c r="M117" s="34" t="n">
        <x:v>2564</x:v>
      </x:c>
      <x:c r="N117" s="28" t="n">
        <x:v>0.03312</x:v>
      </x:c>
      <x:c r="O117" s="34" t="n">
        <x:v>85</x:v>
      </x:c>
      <x:c r="P117" s="34" t="n">
        <x:v>1</x:v>
      </x:c>
      <x:c r="Q117" s="34" t="n">
        <x:v>85</x:v>
      </x:c>
      <x:c r="R117" s="33" t="n">
        <x:v>42</x:v>
      </x:c>
      <x:c r="S117" s="38" t="n">
        <x:v>3.57</x:v>
      </x:c>
      <x:c r="T117" s="38" t="n">
        <x:v>0.2856</x:v>
      </x:c>
      <x:c r="U117" s="38" t="n">
        <x:v>0.16422</x:v>
      </x:c>
      <x:c r="V117" s="38" t="n">
        <x:v>3.12018</x:v>
      </x:c>
      <x:c r="W117" s="38" t="n">
        <x:v>1.27925</x:v>
      </x:c>
      <x:c r="X117" s="38" t="n">
        <x:v>0.09048522</x:v>
      </x:c>
      <x:c r="Y117" s="38" t="n">
        <x:v>0</x:v>
      </x:c>
      <x:c r="Z117" s="38" t="n">
        <x:v>0.35275000000000006</x:v>
      </x:c>
      <x:c r="AA117" s="38" t="n">
        <x:v>0.14025</x:v>
      </x:c>
      <x:c r="AB117" s="38" t="n">
        <x:v>0.0023799999999999997</x:v>
      </x:c>
      <x:c r="AC117" s="38" t="n">
        <x:v>1.2550647799999999</x:v>
      </x:c>
      <x:c r="AD117" s="28" t="n">
        <x:v>0.4022411463441211</x:v>
      </x:c>
    </x:row>
    <x:row r="118">
      <x:c r="A118" s="32" t="n">
        <x:v>45698</x:v>
      </x:c>
      <x:c r="B118" s="32" t="n">
        <x:v>45689</x:v>
      </x:c>
      <x:c r="C118" t="str">
        <x:v>Feb 2025</x:v>
      </x:c>
      <x:c r="D118" t="str">
        <x:v>Actual</x:v>
      </x:c>
      <x:c r="E118" t="str">
        <x:v>DB-104</x:v>
      </x:c>
      <x:c r="F118" t="str">
        <x:v>SunNest Cooling Towel</x:v>
      </x:c>
      <x:c r="G118" t="str">
        <x:v>Consumable repeat</x:v>
      </x:c>
      <x:c r="H118" t="str">
        <x:v>Summer peak</x:v>
      </x:c>
      <x:c r="I118" t="str">
        <x:v>Active</x:v>
      </x:c>
      <x:c r="J118" t="str">
        <x:v>Amazon Marketplace</x:v>
      </x:c>
      <x:c r="K118" t="str">
        <x:v>Marketplace Consumer</x:v>
      </x:c>
      <x:c r="L118" t="str">
        <x:v>All Geographies</x:v>
      </x:c>
      <x:c r="M118" s="34" t="n">
        <x:v>1282</x:v>
      </x:c>
      <x:c r="N118" s="28" t="n">
        <x:v>0.0390816</x:v>
      </x:c>
      <x:c r="O118" s="34" t="n">
        <x:v>50</x:v>
      </x:c>
      <x:c r="P118" s="34" t="n">
        <x:v>1</x:v>
      </x:c>
      <x:c r="Q118" s="34" t="n">
        <x:v>50</x:v>
      </x:c>
      <x:c r="R118" s="33" t="n">
        <x:v>42</x:v>
      </x:c>
      <x:c r="S118" s="38" t="n">
        <x:v>2.1</x:v>
      </x:c>
      <x:c r="T118" s="38" t="n">
        <x:v>0.10500000000000001</x:v>
      </x:c>
      <x:c r="U118" s="38" t="n">
        <x:v>0.09975</x:v>
      </x:c>
      <x:c r="V118" s="38" t="n">
        <x:v>1.89525</x:v>
      </x:c>
      <x:c r="W118" s="38" t="n">
        <x:v>0.7525</x:v>
      </x:c>
      <x:c r="X118" s="38" t="n">
        <x:v>0</x:v>
      </x:c>
      <x:c r="Y118" s="38" t="n">
        <x:v>0.2842875</x:v>
      </x:c>
      <x:c r="Z118" s="38" t="n">
        <x:v>0.26</x:v>
      </x:c>
      <x:c r="AA118" s="38" t="n">
        <x:v>0.1075</x:v>
      </x:c>
      <x:c r="AB118" s="38" t="n">
        <x:v>0.0014</x:v>
      </x:c>
      <x:c r="AC118" s="38" t="n">
        <x:v>0.4895625000000001</x:v>
      </x:c>
      <x:c r="AD118" s="28" t="n">
        <x:v>0.25831024930747926</x:v>
      </x:c>
    </x:row>
    <x:row r="119">
      <x:c r="A119" s="32" t="n">
        <x:v>45698</x:v>
      </x:c>
      <x:c r="B119" s="32" t="n">
        <x:v>45689</x:v>
      </x:c>
      <x:c r="C119" t="str">
        <x:v>Feb 2025</x:v>
      </x:c>
      <x:c r="D119" t="str">
        <x:v>Actual</x:v>
      </x:c>
      <x:c r="E119" t="str">
        <x:v>DB-104</x:v>
      </x:c>
      <x:c r="F119" t="str">
        <x:v>SunNest Cooling Towel</x:v>
      </x:c>
      <x:c r="G119" t="str">
        <x:v>Consumable repeat</x:v>
      </x:c>
      <x:c r="H119" t="str">
        <x:v>Summer peak</x:v>
      </x:c>
      <x:c r="I119" t="str">
        <x:v>Active</x:v>
      </x:c>
      <x:c r="J119" t="str">
        <x:v>Wholesale</x:v>
      </x:c>
      <x:c r="K119" t="str">
        <x:v>Retailer</x:v>
      </x:c>
      <x:c r="L119" t="str">
        <x:v>All Geographies</x:v>
      </x:c>
      <x:c r="M119" s="34" t="n">
        <x:v>769</x:v>
      </x:c>
      <x:c r="N119" s="28" t="n">
        <x:v>0.018216000000000003</x:v>
      </x:c>
      <x:c r="O119" s="34" t="n">
        <x:v>14</x:v>
      </x:c>
      <x:c r="P119" s="34" t="n">
        <x:v>1</x:v>
      </x:c>
      <x:c r="Q119" s="34" t="n">
        <x:v>14</x:v>
      </x:c>
      <x:c r="R119" s="33" t="n">
        <x:v>42</x:v>
      </x:c>
      <x:c r="S119" s="38" t="n">
        <x:v>0.588</x:v>
      </x:c>
      <x:c r="T119" s="38" t="n">
        <x:v>0.20579999999999998</x:v>
      </x:c>
      <x:c r="U119" s="38" t="n">
        <x:v>0.019110000000000002</x:v>
      </x:c>
      <x:c r="V119" s="38" t="n">
        <x:v>0.36308999999999997</x:v>
      </x:c>
      <x:c r="W119" s="38" t="n">
        <x:v>0.21070000000000003</x:v>
      </x:c>
      <x:c r="X119" s="38" t="n">
        <x:v>0</x:v>
      </x:c>
      <x:c r="Y119" s="38" t="n">
        <x:v>0</x:v>
      </x:c>
      <x:c r="Z119" s="38" t="n">
        <x:v>0.03219999999999999</x:v>
      </x:c>
      <x:c r="AA119" s="38" t="n">
        <x:v>0.0119</x:v>
      </x:c>
      <x:c r="AB119" s="38" t="n">
        <x:v>0.00039200000000000004</x:v>
      </x:c>
      <x:c r="AC119" s="38" t="n">
        <x:v>0.10789799999999994</x:v>
      </x:c>
      <x:c r="AD119" s="28" t="n">
        <x:v>0.2971659919028339</x:v>
      </x:c>
    </x:row>
    <x:row r="120">
      <x:c r="A120" s="32" t="n">
        <x:v>45698</x:v>
      </x:c>
      <x:c r="B120" s="32" t="n">
        <x:v>45689</x:v>
      </x:c>
      <x:c r="C120" t="str">
        <x:v>Feb 2025</x:v>
      </x:c>
      <x:c r="D120" t="str">
        <x:v>Actual</x:v>
      </x:c>
      <x:c r="E120" t="str">
        <x:v>DB-104</x:v>
      </x:c>
      <x:c r="F120" t="str">
        <x:v>SunNest Cooling Towel</x:v>
      </x:c>
      <x:c r="G120" t="str">
        <x:v>Consumable repeat</x:v>
      </x:c>
      <x:c r="H120" t="str">
        <x:v>Summer peak</x:v>
      </x:c>
      <x:c r="I120" t="str">
        <x:v>Active</x:v>
      </x:c>
      <x:c r="J120" t="str">
        <x:v>TikTok Shop</x:v>
      </x:c>
      <x:c r="K120" t="str">
        <x:v>Social Commerce</x:v>
      </x:c>
      <x:c r="L120" t="str">
        <x:v>All Geographies</x:v>
      </x:c>
      <x:c r="M120" s="34" t="n">
        <x:v>513</x:v>
      </x:c>
      <x:c r="N120" s="28" t="n">
        <x:v>0.0417312</x:v>
      </x:c>
      <x:c r="O120" s="34" t="n">
        <x:v>21</x:v>
      </x:c>
      <x:c r="P120" s="34" t="n">
        <x:v>1</x:v>
      </x:c>
      <x:c r="Q120" s="34" t="n">
        <x:v>21</x:v>
      </x:c>
      <x:c r="R120" s="33" t="n">
        <x:v>42</x:v>
      </x:c>
      <x:c r="S120" s="38" t="n">
        <x:v>0.882</x:v>
      </x:c>
      <x:c r="T120" s="38" t="n">
        <x:v>0.10584</x:v>
      </x:c>
      <x:c r="U120" s="38" t="n">
        <x:v>0.038808</x:v>
      </x:c>
      <x:c r="V120" s="38" t="n">
        <x:v>0.737352</x:v>
      </x:c>
      <x:c r="W120" s="38" t="n">
        <x:v>0.31605</x:v>
      </x:c>
      <x:c r="X120" s="38" t="n">
        <x:v>0.021383208</x:v>
      </x:c>
      <x:c r="Y120" s="38" t="n">
        <x:v>0.04424112</x:v>
      </x:c>
      <x:c r="Z120" s="38" t="n">
        <x:v>0.1071</x:v>
      </x:c>
      <x:c r="AA120" s="38" t="n">
        <x:v>0.03675</x:v>
      </x:c>
      <x:c r="AB120" s="38" t="n">
        <x:v>0.000588</x:v>
      </x:c>
      <x:c r="AC120" s="38" t="n">
        <x:v>0.211239672</x:v>
      </x:c>
      <x:c r="AD120" s="28" t="n">
        <x:v>0.2864841649578492</x:v>
      </x:c>
    </x:row>
    <x:row r="121">
      <x:c r="A121" s="32" t="n">
        <x:v>45698</x:v>
      </x:c>
      <x:c r="B121" s="32" t="n">
        <x:v>45689</x:v>
      </x:c>
      <x:c r="C121" t="str">
        <x:v>Feb 2025</x:v>
      </x:c>
      <x:c r="D121" t="str">
        <x:v>Actual</x:v>
      </x:c>
      <x:c r="E121" t="str">
        <x:v>DB-105</x:v>
      </x:c>
      <x:c r="F121" t="str">
        <x:v>DreamFuel Refill Pack</x:v>
      </x:c>
      <x:c r="G121" t="str">
        <x:v>Subscription</x:v>
      </x:c>
      <x:c r="H121" t="str">
        <x:v>None</x:v>
      </x:c>
      <x:c r="I121" t="str">
        <x:v>Active</x:v>
      </x:c>
      <x:c r="J121" t="str">
        <x:v>Shopify DTC</x:v>
      </x:c>
      <x:c r="K121" t="str">
        <x:v>Consumer</x:v>
      </x:c>
      <x:c r="L121" t="str">
        <x:v>All Geographies</x:v>
      </x:c>
      <x:c r="M121" s="34" t="n">
        <x:v>3481</x:v>
      </x:c>
      <x:c r="N121" s="28" t="n">
        <x:v>0.03888</x:v>
      </x:c>
      <x:c r="O121" s="34" t="n">
        <x:v>135</x:v>
      </x:c>
      <x:c r="P121" s="34" t="n">
        <x:v>1</x:v>
      </x:c>
      <x:c r="Q121" s="34" t="n">
        <x:v>135</x:v>
      </x:c>
      <x:c r="R121" s="33" t="n">
        <x:v>56</x:v>
      </x:c>
      <x:c r="S121" s="38" t="n">
        <x:v>7.56</x:v>
      </x:c>
      <x:c r="T121" s="38" t="n">
        <x:v>0.6048</x:v>
      </x:c>
      <x:c r="U121" s="38" t="n">
        <x:v>0.139104</x:v>
      </x:c>
      <x:c r="V121" s="38" t="n">
        <x:v>6.816096</x:v>
      </x:c>
      <x:c r="W121" s="38" t="n">
        <x:v>2.5137000000000005</x:v>
      </x:c>
      <x:c r="X121" s="38" t="n">
        <x:v>0.197666784</x:v>
      </x:c>
      <x:c r="Y121" s="38" t="n">
        <x:v>0</x:v>
      </x:c>
      <x:c r="Z121" s="38" t="n">
        <x:v>0.56025</x:v>
      </x:c>
      <x:c r="AA121" s="38" t="n">
        <x:v>0.22275</x:v>
      </x:c>
      <x:c r="AB121" s="38" t="n">
        <x:v>0.000486</x:v>
      </x:c>
      <x:c r="AC121" s="38" t="n">
        <x:v>3.321243216</x:v>
      </x:c>
      <x:c r="AD121" s="28" t="n">
        <x:v>0.48726473570794776</x:v>
      </x:c>
    </x:row>
    <x:row r="122">
      <x:c r="A122" s="32" t="n">
        <x:v>45698</x:v>
      </x:c>
      <x:c r="B122" s="32" t="n">
        <x:v>45689</x:v>
      </x:c>
      <x:c r="C122" t="str">
        <x:v>Feb 2025</x:v>
      </x:c>
      <x:c r="D122" t="str">
        <x:v>Actual</x:v>
      </x:c>
      <x:c r="E122" t="str">
        <x:v>DB-105</x:v>
      </x:c>
      <x:c r="F122" t="str">
        <x:v>DreamFuel Refill Pack</x:v>
      </x:c>
      <x:c r="G122" t="str">
        <x:v>Subscription</x:v>
      </x:c>
      <x:c r="H122" t="str">
        <x:v>None</x:v>
      </x:c>
      <x:c r="I122" t="str">
        <x:v>Active</x:v>
      </x:c>
      <x:c r="J122" t="str">
        <x:v>Amazon Marketplace</x:v>
      </x:c>
      <x:c r="K122" t="str">
        <x:v>Marketplace Consumer</x:v>
      </x:c>
      <x:c r="L122" t="str">
        <x:v>All Geographies</x:v>
      </x:c>
      <x:c r="M122" s="34" t="n">
        <x:v>1740</x:v>
      </x:c>
      <x:c r="N122" s="28" t="n">
        <x:v>0.0458784</x:v>
      </x:c>
      <x:c r="O122" s="34" t="n">
        <x:v>80</x:v>
      </x:c>
      <x:c r="P122" s="34" t="n">
        <x:v>1</x:v>
      </x:c>
      <x:c r="Q122" s="34" t="n">
        <x:v>80</x:v>
      </x:c>
      <x:c r="R122" s="33" t="n">
        <x:v>56</x:v>
      </x:c>
      <x:c r="S122" s="38" t="n">
        <x:v>4.48</x:v>
      </x:c>
      <x:c r="T122" s="38" t="n">
        <x:v>0.22400000000000003</x:v>
      </x:c>
      <x:c r="U122" s="38" t="n">
        <x:v>0.08512</x:v>
      </x:c>
      <x:c r="V122" s="38" t="n">
        <x:v>4.17088</x:v>
      </x:c>
      <x:c r="W122" s="38" t="n">
        <x:v>1.4896</x:v>
      </x:c>
      <x:c r="X122" s="38" t="n">
        <x:v>0</x:v>
      </x:c>
      <x:c r="Y122" s="38" t="n">
        <x:v>0.6256320000000001</x:v>
      </x:c>
      <x:c r="Z122" s="38" t="n">
        <x:v>0.416</x:v>
      </x:c>
      <x:c r="AA122" s="38" t="n">
        <x:v>0.172</x:v>
      </x:c>
      <x:c r="AB122" s="38" t="n">
        <x:v>0.00028799999999999995</x:v>
      </x:c>
      <x:c r="AC122" s="38" t="n">
        <x:v>1.4673600000000002</x:v>
      </x:c>
      <x:c r="AD122" s="28" t="n">
        <x:v>0.35181064907165877</x:v>
      </x:c>
    </x:row>
    <x:row r="123">
      <x:c r="A123" s="32" t="n">
        <x:v>45698</x:v>
      </x:c>
      <x:c r="B123" s="32" t="n">
        <x:v>45689</x:v>
      </x:c>
      <x:c r="C123" t="str">
        <x:v>Feb 2025</x:v>
      </x:c>
      <x:c r="D123" t="str">
        <x:v>Actual</x:v>
      </x:c>
      <x:c r="E123" t="str">
        <x:v>DB-105</x:v>
      </x:c>
      <x:c r="F123" t="str">
        <x:v>DreamFuel Refill Pack</x:v>
      </x:c>
      <x:c r="G123" t="str">
        <x:v>Subscription</x:v>
      </x:c>
      <x:c r="H123" t="str">
        <x:v>None</x:v>
      </x:c>
      <x:c r="I123" t="str">
        <x:v>Active</x:v>
      </x:c>
      <x:c r="J123" t="str">
        <x:v>Wholesale</x:v>
      </x:c>
      <x:c r="K123" t="str">
        <x:v>Retailer</x:v>
      </x:c>
      <x:c r="L123" t="str">
        <x:v>All Geographies</x:v>
      </x:c>
      <x:c r="M123" s="34" t="n">
        <x:v>1044</x:v>
      </x:c>
      <x:c r="N123" s="28" t="n">
        <x:v>0.021384000000000004</x:v>
      </x:c>
      <x:c r="O123" s="34" t="n">
        <x:v>22</x:v>
      </x:c>
      <x:c r="P123" s="34" t="n">
        <x:v>1</x:v>
      </x:c>
      <x:c r="Q123" s="34" t="n">
        <x:v>22</x:v>
      </x:c>
      <x:c r="R123" s="33" t="n">
        <x:v>56</x:v>
      </x:c>
      <x:c r="S123" s="38" t="n">
        <x:v>1.232</x:v>
      </x:c>
      <x:c r="T123" s="38" t="n">
        <x:v>0.43119999999999997</x:v>
      </x:c>
      <x:c r="U123" s="38" t="n">
        <x:v>0.016016</x:v>
      </x:c>
      <x:c r="V123" s="38" t="n">
        <x:v>0.7847839999999999</x:v>
      </x:c>
      <x:c r="W123" s="38" t="n">
        <x:v>0.40964000000000006</x:v>
      </x:c>
      <x:c r="X123" s="38" t="n">
        <x:v>0</x:v>
      </x:c>
      <x:c r="Y123" s="38" t="n">
        <x:v>0</x:v>
      </x:c>
      <x:c r="Z123" s="38" t="n">
        <x:v>0.05059999999999999</x:v>
      </x:c>
      <x:c r="AA123" s="38" t="n">
        <x:v>0.018699999999999998</x:v>
      </x:c>
      <x:c r="AB123" s="38" t="n">
        <x:v>0.0000792</x:v>
      </x:c>
      <x:c r="AC123" s="38" t="n">
        <x:v>0.3057647999999999</x:v>
      </x:c>
      <x:c r="AD123" s="28" t="n">
        <x:v>0.38961650594303643</x:v>
      </x:c>
    </x:row>
    <x:row r="124">
      <x:c r="A124" s="32" t="n">
        <x:v>45698</x:v>
      </x:c>
      <x:c r="B124" s="32" t="n">
        <x:v>45689</x:v>
      </x:c>
      <x:c r="C124" t="str">
        <x:v>Feb 2025</x:v>
      </x:c>
      <x:c r="D124" t="str">
        <x:v>Actual</x:v>
      </x:c>
      <x:c r="E124" t="str">
        <x:v>DB-105</x:v>
      </x:c>
      <x:c r="F124" t="str">
        <x:v>DreamFuel Refill Pack</x:v>
      </x:c>
      <x:c r="G124" t="str">
        <x:v>Subscription</x:v>
      </x:c>
      <x:c r="H124" t="str">
        <x:v>None</x:v>
      </x:c>
      <x:c r="I124" t="str">
        <x:v>Active</x:v>
      </x:c>
      <x:c r="J124" t="str">
        <x:v>TikTok Shop</x:v>
      </x:c>
      <x:c r="K124" t="str">
        <x:v>Social Commerce</x:v>
      </x:c>
      <x:c r="L124" t="str">
        <x:v>All Geographies</x:v>
      </x:c>
      <x:c r="M124" s="34" t="n">
        <x:v>696</x:v>
      </x:c>
      <x:c r="N124" s="28" t="n">
        <x:v>0.0489888</x:v>
      </x:c>
      <x:c r="O124" s="34" t="n">
        <x:v>34</x:v>
      </x:c>
      <x:c r="P124" s="34" t="n">
        <x:v>1</x:v>
      </x:c>
      <x:c r="Q124" s="34" t="n">
        <x:v>34</x:v>
      </x:c>
      <x:c r="R124" s="33" t="n">
        <x:v>56</x:v>
      </x:c>
      <x:c r="S124" s="38" t="n">
        <x:v>1.904</x:v>
      </x:c>
      <x:c r="T124" s="38" t="n">
        <x:v>0.22848</x:v>
      </x:c>
      <x:c r="U124" s="38" t="n">
        <x:v>0.033510399999999996</x:v>
      </x:c>
      <x:c r="V124" s="38" t="n">
        <x:v>1.6420096</x:v>
      </x:c>
      <x:c r="W124" s="38" t="n">
        <x:v>0.6330800000000001</x:v>
      </x:c>
      <x:c r="X124" s="38" t="n">
        <x:v>0.0476182784</x:v>
      </x:c>
      <x:c r="Y124" s="38" t="n">
        <x:v>0.098520576</x:v>
      </x:c>
      <x:c r="Z124" s="38" t="n">
        <x:v>0.17339999999999997</x:v>
      </x:c>
      <x:c r="AA124" s="38" t="n">
        <x:v>0.0595</x:v>
      </x:c>
      <x:c r="AB124" s="38" t="n">
        <x:v>0.00012240000000000002</x:v>
      </x:c>
      <x:c r="AC124" s="38" t="n">
        <x:v>0.6297683456</x:v>
      </x:c>
      <x:c r="AD124" s="28" t="n">
        <x:v>0.3835351179432812</x:v>
      </x:c>
    </x:row>
    <x:row r="125">
      <x:c r="A125" s="32" t="n">
        <x:v>45705</x:v>
      </x:c>
      <x:c r="B125" s="32" t="n">
        <x:v>45689</x:v>
      </x:c>
      <x:c r="C125" t="str">
        <x:v>Feb 2025</x:v>
      </x:c>
      <x:c r="D125" t="str">
        <x:v>Actual</x:v>
      </x:c>
      <x:c r="E125" t="str">
        <x:v>DB-101</x:v>
      </x:c>
      <x:c r="F125" t="str">
        <x:v>AeroSip Bottle</x:v>
      </x:c>
      <x:c r="G125" t="str">
        <x:v>One-time purchase</x:v>
      </x:c>
      <x:c r="H125" t="str">
        <x:v>None</x:v>
      </x:c>
      <x:c r="I125" t="str">
        <x:v>Active</x:v>
      </x:c>
      <x:c r="J125" t="str">
        <x:v>Shopify DTC</x:v>
      </x:c>
      <x:c r="K125" t="str">
        <x:v>Consumer</x:v>
      </x:c>
      <x:c r="L125" t="str">
        <x:v>All Geographies</x:v>
      </x:c>
      <x:c r="M125" s="34" t="n">
        <x:v>5049</x:v>
      </x:c>
      <x:c r="N125" s="28" t="n">
        <x:v>0.034199999999999994</x:v>
      </x:c>
      <x:c r="O125" s="34" t="n">
        <x:v>173</x:v>
      </x:c>
      <x:c r="P125" s="34" t="n">
        <x:v>1</x:v>
      </x:c>
      <x:c r="Q125" s="34" t="n">
        <x:v>173</x:v>
      </x:c>
      <x:c r="R125" s="33" t="n">
        <x:v>29</x:v>
      </x:c>
      <x:c r="S125" s="38" t="n">
        <x:v>5.017</x:v>
      </x:c>
      <x:c r="T125" s="38" t="n">
        <x:v>0.40136000000000005</x:v>
      </x:c>
      <x:c r="U125" s="38" t="n">
        <x:v>0.2077038</x:v>
      </x:c>
      <x:c r="V125" s="38" t="n">
        <x:v>4.4079362</x:v>
      </x:c>
      <x:c r="W125" s="38" t="n">
        <x:v>1.8684</x:v>
      </x:c>
      <x:c r="X125" s="38" t="n">
        <x:v>0.12783014980000001</x:v>
      </x:c>
      <x:c r="Y125" s="38" t="n">
        <x:v>0</x:v>
      </x:c>
      <x:c r="Z125" s="38" t="n">
        <x:v>0.7179500000000001</x:v>
      </x:c>
      <x:c r="AA125" s="38" t="n">
        <x:v>0.28545</x:v>
      </x:c>
      <x:c r="AB125" s="38" t="n">
        <x:v>0.006228</x:v>
      </x:c>
      <x:c r="AC125" s="38" t="n">
        <x:v>1.4020780501999999</x:v>
      </x:c>
      <x:c r="AD125" s="28" t="n">
        <x:v>0.3180803865083165</x:v>
      </x:c>
    </x:row>
    <x:row r="126">
      <x:c r="A126" s="32" t="n">
        <x:v>45705</x:v>
      </x:c>
      <x:c r="B126" s="32" t="n">
        <x:v>45689</x:v>
      </x:c>
      <x:c r="C126" t="str">
        <x:v>Feb 2025</x:v>
      </x:c>
      <x:c r="D126" t="str">
        <x:v>Actual</x:v>
      </x:c>
      <x:c r="E126" t="str">
        <x:v>DB-101</x:v>
      </x:c>
      <x:c r="F126" t="str">
        <x:v>AeroSip Bottle</x:v>
      </x:c>
      <x:c r="G126" t="str">
        <x:v>One-time purchase</x:v>
      </x:c>
      <x:c r="H126" t="str">
        <x:v>None</x:v>
      </x:c>
      <x:c r="I126" t="str">
        <x:v>Active</x:v>
      </x:c>
      <x:c r="J126" t="str">
        <x:v>Amazon Marketplace</x:v>
      </x:c>
      <x:c r="K126" t="str">
        <x:v>Marketplace Consumer</x:v>
      </x:c>
      <x:c r="L126" t="str">
        <x:v>All Geographies</x:v>
      </x:c>
      <x:c r="M126" s="34" t="n">
        <x:v>2524</x:v>
      </x:c>
      <x:c r="N126" s="28" t="n">
        <x:v>0.040355999999999996</x:v>
      </x:c>
      <x:c r="O126" s="34" t="n">
        <x:v>102</x:v>
      </x:c>
      <x:c r="P126" s="34" t="n">
        <x:v>1</x:v>
      </x:c>
      <x:c r="Q126" s="34" t="n">
        <x:v>102</x:v>
      </x:c>
      <x:c r="R126" s="33" t="n">
        <x:v>29</x:v>
      </x:c>
      <x:c r="S126" s="38" t="n">
        <x:v>2.958</x:v>
      </x:c>
      <x:c r="T126" s="38" t="n">
        <x:v>0.1479</x:v>
      </x:c>
      <x:c r="U126" s="38" t="n">
        <x:v>0.1264545</x:v>
      </x:c>
      <x:c r="V126" s="38" t="n">
        <x:v>2.6836455000000004</x:v>
      </x:c>
      <x:c r="W126" s="38" t="n">
        <x:v>1.1016000000000001</x:v>
      </x:c>
      <x:c r="X126" s="38" t="n">
        <x:v>0</x:v>
      </x:c>
      <x:c r="Y126" s="38" t="n">
        <x:v>0.40254682500000005</x:v>
      </x:c>
      <x:c r="Z126" s="38" t="n">
        <x:v>0.5304</x:v>
      </x:c>
      <x:c r="AA126" s="38" t="n">
        <x:v>0.2193</x:v>
      </x:c>
      <x:c r="AB126" s="38" t="n">
        <x:v>0.003672</x:v>
      </x:c>
      <x:c r="AC126" s="38" t="n">
        <x:v>0.42612667500000007</x:v>
      </x:c>
      <x:c r="AD126" s="28" t="n">
        <x:v>0.158786499558157</x:v>
      </x:c>
    </x:row>
    <x:row r="127">
      <x:c r="A127" s="32" t="n">
        <x:v>45705</x:v>
      </x:c>
      <x:c r="B127" s="32" t="n">
        <x:v>45689</x:v>
      </x:c>
      <x:c r="C127" t="str">
        <x:v>Feb 2025</x:v>
      </x:c>
      <x:c r="D127" t="str">
        <x:v>Actual</x:v>
      </x:c>
      <x:c r="E127" t="str">
        <x:v>DB-101</x:v>
      </x:c>
      <x:c r="F127" t="str">
        <x:v>AeroSip Bottle</x:v>
      </x:c>
      <x:c r="G127" t="str">
        <x:v>One-time purchase</x:v>
      </x:c>
      <x:c r="H127" t="str">
        <x:v>None</x:v>
      </x:c>
      <x:c r="I127" t="str">
        <x:v>Active</x:v>
      </x:c>
      <x:c r="J127" t="str">
        <x:v>Wholesale</x:v>
      </x:c>
      <x:c r="K127" t="str">
        <x:v>Retailer</x:v>
      </x:c>
      <x:c r="L127" t="str">
        <x:v>All Geographies</x:v>
      </x:c>
      <x:c r="M127" s="34" t="n">
        <x:v>1515</x:v>
      </x:c>
      <x:c r="N127" s="28" t="n">
        <x:v>0.01881</x:v>
      </x:c>
      <x:c r="O127" s="34" t="n">
        <x:v>28</x:v>
      </x:c>
      <x:c r="P127" s="34" t="n">
        <x:v>1</x:v>
      </x:c>
      <x:c r="Q127" s="34" t="n">
        <x:v>28</x:v>
      </x:c>
      <x:c r="R127" s="33" t="n">
        <x:v>29</x:v>
      </x:c>
      <x:c r="S127" s="38" t="n">
        <x:v>0.812</x:v>
      </x:c>
      <x:c r="T127" s="38" t="n">
        <x:v>0.2842</x:v>
      </x:c>
      <x:c r="U127" s="38" t="n">
        <x:v>0.023751</x:v>
      </x:c>
      <x:c r="V127" s="38" t="n">
        <x:v>0.5040490000000001</x:v>
      </x:c>
      <x:c r="W127" s="38" t="n">
        <x:v>0.30240000000000006</x:v>
      </x:c>
      <x:c r="X127" s="38" t="n">
        <x:v>0</x:v>
      </x:c>
      <x:c r="Y127" s="38" t="n">
        <x:v>0</x:v>
      </x:c>
      <x:c r="Z127" s="38" t="n">
        <x:v>0.06439999999999999</x:v>
      </x:c>
      <x:c r="AA127" s="38" t="n">
        <x:v>0.0238</x:v>
      </x:c>
      <x:c r="AB127" s="38" t="n">
        <x:v>0.001008</x:v>
      </x:c>
      <x:c r="AC127" s="38" t="n">
        <x:v>0.11244100000000004</x:v>
      </x:c>
      <x:c r="AD127" s="28" t="n">
        <x:v>0.22307553432305197</x:v>
      </x:c>
    </x:row>
    <x:row r="128">
      <x:c r="A128" s="32" t="n">
        <x:v>45705</x:v>
      </x:c>
      <x:c r="B128" s="32" t="n">
        <x:v>45689</x:v>
      </x:c>
      <x:c r="C128" t="str">
        <x:v>Feb 2025</x:v>
      </x:c>
      <x:c r="D128" t="str">
        <x:v>Actual</x:v>
      </x:c>
      <x:c r="E128" t="str">
        <x:v>DB-101</x:v>
      </x:c>
      <x:c r="F128" t="str">
        <x:v>AeroSip Bottle</x:v>
      </x:c>
      <x:c r="G128" t="str">
        <x:v>One-time purchase</x:v>
      </x:c>
      <x:c r="H128" t="str">
        <x:v>None</x:v>
      </x:c>
      <x:c r="I128" t="str">
        <x:v>Active</x:v>
      </x:c>
      <x:c r="J128" t="str">
        <x:v>TikTok Shop</x:v>
      </x:c>
      <x:c r="K128" t="str">
        <x:v>Social Commerce</x:v>
      </x:c>
      <x:c r="L128" t="str">
        <x:v>All Geographies</x:v>
      </x:c>
      <x:c r="M128" s="34" t="n">
        <x:v>1010</x:v>
      </x:c>
      <x:c r="N128" s="28" t="n">
        <x:v>0.043092</x:v>
      </x:c>
      <x:c r="O128" s="34" t="n">
        <x:v>44</x:v>
      </x:c>
      <x:c r="P128" s="34" t="n">
        <x:v>1</x:v>
      </x:c>
      <x:c r="Q128" s="34" t="n">
        <x:v>44</x:v>
      </x:c>
      <x:c r="R128" s="33" t="n">
        <x:v>29</x:v>
      </x:c>
      <x:c r="S128" s="38" t="n">
        <x:v>1.276</x:v>
      </x:c>
      <x:c r="T128" s="38" t="n">
        <x:v>0.15312</x:v>
      </x:c>
      <x:c r="U128" s="38" t="n">
        <x:v>0.0505296</x:v>
      </x:c>
      <x:c r="V128" s="38" t="n">
        <x:v>1.0723504000000001</x:v>
      </x:c>
      <x:c r="W128" s="38" t="n">
        <x:v>0.47520000000000007</x:v>
      </x:c>
      <x:c r="X128" s="38" t="n">
        <x:v>0.031098161600000007</x:v>
      </x:c>
      <x:c r="Y128" s="38" t="n">
        <x:v>0.06434102400000001</x:v>
      </x:c>
      <x:c r="Z128" s="38" t="n">
        <x:v>0.2244</x:v>
      </x:c>
      <x:c r="AA128" s="38" t="n">
        <x:v>0.077</x:v>
      </x:c>
      <x:c r="AB128" s="38" t="n">
        <x:v>0.0015840000000000001</x:v>
      </x:c>
      <x:c r="AC128" s="38" t="n">
        <x:v>0.1987272144000001</x:v>
      </x:c>
      <x:c r="AD128" s="28" t="n">
        <x:v>0.18531928966502</x:v>
      </x:c>
    </x:row>
    <x:row r="129">
      <x:c r="A129" s="32" t="n">
        <x:v>45705</x:v>
      </x:c>
      <x:c r="B129" s="32" t="n">
        <x:v>45689</x:v>
      </x:c>
      <x:c r="C129" t="str">
        <x:v>Feb 2025</x:v>
      </x:c>
      <x:c r="D129" t="str">
        <x:v>Actual</x:v>
      </x:c>
      <x:c r="E129" t="str">
        <x:v>DB-102</x:v>
      </x:c>
      <x:c r="F129" t="str">
        <x:v>GlowPatch Balm</x:v>
      </x:c>
      <x:c r="G129" t="str">
        <x:v>Consumable repeat</x:v>
      </x:c>
      <x:c r="H129" t="str">
        <x:v>None</x:v>
      </x:c>
      <x:c r="I129" t="str">
        <x:v>Active</x:v>
      </x:c>
      <x:c r="J129" t="str">
        <x:v>Shopify DTC</x:v>
      </x:c>
      <x:c r="K129" t="str">
        <x:v>Consumer</x:v>
      </x:c>
      <x:c r="L129" t="str">
        <x:v>All Geographies</x:v>
      </x:c>
      <x:c r="M129" s="34" t="n">
        <x:v>4078</x:v>
      </x:c>
      <x:c r="N129" s="28" t="n">
        <x:v>0.04248</x:v>
      </x:c>
      <x:c r="O129" s="34" t="n">
        <x:v>173</x:v>
      </x:c>
      <x:c r="P129" s="34" t="n">
        <x:v>1</x:v>
      </x:c>
      <x:c r="Q129" s="34" t="n">
        <x:v>173</x:v>
      </x:c>
      <x:c r="R129" s="33" t="n">
        <x:v>18</x:v>
      </x:c>
      <x:c r="S129" s="38" t="n">
        <x:v>3.114</x:v>
      </x:c>
      <x:c r="T129" s="38" t="n">
        <x:v>0.24912</x:v>
      </x:c>
      <x:c r="U129" s="38" t="n">
        <x:v>0.071622</x:v>
      </x:c>
      <x:c r="V129" s="38" t="n">
        <x:v>2.793258</x:v>
      </x:c>
      <x:c r="W129" s="38" t="n">
        <x:v>0.93593</x:v>
      </x:c>
      <x:c r="X129" s="38" t="n">
        <x:v>0.081004482</x:v>
      </x:c>
      <x:c r="Y129" s="38" t="n">
        <x:v>0</x:v>
      </x:c>
      <x:c r="Z129" s="38" t="n">
        <x:v>0.7179500000000001</x:v>
      </x:c>
      <x:c r="AA129" s="38" t="n">
        <x:v>0.28545</x:v>
      </x:c>
      <x:c r="AB129" s="38" t="n">
        <x:v>0.001038</x:v>
      </x:c>
      <x:c r="AC129" s="38" t="n">
        <x:v>0.7718855179999998</x:v>
      </x:c>
      <x:c r="AD129" s="28" t="n">
        <x:v>0.27633878359965314</x:v>
      </x:c>
    </x:row>
    <x:row r="130">
      <x:c r="A130" s="32" t="n">
        <x:v>45705</x:v>
      </x:c>
      <x:c r="B130" s="32" t="n">
        <x:v>45689</x:v>
      </x:c>
      <x:c r="C130" t="str">
        <x:v>Feb 2025</x:v>
      </x:c>
      <x:c r="D130" t="str">
        <x:v>Actual</x:v>
      </x:c>
      <x:c r="E130" t="str">
        <x:v>DB-102</x:v>
      </x:c>
      <x:c r="F130" t="str">
        <x:v>GlowPatch Balm</x:v>
      </x:c>
      <x:c r="G130" t="str">
        <x:v>Consumable repeat</x:v>
      </x:c>
      <x:c r="H130" t="str">
        <x:v>None</x:v>
      </x:c>
      <x:c r="I130" t="str">
        <x:v>Active</x:v>
      </x:c>
      <x:c r="J130" t="str">
        <x:v>Amazon Marketplace</x:v>
      </x:c>
      <x:c r="K130" t="str">
        <x:v>Marketplace Consumer</x:v>
      </x:c>
      <x:c r="L130" t="str">
        <x:v>All Geographies</x:v>
      </x:c>
      <x:c r="M130" s="34" t="n">
        <x:v>2039</x:v>
      </x:c>
      <x:c r="N130" s="28" t="n">
        <x:v>0.050126399999999995</x:v>
      </x:c>
      <x:c r="O130" s="34" t="n">
        <x:v>102</x:v>
      </x:c>
      <x:c r="P130" s="34" t="n">
        <x:v>1</x:v>
      </x:c>
      <x:c r="Q130" s="34" t="n">
        <x:v>102</x:v>
      </x:c>
      <x:c r="R130" s="33" t="n">
        <x:v>18</x:v>
      </x:c>
      <x:c r="S130" s="38" t="n">
        <x:v>1.836</x:v>
      </x:c>
      <x:c r="T130" s="38" t="n">
        <x:v>0.0918</x:v>
      </x:c>
      <x:c r="U130" s="38" t="n">
        <x:v>0.043605000000000005</x:v>
      </x:c>
      <x:c r="V130" s="38" t="n">
        <x:v>1.7005949999999999</x:v>
      </x:c>
      <x:c r="W130" s="38" t="n">
        <x:v>0.5518200000000001</x:v>
      </x:c>
      <x:c r="X130" s="38" t="n">
        <x:v>0</x:v>
      </x:c>
      <x:c r="Y130" s="38" t="n">
        <x:v>0.25508925</x:v>
      </x:c>
      <x:c r="Z130" s="38" t="n">
        <x:v>0.5304</x:v>
      </x:c>
      <x:c r="AA130" s="38" t="n">
        <x:v>0.2193</x:v>
      </x:c>
      <x:c r="AB130" s="38" t="n">
        <x:v>0.0006120000000000001</x:v>
      </x:c>
      <x:c r="AC130" s="38" t="n">
        <x:v>0.14337374999999974</x:v>
      </x:c>
      <x:c r="AD130" s="28" t="n">
        <x:v>0.0843079922027289</x:v>
      </x:c>
    </x:row>
    <x:row r="131">
      <x:c r="A131" s="32" t="n">
        <x:v>45705</x:v>
      </x:c>
      <x:c r="B131" s="32" t="n">
        <x:v>45689</x:v>
      </x:c>
      <x:c r="C131" t="str">
        <x:v>Feb 2025</x:v>
      </x:c>
      <x:c r="D131" t="str">
        <x:v>Actual</x:v>
      </x:c>
      <x:c r="E131" t="str">
        <x:v>DB-102</x:v>
      </x:c>
      <x:c r="F131" t="str">
        <x:v>GlowPatch Balm</x:v>
      </x:c>
      <x:c r="G131" t="str">
        <x:v>Consumable repeat</x:v>
      </x:c>
      <x:c r="H131" t="str">
        <x:v>None</x:v>
      </x:c>
      <x:c r="I131" t="str">
        <x:v>Active</x:v>
      </x:c>
      <x:c r="J131" t="str">
        <x:v>Wholesale</x:v>
      </x:c>
      <x:c r="K131" t="str">
        <x:v>Retailer</x:v>
      </x:c>
      <x:c r="L131" t="str">
        <x:v>All Geographies</x:v>
      </x:c>
      <x:c r="M131" s="34" t="n">
        <x:v>1223</x:v>
      </x:c>
      <x:c r="N131" s="28" t="n">
        <x:v>0.023364</x:v>
      </x:c>
      <x:c r="O131" s="34" t="n">
        <x:v>29</x:v>
      </x:c>
      <x:c r="P131" s="34" t="n">
        <x:v>1</x:v>
      </x:c>
      <x:c r="Q131" s="34" t="n">
        <x:v>29</x:v>
      </x:c>
      <x:c r="R131" s="33" t="n">
        <x:v>18</x:v>
      </x:c>
      <x:c r="S131" s="38" t="n">
        <x:v>0.522</x:v>
      </x:c>
      <x:c r="T131" s="38" t="n">
        <x:v>0.1827</x:v>
      </x:c>
      <x:c r="U131" s="38" t="n">
        <x:v>0.008482500000000002</x:v>
      </x:c>
      <x:c r="V131" s="38" t="n">
        <x:v>0.33081750000000004</x:v>
      </x:c>
      <x:c r="W131" s="38" t="n">
        <x:v>0.15689</x:v>
      </x:c>
      <x:c r="X131" s="38" t="n">
        <x:v>0</x:v>
      </x:c>
      <x:c r="Y131" s="38" t="n">
        <x:v>0</x:v>
      </x:c>
      <x:c r="Z131" s="38" t="n">
        <x:v>0.0667</x:v>
      </x:c>
      <x:c r="AA131" s="38" t="n">
        <x:v>0.02465</x:v>
      </x:c>
      <x:c r="AB131" s="38" t="n">
        <x:v>0.00017400000000000003</x:v>
      </x:c>
      <x:c r="AC131" s="38" t="n">
        <x:v>0.08240350000000006</x:v>
      </x:c>
      <x:c r="AD131" s="28" t="n">
        <x:v>0.2490905106289723</x:v>
      </x:c>
    </x:row>
    <x:row r="132">
      <x:c r="A132" s="32" t="n">
        <x:v>45705</x:v>
      </x:c>
      <x:c r="B132" s="32" t="n">
        <x:v>45689</x:v>
      </x:c>
      <x:c r="C132" t="str">
        <x:v>Feb 2025</x:v>
      </x:c>
      <x:c r="D132" t="str">
        <x:v>Actual</x:v>
      </x:c>
      <x:c r="E132" t="str">
        <x:v>DB-102</x:v>
      </x:c>
      <x:c r="F132" t="str">
        <x:v>GlowPatch Balm</x:v>
      </x:c>
      <x:c r="G132" t="str">
        <x:v>Consumable repeat</x:v>
      </x:c>
      <x:c r="H132" t="str">
        <x:v>None</x:v>
      </x:c>
      <x:c r="I132" t="str">
        <x:v>Active</x:v>
      </x:c>
      <x:c r="J132" t="str">
        <x:v>TikTok Shop</x:v>
      </x:c>
      <x:c r="K132" t="str">
        <x:v>Social Commerce</x:v>
      </x:c>
      <x:c r="L132" t="str">
        <x:v>All Geographies</x:v>
      </x:c>
      <x:c r="M132" s="34" t="n">
        <x:v>816</x:v>
      </x:c>
      <x:c r="N132" s="28" t="n">
        <x:v>0.0535248</x:v>
      </x:c>
      <x:c r="O132" s="34" t="n">
        <x:v>44</x:v>
      </x:c>
      <x:c r="P132" s="34" t="n">
        <x:v>1</x:v>
      </x:c>
      <x:c r="Q132" s="34" t="n">
        <x:v>44</x:v>
      </x:c>
      <x:c r="R132" s="33" t="n">
        <x:v>18</x:v>
      </x:c>
      <x:c r="S132" s="38" t="n">
        <x:v>0.792</x:v>
      </x:c>
      <x:c r="T132" s="38" t="n">
        <x:v>0.09504</x:v>
      </x:c>
      <x:c r="U132" s="38" t="n">
        <x:v>0.017424000000000002</x:v>
      </x:c>
      <x:c r="V132" s="38" t="n">
        <x:v>0.679536</x:v>
      </x:c>
      <x:c r="W132" s="38" t="n">
        <x:v>0.23804000000000003</x:v>
      </x:c>
      <x:c r="X132" s="38" t="n">
        <x:v>0.019706544000000003</x:v>
      </x:c>
      <x:c r="Y132" s="38" t="n">
        <x:v>0.04077216</x:v>
      </x:c>
      <x:c r="Z132" s="38" t="n">
        <x:v>0.2244</x:v>
      </x:c>
      <x:c r="AA132" s="38" t="n">
        <x:v>0.077</x:v>
      </x:c>
      <x:c r="AB132" s="38" t="n">
        <x:v>0.000264</x:v>
      </x:c>
      <x:c r="AC132" s="38" t="n">
        <x:v>0.07935329600000002</x:v>
      </x:c>
      <x:c r="AD132" s="28" t="n">
        <x:v>0.1167757057757058</x:v>
      </x:c>
    </x:row>
    <x:row r="133">
      <x:c r="A133" s="32" t="n">
        <x:v>45705</x:v>
      </x:c>
      <x:c r="B133" s="32" t="n">
        <x:v>45689</x:v>
      </x:c>
      <x:c r="C133" t="str">
        <x:v>Feb 2025</x:v>
      </x:c>
      <x:c r="D133" t="str">
        <x:v>Actual</x:v>
      </x:c>
      <x:c r="E133" t="str">
        <x:v>DB-103</x:v>
      </x:c>
      <x:c r="F133" t="str">
        <x:v>EmberTrail Camp Mug</x:v>
      </x:c>
      <x:c r="G133" t="str">
        <x:v>One-time purchase</x:v>
      </x:c>
      <x:c r="H133" t="str">
        <x:v>Winter peak</x:v>
      </x:c>
      <x:c r="I133" t="str">
        <x:v>Active</x:v>
      </x:c>
      <x:c r="J133" t="str">
        <x:v>Shopify DTC</x:v>
      </x:c>
      <x:c r="K133" t="str">
        <x:v>Consumer</x:v>
      </x:c>
      <x:c r="L133" t="str">
        <x:v>All Geographies</x:v>
      </x:c>
      <x:c r="M133" s="34" t="n">
        <x:v>3775</x:v>
      </x:c>
      <x:c r="N133" s="28" t="n">
        <x:v>0.0324</x:v>
      </x:c>
      <x:c r="O133" s="34" t="n">
        <x:v>122</x:v>
      </x:c>
      <x:c r="P133" s="34" t="n">
        <x:v>1</x:v>
      </x:c>
      <x:c r="Q133" s="34" t="n">
        <x:v>122</x:v>
      </x:c>
      <x:c r="R133" s="33" t="n">
        <x:v>34</x:v>
      </x:c>
      <x:c r="S133" s="38" t="n">
        <x:v>4.148</x:v>
      </x:c>
      <x:c r="T133" s="38" t="n">
        <x:v>0.33183999999999997</x:v>
      </x:c>
      <x:c r="U133" s="38" t="n">
        <x:v>0.2098888</x:v>
      </x:c>
      <x:c r="V133" s="38" t="n">
        <x:v>3.6062711999999997</x:v>
      </x:c>
      <x:c r="W133" s="38" t="n">
        <x:v>1.66774</x:v>
      </x:c>
      <x:c r="X133" s="38" t="n">
        <x:v>0.1045818648</x:v>
      </x:c>
      <x:c r="Y133" s="38" t="n">
        <x:v>0</x:v>
      </x:c>
      <x:c r="Z133" s="38" t="n">
        <x:v>0.5063000000000001</x:v>
      </x:c>
      <x:c r="AA133" s="38" t="n">
        <x:v>0.20129999999999998</x:v>
      </x:c>
      <x:c r="AB133" s="38" t="n">
        <x:v>0.0068319999999999995</x:v>
      </x:c>
      <x:c r="AC133" s="38" t="n">
        <x:v>1.1195173351999994</x:v>
      </x:c>
      <x:c r="AD133" s="28" t="n">
        <x:v>0.31043625759482524</x:v>
      </x:c>
    </x:row>
    <x:row r="134">
      <x:c r="A134" s="32" t="n">
        <x:v>45705</x:v>
      </x:c>
      <x:c r="B134" s="32" t="n">
        <x:v>45689</x:v>
      </x:c>
      <x:c r="C134" t="str">
        <x:v>Feb 2025</x:v>
      </x:c>
      <x:c r="D134" t="str">
        <x:v>Actual</x:v>
      </x:c>
      <x:c r="E134" t="str">
        <x:v>DB-103</x:v>
      </x:c>
      <x:c r="F134" t="str">
        <x:v>EmberTrail Camp Mug</x:v>
      </x:c>
      <x:c r="G134" t="str">
        <x:v>One-time purchase</x:v>
      </x:c>
      <x:c r="H134" t="str">
        <x:v>Winter peak</x:v>
      </x:c>
      <x:c r="I134" t="str">
        <x:v>Active</x:v>
      </x:c>
      <x:c r="J134" t="str">
        <x:v>Amazon Marketplace</x:v>
      </x:c>
      <x:c r="K134" t="str">
        <x:v>Marketplace Consumer</x:v>
      </x:c>
      <x:c r="L134" t="str">
        <x:v>All Geographies</x:v>
      </x:c>
      <x:c r="M134" s="34" t="n">
        <x:v>1887</x:v>
      </x:c>
      <x:c r="N134" s="28" t="n">
        <x:v>0.038231999999999995</x:v>
      </x:c>
      <x:c r="O134" s="34" t="n">
        <x:v>72</x:v>
      </x:c>
      <x:c r="P134" s="34" t="n">
        <x:v>1</x:v>
      </x:c>
      <x:c r="Q134" s="34" t="n">
        <x:v>72</x:v>
      </x:c>
      <x:c r="R134" s="33" t="n">
        <x:v>34</x:v>
      </x:c>
      <x:c r="S134" s="38" t="n">
        <x:v>2.448</x:v>
      </x:c>
      <x:c r="T134" s="38" t="n">
        <x:v>0.12240000000000001</x:v>
      </x:c>
      <x:c r="U134" s="38" t="n">
        <x:v>0.127908</x:v>
      </x:c>
      <x:c r="V134" s="38" t="n">
        <x:v>2.197692</x:v>
      </x:c>
      <x:c r="W134" s="38" t="n">
        <x:v>0.98424</x:v>
      </x:c>
      <x:c r="X134" s="38" t="n">
        <x:v>0</x:v>
      </x:c>
      <x:c r="Y134" s="38" t="n">
        <x:v>0.3296538</x:v>
      </x:c>
      <x:c r="Z134" s="38" t="n">
        <x:v>0.3744</x:v>
      </x:c>
      <x:c r="AA134" s="38" t="n">
        <x:v>0.1548</x:v>
      </x:c>
      <x:c r="AB134" s="38" t="n">
        <x:v>0.004032</x:v>
      </x:c>
      <x:c r="AC134" s="38" t="n">
        <x:v>0.35056619999999994</x:v>
      </x:c>
      <x:c r="AD134" s="28" t="n">
        <x:v>0.1595156191131423</x:v>
      </x:c>
    </x:row>
    <x:row r="135">
      <x:c r="A135" s="32" t="n">
        <x:v>45705</x:v>
      </x:c>
      <x:c r="B135" s="32" t="n">
        <x:v>45689</x:v>
      </x:c>
      <x:c r="C135" t="str">
        <x:v>Feb 2025</x:v>
      </x:c>
      <x:c r="D135" t="str">
        <x:v>Actual</x:v>
      </x:c>
      <x:c r="E135" t="str">
        <x:v>DB-103</x:v>
      </x:c>
      <x:c r="F135" t="str">
        <x:v>EmberTrail Camp Mug</x:v>
      </x:c>
      <x:c r="G135" t="str">
        <x:v>One-time purchase</x:v>
      </x:c>
      <x:c r="H135" t="str">
        <x:v>Winter peak</x:v>
      </x:c>
      <x:c r="I135" t="str">
        <x:v>Active</x:v>
      </x:c>
      <x:c r="J135" t="str">
        <x:v>Wholesale</x:v>
      </x:c>
      <x:c r="K135" t="str">
        <x:v>Retailer</x:v>
      </x:c>
      <x:c r="L135" t="str">
        <x:v>All Geographies</x:v>
      </x:c>
      <x:c r="M135" s="34" t="n">
        <x:v>1132</x:v>
      </x:c>
      <x:c r="N135" s="28" t="n">
        <x:v>0.017820000000000003</x:v>
      </x:c>
      <x:c r="O135" s="34" t="n">
        <x:v>20</x:v>
      </x:c>
      <x:c r="P135" s="34" t="n">
        <x:v>1</x:v>
      </x:c>
      <x:c r="Q135" s="34" t="n">
        <x:v>20</x:v>
      </x:c>
      <x:c r="R135" s="33" t="n">
        <x:v>34</x:v>
      </x:c>
      <x:c r="S135" s="38" t="n">
        <x:v>0.68</x:v>
      </x:c>
      <x:c r="T135" s="38" t="n">
        <x:v>0.238</x:v>
      </x:c>
      <x:c r="U135" s="38" t="n">
        <x:v>0.024310000000000002</x:v>
      </x:c>
      <x:c r="V135" s="38" t="n">
        <x:v>0.41769000000000006</x:v>
      </x:c>
      <x:c r="W135" s="38" t="n">
        <x:v>0.2734</x:v>
      </x:c>
      <x:c r="X135" s="38" t="n">
        <x:v>0</x:v>
      </x:c>
      <x:c r="Y135" s="38" t="n">
        <x:v>0</x:v>
      </x:c>
      <x:c r="Z135" s="38" t="n">
        <x:v>0.046</x:v>
      </x:c>
      <x:c r="AA135" s="38" t="n">
        <x:v>0.017</x:v>
      </x:c>
      <x:c r="AB135" s="38" t="n">
        <x:v>0.0011200000000000001</x:v>
      </x:c>
      <x:c r="AC135" s="38" t="n">
        <x:v>0.08017000000000009</x:v>
      </x:c>
      <x:c r="AD135" s="28" t="n">
        <x:v>0.19193660370130977</x:v>
      </x:c>
    </x:row>
    <x:row r="136">
      <x:c r="A136" s="32" t="n">
        <x:v>45705</x:v>
      </x:c>
      <x:c r="B136" s="32" t="n">
        <x:v>45689</x:v>
      </x:c>
      <x:c r="C136" t="str">
        <x:v>Feb 2025</x:v>
      </x:c>
      <x:c r="D136" t="str">
        <x:v>Actual</x:v>
      </x:c>
      <x:c r="E136" t="str">
        <x:v>DB-103</x:v>
      </x:c>
      <x:c r="F136" t="str">
        <x:v>EmberTrail Camp Mug</x:v>
      </x:c>
      <x:c r="G136" t="str">
        <x:v>One-time purchase</x:v>
      </x:c>
      <x:c r="H136" t="str">
        <x:v>Winter peak</x:v>
      </x:c>
      <x:c r="I136" t="str">
        <x:v>Active</x:v>
      </x:c>
      <x:c r="J136" t="str">
        <x:v>TikTok Shop</x:v>
      </x:c>
      <x:c r="K136" t="str">
        <x:v>Social Commerce</x:v>
      </x:c>
      <x:c r="L136" t="str">
        <x:v>All Geographies</x:v>
      </x:c>
      <x:c r="M136" s="34" t="n">
        <x:v>755</x:v>
      </x:c>
      <x:c r="N136" s="28" t="n">
        <x:v>0.040824</x:v>
      </x:c>
      <x:c r="O136" s="34" t="n">
        <x:v>31</x:v>
      </x:c>
      <x:c r="P136" s="34" t="n">
        <x:v>1</x:v>
      </x:c>
      <x:c r="Q136" s="34" t="n">
        <x:v>31</x:v>
      </x:c>
      <x:c r="R136" s="33" t="n">
        <x:v>34</x:v>
      </x:c>
      <x:c r="S136" s="38" t="n">
        <x:v>1.054</x:v>
      </x:c>
      <x:c r="T136" s="38" t="n">
        <x:v>0.12648</x:v>
      </x:c>
      <x:c r="U136" s="38" t="n">
        <x:v>0.0510136</x:v>
      </x:c>
      <x:c r="V136" s="38" t="n">
        <x:v>0.8765064</x:v>
      </x:c>
      <x:c r="W136" s="38" t="n">
        <x:v>0.42377</x:v>
      </x:c>
      <x:c r="X136" s="38" t="n">
        <x:v>0.0254186856</x:v>
      </x:c>
      <x:c r="Y136" s="38" t="n">
        <x:v>0.052590384</x:v>
      </x:c>
      <x:c r="Z136" s="38" t="n">
        <x:v>0.1581</x:v>
      </x:c>
      <x:c r="AA136" s="38" t="n">
        <x:v>0.05425</x:v>
      </x:c>
      <x:c r="AB136" s="38" t="n">
        <x:v>0.001736</x:v>
      </x:c>
      <x:c r="AC136" s="38" t="n">
        <x:v>0.1606413304000001</x:v>
      </x:c>
      <x:c r="AD136" s="28" t="n">
        <x:v>0.18327456639221354</x:v>
      </x:c>
    </x:row>
    <x:row r="137">
      <x:c r="A137" s="32" t="n">
        <x:v>45705</x:v>
      </x:c>
      <x:c r="B137" s="32" t="n">
        <x:v>45689</x:v>
      </x:c>
      <x:c r="C137" t="str">
        <x:v>Feb 2025</x:v>
      </x:c>
      <x:c r="D137" t="str">
        <x:v>Actual</x:v>
      </x:c>
      <x:c r="E137" t="str">
        <x:v>DB-104</x:v>
      </x:c>
      <x:c r="F137" t="str">
        <x:v>SunNest Cooling Towel</x:v>
      </x:c>
      <x:c r="G137" t="str">
        <x:v>Consumable repeat</x:v>
      </x:c>
      <x:c r="H137" t="str">
        <x:v>Summer peak</x:v>
      </x:c>
      <x:c r="I137" t="str">
        <x:v>Active</x:v>
      </x:c>
      <x:c r="J137" t="str">
        <x:v>Shopify DTC</x:v>
      </x:c>
      <x:c r="K137" t="str">
        <x:v>Consumer</x:v>
      </x:c>
      <x:c r="L137" t="str">
        <x:v>All Geographies</x:v>
      </x:c>
      <x:c r="M137" s="34" t="n">
        <x:v>2575</x:v>
      </x:c>
      <x:c r="N137" s="28" t="n">
        <x:v>0.03312</x:v>
      </x:c>
      <x:c r="O137" s="34" t="n">
        <x:v>85</x:v>
      </x:c>
      <x:c r="P137" s="34" t="n">
        <x:v>1</x:v>
      </x:c>
      <x:c r="Q137" s="34" t="n">
        <x:v>85</x:v>
      </x:c>
      <x:c r="R137" s="33" t="n">
        <x:v>42</x:v>
      </x:c>
      <x:c r="S137" s="38" t="n">
        <x:v>3.57</x:v>
      </x:c>
      <x:c r="T137" s="38" t="n">
        <x:v>0.2856</x:v>
      </x:c>
      <x:c r="U137" s="38" t="n">
        <x:v>0.16422</x:v>
      </x:c>
      <x:c r="V137" s="38" t="n">
        <x:v>3.12018</x:v>
      </x:c>
      <x:c r="W137" s="38" t="n">
        <x:v>1.27925</x:v>
      </x:c>
      <x:c r="X137" s="38" t="n">
        <x:v>0.09048522</x:v>
      </x:c>
      <x:c r="Y137" s="38" t="n">
        <x:v>0</x:v>
      </x:c>
      <x:c r="Z137" s="38" t="n">
        <x:v>0.35275000000000006</x:v>
      </x:c>
      <x:c r="AA137" s="38" t="n">
        <x:v>0.14025</x:v>
      </x:c>
      <x:c r="AB137" s="38" t="n">
        <x:v>0.0023799999999999997</x:v>
      </x:c>
      <x:c r="AC137" s="38" t="n">
        <x:v>1.2550647799999999</x:v>
      </x:c>
      <x:c r="AD137" s="28" t="n">
        <x:v>0.4022411463441211</x:v>
      </x:c>
    </x:row>
    <x:row r="138">
      <x:c r="A138" s="32" t="n">
        <x:v>45705</x:v>
      </x:c>
      <x:c r="B138" s="32" t="n">
        <x:v>45689</x:v>
      </x:c>
      <x:c r="C138" t="str">
        <x:v>Feb 2025</x:v>
      </x:c>
      <x:c r="D138" t="str">
        <x:v>Actual</x:v>
      </x:c>
      <x:c r="E138" t="str">
        <x:v>DB-104</x:v>
      </x:c>
      <x:c r="F138" t="str">
        <x:v>SunNest Cooling Towel</x:v>
      </x:c>
      <x:c r="G138" t="str">
        <x:v>Consumable repeat</x:v>
      </x:c>
      <x:c r="H138" t="str">
        <x:v>Summer peak</x:v>
      </x:c>
      <x:c r="I138" t="str">
        <x:v>Active</x:v>
      </x:c>
      <x:c r="J138" t="str">
        <x:v>Amazon Marketplace</x:v>
      </x:c>
      <x:c r="K138" t="str">
        <x:v>Marketplace Consumer</x:v>
      </x:c>
      <x:c r="L138" t="str">
        <x:v>All Geographies</x:v>
      </x:c>
      <x:c r="M138" s="34" t="n">
        <x:v>1287</x:v>
      </x:c>
      <x:c r="N138" s="28" t="n">
        <x:v>0.0390816</x:v>
      </x:c>
      <x:c r="O138" s="34" t="n">
        <x:v>50</x:v>
      </x:c>
      <x:c r="P138" s="34" t="n">
        <x:v>1</x:v>
      </x:c>
      <x:c r="Q138" s="34" t="n">
        <x:v>50</x:v>
      </x:c>
      <x:c r="R138" s="33" t="n">
        <x:v>42</x:v>
      </x:c>
      <x:c r="S138" s="38" t="n">
        <x:v>2.1</x:v>
      </x:c>
      <x:c r="T138" s="38" t="n">
        <x:v>0.10500000000000001</x:v>
      </x:c>
      <x:c r="U138" s="38" t="n">
        <x:v>0.09975</x:v>
      </x:c>
      <x:c r="V138" s="38" t="n">
        <x:v>1.89525</x:v>
      </x:c>
      <x:c r="W138" s="38" t="n">
        <x:v>0.7525</x:v>
      </x:c>
      <x:c r="X138" s="38" t="n">
        <x:v>0</x:v>
      </x:c>
      <x:c r="Y138" s="38" t="n">
        <x:v>0.2842875</x:v>
      </x:c>
      <x:c r="Z138" s="38" t="n">
        <x:v>0.26</x:v>
      </x:c>
      <x:c r="AA138" s="38" t="n">
        <x:v>0.1075</x:v>
      </x:c>
      <x:c r="AB138" s="38" t="n">
        <x:v>0.0014</x:v>
      </x:c>
      <x:c r="AC138" s="38" t="n">
        <x:v>0.4895625000000001</x:v>
      </x:c>
      <x:c r="AD138" s="28" t="n">
        <x:v>0.25831024930747926</x:v>
      </x:c>
    </x:row>
    <x:row r="139">
      <x:c r="A139" s="32" t="n">
        <x:v>45705</x:v>
      </x:c>
      <x:c r="B139" s="32" t="n">
        <x:v>45689</x:v>
      </x:c>
      <x:c r="C139" t="str">
        <x:v>Feb 2025</x:v>
      </x:c>
      <x:c r="D139" t="str">
        <x:v>Actual</x:v>
      </x:c>
      <x:c r="E139" t="str">
        <x:v>DB-104</x:v>
      </x:c>
      <x:c r="F139" t="str">
        <x:v>SunNest Cooling Towel</x:v>
      </x:c>
      <x:c r="G139" t="str">
        <x:v>Consumable repeat</x:v>
      </x:c>
      <x:c r="H139" t="str">
        <x:v>Summer peak</x:v>
      </x:c>
      <x:c r="I139" t="str">
        <x:v>Active</x:v>
      </x:c>
      <x:c r="J139" t="str">
        <x:v>Wholesale</x:v>
      </x:c>
      <x:c r="K139" t="str">
        <x:v>Retailer</x:v>
      </x:c>
      <x:c r="L139" t="str">
        <x:v>All Geographies</x:v>
      </x:c>
      <x:c r="M139" s="34" t="n">
        <x:v>772</x:v>
      </x:c>
      <x:c r="N139" s="28" t="n">
        <x:v>0.018216000000000003</x:v>
      </x:c>
      <x:c r="O139" s="34" t="n">
        <x:v>14</x:v>
      </x:c>
      <x:c r="P139" s="34" t="n">
        <x:v>1</x:v>
      </x:c>
      <x:c r="Q139" s="34" t="n">
        <x:v>14</x:v>
      </x:c>
      <x:c r="R139" s="33" t="n">
        <x:v>42</x:v>
      </x:c>
      <x:c r="S139" s="38" t="n">
        <x:v>0.588</x:v>
      </x:c>
      <x:c r="T139" s="38" t="n">
        <x:v>0.20579999999999998</x:v>
      </x:c>
      <x:c r="U139" s="38" t="n">
        <x:v>0.019110000000000002</x:v>
      </x:c>
      <x:c r="V139" s="38" t="n">
        <x:v>0.36308999999999997</x:v>
      </x:c>
      <x:c r="W139" s="38" t="n">
        <x:v>0.21070000000000003</x:v>
      </x:c>
      <x:c r="X139" s="38" t="n">
        <x:v>0</x:v>
      </x:c>
      <x:c r="Y139" s="38" t="n">
        <x:v>0</x:v>
      </x:c>
      <x:c r="Z139" s="38" t="n">
        <x:v>0.03219999999999999</x:v>
      </x:c>
      <x:c r="AA139" s="38" t="n">
        <x:v>0.0119</x:v>
      </x:c>
      <x:c r="AB139" s="38" t="n">
        <x:v>0.00039200000000000004</x:v>
      </x:c>
      <x:c r="AC139" s="38" t="n">
        <x:v>0.10789799999999994</x:v>
      </x:c>
      <x:c r="AD139" s="28" t="n">
        <x:v>0.2971659919028339</x:v>
      </x:c>
    </x:row>
    <x:row r="140">
      <x:c r="A140" s="32" t="n">
        <x:v>45705</x:v>
      </x:c>
      <x:c r="B140" s="32" t="n">
        <x:v>45689</x:v>
      </x:c>
      <x:c r="C140" t="str">
        <x:v>Feb 2025</x:v>
      </x:c>
      <x:c r="D140" t="str">
        <x:v>Actual</x:v>
      </x:c>
      <x:c r="E140" t="str">
        <x:v>DB-104</x:v>
      </x:c>
      <x:c r="F140" t="str">
        <x:v>SunNest Cooling Towel</x:v>
      </x:c>
      <x:c r="G140" t="str">
        <x:v>Consumable repeat</x:v>
      </x:c>
      <x:c r="H140" t="str">
        <x:v>Summer peak</x:v>
      </x:c>
      <x:c r="I140" t="str">
        <x:v>Active</x:v>
      </x:c>
      <x:c r="J140" t="str">
        <x:v>TikTok Shop</x:v>
      </x:c>
      <x:c r="K140" t="str">
        <x:v>Social Commerce</x:v>
      </x:c>
      <x:c r="L140" t="str">
        <x:v>All Geographies</x:v>
      </x:c>
      <x:c r="M140" s="34" t="n">
        <x:v>515</x:v>
      </x:c>
      <x:c r="N140" s="28" t="n">
        <x:v>0.0417312</x:v>
      </x:c>
      <x:c r="O140" s="34" t="n">
        <x:v>21</x:v>
      </x:c>
      <x:c r="P140" s="34" t="n">
        <x:v>1</x:v>
      </x:c>
      <x:c r="Q140" s="34" t="n">
        <x:v>21</x:v>
      </x:c>
      <x:c r="R140" s="33" t="n">
        <x:v>42</x:v>
      </x:c>
      <x:c r="S140" s="38" t="n">
        <x:v>0.882</x:v>
      </x:c>
      <x:c r="T140" s="38" t="n">
        <x:v>0.10584</x:v>
      </x:c>
      <x:c r="U140" s="38" t="n">
        <x:v>0.038808</x:v>
      </x:c>
      <x:c r="V140" s="38" t="n">
        <x:v>0.737352</x:v>
      </x:c>
      <x:c r="W140" s="38" t="n">
        <x:v>0.31605</x:v>
      </x:c>
      <x:c r="X140" s="38" t="n">
        <x:v>0.021383208</x:v>
      </x:c>
      <x:c r="Y140" s="38" t="n">
        <x:v>0.04424112</x:v>
      </x:c>
      <x:c r="Z140" s="38" t="n">
        <x:v>0.1071</x:v>
      </x:c>
      <x:c r="AA140" s="38" t="n">
        <x:v>0.03675</x:v>
      </x:c>
      <x:c r="AB140" s="38" t="n">
        <x:v>0.000588</x:v>
      </x:c>
      <x:c r="AC140" s="38" t="n">
        <x:v>0.211239672</x:v>
      </x:c>
      <x:c r="AD140" s="28" t="n">
        <x:v>0.2864841649578492</x:v>
      </x:c>
    </x:row>
    <x:row r="141">
      <x:c r="A141" s="32" t="n">
        <x:v>45705</x:v>
      </x:c>
      <x:c r="B141" s="32" t="n">
        <x:v>45689</x:v>
      </x:c>
      <x:c r="C141" t="str">
        <x:v>Feb 2025</x:v>
      </x:c>
      <x:c r="D141" t="str">
        <x:v>Actual</x:v>
      </x:c>
      <x:c r="E141" t="str">
        <x:v>DB-105</x:v>
      </x:c>
      <x:c r="F141" t="str">
        <x:v>DreamFuel Refill Pack</x:v>
      </x:c>
      <x:c r="G141" t="str">
        <x:v>Subscription</x:v>
      </x:c>
      <x:c r="H141" t="str">
        <x:v>None</x:v>
      </x:c>
      <x:c r="I141" t="str">
        <x:v>Active</x:v>
      </x:c>
      <x:c r="J141" t="str">
        <x:v>Shopify DTC</x:v>
      </x:c>
      <x:c r="K141" t="str">
        <x:v>Consumer</x:v>
      </x:c>
      <x:c r="L141" t="str">
        <x:v>All Geographies</x:v>
      </x:c>
      <x:c r="M141" s="34" t="n">
        <x:v>3495</x:v>
      </x:c>
      <x:c r="N141" s="28" t="n">
        <x:v>0.03888</x:v>
      </x:c>
      <x:c r="O141" s="34" t="n">
        <x:v>136</x:v>
      </x:c>
      <x:c r="P141" s="34" t="n">
        <x:v>1</x:v>
      </x:c>
      <x:c r="Q141" s="34" t="n">
        <x:v>136</x:v>
      </x:c>
      <x:c r="R141" s="33" t="n">
        <x:v>56</x:v>
      </x:c>
      <x:c r="S141" s="38" t="n">
        <x:v>7.616</x:v>
      </x:c>
      <x:c r="T141" s="38" t="n">
        <x:v>0.6092799999999999</x:v>
      </x:c>
      <x:c r="U141" s="38" t="n">
        <x:v>0.1401344</x:v>
      </x:c>
      <x:c r="V141" s="38" t="n">
        <x:v>6.8665856</x:v>
      </x:c>
      <x:c r="W141" s="38" t="n">
        <x:v>2.5323200000000003</x:v>
      </x:c>
      <x:c r="X141" s="38" t="n">
        <x:v>0.1991309824</x:v>
      </x:c>
      <x:c r="Y141" s="38" t="n">
        <x:v>0</x:v>
      </x:c>
      <x:c r="Z141" s="38" t="n">
        <x:v>0.5644000000000001</x:v>
      </x:c>
      <x:c r="AA141" s="38" t="n">
        <x:v>0.2244</x:v>
      </x:c>
      <x:c r="AB141" s="38" t="n">
        <x:v>0.0004896000000000001</x:v>
      </x:c>
      <x:c r="AC141" s="38" t="n">
        <x:v>3.3458450175999994</x:v>
      </x:c>
      <x:c r="AD141" s="28" t="n">
        <x:v>0.4872647357079477</x:v>
      </x:c>
    </x:row>
    <x:row r="142">
      <x:c r="A142" s="32" t="n">
        <x:v>45705</x:v>
      </x:c>
      <x:c r="B142" s="32" t="n">
        <x:v>45689</x:v>
      </x:c>
      <x:c r="C142" t="str">
        <x:v>Feb 2025</x:v>
      </x:c>
      <x:c r="D142" t="str">
        <x:v>Actual</x:v>
      </x:c>
      <x:c r="E142" t="str">
        <x:v>DB-105</x:v>
      </x:c>
      <x:c r="F142" t="str">
        <x:v>DreamFuel Refill Pack</x:v>
      </x:c>
      <x:c r="G142" t="str">
        <x:v>Subscription</x:v>
      </x:c>
      <x:c r="H142" t="str">
        <x:v>None</x:v>
      </x:c>
      <x:c r="I142" t="str">
        <x:v>Active</x:v>
      </x:c>
      <x:c r="J142" t="str">
        <x:v>Amazon Marketplace</x:v>
      </x:c>
      <x:c r="K142" t="str">
        <x:v>Marketplace Consumer</x:v>
      </x:c>
      <x:c r="L142" t="str">
        <x:v>All Geographies</x:v>
      </x:c>
      <x:c r="M142" s="34" t="n">
        <x:v>1748</x:v>
      </x:c>
      <x:c r="N142" s="28" t="n">
        <x:v>0.0458784</x:v>
      </x:c>
      <x:c r="O142" s="34" t="n">
        <x:v>80</x:v>
      </x:c>
      <x:c r="P142" s="34" t="n">
        <x:v>1</x:v>
      </x:c>
      <x:c r="Q142" s="34" t="n">
        <x:v>80</x:v>
      </x:c>
      <x:c r="R142" s="33" t="n">
        <x:v>56</x:v>
      </x:c>
      <x:c r="S142" s="38" t="n">
        <x:v>4.48</x:v>
      </x:c>
      <x:c r="T142" s="38" t="n">
        <x:v>0.22400000000000003</x:v>
      </x:c>
      <x:c r="U142" s="38" t="n">
        <x:v>0.08512</x:v>
      </x:c>
      <x:c r="V142" s="38" t="n">
        <x:v>4.17088</x:v>
      </x:c>
      <x:c r="W142" s="38" t="n">
        <x:v>1.4896</x:v>
      </x:c>
      <x:c r="X142" s="38" t="n">
        <x:v>0</x:v>
      </x:c>
      <x:c r="Y142" s="38" t="n">
        <x:v>0.6256320000000001</x:v>
      </x:c>
      <x:c r="Z142" s="38" t="n">
        <x:v>0.416</x:v>
      </x:c>
      <x:c r="AA142" s="38" t="n">
        <x:v>0.172</x:v>
      </x:c>
      <x:c r="AB142" s="38" t="n">
        <x:v>0.00028799999999999995</x:v>
      </x:c>
      <x:c r="AC142" s="38" t="n">
        <x:v>1.4673600000000002</x:v>
      </x:c>
      <x:c r="AD142" s="28" t="n">
        <x:v>0.35181064907165877</x:v>
      </x:c>
    </x:row>
    <x:row r="143">
      <x:c r="A143" s="32" t="n">
        <x:v>45705</x:v>
      </x:c>
      <x:c r="B143" s="32" t="n">
        <x:v>45689</x:v>
      </x:c>
      <x:c r="C143" t="str">
        <x:v>Feb 2025</x:v>
      </x:c>
      <x:c r="D143" t="str">
        <x:v>Actual</x:v>
      </x:c>
      <x:c r="E143" t="str">
        <x:v>DB-105</x:v>
      </x:c>
      <x:c r="F143" t="str">
        <x:v>DreamFuel Refill Pack</x:v>
      </x:c>
      <x:c r="G143" t="str">
        <x:v>Subscription</x:v>
      </x:c>
      <x:c r="H143" t="str">
        <x:v>None</x:v>
      </x:c>
      <x:c r="I143" t="str">
        <x:v>Active</x:v>
      </x:c>
      <x:c r="J143" t="str">
        <x:v>Wholesale</x:v>
      </x:c>
      <x:c r="K143" t="str">
        <x:v>Retailer</x:v>
      </x:c>
      <x:c r="L143" t="str">
        <x:v>All Geographies</x:v>
      </x:c>
      <x:c r="M143" s="34" t="n">
        <x:v>1049</x:v>
      </x:c>
      <x:c r="N143" s="28" t="n">
        <x:v>0.021384000000000004</x:v>
      </x:c>
      <x:c r="O143" s="34" t="n">
        <x:v>22</x:v>
      </x:c>
      <x:c r="P143" s="34" t="n">
        <x:v>1</x:v>
      </x:c>
      <x:c r="Q143" s="34" t="n">
        <x:v>22</x:v>
      </x:c>
      <x:c r="R143" s="33" t="n">
        <x:v>56</x:v>
      </x:c>
      <x:c r="S143" s="38" t="n">
        <x:v>1.232</x:v>
      </x:c>
      <x:c r="T143" s="38" t="n">
        <x:v>0.43119999999999997</x:v>
      </x:c>
      <x:c r="U143" s="38" t="n">
        <x:v>0.016016</x:v>
      </x:c>
      <x:c r="V143" s="38" t="n">
        <x:v>0.7847839999999999</x:v>
      </x:c>
      <x:c r="W143" s="38" t="n">
        <x:v>0.40964000000000006</x:v>
      </x:c>
      <x:c r="X143" s="38" t="n">
        <x:v>0</x:v>
      </x:c>
      <x:c r="Y143" s="38" t="n">
        <x:v>0</x:v>
      </x:c>
      <x:c r="Z143" s="38" t="n">
        <x:v>0.05059999999999999</x:v>
      </x:c>
      <x:c r="AA143" s="38" t="n">
        <x:v>0.018699999999999998</x:v>
      </x:c>
      <x:c r="AB143" s="38" t="n">
        <x:v>0.0000792</x:v>
      </x:c>
      <x:c r="AC143" s="38" t="n">
        <x:v>0.3057647999999999</x:v>
      </x:c>
      <x:c r="AD143" s="28" t="n">
        <x:v>0.38961650594303643</x:v>
      </x:c>
    </x:row>
    <x:row r="144">
      <x:c r="A144" s="32" t="n">
        <x:v>45705</x:v>
      </x:c>
      <x:c r="B144" s="32" t="n">
        <x:v>45689</x:v>
      </x:c>
      <x:c r="C144" t="str">
        <x:v>Feb 2025</x:v>
      </x:c>
      <x:c r="D144" t="str">
        <x:v>Actual</x:v>
      </x:c>
      <x:c r="E144" t="str">
        <x:v>DB-105</x:v>
      </x:c>
      <x:c r="F144" t="str">
        <x:v>DreamFuel Refill Pack</x:v>
      </x:c>
      <x:c r="G144" t="str">
        <x:v>Subscription</x:v>
      </x:c>
      <x:c r="H144" t="str">
        <x:v>None</x:v>
      </x:c>
      <x:c r="I144" t="str">
        <x:v>Active</x:v>
      </x:c>
      <x:c r="J144" t="str">
        <x:v>TikTok Shop</x:v>
      </x:c>
      <x:c r="K144" t="str">
        <x:v>Social Commerce</x:v>
      </x:c>
      <x:c r="L144" t="str">
        <x:v>All Geographies</x:v>
      </x:c>
      <x:c r="M144" s="34" t="n">
        <x:v>699</x:v>
      </x:c>
      <x:c r="N144" s="28" t="n">
        <x:v>0.0489888</x:v>
      </x:c>
      <x:c r="O144" s="34" t="n">
        <x:v>34</x:v>
      </x:c>
      <x:c r="P144" s="34" t="n">
        <x:v>1</x:v>
      </x:c>
      <x:c r="Q144" s="34" t="n">
        <x:v>34</x:v>
      </x:c>
      <x:c r="R144" s="33" t="n">
        <x:v>56</x:v>
      </x:c>
      <x:c r="S144" s="38" t="n">
        <x:v>1.904</x:v>
      </x:c>
      <x:c r="T144" s="38" t="n">
        <x:v>0.22848</x:v>
      </x:c>
      <x:c r="U144" s="38" t="n">
        <x:v>0.033510399999999996</x:v>
      </x:c>
      <x:c r="V144" s="38" t="n">
        <x:v>1.6420096</x:v>
      </x:c>
      <x:c r="W144" s="38" t="n">
        <x:v>0.6330800000000001</x:v>
      </x:c>
      <x:c r="X144" s="38" t="n">
        <x:v>0.0476182784</x:v>
      </x:c>
      <x:c r="Y144" s="38" t="n">
        <x:v>0.098520576</x:v>
      </x:c>
      <x:c r="Z144" s="38" t="n">
        <x:v>0.17339999999999997</x:v>
      </x:c>
      <x:c r="AA144" s="38" t="n">
        <x:v>0.0595</x:v>
      </x:c>
      <x:c r="AB144" s="38" t="n">
        <x:v>0.00012240000000000002</x:v>
      </x:c>
      <x:c r="AC144" s="38" t="n">
        <x:v>0.6297683456</x:v>
      </x:c>
      <x:c r="AD144" s="28" t="n">
        <x:v>0.3835351179432812</x:v>
      </x:c>
    </x:row>
    <x:row r="145">
      <x:c r="A145" s="32" t="n">
        <x:v>45712</x:v>
      </x:c>
      <x:c r="B145" s="32" t="n">
        <x:v>45689</x:v>
      </x:c>
      <x:c r="C145" t="str">
        <x:v>Feb 2025</x:v>
      </x:c>
      <x:c r="D145" t="str">
        <x:v>Actual</x:v>
      </x:c>
      <x:c r="E145" t="str">
        <x:v>DB-101</x:v>
      </x:c>
      <x:c r="F145" t="str">
        <x:v>AeroSip Bottle</x:v>
      </x:c>
      <x:c r="G145" t="str">
        <x:v>One-time purchase</x:v>
      </x:c>
      <x:c r="H145" t="str">
        <x:v>None</x:v>
      </x:c>
      <x:c r="I145" t="str">
        <x:v>Active</x:v>
      </x:c>
      <x:c r="J145" t="str">
        <x:v>Shopify DTC</x:v>
      </x:c>
      <x:c r="K145" t="str">
        <x:v>Consumer</x:v>
      </x:c>
      <x:c r="L145" t="str">
        <x:v>All Geographies</x:v>
      </x:c>
      <x:c r="M145" s="34" t="n">
        <x:v>5069</x:v>
      </x:c>
      <x:c r="N145" s="28" t="n">
        <x:v>0.034199999999999994</x:v>
      </x:c>
      <x:c r="O145" s="34" t="n">
        <x:v>173</x:v>
      </x:c>
      <x:c r="P145" s="34" t="n">
        <x:v>1</x:v>
      </x:c>
      <x:c r="Q145" s="34" t="n">
        <x:v>173</x:v>
      </x:c>
      <x:c r="R145" s="33" t="n">
        <x:v>29</x:v>
      </x:c>
      <x:c r="S145" s="38" t="n">
        <x:v>5.017</x:v>
      </x:c>
      <x:c r="T145" s="38" t="n">
        <x:v>0.40136000000000005</x:v>
      </x:c>
      <x:c r="U145" s="38" t="n">
        <x:v>0.2077038</x:v>
      </x:c>
      <x:c r="V145" s="38" t="n">
        <x:v>4.4079362</x:v>
      </x:c>
      <x:c r="W145" s="38" t="n">
        <x:v>1.8684</x:v>
      </x:c>
      <x:c r="X145" s="38" t="n">
        <x:v>0.12783014980000001</x:v>
      </x:c>
      <x:c r="Y145" s="38" t="n">
        <x:v>0</x:v>
      </x:c>
      <x:c r="Z145" s="38" t="n">
        <x:v>0.7179500000000001</x:v>
      </x:c>
      <x:c r="AA145" s="38" t="n">
        <x:v>0.28545</x:v>
      </x:c>
      <x:c r="AB145" s="38" t="n">
        <x:v>0.006228</x:v>
      </x:c>
      <x:c r="AC145" s="38" t="n">
        <x:v>1.4020780501999999</x:v>
      </x:c>
      <x:c r="AD145" s="28" t="n">
        <x:v>0.3180803865083165</x:v>
      </x:c>
    </x:row>
    <x:row r="146">
      <x:c r="A146" s="32" t="n">
        <x:v>45712</x:v>
      </x:c>
      <x:c r="B146" s="32" t="n">
        <x:v>45689</x:v>
      </x:c>
      <x:c r="C146" t="str">
        <x:v>Feb 2025</x:v>
      </x:c>
      <x:c r="D146" t="str">
        <x:v>Actual</x:v>
      </x:c>
      <x:c r="E146" t="str">
        <x:v>DB-101</x:v>
      </x:c>
      <x:c r="F146" t="str">
        <x:v>AeroSip Bottle</x:v>
      </x:c>
      <x:c r="G146" t="str">
        <x:v>One-time purchase</x:v>
      </x:c>
      <x:c r="H146" t="str">
        <x:v>None</x:v>
      </x:c>
      <x:c r="I146" t="str">
        <x:v>Active</x:v>
      </x:c>
      <x:c r="J146" t="str">
        <x:v>Amazon Marketplace</x:v>
      </x:c>
      <x:c r="K146" t="str">
        <x:v>Marketplace Consumer</x:v>
      </x:c>
      <x:c r="L146" t="str">
        <x:v>All Geographies</x:v>
      </x:c>
      <x:c r="M146" s="34" t="n">
        <x:v>2535</x:v>
      </x:c>
      <x:c r="N146" s="28" t="n">
        <x:v>0.040355999999999996</x:v>
      </x:c>
      <x:c r="O146" s="34" t="n">
        <x:v>102</x:v>
      </x:c>
      <x:c r="P146" s="34" t="n">
        <x:v>1</x:v>
      </x:c>
      <x:c r="Q146" s="34" t="n">
        <x:v>102</x:v>
      </x:c>
      <x:c r="R146" s="33" t="n">
        <x:v>29</x:v>
      </x:c>
      <x:c r="S146" s="38" t="n">
        <x:v>2.958</x:v>
      </x:c>
      <x:c r="T146" s="38" t="n">
        <x:v>0.1479</x:v>
      </x:c>
      <x:c r="U146" s="38" t="n">
        <x:v>0.1264545</x:v>
      </x:c>
      <x:c r="V146" s="38" t="n">
        <x:v>2.6836455000000004</x:v>
      </x:c>
      <x:c r="W146" s="38" t="n">
        <x:v>1.1016000000000001</x:v>
      </x:c>
      <x:c r="X146" s="38" t="n">
        <x:v>0</x:v>
      </x:c>
      <x:c r="Y146" s="38" t="n">
        <x:v>0.40254682500000005</x:v>
      </x:c>
      <x:c r="Z146" s="38" t="n">
        <x:v>0.5304</x:v>
      </x:c>
      <x:c r="AA146" s="38" t="n">
        <x:v>0.2193</x:v>
      </x:c>
      <x:c r="AB146" s="38" t="n">
        <x:v>0.003672</x:v>
      </x:c>
      <x:c r="AC146" s="38" t="n">
        <x:v>0.42612667500000007</x:v>
      </x:c>
      <x:c r="AD146" s="28" t="n">
        <x:v>0.158786499558157</x:v>
      </x:c>
    </x:row>
    <x:row r="147">
      <x:c r="A147" s="32" t="n">
        <x:v>45712</x:v>
      </x:c>
      <x:c r="B147" s="32" t="n">
        <x:v>45689</x:v>
      </x:c>
      <x:c r="C147" t="str">
        <x:v>Feb 2025</x:v>
      </x:c>
      <x:c r="D147" t="str">
        <x:v>Actual</x:v>
      </x:c>
      <x:c r="E147" t="str">
        <x:v>DB-101</x:v>
      </x:c>
      <x:c r="F147" t="str">
        <x:v>AeroSip Bottle</x:v>
      </x:c>
      <x:c r="G147" t="str">
        <x:v>One-time purchase</x:v>
      </x:c>
      <x:c r="H147" t="str">
        <x:v>None</x:v>
      </x:c>
      <x:c r="I147" t="str">
        <x:v>Active</x:v>
      </x:c>
      <x:c r="J147" t="str">
        <x:v>Wholesale</x:v>
      </x:c>
      <x:c r="K147" t="str">
        <x:v>Retailer</x:v>
      </x:c>
      <x:c r="L147" t="str">
        <x:v>All Geographies</x:v>
      </x:c>
      <x:c r="M147" s="34" t="n">
        <x:v>1521</x:v>
      </x:c>
      <x:c r="N147" s="28" t="n">
        <x:v>0.01881</x:v>
      </x:c>
      <x:c r="O147" s="34" t="n">
        <x:v>29</x:v>
      </x:c>
      <x:c r="P147" s="34" t="n">
        <x:v>1</x:v>
      </x:c>
      <x:c r="Q147" s="34" t="n">
        <x:v>29</x:v>
      </x:c>
      <x:c r="R147" s="33" t="n">
        <x:v>29</x:v>
      </x:c>
      <x:c r="S147" s="38" t="n">
        <x:v>0.841</x:v>
      </x:c>
      <x:c r="T147" s="38" t="n">
        <x:v>0.29434999999999995</x:v>
      </x:c>
      <x:c r="U147" s="38" t="n">
        <x:v>0.024599250000000003</x:v>
      </x:c>
      <x:c r="V147" s="38" t="n">
        <x:v>0.5220507500000001</x:v>
      </x:c>
      <x:c r="W147" s="38" t="n">
        <x:v>0.31320000000000003</x:v>
      </x:c>
      <x:c r="X147" s="38" t="n">
        <x:v>0</x:v>
      </x:c>
      <x:c r="Y147" s="38" t="n">
        <x:v>0</x:v>
      </x:c>
      <x:c r="Z147" s="38" t="n">
        <x:v>0.0667</x:v>
      </x:c>
      <x:c r="AA147" s="38" t="n">
        <x:v>0.02465</x:v>
      </x:c>
      <x:c r="AB147" s="38" t="n">
        <x:v>0.001044</x:v>
      </x:c>
      <x:c r="AC147" s="38" t="n">
        <x:v>0.1164567500000001</x:v>
      </x:c>
      <x:c r="AD147" s="28" t="n">
        <x:v>0.22307553432305205</x:v>
      </x:c>
    </x:row>
    <x:row r="148">
      <x:c r="A148" s="32" t="n">
        <x:v>45712</x:v>
      </x:c>
      <x:c r="B148" s="32" t="n">
        <x:v>45689</x:v>
      </x:c>
      <x:c r="C148" t="str">
        <x:v>Feb 2025</x:v>
      </x:c>
      <x:c r="D148" t="str">
        <x:v>Actual</x:v>
      </x:c>
      <x:c r="E148" t="str">
        <x:v>DB-101</x:v>
      </x:c>
      <x:c r="F148" t="str">
        <x:v>AeroSip Bottle</x:v>
      </x:c>
      <x:c r="G148" t="str">
        <x:v>One-time purchase</x:v>
      </x:c>
      <x:c r="H148" t="str">
        <x:v>None</x:v>
      </x:c>
      <x:c r="I148" t="str">
        <x:v>Active</x:v>
      </x:c>
      <x:c r="J148" t="str">
        <x:v>TikTok Shop</x:v>
      </x:c>
      <x:c r="K148" t="str">
        <x:v>Social Commerce</x:v>
      </x:c>
      <x:c r="L148" t="str">
        <x:v>All Geographies</x:v>
      </x:c>
      <x:c r="M148" s="34" t="n">
        <x:v>1014</x:v>
      </x:c>
      <x:c r="N148" s="28" t="n">
        <x:v>0.043092</x:v>
      </x:c>
      <x:c r="O148" s="34" t="n">
        <x:v>44</x:v>
      </x:c>
      <x:c r="P148" s="34" t="n">
        <x:v>1</x:v>
      </x:c>
      <x:c r="Q148" s="34" t="n">
        <x:v>44</x:v>
      </x:c>
      <x:c r="R148" s="33" t="n">
        <x:v>29</x:v>
      </x:c>
      <x:c r="S148" s="38" t="n">
        <x:v>1.276</x:v>
      </x:c>
      <x:c r="T148" s="38" t="n">
        <x:v>0.15312</x:v>
      </x:c>
      <x:c r="U148" s="38" t="n">
        <x:v>0.0505296</x:v>
      </x:c>
      <x:c r="V148" s="38" t="n">
        <x:v>1.0723504000000001</x:v>
      </x:c>
      <x:c r="W148" s="38" t="n">
        <x:v>0.47520000000000007</x:v>
      </x:c>
      <x:c r="X148" s="38" t="n">
        <x:v>0.031098161600000007</x:v>
      </x:c>
      <x:c r="Y148" s="38" t="n">
        <x:v>0.06434102400000001</x:v>
      </x:c>
      <x:c r="Z148" s="38" t="n">
        <x:v>0.2244</x:v>
      </x:c>
      <x:c r="AA148" s="38" t="n">
        <x:v>0.077</x:v>
      </x:c>
      <x:c r="AB148" s="38" t="n">
        <x:v>0.0015840000000000001</x:v>
      </x:c>
      <x:c r="AC148" s="38" t="n">
        <x:v>0.1987272144000001</x:v>
      </x:c>
      <x:c r="AD148" s="28" t="n">
        <x:v>0.18531928966502</x:v>
      </x:c>
    </x:row>
    <x:row r="149">
      <x:c r="A149" s="32" t="n">
        <x:v>45712</x:v>
      </x:c>
      <x:c r="B149" s="32" t="n">
        <x:v>45689</x:v>
      </x:c>
      <x:c r="C149" t="str">
        <x:v>Feb 2025</x:v>
      </x:c>
      <x:c r="D149" t="str">
        <x:v>Actual</x:v>
      </x:c>
      <x:c r="E149" t="str">
        <x:v>DB-102</x:v>
      </x:c>
      <x:c r="F149" t="str">
        <x:v>GlowPatch Balm</x:v>
      </x:c>
      <x:c r="G149" t="str">
        <x:v>Consumable repeat</x:v>
      </x:c>
      <x:c r="H149" t="str">
        <x:v>None</x:v>
      </x:c>
      <x:c r="I149" t="str">
        <x:v>Active</x:v>
      </x:c>
      <x:c r="J149" t="str">
        <x:v>Shopify DTC</x:v>
      </x:c>
      <x:c r="K149" t="str">
        <x:v>Consumer</x:v>
      </x:c>
      <x:c r="L149" t="str">
        <x:v>All Geographies</x:v>
      </x:c>
      <x:c r="M149" s="34" t="n">
        <x:v>4094</x:v>
      </x:c>
      <x:c r="N149" s="28" t="n">
        <x:v>0.04248</x:v>
      </x:c>
      <x:c r="O149" s="34" t="n">
        <x:v>174</x:v>
      </x:c>
      <x:c r="P149" s="34" t="n">
        <x:v>1</x:v>
      </x:c>
      <x:c r="Q149" s="34" t="n">
        <x:v>174</x:v>
      </x:c>
      <x:c r="R149" s="33" t="n">
        <x:v>18</x:v>
      </x:c>
      <x:c r="S149" s="38" t="n">
        <x:v>3.132</x:v>
      </x:c>
      <x:c r="T149" s="38" t="n">
        <x:v>0.25056</x:v>
      </x:c>
      <x:c r="U149" s="38" t="n">
        <x:v>0.072036</x:v>
      </x:c>
      <x:c r="V149" s="38" t="n">
        <x:v>2.809404</x:v>
      </x:c>
      <x:c r="W149" s="38" t="n">
        <x:v>0.9413400000000001</x:v>
      </x:c>
      <x:c r="X149" s="38" t="n">
        <x:v>0.081472716</x:v>
      </x:c>
      <x:c r="Y149" s="38" t="n">
        <x:v>0</x:v>
      </x:c>
      <x:c r="Z149" s="38" t="n">
        <x:v>0.7221000000000001</x:v>
      </x:c>
      <x:c r="AA149" s="38" t="n">
        <x:v>0.28709999999999997</x:v>
      </x:c>
      <x:c r="AB149" s="38" t="n">
        <x:v>0.001044</x:v>
      </x:c>
      <x:c r="AC149" s="38" t="n">
        <x:v>0.7763472839999999</x:v>
      </x:c>
      <x:c r="AD149" s="28" t="n">
        <x:v>0.27633878359965314</x:v>
      </x:c>
    </x:row>
    <x:row r="150">
      <x:c r="A150" s="32" t="n">
        <x:v>45712</x:v>
      </x:c>
      <x:c r="B150" s="32" t="n">
        <x:v>45689</x:v>
      </x:c>
      <x:c r="C150" t="str">
        <x:v>Feb 2025</x:v>
      </x:c>
      <x:c r="D150" t="str">
        <x:v>Actual</x:v>
      </x:c>
      <x:c r="E150" t="str">
        <x:v>DB-102</x:v>
      </x:c>
      <x:c r="F150" t="str">
        <x:v>GlowPatch Balm</x:v>
      </x:c>
      <x:c r="G150" t="str">
        <x:v>Consumable repeat</x:v>
      </x:c>
      <x:c r="H150" t="str">
        <x:v>None</x:v>
      </x:c>
      <x:c r="I150" t="str">
        <x:v>Active</x:v>
      </x:c>
      <x:c r="J150" t="str">
        <x:v>Amazon Marketplace</x:v>
      </x:c>
      <x:c r="K150" t="str">
        <x:v>Marketplace Consumer</x:v>
      </x:c>
      <x:c r="L150" t="str">
        <x:v>All Geographies</x:v>
      </x:c>
      <x:c r="M150" s="34" t="n">
        <x:v>2047</x:v>
      </x:c>
      <x:c r="N150" s="28" t="n">
        <x:v>0.050126399999999995</x:v>
      </x:c>
      <x:c r="O150" s="34" t="n">
        <x:v>103</x:v>
      </x:c>
      <x:c r="P150" s="34" t="n">
        <x:v>1</x:v>
      </x:c>
      <x:c r="Q150" s="34" t="n">
        <x:v>103</x:v>
      </x:c>
      <x:c r="R150" s="33" t="n">
        <x:v>18</x:v>
      </x:c>
      <x:c r="S150" s="38" t="n">
        <x:v>1.854</x:v>
      </x:c>
      <x:c r="T150" s="38" t="n">
        <x:v>0.0927</x:v>
      </x:c>
      <x:c r="U150" s="38" t="n">
        <x:v>0.0440325</x:v>
      </x:c>
      <x:c r="V150" s="38" t="n">
        <x:v>1.7172675000000002</x:v>
      </x:c>
      <x:c r="W150" s="38" t="n">
        <x:v>0.55723</x:v>
      </x:c>
      <x:c r="X150" s="38" t="n">
        <x:v>0</x:v>
      </x:c>
      <x:c r="Y150" s="38" t="n">
        <x:v>0.257590125</x:v>
      </x:c>
      <x:c r="Z150" s="38" t="n">
        <x:v>0.5356000000000001</x:v>
      </x:c>
      <x:c r="AA150" s="38" t="n">
        <x:v>0.22144999999999998</x:v>
      </x:c>
      <x:c r="AB150" s="38" t="n">
        <x:v>0.0006180000000000001</x:v>
      </x:c>
      <x:c r="AC150" s="38" t="n">
        <x:v>0.144779375</x:v>
      </x:c>
      <x:c r="AD150" s="28" t="n">
        <x:v>0.08430799220272903</x:v>
      </x:c>
    </x:row>
    <x:row r="151">
      <x:c r="A151" s="32" t="n">
        <x:v>45712</x:v>
      </x:c>
      <x:c r="B151" s="32" t="n">
        <x:v>45689</x:v>
      </x:c>
      <x:c r="C151" t="str">
        <x:v>Feb 2025</x:v>
      </x:c>
      <x:c r="D151" t="str">
        <x:v>Actual</x:v>
      </x:c>
      <x:c r="E151" t="str">
        <x:v>DB-102</x:v>
      </x:c>
      <x:c r="F151" t="str">
        <x:v>GlowPatch Balm</x:v>
      </x:c>
      <x:c r="G151" t="str">
        <x:v>Consumable repeat</x:v>
      </x:c>
      <x:c r="H151" t="str">
        <x:v>None</x:v>
      </x:c>
      <x:c r="I151" t="str">
        <x:v>Active</x:v>
      </x:c>
      <x:c r="J151" t="str">
        <x:v>Wholesale</x:v>
      </x:c>
      <x:c r="K151" t="str">
        <x:v>Retailer</x:v>
      </x:c>
      <x:c r="L151" t="str">
        <x:v>All Geographies</x:v>
      </x:c>
      <x:c r="M151" s="34" t="n">
        <x:v>1228</x:v>
      </x:c>
      <x:c r="N151" s="28" t="n">
        <x:v>0.023364</x:v>
      </x:c>
      <x:c r="O151" s="34" t="n">
        <x:v>29</x:v>
      </x:c>
      <x:c r="P151" s="34" t="n">
        <x:v>1</x:v>
      </x:c>
      <x:c r="Q151" s="34" t="n">
        <x:v>29</x:v>
      </x:c>
      <x:c r="R151" s="33" t="n">
        <x:v>18</x:v>
      </x:c>
      <x:c r="S151" s="38" t="n">
        <x:v>0.522</x:v>
      </x:c>
      <x:c r="T151" s="38" t="n">
        <x:v>0.1827</x:v>
      </x:c>
      <x:c r="U151" s="38" t="n">
        <x:v>0.008482500000000002</x:v>
      </x:c>
      <x:c r="V151" s="38" t="n">
        <x:v>0.33081750000000004</x:v>
      </x:c>
      <x:c r="W151" s="38" t="n">
        <x:v>0.15689</x:v>
      </x:c>
      <x:c r="X151" s="38" t="n">
        <x:v>0</x:v>
      </x:c>
      <x:c r="Y151" s="38" t="n">
        <x:v>0</x:v>
      </x:c>
      <x:c r="Z151" s="38" t="n">
        <x:v>0.0667</x:v>
      </x:c>
      <x:c r="AA151" s="38" t="n">
        <x:v>0.02465</x:v>
      </x:c>
      <x:c r="AB151" s="38" t="n">
        <x:v>0.00017400000000000003</x:v>
      </x:c>
      <x:c r="AC151" s="38" t="n">
        <x:v>0.08240350000000006</x:v>
      </x:c>
      <x:c r="AD151" s="28" t="n">
        <x:v>0.2490905106289723</x:v>
      </x:c>
    </x:row>
    <x:row r="152">
      <x:c r="A152" s="32" t="n">
        <x:v>45712</x:v>
      </x:c>
      <x:c r="B152" s="32" t="n">
        <x:v>45689</x:v>
      </x:c>
      <x:c r="C152" t="str">
        <x:v>Feb 2025</x:v>
      </x:c>
      <x:c r="D152" t="str">
        <x:v>Actual</x:v>
      </x:c>
      <x:c r="E152" t="str">
        <x:v>DB-102</x:v>
      </x:c>
      <x:c r="F152" t="str">
        <x:v>GlowPatch Balm</x:v>
      </x:c>
      <x:c r="G152" t="str">
        <x:v>Consumable repeat</x:v>
      </x:c>
      <x:c r="H152" t="str">
        <x:v>None</x:v>
      </x:c>
      <x:c r="I152" t="str">
        <x:v>Active</x:v>
      </x:c>
      <x:c r="J152" t="str">
        <x:v>TikTok Shop</x:v>
      </x:c>
      <x:c r="K152" t="str">
        <x:v>Social Commerce</x:v>
      </x:c>
      <x:c r="L152" t="str">
        <x:v>All Geographies</x:v>
      </x:c>
      <x:c r="M152" s="34" t="n">
        <x:v>819</x:v>
      </x:c>
      <x:c r="N152" s="28" t="n">
        <x:v>0.0535248</x:v>
      </x:c>
      <x:c r="O152" s="34" t="n">
        <x:v>44</x:v>
      </x:c>
      <x:c r="P152" s="34" t="n">
        <x:v>1</x:v>
      </x:c>
      <x:c r="Q152" s="34" t="n">
        <x:v>44</x:v>
      </x:c>
      <x:c r="R152" s="33" t="n">
        <x:v>18</x:v>
      </x:c>
      <x:c r="S152" s="38" t="n">
        <x:v>0.792</x:v>
      </x:c>
      <x:c r="T152" s="38" t="n">
        <x:v>0.09504</x:v>
      </x:c>
      <x:c r="U152" s="38" t="n">
        <x:v>0.017424000000000002</x:v>
      </x:c>
      <x:c r="V152" s="38" t="n">
        <x:v>0.679536</x:v>
      </x:c>
      <x:c r="W152" s="38" t="n">
        <x:v>0.23804000000000003</x:v>
      </x:c>
      <x:c r="X152" s="38" t="n">
        <x:v>0.019706544000000003</x:v>
      </x:c>
      <x:c r="Y152" s="38" t="n">
        <x:v>0.04077216</x:v>
      </x:c>
      <x:c r="Z152" s="38" t="n">
        <x:v>0.2244</x:v>
      </x:c>
      <x:c r="AA152" s="38" t="n">
        <x:v>0.077</x:v>
      </x:c>
      <x:c r="AB152" s="38" t="n">
        <x:v>0.000264</x:v>
      </x:c>
      <x:c r="AC152" s="38" t="n">
        <x:v>0.07935329600000002</x:v>
      </x:c>
      <x:c r="AD152" s="28" t="n">
        <x:v>0.1167757057757058</x:v>
      </x:c>
    </x:row>
    <x:row r="153">
      <x:c r="A153" s="32" t="n">
        <x:v>45712</x:v>
      </x:c>
      <x:c r="B153" s="32" t="n">
        <x:v>45689</x:v>
      </x:c>
      <x:c r="C153" t="str">
        <x:v>Feb 2025</x:v>
      </x:c>
      <x:c r="D153" t="str">
        <x:v>Actual</x:v>
      </x:c>
      <x:c r="E153" t="str">
        <x:v>DB-103</x:v>
      </x:c>
      <x:c r="F153" t="str">
        <x:v>EmberTrail Camp Mug</x:v>
      </x:c>
      <x:c r="G153" t="str">
        <x:v>One-time purchase</x:v>
      </x:c>
      <x:c r="H153" t="str">
        <x:v>Winter peak</x:v>
      </x:c>
      <x:c r="I153" t="str">
        <x:v>Active</x:v>
      </x:c>
      <x:c r="J153" t="str">
        <x:v>Shopify DTC</x:v>
      </x:c>
      <x:c r="K153" t="str">
        <x:v>Consumer</x:v>
      </x:c>
      <x:c r="L153" t="str">
        <x:v>All Geographies</x:v>
      </x:c>
      <x:c r="M153" s="34" t="n">
        <x:v>3790</x:v>
      </x:c>
      <x:c r="N153" s="28" t="n">
        <x:v>0.0324</x:v>
      </x:c>
      <x:c r="O153" s="34" t="n">
        <x:v>123</x:v>
      </x:c>
      <x:c r="P153" s="34" t="n">
        <x:v>1</x:v>
      </x:c>
      <x:c r="Q153" s="34" t="n">
        <x:v>123</x:v>
      </x:c>
      <x:c r="R153" s="33" t="n">
        <x:v>34</x:v>
      </x:c>
      <x:c r="S153" s="38" t="n">
        <x:v>4.182</x:v>
      </x:c>
      <x:c r="T153" s="38" t="n">
        <x:v>0.33456</x:v>
      </x:c>
      <x:c r="U153" s="38" t="n">
        <x:v>0.21160920000000003</x:v>
      </x:c>
      <x:c r="V153" s="38" t="n">
        <x:v>3.6358308000000004</x:v>
      </x:c>
      <x:c r="W153" s="38" t="n">
        <x:v>1.68141</x:v>
      </x:c>
      <x:c r="X153" s="38" t="n">
        <x:v>0.10543909320000001</x:v>
      </x:c>
      <x:c r="Y153" s="38" t="n">
        <x:v>0</x:v>
      </x:c>
      <x:c r="Z153" s="38" t="n">
        <x:v>0.5104500000000001</x:v>
      </x:c>
      <x:c r="AA153" s="38" t="n">
        <x:v>0.20295</x:v>
      </x:c>
      <x:c r="AB153" s="38" t="n">
        <x:v>0.006888</x:v>
      </x:c>
      <x:c r="AC153" s="38" t="n">
        <x:v>1.1286937068000003</x:v>
      </x:c>
      <x:c r="AD153" s="28" t="n">
        <x:v>0.3104362575948254</x:v>
      </x:c>
    </x:row>
    <x:row r="154">
      <x:c r="A154" s="32" t="n">
        <x:v>45712</x:v>
      </x:c>
      <x:c r="B154" s="32" t="n">
        <x:v>45689</x:v>
      </x:c>
      <x:c r="C154" t="str">
        <x:v>Feb 2025</x:v>
      </x:c>
      <x:c r="D154" t="str">
        <x:v>Actual</x:v>
      </x:c>
      <x:c r="E154" t="str">
        <x:v>DB-103</x:v>
      </x:c>
      <x:c r="F154" t="str">
        <x:v>EmberTrail Camp Mug</x:v>
      </x:c>
      <x:c r="G154" t="str">
        <x:v>One-time purchase</x:v>
      </x:c>
      <x:c r="H154" t="str">
        <x:v>Winter peak</x:v>
      </x:c>
      <x:c r="I154" t="str">
        <x:v>Active</x:v>
      </x:c>
      <x:c r="J154" t="str">
        <x:v>Amazon Marketplace</x:v>
      </x:c>
      <x:c r="K154" t="str">
        <x:v>Marketplace Consumer</x:v>
      </x:c>
      <x:c r="L154" t="str">
        <x:v>All Geographies</x:v>
      </x:c>
      <x:c r="M154" s="34" t="n">
        <x:v>1895</x:v>
      </x:c>
      <x:c r="N154" s="28" t="n">
        <x:v>0.038231999999999995</x:v>
      </x:c>
      <x:c r="O154" s="34" t="n">
        <x:v>72</x:v>
      </x:c>
      <x:c r="P154" s="34" t="n">
        <x:v>1</x:v>
      </x:c>
      <x:c r="Q154" s="34" t="n">
        <x:v>72</x:v>
      </x:c>
      <x:c r="R154" s="33" t="n">
        <x:v>34</x:v>
      </x:c>
      <x:c r="S154" s="38" t="n">
        <x:v>2.448</x:v>
      </x:c>
      <x:c r="T154" s="38" t="n">
        <x:v>0.12240000000000001</x:v>
      </x:c>
      <x:c r="U154" s="38" t="n">
        <x:v>0.127908</x:v>
      </x:c>
      <x:c r="V154" s="38" t="n">
        <x:v>2.197692</x:v>
      </x:c>
      <x:c r="W154" s="38" t="n">
        <x:v>0.98424</x:v>
      </x:c>
      <x:c r="X154" s="38" t="n">
        <x:v>0</x:v>
      </x:c>
      <x:c r="Y154" s="38" t="n">
        <x:v>0.3296538</x:v>
      </x:c>
      <x:c r="Z154" s="38" t="n">
        <x:v>0.3744</x:v>
      </x:c>
      <x:c r="AA154" s="38" t="n">
        <x:v>0.1548</x:v>
      </x:c>
      <x:c r="AB154" s="38" t="n">
        <x:v>0.004032</x:v>
      </x:c>
      <x:c r="AC154" s="38" t="n">
        <x:v>0.35056619999999994</x:v>
      </x:c>
      <x:c r="AD154" s="28" t="n">
        <x:v>0.1595156191131423</x:v>
      </x:c>
    </x:row>
    <x:row r="155">
      <x:c r="A155" s="32" t="n">
        <x:v>45712</x:v>
      </x:c>
      <x:c r="B155" s="32" t="n">
        <x:v>45689</x:v>
      </x:c>
      <x:c r="C155" t="str">
        <x:v>Feb 2025</x:v>
      </x:c>
      <x:c r="D155" t="str">
        <x:v>Actual</x:v>
      </x:c>
      <x:c r="E155" t="str">
        <x:v>DB-103</x:v>
      </x:c>
      <x:c r="F155" t="str">
        <x:v>EmberTrail Camp Mug</x:v>
      </x:c>
      <x:c r="G155" t="str">
        <x:v>One-time purchase</x:v>
      </x:c>
      <x:c r="H155" t="str">
        <x:v>Winter peak</x:v>
      </x:c>
      <x:c r="I155" t="str">
        <x:v>Active</x:v>
      </x:c>
      <x:c r="J155" t="str">
        <x:v>Wholesale</x:v>
      </x:c>
      <x:c r="K155" t="str">
        <x:v>Retailer</x:v>
      </x:c>
      <x:c r="L155" t="str">
        <x:v>All Geographies</x:v>
      </x:c>
      <x:c r="M155" s="34" t="n">
        <x:v>1137</x:v>
      </x:c>
      <x:c r="N155" s="28" t="n">
        <x:v>0.017820000000000003</x:v>
      </x:c>
      <x:c r="O155" s="34" t="n">
        <x:v>20</x:v>
      </x:c>
      <x:c r="P155" s="34" t="n">
        <x:v>1</x:v>
      </x:c>
      <x:c r="Q155" s="34" t="n">
        <x:v>20</x:v>
      </x:c>
      <x:c r="R155" s="33" t="n">
        <x:v>34</x:v>
      </x:c>
      <x:c r="S155" s="38" t="n">
        <x:v>0.68</x:v>
      </x:c>
      <x:c r="T155" s="38" t="n">
        <x:v>0.238</x:v>
      </x:c>
      <x:c r="U155" s="38" t="n">
        <x:v>0.024310000000000002</x:v>
      </x:c>
      <x:c r="V155" s="38" t="n">
        <x:v>0.41769000000000006</x:v>
      </x:c>
      <x:c r="W155" s="38" t="n">
        <x:v>0.2734</x:v>
      </x:c>
      <x:c r="X155" s="38" t="n">
        <x:v>0</x:v>
      </x:c>
      <x:c r="Y155" s="38" t="n">
        <x:v>0</x:v>
      </x:c>
      <x:c r="Z155" s="38" t="n">
        <x:v>0.046</x:v>
      </x:c>
      <x:c r="AA155" s="38" t="n">
        <x:v>0.017</x:v>
      </x:c>
      <x:c r="AB155" s="38" t="n">
        <x:v>0.0011200000000000001</x:v>
      </x:c>
      <x:c r="AC155" s="38" t="n">
        <x:v>0.08017000000000009</x:v>
      </x:c>
      <x:c r="AD155" s="28" t="n">
        <x:v>0.19193660370130977</x:v>
      </x:c>
    </x:row>
    <x:row r="156">
      <x:c r="A156" s="32" t="n">
        <x:v>45712</x:v>
      </x:c>
      <x:c r="B156" s="32" t="n">
        <x:v>45689</x:v>
      </x:c>
      <x:c r="C156" t="str">
        <x:v>Feb 2025</x:v>
      </x:c>
      <x:c r="D156" t="str">
        <x:v>Actual</x:v>
      </x:c>
      <x:c r="E156" t="str">
        <x:v>DB-103</x:v>
      </x:c>
      <x:c r="F156" t="str">
        <x:v>EmberTrail Camp Mug</x:v>
      </x:c>
      <x:c r="G156" t="str">
        <x:v>One-time purchase</x:v>
      </x:c>
      <x:c r="H156" t="str">
        <x:v>Winter peak</x:v>
      </x:c>
      <x:c r="I156" t="str">
        <x:v>Active</x:v>
      </x:c>
      <x:c r="J156" t="str">
        <x:v>TikTok Shop</x:v>
      </x:c>
      <x:c r="K156" t="str">
        <x:v>Social Commerce</x:v>
      </x:c>
      <x:c r="L156" t="str">
        <x:v>All Geographies</x:v>
      </x:c>
      <x:c r="M156" s="34" t="n">
        <x:v>758</x:v>
      </x:c>
      <x:c r="N156" s="28" t="n">
        <x:v>0.040824</x:v>
      </x:c>
      <x:c r="O156" s="34" t="n">
        <x:v>31</x:v>
      </x:c>
      <x:c r="P156" s="34" t="n">
        <x:v>1</x:v>
      </x:c>
      <x:c r="Q156" s="34" t="n">
        <x:v>31</x:v>
      </x:c>
      <x:c r="R156" s="33" t="n">
        <x:v>34</x:v>
      </x:c>
      <x:c r="S156" s="38" t="n">
        <x:v>1.054</x:v>
      </x:c>
      <x:c r="T156" s="38" t="n">
        <x:v>0.12648</x:v>
      </x:c>
      <x:c r="U156" s="38" t="n">
        <x:v>0.0510136</x:v>
      </x:c>
      <x:c r="V156" s="38" t="n">
        <x:v>0.8765064</x:v>
      </x:c>
      <x:c r="W156" s="38" t="n">
        <x:v>0.42377</x:v>
      </x:c>
      <x:c r="X156" s="38" t="n">
        <x:v>0.0254186856</x:v>
      </x:c>
      <x:c r="Y156" s="38" t="n">
        <x:v>0.052590384</x:v>
      </x:c>
      <x:c r="Z156" s="38" t="n">
        <x:v>0.1581</x:v>
      </x:c>
      <x:c r="AA156" s="38" t="n">
        <x:v>0.05425</x:v>
      </x:c>
      <x:c r="AB156" s="38" t="n">
        <x:v>0.001736</x:v>
      </x:c>
      <x:c r="AC156" s="38" t="n">
        <x:v>0.1606413304000001</x:v>
      </x:c>
      <x:c r="AD156" s="28" t="n">
        <x:v>0.18327456639221354</x:v>
      </x:c>
    </x:row>
    <x:row r="157">
      <x:c r="A157" s="32" t="n">
        <x:v>45712</x:v>
      </x:c>
      <x:c r="B157" s="32" t="n">
        <x:v>45689</x:v>
      </x:c>
      <x:c r="C157" t="str">
        <x:v>Feb 2025</x:v>
      </x:c>
      <x:c r="D157" t="str">
        <x:v>Actual</x:v>
      </x:c>
      <x:c r="E157" t="str">
        <x:v>DB-104</x:v>
      </x:c>
      <x:c r="F157" t="str">
        <x:v>SunNest Cooling Towel</x:v>
      </x:c>
      <x:c r="G157" t="str">
        <x:v>Consumable repeat</x:v>
      </x:c>
      <x:c r="H157" t="str">
        <x:v>Summer peak</x:v>
      </x:c>
      <x:c r="I157" t="str">
        <x:v>Active</x:v>
      </x:c>
      <x:c r="J157" t="str">
        <x:v>Shopify DTC</x:v>
      </x:c>
      <x:c r="K157" t="str">
        <x:v>Consumer</x:v>
      </x:c>
      <x:c r="L157" t="str">
        <x:v>All Geographies</x:v>
      </x:c>
      <x:c r="M157" s="34" t="n">
        <x:v>2585</x:v>
      </x:c>
      <x:c r="N157" s="28" t="n">
        <x:v>0.03312</x:v>
      </x:c>
      <x:c r="O157" s="34" t="n">
        <x:v>86</x:v>
      </x:c>
      <x:c r="P157" s="34" t="n">
        <x:v>1</x:v>
      </x:c>
      <x:c r="Q157" s="34" t="n">
        <x:v>86</x:v>
      </x:c>
      <x:c r="R157" s="33" t="n">
        <x:v>42</x:v>
      </x:c>
      <x:c r="S157" s="38" t="n">
        <x:v>3.612</x:v>
      </x:c>
      <x:c r="T157" s="38" t="n">
        <x:v>0.28896</x:v>
      </x:c>
      <x:c r="U157" s="38" t="n">
        <x:v>0.16615200000000002</x:v>
      </x:c>
      <x:c r="V157" s="38" t="n">
        <x:v>3.1568880000000004</x:v>
      </x:c>
      <x:c r="W157" s="38" t="n">
        <x:v>1.2943</x:v>
      </x:c>
      <x:c r="X157" s="38" t="n">
        <x:v>0.09154975200000001</x:v>
      </x:c>
      <x:c r="Y157" s="38" t="n">
        <x:v>0</x:v>
      </x:c>
      <x:c r="Z157" s="38" t="n">
        <x:v>0.35690000000000005</x:v>
      </x:c>
      <x:c r="AA157" s="38" t="n">
        <x:v>0.1419</x:v>
      </x:c>
      <x:c r="AB157" s="38" t="n">
        <x:v>0.002408</x:v>
      </x:c>
      <x:c r="AC157" s="38" t="n">
        <x:v>1.2698302480000005</x:v>
      </x:c>
      <x:c r="AD157" s="28" t="n">
        <x:v>0.4022411463441213</x:v>
      </x:c>
    </x:row>
    <x:row r="158">
      <x:c r="A158" s="32" t="n">
        <x:v>45712</x:v>
      </x:c>
      <x:c r="B158" s="32" t="n">
        <x:v>45689</x:v>
      </x:c>
      <x:c r="C158" t="str">
        <x:v>Feb 2025</x:v>
      </x:c>
      <x:c r="D158" t="str">
        <x:v>Actual</x:v>
      </x:c>
      <x:c r="E158" t="str">
        <x:v>DB-104</x:v>
      </x:c>
      <x:c r="F158" t="str">
        <x:v>SunNest Cooling Towel</x:v>
      </x:c>
      <x:c r="G158" t="str">
        <x:v>Consumable repeat</x:v>
      </x:c>
      <x:c r="H158" t="str">
        <x:v>Summer peak</x:v>
      </x:c>
      <x:c r="I158" t="str">
        <x:v>Active</x:v>
      </x:c>
      <x:c r="J158" t="str">
        <x:v>Amazon Marketplace</x:v>
      </x:c>
      <x:c r="K158" t="str">
        <x:v>Marketplace Consumer</x:v>
      </x:c>
      <x:c r="L158" t="str">
        <x:v>All Geographies</x:v>
      </x:c>
      <x:c r="M158" s="34" t="n">
        <x:v>1293</x:v>
      </x:c>
      <x:c r="N158" s="28" t="n">
        <x:v>0.0390816</x:v>
      </x:c>
      <x:c r="O158" s="34" t="n">
        <x:v>51</x:v>
      </x:c>
      <x:c r="P158" s="34" t="n">
        <x:v>1</x:v>
      </x:c>
      <x:c r="Q158" s="34" t="n">
        <x:v>51</x:v>
      </x:c>
      <x:c r="R158" s="33" t="n">
        <x:v>42</x:v>
      </x:c>
      <x:c r="S158" s="38" t="n">
        <x:v>2.142</x:v>
      </x:c>
      <x:c r="T158" s="38" t="n">
        <x:v>0.1071</x:v>
      </x:c>
      <x:c r="U158" s="38" t="n">
        <x:v>0.101745</x:v>
      </x:c>
      <x:c r="V158" s="38" t="n">
        <x:v>1.933155</x:v>
      </x:c>
      <x:c r="W158" s="38" t="n">
        <x:v>0.7675500000000001</x:v>
      </x:c>
      <x:c r="X158" s="38" t="n">
        <x:v>0</x:v>
      </x:c>
      <x:c r="Y158" s="38" t="n">
        <x:v>0.28997324999999996</x:v>
      </x:c>
      <x:c r="Z158" s="38" t="n">
        <x:v>0.2652</x:v>
      </x:c>
      <x:c r="AA158" s="38" t="n">
        <x:v>0.10965</x:v>
      </x:c>
      <x:c r="AB158" s="38" t="n">
        <x:v>0.001428</x:v>
      </x:c>
      <x:c r="AC158" s="38" t="n">
        <x:v>0.4993537499999998</x:v>
      </x:c>
      <x:c r="AD158" s="28" t="n">
        <x:v>0.25831024930747915</x:v>
      </x:c>
    </x:row>
    <x:row r="159">
      <x:c r="A159" s="32" t="n">
        <x:v>45712</x:v>
      </x:c>
      <x:c r="B159" s="32" t="n">
        <x:v>45689</x:v>
      </x:c>
      <x:c r="C159" t="str">
        <x:v>Feb 2025</x:v>
      </x:c>
      <x:c r="D159" t="str">
        <x:v>Actual</x:v>
      </x:c>
      <x:c r="E159" t="str">
        <x:v>DB-104</x:v>
      </x:c>
      <x:c r="F159" t="str">
        <x:v>SunNest Cooling Towel</x:v>
      </x:c>
      <x:c r="G159" t="str">
        <x:v>Consumable repeat</x:v>
      </x:c>
      <x:c r="H159" t="str">
        <x:v>Summer peak</x:v>
      </x:c>
      <x:c r="I159" t="str">
        <x:v>Active</x:v>
      </x:c>
      <x:c r="J159" t="str">
        <x:v>Wholesale</x:v>
      </x:c>
      <x:c r="K159" t="str">
        <x:v>Retailer</x:v>
      </x:c>
      <x:c r="L159" t="str">
        <x:v>All Geographies</x:v>
      </x:c>
      <x:c r="M159" s="34" t="n">
        <x:v>776</x:v>
      </x:c>
      <x:c r="N159" s="28" t="n">
        <x:v>0.018216000000000003</x:v>
      </x:c>
      <x:c r="O159" s="34" t="n">
        <x:v>14</x:v>
      </x:c>
      <x:c r="P159" s="34" t="n">
        <x:v>1</x:v>
      </x:c>
      <x:c r="Q159" s="34" t="n">
        <x:v>14</x:v>
      </x:c>
      <x:c r="R159" s="33" t="n">
        <x:v>42</x:v>
      </x:c>
      <x:c r="S159" s="38" t="n">
        <x:v>0.588</x:v>
      </x:c>
      <x:c r="T159" s="38" t="n">
        <x:v>0.20579999999999998</x:v>
      </x:c>
      <x:c r="U159" s="38" t="n">
        <x:v>0.019110000000000002</x:v>
      </x:c>
      <x:c r="V159" s="38" t="n">
        <x:v>0.36308999999999997</x:v>
      </x:c>
      <x:c r="W159" s="38" t="n">
        <x:v>0.21070000000000003</x:v>
      </x:c>
      <x:c r="X159" s="38" t="n">
        <x:v>0</x:v>
      </x:c>
      <x:c r="Y159" s="38" t="n">
        <x:v>0</x:v>
      </x:c>
      <x:c r="Z159" s="38" t="n">
        <x:v>0.03219999999999999</x:v>
      </x:c>
      <x:c r="AA159" s="38" t="n">
        <x:v>0.0119</x:v>
      </x:c>
      <x:c r="AB159" s="38" t="n">
        <x:v>0.00039200000000000004</x:v>
      </x:c>
      <x:c r="AC159" s="38" t="n">
        <x:v>0.10789799999999994</x:v>
      </x:c>
      <x:c r="AD159" s="28" t="n">
        <x:v>0.2971659919028339</x:v>
      </x:c>
    </x:row>
    <x:row r="160">
      <x:c r="A160" s="32" t="n">
        <x:v>45712</x:v>
      </x:c>
      <x:c r="B160" s="32" t="n">
        <x:v>45689</x:v>
      </x:c>
      <x:c r="C160" t="str">
        <x:v>Feb 2025</x:v>
      </x:c>
      <x:c r="D160" t="str">
        <x:v>Actual</x:v>
      </x:c>
      <x:c r="E160" t="str">
        <x:v>DB-104</x:v>
      </x:c>
      <x:c r="F160" t="str">
        <x:v>SunNest Cooling Towel</x:v>
      </x:c>
      <x:c r="G160" t="str">
        <x:v>Consumable repeat</x:v>
      </x:c>
      <x:c r="H160" t="str">
        <x:v>Summer peak</x:v>
      </x:c>
      <x:c r="I160" t="str">
        <x:v>Active</x:v>
      </x:c>
      <x:c r="J160" t="str">
        <x:v>TikTok Shop</x:v>
      </x:c>
      <x:c r="K160" t="str">
        <x:v>Social Commerce</x:v>
      </x:c>
      <x:c r="L160" t="str">
        <x:v>All Geographies</x:v>
      </x:c>
      <x:c r="M160" s="34" t="n">
        <x:v>517</x:v>
      </x:c>
      <x:c r="N160" s="28" t="n">
        <x:v>0.0417312</x:v>
      </x:c>
      <x:c r="O160" s="34" t="n">
        <x:v>22</x:v>
      </x:c>
      <x:c r="P160" s="34" t="n">
        <x:v>1</x:v>
      </x:c>
      <x:c r="Q160" s="34" t="n">
        <x:v>22</x:v>
      </x:c>
      <x:c r="R160" s="33" t="n">
        <x:v>42</x:v>
      </x:c>
      <x:c r="S160" s="38" t="n">
        <x:v>0.924</x:v>
      </x:c>
      <x:c r="T160" s="38" t="n">
        <x:v>0.11088</x:v>
      </x:c>
      <x:c r="U160" s="38" t="n">
        <x:v>0.040656000000000005</x:v>
      </x:c>
      <x:c r="V160" s="38" t="n">
        <x:v>0.772464</x:v>
      </x:c>
      <x:c r="W160" s="38" t="n">
        <x:v>0.3311</x:v>
      </x:c>
      <x:c r="X160" s="38" t="n">
        <x:v>0.022401456000000004</x:v>
      </x:c>
      <x:c r="Y160" s="38" t="n">
        <x:v>0.04634784</x:v>
      </x:c>
      <x:c r="Z160" s="38" t="n">
        <x:v>0.1122</x:v>
      </x:c>
      <x:c r="AA160" s="38" t="n">
        <x:v>0.0385</x:v>
      </x:c>
      <x:c r="AB160" s="38" t="n">
        <x:v>0.000616</x:v>
      </x:c>
      <x:c r="AC160" s="38" t="n">
        <x:v>0.2212987040000001</x:v>
      </x:c>
      <x:c r="AD160" s="28" t="n">
        <x:v>0.2864841649578493</x:v>
      </x:c>
    </x:row>
    <x:row r="161">
      <x:c r="A161" s="32" t="n">
        <x:v>45712</x:v>
      </x:c>
      <x:c r="B161" s="32" t="n">
        <x:v>45689</x:v>
      </x:c>
      <x:c r="C161" t="str">
        <x:v>Feb 2025</x:v>
      </x:c>
      <x:c r="D161" t="str">
        <x:v>Actual</x:v>
      </x:c>
      <x:c r="E161" t="str">
        <x:v>DB-105</x:v>
      </x:c>
      <x:c r="F161" t="str">
        <x:v>DreamFuel Refill Pack</x:v>
      </x:c>
      <x:c r="G161" t="str">
        <x:v>Subscription</x:v>
      </x:c>
      <x:c r="H161" t="str">
        <x:v>None</x:v>
      </x:c>
      <x:c r="I161" t="str">
        <x:v>Active</x:v>
      </x:c>
      <x:c r="J161" t="str">
        <x:v>Shopify DTC</x:v>
      </x:c>
      <x:c r="K161" t="str">
        <x:v>Consumer</x:v>
      </x:c>
      <x:c r="L161" t="str">
        <x:v>All Geographies</x:v>
      </x:c>
      <x:c r="M161" s="34" t="n">
        <x:v>3509</x:v>
      </x:c>
      <x:c r="N161" s="28" t="n">
        <x:v>0.03888</x:v>
      </x:c>
      <x:c r="O161" s="34" t="n">
        <x:v>136</x:v>
      </x:c>
      <x:c r="P161" s="34" t="n">
        <x:v>1</x:v>
      </x:c>
      <x:c r="Q161" s="34" t="n">
        <x:v>136</x:v>
      </x:c>
      <x:c r="R161" s="33" t="n">
        <x:v>56</x:v>
      </x:c>
      <x:c r="S161" s="38" t="n">
        <x:v>7.616</x:v>
      </x:c>
      <x:c r="T161" s="38" t="n">
        <x:v>0.6092799999999999</x:v>
      </x:c>
      <x:c r="U161" s="38" t="n">
        <x:v>0.1401344</x:v>
      </x:c>
      <x:c r="V161" s="38" t="n">
        <x:v>6.8665856</x:v>
      </x:c>
      <x:c r="W161" s="38" t="n">
        <x:v>2.5323200000000003</x:v>
      </x:c>
      <x:c r="X161" s="38" t="n">
        <x:v>0.1991309824</x:v>
      </x:c>
      <x:c r="Y161" s="38" t="n">
        <x:v>0</x:v>
      </x:c>
      <x:c r="Z161" s="38" t="n">
        <x:v>0.5644000000000001</x:v>
      </x:c>
      <x:c r="AA161" s="38" t="n">
        <x:v>0.2244</x:v>
      </x:c>
      <x:c r="AB161" s="38" t="n">
        <x:v>0.0004896000000000001</x:v>
      </x:c>
      <x:c r="AC161" s="38" t="n">
        <x:v>3.3458450175999994</x:v>
      </x:c>
      <x:c r="AD161" s="28" t="n">
        <x:v>0.4872647357079477</x:v>
      </x:c>
    </x:row>
    <x:row r="162">
      <x:c r="A162" s="32" t="n">
        <x:v>45712</x:v>
      </x:c>
      <x:c r="B162" s="32" t="n">
        <x:v>45689</x:v>
      </x:c>
      <x:c r="C162" t="str">
        <x:v>Feb 2025</x:v>
      </x:c>
      <x:c r="D162" t="str">
        <x:v>Actual</x:v>
      </x:c>
      <x:c r="E162" t="str">
        <x:v>DB-105</x:v>
      </x:c>
      <x:c r="F162" t="str">
        <x:v>DreamFuel Refill Pack</x:v>
      </x:c>
      <x:c r="G162" t="str">
        <x:v>Subscription</x:v>
      </x:c>
      <x:c r="H162" t="str">
        <x:v>None</x:v>
      </x:c>
      <x:c r="I162" t="str">
        <x:v>Active</x:v>
      </x:c>
      <x:c r="J162" t="str">
        <x:v>Amazon Marketplace</x:v>
      </x:c>
      <x:c r="K162" t="str">
        <x:v>Marketplace Consumer</x:v>
      </x:c>
      <x:c r="L162" t="str">
        <x:v>All Geographies</x:v>
      </x:c>
      <x:c r="M162" s="34" t="n">
        <x:v>1755</x:v>
      </x:c>
      <x:c r="N162" s="28" t="n">
        <x:v>0.0458784</x:v>
      </x:c>
      <x:c r="O162" s="34" t="n">
        <x:v>81</x:v>
      </x:c>
      <x:c r="P162" s="34" t="n">
        <x:v>1</x:v>
      </x:c>
      <x:c r="Q162" s="34" t="n">
        <x:v>81</x:v>
      </x:c>
      <x:c r="R162" s="33" t="n">
        <x:v>56</x:v>
      </x:c>
      <x:c r="S162" s="38" t="n">
        <x:v>4.536</x:v>
      </x:c>
      <x:c r="T162" s="38" t="n">
        <x:v>0.2268</x:v>
      </x:c>
      <x:c r="U162" s="38" t="n">
        <x:v>0.086184</x:v>
      </x:c>
      <x:c r="V162" s="38" t="n">
        <x:v>4.223015999999999</x:v>
      </x:c>
      <x:c r="W162" s="38" t="n">
        <x:v>1.5082200000000001</x:v>
      </x:c>
      <x:c r="X162" s="38" t="n">
        <x:v>0</x:v>
      </x:c>
      <x:c r="Y162" s="38" t="n">
        <x:v>0.6334523999999999</x:v>
      </x:c>
      <x:c r="Z162" s="38" t="n">
        <x:v>0.42119999999999996</x:v>
      </x:c>
      <x:c r="AA162" s="38" t="n">
        <x:v>0.17415</x:v>
      </x:c>
      <x:c r="AB162" s="38" t="n">
        <x:v>0.0002916</x:v>
      </x:c>
      <x:c r="AC162" s="38" t="n">
        <x:v>1.4857019999999994</x:v>
      </x:c>
      <x:c r="AD162" s="28" t="n">
        <x:v>0.35181064907165865</x:v>
      </x:c>
    </x:row>
    <x:row r="163">
      <x:c r="A163" s="32" t="n">
        <x:v>45712</x:v>
      </x:c>
      <x:c r="B163" s="32" t="n">
        <x:v>45689</x:v>
      </x:c>
      <x:c r="C163" t="str">
        <x:v>Feb 2025</x:v>
      </x:c>
      <x:c r="D163" t="str">
        <x:v>Actual</x:v>
      </x:c>
      <x:c r="E163" t="str">
        <x:v>DB-105</x:v>
      </x:c>
      <x:c r="F163" t="str">
        <x:v>DreamFuel Refill Pack</x:v>
      </x:c>
      <x:c r="G163" t="str">
        <x:v>Subscription</x:v>
      </x:c>
      <x:c r="H163" t="str">
        <x:v>None</x:v>
      </x:c>
      <x:c r="I163" t="str">
        <x:v>Active</x:v>
      </x:c>
      <x:c r="J163" t="str">
        <x:v>Wholesale</x:v>
      </x:c>
      <x:c r="K163" t="str">
        <x:v>Retailer</x:v>
      </x:c>
      <x:c r="L163" t="str">
        <x:v>All Geographies</x:v>
      </x:c>
      <x:c r="M163" s="34" t="n">
        <x:v>1053</x:v>
      </x:c>
      <x:c r="N163" s="28" t="n">
        <x:v>0.021384000000000004</x:v>
      </x:c>
      <x:c r="O163" s="34" t="n">
        <x:v>23</x:v>
      </x:c>
      <x:c r="P163" s="34" t="n">
        <x:v>1</x:v>
      </x:c>
      <x:c r="Q163" s="34" t="n">
        <x:v>23</x:v>
      </x:c>
      <x:c r="R163" s="33" t="n">
        <x:v>56</x:v>
      </x:c>
      <x:c r="S163" s="38" t="n">
        <x:v>1.288</x:v>
      </x:c>
      <x:c r="T163" s="38" t="n">
        <x:v>0.4508</x:v>
      </x:c>
      <x:c r="U163" s="38" t="n">
        <x:v>0.016744000000000002</x:v>
      </x:c>
      <x:c r="V163" s="38" t="n">
        <x:v>0.8204560000000001</x:v>
      </x:c>
      <x:c r="W163" s="38" t="n">
        <x:v>0.42826000000000003</x:v>
      </x:c>
      <x:c r="X163" s="38" t="n">
        <x:v>0</x:v>
      </x:c>
      <x:c r="Y163" s="38" t="n">
        <x:v>0</x:v>
      </x:c>
      <x:c r="Z163" s="38" t="n">
        <x:v>0.052899999999999996</x:v>
      </x:c>
      <x:c r="AA163" s="38" t="n">
        <x:v>0.01955</x:v>
      </x:c>
      <x:c r="AB163" s="38" t="n">
        <x:v>0.0000828</x:v>
      </x:c>
      <x:c r="AC163" s="38" t="n">
        <x:v>0.31966320000000004</x:v>
      </x:c>
      <x:c r="AD163" s="28" t="n">
        <x:v>0.38961650594303654</x:v>
      </x:c>
    </x:row>
    <x:row r="164">
      <x:c r="A164" s="32" t="n">
        <x:v>45712</x:v>
      </x:c>
      <x:c r="B164" s="32" t="n">
        <x:v>45689</x:v>
      </x:c>
      <x:c r="C164" t="str">
        <x:v>Feb 2025</x:v>
      </x:c>
      <x:c r="D164" t="str">
        <x:v>Actual</x:v>
      </x:c>
      <x:c r="E164" t="str">
        <x:v>DB-105</x:v>
      </x:c>
      <x:c r="F164" t="str">
        <x:v>DreamFuel Refill Pack</x:v>
      </x:c>
      <x:c r="G164" t="str">
        <x:v>Subscription</x:v>
      </x:c>
      <x:c r="H164" t="str">
        <x:v>None</x:v>
      </x:c>
      <x:c r="I164" t="str">
        <x:v>Active</x:v>
      </x:c>
      <x:c r="J164" t="str">
        <x:v>TikTok Shop</x:v>
      </x:c>
      <x:c r="K164" t="str">
        <x:v>Social Commerce</x:v>
      </x:c>
      <x:c r="L164" t="str">
        <x:v>All Geographies</x:v>
      </x:c>
      <x:c r="M164" s="34" t="n">
        <x:v>702</x:v>
      </x:c>
      <x:c r="N164" s="28" t="n">
        <x:v>0.0489888</x:v>
      </x:c>
      <x:c r="O164" s="34" t="n">
        <x:v>34</x:v>
      </x:c>
      <x:c r="P164" s="34" t="n">
        <x:v>1</x:v>
      </x:c>
      <x:c r="Q164" s="34" t="n">
        <x:v>34</x:v>
      </x:c>
      <x:c r="R164" s="33" t="n">
        <x:v>56</x:v>
      </x:c>
      <x:c r="S164" s="38" t="n">
        <x:v>1.904</x:v>
      </x:c>
      <x:c r="T164" s="38" t="n">
        <x:v>0.22848</x:v>
      </x:c>
      <x:c r="U164" s="38" t="n">
        <x:v>0.033510399999999996</x:v>
      </x:c>
      <x:c r="V164" s="38" t="n">
        <x:v>1.6420096</x:v>
      </x:c>
      <x:c r="W164" s="38" t="n">
        <x:v>0.6330800000000001</x:v>
      </x:c>
      <x:c r="X164" s="38" t="n">
        <x:v>0.0476182784</x:v>
      </x:c>
      <x:c r="Y164" s="38" t="n">
        <x:v>0.098520576</x:v>
      </x:c>
      <x:c r="Z164" s="38" t="n">
        <x:v>0.17339999999999997</x:v>
      </x:c>
      <x:c r="AA164" s="38" t="n">
        <x:v>0.0595</x:v>
      </x:c>
      <x:c r="AB164" s="38" t="n">
        <x:v>0.00012240000000000002</x:v>
      </x:c>
      <x:c r="AC164" s="38" t="n">
        <x:v>0.6297683456</x:v>
      </x:c>
      <x:c r="AD164" s="28" t="n">
        <x:v>0.3835351179432812</x:v>
      </x:c>
    </x:row>
    <x:row r="165">
      <x:c r="A165" s="32" t="n">
        <x:v>45719</x:v>
      </x:c>
      <x:c r="B165" s="32" t="n">
        <x:v>45717</x:v>
      </x:c>
      <x:c r="C165" t="str">
        <x:v>Mar 2025</x:v>
      </x:c>
      <x:c r="D165" t="str">
        <x:v>Actual</x:v>
      </x:c>
      <x:c r="E165" t="str">
        <x:v>DB-101</x:v>
      </x:c>
      <x:c r="F165" t="str">
        <x:v>AeroSip Bottle</x:v>
      </x:c>
      <x:c r="G165" t="str">
        <x:v>One-time purchase</x:v>
      </x:c>
      <x:c r="H165" t="str">
        <x:v>None</x:v>
      </x:c>
      <x:c r="I165" t="str">
        <x:v>Active</x:v>
      </x:c>
      <x:c r="J165" t="str">
        <x:v>Shopify DTC</x:v>
      </x:c>
      <x:c r="K165" t="str">
        <x:v>Consumer</x:v>
      </x:c>
      <x:c r="L165" t="str">
        <x:v>All Geographies</x:v>
      </x:c>
      <x:c r="M165" s="34" t="n">
        <x:v>5090</x:v>
      </x:c>
      <x:c r="N165" s="28" t="n">
        <x:v>0.034199999999999994</x:v>
      </x:c>
      <x:c r="O165" s="34" t="n">
        <x:v>174</x:v>
      </x:c>
      <x:c r="P165" s="34" t="n">
        <x:v>1</x:v>
      </x:c>
      <x:c r="Q165" s="34" t="n">
        <x:v>174</x:v>
      </x:c>
      <x:c r="R165" s="33" t="n">
        <x:v>29</x:v>
      </x:c>
      <x:c r="S165" s="38" t="n">
        <x:v>5.046</x:v>
      </x:c>
      <x:c r="T165" s="38" t="n">
        <x:v>0.40368000000000004</x:v>
      </x:c>
      <x:c r="U165" s="38" t="n">
        <x:v>0.2089044</x:v>
      </x:c>
      <x:c r="V165" s="38" t="n">
        <x:v>4.4334156</x:v>
      </x:c>
      <x:c r="W165" s="38" t="n">
        <x:v>1.8792</x:v>
      </x:c>
      <x:c r="X165" s="38" t="n">
        <x:v>0.1285690524</x:v>
      </x:c>
      <x:c r="Y165" s="38" t="n">
        <x:v>0</x:v>
      </x:c>
      <x:c r="Z165" s="38" t="n">
        <x:v>0.7221000000000001</x:v>
      </x:c>
      <x:c r="AA165" s="38" t="n">
        <x:v>0.28709999999999997</x:v>
      </x:c>
      <x:c r="AB165" s="38" t="n">
        <x:v>0.0062640000000000005</x:v>
      </x:c>
      <x:c r="AC165" s="38" t="n">
        <x:v>1.4101825475999998</x:v>
      </x:c>
      <x:c r="AD165" s="28" t="n">
        <x:v>0.3180803865083165</x:v>
      </x:c>
    </x:row>
    <x:row r="166">
      <x:c r="A166" s="32" t="n">
        <x:v>45719</x:v>
      </x:c>
      <x:c r="B166" s="32" t="n">
        <x:v>45717</x:v>
      </x:c>
      <x:c r="C166" t="str">
        <x:v>Mar 2025</x:v>
      </x:c>
      <x:c r="D166" t="str">
        <x:v>Actual</x:v>
      </x:c>
      <x:c r="E166" t="str">
        <x:v>DB-101</x:v>
      </x:c>
      <x:c r="F166" t="str">
        <x:v>AeroSip Bottle</x:v>
      </x:c>
      <x:c r="G166" t="str">
        <x:v>One-time purchase</x:v>
      </x:c>
      <x:c r="H166" t="str">
        <x:v>None</x:v>
      </x:c>
      <x:c r="I166" t="str">
        <x:v>Active</x:v>
      </x:c>
      <x:c r="J166" t="str">
        <x:v>Amazon Marketplace</x:v>
      </x:c>
      <x:c r="K166" t="str">
        <x:v>Marketplace Consumer</x:v>
      </x:c>
      <x:c r="L166" t="str">
        <x:v>All Geographies</x:v>
      </x:c>
      <x:c r="M166" s="34" t="n">
        <x:v>2545</x:v>
      </x:c>
      <x:c r="N166" s="28" t="n">
        <x:v>0.040355999999999996</x:v>
      </x:c>
      <x:c r="O166" s="34" t="n">
        <x:v>103</x:v>
      </x:c>
      <x:c r="P166" s="34" t="n">
        <x:v>1</x:v>
      </x:c>
      <x:c r="Q166" s="34" t="n">
        <x:v>103</x:v>
      </x:c>
      <x:c r="R166" s="33" t="n">
        <x:v>29</x:v>
      </x:c>
      <x:c r="S166" s="38" t="n">
        <x:v>2.987</x:v>
      </x:c>
      <x:c r="T166" s="38" t="n">
        <x:v>0.14935</x:v>
      </x:c>
      <x:c r="U166" s="38" t="n">
        <x:v>0.12769425</x:v>
      </x:c>
      <x:c r="V166" s="38" t="n">
        <x:v>2.7099557499999998</x:v>
      </x:c>
      <x:c r="W166" s="38" t="n">
        <x:v>1.1124</x:v>
      </x:c>
      <x:c r="X166" s="38" t="n">
        <x:v>0</x:v>
      </x:c>
      <x:c r="Y166" s="38" t="n">
        <x:v>0.40649336249999996</x:v>
      </x:c>
      <x:c r="Z166" s="38" t="n">
        <x:v>0.5356000000000001</x:v>
      </x:c>
      <x:c r="AA166" s="38" t="n">
        <x:v>0.22144999999999998</x:v>
      </x:c>
      <x:c r="AB166" s="38" t="n">
        <x:v>0.0037080000000000004</x:v>
      </x:c>
      <x:c r="AC166" s="38" t="n">
        <x:v>0.43030438749999966</x:v>
      </x:c>
      <x:c r="AD166" s="28" t="n">
        <x:v>0.15878649955815688</x:v>
      </x:c>
    </x:row>
    <x:row r="167">
      <x:c r="A167" s="32" t="n">
        <x:v>45719</x:v>
      </x:c>
      <x:c r="B167" s="32" t="n">
        <x:v>45717</x:v>
      </x:c>
      <x:c r="C167" t="str">
        <x:v>Mar 2025</x:v>
      </x:c>
      <x:c r="D167" t="str">
        <x:v>Actual</x:v>
      </x:c>
      <x:c r="E167" t="str">
        <x:v>DB-101</x:v>
      </x:c>
      <x:c r="F167" t="str">
        <x:v>AeroSip Bottle</x:v>
      </x:c>
      <x:c r="G167" t="str">
        <x:v>One-time purchase</x:v>
      </x:c>
      <x:c r="H167" t="str">
        <x:v>None</x:v>
      </x:c>
      <x:c r="I167" t="str">
        <x:v>Active</x:v>
      </x:c>
      <x:c r="J167" t="str">
        <x:v>Wholesale</x:v>
      </x:c>
      <x:c r="K167" t="str">
        <x:v>Retailer</x:v>
      </x:c>
      <x:c r="L167" t="str">
        <x:v>All Geographies</x:v>
      </x:c>
      <x:c r="M167" s="34" t="n">
        <x:v>1527</x:v>
      </x:c>
      <x:c r="N167" s="28" t="n">
        <x:v>0.01881</x:v>
      </x:c>
      <x:c r="O167" s="34" t="n">
        <x:v>29</x:v>
      </x:c>
      <x:c r="P167" s="34" t="n">
        <x:v>1</x:v>
      </x:c>
      <x:c r="Q167" s="34" t="n">
        <x:v>29</x:v>
      </x:c>
      <x:c r="R167" s="33" t="n">
        <x:v>29</x:v>
      </x:c>
      <x:c r="S167" s="38" t="n">
        <x:v>0.841</x:v>
      </x:c>
      <x:c r="T167" s="38" t="n">
        <x:v>0.29434999999999995</x:v>
      </x:c>
      <x:c r="U167" s="38" t="n">
        <x:v>0.024599250000000003</x:v>
      </x:c>
      <x:c r="V167" s="38" t="n">
        <x:v>0.5220507500000001</x:v>
      </x:c>
      <x:c r="W167" s="38" t="n">
        <x:v>0.31320000000000003</x:v>
      </x:c>
      <x:c r="X167" s="38" t="n">
        <x:v>0</x:v>
      </x:c>
      <x:c r="Y167" s="38" t="n">
        <x:v>0</x:v>
      </x:c>
      <x:c r="Z167" s="38" t="n">
        <x:v>0.0667</x:v>
      </x:c>
      <x:c r="AA167" s="38" t="n">
        <x:v>0.02465</x:v>
      </x:c>
      <x:c r="AB167" s="38" t="n">
        <x:v>0.001044</x:v>
      </x:c>
      <x:c r="AC167" s="38" t="n">
        <x:v>0.1164567500000001</x:v>
      </x:c>
      <x:c r="AD167" s="28" t="n">
        <x:v>0.22307553432305205</x:v>
      </x:c>
    </x:row>
    <x:row r="168">
      <x:c r="A168" s="32" t="n">
        <x:v>45719</x:v>
      </x:c>
      <x:c r="B168" s="32" t="n">
        <x:v>45717</x:v>
      </x:c>
      <x:c r="C168" t="str">
        <x:v>Mar 2025</x:v>
      </x:c>
      <x:c r="D168" t="str">
        <x:v>Actual</x:v>
      </x:c>
      <x:c r="E168" t="str">
        <x:v>DB-101</x:v>
      </x:c>
      <x:c r="F168" t="str">
        <x:v>AeroSip Bottle</x:v>
      </x:c>
      <x:c r="G168" t="str">
        <x:v>One-time purchase</x:v>
      </x:c>
      <x:c r="H168" t="str">
        <x:v>None</x:v>
      </x:c>
      <x:c r="I168" t="str">
        <x:v>Active</x:v>
      </x:c>
      <x:c r="J168" t="str">
        <x:v>TikTok Shop</x:v>
      </x:c>
      <x:c r="K168" t="str">
        <x:v>Social Commerce</x:v>
      </x:c>
      <x:c r="L168" t="str">
        <x:v>All Geographies</x:v>
      </x:c>
      <x:c r="M168" s="34" t="n">
        <x:v>1018</x:v>
      </x:c>
      <x:c r="N168" s="28" t="n">
        <x:v>0.043092</x:v>
      </x:c>
      <x:c r="O168" s="34" t="n">
        <x:v>44</x:v>
      </x:c>
      <x:c r="P168" s="34" t="n">
        <x:v>1</x:v>
      </x:c>
      <x:c r="Q168" s="34" t="n">
        <x:v>44</x:v>
      </x:c>
      <x:c r="R168" s="33" t="n">
        <x:v>29</x:v>
      </x:c>
      <x:c r="S168" s="38" t="n">
        <x:v>1.276</x:v>
      </x:c>
      <x:c r="T168" s="38" t="n">
        <x:v>0.15312</x:v>
      </x:c>
      <x:c r="U168" s="38" t="n">
        <x:v>0.0505296</x:v>
      </x:c>
      <x:c r="V168" s="38" t="n">
        <x:v>1.0723504000000001</x:v>
      </x:c>
      <x:c r="W168" s="38" t="n">
        <x:v>0.47520000000000007</x:v>
      </x:c>
      <x:c r="X168" s="38" t="n">
        <x:v>0.031098161600000007</x:v>
      </x:c>
      <x:c r="Y168" s="38" t="n">
        <x:v>0.06434102400000001</x:v>
      </x:c>
      <x:c r="Z168" s="38" t="n">
        <x:v>0.2244</x:v>
      </x:c>
      <x:c r="AA168" s="38" t="n">
        <x:v>0.077</x:v>
      </x:c>
      <x:c r="AB168" s="38" t="n">
        <x:v>0.0015840000000000001</x:v>
      </x:c>
      <x:c r="AC168" s="38" t="n">
        <x:v>0.1987272144000001</x:v>
      </x:c>
      <x:c r="AD168" s="28" t="n">
        <x:v>0.18531928966502</x:v>
      </x:c>
    </x:row>
    <x:row r="169">
      <x:c r="A169" s="32" t="n">
        <x:v>45719</x:v>
      </x:c>
      <x:c r="B169" s="32" t="n">
        <x:v>45717</x:v>
      </x:c>
      <x:c r="C169" t="str">
        <x:v>Mar 2025</x:v>
      </x:c>
      <x:c r="D169" t="str">
        <x:v>Actual</x:v>
      </x:c>
      <x:c r="E169" t="str">
        <x:v>DB-102</x:v>
      </x:c>
      <x:c r="F169" t="str">
        <x:v>GlowPatch Balm</x:v>
      </x:c>
      <x:c r="G169" t="str">
        <x:v>Consumable repeat</x:v>
      </x:c>
      <x:c r="H169" t="str">
        <x:v>None</x:v>
      </x:c>
      <x:c r="I169" t="str">
        <x:v>Active</x:v>
      </x:c>
      <x:c r="J169" t="str">
        <x:v>Shopify DTC</x:v>
      </x:c>
      <x:c r="K169" t="str">
        <x:v>Consumer</x:v>
      </x:c>
      <x:c r="L169" t="str">
        <x:v>All Geographies</x:v>
      </x:c>
      <x:c r="M169" s="34" t="n">
        <x:v>4111</x:v>
      </x:c>
      <x:c r="N169" s="28" t="n">
        <x:v>0.04248</x:v>
      </x:c>
      <x:c r="O169" s="34" t="n">
        <x:v>175</x:v>
      </x:c>
      <x:c r="P169" s="34" t="n">
        <x:v>1</x:v>
      </x:c>
      <x:c r="Q169" s="34" t="n">
        <x:v>175</x:v>
      </x:c>
      <x:c r="R169" s="33" t="n">
        <x:v>18</x:v>
      </x:c>
      <x:c r="S169" s="38" t="n">
        <x:v>3.15</x:v>
      </x:c>
      <x:c r="T169" s="38" t="n">
        <x:v>0.252</x:v>
      </x:c>
      <x:c r="U169" s="38" t="n">
        <x:v>0.07245</x:v>
      </x:c>
      <x:c r="V169" s="38" t="n">
        <x:v>2.82555</x:v>
      </x:c>
      <x:c r="W169" s="38" t="n">
        <x:v>0.94675</x:v>
      </x:c>
      <x:c r="X169" s="38" t="n">
        <x:v>0.08194095</x:v>
      </x:c>
      <x:c r="Y169" s="38" t="n">
        <x:v>0</x:v>
      </x:c>
      <x:c r="Z169" s="38" t="n">
        <x:v>0.7262500000000001</x:v>
      </x:c>
      <x:c r="AA169" s="38" t="n">
        <x:v>0.28875</x:v>
      </x:c>
      <x:c r="AB169" s="38" t="n">
        <x:v>0.0010500000000000002</x:v>
      </x:c>
      <x:c r="AC169" s="38" t="n">
        <x:v>0.7808090499999998</x:v>
      </x:c>
      <x:c r="AD169" s="28" t="n">
        <x:v>0.2763387835996531</x:v>
      </x:c>
    </x:row>
    <x:row r="170">
      <x:c r="A170" s="32" t="n">
        <x:v>45719</x:v>
      </x:c>
      <x:c r="B170" s="32" t="n">
        <x:v>45717</x:v>
      </x:c>
      <x:c r="C170" t="str">
        <x:v>Mar 2025</x:v>
      </x:c>
      <x:c r="D170" t="str">
        <x:v>Actual</x:v>
      </x:c>
      <x:c r="E170" t="str">
        <x:v>DB-102</x:v>
      </x:c>
      <x:c r="F170" t="str">
        <x:v>GlowPatch Balm</x:v>
      </x:c>
      <x:c r="G170" t="str">
        <x:v>Consumable repeat</x:v>
      </x:c>
      <x:c r="H170" t="str">
        <x:v>None</x:v>
      </x:c>
      <x:c r="I170" t="str">
        <x:v>Active</x:v>
      </x:c>
      <x:c r="J170" t="str">
        <x:v>Amazon Marketplace</x:v>
      </x:c>
      <x:c r="K170" t="str">
        <x:v>Marketplace Consumer</x:v>
      </x:c>
      <x:c r="L170" t="str">
        <x:v>All Geographies</x:v>
      </x:c>
      <x:c r="M170" s="34" t="n">
        <x:v>2056</x:v>
      </x:c>
      <x:c r="N170" s="28" t="n">
        <x:v>0.050126399999999995</x:v>
      </x:c>
      <x:c r="O170" s="34" t="n">
        <x:v>103</x:v>
      </x:c>
      <x:c r="P170" s="34" t="n">
        <x:v>1</x:v>
      </x:c>
      <x:c r="Q170" s="34" t="n">
        <x:v>103</x:v>
      </x:c>
      <x:c r="R170" s="33" t="n">
        <x:v>18</x:v>
      </x:c>
      <x:c r="S170" s="38" t="n">
        <x:v>1.854</x:v>
      </x:c>
      <x:c r="T170" s="38" t="n">
        <x:v>0.0927</x:v>
      </x:c>
      <x:c r="U170" s="38" t="n">
        <x:v>0.0440325</x:v>
      </x:c>
      <x:c r="V170" s="38" t="n">
        <x:v>1.7172675000000002</x:v>
      </x:c>
      <x:c r="W170" s="38" t="n">
        <x:v>0.55723</x:v>
      </x:c>
      <x:c r="X170" s="38" t="n">
        <x:v>0</x:v>
      </x:c>
      <x:c r="Y170" s="38" t="n">
        <x:v>0.257590125</x:v>
      </x:c>
      <x:c r="Z170" s="38" t="n">
        <x:v>0.5356000000000001</x:v>
      </x:c>
      <x:c r="AA170" s="38" t="n">
        <x:v>0.22144999999999998</x:v>
      </x:c>
      <x:c r="AB170" s="38" t="n">
        <x:v>0.0006180000000000001</x:v>
      </x:c>
      <x:c r="AC170" s="38" t="n">
        <x:v>0.144779375</x:v>
      </x:c>
      <x:c r="AD170" s="28" t="n">
        <x:v>0.08430799220272903</x:v>
      </x:c>
    </x:row>
    <x:row r="171">
      <x:c r="A171" s="32" t="n">
        <x:v>45719</x:v>
      </x:c>
      <x:c r="B171" s="32" t="n">
        <x:v>45717</x:v>
      </x:c>
      <x:c r="C171" t="str">
        <x:v>Mar 2025</x:v>
      </x:c>
      <x:c r="D171" t="str">
        <x:v>Actual</x:v>
      </x:c>
      <x:c r="E171" t="str">
        <x:v>DB-102</x:v>
      </x:c>
      <x:c r="F171" t="str">
        <x:v>GlowPatch Balm</x:v>
      </x:c>
      <x:c r="G171" t="str">
        <x:v>Consumable repeat</x:v>
      </x:c>
      <x:c r="H171" t="str">
        <x:v>None</x:v>
      </x:c>
      <x:c r="I171" t="str">
        <x:v>Active</x:v>
      </x:c>
      <x:c r="J171" t="str">
        <x:v>Wholesale</x:v>
      </x:c>
      <x:c r="K171" t="str">
        <x:v>Retailer</x:v>
      </x:c>
      <x:c r="L171" t="str">
        <x:v>All Geographies</x:v>
      </x:c>
      <x:c r="M171" s="34" t="n">
        <x:v>1233</x:v>
      </x:c>
      <x:c r="N171" s="28" t="n">
        <x:v>0.023364</x:v>
      </x:c>
      <x:c r="O171" s="34" t="n">
        <x:v>29</x:v>
      </x:c>
      <x:c r="P171" s="34" t="n">
        <x:v>1</x:v>
      </x:c>
      <x:c r="Q171" s="34" t="n">
        <x:v>29</x:v>
      </x:c>
      <x:c r="R171" s="33" t="n">
        <x:v>18</x:v>
      </x:c>
      <x:c r="S171" s="38" t="n">
        <x:v>0.522</x:v>
      </x:c>
      <x:c r="T171" s="38" t="n">
        <x:v>0.1827</x:v>
      </x:c>
      <x:c r="U171" s="38" t="n">
        <x:v>0.008482500000000002</x:v>
      </x:c>
      <x:c r="V171" s="38" t="n">
        <x:v>0.33081750000000004</x:v>
      </x:c>
      <x:c r="W171" s="38" t="n">
        <x:v>0.15689</x:v>
      </x:c>
      <x:c r="X171" s="38" t="n">
        <x:v>0</x:v>
      </x:c>
      <x:c r="Y171" s="38" t="n">
        <x:v>0</x:v>
      </x:c>
      <x:c r="Z171" s="38" t="n">
        <x:v>0.0667</x:v>
      </x:c>
      <x:c r="AA171" s="38" t="n">
        <x:v>0.02465</x:v>
      </x:c>
      <x:c r="AB171" s="38" t="n">
        <x:v>0.00017400000000000003</x:v>
      </x:c>
      <x:c r="AC171" s="38" t="n">
        <x:v>0.08240350000000006</x:v>
      </x:c>
      <x:c r="AD171" s="28" t="n">
        <x:v>0.2490905106289723</x:v>
      </x:c>
    </x:row>
    <x:row r="172">
      <x:c r="A172" s="32" t="n">
        <x:v>45719</x:v>
      </x:c>
      <x:c r="B172" s="32" t="n">
        <x:v>45717</x:v>
      </x:c>
      <x:c r="C172" t="str">
        <x:v>Mar 2025</x:v>
      </x:c>
      <x:c r="D172" t="str">
        <x:v>Actual</x:v>
      </x:c>
      <x:c r="E172" t="str">
        <x:v>DB-102</x:v>
      </x:c>
      <x:c r="F172" t="str">
        <x:v>GlowPatch Balm</x:v>
      </x:c>
      <x:c r="G172" t="str">
        <x:v>Consumable repeat</x:v>
      </x:c>
      <x:c r="H172" t="str">
        <x:v>None</x:v>
      </x:c>
      <x:c r="I172" t="str">
        <x:v>Active</x:v>
      </x:c>
      <x:c r="J172" t="str">
        <x:v>TikTok Shop</x:v>
      </x:c>
      <x:c r="K172" t="str">
        <x:v>Social Commerce</x:v>
      </x:c>
      <x:c r="L172" t="str">
        <x:v>All Geographies</x:v>
      </x:c>
      <x:c r="M172" s="34" t="n">
        <x:v>822</x:v>
      </x:c>
      <x:c r="N172" s="28" t="n">
        <x:v>0.0535248</x:v>
      </x:c>
      <x:c r="O172" s="34" t="n">
        <x:v>44</x:v>
      </x:c>
      <x:c r="P172" s="34" t="n">
        <x:v>1</x:v>
      </x:c>
      <x:c r="Q172" s="34" t="n">
        <x:v>44</x:v>
      </x:c>
      <x:c r="R172" s="33" t="n">
        <x:v>18</x:v>
      </x:c>
      <x:c r="S172" s="38" t="n">
        <x:v>0.792</x:v>
      </x:c>
      <x:c r="T172" s="38" t="n">
        <x:v>0.09504</x:v>
      </x:c>
      <x:c r="U172" s="38" t="n">
        <x:v>0.017424000000000002</x:v>
      </x:c>
      <x:c r="V172" s="38" t="n">
        <x:v>0.679536</x:v>
      </x:c>
      <x:c r="W172" s="38" t="n">
        <x:v>0.23804000000000003</x:v>
      </x:c>
      <x:c r="X172" s="38" t="n">
        <x:v>0.019706544000000003</x:v>
      </x:c>
      <x:c r="Y172" s="38" t="n">
        <x:v>0.04077216</x:v>
      </x:c>
      <x:c r="Z172" s="38" t="n">
        <x:v>0.2244</x:v>
      </x:c>
      <x:c r="AA172" s="38" t="n">
        <x:v>0.077</x:v>
      </x:c>
      <x:c r="AB172" s="38" t="n">
        <x:v>0.000264</x:v>
      </x:c>
      <x:c r="AC172" s="38" t="n">
        <x:v>0.07935329600000002</x:v>
      </x:c>
      <x:c r="AD172" s="28" t="n">
        <x:v>0.1167757057757058</x:v>
      </x:c>
    </x:row>
    <x:row r="173">
      <x:c r="A173" s="32" t="n">
        <x:v>45719</x:v>
      </x:c>
      <x:c r="B173" s="32" t="n">
        <x:v>45717</x:v>
      </x:c>
      <x:c r="C173" t="str">
        <x:v>Mar 2025</x:v>
      </x:c>
      <x:c r="D173" t="str">
        <x:v>Actual</x:v>
      </x:c>
      <x:c r="E173" t="str">
        <x:v>DB-103</x:v>
      </x:c>
      <x:c r="F173" t="str">
        <x:v>EmberTrail Camp Mug</x:v>
      </x:c>
      <x:c r="G173" t="str">
        <x:v>One-time purchase</x:v>
      </x:c>
      <x:c r="H173" t="str">
        <x:v>Winter peak</x:v>
      </x:c>
      <x:c r="I173" t="str">
        <x:v>Active</x:v>
      </x:c>
      <x:c r="J173" t="str">
        <x:v>Shopify DTC</x:v>
      </x:c>
      <x:c r="K173" t="str">
        <x:v>Consumer</x:v>
      </x:c>
      <x:c r="L173" t="str">
        <x:v>All Geographies</x:v>
      </x:c>
      <x:c r="M173" s="34" t="n">
        <x:v>3242</x:v>
      </x:c>
      <x:c r="N173" s="28" t="n">
        <x:v>0.0324</x:v>
      </x:c>
      <x:c r="O173" s="34" t="n">
        <x:v>105</x:v>
      </x:c>
      <x:c r="P173" s="34" t="n">
        <x:v>1</x:v>
      </x:c>
      <x:c r="Q173" s="34" t="n">
        <x:v>105</x:v>
      </x:c>
      <x:c r="R173" s="33" t="n">
        <x:v>34</x:v>
      </x:c>
      <x:c r="S173" s="38" t="n">
        <x:v>3.57</x:v>
      </x:c>
      <x:c r="T173" s="38" t="n">
        <x:v>0.2856</x:v>
      </x:c>
      <x:c r="U173" s="38" t="n">
        <x:v>0.180642</x:v>
      </x:c>
      <x:c r="V173" s="38" t="n">
        <x:v>3.1037579999999996</x:v>
      </x:c>
      <x:c r="W173" s="38" t="n">
        <x:v>1.43535</x:v>
      </x:c>
      <x:c r="X173" s="38" t="n">
        <x:v>0.09000898199999999</x:v>
      </x:c>
      <x:c r="Y173" s="38" t="n">
        <x:v>0</x:v>
      </x:c>
      <x:c r="Z173" s="38" t="n">
        <x:v>0.4357500000000001</x:v>
      </x:c>
      <x:c r="AA173" s="38" t="n">
        <x:v>0.17325</x:v>
      </x:c>
      <x:c r="AB173" s="38" t="n">
        <x:v>0.00588</x:v>
      </x:c>
      <x:c r="AC173" s="38" t="n">
        <x:v>0.9635190179999995</x:v>
      </x:c>
      <x:c r="AD173" s="28" t="n">
        <x:v>0.31043625759482524</x:v>
      </x:c>
    </x:row>
    <x:row r="174">
      <x:c r="A174" s="32" t="n">
        <x:v>45719</x:v>
      </x:c>
      <x:c r="B174" s="32" t="n">
        <x:v>45717</x:v>
      </x:c>
      <x:c r="C174" t="str">
        <x:v>Mar 2025</x:v>
      </x:c>
      <x:c r="D174" t="str">
        <x:v>Actual</x:v>
      </x:c>
      <x:c r="E174" t="str">
        <x:v>DB-103</x:v>
      </x:c>
      <x:c r="F174" t="str">
        <x:v>EmberTrail Camp Mug</x:v>
      </x:c>
      <x:c r="G174" t="str">
        <x:v>One-time purchase</x:v>
      </x:c>
      <x:c r="H174" t="str">
        <x:v>Winter peak</x:v>
      </x:c>
      <x:c r="I174" t="str">
        <x:v>Active</x:v>
      </x:c>
      <x:c r="J174" t="str">
        <x:v>Amazon Marketplace</x:v>
      </x:c>
      <x:c r="K174" t="str">
        <x:v>Marketplace Consumer</x:v>
      </x:c>
      <x:c r="L174" t="str">
        <x:v>All Geographies</x:v>
      </x:c>
      <x:c r="M174" s="34" t="n">
        <x:v>1621</x:v>
      </x:c>
      <x:c r="N174" s="28" t="n">
        <x:v>0.038231999999999995</x:v>
      </x:c>
      <x:c r="O174" s="34" t="n">
        <x:v>62</x:v>
      </x:c>
      <x:c r="P174" s="34" t="n">
        <x:v>1</x:v>
      </x:c>
      <x:c r="Q174" s="34" t="n">
        <x:v>62</x:v>
      </x:c>
      <x:c r="R174" s="33" t="n">
        <x:v>34</x:v>
      </x:c>
      <x:c r="S174" s="38" t="n">
        <x:v>2.108</x:v>
      </x:c>
      <x:c r="T174" s="38" t="n">
        <x:v>0.10540000000000001</x:v>
      </x:c>
      <x:c r="U174" s="38" t="n">
        <x:v>0.110143</x:v>
      </x:c>
      <x:c r="V174" s="38" t="n">
        <x:v>1.892457</x:v>
      </x:c>
      <x:c r="W174" s="38" t="n">
        <x:v>0.84754</x:v>
      </x:c>
      <x:c r="X174" s="38" t="n">
        <x:v>0</x:v>
      </x:c>
      <x:c r="Y174" s="38" t="n">
        <x:v>0.28386855</x:v>
      </x:c>
      <x:c r="Z174" s="38" t="n">
        <x:v>0.3224</x:v>
      </x:c>
      <x:c r="AA174" s="38" t="n">
        <x:v>0.13329999999999997</x:v>
      </x:c>
      <x:c r="AB174" s="38" t="n">
        <x:v>0.003472</x:v>
      </x:c>
      <x:c r="AC174" s="38" t="n">
        <x:v>0.30187645000000013</x:v>
      </x:c>
      <x:c r="AD174" s="28" t="n">
        <x:v>0.1595156191131424</x:v>
      </x:c>
    </x:row>
    <x:row r="175">
      <x:c r="A175" s="32" t="n">
        <x:v>45719</x:v>
      </x:c>
      <x:c r="B175" s="32" t="n">
        <x:v>45717</x:v>
      </x:c>
      <x:c r="C175" t="str">
        <x:v>Mar 2025</x:v>
      </x:c>
      <x:c r="D175" t="str">
        <x:v>Actual</x:v>
      </x:c>
      <x:c r="E175" t="str">
        <x:v>DB-103</x:v>
      </x:c>
      <x:c r="F175" t="str">
        <x:v>EmberTrail Camp Mug</x:v>
      </x:c>
      <x:c r="G175" t="str">
        <x:v>One-time purchase</x:v>
      </x:c>
      <x:c r="H175" t="str">
        <x:v>Winter peak</x:v>
      </x:c>
      <x:c r="I175" t="str">
        <x:v>Active</x:v>
      </x:c>
      <x:c r="J175" t="str">
        <x:v>Wholesale</x:v>
      </x:c>
      <x:c r="K175" t="str">
        <x:v>Retailer</x:v>
      </x:c>
      <x:c r="L175" t="str">
        <x:v>All Geographies</x:v>
      </x:c>
      <x:c r="M175" s="34" t="n">
        <x:v>973</x:v>
      </x:c>
      <x:c r="N175" s="28" t="n">
        <x:v>0.017820000000000003</x:v>
      </x:c>
      <x:c r="O175" s="34" t="n">
        <x:v>17</x:v>
      </x:c>
      <x:c r="P175" s="34" t="n">
        <x:v>1</x:v>
      </x:c>
      <x:c r="Q175" s="34" t="n">
        <x:v>17</x:v>
      </x:c>
      <x:c r="R175" s="33" t="n">
        <x:v>34</x:v>
      </x:c>
      <x:c r="S175" s="38" t="n">
        <x:v>0.578</x:v>
      </x:c>
      <x:c r="T175" s="38" t="n">
        <x:v>0.20229999999999998</x:v>
      </x:c>
      <x:c r="U175" s="38" t="n">
        <x:v>0.020663499999999998</x:v>
      </x:c>
      <x:c r="V175" s="38" t="n">
        <x:v>0.3550365</x:v>
      </x:c>
      <x:c r="W175" s="38" t="n">
        <x:v>0.23238999999999999</x:v>
      </x:c>
      <x:c r="X175" s="38" t="n">
        <x:v>0</x:v>
      </x:c>
      <x:c r="Y175" s="38" t="n">
        <x:v>0</x:v>
      </x:c>
      <x:c r="Z175" s="38" t="n">
        <x:v>0.039099999999999996</x:v>
      </x:c>
      <x:c r="AA175" s="38" t="n">
        <x:v>0.01445</x:v>
      </x:c>
      <x:c r="AB175" s="38" t="n">
        <x:v>0.000952</x:v>
      </x:c>
      <x:c r="AC175" s="38" t="n">
        <x:v>0.0681445</x:v>
      </x:c>
      <x:c r="AD175" s="28" t="n">
        <x:v>0.19193660370130958</x:v>
      </x:c>
    </x:row>
    <x:row r="176">
      <x:c r="A176" s="32" t="n">
        <x:v>45719</x:v>
      </x:c>
      <x:c r="B176" s="32" t="n">
        <x:v>45717</x:v>
      </x:c>
      <x:c r="C176" t="str">
        <x:v>Mar 2025</x:v>
      </x:c>
      <x:c r="D176" t="str">
        <x:v>Actual</x:v>
      </x:c>
      <x:c r="E176" t="str">
        <x:v>DB-103</x:v>
      </x:c>
      <x:c r="F176" t="str">
        <x:v>EmberTrail Camp Mug</x:v>
      </x:c>
      <x:c r="G176" t="str">
        <x:v>One-time purchase</x:v>
      </x:c>
      <x:c r="H176" t="str">
        <x:v>Winter peak</x:v>
      </x:c>
      <x:c r="I176" t="str">
        <x:v>Active</x:v>
      </x:c>
      <x:c r="J176" t="str">
        <x:v>TikTok Shop</x:v>
      </x:c>
      <x:c r="K176" t="str">
        <x:v>Social Commerce</x:v>
      </x:c>
      <x:c r="L176" t="str">
        <x:v>All Geographies</x:v>
      </x:c>
      <x:c r="M176" s="34" t="n">
        <x:v>648</x:v>
      </x:c>
      <x:c r="N176" s="28" t="n">
        <x:v>0.040824</x:v>
      </x:c>
      <x:c r="O176" s="34" t="n">
        <x:v>26</x:v>
      </x:c>
      <x:c r="P176" s="34" t="n">
        <x:v>1</x:v>
      </x:c>
      <x:c r="Q176" s="34" t="n">
        <x:v>26</x:v>
      </x:c>
      <x:c r="R176" s="33" t="n">
        <x:v>34</x:v>
      </x:c>
      <x:c r="S176" s="38" t="n">
        <x:v>0.884</x:v>
      </x:c>
      <x:c r="T176" s="38" t="n">
        <x:v>0.10608</x:v>
      </x:c>
      <x:c r="U176" s="38" t="n">
        <x:v>0.0427856</x:v>
      </x:c>
      <x:c r="V176" s="38" t="n">
        <x:v>0.7351344000000001</x:v>
      </x:c>
      <x:c r="W176" s="38" t="n">
        <x:v>0.35542</x:v>
      </x:c>
      <x:c r="X176" s="38" t="n">
        <x:v>0.021318897600000004</x:v>
      </x:c>
      <x:c r="Y176" s="38" t="n">
        <x:v>0.044108064</x:v>
      </x:c>
      <x:c r="Z176" s="38" t="n">
        <x:v>0.1326</x:v>
      </x:c>
      <x:c r="AA176" s="38" t="n">
        <x:v>0.0455</x:v>
      </x:c>
      <x:c r="AB176" s="38" t="n">
        <x:v>0.0014560000000000003</x:v>
      </x:c>
      <x:c r="AC176" s="38" t="n">
        <x:v>0.13473143840000007</x:v>
      </x:c>
      <x:c r="AD176" s="28" t="n">
        <x:v>0.18327456639221354</x:v>
      </x:c>
    </x:row>
    <x:row r="177">
      <x:c r="A177" s="32" t="n">
        <x:v>45719</x:v>
      </x:c>
      <x:c r="B177" s="32" t="n">
        <x:v>45717</x:v>
      </x:c>
      <x:c r="C177" t="str">
        <x:v>Mar 2025</x:v>
      </x:c>
      <x:c r="D177" t="str">
        <x:v>Actual</x:v>
      </x:c>
      <x:c r="E177" t="str">
        <x:v>DB-104</x:v>
      </x:c>
      <x:c r="F177" t="str">
        <x:v>SunNest Cooling Towel</x:v>
      </x:c>
      <x:c r="G177" t="str">
        <x:v>Consumable repeat</x:v>
      </x:c>
      <x:c r="H177" t="str">
        <x:v>Summer peak</x:v>
      </x:c>
      <x:c r="I177" t="str">
        <x:v>Active</x:v>
      </x:c>
      <x:c r="J177" t="str">
        <x:v>Shopify DTC</x:v>
      </x:c>
      <x:c r="K177" t="str">
        <x:v>Consumer</x:v>
      </x:c>
      <x:c r="L177" t="str">
        <x:v>All Geographies</x:v>
      </x:c>
      <x:c r="M177" s="34" t="n">
        <x:v>2929</x:v>
      </x:c>
      <x:c r="N177" s="28" t="n">
        <x:v>0.03312</x:v>
      </x:c>
      <x:c r="O177" s="34" t="n">
        <x:v>97</x:v>
      </x:c>
      <x:c r="P177" s="34" t="n">
        <x:v>1</x:v>
      </x:c>
      <x:c r="Q177" s="34" t="n">
        <x:v>97</x:v>
      </x:c>
      <x:c r="R177" s="33" t="n">
        <x:v>42</x:v>
      </x:c>
      <x:c r="S177" s="38" t="n">
        <x:v>4.074</x:v>
      </x:c>
      <x:c r="T177" s="38" t="n">
        <x:v>0.32592</x:v>
      </x:c>
      <x:c r="U177" s="38" t="n">
        <x:v>0.18740400000000002</x:v>
      </x:c>
      <x:c r="V177" s="38" t="n">
        <x:v>3.560676</x:v>
      </x:c>
      <x:c r="W177" s="38" t="n">
        <x:v>1.45985</x:v>
      </x:c>
      <x:c r="X177" s="38" t="n">
        <x:v>0.103259604</x:v>
      </x:c>
      <x:c r="Y177" s="38" t="n">
        <x:v>0</x:v>
      </x:c>
      <x:c r="Z177" s="38" t="n">
        <x:v>0.40255</x:v>
      </x:c>
      <x:c r="AA177" s="38" t="n">
        <x:v>0.16004999999999997</x:v>
      </x:c>
      <x:c r="AB177" s="38" t="n">
        <x:v>0.0027159999999999997</x:v>
      </x:c>
      <x:c r="AC177" s="38" t="n">
        <x:v>1.4322503959999997</x:v>
      </x:c>
      <x:c r="AD177" s="28" t="n">
        <x:v>0.4022411463441211</x:v>
      </x:c>
    </x:row>
    <x:row r="178">
      <x:c r="A178" s="32" t="n">
        <x:v>45719</x:v>
      </x:c>
      <x:c r="B178" s="32" t="n">
        <x:v>45717</x:v>
      </x:c>
      <x:c r="C178" t="str">
        <x:v>Mar 2025</x:v>
      </x:c>
      <x:c r="D178" t="str">
        <x:v>Actual</x:v>
      </x:c>
      <x:c r="E178" t="str">
        <x:v>DB-104</x:v>
      </x:c>
      <x:c r="F178" t="str">
        <x:v>SunNest Cooling Towel</x:v>
      </x:c>
      <x:c r="G178" t="str">
        <x:v>Consumable repeat</x:v>
      </x:c>
      <x:c r="H178" t="str">
        <x:v>Summer peak</x:v>
      </x:c>
      <x:c r="I178" t="str">
        <x:v>Active</x:v>
      </x:c>
      <x:c r="J178" t="str">
        <x:v>Amazon Marketplace</x:v>
      </x:c>
      <x:c r="K178" t="str">
        <x:v>Marketplace Consumer</x:v>
      </x:c>
      <x:c r="L178" t="str">
        <x:v>All Geographies</x:v>
      </x:c>
      <x:c r="M178" s="34" t="n">
        <x:v>1464</x:v>
      </x:c>
      <x:c r="N178" s="28" t="n">
        <x:v>0.0390816</x:v>
      </x:c>
      <x:c r="O178" s="34" t="n">
        <x:v>57</x:v>
      </x:c>
      <x:c r="P178" s="34" t="n">
        <x:v>1</x:v>
      </x:c>
      <x:c r="Q178" s="34" t="n">
        <x:v>57</x:v>
      </x:c>
      <x:c r="R178" s="33" t="n">
        <x:v>42</x:v>
      </x:c>
      <x:c r="S178" s="38" t="n">
        <x:v>2.394</x:v>
      </x:c>
      <x:c r="T178" s="38" t="n">
        <x:v>0.11970000000000001</x:v>
      </x:c>
      <x:c r="U178" s="38" t="n">
        <x:v>0.11371500000000001</x:v>
      </x:c>
      <x:c r="V178" s="38" t="n">
        <x:v>2.160585</x:v>
      </x:c>
      <x:c r="W178" s="38" t="n">
        <x:v>0.85785</x:v>
      </x:c>
      <x:c r="X178" s="38" t="n">
        <x:v>0</x:v>
      </x:c>
      <x:c r="Y178" s="38" t="n">
        <x:v>0.32408775</x:v>
      </x:c>
      <x:c r="Z178" s="38" t="n">
        <x:v>0.29640000000000005</x:v>
      </x:c>
      <x:c r="AA178" s="38" t="n">
        <x:v>0.12254999999999999</x:v>
      </x:c>
      <x:c r="AB178" s="38" t="n">
        <x:v>0.001596</x:v>
      </x:c>
      <x:c r="AC178" s="38" t="n">
        <x:v>0.5581012500000001</x:v>
      </x:c>
      <x:c r="AD178" s="28" t="n">
        <x:v>0.25831024930747926</x:v>
      </x:c>
    </x:row>
    <x:row r="179">
      <x:c r="A179" s="32" t="n">
        <x:v>45719</x:v>
      </x:c>
      <x:c r="B179" s="32" t="n">
        <x:v>45717</x:v>
      </x:c>
      <x:c r="C179" t="str">
        <x:v>Mar 2025</x:v>
      </x:c>
      <x:c r="D179" t="str">
        <x:v>Actual</x:v>
      </x:c>
      <x:c r="E179" t="str">
        <x:v>DB-104</x:v>
      </x:c>
      <x:c r="F179" t="str">
        <x:v>SunNest Cooling Towel</x:v>
      </x:c>
      <x:c r="G179" t="str">
        <x:v>Consumable repeat</x:v>
      </x:c>
      <x:c r="H179" t="str">
        <x:v>Summer peak</x:v>
      </x:c>
      <x:c r="I179" t="str">
        <x:v>Active</x:v>
      </x:c>
      <x:c r="J179" t="str">
        <x:v>Wholesale</x:v>
      </x:c>
      <x:c r="K179" t="str">
        <x:v>Retailer</x:v>
      </x:c>
      <x:c r="L179" t="str">
        <x:v>All Geographies</x:v>
      </x:c>
      <x:c r="M179" s="34" t="n">
        <x:v>879</x:v>
      </x:c>
      <x:c r="N179" s="28" t="n">
        <x:v>0.018216000000000003</x:v>
      </x:c>
      <x:c r="O179" s="34" t="n">
        <x:v>16</x:v>
      </x:c>
      <x:c r="P179" s="34" t="n">
        <x:v>1</x:v>
      </x:c>
      <x:c r="Q179" s="34" t="n">
        <x:v>16</x:v>
      </x:c>
      <x:c r="R179" s="33" t="n">
        <x:v>42</x:v>
      </x:c>
      <x:c r="S179" s="38" t="n">
        <x:v>0.672</x:v>
      </x:c>
      <x:c r="T179" s="38" t="n">
        <x:v>0.2352</x:v>
      </x:c>
      <x:c r="U179" s="38" t="n">
        <x:v>0.021840000000000005</x:v>
      </x:c>
      <x:c r="V179" s="38" t="n">
        <x:v>0.41496000000000005</x:v>
      </x:c>
      <x:c r="W179" s="38" t="n">
        <x:v>0.24080000000000001</x:v>
      </x:c>
      <x:c r="X179" s="38" t="n">
        <x:v>0</x:v>
      </x:c>
      <x:c r="Y179" s="38" t="n">
        <x:v>0</x:v>
      </x:c>
      <x:c r="Z179" s="38" t="n">
        <x:v>0.0368</x:v>
      </x:c>
      <x:c r="AA179" s="38" t="n">
        <x:v>0.0136</x:v>
      </x:c>
      <x:c r="AB179" s="38" t="n">
        <x:v>0.00044799999999999994</x:v>
      </x:c>
      <x:c r="AC179" s="38" t="n">
        <x:v>0.12331200000000003</x:v>
      </x:c>
      <x:c r="AD179" s="28" t="n">
        <x:v>0.29716599190283405</x:v>
      </x:c>
    </x:row>
    <x:row r="180">
      <x:c r="A180" s="32" t="n">
        <x:v>45719</x:v>
      </x:c>
      <x:c r="B180" s="32" t="n">
        <x:v>45717</x:v>
      </x:c>
      <x:c r="C180" t="str">
        <x:v>Mar 2025</x:v>
      </x:c>
      <x:c r="D180" t="str">
        <x:v>Actual</x:v>
      </x:c>
      <x:c r="E180" t="str">
        <x:v>DB-104</x:v>
      </x:c>
      <x:c r="F180" t="str">
        <x:v>SunNest Cooling Towel</x:v>
      </x:c>
      <x:c r="G180" t="str">
        <x:v>Consumable repeat</x:v>
      </x:c>
      <x:c r="H180" t="str">
        <x:v>Summer peak</x:v>
      </x:c>
      <x:c r="I180" t="str">
        <x:v>Active</x:v>
      </x:c>
      <x:c r="J180" t="str">
        <x:v>TikTok Shop</x:v>
      </x:c>
      <x:c r="K180" t="str">
        <x:v>Social Commerce</x:v>
      </x:c>
      <x:c r="L180" t="str">
        <x:v>All Geographies</x:v>
      </x:c>
      <x:c r="M180" s="34" t="n">
        <x:v>586</x:v>
      </x:c>
      <x:c r="N180" s="28" t="n">
        <x:v>0.0417312</x:v>
      </x:c>
      <x:c r="O180" s="34" t="n">
        <x:v>24</x:v>
      </x:c>
      <x:c r="P180" s="34" t="n">
        <x:v>1</x:v>
      </x:c>
      <x:c r="Q180" s="34" t="n">
        <x:v>24</x:v>
      </x:c>
      <x:c r="R180" s="33" t="n">
        <x:v>42</x:v>
      </x:c>
      <x:c r="S180" s="38" t="n">
        <x:v>1.008</x:v>
      </x:c>
      <x:c r="T180" s="38" t="n">
        <x:v>0.12096</x:v>
      </x:c>
      <x:c r="U180" s="38" t="n">
        <x:v>0.044352</x:v>
      </x:c>
      <x:c r="V180" s="38" t="n">
        <x:v>0.8426880000000001</x:v>
      </x:c>
      <x:c r="W180" s="38" t="n">
        <x:v>0.3612</x:v>
      </x:c>
      <x:c r="X180" s="38" t="n">
        <x:v>0.024437952000000006</x:v>
      </x:c>
      <x:c r="Y180" s="38" t="n">
        <x:v>0.05056128000000001</x:v>
      </x:c>
      <x:c r="Z180" s="38" t="n">
        <x:v>0.1224</x:v>
      </x:c>
      <x:c r="AA180" s="38" t="n">
        <x:v>0.042</x:v>
      </x:c>
      <x:c r="AB180" s="38" t="n">
        <x:v>0.000672</x:v>
      </x:c>
      <x:c r="AC180" s="38" t="n">
        <x:v>0.2414167680000001</x:v>
      </x:c>
      <x:c r="AD180" s="28" t="n">
        <x:v>0.28648416495784923</x:v>
      </x:c>
    </x:row>
    <x:row r="181">
      <x:c r="A181" s="32" t="n">
        <x:v>45719</x:v>
      </x:c>
      <x:c r="B181" s="32" t="n">
        <x:v>45717</x:v>
      </x:c>
      <x:c r="C181" t="str">
        <x:v>Mar 2025</x:v>
      </x:c>
      <x:c r="D181" t="str">
        <x:v>Actual</x:v>
      </x:c>
      <x:c r="E181" t="str">
        <x:v>DB-105</x:v>
      </x:c>
      <x:c r="F181" t="str">
        <x:v>DreamFuel Refill Pack</x:v>
      </x:c>
      <x:c r="G181" t="str">
        <x:v>Subscription</x:v>
      </x:c>
      <x:c r="H181" t="str">
        <x:v>None</x:v>
      </x:c>
      <x:c r="I181" t="str">
        <x:v>Active</x:v>
      </x:c>
      <x:c r="J181" t="str">
        <x:v>Shopify DTC</x:v>
      </x:c>
      <x:c r="K181" t="str">
        <x:v>Consumer</x:v>
      </x:c>
      <x:c r="L181" t="str">
        <x:v>All Geographies</x:v>
      </x:c>
      <x:c r="M181" s="34" t="n">
        <x:v>3524</x:v>
      </x:c>
      <x:c r="N181" s="28" t="n">
        <x:v>0.03888</x:v>
      </x:c>
      <x:c r="O181" s="34" t="n">
        <x:v>137</x:v>
      </x:c>
      <x:c r="P181" s="34" t="n">
        <x:v>1</x:v>
      </x:c>
      <x:c r="Q181" s="34" t="n">
        <x:v>137</x:v>
      </x:c>
      <x:c r="R181" s="33" t="n">
        <x:v>56</x:v>
      </x:c>
      <x:c r="S181" s="38" t="n">
        <x:v>7.672</x:v>
      </x:c>
      <x:c r="T181" s="38" t="n">
        <x:v>0.61376</x:v>
      </x:c>
      <x:c r="U181" s="38" t="n">
        <x:v>0.1411648</x:v>
      </x:c>
      <x:c r="V181" s="38" t="n">
        <x:v>6.917075199999999</x:v>
      </x:c>
      <x:c r="W181" s="38" t="n">
        <x:v>2.55094</x:v>
      </x:c>
      <x:c r="X181" s="38" t="n">
        <x:v>0.2005951808</x:v>
      </x:c>
      <x:c r="Y181" s="38" t="n">
        <x:v>0</x:v>
      </x:c>
      <x:c r="Z181" s="38" t="n">
        <x:v>0.5685500000000001</x:v>
      </x:c>
      <x:c r="AA181" s="38" t="n">
        <x:v>0.22604999999999997</x:v>
      </x:c>
      <x:c r="AB181" s="38" t="n">
        <x:v>0.0004932000000000001</x:v>
      </x:c>
      <x:c r="AC181" s="38" t="n">
        <x:v>3.370446819199999</x:v>
      </x:c>
      <x:c r="AD181" s="28" t="n">
        <x:v>0.48726473570794765</x:v>
      </x:c>
    </x:row>
    <x:row r="182">
      <x:c r="A182" s="32" t="n">
        <x:v>45719</x:v>
      </x:c>
      <x:c r="B182" s="32" t="n">
        <x:v>45717</x:v>
      </x:c>
      <x:c r="C182" t="str">
        <x:v>Mar 2025</x:v>
      </x:c>
      <x:c r="D182" t="str">
        <x:v>Actual</x:v>
      </x:c>
      <x:c r="E182" t="str">
        <x:v>DB-105</x:v>
      </x:c>
      <x:c r="F182" t="str">
        <x:v>DreamFuel Refill Pack</x:v>
      </x:c>
      <x:c r="G182" t="str">
        <x:v>Subscription</x:v>
      </x:c>
      <x:c r="H182" t="str">
        <x:v>None</x:v>
      </x:c>
      <x:c r="I182" t="str">
        <x:v>Active</x:v>
      </x:c>
      <x:c r="J182" t="str">
        <x:v>Amazon Marketplace</x:v>
      </x:c>
      <x:c r="K182" t="str">
        <x:v>Marketplace Consumer</x:v>
      </x:c>
      <x:c r="L182" t="str">
        <x:v>All Geographies</x:v>
      </x:c>
      <x:c r="M182" s="34" t="n">
        <x:v>1762</x:v>
      </x:c>
      <x:c r="N182" s="28" t="n">
        <x:v>0.0458784</x:v>
      </x:c>
      <x:c r="O182" s="34" t="n">
        <x:v>81</x:v>
      </x:c>
      <x:c r="P182" s="34" t="n">
        <x:v>1</x:v>
      </x:c>
      <x:c r="Q182" s="34" t="n">
        <x:v>81</x:v>
      </x:c>
      <x:c r="R182" s="33" t="n">
        <x:v>56</x:v>
      </x:c>
      <x:c r="S182" s="38" t="n">
        <x:v>4.536</x:v>
      </x:c>
      <x:c r="T182" s="38" t="n">
        <x:v>0.2268</x:v>
      </x:c>
      <x:c r="U182" s="38" t="n">
        <x:v>0.086184</x:v>
      </x:c>
      <x:c r="V182" s="38" t="n">
        <x:v>4.223015999999999</x:v>
      </x:c>
      <x:c r="W182" s="38" t="n">
        <x:v>1.5082200000000001</x:v>
      </x:c>
      <x:c r="X182" s="38" t="n">
        <x:v>0</x:v>
      </x:c>
      <x:c r="Y182" s="38" t="n">
        <x:v>0.6334523999999999</x:v>
      </x:c>
      <x:c r="Z182" s="38" t="n">
        <x:v>0.42119999999999996</x:v>
      </x:c>
      <x:c r="AA182" s="38" t="n">
        <x:v>0.17415</x:v>
      </x:c>
      <x:c r="AB182" s="38" t="n">
        <x:v>0.0002916</x:v>
      </x:c>
      <x:c r="AC182" s="38" t="n">
        <x:v>1.4857019999999994</x:v>
      </x:c>
      <x:c r="AD182" s="28" t="n">
        <x:v>0.35181064907165865</x:v>
      </x:c>
    </x:row>
    <x:row r="183">
      <x:c r="A183" s="32" t="n">
        <x:v>45719</x:v>
      </x:c>
      <x:c r="B183" s="32" t="n">
        <x:v>45717</x:v>
      </x:c>
      <x:c r="C183" t="str">
        <x:v>Mar 2025</x:v>
      </x:c>
      <x:c r="D183" t="str">
        <x:v>Actual</x:v>
      </x:c>
      <x:c r="E183" t="str">
        <x:v>DB-105</x:v>
      </x:c>
      <x:c r="F183" t="str">
        <x:v>DreamFuel Refill Pack</x:v>
      </x:c>
      <x:c r="G183" t="str">
        <x:v>Subscription</x:v>
      </x:c>
      <x:c r="H183" t="str">
        <x:v>None</x:v>
      </x:c>
      <x:c r="I183" t="str">
        <x:v>Active</x:v>
      </x:c>
      <x:c r="J183" t="str">
        <x:v>Wholesale</x:v>
      </x:c>
      <x:c r="K183" t="str">
        <x:v>Retailer</x:v>
      </x:c>
      <x:c r="L183" t="str">
        <x:v>All Geographies</x:v>
      </x:c>
      <x:c r="M183" s="34" t="n">
        <x:v>1057</x:v>
      </x:c>
      <x:c r="N183" s="28" t="n">
        <x:v>0.021384000000000004</x:v>
      </x:c>
      <x:c r="O183" s="34" t="n">
        <x:v>23</x:v>
      </x:c>
      <x:c r="P183" s="34" t="n">
        <x:v>1</x:v>
      </x:c>
      <x:c r="Q183" s="34" t="n">
        <x:v>23</x:v>
      </x:c>
      <x:c r="R183" s="33" t="n">
        <x:v>56</x:v>
      </x:c>
      <x:c r="S183" s="38" t="n">
        <x:v>1.288</x:v>
      </x:c>
      <x:c r="T183" s="38" t="n">
        <x:v>0.4508</x:v>
      </x:c>
      <x:c r="U183" s="38" t="n">
        <x:v>0.016744000000000002</x:v>
      </x:c>
      <x:c r="V183" s="38" t="n">
        <x:v>0.8204560000000001</x:v>
      </x:c>
      <x:c r="W183" s="38" t="n">
        <x:v>0.42826000000000003</x:v>
      </x:c>
      <x:c r="X183" s="38" t="n">
        <x:v>0</x:v>
      </x:c>
      <x:c r="Y183" s="38" t="n">
        <x:v>0</x:v>
      </x:c>
      <x:c r="Z183" s="38" t="n">
        <x:v>0.052899999999999996</x:v>
      </x:c>
      <x:c r="AA183" s="38" t="n">
        <x:v>0.01955</x:v>
      </x:c>
      <x:c r="AB183" s="38" t="n">
        <x:v>0.0000828</x:v>
      </x:c>
      <x:c r="AC183" s="38" t="n">
        <x:v>0.31966320000000004</x:v>
      </x:c>
      <x:c r="AD183" s="28" t="n">
        <x:v>0.38961650594303654</x:v>
      </x:c>
    </x:row>
    <x:row r="184">
      <x:c r="A184" s="32" t="n">
        <x:v>45719</x:v>
      </x:c>
      <x:c r="B184" s="32" t="n">
        <x:v>45717</x:v>
      </x:c>
      <x:c r="C184" t="str">
        <x:v>Mar 2025</x:v>
      </x:c>
      <x:c r="D184" t="str">
        <x:v>Actual</x:v>
      </x:c>
      <x:c r="E184" t="str">
        <x:v>DB-105</x:v>
      </x:c>
      <x:c r="F184" t="str">
        <x:v>DreamFuel Refill Pack</x:v>
      </x:c>
      <x:c r="G184" t="str">
        <x:v>Subscription</x:v>
      </x:c>
      <x:c r="H184" t="str">
        <x:v>None</x:v>
      </x:c>
      <x:c r="I184" t="str">
        <x:v>Active</x:v>
      </x:c>
      <x:c r="J184" t="str">
        <x:v>TikTok Shop</x:v>
      </x:c>
      <x:c r="K184" t="str">
        <x:v>Social Commerce</x:v>
      </x:c>
      <x:c r="L184" t="str">
        <x:v>All Geographies</x:v>
      </x:c>
      <x:c r="M184" s="34" t="n">
        <x:v>705</x:v>
      </x:c>
      <x:c r="N184" s="28" t="n">
        <x:v>0.0489888</x:v>
      </x:c>
      <x:c r="O184" s="34" t="n">
        <x:v>35</x:v>
      </x:c>
      <x:c r="P184" s="34" t="n">
        <x:v>1</x:v>
      </x:c>
      <x:c r="Q184" s="34" t="n">
        <x:v>35</x:v>
      </x:c>
      <x:c r="R184" s="33" t="n">
        <x:v>56</x:v>
      </x:c>
      <x:c r="S184" s="38" t="n">
        <x:v>1.96</x:v>
      </x:c>
      <x:c r="T184" s="38" t="n">
        <x:v>0.2352</x:v>
      </x:c>
      <x:c r="U184" s="38" t="n">
        <x:v>0.034496</x:v>
      </x:c>
      <x:c r="V184" s="38" t="n">
        <x:v>1.6903039999999998</x:v>
      </x:c>
      <x:c r="W184" s="38" t="n">
        <x:v>0.6517000000000001</x:v>
      </x:c>
      <x:c r="X184" s="38" t="n">
        <x:v>0.049018816</x:v>
      </x:c>
      <x:c r="Y184" s="38" t="n">
        <x:v>0.10141823999999998</x:v>
      </x:c>
      <x:c r="Z184" s="38" t="n">
        <x:v>0.1785</x:v>
      </x:c>
      <x:c r="AA184" s="38" t="n">
        <x:v>0.06125</x:v>
      </x:c>
      <x:c r="AB184" s="38" t="n">
        <x:v>0.000126</x:v>
      </x:c>
      <x:c r="AC184" s="38" t="n">
        <x:v>0.6482909439999999</x:v>
      </x:c>
      <x:c r="AD184" s="28" t="n">
        <x:v>0.38353511794328116</x:v>
      </x:c>
    </x:row>
    <x:row r="185">
      <x:c r="A185" s="32" t="n">
        <x:v>45726</x:v>
      </x:c>
      <x:c r="B185" s="32" t="n">
        <x:v>45717</x:v>
      </x:c>
      <x:c r="C185" t="str">
        <x:v>Mar 2025</x:v>
      </x:c>
      <x:c r="D185" t="str">
        <x:v>Actual</x:v>
      </x:c>
      <x:c r="E185" t="str">
        <x:v>DB-101</x:v>
      </x:c>
      <x:c r="F185" t="str">
        <x:v>AeroSip Bottle</x:v>
      </x:c>
      <x:c r="G185" t="str">
        <x:v>One-time purchase</x:v>
      </x:c>
      <x:c r="H185" t="str">
        <x:v>None</x:v>
      </x:c>
      <x:c r="I185" t="str">
        <x:v>Active</x:v>
      </x:c>
      <x:c r="J185" t="str">
        <x:v>Shopify DTC</x:v>
      </x:c>
      <x:c r="K185" t="str">
        <x:v>Consumer</x:v>
      </x:c>
      <x:c r="L185" t="str">
        <x:v>All Geographies</x:v>
      </x:c>
      <x:c r="M185" s="34" t="n">
        <x:v>5111</x:v>
      </x:c>
      <x:c r="N185" s="28" t="n">
        <x:v>0.034199999999999994</x:v>
      </x:c>
      <x:c r="O185" s="34" t="n">
        <x:v>175</x:v>
      </x:c>
      <x:c r="P185" s="34" t="n">
        <x:v>1</x:v>
      </x:c>
      <x:c r="Q185" s="34" t="n">
        <x:v>175</x:v>
      </x:c>
      <x:c r="R185" s="33" t="n">
        <x:v>29</x:v>
      </x:c>
      <x:c r="S185" s="38" t="n">
        <x:v>5.075</x:v>
      </x:c>
      <x:c r="T185" s="38" t="n">
        <x:v>0.406</x:v>
      </x:c>
      <x:c r="U185" s="38" t="n">
        <x:v>0.21010500000000001</x:v>
      </x:c>
      <x:c r="V185" s="38" t="n">
        <x:v>4.458895</x:v>
      </x:c>
      <x:c r="W185" s="38" t="n">
        <x:v>1.8900000000000001</x:v>
      </x:c>
      <x:c r="X185" s="38" t="n">
        <x:v>0.129307955</x:v>
      </x:c>
      <x:c r="Y185" s="38" t="n">
        <x:v>0</x:v>
      </x:c>
      <x:c r="Z185" s="38" t="n">
        <x:v>0.7262500000000001</x:v>
      </x:c>
      <x:c r="AA185" s="38" t="n">
        <x:v>0.28875</x:v>
      </x:c>
      <x:c r="AB185" s="38" t="n">
        <x:v>0.006300000000000001</x:v>
      </x:c>
      <x:c r="AC185" s="38" t="n">
        <x:v>1.418287045</x:v>
      </x:c>
      <x:c r="AD185" s="28" t="n">
        <x:v>0.31808038650831655</x:v>
      </x:c>
    </x:row>
    <x:row r="186">
      <x:c r="A186" s="32" t="n">
        <x:v>45726</x:v>
      </x:c>
      <x:c r="B186" s="32" t="n">
        <x:v>45717</x:v>
      </x:c>
      <x:c r="C186" t="str">
        <x:v>Mar 2025</x:v>
      </x:c>
      <x:c r="D186" t="str">
        <x:v>Actual</x:v>
      </x:c>
      <x:c r="E186" t="str">
        <x:v>DB-101</x:v>
      </x:c>
      <x:c r="F186" t="str">
        <x:v>AeroSip Bottle</x:v>
      </x:c>
      <x:c r="G186" t="str">
        <x:v>One-time purchase</x:v>
      </x:c>
      <x:c r="H186" t="str">
        <x:v>None</x:v>
      </x:c>
      <x:c r="I186" t="str">
        <x:v>Active</x:v>
      </x:c>
      <x:c r="J186" t="str">
        <x:v>Amazon Marketplace</x:v>
      </x:c>
      <x:c r="K186" t="str">
        <x:v>Marketplace Consumer</x:v>
      </x:c>
      <x:c r="L186" t="str">
        <x:v>All Geographies</x:v>
      </x:c>
      <x:c r="M186" s="34" t="n">
        <x:v>2555</x:v>
      </x:c>
      <x:c r="N186" s="28" t="n">
        <x:v>0.040355999999999996</x:v>
      </x:c>
      <x:c r="O186" s="34" t="n">
        <x:v>103</x:v>
      </x:c>
      <x:c r="P186" s="34" t="n">
        <x:v>1</x:v>
      </x:c>
      <x:c r="Q186" s="34" t="n">
        <x:v>103</x:v>
      </x:c>
      <x:c r="R186" s="33" t="n">
        <x:v>29</x:v>
      </x:c>
      <x:c r="S186" s="38" t="n">
        <x:v>2.987</x:v>
      </x:c>
      <x:c r="T186" s="38" t="n">
        <x:v>0.14935</x:v>
      </x:c>
      <x:c r="U186" s="38" t="n">
        <x:v>0.12769425</x:v>
      </x:c>
      <x:c r="V186" s="38" t="n">
        <x:v>2.7099557499999998</x:v>
      </x:c>
      <x:c r="W186" s="38" t="n">
        <x:v>1.1124</x:v>
      </x:c>
      <x:c r="X186" s="38" t="n">
        <x:v>0</x:v>
      </x:c>
      <x:c r="Y186" s="38" t="n">
        <x:v>0.40649336249999996</x:v>
      </x:c>
      <x:c r="Z186" s="38" t="n">
        <x:v>0.5356000000000001</x:v>
      </x:c>
      <x:c r="AA186" s="38" t="n">
        <x:v>0.22144999999999998</x:v>
      </x:c>
      <x:c r="AB186" s="38" t="n">
        <x:v>0.0037080000000000004</x:v>
      </x:c>
      <x:c r="AC186" s="38" t="n">
        <x:v>0.43030438749999966</x:v>
      </x:c>
      <x:c r="AD186" s="28" t="n">
        <x:v>0.15878649955815688</x:v>
      </x:c>
    </x:row>
    <x:row r="187">
      <x:c r="A187" s="32" t="n">
        <x:v>45726</x:v>
      </x:c>
      <x:c r="B187" s="32" t="n">
        <x:v>45717</x:v>
      </x:c>
      <x:c r="C187" t="str">
        <x:v>Mar 2025</x:v>
      </x:c>
      <x:c r="D187" t="str">
        <x:v>Actual</x:v>
      </x:c>
      <x:c r="E187" t="str">
        <x:v>DB-101</x:v>
      </x:c>
      <x:c r="F187" t="str">
        <x:v>AeroSip Bottle</x:v>
      </x:c>
      <x:c r="G187" t="str">
        <x:v>One-time purchase</x:v>
      </x:c>
      <x:c r="H187" t="str">
        <x:v>None</x:v>
      </x:c>
      <x:c r="I187" t="str">
        <x:v>Active</x:v>
      </x:c>
      <x:c r="J187" t="str">
        <x:v>Wholesale</x:v>
      </x:c>
      <x:c r="K187" t="str">
        <x:v>Retailer</x:v>
      </x:c>
      <x:c r="L187" t="str">
        <x:v>All Geographies</x:v>
      </x:c>
      <x:c r="M187" s="34" t="n">
        <x:v>1533</x:v>
      </x:c>
      <x:c r="N187" s="28" t="n">
        <x:v>0.01881</x:v>
      </x:c>
      <x:c r="O187" s="34" t="n">
        <x:v>29</x:v>
      </x:c>
      <x:c r="P187" s="34" t="n">
        <x:v>1</x:v>
      </x:c>
      <x:c r="Q187" s="34" t="n">
        <x:v>29</x:v>
      </x:c>
      <x:c r="R187" s="33" t="n">
        <x:v>29</x:v>
      </x:c>
      <x:c r="S187" s="38" t="n">
        <x:v>0.841</x:v>
      </x:c>
      <x:c r="T187" s="38" t="n">
        <x:v>0.29434999999999995</x:v>
      </x:c>
      <x:c r="U187" s="38" t="n">
        <x:v>0.024599250000000003</x:v>
      </x:c>
      <x:c r="V187" s="38" t="n">
        <x:v>0.5220507500000001</x:v>
      </x:c>
      <x:c r="W187" s="38" t="n">
        <x:v>0.31320000000000003</x:v>
      </x:c>
      <x:c r="X187" s="38" t="n">
        <x:v>0</x:v>
      </x:c>
      <x:c r="Y187" s="38" t="n">
        <x:v>0</x:v>
      </x:c>
      <x:c r="Z187" s="38" t="n">
        <x:v>0.0667</x:v>
      </x:c>
      <x:c r="AA187" s="38" t="n">
        <x:v>0.02465</x:v>
      </x:c>
      <x:c r="AB187" s="38" t="n">
        <x:v>0.001044</x:v>
      </x:c>
      <x:c r="AC187" s="38" t="n">
        <x:v>0.1164567500000001</x:v>
      </x:c>
      <x:c r="AD187" s="28" t="n">
        <x:v>0.22307553432305205</x:v>
      </x:c>
    </x:row>
    <x:row r="188">
      <x:c r="A188" s="32" t="n">
        <x:v>45726</x:v>
      </x:c>
      <x:c r="B188" s="32" t="n">
        <x:v>45717</x:v>
      </x:c>
      <x:c r="C188" t="str">
        <x:v>Mar 2025</x:v>
      </x:c>
      <x:c r="D188" t="str">
        <x:v>Actual</x:v>
      </x:c>
      <x:c r="E188" t="str">
        <x:v>DB-101</x:v>
      </x:c>
      <x:c r="F188" t="str">
        <x:v>AeroSip Bottle</x:v>
      </x:c>
      <x:c r="G188" t="str">
        <x:v>One-time purchase</x:v>
      </x:c>
      <x:c r="H188" t="str">
        <x:v>None</x:v>
      </x:c>
      <x:c r="I188" t="str">
        <x:v>Active</x:v>
      </x:c>
      <x:c r="J188" t="str">
        <x:v>TikTok Shop</x:v>
      </x:c>
      <x:c r="K188" t="str">
        <x:v>Social Commerce</x:v>
      </x:c>
      <x:c r="L188" t="str">
        <x:v>All Geographies</x:v>
      </x:c>
      <x:c r="M188" s="34" t="n">
        <x:v>1022</x:v>
      </x:c>
      <x:c r="N188" s="28" t="n">
        <x:v>0.043092</x:v>
      </x:c>
      <x:c r="O188" s="34" t="n">
        <x:v>44</x:v>
      </x:c>
      <x:c r="P188" s="34" t="n">
        <x:v>1</x:v>
      </x:c>
      <x:c r="Q188" s="34" t="n">
        <x:v>44</x:v>
      </x:c>
      <x:c r="R188" s="33" t="n">
        <x:v>29</x:v>
      </x:c>
      <x:c r="S188" s="38" t="n">
        <x:v>1.276</x:v>
      </x:c>
      <x:c r="T188" s="38" t="n">
        <x:v>0.15312</x:v>
      </x:c>
      <x:c r="U188" s="38" t="n">
        <x:v>0.0505296</x:v>
      </x:c>
      <x:c r="V188" s="38" t="n">
        <x:v>1.0723504000000001</x:v>
      </x:c>
      <x:c r="W188" s="38" t="n">
        <x:v>0.47520000000000007</x:v>
      </x:c>
      <x:c r="X188" s="38" t="n">
        <x:v>0.031098161600000007</x:v>
      </x:c>
      <x:c r="Y188" s="38" t="n">
        <x:v>0.06434102400000001</x:v>
      </x:c>
      <x:c r="Z188" s="38" t="n">
        <x:v>0.2244</x:v>
      </x:c>
      <x:c r="AA188" s="38" t="n">
        <x:v>0.077</x:v>
      </x:c>
      <x:c r="AB188" s="38" t="n">
        <x:v>0.0015840000000000001</x:v>
      </x:c>
      <x:c r="AC188" s="38" t="n">
        <x:v>0.1987272144000001</x:v>
      </x:c>
      <x:c r="AD188" s="28" t="n">
        <x:v>0.18531928966502</x:v>
      </x:c>
    </x:row>
    <x:row r="189">
      <x:c r="A189" s="32" t="n">
        <x:v>45726</x:v>
      </x:c>
      <x:c r="B189" s="32" t="n">
        <x:v>45717</x:v>
      </x:c>
      <x:c r="C189" t="str">
        <x:v>Mar 2025</x:v>
      </x:c>
      <x:c r="D189" t="str">
        <x:v>Actual</x:v>
      </x:c>
      <x:c r="E189" t="str">
        <x:v>DB-102</x:v>
      </x:c>
      <x:c r="F189" t="str">
        <x:v>GlowPatch Balm</x:v>
      </x:c>
      <x:c r="G189" t="str">
        <x:v>Consumable repeat</x:v>
      </x:c>
      <x:c r="H189" t="str">
        <x:v>None</x:v>
      </x:c>
      <x:c r="I189" t="str">
        <x:v>Active</x:v>
      </x:c>
      <x:c r="J189" t="str">
        <x:v>Shopify DTC</x:v>
      </x:c>
      <x:c r="K189" t="str">
        <x:v>Consumer</x:v>
      </x:c>
      <x:c r="L189" t="str">
        <x:v>All Geographies</x:v>
      </x:c>
      <x:c r="M189" s="34" t="n">
        <x:v>4128</x:v>
      </x:c>
      <x:c r="N189" s="28" t="n">
        <x:v>0.04248</x:v>
      </x:c>
      <x:c r="O189" s="34" t="n">
        <x:v>175</x:v>
      </x:c>
      <x:c r="P189" s="34" t="n">
        <x:v>1</x:v>
      </x:c>
      <x:c r="Q189" s="34" t="n">
        <x:v>175</x:v>
      </x:c>
      <x:c r="R189" s="33" t="n">
        <x:v>18</x:v>
      </x:c>
      <x:c r="S189" s="38" t="n">
        <x:v>3.15</x:v>
      </x:c>
      <x:c r="T189" s="38" t="n">
        <x:v>0.252</x:v>
      </x:c>
      <x:c r="U189" s="38" t="n">
        <x:v>0.07245</x:v>
      </x:c>
      <x:c r="V189" s="38" t="n">
        <x:v>2.82555</x:v>
      </x:c>
      <x:c r="W189" s="38" t="n">
        <x:v>0.94675</x:v>
      </x:c>
      <x:c r="X189" s="38" t="n">
        <x:v>0.08194095</x:v>
      </x:c>
      <x:c r="Y189" s="38" t="n">
        <x:v>0</x:v>
      </x:c>
      <x:c r="Z189" s="38" t="n">
        <x:v>0.7262500000000001</x:v>
      </x:c>
      <x:c r="AA189" s="38" t="n">
        <x:v>0.28875</x:v>
      </x:c>
      <x:c r="AB189" s="38" t="n">
        <x:v>0.0010500000000000002</x:v>
      </x:c>
      <x:c r="AC189" s="38" t="n">
        <x:v>0.7808090499999998</x:v>
      </x:c>
      <x:c r="AD189" s="28" t="n">
        <x:v>0.2763387835996531</x:v>
      </x:c>
    </x:row>
    <x:row r="190">
      <x:c r="A190" s="32" t="n">
        <x:v>45726</x:v>
      </x:c>
      <x:c r="B190" s="32" t="n">
        <x:v>45717</x:v>
      </x:c>
      <x:c r="C190" t="str">
        <x:v>Mar 2025</x:v>
      </x:c>
      <x:c r="D190" t="str">
        <x:v>Actual</x:v>
      </x:c>
      <x:c r="E190" t="str">
        <x:v>DB-102</x:v>
      </x:c>
      <x:c r="F190" t="str">
        <x:v>GlowPatch Balm</x:v>
      </x:c>
      <x:c r="G190" t="str">
        <x:v>Consumable repeat</x:v>
      </x:c>
      <x:c r="H190" t="str">
        <x:v>None</x:v>
      </x:c>
      <x:c r="I190" t="str">
        <x:v>Active</x:v>
      </x:c>
      <x:c r="J190" t="str">
        <x:v>Amazon Marketplace</x:v>
      </x:c>
      <x:c r="K190" t="str">
        <x:v>Marketplace Consumer</x:v>
      </x:c>
      <x:c r="L190" t="str">
        <x:v>All Geographies</x:v>
      </x:c>
      <x:c r="M190" s="34" t="n">
        <x:v>2064</x:v>
      </x:c>
      <x:c r="N190" s="28" t="n">
        <x:v>0.050126399999999995</x:v>
      </x:c>
      <x:c r="O190" s="34" t="n">
        <x:v>103</x:v>
      </x:c>
      <x:c r="P190" s="34" t="n">
        <x:v>1</x:v>
      </x:c>
      <x:c r="Q190" s="34" t="n">
        <x:v>103</x:v>
      </x:c>
      <x:c r="R190" s="33" t="n">
        <x:v>18</x:v>
      </x:c>
      <x:c r="S190" s="38" t="n">
        <x:v>1.854</x:v>
      </x:c>
      <x:c r="T190" s="38" t="n">
        <x:v>0.0927</x:v>
      </x:c>
      <x:c r="U190" s="38" t="n">
        <x:v>0.0440325</x:v>
      </x:c>
      <x:c r="V190" s="38" t="n">
        <x:v>1.7172675000000002</x:v>
      </x:c>
      <x:c r="W190" s="38" t="n">
        <x:v>0.55723</x:v>
      </x:c>
      <x:c r="X190" s="38" t="n">
        <x:v>0</x:v>
      </x:c>
      <x:c r="Y190" s="38" t="n">
        <x:v>0.257590125</x:v>
      </x:c>
      <x:c r="Z190" s="38" t="n">
        <x:v>0.5356000000000001</x:v>
      </x:c>
      <x:c r="AA190" s="38" t="n">
        <x:v>0.22144999999999998</x:v>
      </x:c>
      <x:c r="AB190" s="38" t="n">
        <x:v>0.0006180000000000001</x:v>
      </x:c>
      <x:c r="AC190" s="38" t="n">
        <x:v>0.144779375</x:v>
      </x:c>
      <x:c r="AD190" s="28" t="n">
        <x:v>0.08430799220272903</x:v>
      </x:c>
    </x:row>
    <x:row r="191">
      <x:c r="A191" s="32" t="n">
        <x:v>45726</x:v>
      </x:c>
      <x:c r="B191" s="32" t="n">
        <x:v>45717</x:v>
      </x:c>
      <x:c r="C191" t="str">
        <x:v>Mar 2025</x:v>
      </x:c>
      <x:c r="D191" t="str">
        <x:v>Actual</x:v>
      </x:c>
      <x:c r="E191" t="str">
        <x:v>DB-102</x:v>
      </x:c>
      <x:c r="F191" t="str">
        <x:v>GlowPatch Balm</x:v>
      </x:c>
      <x:c r="G191" t="str">
        <x:v>Consumable repeat</x:v>
      </x:c>
      <x:c r="H191" t="str">
        <x:v>None</x:v>
      </x:c>
      <x:c r="I191" t="str">
        <x:v>Active</x:v>
      </x:c>
      <x:c r="J191" t="str">
        <x:v>Wholesale</x:v>
      </x:c>
      <x:c r="K191" t="str">
        <x:v>Retailer</x:v>
      </x:c>
      <x:c r="L191" t="str">
        <x:v>All Geographies</x:v>
      </x:c>
      <x:c r="M191" s="34" t="n">
        <x:v>1238</x:v>
      </x:c>
      <x:c r="N191" s="28" t="n">
        <x:v>0.023364</x:v>
      </x:c>
      <x:c r="O191" s="34" t="n">
        <x:v>29</x:v>
      </x:c>
      <x:c r="P191" s="34" t="n">
        <x:v>1</x:v>
      </x:c>
      <x:c r="Q191" s="34" t="n">
        <x:v>29</x:v>
      </x:c>
      <x:c r="R191" s="33" t="n">
        <x:v>18</x:v>
      </x:c>
      <x:c r="S191" s="38" t="n">
        <x:v>0.522</x:v>
      </x:c>
      <x:c r="T191" s="38" t="n">
        <x:v>0.1827</x:v>
      </x:c>
      <x:c r="U191" s="38" t="n">
        <x:v>0.008482500000000002</x:v>
      </x:c>
      <x:c r="V191" s="38" t="n">
        <x:v>0.33081750000000004</x:v>
      </x:c>
      <x:c r="W191" s="38" t="n">
        <x:v>0.15689</x:v>
      </x:c>
      <x:c r="X191" s="38" t="n">
        <x:v>0</x:v>
      </x:c>
      <x:c r="Y191" s="38" t="n">
        <x:v>0</x:v>
      </x:c>
      <x:c r="Z191" s="38" t="n">
        <x:v>0.0667</x:v>
      </x:c>
      <x:c r="AA191" s="38" t="n">
        <x:v>0.02465</x:v>
      </x:c>
      <x:c r="AB191" s="38" t="n">
        <x:v>0.00017400000000000003</x:v>
      </x:c>
      <x:c r="AC191" s="38" t="n">
        <x:v>0.08240350000000006</x:v>
      </x:c>
      <x:c r="AD191" s="28" t="n">
        <x:v>0.2490905106289723</x:v>
      </x:c>
    </x:row>
    <x:row r="192">
      <x:c r="A192" s="32" t="n">
        <x:v>45726</x:v>
      </x:c>
      <x:c r="B192" s="32" t="n">
        <x:v>45717</x:v>
      </x:c>
      <x:c r="C192" t="str">
        <x:v>Mar 2025</x:v>
      </x:c>
      <x:c r="D192" t="str">
        <x:v>Actual</x:v>
      </x:c>
      <x:c r="E192" t="str">
        <x:v>DB-102</x:v>
      </x:c>
      <x:c r="F192" t="str">
        <x:v>GlowPatch Balm</x:v>
      </x:c>
      <x:c r="G192" t="str">
        <x:v>Consumable repeat</x:v>
      </x:c>
      <x:c r="H192" t="str">
        <x:v>None</x:v>
      </x:c>
      <x:c r="I192" t="str">
        <x:v>Active</x:v>
      </x:c>
      <x:c r="J192" t="str">
        <x:v>TikTok Shop</x:v>
      </x:c>
      <x:c r="K192" t="str">
        <x:v>Social Commerce</x:v>
      </x:c>
      <x:c r="L192" t="str">
        <x:v>All Geographies</x:v>
      </x:c>
      <x:c r="M192" s="34" t="n">
        <x:v>826</x:v>
      </x:c>
      <x:c r="N192" s="28" t="n">
        <x:v>0.0535248</x:v>
      </x:c>
      <x:c r="O192" s="34" t="n">
        <x:v>44</x:v>
      </x:c>
      <x:c r="P192" s="34" t="n">
        <x:v>1</x:v>
      </x:c>
      <x:c r="Q192" s="34" t="n">
        <x:v>44</x:v>
      </x:c>
      <x:c r="R192" s="33" t="n">
        <x:v>18</x:v>
      </x:c>
      <x:c r="S192" s="38" t="n">
        <x:v>0.792</x:v>
      </x:c>
      <x:c r="T192" s="38" t="n">
        <x:v>0.09504</x:v>
      </x:c>
      <x:c r="U192" s="38" t="n">
        <x:v>0.017424000000000002</x:v>
      </x:c>
      <x:c r="V192" s="38" t="n">
        <x:v>0.679536</x:v>
      </x:c>
      <x:c r="W192" s="38" t="n">
        <x:v>0.23804000000000003</x:v>
      </x:c>
      <x:c r="X192" s="38" t="n">
        <x:v>0.019706544000000003</x:v>
      </x:c>
      <x:c r="Y192" s="38" t="n">
        <x:v>0.04077216</x:v>
      </x:c>
      <x:c r="Z192" s="38" t="n">
        <x:v>0.2244</x:v>
      </x:c>
      <x:c r="AA192" s="38" t="n">
        <x:v>0.077</x:v>
      </x:c>
      <x:c r="AB192" s="38" t="n">
        <x:v>0.000264</x:v>
      </x:c>
      <x:c r="AC192" s="38" t="n">
        <x:v>0.07935329600000002</x:v>
      </x:c>
      <x:c r="AD192" s="28" t="n">
        <x:v>0.1167757057757058</x:v>
      </x:c>
    </x:row>
    <x:row r="193">
      <x:c r="A193" s="32" t="n">
        <x:v>45726</x:v>
      </x:c>
      <x:c r="B193" s="32" t="n">
        <x:v>45717</x:v>
      </x:c>
      <x:c r="C193" t="str">
        <x:v>Mar 2025</x:v>
      </x:c>
      <x:c r="D193" t="str">
        <x:v>Actual</x:v>
      </x:c>
      <x:c r="E193" t="str">
        <x:v>DB-103</x:v>
      </x:c>
      <x:c r="F193" t="str">
        <x:v>EmberTrail Camp Mug</x:v>
      </x:c>
      <x:c r="G193" t="str">
        <x:v>One-time purchase</x:v>
      </x:c>
      <x:c r="H193" t="str">
        <x:v>Winter peak</x:v>
      </x:c>
      <x:c r="I193" t="str">
        <x:v>Active</x:v>
      </x:c>
      <x:c r="J193" t="str">
        <x:v>Shopify DTC</x:v>
      </x:c>
      <x:c r="K193" t="str">
        <x:v>Consumer</x:v>
      </x:c>
      <x:c r="L193" t="str">
        <x:v>All Geographies</x:v>
      </x:c>
      <x:c r="M193" s="34" t="n">
        <x:v>3255</x:v>
      </x:c>
      <x:c r="N193" s="28" t="n">
        <x:v>0.0324</x:v>
      </x:c>
      <x:c r="O193" s="34" t="n">
        <x:v>105</x:v>
      </x:c>
      <x:c r="P193" s="34" t="n">
        <x:v>1</x:v>
      </x:c>
      <x:c r="Q193" s="34" t="n">
        <x:v>105</x:v>
      </x:c>
      <x:c r="R193" s="33" t="n">
        <x:v>34</x:v>
      </x:c>
      <x:c r="S193" s="38" t="n">
        <x:v>3.57</x:v>
      </x:c>
      <x:c r="T193" s="38" t="n">
        <x:v>0.2856</x:v>
      </x:c>
      <x:c r="U193" s="38" t="n">
        <x:v>0.180642</x:v>
      </x:c>
      <x:c r="V193" s="38" t="n">
        <x:v>3.1037579999999996</x:v>
      </x:c>
      <x:c r="W193" s="38" t="n">
        <x:v>1.43535</x:v>
      </x:c>
      <x:c r="X193" s="38" t="n">
        <x:v>0.09000898199999999</x:v>
      </x:c>
      <x:c r="Y193" s="38" t="n">
        <x:v>0</x:v>
      </x:c>
      <x:c r="Z193" s="38" t="n">
        <x:v>0.4357500000000001</x:v>
      </x:c>
      <x:c r="AA193" s="38" t="n">
        <x:v>0.17325</x:v>
      </x:c>
      <x:c r="AB193" s="38" t="n">
        <x:v>0.00588</x:v>
      </x:c>
      <x:c r="AC193" s="38" t="n">
        <x:v>0.9635190179999995</x:v>
      </x:c>
      <x:c r="AD193" s="28" t="n">
        <x:v>0.31043625759482524</x:v>
      </x:c>
    </x:row>
    <x:row r="194">
      <x:c r="A194" s="32" t="n">
        <x:v>45726</x:v>
      </x:c>
      <x:c r="B194" s="32" t="n">
        <x:v>45717</x:v>
      </x:c>
      <x:c r="C194" t="str">
        <x:v>Mar 2025</x:v>
      </x:c>
      <x:c r="D194" t="str">
        <x:v>Actual</x:v>
      </x:c>
      <x:c r="E194" t="str">
        <x:v>DB-103</x:v>
      </x:c>
      <x:c r="F194" t="str">
        <x:v>EmberTrail Camp Mug</x:v>
      </x:c>
      <x:c r="G194" t="str">
        <x:v>One-time purchase</x:v>
      </x:c>
      <x:c r="H194" t="str">
        <x:v>Winter peak</x:v>
      </x:c>
      <x:c r="I194" t="str">
        <x:v>Active</x:v>
      </x:c>
      <x:c r="J194" t="str">
        <x:v>Amazon Marketplace</x:v>
      </x:c>
      <x:c r="K194" t="str">
        <x:v>Marketplace Consumer</x:v>
      </x:c>
      <x:c r="L194" t="str">
        <x:v>All Geographies</x:v>
      </x:c>
      <x:c r="M194" s="34" t="n">
        <x:v>1628</x:v>
      </x:c>
      <x:c r="N194" s="28" t="n">
        <x:v>0.038231999999999995</x:v>
      </x:c>
      <x:c r="O194" s="34" t="n">
        <x:v>62</x:v>
      </x:c>
      <x:c r="P194" s="34" t="n">
        <x:v>1</x:v>
      </x:c>
      <x:c r="Q194" s="34" t="n">
        <x:v>62</x:v>
      </x:c>
      <x:c r="R194" s="33" t="n">
        <x:v>34</x:v>
      </x:c>
      <x:c r="S194" s="38" t="n">
        <x:v>2.108</x:v>
      </x:c>
      <x:c r="T194" s="38" t="n">
        <x:v>0.10540000000000001</x:v>
      </x:c>
      <x:c r="U194" s="38" t="n">
        <x:v>0.110143</x:v>
      </x:c>
      <x:c r="V194" s="38" t="n">
        <x:v>1.892457</x:v>
      </x:c>
      <x:c r="W194" s="38" t="n">
        <x:v>0.84754</x:v>
      </x:c>
      <x:c r="X194" s="38" t="n">
        <x:v>0</x:v>
      </x:c>
      <x:c r="Y194" s="38" t="n">
        <x:v>0.28386855</x:v>
      </x:c>
      <x:c r="Z194" s="38" t="n">
        <x:v>0.3224</x:v>
      </x:c>
      <x:c r="AA194" s="38" t="n">
        <x:v>0.13329999999999997</x:v>
      </x:c>
      <x:c r="AB194" s="38" t="n">
        <x:v>0.003472</x:v>
      </x:c>
      <x:c r="AC194" s="38" t="n">
        <x:v>0.30187645000000013</x:v>
      </x:c>
      <x:c r="AD194" s="28" t="n">
        <x:v>0.1595156191131424</x:v>
      </x:c>
    </x:row>
    <x:row r="195">
      <x:c r="A195" s="32" t="n">
        <x:v>45726</x:v>
      </x:c>
      <x:c r="B195" s="32" t="n">
        <x:v>45717</x:v>
      </x:c>
      <x:c r="C195" t="str">
        <x:v>Mar 2025</x:v>
      </x:c>
      <x:c r="D195" t="str">
        <x:v>Actual</x:v>
      </x:c>
      <x:c r="E195" t="str">
        <x:v>DB-103</x:v>
      </x:c>
      <x:c r="F195" t="str">
        <x:v>EmberTrail Camp Mug</x:v>
      </x:c>
      <x:c r="G195" t="str">
        <x:v>One-time purchase</x:v>
      </x:c>
      <x:c r="H195" t="str">
        <x:v>Winter peak</x:v>
      </x:c>
      <x:c r="I195" t="str">
        <x:v>Active</x:v>
      </x:c>
      <x:c r="J195" t="str">
        <x:v>Wholesale</x:v>
      </x:c>
      <x:c r="K195" t="str">
        <x:v>Retailer</x:v>
      </x:c>
      <x:c r="L195" t="str">
        <x:v>All Geographies</x:v>
      </x:c>
      <x:c r="M195" s="34" t="n">
        <x:v>977</x:v>
      </x:c>
      <x:c r="N195" s="28" t="n">
        <x:v>0.017820000000000003</x:v>
      </x:c>
      <x:c r="O195" s="34" t="n">
        <x:v>17</x:v>
      </x:c>
      <x:c r="P195" s="34" t="n">
        <x:v>1</x:v>
      </x:c>
      <x:c r="Q195" s="34" t="n">
        <x:v>17</x:v>
      </x:c>
      <x:c r="R195" s="33" t="n">
        <x:v>34</x:v>
      </x:c>
      <x:c r="S195" s="38" t="n">
        <x:v>0.578</x:v>
      </x:c>
      <x:c r="T195" s="38" t="n">
        <x:v>0.20229999999999998</x:v>
      </x:c>
      <x:c r="U195" s="38" t="n">
        <x:v>0.020663499999999998</x:v>
      </x:c>
      <x:c r="V195" s="38" t="n">
        <x:v>0.3550365</x:v>
      </x:c>
      <x:c r="W195" s="38" t="n">
        <x:v>0.23238999999999999</x:v>
      </x:c>
      <x:c r="X195" s="38" t="n">
        <x:v>0</x:v>
      </x:c>
      <x:c r="Y195" s="38" t="n">
        <x:v>0</x:v>
      </x:c>
      <x:c r="Z195" s="38" t="n">
        <x:v>0.039099999999999996</x:v>
      </x:c>
      <x:c r="AA195" s="38" t="n">
        <x:v>0.01445</x:v>
      </x:c>
      <x:c r="AB195" s="38" t="n">
        <x:v>0.000952</x:v>
      </x:c>
      <x:c r="AC195" s="38" t="n">
        <x:v>0.0681445</x:v>
      </x:c>
      <x:c r="AD195" s="28" t="n">
        <x:v>0.19193660370130958</x:v>
      </x:c>
    </x:row>
    <x:row r="196">
      <x:c r="A196" s="32" t="n">
        <x:v>45726</x:v>
      </x:c>
      <x:c r="B196" s="32" t="n">
        <x:v>45717</x:v>
      </x:c>
      <x:c r="C196" t="str">
        <x:v>Mar 2025</x:v>
      </x:c>
      <x:c r="D196" t="str">
        <x:v>Actual</x:v>
      </x:c>
      <x:c r="E196" t="str">
        <x:v>DB-103</x:v>
      </x:c>
      <x:c r="F196" t="str">
        <x:v>EmberTrail Camp Mug</x:v>
      </x:c>
      <x:c r="G196" t="str">
        <x:v>One-time purchase</x:v>
      </x:c>
      <x:c r="H196" t="str">
        <x:v>Winter peak</x:v>
      </x:c>
      <x:c r="I196" t="str">
        <x:v>Active</x:v>
      </x:c>
      <x:c r="J196" t="str">
        <x:v>TikTok Shop</x:v>
      </x:c>
      <x:c r="K196" t="str">
        <x:v>Social Commerce</x:v>
      </x:c>
      <x:c r="L196" t="str">
        <x:v>All Geographies</x:v>
      </x:c>
      <x:c r="M196" s="34" t="n">
        <x:v>651</x:v>
      </x:c>
      <x:c r="N196" s="28" t="n">
        <x:v>0.040824</x:v>
      </x:c>
      <x:c r="O196" s="34" t="n">
        <x:v>27</x:v>
      </x:c>
      <x:c r="P196" s="34" t="n">
        <x:v>1</x:v>
      </x:c>
      <x:c r="Q196" s="34" t="n">
        <x:v>27</x:v>
      </x:c>
      <x:c r="R196" s="33" t="n">
        <x:v>34</x:v>
      </x:c>
      <x:c r="S196" s="38" t="n">
        <x:v>0.918</x:v>
      </x:c>
      <x:c r="T196" s="38" t="n">
        <x:v>0.11016</x:v>
      </x:c>
      <x:c r="U196" s="38" t="n">
        <x:v>0.0444312</x:v>
      </x:c>
      <x:c r="V196" s="38" t="n">
        <x:v>0.7634088</x:v>
      </x:c>
      <x:c r="W196" s="38" t="n">
        <x:v>0.36909</x:v>
      </x:c>
      <x:c r="X196" s="38" t="n">
        <x:v>0.0221388552</x:v>
      </x:c>
      <x:c r="Y196" s="38" t="n">
        <x:v>0.045804528</x:v>
      </x:c>
      <x:c r="Z196" s="38" t="n">
        <x:v>0.1377</x:v>
      </x:c>
      <x:c r="AA196" s="38" t="n">
        <x:v>0.04725</x:v>
      </x:c>
      <x:c r="AB196" s="38" t="n">
        <x:v>0.001512</x:v>
      </x:c>
      <x:c r="AC196" s="38" t="n">
        <x:v>0.13991341680000002</x:v>
      </x:c>
      <x:c r="AD196" s="28" t="n">
        <x:v>0.18327456639221348</x:v>
      </x:c>
    </x:row>
    <x:row r="197">
      <x:c r="A197" s="32" t="n">
        <x:v>45726</x:v>
      </x:c>
      <x:c r="B197" s="32" t="n">
        <x:v>45717</x:v>
      </x:c>
      <x:c r="C197" t="str">
        <x:v>Mar 2025</x:v>
      </x:c>
      <x:c r="D197" t="str">
        <x:v>Actual</x:v>
      </x:c>
      <x:c r="E197" t="str">
        <x:v>DB-104</x:v>
      </x:c>
      <x:c r="F197" t="str">
        <x:v>SunNest Cooling Towel</x:v>
      </x:c>
      <x:c r="G197" t="str">
        <x:v>Consumable repeat</x:v>
      </x:c>
      <x:c r="H197" t="str">
        <x:v>Summer peak</x:v>
      </x:c>
      <x:c r="I197" t="str">
        <x:v>Active</x:v>
      </x:c>
      <x:c r="J197" t="str">
        <x:v>Shopify DTC</x:v>
      </x:c>
      <x:c r="K197" t="str">
        <x:v>Consumer</x:v>
      </x:c>
      <x:c r="L197" t="str">
        <x:v>All Geographies</x:v>
      </x:c>
      <x:c r="M197" s="34" t="n">
        <x:v>2941</x:v>
      </x:c>
      <x:c r="N197" s="28" t="n">
        <x:v>0.03312</x:v>
      </x:c>
      <x:c r="O197" s="34" t="n">
        <x:v>97</x:v>
      </x:c>
      <x:c r="P197" s="34" t="n">
        <x:v>1</x:v>
      </x:c>
      <x:c r="Q197" s="34" t="n">
        <x:v>97</x:v>
      </x:c>
      <x:c r="R197" s="33" t="n">
        <x:v>42</x:v>
      </x:c>
      <x:c r="S197" s="38" t="n">
        <x:v>4.074</x:v>
      </x:c>
      <x:c r="T197" s="38" t="n">
        <x:v>0.32592</x:v>
      </x:c>
      <x:c r="U197" s="38" t="n">
        <x:v>0.18740400000000002</x:v>
      </x:c>
      <x:c r="V197" s="38" t="n">
        <x:v>3.560676</x:v>
      </x:c>
      <x:c r="W197" s="38" t="n">
        <x:v>1.45985</x:v>
      </x:c>
      <x:c r="X197" s="38" t="n">
        <x:v>0.103259604</x:v>
      </x:c>
      <x:c r="Y197" s="38" t="n">
        <x:v>0</x:v>
      </x:c>
      <x:c r="Z197" s="38" t="n">
        <x:v>0.40255</x:v>
      </x:c>
      <x:c r="AA197" s="38" t="n">
        <x:v>0.16004999999999997</x:v>
      </x:c>
      <x:c r="AB197" s="38" t="n">
        <x:v>0.0027159999999999997</x:v>
      </x:c>
      <x:c r="AC197" s="38" t="n">
        <x:v>1.4322503959999997</x:v>
      </x:c>
      <x:c r="AD197" s="28" t="n">
        <x:v>0.4022411463441211</x:v>
      </x:c>
    </x:row>
    <x:row r="198">
      <x:c r="A198" s="32" t="n">
        <x:v>45726</x:v>
      </x:c>
      <x:c r="B198" s="32" t="n">
        <x:v>45717</x:v>
      </x:c>
      <x:c r="C198" t="str">
        <x:v>Mar 2025</x:v>
      </x:c>
      <x:c r="D198" t="str">
        <x:v>Actual</x:v>
      </x:c>
      <x:c r="E198" t="str">
        <x:v>DB-104</x:v>
      </x:c>
      <x:c r="F198" t="str">
        <x:v>SunNest Cooling Towel</x:v>
      </x:c>
      <x:c r="G198" t="str">
        <x:v>Consumable repeat</x:v>
      </x:c>
      <x:c r="H198" t="str">
        <x:v>Summer peak</x:v>
      </x:c>
      <x:c r="I198" t="str">
        <x:v>Active</x:v>
      </x:c>
      <x:c r="J198" t="str">
        <x:v>Amazon Marketplace</x:v>
      </x:c>
      <x:c r="K198" t="str">
        <x:v>Marketplace Consumer</x:v>
      </x:c>
      <x:c r="L198" t="str">
        <x:v>All Geographies</x:v>
      </x:c>
      <x:c r="M198" s="34" t="n">
        <x:v>1470</x:v>
      </x:c>
      <x:c r="N198" s="28" t="n">
        <x:v>0.0390816</x:v>
      </x:c>
      <x:c r="O198" s="34" t="n">
        <x:v>57</x:v>
      </x:c>
      <x:c r="P198" s="34" t="n">
        <x:v>1</x:v>
      </x:c>
      <x:c r="Q198" s="34" t="n">
        <x:v>57</x:v>
      </x:c>
      <x:c r="R198" s="33" t="n">
        <x:v>42</x:v>
      </x:c>
      <x:c r="S198" s="38" t="n">
        <x:v>2.394</x:v>
      </x:c>
      <x:c r="T198" s="38" t="n">
        <x:v>0.11970000000000001</x:v>
      </x:c>
      <x:c r="U198" s="38" t="n">
        <x:v>0.11371500000000001</x:v>
      </x:c>
      <x:c r="V198" s="38" t="n">
        <x:v>2.160585</x:v>
      </x:c>
      <x:c r="W198" s="38" t="n">
        <x:v>0.85785</x:v>
      </x:c>
      <x:c r="X198" s="38" t="n">
        <x:v>0</x:v>
      </x:c>
      <x:c r="Y198" s="38" t="n">
        <x:v>0.32408775</x:v>
      </x:c>
      <x:c r="Z198" s="38" t="n">
        <x:v>0.29640000000000005</x:v>
      </x:c>
      <x:c r="AA198" s="38" t="n">
        <x:v>0.12254999999999999</x:v>
      </x:c>
      <x:c r="AB198" s="38" t="n">
        <x:v>0.001596</x:v>
      </x:c>
      <x:c r="AC198" s="38" t="n">
        <x:v>0.5581012500000001</x:v>
      </x:c>
      <x:c r="AD198" s="28" t="n">
        <x:v>0.25831024930747926</x:v>
      </x:c>
    </x:row>
    <x:row r="199">
      <x:c r="A199" s="32" t="n">
        <x:v>45726</x:v>
      </x:c>
      <x:c r="B199" s="32" t="n">
        <x:v>45717</x:v>
      </x:c>
      <x:c r="C199" t="str">
        <x:v>Mar 2025</x:v>
      </x:c>
      <x:c r="D199" t="str">
        <x:v>Actual</x:v>
      </x:c>
      <x:c r="E199" t="str">
        <x:v>DB-104</x:v>
      </x:c>
      <x:c r="F199" t="str">
        <x:v>SunNest Cooling Towel</x:v>
      </x:c>
      <x:c r="G199" t="str">
        <x:v>Consumable repeat</x:v>
      </x:c>
      <x:c r="H199" t="str">
        <x:v>Summer peak</x:v>
      </x:c>
      <x:c r="I199" t="str">
        <x:v>Active</x:v>
      </x:c>
      <x:c r="J199" t="str">
        <x:v>Wholesale</x:v>
      </x:c>
      <x:c r="K199" t="str">
        <x:v>Retailer</x:v>
      </x:c>
      <x:c r="L199" t="str">
        <x:v>All Geographies</x:v>
      </x:c>
      <x:c r="M199" s="34" t="n">
        <x:v>882</x:v>
      </x:c>
      <x:c r="N199" s="28" t="n">
        <x:v>0.018216000000000003</x:v>
      </x:c>
      <x:c r="O199" s="34" t="n">
        <x:v>16</x:v>
      </x:c>
      <x:c r="P199" s="34" t="n">
        <x:v>1</x:v>
      </x:c>
      <x:c r="Q199" s="34" t="n">
        <x:v>16</x:v>
      </x:c>
      <x:c r="R199" s="33" t="n">
        <x:v>42</x:v>
      </x:c>
      <x:c r="S199" s="38" t="n">
        <x:v>0.672</x:v>
      </x:c>
      <x:c r="T199" s="38" t="n">
        <x:v>0.2352</x:v>
      </x:c>
      <x:c r="U199" s="38" t="n">
        <x:v>0.021840000000000005</x:v>
      </x:c>
      <x:c r="V199" s="38" t="n">
        <x:v>0.41496000000000005</x:v>
      </x:c>
      <x:c r="W199" s="38" t="n">
        <x:v>0.24080000000000001</x:v>
      </x:c>
      <x:c r="X199" s="38" t="n">
        <x:v>0</x:v>
      </x:c>
      <x:c r="Y199" s="38" t="n">
        <x:v>0</x:v>
      </x:c>
      <x:c r="Z199" s="38" t="n">
        <x:v>0.0368</x:v>
      </x:c>
      <x:c r="AA199" s="38" t="n">
        <x:v>0.0136</x:v>
      </x:c>
      <x:c r="AB199" s="38" t="n">
        <x:v>0.00044799999999999994</x:v>
      </x:c>
      <x:c r="AC199" s="38" t="n">
        <x:v>0.12331200000000003</x:v>
      </x:c>
      <x:c r="AD199" s="28" t="n">
        <x:v>0.29716599190283405</x:v>
      </x:c>
    </x:row>
    <x:row r="200">
      <x:c r="A200" s="32" t="n">
        <x:v>45726</x:v>
      </x:c>
      <x:c r="B200" s="32" t="n">
        <x:v>45717</x:v>
      </x:c>
      <x:c r="C200" t="str">
        <x:v>Mar 2025</x:v>
      </x:c>
      <x:c r="D200" t="str">
        <x:v>Actual</x:v>
      </x:c>
      <x:c r="E200" t="str">
        <x:v>DB-104</x:v>
      </x:c>
      <x:c r="F200" t="str">
        <x:v>SunNest Cooling Towel</x:v>
      </x:c>
      <x:c r="G200" t="str">
        <x:v>Consumable repeat</x:v>
      </x:c>
      <x:c r="H200" t="str">
        <x:v>Summer peak</x:v>
      </x:c>
      <x:c r="I200" t="str">
        <x:v>Active</x:v>
      </x:c>
      <x:c r="J200" t="str">
        <x:v>TikTok Shop</x:v>
      </x:c>
      <x:c r="K200" t="str">
        <x:v>Social Commerce</x:v>
      </x:c>
      <x:c r="L200" t="str">
        <x:v>All Geographies</x:v>
      </x:c>
      <x:c r="M200" s="34" t="n">
        <x:v>588</x:v>
      </x:c>
      <x:c r="N200" s="28" t="n">
        <x:v>0.0417312</x:v>
      </x:c>
      <x:c r="O200" s="34" t="n">
        <x:v>25</x:v>
      </x:c>
      <x:c r="P200" s="34" t="n">
        <x:v>1</x:v>
      </x:c>
      <x:c r="Q200" s="34" t="n">
        <x:v>25</x:v>
      </x:c>
      <x:c r="R200" s="33" t="n">
        <x:v>42</x:v>
      </x:c>
      <x:c r="S200" s="38" t="n">
        <x:v>1.05</x:v>
      </x:c>
      <x:c r="T200" s="38" t="n">
        <x:v>0.126</x:v>
      </x:c>
      <x:c r="U200" s="38" t="n">
        <x:v>0.046200000000000005</x:v>
      </x:c>
      <x:c r="V200" s="38" t="n">
        <x:v>0.8778</x:v>
      </x:c>
      <x:c r="W200" s="38" t="n">
        <x:v>0.37625</x:v>
      </x:c>
      <x:c r="X200" s="38" t="n">
        <x:v>0.025456200000000002</x:v>
      </x:c>
      <x:c r="Y200" s="38" t="n">
        <x:v>0.052668</x:v>
      </x:c>
      <x:c r="Z200" s="38" t="n">
        <x:v>0.12749999999999997</x:v>
      </x:c>
      <x:c r="AA200" s="38" t="n">
        <x:v>0.04375</x:v>
      </x:c>
      <x:c r="AB200" s="38" t="n">
        <x:v>0.0007</x:v>
      </x:c>
      <x:c r="AC200" s="38" t="n">
        <x:v>0.25147580000000014</x:v>
      </x:c>
      <x:c r="AD200" s="28" t="n">
        <x:v>0.28648416495784934</x:v>
      </x:c>
    </x:row>
    <x:row r="201">
      <x:c r="A201" s="32" t="n">
        <x:v>45726</x:v>
      </x:c>
      <x:c r="B201" s="32" t="n">
        <x:v>45717</x:v>
      </x:c>
      <x:c r="C201" t="str">
        <x:v>Mar 2025</x:v>
      </x:c>
      <x:c r="D201" t="str">
        <x:v>Actual</x:v>
      </x:c>
      <x:c r="E201" t="str">
        <x:v>DB-105</x:v>
      </x:c>
      <x:c r="F201" t="str">
        <x:v>DreamFuel Refill Pack</x:v>
      </x:c>
      <x:c r="G201" t="str">
        <x:v>Subscription</x:v>
      </x:c>
      <x:c r="H201" t="str">
        <x:v>None</x:v>
      </x:c>
      <x:c r="I201" t="str">
        <x:v>Active</x:v>
      </x:c>
      <x:c r="J201" t="str">
        <x:v>Shopify DTC</x:v>
      </x:c>
      <x:c r="K201" t="str">
        <x:v>Consumer</x:v>
      </x:c>
      <x:c r="L201" t="str">
        <x:v>All Geographies</x:v>
      </x:c>
      <x:c r="M201" s="34" t="n">
        <x:v>3538</x:v>
      </x:c>
      <x:c r="N201" s="28" t="n">
        <x:v>0.03888</x:v>
      </x:c>
      <x:c r="O201" s="34" t="n">
        <x:v>138</x:v>
      </x:c>
      <x:c r="P201" s="34" t="n">
        <x:v>1</x:v>
      </x:c>
      <x:c r="Q201" s="34" t="n">
        <x:v>138</x:v>
      </x:c>
      <x:c r="R201" s="33" t="n">
        <x:v>56</x:v>
      </x:c>
      <x:c r="S201" s="38" t="n">
        <x:v>7.728</x:v>
      </x:c>
      <x:c r="T201" s="38" t="n">
        <x:v>0.61824</x:v>
      </x:c>
      <x:c r="U201" s="38" t="n">
        <x:v>0.1421952</x:v>
      </x:c>
      <x:c r="V201" s="38" t="n">
        <x:v>6.9675648</x:v>
      </x:c>
      <x:c r="W201" s="38" t="n">
        <x:v>2.56956</x:v>
      </x:c>
      <x:c r="X201" s="38" t="n">
        <x:v>0.2020593792</x:v>
      </x:c>
      <x:c r="Y201" s="38" t="n">
        <x:v>0</x:v>
      </x:c>
      <x:c r="Z201" s="38" t="n">
        <x:v>0.5727000000000001</x:v>
      </x:c>
      <x:c r="AA201" s="38" t="n">
        <x:v>0.22769999999999999</x:v>
      </x:c>
      <x:c r="AB201" s="38" t="n">
        <x:v>0.0004968</x:v>
      </x:c>
      <x:c r="AC201" s="38" t="n">
        <x:v>3.3950486208</x:v>
      </x:c>
      <x:c r="AD201" s="28" t="n">
        <x:v>0.48726473570794776</x:v>
      </x:c>
    </x:row>
    <x:row r="202">
      <x:c r="A202" s="32" t="n">
        <x:v>45726</x:v>
      </x:c>
      <x:c r="B202" s="32" t="n">
        <x:v>45717</x:v>
      </x:c>
      <x:c r="C202" t="str">
        <x:v>Mar 2025</x:v>
      </x:c>
      <x:c r="D202" t="str">
        <x:v>Actual</x:v>
      </x:c>
      <x:c r="E202" t="str">
        <x:v>DB-105</x:v>
      </x:c>
      <x:c r="F202" t="str">
        <x:v>DreamFuel Refill Pack</x:v>
      </x:c>
      <x:c r="G202" t="str">
        <x:v>Subscription</x:v>
      </x:c>
      <x:c r="H202" t="str">
        <x:v>None</x:v>
      </x:c>
      <x:c r="I202" t="str">
        <x:v>Active</x:v>
      </x:c>
      <x:c r="J202" t="str">
        <x:v>Amazon Marketplace</x:v>
      </x:c>
      <x:c r="K202" t="str">
        <x:v>Marketplace Consumer</x:v>
      </x:c>
      <x:c r="L202" t="str">
        <x:v>All Geographies</x:v>
      </x:c>
      <x:c r="M202" s="34" t="n">
        <x:v>1769</x:v>
      </x:c>
      <x:c r="N202" s="28" t="n">
        <x:v>0.0458784</x:v>
      </x:c>
      <x:c r="O202" s="34" t="n">
        <x:v>81</x:v>
      </x:c>
      <x:c r="P202" s="34" t="n">
        <x:v>1</x:v>
      </x:c>
      <x:c r="Q202" s="34" t="n">
        <x:v>81</x:v>
      </x:c>
      <x:c r="R202" s="33" t="n">
        <x:v>56</x:v>
      </x:c>
      <x:c r="S202" s="38" t="n">
        <x:v>4.536</x:v>
      </x:c>
      <x:c r="T202" s="38" t="n">
        <x:v>0.2268</x:v>
      </x:c>
      <x:c r="U202" s="38" t="n">
        <x:v>0.086184</x:v>
      </x:c>
      <x:c r="V202" s="38" t="n">
        <x:v>4.223015999999999</x:v>
      </x:c>
      <x:c r="W202" s="38" t="n">
        <x:v>1.5082200000000001</x:v>
      </x:c>
      <x:c r="X202" s="38" t="n">
        <x:v>0</x:v>
      </x:c>
      <x:c r="Y202" s="38" t="n">
        <x:v>0.6334523999999999</x:v>
      </x:c>
      <x:c r="Z202" s="38" t="n">
        <x:v>0.42119999999999996</x:v>
      </x:c>
      <x:c r="AA202" s="38" t="n">
        <x:v>0.17415</x:v>
      </x:c>
      <x:c r="AB202" s="38" t="n">
        <x:v>0.0002916</x:v>
      </x:c>
      <x:c r="AC202" s="38" t="n">
        <x:v>1.4857019999999994</x:v>
      </x:c>
      <x:c r="AD202" s="28" t="n">
        <x:v>0.35181064907165865</x:v>
      </x:c>
    </x:row>
    <x:row r="203">
      <x:c r="A203" s="32" t="n">
        <x:v>45726</x:v>
      </x:c>
      <x:c r="B203" s="32" t="n">
        <x:v>45717</x:v>
      </x:c>
      <x:c r="C203" t="str">
        <x:v>Mar 2025</x:v>
      </x:c>
      <x:c r="D203" t="str">
        <x:v>Actual</x:v>
      </x:c>
      <x:c r="E203" t="str">
        <x:v>DB-105</x:v>
      </x:c>
      <x:c r="F203" t="str">
        <x:v>DreamFuel Refill Pack</x:v>
      </x:c>
      <x:c r="G203" t="str">
        <x:v>Subscription</x:v>
      </x:c>
      <x:c r="H203" t="str">
        <x:v>None</x:v>
      </x:c>
      <x:c r="I203" t="str">
        <x:v>Active</x:v>
      </x:c>
      <x:c r="J203" t="str">
        <x:v>Wholesale</x:v>
      </x:c>
      <x:c r="K203" t="str">
        <x:v>Retailer</x:v>
      </x:c>
      <x:c r="L203" t="str">
        <x:v>All Geographies</x:v>
      </x:c>
      <x:c r="M203" s="34" t="n">
        <x:v>1061</x:v>
      </x:c>
      <x:c r="N203" s="28" t="n">
        <x:v>0.021384000000000004</x:v>
      </x:c>
      <x:c r="O203" s="34" t="n">
        <x:v>23</x:v>
      </x:c>
      <x:c r="P203" s="34" t="n">
        <x:v>1</x:v>
      </x:c>
      <x:c r="Q203" s="34" t="n">
        <x:v>23</x:v>
      </x:c>
      <x:c r="R203" s="33" t="n">
        <x:v>56</x:v>
      </x:c>
      <x:c r="S203" s="38" t="n">
        <x:v>1.288</x:v>
      </x:c>
      <x:c r="T203" s="38" t="n">
        <x:v>0.4508</x:v>
      </x:c>
      <x:c r="U203" s="38" t="n">
        <x:v>0.016744000000000002</x:v>
      </x:c>
      <x:c r="V203" s="38" t="n">
        <x:v>0.8204560000000001</x:v>
      </x:c>
      <x:c r="W203" s="38" t="n">
        <x:v>0.42826000000000003</x:v>
      </x:c>
      <x:c r="X203" s="38" t="n">
        <x:v>0</x:v>
      </x:c>
      <x:c r="Y203" s="38" t="n">
        <x:v>0</x:v>
      </x:c>
      <x:c r="Z203" s="38" t="n">
        <x:v>0.052899999999999996</x:v>
      </x:c>
      <x:c r="AA203" s="38" t="n">
        <x:v>0.01955</x:v>
      </x:c>
      <x:c r="AB203" s="38" t="n">
        <x:v>0.0000828</x:v>
      </x:c>
      <x:c r="AC203" s="38" t="n">
        <x:v>0.31966320000000004</x:v>
      </x:c>
      <x:c r="AD203" s="28" t="n">
        <x:v>0.38961650594303654</x:v>
      </x:c>
    </x:row>
    <x:row r="204">
      <x:c r="A204" s="32" t="n">
        <x:v>45726</x:v>
      </x:c>
      <x:c r="B204" s="32" t="n">
        <x:v>45717</x:v>
      </x:c>
      <x:c r="C204" t="str">
        <x:v>Mar 2025</x:v>
      </x:c>
      <x:c r="D204" t="str">
        <x:v>Actual</x:v>
      </x:c>
      <x:c r="E204" t="str">
        <x:v>DB-105</x:v>
      </x:c>
      <x:c r="F204" t="str">
        <x:v>DreamFuel Refill Pack</x:v>
      </x:c>
      <x:c r="G204" t="str">
        <x:v>Subscription</x:v>
      </x:c>
      <x:c r="H204" t="str">
        <x:v>None</x:v>
      </x:c>
      <x:c r="I204" t="str">
        <x:v>Active</x:v>
      </x:c>
      <x:c r="J204" t="str">
        <x:v>TikTok Shop</x:v>
      </x:c>
      <x:c r="K204" t="str">
        <x:v>Social Commerce</x:v>
      </x:c>
      <x:c r="L204" t="str">
        <x:v>All Geographies</x:v>
      </x:c>
      <x:c r="M204" s="34" t="n">
        <x:v>708</x:v>
      </x:c>
      <x:c r="N204" s="28" t="n">
        <x:v>0.0489888</x:v>
      </x:c>
      <x:c r="O204" s="34" t="n">
        <x:v>35</x:v>
      </x:c>
      <x:c r="P204" s="34" t="n">
        <x:v>1</x:v>
      </x:c>
      <x:c r="Q204" s="34" t="n">
        <x:v>35</x:v>
      </x:c>
      <x:c r="R204" s="33" t="n">
        <x:v>56</x:v>
      </x:c>
      <x:c r="S204" s="38" t="n">
        <x:v>1.96</x:v>
      </x:c>
      <x:c r="T204" s="38" t="n">
        <x:v>0.2352</x:v>
      </x:c>
      <x:c r="U204" s="38" t="n">
        <x:v>0.034496</x:v>
      </x:c>
      <x:c r="V204" s="38" t="n">
        <x:v>1.6903039999999998</x:v>
      </x:c>
      <x:c r="W204" s="38" t="n">
        <x:v>0.6517000000000001</x:v>
      </x:c>
      <x:c r="X204" s="38" t="n">
        <x:v>0.049018816</x:v>
      </x:c>
      <x:c r="Y204" s="38" t="n">
        <x:v>0.10141823999999998</x:v>
      </x:c>
      <x:c r="Z204" s="38" t="n">
        <x:v>0.1785</x:v>
      </x:c>
      <x:c r="AA204" s="38" t="n">
        <x:v>0.06125</x:v>
      </x:c>
      <x:c r="AB204" s="38" t="n">
        <x:v>0.000126</x:v>
      </x:c>
      <x:c r="AC204" s="38" t="n">
        <x:v>0.6482909439999999</x:v>
      </x:c>
      <x:c r="AD204" s="28" t="n">
        <x:v>0.38353511794328116</x:v>
      </x:c>
    </x:row>
    <x:row r="205">
      <x:c r="A205" s="32" t="n">
        <x:v>45733</x:v>
      </x:c>
      <x:c r="B205" s="32" t="n">
        <x:v>45717</x:v>
      </x:c>
      <x:c r="C205" t="str">
        <x:v>Mar 2025</x:v>
      </x:c>
      <x:c r="D205" t="str">
        <x:v>Actual</x:v>
      </x:c>
      <x:c r="E205" t="str">
        <x:v>DB-101</x:v>
      </x:c>
      <x:c r="F205" t="str">
        <x:v>AeroSip Bottle</x:v>
      </x:c>
      <x:c r="G205" t="str">
        <x:v>One-time purchase</x:v>
      </x:c>
      <x:c r="H205" t="str">
        <x:v>None</x:v>
      </x:c>
      <x:c r="I205" t="str">
        <x:v>Active</x:v>
      </x:c>
      <x:c r="J205" t="str">
        <x:v>Shopify DTC</x:v>
      </x:c>
      <x:c r="K205" t="str">
        <x:v>Consumer</x:v>
      </x:c>
      <x:c r="L205" t="str">
        <x:v>All Geographies</x:v>
      </x:c>
      <x:c r="M205" s="34" t="n">
        <x:v>5131</x:v>
      </x:c>
      <x:c r="N205" s="28" t="n">
        <x:v>0.034199999999999994</x:v>
      </x:c>
      <x:c r="O205" s="34" t="n">
        <x:v>175</x:v>
      </x:c>
      <x:c r="P205" s="34" t="n">
        <x:v>1</x:v>
      </x:c>
      <x:c r="Q205" s="34" t="n">
        <x:v>175</x:v>
      </x:c>
      <x:c r="R205" s="33" t="n">
        <x:v>29</x:v>
      </x:c>
      <x:c r="S205" s="38" t="n">
        <x:v>5.075</x:v>
      </x:c>
      <x:c r="T205" s="38" t="n">
        <x:v>0.406</x:v>
      </x:c>
      <x:c r="U205" s="38" t="n">
        <x:v>0.21010500000000001</x:v>
      </x:c>
      <x:c r="V205" s="38" t="n">
        <x:v>4.458895</x:v>
      </x:c>
      <x:c r="W205" s="38" t="n">
        <x:v>1.8900000000000001</x:v>
      </x:c>
      <x:c r="X205" s="38" t="n">
        <x:v>0.129307955</x:v>
      </x:c>
      <x:c r="Y205" s="38" t="n">
        <x:v>0</x:v>
      </x:c>
      <x:c r="Z205" s="38" t="n">
        <x:v>0.7262500000000001</x:v>
      </x:c>
      <x:c r="AA205" s="38" t="n">
        <x:v>0.28875</x:v>
      </x:c>
      <x:c r="AB205" s="38" t="n">
        <x:v>0.006300000000000001</x:v>
      </x:c>
      <x:c r="AC205" s="38" t="n">
        <x:v>1.418287045</x:v>
      </x:c>
      <x:c r="AD205" s="28" t="n">
        <x:v>0.31808038650831655</x:v>
      </x:c>
    </x:row>
    <x:row r="206">
      <x:c r="A206" s="32" t="n">
        <x:v>45733</x:v>
      </x:c>
      <x:c r="B206" s="32" t="n">
        <x:v>45717</x:v>
      </x:c>
      <x:c r="C206" t="str">
        <x:v>Mar 2025</x:v>
      </x:c>
      <x:c r="D206" t="str">
        <x:v>Actual</x:v>
      </x:c>
      <x:c r="E206" t="str">
        <x:v>DB-101</x:v>
      </x:c>
      <x:c r="F206" t="str">
        <x:v>AeroSip Bottle</x:v>
      </x:c>
      <x:c r="G206" t="str">
        <x:v>One-time purchase</x:v>
      </x:c>
      <x:c r="H206" t="str">
        <x:v>None</x:v>
      </x:c>
      <x:c r="I206" t="str">
        <x:v>Active</x:v>
      </x:c>
      <x:c r="J206" t="str">
        <x:v>Amazon Marketplace</x:v>
      </x:c>
      <x:c r="K206" t="str">
        <x:v>Marketplace Consumer</x:v>
      </x:c>
      <x:c r="L206" t="str">
        <x:v>All Geographies</x:v>
      </x:c>
      <x:c r="M206" s="34" t="n">
        <x:v>2566</x:v>
      </x:c>
      <x:c r="N206" s="28" t="n">
        <x:v>0.040355999999999996</x:v>
      </x:c>
      <x:c r="O206" s="34" t="n">
        <x:v>104</x:v>
      </x:c>
      <x:c r="P206" s="34" t="n">
        <x:v>1</x:v>
      </x:c>
      <x:c r="Q206" s="34" t="n">
        <x:v>104</x:v>
      </x:c>
      <x:c r="R206" s="33" t="n">
        <x:v>29</x:v>
      </x:c>
      <x:c r="S206" s="38" t="n">
        <x:v>3.016</x:v>
      </x:c>
      <x:c r="T206" s="38" t="n">
        <x:v>0.15080000000000002</x:v>
      </x:c>
      <x:c r="U206" s="38" t="n">
        <x:v>0.128934</x:v>
      </x:c>
      <x:c r="V206" s="38" t="n">
        <x:v>2.736266</x:v>
      </x:c>
      <x:c r="W206" s="38" t="n">
        <x:v>1.1232</x:v>
      </x:c>
      <x:c r="X206" s="38" t="n">
        <x:v>0</x:v>
      </x:c>
      <x:c r="Y206" s="38" t="n">
        <x:v>0.4104399</x:v>
      </x:c>
      <x:c r="Z206" s="38" t="n">
        <x:v>0.5408000000000001</x:v>
      </x:c>
      <x:c r="AA206" s="38" t="n">
        <x:v>0.2236</x:v>
      </x:c>
      <x:c r="AB206" s="38" t="n">
        <x:v>0.003744</x:v>
      </x:c>
      <x:c r="AC206" s="38" t="n">
        <x:v>0.4344820999999999</x:v>
      </x:c>
      <x:c r="AD206" s="28" t="n">
        <x:v>0.15878649955815696</x:v>
      </x:c>
    </x:row>
    <x:row r="207">
      <x:c r="A207" s="32" t="n">
        <x:v>45733</x:v>
      </x:c>
      <x:c r="B207" s="32" t="n">
        <x:v>45717</x:v>
      </x:c>
      <x:c r="C207" t="str">
        <x:v>Mar 2025</x:v>
      </x:c>
      <x:c r="D207" t="str">
        <x:v>Actual</x:v>
      </x:c>
      <x:c r="E207" t="str">
        <x:v>DB-101</x:v>
      </x:c>
      <x:c r="F207" t="str">
        <x:v>AeroSip Bottle</x:v>
      </x:c>
      <x:c r="G207" t="str">
        <x:v>One-time purchase</x:v>
      </x:c>
      <x:c r="H207" t="str">
        <x:v>None</x:v>
      </x:c>
      <x:c r="I207" t="str">
        <x:v>Active</x:v>
      </x:c>
      <x:c r="J207" t="str">
        <x:v>Wholesale</x:v>
      </x:c>
      <x:c r="K207" t="str">
        <x:v>Retailer</x:v>
      </x:c>
      <x:c r="L207" t="str">
        <x:v>All Geographies</x:v>
      </x:c>
      <x:c r="M207" s="34" t="n">
        <x:v>1539</x:v>
      </x:c>
      <x:c r="N207" s="28" t="n">
        <x:v>0.01881</x:v>
      </x:c>
      <x:c r="O207" s="34" t="n">
        <x:v>29</x:v>
      </x:c>
      <x:c r="P207" s="34" t="n">
        <x:v>1</x:v>
      </x:c>
      <x:c r="Q207" s="34" t="n">
        <x:v>29</x:v>
      </x:c>
      <x:c r="R207" s="33" t="n">
        <x:v>29</x:v>
      </x:c>
      <x:c r="S207" s="38" t="n">
        <x:v>0.841</x:v>
      </x:c>
      <x:c r="T207" s="38" t="n">
        <x:v>0.29434999999999995</x:v>
      </x:c>
      <x:c r="U207" s="38" t="n">
        <x:v>0.024599250000000003</x:v>
      </x:c>
      <x:c r="V207" s="38" t="n">
        <x:v>0.5220507500000001</x:v>
      </x:c>
      <x:c r="W207" s="38" t="n">
        <x:v>0.31320000000000003</x:v>
      </x:c>
      <x:c r="X207" s="38" t="n">
        <x:v>0</x:v>
      </x:c>
      <x:c r="Y207" s="38" t="n">
        <x:v>0</x:v>
      </x:c>
      <x:c r="Z207" s="38" t="n">
        <x:v>0.0667</x:v>
      </x:c>
      <x:c r="AA207" s="38" t="n">
        <x:v>0.02465</x:v>
      </x:c>
      <x:c r="AB207" s="38" t="n">
        <x:v>0.001044</x:v>
      </x:c>
      <x:c r="AC207" s="38" t="n">
        <x:v>0.1164567500000001</x:v>
      </x:c>
      <x:c r="AD207" s="28" t="n">
        <x:v>0.22307553432305205</x:v>
      </x:c>
    </x:row>
    <x:row r="208">
      <x:c r="A208" s="32" t="n">
        <x:v>45733</x:v>
      </x:c>
      <x:c r="B208" s="32" t="n">
        <x:v>45717</x:v>
      </x:c>
      <x:c r="C208" t="str">
        <x:v>Mar 2025</x:v>
      </x:c>
      <x:c r="D208" t="str">
        <x:v>Actual</x:v>
      </x:c>
      <x:c r="E208" t="str">
        <x:v>DB-101</x:v>
      </x:c>
      <x:c r="F208" t="str">
        <x:v>AeroSip Bottle</x:v>
      </x:c>
      <x:c r="G208" t="str">
        <x:v>One-time purchase</x:v>
      </x:c>
      <x:c r="H208" t="str">
        <x:v>None</x:v>
      </x:c>
      <x:c r="I208" t="str">
        <x:v>Active</x:v>
      </x:c>
      <x:c r="J208" t="str">
        <x:v>TikTok Shop</x:v>
      </x:c>
      <x:c r="K208" t="str">
        <x:v>Social Commerce</x:v>
      </x:c>
      <x:c r="L208" t="str">
        <x:v>All Geographies</x:v>
      </x:c>
      <x:c r="M208" s="34" t="n">
        <x:v>1026</x:v>
      </x:c>
      <x:c r="N208" s="28" t="n">
        <x:v>0.043092</x:v>
      </x:c>
      <x:c r="O208" s="34" t="n">
        <x:v>44</x:v>
      </x:c>
      <x:c r="P208" s="34" t="n">
        <x:v>1</x:v>
      </x:c>
      <x:c r="Q208" s="34" t="n">
        <x:v>44</x:v>
      </x:c>
      <x:c r="R208" s="33" t="n">
        <x:v>29</x:v>
      </x:c>
      <x:c r="S208" s="38" t="n">
        <x:v>1.276</x:v>
      </x:c>
      <x:c r="T208" s="38" t="n">
        <x:v>0.15312</x:v>
      </x:c>
      <x:c r="U208" s="38" t="n">
        <x:v>0.0505296</x:v>
      </x:c>
      <x:c r="V208" s="38" t="n">
        <x:v>1.0723504000000001</x:v>
      </x:c>
      <x:c r="W208" s="38" t="n">
        <x:v>0.47520000000000007</x:v>
      </x:c>
      <x:c r="X208" s="38" t="n">
        <x:v>0.031098161600000007</x:v>
      </x:c>
      <x:c r="Y208" s="38" t="n">
        <x:v>0.06434102400000001</x:v>
      </x:c>
      <x:c r="Z208" s="38" t="n">
        <x:v>0.2244</x:v>
      </x:c>
      <x:c r="AA208" s="38" t="n">
        <x:v>0.077</x:v>
      </x:c>
      <x:c r="AB208" s="38" t="n">
        <x:v>0.0015840000000000001</x:v>
      </x:c>
      <x:c r="AC208" s="38" t="n">
        <x:v>0.1987272144000001</x:v>
      </x:c>
      <x:c r="AD208" s="28" t="n">
        <x:v>0.18531928966502</x:v>
      </x:c>
    </x:row>
    <x:row r="209">
      <x:c r="A209" s="32" t="n">
        <x:v>45733</x:v>
      </x:c>
      <x:c r="B209" s="32" t="n">
        <x:v>45717</x:v>
      </x:c>
      <x:c r="C209" t="str">
        <x:v>Mar 2025</x:v>
      </x:c>
      <x:c r="D209" t="str">
        <x:v>Actual</x:v>
      </x:c>
      <x:c r="E209" t="str">
        <x:v>DB-102</x:v>
      </x:c>
      <x:c r="F209" t="str">
        <x:v>GlowPatch Balm</x:v>
      </x:c>
      <x:c r="G209" t="str">
        <x:v>Consumable repeat</x:v>
      </x:c>
      <x:c r="H209" t="str">
        <x:v>None</x:v>
      </x:c>
      <x:c r="I209" t="str">
        <x:v>Active</x:v>
      </x:c>
      <x:c r="J209" t="str">
        <x:v>Shopify DTC</x:v>
      </x:c>
      <x:c r="K209" t="str">
        <x:v>Consumer</x:v>
      </x:c>
      <x:c r="L209" t="str">
        <x:v>All Geographies</x:v>
      </x:c>
      <x:c r="M209" s="34" t="n">
        <x:v>4145</x:v>
      </x:c>
      <x:c r="N209" s="28" t="n">
        <x:v>0.04248</x:v>
      </x:c>
      <x:c r="O209" s="34" t="n">
        <x:v>176</x:v>
      </x:c>
      <x:c r="P209" s="34" t="n">
        <x:v>1</x:v>
      </x:c>
      <x:c r="Q209" s="34" t="n">
        <x:v>176</x:v>
      </x:c>
      <x:c r="R209" s="33" t="n">
        <x:v>18</x:v>
      </x:c>
      <x:c r="S209" s="38" t="n">
        <x:v>3.168</x:v>
      </x:c>
      <x:c r="T209" s="38" t="n">
        <x:v>0.25344</x:v>
      </x:c>
      <x:c r="U209" s="38" t="n">
        <x:v>0.07286400000000001</x:v>
      </x:c>
      <x:c r="V209" s="38" t="n">
        <x:v>2.841696</x:v>
      </x:c>
      <x:c r="W209" s="38" t="n">
        <x:v>0.9521600000000001</x:v>
      </x:c>
      <x:c r="X209" s="38" t="n">
        <x:v>0.08240918400000001</x:v>
      </x:c>
      <x:c r="Y209" s="38" t="n">
        <x:v>0</x:v>
      </x:c>
      <x:c r="Z209" s="38" t="n">
        <x:v>0.7304</x:v>
      </x:c>
      <x:c r="AA209" s="38" t="n">
        <x:v>0.2904</x:v>
      </x:c>
      <x:c r="AB209" s="38" t="n">
        <x:v>0.001056</x:v>
      </x:c>
      <x:c r="AC209" s="38" t="n">
        <x:v>0.7852708159999999</x:v>
      </x:c>
      <x:c r="AD209" s="28" t="n">
        <x:v>0.27633878359965314</x:v>
      </x:c>
    </x:row>
    <x:row r="210">
      <x:c r="A210" s="32" t="n">
        <x:v>45733</x:v>
      </x:c>
      <x:c r="B210" s="32" t="n">
        <x:v>45717</x:v>
      </x:c>
      <x:c r="C210" t="str">
        <x:v>Mar 2025</x:v>
      </x:c>
      <x:c r="D210" t="str">
        <x:v>Actual</x:v>
      </x:c>
      <x:c r="E210" t="str">
        <x:v>DB-102</x:v>
      </x:c>
      <x:c r="F210" t="str">
        <x:v>GlowPatch Balm</x:v>
      </x:c>
      <x:c r="G210" t="str">
        <x:v>Consumable repeat</x:v>
      </x:c>
      <x:c r="H210" t="str">
        <x:v>None</x:v>
      </x:c>
      <x:c r="I210" t="str">
        <x:v>Active</x:v>
      </x:c>
      <x:c r="J210" t="str">
        <x:v>Amazon Marketplace</x:v>
      </x:c>
      <x:c r="K210" t="str">
        <x:v>Marketplace Consumer</x:v>
      </x:c>
      <x:c r="L210" t="str">
        <x:v>All Geographies</x:v>
      </x:c>
      <x:c r="M210" s="34" t="n">
        <x:v>2072</x:v>
      </x:c>
      <x:c r="N210" s="28" t="n">
        <x:v>0.050126399999999995</x:v>
      </x:c>
      <x:c r="O210" s="34" t="n">
        <x:v>104</x:v>
      </x:c>
      <x:c r="P210" s="34" t="n">
        <x:v>1</x:v>
      </x:c>
      <x:c r="Q210" s="34" t="n">
        <x:v>104</x:v>
      </x:c>
      <x:c r="R210" s="33" t="n">
        <x:v>18</x:v>
      </x:c>
      <x:c r="S210" s="38" t="n">
        <x:v>1.872</x:v>
      </x:c>
      <x:c r="T210" s="38" t="n">
        <x:v>0.09360000000000002</x:v>
      </x:c>
      <x:c r="U210" s="38" t="n">
        <x:v>0.04446</x:v>
      </x:c>
      <x:c r="V210" s="38" t="n">
        <x:v>1.73394</x:v>
      </x:c>
      <x:c r="W210" s="38" t="n">
        <x:v>0.56264</x:v>
      </x:c>
      <x:c r="X210" s="38" t="n">
        <x:v>0</x:v>
      </x:c>
      <x:c r="Y210" s="38" t="n">
        <x:v>0.260091</x:v>
      </x:c>
      <x:c r="Z210" s="38" t="n">
        <x:v>0.5408000000000001</x:v>
      </x:c>
      <x:c r="AA210" s="38" t="n">
        <x:v>0.2236</x:v>
      </x:c>
      <x:c r="AB210" s="38" t="n">
        <x:v>0.0006240000000000001</x:v>
      </x:c>
      <x:c r="AC210" s="38" t="n">
        <x:v>0.14618499999999987</x:v>
      </x:c>
      <x:c r="AD210" s="28" t="n">
        <x:v>0.08430799220272897</x:v>
      </x:c>
    </x:row>
    <x:row r="211">
      <x:c r="A211" s="32" t="n">
        <x:v>45733</x:v>
      </x:c>
      <x:c r="B211" s="32" t="n">
        <x:v>45717</x:v>
      </x:c>
      <x:c r="C211" t="str">
        <x:v>Mar 2025</x:v>
      </x:c>
      <x:c r="D211" t="str">
        <x:v>Actual</x:v>
      </x:c>
      <x:c r="E211" t="str">
        <x:v>DB-102</x:v>
      </x:c>
      <x:c r="F211" t="str">
        <x:v>GlowPatch Balm</x:v>
      </x:c>
      <x:c r="G211" t="str">
        <x:v>Consumable repeat</x:v>
      </x:c>
      <x:c r="H211" t="str">
        <x:v>None</x:v>
      </x:c>
      <x:c r="I211" t="str">
        <x:v>Active</x:v>
      </x:c>
      <x:c r="J211" t="str">
        <x:v>Wholesale</x:v>
      </x:c>
      <x:c r="K211" t="str">
        <x:v>Retailer</x:v>
      </x:c>
      <x:c r="L211" t="str">
        <x:v>All Geographies</x:v>
      </x:c>
      <x:c r="M211" s="34" t="n">
        <x:v>1243</x:v>
      </x:c>
      <x:c r="N211" s="28" t="n">
        <x:v>0.023364</x:v>
      </x:c>
      <x:c r="O211" s="34" t="n">
        <x:v>29</x:v>
      </x:c>
      <x:c r="P211" s="34" t="n">
        <x:v>1</x:v>
      </x:c>
      <x:c r="Q211" s="34" t="n">
        <x:v>29</x:v>
      </x:c>
      <x:c r="R211" s="33" t="n">
        <x:v>18</x:v>
      </x:c>
      <x:c r="S211" s="38" t="n">
        <x:v>0.522</x:v>
      </x:c>
      <x:c r="T211" s="38" t="n">
        <x:v>0.1827</x:v>
      </x:c>
      <x:c r="U211" s="38" t="n">
        <x:v>0.008482500000000002</x:v>
      </x:c>
      <x:c r="V211" s="38" t="n">
        <x:v>0.33081750000000004</x:v>
      </x:c>
      <x:c r="W211" s="38" t="n">
        <x:v>0.15689</x:v>
      </x:c>
      <x:c r="X211" s="38" t="n">
        <x:v>0</x:v>
      </x:c>
      <x:c r="Y211" s="38" t="n">
        <x:v>0</x:v>
      </x:c>
      <x:c r="Z211" s="38" t="n">
        <x:v>0.0667</x:v>
      </x:c>
      <x:c r="AA211" s="38" t="n">
        <x:v>0.02465</x:v>
      </x:c>
      <x:c r="AB211" s="38" t="n">
        <x:v>0.00017400000000000003</x:v>
      </x:c>
      <x:c r="AC211" s="38" t="n">
        <x:v>0.08240350000000006</x:v>
      </x:c>
      <x:c r="AD211" s="28" t="n">
        <x:v>0.2490905106289723</x:v>
      </x:c>
    </x:row>
    <x:row r="212">
      <x:c r="A212" s="32" t="n">
        <x:v>45733</x:v>
      </x:c>
      <x:c r="B212" s="32" t="n">
        <x:v>45717</x:v>
      </x:c>
      <x:c r="C212" t="str">
        <x:v>Mar 2025</x:v>
      </x:c>
      <x:c r="D212" t="str">
        <x:v>Actual</x:v>
      </x:c>
      <x:c r="E212" t="str">
        <x:v>DB-102</x:v>
      </x:c>
      <x:c r="F212" t="str">
        <x:v>GlowPatch Balm</x:v>
      </x:c>
      <x:c r="G212" t="str">
        <x:v>Consumable repeat</x:v>
      </x:c>
      <x:c r="H212" t="str">
        <x:v>None</x:v>
      </x:c>
      <x:c r="I212" t="str">
        <x:v>Active</x:v>
      </x:c>
      <x:c r="J212" t="str">
        <x:v>TikTok Shop</x:v>
      </x:c>
      <x:c r="K212" t="str">
        <x:v>Social Commerce</x:v>
      </x:c>
      <x:c r="L212" t="str">
        <x:v>All Geographies</x:v>
      </x:c>
      <x:c r="M212" s="34" t="n">
        <x:v>829</x:v>
      </x:c>
      <x:c r="N212" s="28" t="n">
        <x:v>0.0535248</x:v>
      </x:c>
      <x:c r="O212" s="34" t="n">
        <x:v>44</x:v>
      </x:c>
      <x:c r="P212" s="34" t="n">
        <x:v>1</x:v>
      </x:c>
      <x:c r="Q212" s="34" t="n">
        <x:v>44</x:v>
      </x:c>
      <x:c r="R212" s="33" t="n">
        <x:v>18</x:v>
      </x:c>
      <x:c r="S212" s="38" t="n">
        <x:v>0.792</x:v>
      </x:c>
      <x:c r="T212" s="38" t="n">
        <x:v>0.09504</x:v>
      </x:c>
      <x:c r="U212" s="38" t="n">
        <x:v>0.017424000000000002</x:v>
      </x:c>
      <x:c r="V212" s="38" t="n">
        <x:v>0.679536</x:v>
      </x:c>
      <x:c r="W212" s="38" t="n">
        <x:v>0.23804000000000003</x:v>
      </x:c>
      <x:c r="X212" s="38" t="n">
        <x:v>0.019706544000000003</x:v>
      </x:c>
      <x:c r="Y212" s="38" t="n">
        <x:v>0.04077216</x:v>
      </x:c>
      <x:c r="Z212" s="38" t="n">
        <x:v>0.2244</x:v>
      </x:c>
      <x:c r="AA212" s="38" t="n">
        <x:v>0.077</x:v>
      </x:c>
      <x:c r="AB212" s="38" t="n">
        <x:v>0.000264</x:v>
      </x:c>
      <x:c r="AC212" s="38" t="n">
        <x:v>0.07935329600000002</x:v>
      </x:c>
      <x:c r="AD212" s="28" t="n">
        <x:v>0.1167757057757058</x:v>
      </x:c>
    </x:row>
    <x:row r="213">
      <x:c r="A213" s="32" t="n">
        <x:v>45733</x:v>
      </x:c>
      <x:c r="B213" s="32" t="n">
        <x:v>45717</x:v>
      </x:c>
      <x:c r="C213" t="str">
        <x:v>Mar 2025</x:v>
      </x:c>
      <x:c r="D213" t="str">
        <x:v>Actual</x:v>
      </x:c>
      <x:c r="E213" t="str">
        <x:v>DB-103</x:v>
      </x:c>
      <x:c r="F213" t="str">
        <x:v>EmberTrail Camp Mug</x:v>
      </x:c>
      <x:c r="G213" t="str">
        <x:v>One-time purchase</x:v>
      </x:c>
      <x:c r="H213" t="str">
        <x:v>Winter peak</x:v>
      </x:c>
      <x:c r="I213" t="str">
        <x:v>Active</x:v>
      </x:c>
      <x:c r="J213" t="str">
        <x:v>Shopify DTC</x:v>
      </x:c>
      <x:c r="K213" t="str">
        <x:v>Consumer</x:v>
      </x:c>
      <x:c r="L213" t="str">
        <x:v>All Geographies</x:v>
      </x:c>
      <x:c r="M213" s="34" t="n">
        <x:v>3268</x:v>
      </x:c>
      <x:c r="N213" s="28" t="n">
        <x:v>0.0324</x:v>
      </x:c>
      <x:c r="O213" s="34" t="n">
        <x:v>106</x:v>
      </x:c>
      <x:c r="P213" s="34" t="n">
        <x:v>1</x:v>
      </x:c>
      <x:c r="Q213" s="34" t="n">
        <x:v>106</x:v>
      </x:c>
      <x:c r="R213" s="33" t="n">
        <x:v>34</x:v>
      </x:c>
      <x:c r="S213" s="38" t="n">
        <x:v>3.604</x:v>
      </x:c>
      <x:c r="T213" s="38" t="n">
        <x:v>0.28832</x:v>
      </x:c>
      <x:c r="U213" s="38" t="n">
        <x:v>0.1823624</x:v>
      </x:c>
      <x:c r="V213" s="38" t="n">
        <x:v>3.1333176</x:v>
      </x:c>
      <x:c r="W213" s="38" t="n">
        <x:v>1.44902</x:v>
      </x:c>
      <x:c r="X213" s="38" t="n">
        <x:v>0.0908662104</x:v>
      </x:c>
      <x:c r="Y213" s="38" t="n">
        <x:v>0</x:v>
      </x:c>
      <x:c r="Z213" s="38" t="n">
        <x:v>0.4399</x:v>
      </x:c>
      <x:c r="AA213" s="38" t="n">
        <x:v>0.17489999999999997</x:v>
      </x:c>
      <x:c r="AB213" s="38" t="n">
        <x:v>0.005936</x:v>
      </x:c>
      <x:c r="AC213" s="38" t="n">
        <x:v>0.9726953895999999</x:v>
      </x:c>
      <x:c r="AD213" s="28" t="n">
        <x:v>0.31043625759482535</x:v>
      </x:c>
    </x:row>
    <x:row r="214">
      <x:c r="A214" s="32" t="n">
        <x:v>45733</x:v>
      </x:c>
      <x:c r="B214" s="32" t="n">
        <x:v>45717</x:v>
      </x:c>
      <x:c r="C214" t="str">
        <x:v>Mar 2025</x:v>
      </x:c>
      <x:c r="D214" t="str">
        <x:v>Actual</x:v>
      </x:c>
      <x:c r="E214" t="str">
        <x:v>DB-103</x:v>
      </x:c>
      <x:c r="F214" t="str">
        <x:v>EmberTrail Camp Mug</x:v>
      </x:c>
      <x:c r="G214" t="str">
        <x:v>One-time purchase</x:v>
      </x:c>
      <x:c r="H214" t="str">
        <x:v>Winter peak</x:v>
      </x:c>
      <x:c r="I214" t="str">
        <x:v>Active</x:v>
      </x:c>
      <x:c r="J214" t="str">
        <x:v>Amazon Marketplace</x:v>
      </x:c>
      <x:c r="K214" t="str">
        <x:v>Marketplace Consumer</x:v>
      </x:c>
      <x:c r="L214" t="str">
        <x:v>All Geographies</x:v>
      </x:c>
      <x:c r="M214" s="34" t="n">
        <x:v>1634</x:v>
      </x:c>
      <x:c r="N214" s="28" t="n">
        <x:v>0.038231999999999995</x:v>
      </x:c>
      <x:c r="O214" s="34" t="n">
        <x:v>62</x:v>
      </x:c>
      <x:c r="P214" s="34" t="n">
        <x:v>1</x:v>
      </x:c>
      <x:c r="Q214" s="34" t="n">
        <x:v>62</x:v>
      </x:c>
      <x:c r="R214" s="33" t="n">
        <x:v>34</x:v>
      </x:c>
      <x:c r="S214" s="38" t="n">
        <x:v>2.108</x:v>
      </x:c>
      <x:c r="T214" s="38" t="n">
        <x:v>0.10540000000000001</x:v>
      </x:c>
      <x:c r="U214" s="38" t="n">
        <x:v>0.110143</x:v>
      </x:c>
      <x:c r="V214" s="38" t="n">
        <x:v>1.892457</x:v>
      </x:c>
      <x:c r="W214" s="38" t="n">
        <x:v>0.84754</x:v>
      </x:c>
      <x:c r="X214" s="38" t="n">
        <x:v>0</x:v>
      </x:c>
      <x:c r="Y214" s="38" t="n">
        <x:v>0.28386855</x:v>
      </x:c>
      <x:c r="Z214" s="38" t="n">
        <x:v>0.3224</x:v>
      </x:c>
      <x:c r="AA214" s="38" t="n">
        <x:v>0.13329999999999997</x:v>
      </x:c>
      <x:c r="AB214" s="38" t="n">
        <x:v>0.003472</x:v>
      </x:c>
      <x:c r="AC214" s="38" t="n">
        <x:v>0.30187645000000013</x:v>
      </x:c>
      <x:c r="AD214" s="28" t="n">
        <x:v>0.1595156191131424</x:v>
      </x:c>
    </x:row>
    <x:row r="215">
      <x:c r="A215" s="32" t="n">
        <x:v>45733</x:v>
      </x:c>
      <x:c r="B215" s="32" t="n">
        <x:v>45717</x:v>
      </x:c>
      <x:c r="C215" t="str">
        <x:v>Mar 2025</x:v>
      </x:c>
      <x:c r="D215" t="str">
        <x:v>Actual</x:v>
      </x:c>
      <x:c r="E215" t="str">
        <x:v>DB-103</x:v>
      </x:c>
      <x:c r="F215" t="str">
        <x:v>EmberTrail Camp Mug</x:v>
      </x:c>
      <x:c r="G215" t="str">
        <x:v>One-time purchase</x:v>
      </x:c>
      <x:c r="H215" t="str">
        <x:v>Winter peak</x:v>
      </x:c>
      <x:c r="I215" t="str">
        <x:v>Active</x:v>
      </x:c>
      <x:c r="J215" t="str">
        <x:v>Wholesale</x:v>
      </x:c>
      <x:c r="K215" t="str">
        <x:v>Retailer</x:v>
      </x:c>
      <x:c r="L215" t="str">
        <x:v>All Geographies</x:v>
      </x:c>
      <x:c r="M215" s="34" t="n">
        <x:v>980</x:v>
      </x:c>
      <x:c r="N215" s="28" t="n">
        <x:v>0.017820000000000003</x:v>
      </x:c>
      <x:c r="O215" s="34" t="n">
        <x:v>17</x:v>
      </x:c>
      <x:c r="P215" s="34" t="n">
        <x:v>1</x:v>
      </x:c>
      <x:c r="Q215" s="34" t="n">
        <x:v>17</x:v>
      </x:c>
      <x:c r="R215" s="33" t="n">
        <x:v>34</x:v>
      </x:c>
      <x:c r="S215" s="38" t="n">
        <x:v>0.578</x:v>
      </x:c>
      <x:c r="T215" s="38" t="n">
        <x:v>0.20229999999999998</x:v>
      </x:c>
      <x:c r="U215" s="38" t="n">
        <x:v>0.020663499999999998</x:v>
      </x:c>
      <x:c r="V215" s="38" t="n">
        <x:v>0.3550365</x:v>
      </x:c>
      <x:c r="W215" s="38" t="n">
        <x:v>0.23238999999999999</x:v>
      </x:c>
      <x:c r="X215" s="38" t="n">
        <x:v>0</x:v>
      </x:c>
      <x:c r="Y215" s="38" t="n">
        <x:v>0</x:v>
      </x:c>
      <x:c r="Z215" s="38" t="n">
        <x:v>0.039099999999999996</x:v>
      </x:c>
      <x:c r="AA215" s="38" t="n">
        <x:v>0.01445</x:v>
      </x:c>
      <x:c r="AB215" s="38" t="n">
        <x:v>0.000952</x:v>
      </x:c>
      <x:c r="AC215" s="38" t="n">
        <x:v>0.0681445</x:v>
      </x:c>
      <x:c r="AD215" s="28" t="n">
        <x:v>0.19193660370130958</x:v>
      </x:c>
    </x:row>
    <x:row r="216">
      <x:c r="A216" s="32" t="n">
        <x:v>45733</x:v>
      </x:c>
      <x:c r="B216" s="32" t="n">
        <x:v>45717</x:v>
      </x:c>
      <x:c r="C216" t="str">
        <x:v>Mar 2025</x:v>
      </x:c>
      <x:c r="D216" t="str">
        <x:v>Actual</x:v>
      </x:c>
      <x:c r="E216" t="str">
        <x:v>DB-103</x:v>
      </x:c>
      <x:c r="F216" t="str">
        <x:v>EmberTrail Camp Mug</x:v>
      </x:c>
      <x:c r="G216" t="str">
        <x:v>One-time purchase</x:v>
      </x:c>
      <x:c r="H216" t="str">
        <x:v>Winter peak</x:v>
      </x:c>
      <x:c r="I216" t="str">
        <x:v>Active</x:v>
      </x:c>
      <x:c r="J216" t="str">
        <x:v>TikTok Shop</x:v>
      </x:c>
      <x:c r="K216" t="str">
        <x:v>Social Commerce</x:v>
      </x:c>
      <x:c r="L216" t="str">
        <x:v>All Geographies</x:v>
      </x:c>
      <x:c r="M216" s="34" t="n">
        <x:v>654</x:v>
      </x:c>
      <x:c r="N216" s="28" t="n">
        <x:v>0.040824</x:v>
      </x:c>
      <x:c r="O216" s="34" t="n">
        <x:v>27</x:v>
      </x:c>
      <x:c r="P216" s="34" t="n">
        <x:v>1</x:v>
      </x:c>
      <x:c r="Q216" s="34" t="n">
        <x:v>27</x:v>
      </x:c>
      <x:c r="R216" s="33" t="n">
        <x:v>34</x:v>
      </x:c>
      <x:c r="S216" s="38" t="n">
        <x:v>0.918</x:v>
      </x:c>
      <x:c r="T216" s="38" t="n">
        <x:v>0.11016</x:v>
      </x:c>
      <x:c r="U216" s="38" t="n">
        <x:v>0.0444312</x:v>
      </x:c>
      <x:c r="V216" s="38" t="n">
        <x:v>0.7634088</x:v>
      </x:c>
      <x:c r="W216" s="38" t="n">
        <x:v>0.36909</x:v>
      </x:c>
      <x:c r="X216" s="38" t="n">
        <x:v>0.0221388552</x:v>
      </x:c>
      <x:c r="Y216" s="38" t="n">
        <x:v>0.045804528</x:v>
      </x:c>
      <x:c r="Z216" s="38" t="n">
        <x:v>0.1377</x:v>
      </x:c>
      <x:c r="AA216" s="38" t="n">
        <x:v>0.04725</x:v>
      </x:c>
      <x:c r="AB216" s="38" t="n">
        <x:v>0.001512</x:v>
      </x:c>
      <x:c r="AC216" s="38" t="n">
        <x:v>0.13991341680000002</x:v>
      </x:c>
      <x:c r="AD216" s="28" t="n">
        <x:v>0.18327456639221348</x:v>
      </x:c>
    </x:row>
    <x:row r="217">
      <x:c r="A217" s="32" t="n">
        <x:v>45733</x:v>
      </x:c>
      <x:c r="B217" s="32" t="n">
        <x:v>45717</x:v>
      </x:c>
      <x:c r="C217" t="str">
        <x:v>Mar 2025</x:v>
      </x:c>
      <x:c r="D217" t="str">
        <x:v>Actual</x:v>
      </x:c>
      <x:c r="E217" t="str">
        <x:v>DB-104</x:v>
      </x:c>
      <x:c r="F217" t="str">
        <x:v>SunNest Cooling Towel</x:v>
      </x:c>
      <x:c r="G217" t="str">
        <x:v>Consumable repeat</x:v>
      </x:c>
      <x:c r="H217" t="str">
        <x:v>Summer peak</x:v>
      </x:c>
      <x:c r="I217" t="str">
        <x:v>Active</x:v>
      </x:c>
      <x:c r="J217" t="str">
        <x:v>Shopify DTC</x:v>
      </x:c>
      <x:c r="K217" t="str">
        <x:v>Consumer</x:v>
      </x:c>
      <x:c r="L217" t="str">
        <x:v>All Geographies</x:v>
      </x:c>
      <x:c r="M217" s="34" t="n">
        <x:v>2952</x:v>
      </x:c>
      <x:c r="N217" s="28" t="n">
        <x:v>0.03312</x:v>
      </x:c>
      <x:c r="O217" s="34" t="n">
        <x:v>98</x:v>
      </x:c>
      <x:c r="P217" s="34" t="n">
        <x:v>1</x:v>
      </x:c>
      <x:c r="Q217" s="34" t="n">
        <x:v>98</x:v>
      </x:c>
      <x:c r="R217" s="33" t="n">
        <x:v>42</x:v>
      </x:c>
      <x:c r="S217" s="38" t="n">
        <x:v>4.116</x:v>
      </x:c>
      <x:c r="T217" s="38" t="n">
        <x:v>0.32927999999999996</x:v>
      </x:c>
      <x:c r="U217" s="38" t="n">
        <x:v>0.189336</x:v>
      </x:c>
      <x:c r="V217" s="38" t="n">
        <x:v>3.597384</x:v>
      </x:c>
      <x:c r="W217" s="38" t="n">
        <x:v>1.4749</x:v>
      </x:c>
      <x:c r="X217" s="38" t="n">
        <x:v>0.104324136</x:v>
      </x:c>
      <x:c r="Y217" s="38" t="n">
        <x:v>0</x:v>
      </x:c>
      <x:c r="Z217" s="38" t="n">
        <x:v>0.40670000000000006</x:v>
      </x:c>
      <x:c r="AA217" s="38" t="n">
        <x:v>0.16169999999999998</x:v>
      </x:c>
      <x:c r="AB217" s="38" t="n">
        <x:v>0.002744</x:v>
      </x:c>
      <x:c r="AC217" s="38" t="n">
        <x:v>1.4470158640000002</x:v>
      </x:c>
      <x:c r="AD217" s="28" t="n">
        <x:v>0.4022411463441212</x:v>
      </x:c>
    </x:row>
    <x:row r="218">
      <x:c r="A218" s="32" t="n">
        <x:v>45733</x:v>
      </x:c>
      <x:c r="B218" s="32" t="n">
        <x:v>45717</x:v>
      </x:c>
      <x:c r="C218" t="str">
        <x:v>Mar 2025</x:v>
      </x:c>
      <x:c r="D218" t="str">
        <x:v>Actual</x:v>
      </x:c>
      <x:c r="E218" t="str">
        <x:v>DB-104</x:v>
      </x:c>
      <x:c r="F218" t="str">
        <x:v>SunNest Cooling Towel</x:v>
      </x:c>
      <x:c r="G218" t="str">
        <x:v>Consumable repeat</x:v>
      </x:c>
      <x:c r="H218" t="str">
        <x:v>Summer peak</x:v>
      </x:c>
      <x:c r="I218" t="str">
        <x:v>Active</x:v>
      </x:c>
      <x:c r="J218" t="str">
        <x:v>Amazon Marketplace</x:v>
      </x:c>
      <x:c r="K218" t="str">
        <x:v>Marketplace Consumer</x:v>
      </x:c>
      <x:c r="L218" t="str">
        <x:v>All Geographies</x:v>
      </x:c>
      <x:c r="M218" s="34" t="n">
        <x:v>1476</x:v>
      </x:c>
      <x:c r="N218" s="28" t="n">
        <x:v>0.0390816</x:v>
      </x:c>
      <x:c r="O218" s="34" t="n">
        <x:v>58</x:v>
      </x:c>
      <x:c r="P218" s="34" t="n">
        <x:v>1</x:v>
      </x:c>
      <x:c r="Q218" s="34" t="n">
        <x:v>58</x:v>
      </x:c>
      <x:c r="R218" s="33" t="n">
        <x:v>42</x:v>
      </x:c>
      <x:c r="S218" s="38" t="n">
        <x:v>2.436</x:v>
      </x:c>
      <x:c r="T218" s="38" t="n">
        <x:v>0.1218</x:v>
      </x:c>
      <x:c r="U218" s="38" t="n">
        <x:v>0.11571000000000001</x:v>
      </x:c>
      <x:c r="V218" s="38" t="n">
        <x:v>2.19849</x:v>
      </x:c>
      <x:c r="W218" s="38" t="n">
        <x:v>0.8729000000000001</x:v>
      </x:c>
      <x:c r="X218" s="38" t="n">
        <x:v>0</x:v>
      </x:c>
      <x:c r="Y218" s="38" t="n">
        <x:v>0.3297735</x:v>
      </x:c>
      <x:c r="Z218" s="38" t="n">
        <x:v>0.30160000000000003</x:v>
      </x:c>
      <x:c r="AA218" s="38" t="n">
        <x:v>0.12469999999999999</x:v>
      </x:c>
      <x:c r="AB218" s="38" t="n">
        <x:v>0.0016239999999999998</x:v>
      </x:c>
      <x:c r="AC218" s="38" t="n">
        <x:v>0.5678925</x:v>
      </x:c>
      <x:c r="AD218" s="28" t="n">
        <x:v>0.2583102493074792</x:v>
      </x:c>
    </x:row>
    <x:row r="219">
      <x:c r="A219" s="32" t="n">
        <x:v>45733</x:v>
      </x:c>
      <x:c r="B219" s="32" t="n">
        <x:v>45717</x:v>
      </x:c>
      <x:c r="C219" t="str">
        <x:v>Mar 2025</x:v>
      </x:c>
      <x:c r="D219" t="str">
        <x:v>Actual</x:v>
      </x:c>
      <x:c r="E219" t="str">
        <x:v>DB-104</x:v>
      </x:c>
      <x:c r="F219" t="str">
        <x:v>SunNest Cooling Towel</x:v>
      </x:c>
      <x:c r="G219" t="str">
        <x:v>Consumable repeat</x:v>
      </x:c>
      <x:c r="H219" t="str">
        <x:v>Summer peak</x:v>
      </x:c>
      <x:c r="I219" t="str">
        <x:v>Active</x:v>
      </x:c>
      <x:c r="J219" t="str">
        <x:v>Wholesale</x:v>
      </x:c>
      <x:c r="K219" t="str">
        <x:v>Retailer</x:v>
      </x:c>
      <x:c r="L219" t="str">
        <x:v>All Geographies</x:v>
      </x:c>
      <x:c r="M219" s="34" t="n">
        <x:v>886</x:v>
      </x:c>
      <x:c r="N219" s="28" t="n">
        <x:v>0.018216000000000003</x:v>
      </x:c>
      <x:c r="O219" s="34" t="n">
        <x:v>16</x:v>
      </x:c>
      <x:c r="P219" s="34" t="n">
        <x:v>1</x:v>
      </x:c>
      <x:c r="Q219" s="34" t="n">
        <x:v>16</x:v>
      </x:c>
      <x:c r="R219" s="33" t="n">
        <x:v>42</x:v>
      </x:c>
      <x:c r="S219" s="38" t="n">
        <x:v>0.672</x:v>
      </x:c>
      <x:c r="T219" s="38" t="n">
        <x:v>0.2352</x:v>
      </x:c>
      <x:c r="U219" s="38" t="n">
        <x:v>0.021840000000000005</x:v>
      </x:c>
      <x:c r="V219" s="38" t="n">
        <x:v>0.41496000000000005</x:v>
      </x:c>
      <x:c r="W219" s="38" t="n">
        <x:v>0.24080000000000001</x:v>
      </x:c>
      <x:c r="X219" s="38" t="n">
        <x:v>0</x:v>
      </x:c>
      <x:c r="Y219" s="38" t="n">
        <x:v>0</x:v>
      </x:c>
      <x:c r="Z219" s="38" t="n">
        <x:v>0.0368</x:v>
      </x:c>
      <x:c r="AA219" s="38" t="n">
        <x:v>0.0136</x:v>
      </x:c>
      <x:c r="AB219" s="38" t="n">
        <x:v>0.00044799999999999994</x:v>
      </x:c>
      <x:c r="AC219" s="38" t="n">
        <x:v>0.12331200000000003</x:v>
      </x:c>
      <x:c r="AD219" s="28" t="n">
        <x:v>0.29716599190283405</x:v>
      </x:c>
    </x:row>
    <x:row r="220">
      <x:c r="A220" s="32" t="n">
        <x:v>45733</x:v>
      </x:c>
      <x:c r="B220" s="32" t="n">
        <x:v>45717</x:v>
      </x:c>
      <x:c r="C220" t="str">
        <x:v>Mar 2025</x:v>
      </x:c>
      <x:c r="D220" t="str">
        <x:v>Actual</x:v>
      </x:c>
      <x:c r="E220" t="str">
        <x:v>DB-104</x:v>
      </x:c>
      <x:c r="F220" t="str">
        <x:v>SunNest Cooling Towel</x:v>
      </x:c>
      <x:c r="G220" t="str">
        <x:v>Consumable repeat</x:v>
      </x:c>
      <x:c r="H220" t="str">
        <x:v>Summer peak</x:v>
      </x:c>
      <x:c r="I220" t="str">
        <x:v>Active</x:v>
      </x:c>
      <x:c r="J220" t="str">
        <x:v>TikTok Shop</x:v>
      </x:c>
      <x:c r="K220" t="str">
        <x:v>Social Commerce</x:v>
      </x:c>
      <x:c r="L220" t="str">
        <x:v>All Geographies</x:v>
      </x:c>
      <x:c r="M220" s="34" t="n">
        <x:v>590</x:v>
      </x:c>
      <x:c r="N220" s="28" t="n">
        <x:v>0.0417312</x:v>
      </x:c>
      <x:c r="O220" s="34" t="n">
        <x:v>25</x:v>
      </x:c>
      <x:c r="P220" s="34" t="n">
        <x:v>1</x:v>
      </x:c>
      <x:c r="Q220" s="34" t="n">
        <x:v>25</x:v>
      </x:c>
      <x:c r="R220" s="33" t="n">
        <x:v>42</x:v>
      </x:c>
      <x:c r="S220" s="38" t="n">
        <x:v>1.05</x:v>
      </x:c>
      <x:c r="T220" s="38" t="n">
        <x:v>0.126</x:v>
      </x:c>
      <x:c r="U220" s="38" t="n">
        <x:v>0.046200000000000005</x:v>
      </x:c>
      <x:c r="V220" s="38" t="n">
        <x:v>0.8778</x:v>
      </x:c>
      <x:c r="W220" s="38" t="n">
        <x:v>0.37625</x:v>
      </x:c>
      <x:c r="X220" s="38" t="n">
        <x:v>0.025456200000000002</x:v>
      </x:c>
      <x:c r="Y220" s="38" t="n">
        <x:v>0.052668</x:v>
      </x:c>
      <x:c r="Z220" s="38" t="n">
        <x:v>0.12749999999999997</x:v>
      </x:c>
      <x:c r="AA220" s="38" t="n">
        <x:v>0.04375</x:v>
      </x:c>
      <x:c r="AB220" s="38" t="n">
        <x:v>0.0007</x:v>
      </x:c>
      <x:c r="AC220" s="38" t="n">
        <x:v>0.25147580000000014</x:v>
      </x:c>
      <x:c r="AD220" s="28" t="n">
        <x:v>0.28648416495784934</x:v>
      </x:c>
    </x:row>
    <x:row r="221">
      <x:c r="A221" s="32" t="n">
        <x:v>45733</x:v>
      </x:c>
      <x:c r="B221" s="32" t="n">
        <x:v>45717</x:v>
      </x:c>
      <x:c r="C221" t="str">
        <x:v>Mar 2025</x:v>
      </x:c>
      <x:c r="D221" t="str">
        <x:v>Actual</x:v>
      </x:c>
      <x:c r="E221" t="str">
        <x:v>DB-105</x:v>
      </x:c>
      <x:c r="F221" t="str">
        <x:v>DreamFuel Refill Pack</x:v>
      </x:c>
      <x:c r="G221" t="str">
        <x:v>Subscription</x:v>
      </x:c>
      <x:c r="H221" t="str">
        <x:v>None</x:v>
      </x:c>
      <x:c r="I221" t="str">
        <x:v>Active</x:v>
      </x:c>
      <x:c r="J221" t="str">
        <x:v>Shopify DTC</x:v>
      </x:c>
      <x:c r="K221" t="str">
        <x:v>Consumer</x:v>
      </x:c>
      <x:c r="L221" t="str">
        <x:v>All Geographies</x:v>
      </x:c>
      <x:c r="M221" s="34" t="n">
        <x:v>3552</x:v>
      </x:c>
      <x:c r="N221" s="28" t="n">
        <x:v>0.03888</x:v>
      </x:c>
      <x:c r="O221" s="34" t="n">
        <x:v>138</x:v>
      </x:c>
      <x:c r="P221" s="34" t="n">
        <x:v>1</x:v>
      </x:c>
      <x:c r="Q221" s="34" t="n">
        <x:v>138</x:v>
      </x:c>
      <x:c r="R221" s="33" t="n">
        <x:v>56</x:v>
      </x:c>
      <x:c r="S221" s="38" t="n">
        <x:v>7.728</x:v>
      </x:c>
      <x:c r="T221" s="38" t="n">
        <x:v>0.61824</x:v>
      </x:c>
      <x:c r="U221" s="38" t="n">
        <x:v>0.1421952</x:v>
      </x:c>
      <x:c r="V221" s="38" t="n">
        <x:v>6.9675648</x:v>
      </x:c>
      <x:c r="W221" s="38" t="n">
        <x:v>2.56956</x:v>
      </x:c>
      <x:c r="X221" s="38" t="n">
        <x:v>0.2020593792</x:v>
      </x:c>
      <x:c r="Y221" s="38" t="n">
        <x:v>0</x:v>
      </x:c>
      <x:c r="Z221" s="38" t="n">
        <x:v>0.5727000000000001</x:v>
      </x:c>
      <x:c r="AA221" s="38" t="n">
        <x:v>0.22769999999999999</x:v>
      </x:c>
      <x:c r="AB221" s="38" t="n">
        <x:v>0.0004968</x:v>
      </x:c>
      <x:c r="AC221" s="38" t="n">
        <x:v>3.3950486208</x:v>
      </x:c>
      <x:c r="AD221" s="28" t="n">
        <x:v>0.48726473570794776</x:v>
      </x:c>
    </x:row>
    <x:row r="222">
      <x:c r="A222" s="32" t="n">
        <x:v>45733</x:v>
      </x:c>
      <x:c r="B222" s="32" t="n">
        <x:v>45717</x:v>
      </x:c>
      <x:c r="C222" t="str">
        <x:v>Mar 2025</x:v>
      </x:c>
      <x:c r="D222" t="str">
        <x:v>Actual</x:v>
      </x:c>
      <x:c r="E222" t="str">
        <x:v>DB-105</x:v>
      </x:c>
      <x:c r="F222" t="str">
        <x:v>DreamFuel Refill Pack</x:v>
      </x:c>
      <x:c r="G222" t="str">
        <x:v>Subscription</x:v>
      </x:c>
      <x:c r="H222" t="str">
        <x:v>None</x:v>
      </x:c>
      <x:c r="I222" t="str">
        <x:v>Active</x:v>
      </x:c>
      <x:c r="J222" t="str">
        <x:v>Amazon Marketplace</x:v>
      </x:c>
      <x:c r="K222" t="str">
        <x:v>Marketplace Consumer</x:v>
      </x:c>
      <x:c r="L222" t="str">
        <x:v>All Geographies</x:v>
      </x:c>
      <x:c r="M222" s="34" t="n">
        <x:v>1776</x:v>
      </x:c>
      <x:c r="N222" s="28" t="n">
        <x:v>0.0458784</x:v>
      </x:c>
      <x:c r="O222" s="34" t="n">
        <x:v>81</x:v>
      </x:c>
      <x:c r="P222" s="34" t="n">
        <x:v>1</x:v>
      </x:c>
      <x:c r="Q222" s="34" t="n">
        <x:v>81</x:v>
      </x:c>
      <x:c r="R222" s="33" t="n">
        <x:v>56</x:v>
      </x:c>
      <x:c r="S222" s="38" t="n">
        <x:v>4.536</x:v>
      </x:c>
      <x:c r="T222" s="38" t="n">
        <x:v>0.2268</x:v>
      </x:c>
      <x:c r="U222" s="38" t="n">
        <x:v>0.086184</x:v>
      </x:c>
      <x:c r="V222" s="38" t="n">
        <x:v>4.223015999999999</x:v>
      </x:c>
      <x:c r="W222" s="38" t="n">
        <x:v>1.5082200000000001</x:v>
      </x:c>
      <x:c r="X222" s="38" t="n">
        <x:v>0</x:v>
      </x:c>
      <x:c r="Y222" s="38" t="n">
        <x:v>0.6334523999999999</x:v>
      </x:c>
      <x:c r="Z222" s="38" t="n">
        <x:v>0.42119999999999996</x:v>
      </x:c>
      <x:c r="AA222" s="38" t="n">
        <x:v>0.17415</x:v>
      </x:c>
      <x:c r="AB222" s="38" t="n">
        <x:v>0.0002916</x:v>
      </x:c>
      <x:c r="AC222" s="38" t="n">
        <x:v>1.4857019999999994</x:v>
      </x:c>
      <x:c r="AD222" s="28" t="n">
        <x:v>0.35181064907165865</x:v>
      </x:c>
    </x:row>
    <x:row r="223">
      <x:c r="A223" s="32" t="n">
        <x:v>45733</x:v>
      </x:c>
      <x:c r="B223" s="32" t="n">
        <x:v>45717</x:v>
      </x:c>
      <x:c r="C223" t="str">
        <x:v>Mar 2025</x:v>
      </x:c>
      <x:c r="D223" t="str">
        <x:v>Actual</x:v>
      </x:c>
      <x:c r="E223" t="str">
        <x:v>DB-105</x:v>
      </x:c>
      <x:c r="F223" t="str">
        <x:v>DreamFuel Refill Pack</x:v>
      </x:c>
      <x:c r="G223" t="str">
        <x:v>Subscription</x:v>
      </x:c>
      <x:c r="H223" t="str">
        <x:v>None</x:v>
      </x:c>
      <x:c r="I223" t="str">
        <x:v>Active</x:v>
      </x:c>
      <x:c r="J223" t="str">
        <x:v>Wholesale</x:v>
      </x:c>
      <x:c r="K223" t="str">
        <x:v>Retailer</x:v>
      </x:c>
      <x:c r="L223" t="str">
        <x:v>All Geographies</x:v>
      </x:c>
      <x:c r="M223" s="34" t="n">
        <x:v>1066</x:v>
      </x:c>
      <x:c r="N223" s="28" t="n">
        <x:v>0.021384000000000004</x:v>
      </x:c>
      <x:c r="O223" s="34" t="n">
        <x:v>23</x:v>
      </x:c>
      <x:c r="P223" s="34" t="n">
        <x:v>1</x:v>
      </x:c>
      <x:c r="Q223" s="34" t="n">
        <x:v>23</x:v>
      </x:c>
      <x:c r="R223" s="33" t="n">
        <x:v>56</x:v>
      </x:c>
      <x:c r="S223" s="38" t="n">
        <x:v>1.288</x:v>
      </x:c>
      <x:c r="T223" s="38" t="n">
        <x:v>0.4508</x:v>
      </x:c>
      <x:c r="U223" s="38" t="n">
        <x:v>0.016744000000000002</x:v>
      </x:c>
      <x:c r="V223" s="38" t="n">
        <x:v>0.8204560000000001</x:v>
      </x:c>
      <x:c r="W223" s="38" t="n">
        <x:v>0.42826000000000003</x:v>
      </x:c>
      <x:c r="X223" s="38" t="n">
        <x:v>0</x:v>
      </x:c>
      <x:c r="Y223" s="38" t="n">
        <x:v>0</x:v>
      </x:c>
      <x:c r="Z223" s="38" t="n">
        <x:v>0.052899999999999996</x:v>
      </x:c>
      <x:c r="AA223" s="38" t="n">
        <x:v>0.01955</x:v>
      </x:c>
      <x:c r="AB223" s="38" t="n">
        <x:v>0.0000828</x:v>
      </x:c>
      <x:c r="AC223" s="38" t="n">
        <x:v>0.31966320000000004</x:v>
      </x:c>
      <x:c r="AD223" s="28" t="n">
        <x:v>0.38961650594303654</x:v>
      </x:c>
    </x:row>
    <x:row r="224">
      <x:c r="A224" s="32" t="n">
        <x:v>45733</x:v>
      </x:c>
      <x:c r="B224" s="32" t="n">
        <x:v>45717</x:v>
      </x:c>
      <x:c r="C224" t="str">
        <x:v>Mar 2025</x:v>
      </x:c>
      <x:c r="D224" t="str">
        <x:v>Actual</x:v>
      </x:c>
      <x:c r="E224" t="str">
        <x:v>DB-105</x:v>
      </x:c>
      <x:c r="F224" t="str">
        <x:v>DreamFuel Refill Pack</x:v>
      </x:c>
      <x:c r="G224" t="str">
        <x:v>Subscription</x:v>
      </x:c>
      <x:c r="H224" t="str">
        <x:v>None</x:v>
      </x:c>
      <x:c r="I224" t="str">
        <x:v>Active</x:v>
      </x:c>
      <x:c r="J224" t="str">
        <x:v>TikTok Shop</x:v>
      </x:c>
      <x:c r="K224" t="str">
        <x:v>Social Commerce</x:v>
      </x:c>
      <x:c r="L224" t="str">
        <x:v>All Geographies</x:v>
      </x:c>
      <x:c r="M224" s="34" t="n">
        <x:v>710</x:v>
      </x:c>
      <x:c r="N224" s="28" t="n">
        <x:v>0.0489888</x:v>
      </x:c>
      <x:c r="O224" s="34" t="n">
        <x:v>35</x:v>
      </x:c>
      <x:c r="P224" s="34" t="n">
        <x:v>1</x:v>
      </x:c>
      <x:c r="Q224" s="34" t="n">
        <x:v>35</x:v>
      </x:c>
      <x:c r="R224" s="33" t="n">
        <x:v>56</x:v>
      </x:c>
      <x:c r="S224" s="38" t="n">
        <x:v>1.96</x:v>
      </x:c>
      <x:c r="T224" s="38" t="n">
        <x:v>0.2352</x:v>
      </x:c>
      <x:c r="U224" s="38" t="n">
        <x:v>0.034496</x:v>
      </x:c>
      <x:c r="V224" s="38" t="n">
        <x:v>1.6903039999999998</x:v>
      </x:c>
      <x:c r="W224" s="38" t="n">
        <x:v>0.6517000000000001</x:v>
      </x:c>
      <x:c r="X224" s="38" t="n">
        <x:v>0.049018816</x:v>
      </x:c>
      <x:c r="Y224" s="38" t="n">
        <x:v>0.10141823999999998</x:v>
      </x:c>
      <x:c r="Z224" s="38" t="n">
        <x:v>0.1785</x:v>
      </x:c>
      <x:c r="AA224" s="38" t="n">
        <x:v>0.06125</x:v>
      </x:c>
      <x:c r="AB224" s="38" t="n">
        <x:v>0.000126</x:v>
      </x:c>
      <x:c r="AC224" s="38" t="n">
        <x:v>0.6482909439999999</x:v>
      </x:c>
      <x:c r="AD224" s="28" t="n">
        <x:v>0.38353511794328116</x:v>
      </x:c>
    </x:row>
    <x:row r="225">
      <x:c r="A225" s="32" t="n">
        <x:v>45740</x:v>
      </x:c>
      <x:c r="B225" s="32" t="n">
        <x:v>45717</x:v>
      </x:c>
      <x:c r="C225" t="str">
        <x:v>Mar 2025</x:v>
      </x:c>
      <x:c r="D225" t="str">
        <x:v>Actual</x:v>
      </x:c>
      <x:c r="E225" t="str">
        <x:v>DB-101</x:v>
      </x:c>
      <x:c r="F225" t="str">
        <x:v>AeroSip Bottle</x:v>
      </x:c>
      <x:c r="G225" t="str">
        <x:v>One-time purchase</x:v>
      </x:c>
      <x:c r="H225" t="str">
        <x:v>None</x:v>
      </x:c>
      <x:c r="I225" t="str">
        <x:v>Active</x:v>
      </x:c>
      <x:c r="J225" t="str">
        <x:v>Shopify DTC</x:v>
      </x:c>
      <x:c r="K225" t="str">
        <x:v>Consumer</x:v>
      </x:c>
      <x:c r="L225" t="str">
        <x:v>All Geographies</x:v>
      </x:c>
      <x:c r="M225" s="34" t="n">
        <x:v>5152</x:v>
      </x:c>
      <x:c r="N225" s="28" t="n">
        <x:v>0.034199999999999994</x:v>
      </x:c>
      <x:c r="O225" s="34" t="n">
        <x:v>176</x:v>
      </x:c>
      <x:c r="P225" s="34" t="n">
        <x:v>1</x:v>
      </x:c>
      <x:c r="Q225" s="34" t="n">
        <x:v>176</x:v>
      </x:c>
      <x:c r="R225" s="33" t="n">
        <x:v>29</x:v>
      </x:c>
      <x:c r="S225" s="38" t="n">
        <x:v>5.104</x:v>
      </x:c>
      <x:c r="T225" s="38" t="n">
        <x:v>0.40832</x:v>
      </x:c>
      <x:c r="U225" s="38" t="n">
        <x:v>0.2113056</x:v>
      </x:c>
      <x:c r="V225" s="38" t="n">
        <x:v>4.4843744</x:v>
      </x:c>
      <x:c r="W225" s="38" t="n">
        <x:v>1.9008000000000003</x:v>
      </x:c>
      <x:c r="X225" s="38" t="n">
        <x:v>0.1300468576</x:v>
      </x:c>
      <x:c r="Y225" s="38" t="n">
        <x:v>0</x:v>
      </x:c>
      <x:c r="Z225" s="38" t="n">
        <x:v>0.7304</x:v>
      </x:c>
      <x:c r="AA225" s="38" t="n">
        <x:v>0.2904</x:v>
      </x:c>
      <x:c r="AB225" s="38" t="n">
        <x:v>0.0063360000000000005</x:v>
      </x:c>
      <x:c r="AC225" s="38" t="n">
        <x:v>1.4263915424</x:v>
      </x:c>
      <x:c r="AD225" s="28" t="n">
        <x:v>0.3180803865083165</x:v>
      </x:c>
    </x:row>
    <x:row r="226">
      <x:c r="A226" s="32" t="n">
        <x:v>45740</x:v>
      </x:c>
      <x:c r="B226" s="32" t="n">
        <x:v>45717</x:v>
      </x:c>
      <x:c r="C226" t="str">
        <x:v>Mar 2025</x:v>
      </x:c>
      <x:c r="D226" t="str">
        <x:v>Actual</x:v>
      </x:c>
      <x:c r="E226" t="str">
        <x:v>DB-101</x:v>
      </x:c>
      <x:c r="F226" t="str">
        <x:v>AeroSip Bottle</x:v>
      </x:c>
      <x:c r="G226" t="str">
        <x:v>One-time purchase</x:v>
      </x:c>
      <x:c r="H226" t="str">
        <x:v>None</x:v>
      </x:c>
      <x:c r="I226" t="str">
        <x:v>Active</x:v>
      </x:c>
      <x:c r="J226" t="str">
        <x:v>Amazon Marketplace</x:v>
      </x:c>
      <x:c r="K226" t="str">
        <x:v>Marketplace Consumer</x:v>
      </x:c>
      <x:c r="L226" t="str">
        <x:v>All Geographies</x:v>
      </x:c>
      <x:c r="M226" s="34" t="n">
        <x:v>2576</x:v>
      </x:c>
      <x:c r="N226" s="28" t="n">
        <x:v>0.040355999999999996</x:v>
      </x:c>
      <x:c r="O226" s="34" t="n">
        <x:v>104</x:v>
      </x:c>
      <x:c r="P226" s="34" t="n">
        <x:v>1</x:v>
      </x:c>
      <x:c r="Q226" s="34" t="n">
        <x:v>104</x:v>
      </x:c>
      <x:c r="R226" s="33" t="n">
        <x:v>29</x:v>
      </x:c>
      <x:c r="S226" s="38" t="n">
        <x:v>3.016</x:v>
      </x:c>
      <x:c r="T226" s="38" t="n">
        <x:v>0.15080000000000002</x:v>
      </x:c>
      <x:c r="U226" s="38" t="n">
        <x:v>0.128934</x:v>
      </x:c>
      <x:c r="V226" s="38" t="n">
        <x:v>2.736266</x:v>
      </x:c>
      <x:c r="W226" s="38" t="n">
        <x:v>1.1232</x:v>
      </x:c>
      <x:c r="X226" s="38" t="n">
        <x:v>0</x:v>
      </x:c>
      <x:c r="Y226" s="38" t="n">
        <x:v>0.4104399</x:v>
      </x:c>
      <x:c r="Z226" s="38" t="n">
        <x:v>0.5408000000000001</x:v>
      </x:c>
      <x:c r="AA226" s="38" t="n">
        <x:v>0.2236</x:v>
      </x:c>
      <x:c r="AB226" s="38" t="n">
        <x:v>0.003744</x:v>
      </x:c>
      <x:c r="AC226" s="38" t="n">
        <x:v>0.4344820999999999</x:v>
      </x:c>
      <x:c r="AD226" s="28" t="n">
        <x:v>0.15878649955815696</x:v>
      </x:c>
    </x:row>
    <x:row r="227">
      <x:c r="A227" s="32" t="n">
        <x:v>45740</x:v>
      </x:c>
      <x:c r="B227" s="32" t="n">
        <x:v>45717</x:v>
      </x:c>
      <x:c r="C227" t="str">
        <x:v>Mar 2025</x:v>
      </x:c>
      <x:c r="D227" t="str">
        <x:v>Actual</x:v>
      </x:c>
      <x:c r="E227" t="str">
        <x:v>DB-101</x:v>
      </x:c>
      <x:c r="F227" t="str">
        <x:v>AeroSip Bottle</x:v>
      </x:c>
      <x:c r="G227" t="str">
        <x:v>One-time purchase</x:v>
      </x:c>
      <x:c r="H227" t="str">
        <x:v>None</x:v>
      </x:c>
      <x:c r="I227" t="str">
        <x:v>Active</x:v>
      </x:c>
      <x:c r="J227" t="str">
        <x:v>Wholesale</x:v>
      </x:c>
      <x:c r="K227" t="str">
        <x:v>Retailer</x:v>
      </x:c>
      <x:c r="L227" t="str">
        <x:v>All Geographies</x:v>
      </x:c>
      <x:c r="M227" s="34" t="n">
        <x:v>1546</x:v>
      </x:c>
      <x:c r="N227" s="28" t="n">
        <x:v>0.01881</x:v>
      </x:c>
      <x:c r="O227" s="34" t="n">
        <x:v>29</x:v>
      </x:c>
      <x:c r="P227" s="34" t="n">
        <x:v>1</x:v>
      </x:c>
      <x:c r="Q227" s="34" t="n">
        <x:v>29</x:v>
      </x:c>
      <x:c r="R227" s="33" t="n">
        <x:v>29</x:v>
      </x:c>
      <x:c r="S227" s="38" t="n">
        <x:v>0.841</x:v>
      </x:c>
      <x:c r="T227" s="38" t="n">
        <x:v>0.29434999999999995</x:v>
      </x:c>
      <x:c r="U227" s="38" t="n">
        <x:v>0.024599250000000003</x:v>
      </x:c>
      <x:c r="V227" s="38" t="n">
        <x:v>0.5220507500000001</x:v>
      </x:c>
      <x:c r="W227" s="38" t="n">
        <x:v>0.31320000000000003</x:v>
      </x:c>
      <x:c r="X227" s="38" t="n">
        <x:v>0</x:v>
      </x:c>
      <x:c r="Y227" s="38" t="n">
        <x:v>0</x:v>
      </x:c>
      <x:c r="Z227" s="38" t="n">
        <x:v>0.0667</x:v>
      </x:c>
      <x:c r="AA227" s="38" t="n">
        <x:v>0.02465</x:v>
      </x:c>
      <x:c r="AB227" s="38" t="n">
        <x:v>0.001044</x:v>
      </x:c>
      <x:c r="AC227" s="38" t="n">
        <x:v>0.1164567500000001</x:v>
      </x:c>
      <x:c r="AD227" s="28" t="n">
        <x:v>0.22307553432305205</x:v>
      </x:c>
    </x:row>
    <x:row r="228">
      <x:c r="A228" s="32" t="n">
        <x:v>45740</x:v>
      </x:c>
      <x:c r="B228" s="32" t="n">
        <x:v>45717</x:v>
      </x:c>
      <x:c r="C228" t="str">
        <x:v>Mar 2025</x:v>
      </x:c>
      <x:c r="D228" t="str">
        <x:v>Actual</x:v>
      </x:c>
      <x:c r="E228" t="str">
        <x:v>DB-101</x:v>
      </x:c>
      <x:c r="F228" t="str">
        <x:v>AeroSip Bottle</x:v>
      </x:c>
      <x:c r="G228" t="str">
        <x:v>One-time purchase</x:v>
      </x:c>
      <x:c r="H228" t="str">
        <x:v>None</x:v>
      </x:c>
      <x:c r="I228" t="str">
        <x:v>Active</x:v>
      </x:c>
      <x:c r="J228" t="str">
        <x:v>TikTok Shop</x:v>
      </x:c>
      <x:c r="K228" t="str">
        <x:v>Social Commerce</x:v>
      </x:c>
      <x:c r="L228" t="str">
        <x:v>All Geographies</x:v>
      </x:c>
      <x:c r="M228" s="34" t="n">
        <x:v>1030</x:v>
      </x:c>
      <x:c r="N228" s="28" t="n">
        <x:v>0.043092</x:v>
      </x:c>
      <x:c r="O228" s="34" t="n">
        <x:v>44</x:v>
      </x:c>
      <x:c r="P228" s="34" t="n">
        <x:v>1</x:v>
      </x:c>
      <x:c r="Q228" s="34" t="n">
        <x:v>44</x:v>
      </x:c>
      <x:c r="R228" s="33" t="n">
        <x:v>29</x:v>
      </x:c>
      <x:c r="S228" s="38" t="n">
        <x:v>1.276</x:v>
      </x:c>
      <x:c r="T228" s="38" t="n">
        <x:v>0.15312</x:v>
      </x:c>
      <x:c r="U228" s="38" t="n">
        <x:v>0.0505296</x:v>
      </x:c>
      <x:c r="V228" s="38" t="n">
        <x:v>1.0723504000000001</x:v>
      </x:c>
      <x:c r="W228" s="38" t="n">
        <x:v>0.47520000000000007</x:v>
      </x:c>
      <x:c r="X228" s="38" t="n">
        <x:v>0.031098161600000007</x:v>
      </x:c>
      <x:c r="Y228" s="38" t="n">
        <x:v>0.06434102400000001</x:v>
      </x:c>
      <x:c r="Z228" s="38" t="n">
        <x:v>0.2244</x:v>
      </x:c>
      <x:c r="AA228" s="38" t="n">
        <x:v>0.077</x:v>
      </x:c>
      <x:c r="AB228" s="38" t="n">
        <x:v>0.0015840000000000001</x:v>
      </x:c>
      <x:c r="AC228" s="38" t="n">
        <x:v>0.1987272144000001</x:v>
      </x:c>
      <x:c r="AD228" s="28" t="n">
        <x:v>0.18531928966502</x:v>
      </x:c>
    </x:row>
    <x:row r="229">
      <x:c r="A229" s="32" t="n">
        <x:v>45740</x:v>
      </x:c>
      <x:c r="B229" s="32" t="n">
        <x:v>45717</x:v>
      </x:c>
      <x:c r="C229" t="str">
        <x:v>Mar 2025</x:v>
      </x:c>
      <x:c r="D229" t="str">
        <x:v>Actual</x:v>
      </x:c>
      <x:c r="E229" t="str">
        <x:v>DB-102</x:v>
      </x:c>
      <x:c r="F229" t="str">
        <x:v>GlowPatch Balm</x:v>
      </x:c>
      <x:c r="G229" t="str">
        <x:v>Consumable repeat</x:v>
      </x:c>
      <x:c r="H229" t="str">
        <x:v>None</x:v>
      </x:c>
      <x:c r="I229" t="str">
        <x:v>Active</x:v>
      </x:c>
      <x:c r="J229" t="str">
        <x:v>Shopify DTC</x:v>
      </x:c>
      <x:c r="K229" t="str">
        <x:v>Consumer</x:v>
      </x:c>
      <x:c r="L229" t="str">
        <x:v>All Geographies</x:v>
      </x:c>
      <x:c r="M229" s="34" t="n">
        <x:v>4161</x:v>
      </x:c>
      <x:c r="N229" s="28" t="n">
        <x:v>0.04248</x:v>
      </x:c>
      <x:c r="O229" s="34" t="n">
        <x:v>177</x:v>
      </x:c>
      <x:c r="P229" s="34" t="n">
        <x:v>1</x:v>
      </x:c>
      <x:c r="Q229" s="34" t="n">
        <x:v>177</x:v>
      </x:c>
      <x:c r="R229" s="33" t="n">
        <x:v>18</x:v>
      </x:c>
      <x:c r="S229" s="38" t="n">
        <x:v>3.186</x:v>
      </x:c>
      <x:c r="T229" s="38" t="n">
        <x:v>0.25488</x:v>
      </x:c>
      <x:c r="U229" s="38" t="n">
        <x:v>0.073278</x:v>
      </x:c>
      <x:c r="V229" s="38" t="n">
        <x:v>2.8578419999999998</x:v>
      </x:c>
      <x:c r="W229" s="38" t="n">
        <x:v>0.95757</x:v>
      </x:c>
      <x:c r="X229" s="38" t="n">
        <x:v>0.082877418</x:v>
      </x:c>
      <x:c r="Y229" s="38" t="n">
        <x:v>0</x:v>
      </x:c>
      <x:c r="Z229" s="38" t="n">
        <x:v>0.73455</x:v>
      </x:c>
      <x:c r="AA229" s="38" t="n">
        <x:v>0.29205000000000003</x:v>
      </x:c>
      <x:c r="AB229" s="38" t="n">
        <x:v>0.0010619999999999998</x:v>
      </x:c>
      <x:c r="AC229" s="38" t="n">
        <x:v>0.7897325819999996</x:v>
      </x:c>
      <x:c r="AD229" s="28" t="n">
        <x:v>0.2763387835996531</x:v>
      </x:c>
    </x:row>
    <x:row r="230">
      <x:c r="A230" s="32" t="n">
        <x:v>45740</x:v>
      </x:c>
      <x:c r="B230" s="32" t="n">
        <x:v>45717</x:v>
      </x:c>
      <x:c r="C230" t="str">
        <x:v>Mar 2025</x:v>
      </x:c>
      <x:c r="D230" t="str">
        <x:v>Actual</x:v>
      </x:c>
      <x:c r="E230" t="str">
        <x:v>DB-102</x:v>
      </x:c>
      <x:c r="F230" t="str">
        <x:v>GlowPatch Balm</x:v>
      </x:c>
      <x:c r="G230" t="str">
        <x:v>Consumable repeat</x:v>
      </x:c>
      <x:c r="H230" t="str">
        <x:v>None</x:v>
      </x:c>
      <x:c r="I230" t="str">
        <x:v>Active</x:v>
      </x:c>
      <x:c r="J230" t="str">
        <x:v>Amazon Marketplace</x:v>
      </x:c>
      <x:c r="K230" t="str">
        <x:v>Marketplace Consumer</x:v>
      </x:c>
      <x:c r="L230" t="str">
        <x:v>All Geographies</x:v>
      </x:c>
      <x:c r="M230" s="34" t="n">
        <x:v>2081</x:v>
      </x:c>
      <x:c r="N230" s="28" t="n">
        <x:v>0.050126399999999995</x:v>
      </x:c>
      <x:c r="O230" s="34" t="n">
        <x:v>104</x:v>
      </x:c>
      <x:c r="P230" s="34" t="n">
        <x:v>1</x:v>
      </x:c>
      <x:c r="Q230" s="34" t="n">
        <x:v>104</x:v>
      </x:c>
      <x:c r="R230" s="33" t="n">
        <x:v>18</x:v>
      </x:c>
      <x:c r="S230" s="38" t="n">
        <x:v>1.872</x:v>
      </x:c>
      <x:c r="T230" s="38" t="n">
        <x:v>0.09360000000000002</x:v>
      </x:c>
      <x:c r="U230" s="38" t="n">
        <x:v>0.04446</x:v>
      </x:c>
      <x:c r="V230" s="38" t="n">
        <x:v>1.73394</x:v>
      </x:c>
      <x:c r="W230" s="38" t="n">
        <x:v>0.56264</x:v>
      </x:c>
      <x:c r="X230" s="38" t="n">
        <x:v>0</x:v>
      </x:c>
      <x:c r="Y230" s="38" t="n">
        <x:v>0.260091</x:v>
      </x:c>
      <x:c r="Z230" s="38" t="n">
        <x:v>0.5408000000000001</x:v>
      </x:c>
      <x:c r="AA230" s="38" t="n">
        <x:v>0.2236</x:v>
      </x:c>
      <x:c r="AB230" s="38" t="n">
        <x:v>0.0006240000000000001</x:v>
      </x:c>
      <x:c r="AC230" s="38" t="n">
        <x:v>0.14618499999999987</x:v>
      </x:c>
      <x:c r="AD230" s="28" t="n">
        <x:v>0.08430799220272897</x:v>
      </x:c>
    </x:row>
    <x:row r="231">
      <x:c r="A231" s="32" t="n">
        <x:v>45740</x:v>
      </x:c>
      <x:c r="B231" s="32" t="n">
        <x:v>45717</x:v>
      </x:c>
      <x:c r="C231" t="str">
        <x:v>Mar 2025</x:v>
      </x:c>
      <x:c r="D231" t="str">
        <x:v>Actual</x:v>
      </x:c>
      <x:c r="E231" t="str">
        <x:v>DB-102</x:v>
      </x:c>
      <x:c r="F231" t="str">
        <x:v>GlowPatch Balm</x:v>
      </x:c>
      <x:c r="G231" t="str">
        <x:v>Consumable repeat</x:v>
      </x:c>
      <x:c r="H231" t="str">
        <x:v>None</x:v>
      </x:c>
      <x:c r="I231" t="str">
        <x:v>Active</x:v>
      </x:c>
      <x:c r="J231" t="str">
        <x:v>Wholesale</x:v>
      </x:c>
      <x:c r="K231" t="str">
        <x:v>Retailer</x:v>
      </x:c>
      <x:c r="L231" t="str">
        <x:v>All Geographies</x:v>
      </x:c>
      <x:c r="M231" s="34" t="n">
        <x:v>1248</x:v>
      </x:c>
      <x:c r="N231" s="28" t="n">
        <x:v>0.023364</x:v>
      </x:c>
      <x:c r="O231" s="34" t="n">
        <x:v>29</x:v>
      </x:c>
      <x:c r="P231" s="34" t="n">
        <x:v>1</x:v>
      </x:c>
      <x:c r="Q231" s="34" t="n">
        <x:v>29</x:v>
      </x:c>
      <x:c r="R231" s="33" t="n">
        <x:v>18</x:v>
      </x:c>
      <x:c r="S231" s="38" t="n">
        <x:v>0.522</x:v>
      </x:c>
      <x:c r="T231" s="38" t="n">
        <x:v>0.1827</x:v>
      </x:c>
      <x:c r="U231" s="38" t="n">
        <x:v>0.008482500000000002</x:v>
      </x:c>
      <x:c r="V231" s="38" t="n">
        <x:v>0.33081750000000004</x:v>
      </x:c>
      <x:c r="W231" s="38" t="n">
        <x:v>0.15689</x:v>
      </x:c>
      <x:c r="X231" s="38" t="n">
        <x:v>0</x:v>
      </x:c>
      <x:c r="Y231" s="38" t="n">
        <x:v>0</x:v>
      </x:c>
      <x:c r="Z231" s="38" t="n">
        <x:v>0.0667</x:v>
      </x:c>
      <x:c r="AA231" s="38" t="n">
        <x:v>0.02465</x:v>
      </x:c>
      <x:c r="AB231" s="38" t="n">
        <x:v>0.00017400000000000003</x:v>
      </x:c>
      <x:c r="AC231" s="38" t="n">
        <x:v>0.08240350000000006</x:v>
      </x:c>
      <x:c r="AD231" s="28" t="n">
        <x:v>0.2490905106289723</x:v>
      </x:c>
    </x:row>
    <x:row r="232">
      <x:c r="A232" s="32" t="n">
        <x:v>45740</x:v>
      </x:c>
      <x:c r="B232" s="32" t="n">
        <x:v>45717</x:v>
      </x:c>
      <x:c r="C232" t="str">
        <x:v>Mar 2025</x:v>
      </x:c>
      <x:c r="D232" t="str">
        <x:v>Actual</x:v>
      </x:c>
      <x:c r="E232" t="str">
        <x:v>DB-102</x:v>
      </x:c>
      <x:c r="F232" t="str">
        <x:v>GlowPatch Balm</x:v>
      </x:c>
      <x:c r="G232" t="str">
        <x:v>Consumable repeat</x:v>
      </x:c>
      <x:c r="H232" t="str">
        <x:v>None</x:v>
      </x:c>
      <x:c r="I232" t="str">
        <x:v>Active</x:v>
      </x:c>
      <x:c r="J232" t="str">
        <x:v>TikTok Shop</x:v>
      </x:c>
      <x:c r="K232" t="str">
        <x:v>Social Commerce</x:v>
      </x:c>
      <x:c r="L232" t="str">
        <x:v>All Geographies</x:v>
      </x:c>
      <x:c r="M232" s="34" t="n">
        <x:v>832</x:v>
      </x:c>
      <x:c r="N232" s="28" t="n">
        <x:v>0.0535248</x:v>
      </x:c>
      <x:c r="O232" s="34" t="n">
        <x:v>45</x:v>
      </x:c>
      <x:c r="P232" s="34" t="n">
        <x:v>1</x:v>
      </x:c>
      <x:c r="Q232" s="34" t="n">
        <x:v>45</x:v>
      </x:c>
      <x:c r="R232" s="33" t="n">
        <x:v>18</x:v>
      </x:c>
      <x:c r="S232" s="38" t="n">
        <x:v>0.81</x:v>
      </x:c>
      <x:c r="T232" s="38" t="n">
        <x:v>0.09720000000000001</x:v>
      </x:c>
      <x:c r="U232" s="38" t="n">
        <x:v>0.017820000000000003</x:v>
      </x:c>
      <x:c r="V232" s="38" t="n">
        <x:v>0.6949800000000002</x:v>
      </x:c>
      <x:c r="W232" s="38" t="n">
        <x:v>0.24345000000000003</x:v>
      </x:c>
      <x:c r="X232" s="38" t="n">
        <x:v>0.020154420000000006</x:v>
      </x:c>
      <x:c r="Y232" s="38" t="n">
        <x:v>0.04169880000000001</x:v>
      </x:c>
      <x:c r="Z232" s="38" t="n">
        <x:v>0.22949999999999998</x:v>
      </x:c>
      <x:c r="AA232" s="38" t="n">
        <x:v>0.07875</x:v>
      </x:c>
      <x:c r="AB232" s="38" t="n">
        <x:v>0.00027</x:v>
      </x:c>
      <x:c r="AC232" s="38" t="n">
        <x:v>0.08115678000000007</x:v>
      </x:c>
      <x:c r="AD232" s="28" t="n">
        <x:v>0.11677570577570584</x:v>
      </x:c>
    </x:row>
    <x:row r="233">
      <x:c r="A233" s="32" t="n">
        <x:v>45740</x:v>
      </x:c>
      <x:c r="B233" s="32" t="n">
        <x:v>45717</x:v>
      </x:c>
      <x:c r="C233" t="str">
        <x:v>Mar 2025</x:v>
      </x:c>
      <x:c r="D233" t="str">
        <x:v>Actual</x:v>
      </x:c>
      <x:c r="E233" t="str">
        <x:v>DB-103</x:v>
      </x:c>
      <x:c r="F233" t="str">
        <x:v>EmberTrail Camp Mug</x:v>
      </x:c>
      <x:c r="G233" t="str">
        <x:v>One-time purchase</x:v>
      </x:c>
      <x:c r="H233" t="str">
        <x:v>Winter peak</x:v>
      </x:c>
      <x:c r="I233" t="str">
        <x:v>Active</x:v>
      </x:c>
      <x:c r="J233" t="str">
        <x:v>Shopify DTC</x:v>
      </x:c>
      <x:c r="K233" t="str">
        <x:v>Consumer</x:v>
      </x:c>
      <x:c r="L233" t="str">
        <x:v>All Geographies</x:v>
      </x:c>
      <x:c r="M233" s="34" t="n">
        <x:v>3281</x:v>
      </x:c>
      <x:c r="N233" s="28" t="n">
        <x:v>0.0324</x:v>
      </x:c>
      <x:c r="O233" s="34" t="n">
        <x:v>106</x:v>
      </x:c>
      <x:c r="P233" s="34" t="n">
        <x:v>1</x:v>
      </x:c>
      <x:c r="Q233" s="34" t="n">
        <x:v>106</x:v>
      </x:c>
      <x:c r="R233" s="33" t="n">
        <x:v>34</x:v>
      </x:c>
      <x:c r="S233" s="38" t="n">
        <x:v>3.604</x:v>
      </x:c>
      <x:c r="T233" s="38" t="n">
        <x:v>0.28832</x:v>
      </x:c>
      <x:c r="U233" s="38" t="n">
        <x:v>0.1823624</x:v>
      </x:c>
      <x:c r="V233" s="38" t="n">
        <x:v>3.1333176</x:v>
      </x:c>
      <x:c r="W233" s="38" t="n">
        <x:v>1.44902</x:v>
      </x:c>
      <x:c r="X233" s="38" t="n">
        <x:v>0.0908662104</x:v>
      </x:c>
      <x:c r="Y233" s="38" t="n">
        <x:v>0</x:v>
      </x:c>
      <x:c r="Z233" s="38" t="n">
        <x:v>0.4399</x:v>
      </x:c>
      <x:c r="AA233" s="38" t="n">
        <x:v>0.17489999999999997</x:v>
      </x:c>
      <x:c r="AB233" s="38" t="n">
        <x:v>0.005936</x:v>
      </x:c>
      <x:c r="AC233" s="38" t="n">
        <x:v>0.9726953895999999</x:v>
      </x:c>
      <x:c r="AD233" s="28" t="n">
        <x:v>0.31043625759482535</x:v>
      </x:c>
    </x:row>
    <x:row r="234">
      <x:c r="A234" s="32" t="n">
        <x:v>45740</x:v>
      </x:c>
      <x:c r="B234" s="32" t="n">
        <x:v>45717</x:v>
      </x:c>
      <x:c r="C234" t="str">
        <x:v>Mar 2025</x:v>
      </x:c>
      <x:c r="D234" t="str">
        <x:v>Actual</x:v>
      </x:c>
      <x:c r="E234" t="str">
        <x:v>DB-103</x:v>
      </x:c>
      <x:c r="F234" t="str">
        <x:v>EmberTrail Camp Mug</x:v>
      </x:c>
      <x:c r="G234" t="str">
        <x:v>One-time purchase</x:v>
      </x:c>
      <x:c r="H234" t="str">
        <x:v>Winter peak</x:v>
      </x:c>
      <x:c r="I234" t="str">
        <x:v>Active</x:v>
      </x:c>
      <x:c r="J234" t="str">
        <x:v>Amazon Marketplace</x:v>
      </x:c>
      <x:c r="K234" t="str">
        <x:v>Marketplace Consumer</x:v>
      </x:c>
      <x:c r="L234" t="str">
        <x:v>All Geographies</x:v>
      </x:c>
      <x:c r="M234" s="34" t="n">
        <x:v>1641</x:v>
      </x:c>
      <x:c r="N234" s="28" t="n">
        <x:v>0.038231999999999995</x:v>
      </x:c>
      <x:c r="O234" s="34" t="n">
        <x:v>63</x:v>
      </x:c>
      <x:c r="P234" s="34" t="n">
        <x:v>1</x:v>
      </x:c>
      <x:c r="Q234" s="34" t="n">
        <x:v>63</x:v>
      </x:c>
      <x:c r="R234" s="33" t="n">
        <x:v>34</x:v>
      </x:c>
      <x:c r="S234" s="38" t="n">
        <x:v>2.142</x:v>
      </x:c>
      <x:c r="T234" s="38" t="n">
        <x:v>0.1071</x:v>
      </x:c>
      <x:c r="U234" s="38" t="n">
        <x:v>0.11191949999999999</x:v>
      </x:c>
      <x:c r="V234" s="38" t="n">
        <x:v>1.9229805</x:v>
      </x:c>
      <x:c r="W234" s="38" t="n">
        <x:v>0.86121</x:v>
      </x:c>
      <x:c r="X234" s="38" t="n">
        <x:v>0</x:v>
      </x:c>
      <x:c r="Y234" s="38" t="n">
        <x:v>0.288447075</x:v>
      </x:c>
      <x:c r="Z234" s="38" t="n">
        <x:v>0.3276</x:v>
      </x:c>
      <x:c r="AA234" s="38" t="n">
        <x:v>0.13545</x:v>
      </x:c>
      <x:c r="AB234" s="38" t="n">
        <x:v>0.003528</x:v>
      </x:c>
      <x:c r="AC234" s="38" t="n">
        <x:v>0.306745425</x:v>
      </x:c>
      <x:c r="AD234" s="28" t="n">
        <x:v>0.15951561911314235</x:v>
      </x:c>
    </x:row>
    <x:row r="235">
      <x:c r="A235" s="32" t="n">
        <x:v>45740</x:v>
      </x:c>
      <x:c r="B235" s="32" t="n">
        <x:v>45717</x:v>
      </x:c>
      <x:c r="C235" t="str">
        <x:v>Mar 2025</x:v>
      </x:c>
      <x:c r="D235" t="str">
        <x:v>Actual</x:v>
      </x:c>
      <x:c r="E235" t="str">
        <x:v>DB-103</x:v>
      </x:c>
      <x:c r="F235" t="str">
        <x:v>EmberTrail Camp Mug</x:v>
      </x:c>
      <x:c r="G235" t="str">
        <x:v>One-time purchase</x:v>
      </x:c>
      <x:c r="H235" t="str">
        <x:v>Winter peak</x:v>
      </x:c>
      <x:c r="I235" t="str">
        <x:v>Active</x:v>
      </x:c>
      <x:c r="J235" t="str">
        <x:v>Wholesale</x:v>
      </x:c>
      <x:c r="K235" t="str">
        <x:v>Retailer</x:v>
      </x:c>
      <x:c r="L235" t="str">
        <x:v>All Geographies</x:v>
      </x:c>
      <x:c r="M235" s="34" t="n">
        <x:v>984</x:v>
      </x:c>
      <x:c r="N235" s="28" t="n">
        <x:v>0.017820000000000003</x:v>
      </x:c>
      <x:c r="O235" s="34" t="n">
        <x:v>18</x:v>
      </x:c>
      <x:c r="P235" s="34" t="n">
        <x:v>1</x:v>
      </x:c>
      <x:c r="Q235" s="34" t="n">
        <x:v>18</x:v>
      </x:c>
      <x:c r="R235" s="33" t="n">
        <x:v>34</x:v>
      </x:c>
      <x:c r="S235" s="38" t="n">
        <x:v>0.612</x:v>
      </x:c>
      <x:c r="T235" s="38" t="n">
        <x:v>0.21419999999999997</x:v>
      </x:c>
      <x:c r="U235" s="38" t="n">
        <x:v>0.021879000000000003</x:v>
      </x:c>
      <x:c r="V235" s="38" t="n">
        <x:v>0.37592100000000006</x:v>
      </x:c>
      <x:c r="W235" s="38" t="n">
        <x:v>0.24606</x:v>
      </x:c>
      <x:c r="X235" s="38" t="n">
        <x:v>0</x:v>
      </x:c>
      <x:c r="Y235" s="38" t="n">
        <x:v>0</x:v>
      </x:c>
      <x:c r="Z235" s="38" t="n">
        <x:v>0.0414</x:v>
      </x:c>
      <x:c r="AA235" s="38" t="n">
        <x:v>0.0153</x:v>
      </x:c>
      <x:c r="AB235" s="38" t="n">
        <x:v>0.001008</x:v>
      </x:c>
      <x:c r="AC235" s="38" t="n">
        <x:v>0.07215300000000008</x:v>
      </x:c>
      <x:c r="AD235" s="28" t="n">
        <x:v>0.19193660370130977</x:v>
      </x:c>
    </x:row>
    <x:row r="236">
      <x:c r="A236" s="32" t="n">
        <x:v>45740</x:v>
      </x:c>
      <x:c r="B236" s="32" t="n">
        <x:v>45717</x:v>
      </x:c>
      <x:c r="C236" t="str">
        <x:v>Mar 2025</x:v>
      </x:c>
      <x:c r="D236" t="str">
        <x:v>Actual</x:v>
      </x:c>
      <x:c r="E236" t="str">
        <x:v>DB-103</x:v>
      </x:c>
      <x:c r="F236" t="str">
        <x:v>EmberTrail Camp Mug</x:v>
      </x:c>
      <x:c r="G236" t="str">
        <x:v>One-time purchase</x:v>
      </x:c>
      <x:c r="H236" t="str">
        <x:v>Winter peak</x:v>
      </x:c>
      <x:c r="I236" t="str">
        <x:v>Active</x:v>
      </x:c>
      <x:c r="J236" t="str">
        <x:v>TikTok Shop</x:v>
      </x:c>
      <x:c r="K236" t="str">
        <x:v>Social Commerce</x:v>
      </x:c>
      <x:c r="L236" t="str">
        <x:v>All Geographies</x:v>
      </x:c>
      <x:c r="M236" s="34" t="n">
        <x:v>656</x:v>
      </x:c>
      <x:c r="N236" s="28" t="n">
        <x:v>0.040824</x:v>
      </x:c>
      <x:c r="O236" s="34" t="n">
        <x:v>27</x:v>
      </x:c>
      <x:c r="P236" s="34" t="n">
        <x:v>1</x:v>
      </x:c>
      <x:c r="Q236" s="34" t="n">
        <x:v>27</x:v>
      </x:c>
      <x:c r="R236" s="33" t="n">
        <x:v>34</x:v>
      </x:c>
      <x:c r="S236" s="38" t="n">
        <x:v>0.918</x:v>
      </x:c>
      <x:c r="T236" s="38" t="n">
        <x:v>0.11016</x:v>
      </x:c>
      <x:c r="U236" s="38" t="n">
        <x:v>0.0444312</x:v>
      </x:c>
      <x:c r="V236" s="38" t="n">
        <x:v>0.7634088</x:v>
      </x:c>
      <x:c r="W236" s="38" t="n">
        <x:v>0.36909</x:v>
      </x:c>
      <x:c r="X236" s="38" t="n">
        <x:v>0.0221388552</x:v>
      </x:c>
      <x:c r="Y236" s="38" t="n">
        <x:v>0.045804528</x:v>
      </x:c>
      <x:c r="Z236" s="38" t="n">
        <x:v>0.1377</x:v>
      </x:c>
      <x:c r="AA236" s="38" t="n">
        <x:v>0.04725</x:v>
      </x:c>
      <x:c r="AB236" s="38" t="n">
        <x:v>0.001512</x:v>
      </x:c>
      <x:c r="AC236" s="38" t="n">
        <x:v>0.13991341680000002</x:v>
      </x:c>
      <x:c r="AD236" s="28" t="n">
        <x:v>0.18327456639221348</x:v>
      </x:c>
    </x:row>
    <x:row r="237">
      <x:c r="A237" s="32" t="n">
        <x:v>45740</x:v>
      </x:c>
      <x:c r="B237" s="32" t="n">
        <x:v>45717</x:v>
      </x:c>
      <x:c r="C237" t="str">
        <x:v>Mar 2025</x:v>
      </x:c>
      <x:c r="D237" t="str">
        <x:v>Actual</x:v>
      </x:c>
      <x:c r="E237" t="str">
        <x:v>DB-104</x:v>
      </x:c>
      <x:c r="F237" t="str">
        <x:v>SunNest Cooling Towel</x:v>
      </x:c>
      <x:c r="G237" t="str">
        <x:v>Consumable repeat</x:v>
      </x:c>
      <x:c r="H237" t="str">
        <x:v>Summer peak</x:v>
      </x:c>
      <x:c r="I237" t="str">
        <x:v>Active</x:v>
      </x:c>
      <x:c r="J237" t="str">
        <x:v>Shopify DTC</x:v>
      </x:c>
      <x:c r="K237" t="str">
        <x:v>Consumer</x:v>
      </x:c>
      <x:c r="L237" t="str">
        <x:v>All Geographies</x:v>
      </x:c>
      <x:c r="M237" s="34" t="n">
        <x:v>2964</x:v>
      </x:c>
      <x:c r="N237" s="28" t="n">
        <x:v>0.03312</x:v>
      </x:c>
      <x:c r="O237" s="34" t="n">
        <x:v>98</x:v>
      </x:c>
      <x:c r="P237" s="34" t="n">
        <x:v>1</x:v>
      </x:c>
      <x:c r="Q237" s="34" t="n">
        <x:v>98</x:v>
      </x:c>
      <x:c r="R237" s="33" t="n">
        <x:v>42</x:v>
      </x:c>
      <x:c r="S237" s="38" t="n">
        <x:v>4.116</x:v>
      </x:c>
      <x:c r="T237" s="38" t="n">
        <x:v>0.32927999999999996</x:v>
      </x:c>
      <x:c r="U237" s="38" t="n">
        <x:v>0.189336</x:v>
      </x:c>
      <x:c r="V237" s="38" t="n">
        <x:v>3.597384</x:v>
      </x:c>
      <x:c r="W237" s="38" t="n">
        <x:v>1.4749</x:v>
      </x:c>
      <x:c r="X237" s="38" t="n">
        <x:v>0.104324136</x:v>
      </x:c>
      <x:c r="Y237" s="38" t="n">
        <x:v>0</x:v>
      </x:c>
      <x:c r="Z237" s="38" t="n">
        <x:v>0.40670000000000006</x:v>
      </x:c>
      <x:c r="AA237" s="38" t="n">
        <x:v>0.16169999999999998</x:v>
      </x:c>
      <x:c r="AB237" s="38" t="n">
        <x:v>0.002744</x:v>
      </x:c>
      <x:c r="AC237" s="38" t="n">
        <x:v>1.4470158640000002</x:v>
      </x:c>
      <x:c r="AD237" s="28" t="n">
        <x:v>0.4022411463441212</x:v>
      </x:c>
    </x:row>
    <x:row r="238">
      <x:c r="A238" s="32" t="n">
        <x:v>45740</x:v>
      </x:c>
      <x:c r="B238" s="32" t="n">
        <x:v>45717</x:v>
      </x:c>
      <x:c r="C238" t="str">
        <x:v>Mar 2025</x:v>
      </x:c>
      <x:c r="D238" t="str">
        <x:v>Actual</x:v>
      </x:c>
      <x:c r="E238" t="str">
        <x:v>DB-104</x:v>
      </x:c>
      <x:c r="F238" t="str">
        <x:v>SunNest Cooling Towel</x:v>
      </x:c>
      <x:c r="G238" t="str">
        <x:v>Consumable repeat</x:v>
      </x:c>
      <x:c r="H238" t="str">
        <x:v>Summer peak</x:v>
      </x:c>
      <x:c r="I238" t="str">
        <x:v>Active</x:v>
      </x:c>
      <x:c r="J238" t="str">
        <x:v>Amazon Marketplace</x:v>
      </x:c>
      <x:c r="K238" t="str">
        <x:v>Marketplace Consumer</x:v>
      </x:c>
      <x:c r="L238" t="str">
        <x:v>All Geographies</x:v>
      </x:c>
      <x:c r="M238" s="34" t="n">
        <x:v>1482</x:v>
      </x:c>
      <x:c r="N238" s="28" t="n">
        <x:v>0.0390816</x:v>
      </x:c>
      <x:c r="O238" s="34" t="n">
        <x:v>58</x:v>
      </x:c>
      <x:c r="P238" s="34" t="n">
        <x:v>1</x:v>
      </x:c>
      <x:c r="Q238" s="34" t="n">
        <x:v>58</x:v>
      </x:c>
      <x:c r="R238" s="33" t="n">
        <x:v>42</x:v>
      </x:c>
      <x:c r="S238" s="38" t="n">
        <x:v>2.436</x:v>
      </x:c>
      <x:c r="T238" s="38" t="n">
        <x:v>0.1218</x:v>
      </x:c>
      <x:c r="U238" s="38" t="n">
        <x:v>0.11571000000000001</x:v>
      </x:c>
      <x:c r="V238" s="38" t="n">
        <x:v>2.19849</x:v>
      </x:c>
      <x:c r="W238" s="38" t="n">
        <x:v>0.8729000000000001</x:v>
      </x:c>
      <x:c r="X238" s="38" t="n">
        <x:v>0</x:v>
      </x:c>
      <x:c r="Y238" s="38" t="n">
        <x:v>0.3297735</x:v>
      </x:c>
      <x:c r="Z238" s="38" t="n">
        <x:v>0.30160000000000003</x:v>
      </x:c>
      <x:c r="AA238" s="38" t="n">
        <x:v>0.12469999999999999</x:v>
      </x:c>
      <x:c r="AB238" s="38" t="n">
        <x:v>0.0016239999999999998</x:v>
      </x:c>
      <x:c r="AC238" s="38" t="n">
        <x:v>0.5678925</x:v>
      </x:c>
      <x:c r="AD238" s="28" t="n">
        <x:v>0.2583102493074792</x:v>
      </x:c>
    </x:row>
    <x:row r="239">
      <x:c r="A239" s="32" t="n">
        <x:v>45740</x:v>
      </x:c>
      <x:c r="B239" s="32" t="n">
        <x:v>45717</x:v>
      </x:c>
      <x:c r="C239" t="str">
        <x:v>Mar 2025</x:v>
      </x:c>
      <x:c r="D239" t="str">
        <x:v>Actual</x:v>
      </x:c>
      <x:c r="E239" t="str">
        <x:v>DB-104</x:v>
      </x:c>
      <x:c r="F239" t="str">
        <x:v>SunNest Cooling Towel</x:v>
      </x:c>
      <x:c r="G239" t="str">
        <x:v>Consumable repeat</x:v>
      </x:c>
      <x:c r="H239" t="str">
        <x:v>Summer peak</x:v>
      </x:c>
      <x:c r="I239" t="str">
        <x:v>Active</x:v>
      </x:c>
      <x:c r="J239" t="str">
        <x:v>Wholesale</x:v>
      </x:c>
      <x:c r="K239" t="str">
        <x:v>Retailer</x:v>
      </x:c>
      <x:c r="L239" t="str">
        <x:v>All Geographies</x:v>
      </x:c>
      <x:c r="M239" s="34" t="n">
        <x:v>889</x:v>
      </x:c>
      <x:c r="N239" s="28" t="n">
        <x:v>0.018216000000000003</x:v>
      </x:c>
      <x:c r="O239" s="34" t="n">
        <x:v>16</x:v>
      </x:c>
      <x:c r="P239" s="34" t="n">
        <x:v>1</x:v>
      </x:c>
      <x:c r="Q239" s="34" t="n">
        <x:v>16</x:v>
      </x:c>
      <x:c r="R239" s="33" t="n">
        <x:v>42</x:v>
      </x:c>
      <x:c r="S239" s="38" t="n">
        <x:v>0.672</x:v>
      </x:c>
      <x:c r="T239" s="38" t="n">
        <x:v>0.2352</x:v>
      </x:c>
      <x:c r="U239" s="38" t="n">
        <x:v>0.021840000000000005</x:v>
      </x:c>
      <x:c r="V239" s="38" t="n">
        <x:v>0.41496000000000005</x:v>
      </x:c>
      <x:c r="W239" s="38" t="n">
        <x:v>0.24080000000000001</x:v>
      </x:c>
      <x:c r="X239" s="38" t="n">
        <x:v>0</x:v>
      </x:c>
      <x:c r="Y239" s="38" t="n">
        <x:v>0</x:v>
      </x:c>
      <x:c r="Z239" s="38" t="n">
        <x:v>0.0368</x:v>
      </x:c>
      <x:c r="AA239" s="38" t="n">
        <x:v>0.0136</x:v>
      </x:c>
      <x:c r="AB239" s="38" t="n">
        <x:v>0.00044799999999999994</x:v>
      </x:c>
      <x:c r="AC239" s="38" t="n">
        <x:v>0.12331200000000003</x:v>
      </x:c>
      <x:c r="AD239" s="28" t="n">
        <x:v>0.29716599190283405</x:v>
      </x:c>
    </x:row>
    <x:row r="240">
      <x:c r="A240" s="32" t="n">
        <x:v>45740</x:v>
      </x:c>
      <x:c r="B240" s="32" t="n">
        <x:v>45717</x:v>
      </x:c>
      <x:c r="C240" t="str">
        <x:v>Mar 2025</x:v>
      </x:c>
      <x:c r="D240" t="str">
        <x:v>Actual</x:v>
      </x:c>
      <x:c r="E240" t="str">
        <x:v>DB-104</x:v>
      </x:c>
      <x:c r="F240" t="str">
        <x:v>SunNest Cooling Towel</x:v>
      </x:c>
      <x:c r="G240" t="str">
        <x:v>Consumable repeat</x:v>
      </x:c>
      <x:c r="H240" t="str">
        <x:v>Summer peak</x:v>
      </x:c>
      <x:c r="I240" t="str">
        <x:v>Active</x:v>
      </x:c>
      <x:c r="J240" t="str">
        <x:v>TikTok Shop</x:v>
      </x:c>
      <x:c r="K240" t="str">
        <x:v>Social Commerce</x:v>
      </x:c>
      <x:c r="L240" t="str">
        <x:v>All Geographies</x:v>
      </x:c>
      <x:c r="M240" s="34" t="n">
        <x:v>593</x:v>
      </x:c>
      <x:c r="N240" s="28" t="n">
        <x:v>0.0417312</x:v>
      </x:c>
      <x:c r="O240" s="34" t="n">
        <x:v>25</x:v>
      </x:c>
      <x:c r="P240" s="34" t="n">
        <x:v>1</x:v>
      </x:c>
      <x:c r="Q240" s="34" t="n">
        <x:v>25</x:v>
      </x:c>
      <x:c r="R240" s="33" t="n">
        <x:v>42</x:v>
      </x:c>
      <x:c r="S240" s="38" t="n">
        <x:v>1.05</x:v>
      </x:c>
      <x:c r="T240" s="38" t="n">
        <x:v>0.126</x:v>
      </x:c>
      <x:c r="U240" s="38" t="n">
        <x:v>0.046200000000000005</x:v>
      </x:c>
      <x:c r="V240" s="38" t="n">
        <x:v>0.8778</x:v>
      </x:c>
      <x:c r="W240" s="38" t="n">
        <x:v>0.37625</x:v>
      </x:c>
      <x:c r="X240" s="38" t="n">
        <x:v>0.025456200000000002</x:v>
      </x:c>
      <x:c r="Y240" s="38" t="n">
        <x:v>0.052668</x:v>
      </x:c>
      <x:c r="Z240" s="38" t="n">
        <x:v>0.12749999999999997</x:v>
      </x:c>
      <x:c r="AA240" s="38" t="n">
        <x:v>0.04375</x:v>
      </x:c>
      <x:c r="AB240" s="38" t="n">
        <x:v>0.0007</x:v>
      </x:c>
      <x:c r="AC240" s="38" t="n">
        <x:v>0.25147580000000014</x:v>
      </x:c>
      <x:c r="AD240" s="28" t="n">
        <x:v>0.28648416495784934</x:v>
      </x:c>
    </x:row>
    <x:row r="241">
      <x:c r="A241" s="32" t="n">
        <x:v>45740</x:v>
      </x:c>
      <x:c r="B241" s="32" t="n">
        <x:v>45717</x:v>
      </x:c>
      <x:c r="C241" t="str">
        <x:v>Mar 2025</x:v>
      </x:c>
      <x:c r="D241" t="str">
        <x:v>Actual</x:v>
      </x:c>
      <x:c r="E241" t="str">
        <x:v>DB-105</x:v>
      </x:c>
      <x:c r="F241" t="str">
        <x:v>DreamFuel Refill Pack</x:v>
      </x:c>
      <x:c r="G241" t="str">
        <x:v>Subscription</x:v>
      </x:c>
      <x:c r="H241" t="str">
        <x:v>None</x:v>
      </x:c>
      <x:c r="I241" t="str">
        <x:v>Active</x:v>
      </x:c>
      <x:c r="J241" t="str">
        <x:v>Shopify DTC</x:v>
      </x:c>
      <x:c r="K241" t="str">
        <x:v>Consumer</x:v>
      </x:c>
      <x:c r="L241" t="str">
        <x:v>All Geographies</x:v>
      </x:c>
      <x:c r="M241" s="34" t="n">
        <x:v>3567</x:v>
      </x:c>
      <x:c r="N241" s="28" t="n">
        <x:v>0.03888</x:v>
      </x:c>
      <x:c r="O241" s="34" t="n">
        <x:v>139</x:v>
      </x:c>
      <x:c r="P241" s="34" t="n">
        <x:v>1</x:v>
      </x:c>
      <x:c r="Q241" s="34" t="n">
        <x:v>139</x:v>
      </x:c>
      <x:c r="R241" s="33" t="n">
        <x:v>56</x:v>
      </x:c>
      <x:c r="S241" s="38" t="n">
        <x:v>7.784</x:v>
      </x:c>
      <x:c r="T241" s="38" t="n">
        <x:v>0.62272</x:v>
      </x:c>
      <x:c r="U241" s="38" t="n">
        <x:v>0.1432256</x:v>
      </x:c>
      <x:c r="V241" s="38" t="n">
        <x:v>7.0180544</x:v>
      </x:c>
      <x:c r="W241" s="38" t="n">
        <x:v>2.5881800000000004</x:v>
      </x:c>
      <x:c r="X241" s="38" t="n">
        <x:v>0.2035235776</x:v>
      </x:c>
      <x:c r="Y241" s="38" t="n">
        <x:v>0</x:v>
      </x:c>
      <x:c r="Z241" s="38" t="n">
        <x:v>0.57685</x:v>
      </x:c>
      <x:c r="AA241" s="38" t="n">
        <x:v>0.22935</x:v>
      </x:c>
      <x:c r="AB241" s="38" t="n">
        <x:v>0.0005003999999999999</x:v>
      </x:c>
      <x:c r="AC241" s="38" t="n">
        <x:v>3.419650422399999</x:v>
      </x:c>
      <x:c r="AD241" s="28" t="n">
        <x:v>0.48726473570794765</x:v>
      </x:c>
    </x:row>
    <x:row r="242">
      <x:c r="A242" s="32" t="n">
        <x:v>45740</x:v>
      </x:c>
      <x:c r="B242" s="32" t="n">
        <x:v>45717</x:v>
      </x:c>
      <x:c r="C242" t="str">
        <x:v>Mar 2025</x:v>
      </x:c>
      <x:c r="D242" t="str">
        <x:v>Actual</x:v>
      </x:c>
      <x:c r="E242" t="str">
        <x:v>DB-105</x:v>
      </x:c>
      <x:c r="F242" t="str">
        <x:v>DreamFuel Refill Pack</x:v>
      </x:c>
      <x:c r="G242" t="str">
        <x:v>Subscription</x:v>
      </x:c>
      <x:c r="H242" t="str">
        <x:v>None</x:v>
      </x:c>
      <x:c r="I242" t="str">
        <x:v>Active</x:v>
      </x:c>
      <x:c r="J242" t="str">
        <x:v>Amazon Marketplace</x:v>
      </x:c>
      <x:c r="K242" t="str">
        <x:v>Marketplace Consumer</x:v>
      </x:c>
      <x:c r="L242" t="str">
        <x:v>All Geographies</x:v>
      </x:c>
      <x:c r="M242" s="34" t="n">
        <x:v>1783</x:v>
      </x:c>
      <x:c r="N242" s="28" t="n">
        <x:v>0.0458784</x:v>
      </x:c>
      <x:c r="O242" s="34" t="n">
        <x:v>82</x:v>
      </x:c>
      <x:c r="P242" s="34" t="n">
        <x:v>1</x:v>
      </x:c>
      <x:c r="Q242" s="34" t="n">
        <x:v>82</x:v>
      </x:c>
      <x:c r="R242" s="33" t="n">
        <x:v>56</x:v>
      </x:c>
      <x:c r="S242" s="38" t="n">
        <x:v>4.592</x:v>
      </x:c>
      <x:c r="T242" s="38" t="n">
        <x:v>0.2296</x:v>
      </x:c>
      <x:c r="U242" s="38" t="n">
        <x:v>0.087248</x:v>
      </x:c>
      <x:c r="V242" s="38" t="n">
        <x:v>4.275152</x:v>
      </x:c>
      <x:c r="W242" s="38" t="n">
        <x:v>1.5268400000000002</x:v>
      </x:c>
      <x:c r="X242" s="38" t="n">
        <x:v>0</x:v>
      </x:c>
      <x:c r="Y242" s="38" t="n">
        <x:v>0.6412728</x:v>
      </x:c>
      <x:c r="Z242" s="38" t="n">
        <x:v>0.42640000000000006</x:v>
      </x:c>
      <x:c r="AA242" s="38" t="n">
        <x:v>0.17629999999999998</x:v>
      </x:c>
      <x:c r="AB242" s="38" t="n">
        <x:v>0.00029519999999999997</x:v>
      </x:c>
      <x:c r="AC242" s="38" t="n">
        <x:v>1.5040440000000004</x:v>
      </x:c>
      <x:c r="AD242" s="28" t="n">
        <x:v>0.3518106490716588</x:v>
      </x:c>
    </x:row>
    <x:row r="243">
      <x:c r="A243" s="32" t="n">
        <x:v>45740</x:v>
      </x:c>
      <x:c r="B243" s="32" t="n">
        <x:v>45717</x:v>
      </x:c>
      <x:c r="C243" t="str">
        <x:v>Mar 2025</x:v>
      </x:c>
      <x:c r="D243" t="str">
        <x:v>Actual</x:v>
      </x:c>
      <x:c r="E243" t="str">
        <x:v>DB-105</x:v>
      </x:c>
      <x:c r="F243" t="str">
        <x:v>DreamFuel Refill Pack</x:v>
      </x:c>
      <x:c r="G243" t="str">
        <x:v>Subscription</x:v>
      </x:c>
      <x:c r="H243" t="str">
        <x:v>None</x:v>
      </x:c>
      <x:c r="I243" t="str">
        <x:v>Active</x:v>
      </x:c>
      <x:c r="J243" t="str">
        <x:v>Wholesale</x:v>
      </x:c>
      <x:c r="K243" t="str">
        <x:v>Retailer</x:v>
      </x:c>
      <x:c r="L243" t="str">
        <x:v>All Geographies</x:v>
      </x:c>
      <x:c r="M243" s="34" t="n">
        <x:v>1070</x:v>
      </x:c>
      <x:c r="N243" s="28" t="n">
        <x:v>0.021384000000000004</x:v>
      </x:c>
      <x:c r="O243" s="34" t="n">
        <x:v>23</x:v>
      </x:c>
      <x:c r="P243" s="34" t="n">
        <x:v>1</x:v>
      </x:c>
      <x:c r="Q243" s="34" t="n">
        <x:v>23</x:v>
      </x:c>
      <x:c r="R243" s="33" t="n">
        <x:v>56</x:v>
      </x:c>
      <x:c r="S243" s="38" t="n">
        <x:v>1.288</x:v>
      </x:c>
      <x:c r="T243" s="38" t="n">
        <x:v>0.4508</x:v>
      </x:c>
      <x:c r="U243" s="38" t="n">
        <x:v>0.016744000000000002</x:v>
      </x:c>
      <x:c r="V243" s="38" t="n">
        <x:v>0.8204560000000001</x:v>
      </x:c>
      <x:c r="W243" s="38" t="n">
        <x:v>0.42826000000000003</x:v>
      </x:c>
      <x:c r="X243" s="38" t="n">
        <x:v>0</x:v>
      </x:c>
      <x:c r="Y243" s="38" t="n">
        <x:v>0</x:v>
      </x:c>
      <x:c r="Z243" s="38" t="n">
        <x:v>0.052899999999999996</x:v>
      </x:c>
      <x:c r="AA243" s="38" t="n">
        <x:v>0.01955</x:v>
      </x:c>
      <x:c r="AB243" s="38" t="n">
        <x:v>0.0000828</x:v>
      </x:c>
      <x:c r="AC243" s="38" t="n">
        <x:v>0.31966320000000004</x:v>
      </x:c>
      <x:c r="AD243" s="28" t="n">
        <x:v>0.38961650594303654</x:v>
      </x:c>
    </x:row>
    <x:row r="244">
      <x:c r="A244" s="32" t="n">
        <x:v>45740</x:v>
      </x:c>
      <x:c r="B244" s="32" t="n">
        <x:v>45717</x:v>
      </x:c>
      <x:c r="C244" t="str">
        <x:v>Mar 2025</x:v>
      </x:c>
      <x:c r="D244" t="str">
        <x:v>Actual</x:v>
      </x:c>
      <x:c r="E244" t="str">
        <x:v>DB-105</x:v>
      </x:c>
      <x:c r="F244" t="str">
        <x:v>DreamFuel Refill Pack</x:v>
      </x:c>
      <x:c r="G244" t="str">
        <x:v>Subscription</x:v>
      </x:c>
      <x:c r="H244" t="str">
        <x:v>None</x:v>
      </x:c>
      <x:c r="I244" t="str">
        <x:v>Active</x:v>
      </x:c>
      <x:c r="J244" t="str">
        <x:v>TikTok Shop</x:v>
      </x:c>
      <x:c r="K244" t="str">
        <x:v>Social Commerce</x:v>
      </x:c>
      <x:c r="L244" t="str">
        <x:v>All Geographies</x:v>
      </x:c>
      <x:c r="M244" s="34" t="n">
        <x:v>713</x:v>
      </x:c>
      <x:c r="N244" s="28" t="n">
        <x:v>0.0489888</x:v>
      </x:c>
      <x:c r="O244" s="34" t="n">
        <x:v>35</x:v>
      </x:c>
      <x:c r="P244" s="34" t="n">
        <x:v>1</x:v>
      </x:c>
      <x:c r="Q244" s="34" t="n">
        <x:v>35</x:v>
      </x:c>
      <x:c r="R244" s="33" t="n">
        <x:v>56</x:v>
      </x:c>
      <x:c r="S244" s="38" t="n">
        <x:v>1.96</x:v>
      </x:c>
      <x:c r="T244" s="38" t="n">
        <x:v>0.2352</x:v>
      </x:c>
      <x:c r="U244" s="38" t="n">
        <x:v>0.034496</x:v>
      </x:c>
      <x:c r="V244" s="38" t="n">
        <x:v>1.6903039999999998</x:v>
      </x:c>
      <x:c r="W244" s="38" t="n">
        <x:v>0.6517000000000001</x:v>
      </x:c>
      <x:c r="X244" s="38" t="n">
        <x:v>0.049018816</x:v>
      </x:c>
      <x:c r="Y244" s="38" t="n">
        <x:v>0.10141823999999998</x:v>
      </x:c>
      <x:c r="Z244" s="38" t="n">
        <x:v>0.1785</x:v>
      </x:c>
      <x:c r="AA244" s="38" t="n">
        <x:v>0.06125</x:v>
      </x:c>
      <x:c r="AB244" s="38" t="n">
        <x:v>0.000126</x:v>
      </x:c>
      <x:c r="AC244" s="38" t="n">
        <x:v>0.6482909439999999</x:v>
      </x:c>
      <x:c r="AD244" s="28" t="n">
        <x:v>0.38353511794328116</x:v>
      </x:c>
    </x:row>
    <x:row r="245">
      <x:c r="A245" s="32" t="n">
        <x:v>45747</x:v>
      </x:c>
      <x:c r="B245" s="32" t="n">
        <x:v>45717</x:v>
      </x:c>
      <x:c r="C245" t="str">
        <x:v>Mar 2025</x:v>
      </x:c>
      <x:c r="D245" t="str">
        <x:v>Actual</x:v>
      </x:c>
      <x:c r="E245" t="str">
        <x:v>DB-101</x:v>
      </x:c>
      <x:c r="F245" t="str">
        <x:v>AeroSip Bottle</x:v>
      </x:c>
      <x:c r="G245" t="str">
        <x:v>One-time purchase</x:v>
      </x:c>
      <x:c r="H245" t="str">
        <x:v>None</x:v>
      </x:c>
      <x:c r="I245" t="str">
        <x:v>Active</x:v>
      </x:c>
      <x:c r="J245" t="str">
        <x:v>Shopify DTC</x:v>
      </x:c>
      <x:c r="K245" t="str">
        <x:v>Consumer</x:v>
      </x:c>
      <x:c r="L245" t="str">
        <x:v>All Geographies</x:v>
      </x:c>
      <x:c r="M245" s="34" t="n">
        <x:v>5173</x:v>
      </x:c>
      <x:c r="N245" s="28" t="n">
        <x:v>0.034199999999999994</x:v>
      </x:c>
      <x:c r="O245" s="34" t="n">
        <x:v>177</x:v>
      </x:c>
      <x:c r="P245" s="34" t="n">
        <x:v>1</x:v>
      </x:c>
      <x:c r="Q245" s="34" t="n">
        <x:v>177</x:v>
      </x:c>
      <x:c r="R245" s="33" t="n">
        <x:v>29</x:v>
      </x:c>
      <x:c r="S245" s="38" t="n">
        <x:v>5.133</x:v>
      </x:c>
      <x:c r="T245" s="38" t="n">
        <x:v>0.41064</x:v>
      </x:c>
      <x:c r="U245" s="38" t="n">
        <x:v>0.2125062</x:v>
      </x:c>
      <x:c r="V245" s="38" t="n">
        <x:v>4.5098538</x:v>
      </x:c>
      <x:c r="W245" s="38" t="n">
        <x:v>1.9116000000000002</x:v>
      </x:c>
      <x:c r="X245" s="38" t="n">
        <x:v>0.13078576020000002</x:v>
      </x:c>
      <x:c r="Y245" s="38" t="n">
        <x:v>0</x:v>
      </x:c>
      <x:c r="Z245" s="38" t="n">
        <x:v>0.73455</x:v>
      </x:c>
      <x:c r="AA245" s="38" t="n">
        <x:v>0.29205000000000003</x:v>
      </x:c>
      <x:c r="AB245" s="38" t="n">
        <x:v>0.006372</x:v>
      </x:c>
      <x:c r="AC245" s="38" t="n">
        <x:v>1.4344960397999997</x:v>
      </x:c>
      <x:c r="AD245" s="28" t="n">
        <x:v>0.31808038650831644</x:v>
      </x:c>
    </x:row>
    <x:row r="246">
      <x:c r="A246" s="32" t="n">
        <x:v>45747</x:v>
      </x:c>
      <x:c r="B246" s="32" t="n">
        <x:v>45717</x:v>
      </x:c>
      <x:c r="C246" t="str">
        <x:v>Mar 2025</x:v>
      </x:c>
      <x:c r="D246" t="str">
        <x:v>Actual</x:v>
      </x:c>
      <x:c r="E246" t="str">
        <x:v>DB-101</x:v>
      </x:c>
      <x:c r="F246" t="str">
        <x:v>AeroSip Bottle</x:v>
      </x:c>
      <x:c r="G246" t="str">
        <x:v>One-time purchase</x:v>
      </x:c>
      <x:c r="H246" t="str">
        <x:v>None</x:v>
      </x:c>
      <x:c r="I246" t="str">
        <x:v>Active</x:v>
      </x:c>
      <x:c r="J246" t="str">
        <x:v>Amazon Marketplace</x:v>
      </x:c>
      <x:c r="K246" t="str">
        <x:v>Marketplace Consumer</x:v>
      </x:c>
      <x:c r="L246" t="str">
        <x:v>All Geographies</x:v>
      </x:c>
      <x:c r="M246" s="34" t="n">
        <x:v>2586</x:v>
      </x:c>
      <x:c r="N246" s="28" t="n">
        <x:v>0.040355999999999996</x:v>
      </x:c>
      <x:c r="O246" s="34" t="n">
        <x:v>104</x:v>
      </x:c>
      <x:c r="P246" s="34" t="n">
        <x:v>1</x:v>
      </x:c>
      <x:c r="Q246" s="34" t="n">
        <x:v>104</x:v>
      </x:c>
      <x:c r="R246" s="33" t="n">
        <x:v>29</x:v>
      </x:c>
      <x:c r="S246" s="38" t="n">
        <x:v>3.016</x:v>
      </x:c>
      <x:c r="T246" s="38" t="n">
        <x:v>0.15080000000000002</x:v>
      </x:c>
      <x:c r="U246" s="38" t="n">
        <x:v>0.128934</x:v>
      </x:c>
      <x:c r="V246" s="38" t="n">
        <x:v>2.736266</x:v>
      </x:c>
      <x:c r="W246" s="38" t="n">
        <x:v>1.1232</x:v>
      </x:c>
      <x:c r="X246" s="38" t="n">
        <x:v>0</x:v>
      </x:c>
      <x:c r="Y246" s="38" t="n">
        <x:v>0.4104399</x:v>
      </x:c>
      <x:c r="Z246" s="38" t="n">
        <x:v>0.5408000000000001</x:v>
      </x:c>
      <x:c r="AA246" s="38" t="n">
        <x:v>0.2236</x:v>
      </x:c>
      <x:c r="AB246" s="38" t="n">
        <x:v>0.003744</x:v>
      </x:c>
      <x:c r="AC246" s="38" t="n">
        <x:v>0.4344820999999999</x:v>
      </x:c>
      <x:c r="AD246" s="28" t="n">
        <x:v>0.15878649955815696</x:v>
      </x:c>
    </x:row>
    <x:row r="247">
      <x:c r="A247" s="32" t="n">
        <x:v>45747</x:v>
      </x:c>
      <x:c r="B247" s="32" t="n">
        <x:v>45717</x:v>
      </x:c>
      <x:c r="C247" t="str">
        <x:v>Mar 2025</x:v>
      </x:c>
      <x:c r="D247" t="str">
        <x:v>Actual</x:v>
      </x:c>
      <x:c r="E247" t="str">
        <x:v>DB-101</x:v>
      </x:c>
      <x:c r="F247" t="str">
        <x:v>AeroSip Bottle</x:v>
      </x:c>
      <x:c r="G247" t="str">
        <x:v>One-time purchase</x:v>
      </x:c>
      <x:c r="H247" t="str">
        <x:v>None</x:v>
      </x:c>
      <x:c r="I247" t="str">
        <x:v>Active</x:v>
      </x:c>
      <x:c r="J247" t="str">
        <x:v>Wholesale</x:v>
      </x:c>
      <x:c r="K247" t="str">
        <x:v>Retailer</x:v>
      </x:c>
      <x:c r="L247" t="str">
        <x:v>All Geographies</x:v>
      </x:c>
      <x:c r="M247" s="34" t="n">
        <x:v>1552</x:v>
      </x:c>
      <x:c r="N247" s="28" t="n">
        <x:v>0.01881</x:v>
      </x:c>
      <x:c r="O247" s="34" t="n">
        <x:v>29</x:v>
      </x:c>
      <x:c r="P247" s="34" t="n">
        <x:v>1</x:v>
      </x:c>
      <x:c r="Q247" s="34" t="n">
        <x:v>29</x:v>
      </x:c>
      <x:c r="R247" s="33" t="n">
        <x:v>29</x:v>
      </x:c>
      <x:c r="S247" s="38" t="n">
        <x:v>0.841</x:v>
      </x:c>
      <x:c r="T247" s="38" t="n">
        <x:v>0.29434999999999995</x:v>
      </x:c>
      <x:c r="U247" s="38" t="n">
        <x:v>0.024599250000000003</x:v>
      </x:c>
      <x:c r="V247" s="38" t="n">
        <x:v>0.5220507500000001</x:v>
      </x:c>
      <x:c r="W247" s="38" t="n">
        <x:v>0.31320000000000003</x:v>
      </x:c>
      <x:c r="X247" s="38" t="n">
        <x:v>0</x:v>
      </x:c>
      <x:c r="Y247" s="38" t="n">
        <x:v>0</x:v>
      </x:c>
      <x:c r="Z247" s="38" t="n">
        <x:v>0.0667</x:v>
      </x:c>
      <x:c r="AA247" s="38" t="n">
        <x:v>0.02465</x:v>
      </x:c>
      <x:c r="AB247" s="38" t="n">
        <x:v>0.001044</x:v>
      </x:c>
      <x:c r="AC247" s="38" t="n">
        <x:v>0.1164567500000001</x:v>
      </x:c>
      <x:c r="AD247" s="28" t="n">
        <x:v>0.22307553432305205</x:v>
      </x:c>
    </x:row>
    <x:row r="248">
      <x:c r="A248" s="32" t="n">
        <x:v>45747</x:v>
      </x:c>
      <x:c r="B248" s="32" t="n">
        <x:v>45717</x:v>
      </x:c>
      <x:c r="C248" t="str">
        <x:v>Mar 2025</x:v>
      </x:c>
      <x:c r="D248" t="str">
        <x:v>Actual</x:v>
      </x:c>
      <x:c r="E248" t="str">
        <x:v>DB-101</x:v>
      </x:c>
      <x:c r="F248" t="str">
        <x:v>AeroSip Bottle</x:v>
      </x:c>
      <x:c r="G248" t="str">
        <x:v>One-time purchase</x:v>
      </x:c>
      <x:c r="H248" t="str">
        <x:v>None</x:v>
      </x:c>
      <x:c r="I248" t="str">
        <x:v>Active</x:v>
      </x:c>
      <x:c r="J248" t="str">
        <x:v>TikTok Shop</x:v>
      </x:c>
      <x:c r="K248" t="str">
        <x:v>Social Commerce</x:v>
      </x:c>
      <x:c r="L248" t="str">
        <x:v>All Geographies</x:v>
      </x:c>
      <x:c r="M248" s="34" t="n">
        <x:v>1035</x:v>
      </x:c>
      <x:c r="N248" s="28" t="n">
        <x:v>0.043092</x:v>
      </x:c>
      <x:c r="O248" s="34" t="n">
        <x:v>45</x:v>
      </x:c>
      <x:c r="P248" s="34" t="n">
        <x:v>1</x:v>
      </x:c>
      <x:c r="Q248" s="34" t="n">
        <x:v>45</x:v>
      </x:c>
      <x:c r="R248" s="33" t="n">
        <x:v>29</x:v>
      </x:c>
      <x:c r="S248" s="38" t="n">
        <x:v>1.305</x:v>
      </x:c>
      <x:c r="T248" s="38" t="n">
        <x:v>0.1566</x:v>
      </x:c>
      <x:c r="U248" s="38" t="n">
        <x:v>0.051677999999999995</x:v>
      </x:c>
      <x:c r="V248" s="38" t="n">
        <x:v>1.096722</x:v>
      </x:c>
      <x:c r="W248" s="38" t="n">
        <x:v>0.48600000000000004</x:v>
      </x:c>
      <x:c r="X248" s="38" t="n">
        <x:v>0.031804938</x:v>
      </x:c>
      <x:c r="Y248" s="38" t="n">
        <x:v>0.06580332</x:v>
      </x:c>
      <x:c r="Z248" s="38" t="n">
        <x:v>0.22949999999999998</x:v>
      </x:c>
      <x:c r="AA248" s="38" t="n">
        <x:v>0.07875</x:v>
      </x:c>
      <x:c r="AB248" s="38" t="n">
        <x:v>0.0016200000000000001</x:v>
      </x:c>
      <x:c r="AC248" s="38" t="n">
        <x:v>0.20324374200000006</x:v>
      </x:c>
      <x:c r="AD248" s="28" t="n">
        <x:v>0.18531928966502</x:v>
      </x:c>
    </x:row>
    <x:row r="249">
      <x:c r="A249" s="32" t="n">
        <x:v>45747</x:v>
      </x:c>
      <x:c r="B249" s="32" t="n">
        <x:v>45717</x:v>
      </x:c>
      <x:c r="C249" t="str">
        <x:v>Mar 2025</x:v>
      </x:c>
      <x:c r="D249" t="str">
        <x:v>Actual</x:v>
      </x:c>
      <x:c r="E249" t="str">
        <x:v>DB-102</x:v>
      </x:c>
      <x:c r="F249" t="str">
        <x:v>GlowPatch Balm</x:v>
      </x:c>
      <x:c r="G249" t="str">
        <x:v>Consumable repeat</x:v>
      </x:c>
      <x:c r="H249" t="str">
        <x:v>None</x:v>
      </x:c>
      <x:c r="I249" t="str">
        <x:v>Active</x:v>
      </x:c>
      <x:c r="J249" t="str">
        <x:v>Shopify DTC</x:v>
      </x:c>
      <x:c r="K249" t="str">
        <x:v>Consumer</x:v>
      </x:c>
      <x:c r="L249" t="str">
        <x:v>All Geographies</x:v>
      </x:c>
      <x:c r="M249" s="34" t="n">
        <x:v>4178</x:v>
      </x:c>
      <x:c r="N249" s="28" t="n">
        <x:v>0.04248</x:v>
      </x:c>
      <x:c r="O249" s="34" t="n">
        <x:v>177</x:v>
      </x:c>
      <x:c r="P249" s="34" t="n">
        <x:v>1</x:v>
      </x:c>
      <x:c r="Q249" s="34" t="n">
        <x:v>177</x:v>
      </x:c>
      <x:c r="R249" s="33" t="n">
        <x:v>18</x:v>
      </x:c>
      <x:c r="S249" s="38" t="n">
        <x:v>3.186</x:v>
      </x:c>
      <x:c r="T249" s="38" t="n">
        <x:v>0.25488</x:v>
      </x:c>
      <x:c r="U249" s="38" t="n">
        <x:v>0.073278</x:v>
      </x:c>
      <x:c r="V249" s="38" t="n">
        <x:v>2.8578419999999998</x:v>
      </x:c>
      <x:c r="W249" s="38" t="n">
        <x:v>0.95757</x:v>
      </x:c>
      <x:c r="X249" s="38" t="n">
        <x:v>0.082877418</x:v>
      </x:c>
      <x:c r="Y249" s="38" t="n">
        <x:v>0</x:v>
      </x:c>
      <x:c r="Z249" s="38" t="n">
        <x:v>0.73455</x:v>
      </x:c>
      <x:c r="AA249" s="38" t="n">
        <x:v>0.29205000000000003</x:v>
      </x:c>
      <x:c r="AB249" s="38" t="n">
        <x:v>0.0010619999999999998</x:v>
      </x:c>
      <x:c r="AC249" s="38" t="n">
        <x:v>0.7897325819999996</x:v>
      </x:c>
      <x:c r="AD249" s="28" t="n">
        <x:v>0.2763387835996531</x:v>
      </x:c>
    </x:row>
    <x:row r="250">
      <x:c r="A250" s="32" t="n">
        <x:v>45747</x:v>
      </x:c>
      <x:c r="B250" s="32" t="n">
        <x:v>45717</x:v>
      </x:c>
      <x:c r="C250" t="str">
        <x:v>Mar 2025</x:v>
      </x:c>
      <x:c r="D250" t="str">
        <x:v>Actual</x:v>
      </x:c>
      <x:c r="E250" t="str">
        <x:v>DB-102</x:v>
      </x:c>
      <x:c r="F250" t="str">
        <x:v>GlowPatch Balm</x:v>
      </x:c>
      <x:c r="G250" t="str">
        <x:v>Consumable repeat</x:v>
      </x:c>
      <x:c r="H250" t="str">
        <x:v>None</x:v>
      </x:c>
      <x:c r="I250" t="str">
        <x:v>Active</x:v>
      </x:c>
      <x:c r="J250" t="str">
        <x:v>Amazon Marketplace</x:v>
      </x:c>
      <x:c r="K250" t="str">
        <x:v>Marketplace Consumer</x:v>
      </x:c>
      <x:c r="L250" t="str">
        <x:v>All Geographies</x:v>
      </x:c>
      <x:c r="M250" s="34" t="n">
        <x:v>2089</x:v>
      </x:c>
      <x:c r="N250" s="28" t="n">
        <x:v>0.050126399999999995</x:v>
      </x:c>
      <x:c r="O250" s="34" t="n">
        <x:v>105</x:v>
      </x:c>
      <x:c r="P250" s="34" t="n">
        <x:v>1</x:v>
      </x:c>
      <x:c r="Q250" s="34" t="n">
        <x:v>105</x:v>
      </x:c>
      <x:c r="R250" s="33" t="n">
        <x:v>18</x:v>
      </x:c>
      <x:c r="S250" s="38" t="n">
        <x:v>1.89</x:v>
      </x:c>
      <x:c r="T250" s="38" t="n">
        <x:v>0.0945</x:v>
      </x:c>
      <x:c r="U250" s="38" t="n">
        <x:v>0.0448875</x:v>
      </x:c>
      <x:c r="V250" s="38" t="n">
        <x:v>1.7506125</x:v>
      </x:c>
      <x:c r="W250" s="38" t="n">
        <x:v>0.56805</x:v>
      </x:c>
      <x:c r="X250" s="38" t="n">
        <x:v>0</x:v>
      </x:c>
      <x:c r="Y250" s="38" t="n">
        <x:v>0.262591875</x:v>
      </x:c>
      <x:c r="Z250" s="38" t="n">
        <x:v>0.546</x:v>
      </x:c>
      <x:c r="AA250" s="38" t="n">
        <x:v>0.22575</x:v>
      </x:c>
      <x:c r="AB250" s="38" t="n">
        <x:v>0.00063</x:v>
      </x:c>
      <x:c r="AC250" s="38" t="n">
        <x:v>0.1475906249999999</x:v>
      </x:c>
      <x:c r="AD250" s="28" t="n">
        <x:v>0.08430799220272898</x:v>
      </x:c>
    </x:row>
    <x:row r="251">
      <x:c r="A251" s="32" t="n">
        <x:v>45747</x:v>
      </x:c>
      <x:c r="B251" s="32" t="n">
        <x:v>45717</x:v>
      </x:c>
      <x:c r="C251" t="str">
        <x:v>Mar 2025</x:v>
      </x:c>
      <x:c r="D251" t="str">
        <x:v>Actual</x:v>
      </x:c>
      <x:c r="E251" t="str">
        <x:v>DB-102</x:v>
      </x:c>
      <x:c r="F251" t="str">
        <x:v>GlowPatch Balm</x:v>
      </x:c>
      <x:c r="G251" t="str">
        <x:v>Consumable repeat</x:v>
      </x:c>
      <x:c r="H251" t="str">
        <x:v>None</x:v>
      </x:c>
      <x:c r="I251" t="str">
        <x:v>Active</x:v>
      </x:c>
      <x:c r="J251" t="str">
        <x:v>Wholesale</x:v>
      </x:c>
      <x:c r="K251" t="str">
        <x:v>Retailer</x:v>
      </x:c>
      <x:c r="L251" t="str">
        <x:v>All Geographies</x:v>
      </x:c>
      <x:c r="M251" s="34" t="n">
        <x:v>1253</x:v>
      </x:c>
      <x:c r="N251" s="28" t="n">
        <x:v>0.023364</x:v>
      </x:c>
      <x:c r="O251" s="34" t="n">
        <x:v>29</x:v>
      </x:c>
      <x:c r="P251" s="34" t="n">
        <x:v>1</x:v>
      </x:c>
      <x:c r="Q251" s="34" t="n">
        <x:v>29</x:v>
      </x:c>
      <x:c r="R251" s="33" t="n">
        <x:v>18</x:v>
      </x:c>
      <x:c r="S251" s="38" t="n">
        <x:v>0.522</x:v>
      </x:c>
      <x:c r="T251" s="38" t="n">
        <x:v>0.1827</x:v>
      </x:c>
      <x:c r="U251" s="38" t="n">
        <x:v>0.008482500000000002</x:v>
      </x:c>
      <x:c r="V251" s="38" t="n">
        <x:v>0.33081750000000004</x:v>
      </x:c>
      <x:c r="W251" s="38" t="n">
        <x:v>0.15689</x:v>
      </x:c>
      <x:c r="X251" s="38" t="n">
        <x:v>0</x:v>
      </x:c>
      <x:c r="Y251" s="38" t="n">
        <x:v>0</x:v>
      </x:c>
      <x:c r="Z251" s="38" t="n">
        <x:v>0.0667</x:v>
      </x:c>
      <x:c r="AA251" s="38" t="n">
        <x:v>0.02465</x:v>
      </x:c>
      <x:c r="AB251" s="38" t="n">
        <x:v>0.00017400000000000003</x:v>
      </x:c>
      <x:c r="AC251" s="38" t="n">
        <x:v>0.08240350000000006</x:v>
      </x:c>
      <x:c r="AD251" s="28" t="n">
        <x:v>0.2490905106289723</x:v>
      </x:c>
    </x:row>
    <x:row r="252">
      <x:c r="A252" s="32" t="n">
        <x:v>45747</x:v>
      </x:c>
      <x:c r="B252" s="32" t="n">
        <x:v>45717</x:v>
      </x:c>
      <x:c r="C252" t="str">
        <x:v>Mar 2025</x:v>
      </x:c>
      <x:c r="D252" t="str">
        <x:v>Actual</x:v>
      </x:c>
      <x:c r="E252" t="str">
        <x:v>DB-102</x:v>
      </x:c>
      <x:c r="F252" t="str">
        <x:v>GlowPatch Balm</x:v>
      </x:c>
      <x:c r="G252" t="str">
        <x:v>Consumable repeat</x:v>
      </x:c>
      <x:c r="H252" t="str">
        <x:v>None</x:v>
      </x:c>
      <x:c r="I252" t="str">
        <x:v>Active</x:v>
      </x:c>
      <x:c r="J252" t="str">
        <x:v>TikTok Shop</x:v>
      </x:c>
      <x:c r="K252" t="str">
        <x:v>Social Commerce</x:v>
      </x:c>
      <x:c r="L252" t="str">
        <x:v>All Geographies</x:v>
      </x:c>
      <x:c r="M252" s="34" t="n">
        <x:v>836</x:v>
      </x:c>
      <x:c r="N252" s="28" t="n">
        <x:v>0.0535248</x:v>
      </x:c>
      <x:c r="O252" s="34" t="n">
        <x:v>45</x:v>
      </x:c>
      <x:c r="P252" s="34" t="n">
        <x:v>1</x:v>
      </x:c>
      <x:c r="Q252" s="34" t="n">
        <x:v>45</x:v>
      </x:c>
      <x:c r="R252" s="33" t="n">
        <x:v>18</x:v>
      </x:c>
      <x:c r="S252" s="38" t="n">
        <x:v>0.81</x:v>
      </x:c>
      <x:c r="T252" s="38" t="n">
        <x:v>0.09720000000000001</x:v>
      </x:c>
      <x:c r="U252" s="38" t="n">
        <x:v>0.017820000000000003</x:v>
      </x:c>
      <x:c r="V252" s="38" t="n">
        <x:v>0.6949800000000002</x:v>
      </x:c>
      <x:c r="W252" s="38" t="n">
        <x:v>0.24345000000000003</x:v>
      </x:c>
      <x:c r="X252" s="38" t="n">
        <x:v>0.020154420000000006</x:v>
      </x:c>
      <x:c r="Y252" s="38" t="n">
        <x:v>0.04169880000000001</x:v>
      </x:c>
      <x:c r="Z252" s="38" t="n">
        <x:v>0.22949999999999998</x:v>
      </x:c>
      <x:c r="AA252" s="38" t="n">
        <x:v>0.07875</x:v>
      </x:c>
      <x:c r="AB252" s="38" t="n">
        <x:v>0.00027</x:v>
      </x:c>
      <x:c r="AC252" s="38" t="n">
        <x:v>0.08115678000000007</x:v>
      </x:c>
      <x:c r="AD252" s="28" t="n">
        <x:v>0.11677570577570584</x:v>
      </x:c>
    </x:row>
    <x:row r="253">
      <x:c r="A253" s="32" t="n">
        <x:v>45747</x:v>
      </x:c>
      <x:c r="B253" s="32" t="n">
        <x:v>45717</x:v>
      </x:c>
      <x:c r="C253" t="str">
        <x:v>Mar 2025</x:v>
      </x:c>
      <x:c r="D253" t="str">
        <x:v>Actual</x:v>
      </x:c>
      <x:c r="E253" t="str">
        <x:v>DB-103</x:v>
      </x:c>
      <x:c r="F253" t="str">
        <x:v>EmberTrail Camp Mug</x:v>
      </x:c>
      <x:c r="G253" t="str">
        <x:v>One-time purchase</x:v>
      </x:c>
      <x:c r="H253" t="str">
        <x:v>Winter peak</x:v>
      </x:c>
      <x:c r="I253" t="str">
        <x:v>Active</x:v>
      </x:c>
      <x:c r="J253" t="str">
        <x:v>Shopify DTC</x:v>
      </x:c>
      <x:c r="K253" t="str">
        <x:v>Consumer</x:v>
      </x:c>
      <x:c r="L253" t="str">
        <x:v>All Geographies</x:v>
      </x:c>
      <x:c r="M253" s="34" t="n">
        <x:v>3295</x:v>
      </x:c>
      <x:c r="N253" s="28" t="n">
        <x:v>0.0324</x:v>
      </x:c>
      <x:c r="O253" s="34" t="n">
        <x:v>107</x:v>
      </x:c>
      <x:c r="P253" s="34" t="n">
        <x:v>1</x:v>
      </x:c>
      <x:c r="Q253" s="34" t="n">
        <x:v>107</x:v>
      </x:c>
      <x:c r="R253" s="33" t="n">
        <x:v>34</x:v>
      </x:c>
      <x:c r="S253" s="38" t="n">
        <x:v>3.638</x:v>
      </x:c>
      <x:c r="T253" s="38" t="n">
        <x:v>0.29104</x:v>
      </x:c>
      <x:c r="U253" s="38" t="n">
        <x:v>0.1840828</x:v>
      </x:c>
      <x:c r="V253" s="38" t="n">
        <x:v>3.1628771999999996</x:v>
      </x:c>
      <x:c r="W253" s="38" t="n">
        <x:v>1.46269</x:v>
      </x:c>
      <x:c r="X253" s="38" t="n">
        <x:v>0.09172343879999999</x:v>
      </x:c>
      <x:c r="Y253" s="38" t="n">
        <x:v>0</x:v>
      </x:c>
      <x:c r="Z253" s="38" t="n">
        <x:v>0.44405</x:v>
      </x:c>
      <x:c r="AA253" s="38" t="n">
        <x:v>0.17654999999999998</x:v>
      </x:c>
      <x:c r="AB253" s="38" t="n">
        <x:v>0.005992</x:v>
      </x:c>
      <x:c r="AC253" s="38" t="n">
        <x:v>0.9818717611999996</x:v>
      </x:c>
      <x:c r="AD253" s="28" t="n">
        <x:v>0.3104362575948253</x:v>
      </x:c>
    </x:row>
    <x:row r="254">
      <x:c r="A254" s="32" t="n">
        <x:v>45747</x:v>
      </x:c>
      <x:c r="B254" s="32" t="n">
        <x:v>45717</x:v>
      </x:c>
      <x:c r="C254" t="str">
        <x:v>Mar 2025</x:v>
      </x:c>
      <x:c r="D254" t="str">
        <x:v>Actual</x:v>
      </x:c>
      <x:c r="E254" t="str">
        <x:v>DB-103</x:v>
      </x:c>
      <x:c r="F254" t="str">
        <x:v>EmberTrail Camp Mug</x:v>
      </x:c>
      <x:c r="G254" t="str">
        <x:v>One-time purchase</x:v>
      </x:c>
      <x:c r="H254" t="str">
        <x:v>Winter peak</x:v>
      </x:c>
      <x:c r="I254" t="str">
        <x:v>Active</x:v>
      </x:c>
      <x:c r="J254" t="str">
        <x:v>Amazon Marketplace</x:v>
      </x:c>
      <x:c r="K254" t="str">
        <x:v>Marketplace Consumer</x:v>
      </x:c>
      <x:c r="L254" t="str">
        <x:v>All Geographies</x:v>
      </x:c>
      <x:c r="M254" s="34" t="n">
        <x:v>1647</x:v>
      </x:c>
      <x:c r="N254" s="28" t="n">
        <x:v>0.038231999999999995</x:v>
      </x:c>
      <x:c r="O254" s="34" t="n">
        <x:v>63</x:v>
      </x:c>
      <x:c r="P254" s="34" t="n">
        <x:v>1</x:v>
      </x:c>
      <x:c r="Q254" s="34" t="n">
        <x:v>63</x:v>
      </x:c>
      <x:c r="R254" s="33" t="n">
        <x:v>34</x:v>
      </x:c>
      <x:c r="S254" s="38" t="n">
        <x:v>2.142</x:v>
      </x:c>
      <x:c r="T254" s="38" t="n">
        <x:v>0.1071</x:v>
      </x:c>
      <x:c r="U254" s="38" t="n">
        <x:v>0.11191949999999999</x:v>
      </x:c>
      <x:c r="V254" s="38" t="n">
        <x:v>1.9229805</x:v>
      </x:c>
      <x:c r="W254" s="38" t="n">
        <x:v>0.86121</x:v>
      </x:c>
      <x:c r="X254" s="38" t="n">
        <x:v>0</x:v>
      </x:c>
      <x:c r="Y254" s="38" t="n">
        <x:v>0.288447075</x:v>
      </x:c>
      <x:c r="Z254" s="38" t="n">
        <x:v>0.3276</x:v>
      </x:c>
      <x:c r="AA254" s="38" t="n">
        <x:v>0.13545</x:v>
      </x:c>
      <x:c r="AB254" s="38" t="n">
        <x:v>0.003528</x:v>
      </x:c>
      <x:c r="AC254" s="38" t="n">
        <x:v>0.306745425</x:v>
      </x:c>
      <x:c r="AD254" s="28" t="n">
        <x:v>0.15951561911314235</x:v>
      </x:c>
    </x:row>
    <x:row r="255">
      <x:c r="A255" s="32" t="n">
        <x:v>45747</x:v>
      </x:c>
      <x:c r="B255" s="32" t="n">
        <x:v>45717</x:v>
      </x:c>
      <x:c r="C255" t="str">
        <x:v>Mar 2025</x:v>
      </x:c>
      <x:c r="D255" t="str">
        <x:v>Actual</x:v>
      </x:c>
      <x:c r="E255" t="str">
        <x:v>DB-103</x:v>
      </x:c>
      <x:c r="F255" t="str">
        <x:v>EmberTrail Camp Mug</x:v>
      </x:c>
      <x:c r="G255" t="str">
        <x:v>One-time purchase</x:v>
      </x:c>
      <x:c r="H255" t="str">
        <x:v>Winter peak</x:v>
      </x:c>
      <x:c r="I255" t="str">
        <x:v>Active</x:v>
      </x:c>
      <x:c r="J255" t="str">
        <x:v>Wholesale</x:v>
      </x:c>
      <x:c r="K255" t="str">
        <x:v>Retailer</x:v>
      </x:c>
      <x:c r="L255" t="str">
        <x:v>All Geographies</x:v>
      </x:c>
      <x:c r="M255" s="34" t="n">
        <x:v>988</x:v>
      </x:c>
      <x:c r="N255" s="28" t="n">
        <x:v>0.017820000000000003</x:v>
      </x:c>
      <x:c r="O255" s="34" t="n">
        <x:v>18</x:v>
      </x:c>
      <x:c r="P255" s="34" t="n">
        <x:v>1</x:v>
      </x:c>
      <x:c r="Q255" s="34" t="n">
        <x:v>18</x:v>
      </x:c>
      <x:c r="R255" s="33" t="n">
        <x:v>34</x:v>
      </x:c>
      <x:c r="S255" s="38" t="n">
        <x:v>0.612</x:v>
      </x:c>
      <x:c r="T255" s="38" t="n">
        <x:v>0.21419999999999997</x:v>
      </x:c>
      <x:c r="U255" s="38" t="n">
        <x:v>0.021879000000000003</x:v>
      </x:c>
      <x:c r="V255" s="38" t="n">
        <x:v>0.37592100000000006</x:v>
      </x:c>
      <x:c r="W255" s="38" t="n">
        <x:v>0.24606</x:v>
      </x:c>
      <x:c r="X255" s="38" t="n">
        <x:v>0</x:v>
      </x:c>
      <x:c r="Y255" s="38" t="n">
        <x:v>0</x:v>
      </x:c>
      <x:c r="Z255" s="38" t="n">
        <x:v>0.0414</x:v>
      </x:c>
      <x:c r="AA255" s="38" t="n">
        <x:v>0.0153</x:v>
      </x:c>
      <x:c r="AB255" s="38" t="n">
        <x:v>0.001008</x:v>
      </x:c>
      <x:c r="AC255" s="38" t="n">
        <x:v>0.07215300000000008</x:v>
      </x:c>
      <x:c r="AD255" s="28" t="n">
        <x:v>0.19193660370130977</x:v>
      </x:c>
    </x:row>
    <x:row r="256">
      <x:c r="A256" s="32" t="n">
        <x:v>45747</x:v>
      </x:c>
      <x:c r="B256" s="32" t="n">
        <x:v>45717</x:v>
      </x:c>
      <x:c r="C256" t="str">
        <x:v>Mar 2025</x:v>
      </x:c>
      <x:c r="D256" t="str">
        <x:v>Actual</x:v>
      </x:c>
      <x:c r="E256" t="str">
        <x:v>DB-103</x:v>
      </x:c>
      <x:c r="F256" t="str">
        <x:v>EmberTrail Camp Mug</x:v>
      </x:c>
      <x:c r="G256" t="str">
        <x:v>One-time purchase</x:v>
      </x:c>
      <x:c r="H256" t="str">
        <x:v>Winter peak</x:v>
      </x:c>
      <x:c r="I256" t="str">
        <x:v>Active</x:v>
      </x:c>
      <x:c r="J256" t="str">
        <x:v>TikTok Shop</x:v>
      </x:c>
      <x:c r="K256" t="str">
        <x:v>Social Commerce</x:v>
      </x:c>
      <x:c r="L256" t="str">
        <x:v>All Geographies</x:v>
      </x:c>
      <x:c r="M256" s="34" t="n">
        <x:v>659</x:v>
      </x:c>
      <x:c r="N256" s="28" t="n">
        <x:v>0.040824</x:v>
      </x:c>
      <x:c r="O256" s="34" t="n">
        <x:v>27</x:v>
      </x:c>
      <x:c r="P256" s="34" t="n">
        <x:v>1</x:v>
      </x:c>
      <x:c r="Q256" s="34" t="n">
        <x:v>27</x:v>
      </x:c>
      <x:c r="R256" s="33" t="n">
        <x:v>34</x:v>
      </x:c>
      <x:c r="S256" s="38" t="n">
        <x:v>0.918</x:v>
      </x:c>
      <x:c r="T256" s="38" t="n">
        <x:v>0.11016</x:v>
      </x:c>
      <x:c r="U256" s="38" t="n">
        <x:v>0.0444312</x:v>
      </x:c>
      <x:c r="V256" s="38" t="n">
        <x:v>0.7634088</x:v>
      </x:c>
      <x:c r="W256" s="38" t="n">
        <x:v>0.36909</x:v>
      </x:c>
      <x:c r="X256" s="38" t="n">
        <x:v>0.0221388552</x:v>
      </x:c>
      <x:c r="Y256" s="38" t="n">
        <x:v>0.045804528</x:v>
      </x:c>
      <x:c r="Z256" s="38" t="n">
        <x:v>0.1377</x:v>
      </x:c>
      <x:c r="AA256" s="38" t="n">
        <x:v>0.04725</x:v>
      </x:c>
      <x:c r="AB256" s="38" t="n">
        <x:v>0.001512</x:v>
      </x:c>
      <x:c r="AC256" s="38" t="n">
        <x:v>0.13991341680000002</x:v>
      </x:c>
      <x:c r="AD256" s="28" t="n">
        <x:v>0.18327456639221348</x:v>
      </x:c>
    </x:row>
    <x:row r="257">
      <x:c r="A257" s="32" t="n">
        <x:v>45747</x:v>
      </x:c>
      <x:c r="B257" s="32" t="n">
        <x:v>45717</x:v>
      </x:c>
      <x:c r="C257" t="str">
        <x:v>Mar 2025</x:v>
      </x:c>
      <x:c r="D257" t="str">
        <x:v>Actual</x:v>
      </x:c>
      <x:c r="E257" t="str">
        <x:v>DB-104</x:v>
      </x:c>
      <x:c r="F257" t="str">
        <x:v>SunNest Cooling Towel</x:v>
      </x:c>
      <x:c r="G257" t="str">
        <x:v>Consumable repeat</x:v>
      </x:c>
      <x:c r="H257" t="str">
        <x:v>Summer peak</x:v>
      </x:c>
      <x:c r="I257" t="str">
        <x:v>Active</x:v>
      </x:c>
      <x:c r="J257" t="str">
        <x:v>Shopify DTC</x:v>
      </x:c>
      <x:c r="K257" t="str">
        <x:v>Consumer</x:v>
      </x:c>
      <x:c r="L257" t="str">
        <x:v>All Geographies</x:v>
      </x:c>
      <x:c r="M257" s="34" t="n">
        <x:v>2976</x:v>
      </x:c>
      <x:c r="N257" s="28" t="n">
        <x:v>0.03312</x:v>
      </x:c>
      <x:c r="O257" s="34" t="n">
        <x:v>99</x:v>
      </x:c>
      <x:c r="P257" s="34" t="n">
        <x:v>1</x:v>
      </x:c>
      <x:c r="Q257" s="34" t="n">
        <x:v>99</x:v>
      </x:c>
      <x:c r="R257" s="33" t="n">
        <x:v>42</x:v>
      </x:c>
      <x:c r="S257" s="38" t="n">
        <x:v>4.158</x:v>
      </x:c>
      <x:c r="T257" s="38" t="n">
        <x:v>0.33264000000000005</x:v>
      </x:c>
      <x:c r="U257" s="38" t="n">
        <x:v>0.19126800000000002</x:v>
      </x:c>
      <x:c r="V257" s="38" t="n">
        <x:v>3.6340920000000003</x:v>
      </x:c>
      <x:c r="W257" s="38" t="n">
        <x:v>1.48995</x:v>
      </x:c>
      <x:c r="X257" s="38" t="n">
        <x:v>0.10538866800000002</x:v>
      </x:c>
      <x:c r="Y257" s="38" t="n">
        <x:v>0</x:v>
      </x:c>
      <x:c r="Z257" s="38" t="n">
        <x:v>0.41085000000000005</x:v>
      </x:c>
      <x:c r="AA257" s="38" t="n">
        <x:v>0.16335</x:v>
      </x:c>
      <x:c r="AB257" s="38" t="n">
        <x:v>0.0027719999999999997</x:v>
      </x:c>
      <x:c r="AC257" s="38" t="n">
        <x:v>1.4617813320000008</x:v>
      </x:c>
      <x:c r="AD257" s="28" t="n">
        <x:v>0.40224114634412134</x:v>
      </x:c>
    </x:row>
    <x:row r="258">
      <x:c r="A258" s="32" t="n">
        <x:v>45747</x:v>
      </x:c>
      <x:c r="B258" s="32" t="n">
        <x:v>45717</x:v>
      </x:c>
      <x:c r="C258" t="str">
        <x:v>Mar 2025</x:v>
      </x:c>
      <x:c r="D258" t="str">
        <x:v>Actual</x:v>
      </x:c>
      <x:c r="E258" t="str">
        <x:v>DB-104</x:v>
      </x:c>
      <x:c r="F258" t="str">
        <x:v>SunNest Cooling Towel</x:v>
      </x:c>
      <x:c r="G258" t="str">
        <x:v>Consumable repeat</x:v>
      </x:c>
      <x:c r="H258" t="str">
        <x:v>Summer peak</x:v>
      </x:c>
      <x:c r="I258" t="str">
        <x:v>Active</x:v>
      </x:c>
      <x:c r="J258" t="str">
        <x:v>Amazon Marketplace</x:v>
      </x:c>
      <x:c r="K258" t="str">
        <x:v>Marketplace Consumer</x:v>
      </x:c>
      <x:c r="L258" t="str">
        <x:v>All Geographies</x:v>
      </x:c>
      <x:c r="M258" s="34" t="n">
        <x:v>1488</x:v>
      </x:c>
      <x:c r="N258" s="28" t="n">
        <x:v>0.0390816</x:v>
      </x:c>
      <x:c r="O258" s="34" t="n">
        <x:v>58</x:v>
      </x:c>
      <x:c r="P258" s="34" t="n">
        <x:v>1</x:v>
      </x:c>
      <x:c r="Q258" s="34" t="n">
        <x:v>58</x:v>
      </x:c>
      <x:c r="R258" s="33" t="n">
        <x:v>42</x:v>
      </x:c>
      <x:c r="S258" s="38" t="n">
        <x:v>2.436</x:v>
      </x:c>
      <x:c r="T258" s="38" t="n">
        <x:v>0.1218</x:v>
      </x:c>
      <x:c r="U258" s="38" t="n">
        <x:v>0.11571000000000001</x:v>
      </x:c>
      <x:c r="V258" s="38" t="n">
        <x:v>2.19849</x:v>
      </x:c>
      <x:c r="W258" s="38" t="n">
        <x:v>0.8729000000000001</x:v>
      </x:c>
      <x:c r="X258" s="38" t="n">
        <x:v>0</x:v>
      </x:c>
      <x:c r="Y258" s="38" t="n">
        <x:v>0.3297735</x:v>
      </x:c>
      <x:c r="Z258" s="38" t="n">
        <x:v>0.30160000000000003</x:v>
      </x:c>
      <x:c r="AA258" s="38" t="n">
        <x:v>0.12469999999999999</x:v>
      </x:c>
      <x:c r="AB258" s="38" t="n">
        <x:v>0.0016239999999999998</x:v>
      </x:c>
      <x:c r="AC258" s="38" t="n">
        <x:v>0.5678925</x:v>
      </x:c>
      <x:c r="AD258" s="28" t="n">
        <x:v>0.2583102493074792</x:v>
      </x:c>
    </x:row>
    <x:row r="259">
      <x:c r="A259" s="32" t="n">
        <x:v>45747</x:v>
      </x:c>
      <x:c r="B259" s="32" t="n">
        <x:v>45717</x:v>
      </x:c>
      <x:c r="C259" t="str">
        <x:v>Mar 2025</x:v>
      </x:c>
      <x:c r="D259" t="str">
        <x:v>Actual</x:v>
      </x:c>
      <x:c r="E259" t="str">
        <x:v>DB-104</x:v>
      </x:c>
      <x:c r="F259" t="str">
        <x:v>SunNest Cooling Towel</x:v>
      </x:c>
      <x:c r="G259" t="str">
        <x:v>Consumable repeat</x:v>
      </x:c>
      <x:c r="H259" t="str">
        <x:v>Summer peak</x:v>
      </x:c>
      <x:c r="I259" t="str">
        <x:v>Active</x:v>
      </x:c>
      <x:c r="J259" t="str">
        <x:v>Wholesale</x:v>
      </x:c>
      <x:c r="K259" t="str">
        <x:v>Retailer</x:v>
      </x:c>
      <x:c r="L259" t="str">
        <x:v>All Geographies</x:v>
      </x:c>
      <x:c r="M259" s="34" t="n">
        <x:v>893</x:v>
      </x:c>
      <x:c r="N259" s="28" t="n">
        <x:v>0.018216000000000003</x:v>
      </x:c>
      <x:c r="O259" s="34" t="n">
        <x:v>16</x:v>
      </x:c>
      <x:c r="P259" s="34" t="n">
        <x:v>1</x:v>
      </x:c>
      <x:c r="Q259" s="34" t="n">
        <x:v>16</x:v>
      </x:c>
      <x:c r="R259" s="33" t="n">
        <x:v>42</x:v>
      </x:c>
      <x:c r="S259" s="38" t="n">
        <x:v>0.672</x:v>
      </x:c>
      <x:c r="T259" s="38" t="n">
        <x:v>0.2352</x:v>
      </x:c>
      <x:c r="U259" s="38" t="n">
        <x:v>0.021840000000000005</x:v>
      </x:c>
      <x:c r="V259" s="38" t="n">
        <x:v>0.41496000000000005</x:v>
      </x:c>
      <x:c r="W259" s="38" t="n">
        <x:v>0.24080000000000001</x:v>
      </x:c>
      <x:c r="X259" s="38" t="n">
        <x:v>0</x:v>
      </x:c>
      <x:c r="Y259" s="38" t="n">
        <x:v>0</x:v>
      </x:c>
      <x:c r="Z259" s="38" t="n">
        <x:v>0.0368</x:v>
      </x:c>
      <x:c r="AA259" s="38" t="n">
        <x:v>0.0136</x:v>
      </x:c>
      <x:c r="AB259" s="38" t="n">
        <x:v>0.00044799999999999994</x:v>
      </x:c>
      <x:c r="AC259" s="38" t="n">
        <x:v>0.12331200000000003</x:v>
      </x:c>
      <x:c r="AD259" s="28" t="n">
        <x:v>0.29716599190283405</x:v>
      </x:c>
    </x:row>
    <x:row r="260">
      <x:c r="A260" s="32" t="n">
        <x:v>45747</x:v>
      </x:c>
      <x:c r="B260" s="32" t="n">
        <x:v>45717</x:v>
      </x:c>
      <x:c r="C260" t="str">
        <x:v>Mar 2025</x:v>
      </x:c>
      <x:c r="D260" t="str">
        <x:v>Actual</x:v>
      </x:c>
      <x:c r="E260" t="str">
        <x:v>DB-104</x:v>
      </x:c>
      <x:c r="F260" t="str">
        <x:v>SunNest Cooling Towel</x:v>
      </x:c>
      <x:c r="G260" t="str">
        <x:v>Consumable repeat</x:v>
      </x:c>
      <x:c r="H260" t="str">
        <x:v>Summer peak</x:v>
      </x:c>
      <x:c r="I260" t="str">
        <x:v>Active</x:v>
      </x:c>
      <x:c r="J260" t="str">
        <x:v>TikTok Shop</x:v>
      </x:c>
      <x:c r="K260" t="str">
        <x:v>Social Commerce</x:v>
      </x:c>
      <x:c r="L260" t="str">
        <x:v>All Geographies</x:v>
      </x:c>
      <x:c r="M260" s="34" t="n">
        <x:v>595</x:v>
      </x:c>
      <x:c r="N260" s="28" t="n">
        <x:v>0.0417312</x:v>
      </x:c>
      <x:c r="O260" s="34" t="n">
        <x:v>25</x:v>
      </x:c>
      <x:c r="P260" s="34" t="n">
        <x:v>1</x:v>
      </x:c>
      <x:c r="Q260" s="34" t="n">
        <x:v>25</x:v>
      </x:c>
      <x:c r="R260" s="33" t="n">
        <x:v>42</x:v>
      </x:c>
      <x:c r="S260" s="38" t="n">
        <x:v>1.05</x:v>
      </x:c>
      <x:c r="T260" s="38" t="n">
        <x:v>0.126</x:v>
      </x:c>
      <x:c r="U260" s="38" t="n">
        <x:v>0.046200000000000005</x:v>
      </x:c>
      <x:c r="V260" s="38" t="n">
        <x:v>0.8778</x:v>
      </x:c>
      <x:c r="W260" s="38" t="n">
        <x:v>0.37625</x:v>
      </x:c>
      <x:c r="X260" s="38" t="n">
        <x:v>0.025456200000000002</x:v>
      </x:c>
      <x:c r="Y260" s="38" t="n">
        <x:v>0.052668</x:v>
      </x:c>
      <x:c r="Z260" s="38" t="n">
        <x:v>0.12749999999999997</x:v>
      </x:c>
      <x:c r="AA260" s="38" t="n">
        <x:v>0.04375</x:v>
      </x:c>
      <x:c r="AB260" s="38" t="n">
        <x:v>0.0007</x:v>
      </x:c>
      <x:c r="AC260" s="38" t="n">
        <x:v>0.25147580000000014</x:v>
      </x:c>
      <x:c r="AD260" s="28" t="n">
        <x:v>0.28648416495784934</x:v>
      </x:c>
    </x:row>
    <x:row r="261">
      <x:c r="A261" s="32" t="n">
        <x:v>45747</x:v>
      </x:c>
      <x:c r="B261" s="32" t="n">
        <x:v>45717</x:v>
      </x:c>
      <x:c r="C261" t="str">
        <x:v>Mar 2025</x:v>
      </x:c>
      <x:c r="D261" t="str">
        <x:v>Actual</x:v>
      </x:c>
      <x:c r="E261" t="str">
        <x:v>DB-105</x:v>
      </x:c>
      <x:c r="F261" t="str">
        <x:v>DreamFuel Refill Pack</x:v>
      </x:c>
      <x:c r="G261" t="str">
        <x:v>Subscription</x:v>
      </x:c>
      <x:c r="H261" t="str">
        <x:v>None</x:v>
      </x:c>
      <x:c r="I261" t="str">
        <x:v>Active</x:v>
      </x:c>
      <x:c r="J261" t="str">
        <x:v>Shopify DTC</x:v>
      </x:c>
      <x:c r="K261" t="str">
        <x:v>Consumer</x:v>
      </x:c>
      <x:c r="L261" t="str">
        <x:v>All Geographies</x:v>
      </x:c>
      <x:c r="M261" s="34" t="n">
        <x:v>3581</x:v>
      </x:c>
      <x:c r="N261" s="28" t="n">
        <x:v>0.03888</x:v>
      </x:c>
      <x:c r="O261" s="34" t="n">
        <x:v>139</x:v>
      </x:c>
      <x:c r="P261" s="34" t="n">
        <x:v>1</x:v>
      </x:c>
      <x:c r="Q261" s="34" t="n">
        <x:v>139</x:v>
      </x:c>
      <x:c r="R261" s="33" t="n">
        <x:v>56</x:v>
      </x:c>
      <x:c r="S261" s="38" t="n">
        <x:v>7.784</x:v>
      </x:c>
      <x:c r="T261" s="38" t="n">
        <x:v>0.62272</x:v>
      </x:c>
      <x:c r="U261" s="38" t="n">
        <x:v>0.1432256</x:v>
      </x:c>
      <x:c r="V261" s="38" t="n">
        <x:v>7.0180544</x:v>
      </x:c>
      <x:c r="W261" s="38" t="n">
        <x:v>2.5881800000000004</x:v>
      </x:c>
      <x:c r="X261" s="38" t="n">
        <x:v>0.2035235776</x:v>
      </x:c>
      <x:c r="Y261" s="38" t="n">
        <x:v>0</x:v>
      </x:c>
      <x:c r="Z261" s="38" t="n">
        <x:v>0.57685</x:v>
      </x:c>
      <x:c r="AA261" s="38" t="n">
        <x:v>0.22935</x:v>
      </x:c>
      <x:c r="AB261" s="38" t="n">
        <x:v>0.0005003999999999999</x:v>
      </x:c>
      <x:c r="AC261" s="38" t="n">
        <x:v>3.419650422399999</x:v>
      </x:c>
      <x:c r="AD261" s="28" t="n">
        <x:v>0.48726473570794765</x:v>
      </x:c>
    </x:row>
    <x:row r="262">
      <x:c r="A262" s="32" t="n">
        <x:v>45747</x:v>
      </x:c>
      <x:c r="B262" s="32" t="n">
        <x:v>45717</x:v>
      </x:c>
      <x:c r="C262" t="str">
        <x:v>Mar 2025</x:v>
      </x:c>
      <x:c r="D262" t="str">
        <x:v>Actual</x:v>
      </x:c>
      <x:c r="E262" t="str">
        <x:v>DB-105</x:v>
      </x:c>
      <x:c r="F262" t="str">
        <x:v>DreamFuel Refill Pack</x:v>
      </x:c>
      <x:c r="G262" t="str">
        <x:v>Subscription</x:v>
      </x:c>
      <x:c r="H262" t="str">
        <x:v>None</x:v>
      </x:c>
      <x:c r="I262" t="str">
        <x:v>Active</x:v>
      </x:c>
      <x:c r="J262" t="str">
        <x:v>Amazon Marketplace</x:v>
      </x:c>
      <x:c r="K262" t="str">
        <x:v>Marketplace Consumer</x:v>
      </x:c>
      <x:c r="L262" t="str">
        <x:v>All Geographies</x:v>
      </x:c>
      <x:c r="M262" s="34" t="n">
        <x:v>1791</x:v>
      </x:c>
      <x:c r="N262" s="28" t="n">
        <x:v>0.0458784</x:v>
      </x:c>
      <x:c r="O262" s="34" t="n">
        <x:v>82</x:v>
      </x:c>
      <x:c r="P262" s="34" t="n">
        <x:v>1</x:v>
      </x:c>
      <x:c r="Q262" s="34" t="n">
        <x:v>82</x:v>
      </x:c>
      <x:c r="R262" s="33" t="n">
        <x:v>56</x:v>
      </x:c>
      <x:c r="S262" s="38" t="n">
        <x:v>4.592</x:v>
      </x:c>
      <x:c r="T262" s="38" t="n">
        <x:v>0.2296</x:v>
      </x:c>
      <x:c r="U262" s="38" t="n">
        <x:v>0.087248</x:v>
      </x:c>
      <x:c r="V262" s="38" t="n">
        <x:v>4.275152</x:v>
      </x:c>
      <x:c r="W262" s="38" t="n">
        <x:v>1.5268400000000002</x:v>
      </x:c>
      <x:c r="X262" s="38" t="n">
        <x:v>0</x:v>
      </x:c>
      <x:c r="Y262" s="38" t="n">
        <x:v>0.6412728</x:v>
      </x:c>
      <x:c r="Z262" s="38" t="n">
        <x:v>0.42640000000000006</x:v>
      </x:c>
      <x:c r="AA262" s="38" t="n">
        <x:v>0.17629999999999998</x:v>
      </x:c>
      <x:c r="AB262" s="38" t="n">
        <x:v>0.00029519999999999997</x:v>
      </x:c>
      <x:c r="AC262" s="38" t="n">
        <x:v>1.5040440000000004</x:v>
      </x:c>
      <x:c r="AD262" s="28" t="n">
        <x:v>0.3518106490716588</x:v>
      </x:c>
    </x:row>
    <x:row r="263">
      <x:c r="A263" s="32" t="n">
        <x:v>45747</x:v>
      </x:c>
      <x:c r="B263" s="32" t="n">
        <x:v>45717</x:v>
      </x:c>
      <x:c r="C263" t="str">
        <x:v>Mar 2025</x:v>
      </x:c>
      <x:c r="D263" t="str">
        <x:v>Actual</x:v>
      </x:c>
      <x:c r="E263" t="str">
        <x:v>DB-105</x:v>
      </x:c>
      <x:c r="F263" t="str">
        <x:v>DreamFuel Refill Pack</x:v>
      </x:c>
      <x:c r="G263" t="str">
        <x:v>Subscription</x:v>
      </x:c>
      <x:c r="H263" t="str">
        <x:v>None</x:v>
      </x:c>
      <x:c r="I263" t="str">
        <x:v>Active</x:v>
      </x:c>
      <x:c r="J263" t="str">
        <x:v>Wholesale</x:v>
      </x:c>
      <x:c r="K263" t="str">
        <x:v>Retailer</x:v>
      </x:c>
      <x:c r="L263" t="str">
        <x:v>All Geographies</x:v>
      </x:c>
      <x:c r="M263" s="34" t="n">
        <x:v>1074</x:v>
      </x:c>
      <x:c r="N263" s="28" t="n">
        <x:v>0.021384000000000004</x:v>
      </x:c>
      <x:c r="O263" s="34" t="n">
        <x:v>23</x:v>
      </x:c>
      <x:c r="P263" s="34" t="n">
        <x:v>1</x:v>
      </x:c>
      <x:c r="Q263" s="34" t="n">
        <x:v>23</x:v>
      </x:c>
      <x:c r="R263" s="33" t="n">
        <x:v>56</x:v>
      </x:c>
      <x:c r="S263" s="38" t="n">
        <x:v>1.288</x:v>
      </x:c>
      <x:c r="T263" s="38" t="n">
        <x:v>0.4508</x:v>
      </x:c>
      <x:c r="U263" s="38" t="n">
        <x:v>0.016744000000000002</x:v>
      </x:c>
      <x:c r="V263" s="38" t="n">
        <x:v>0.8204560000000001</x:v>
      </x:c>
      <x:c r="W263" s="38" t="n">
        <x:v>0.42826000000000003</x:v>
      </x:c>
      <x:c r="X263" s="38" t="n">
        <x:v>0</x:v>
      </x:c>
      <x:c r="Y263" s="38" t="n">
        <x:v>0</x:v>
      </x:c>
      <x:c r="Z263" s="38" t="n">
        <x:v>0.052899999999999996</x:v>
      </x:c>
      <x:c r="AA263" s="38" t="n">
        <x:v>0.01955</x:v>
      </x:c>
      <x:c r="AB263" s="38" t="n">
        <x:v>0.0000828</x:v>
      </x:c>
      <x:c r="AC263" s="38" t="n">
        <x:v>0.31966320000000004</x:v>
      </x:c>
      <x:c r="AD263" s="28" t="n">
        <x:v>0.38961650594303654</x:v>
      </x:c>
    </x:row>
    <x:row r="264">
      <x:c r="A264" s="32" t="n">
        <x:v>45747</x:v>
      </x:c>
      <x:c r="B264" s="32" t="n">
        <x:v>45717</x:v>
      </x:c>
      <x:c r="C264" t="str">
        <x:v>Mar 2025</x:v>
      </x:c>
      <x:c r="D264" t="str">
        <x:v>Actual</x:v>
      </x:c>
      <x:c r="E264" t="str">
        <x:v>DB-105</x:v>
      </x:c>
      <x:c r="F264" t="str">
        <x:v>DreamFuel Refill Pack</x:v>
      </x:c>
      <x:c r="G264" t="str">
        <x:v>Subscription</x:v>
      </x:c>
      <x:c r="H264" t="str">
        <x:v>None</x:v>
      </x:c>
      <x:c r="I264" t="str">
        <x:v>Active</x:v>
      </x:c>
      <x:c r="J264" t="str">
        <x:v>TikTok Shop</x:v>
      </x:c>
      <x:c r="K264" t="str">
        <x:v>Social Commerce</x:v>
      </x:c>
      <x:c r="L264" t="str">
        <x:v>All Geographies</x:v>
      </x:c>
      <x:c r="M264" s="34" t="n">
        <x:v>716</x:v>
      </x:c>
      <x:c r="N264" s="28" t="n">
        <x:v>0.0489888</x:v>
      </x:c>
      <x:c r="O264" s="34" t="n">
        <x:v>35</x:v>
      </x:c>
      <x:c r="P264" s="34" t="n">
        <x:v>1</x:v>
      </x:c>
      <x:c r="Q264" s="34" t="n">
        <x:v>35</x:v>
      </x:c>
      <x:c r="R264" s="33" t="n">
        <x:v>56</x:v>
      </x:c>
      <x:c r="S264" s="38" t="n">
        <x:v>1.96</x:v>
      </x:c>
      <x:c r="T264" s="38" t="n">
        <x:v>0.2352</x:v>
      </x:c>
      <x:c r="U264" s="38" t="n">
        <x:v>0.034496</x:v>
      </x:c>
      <x:c r="V264" s="38" t="n">
        <x:v>1.6903039999999998</x:v>
      </x:c>
      <x:c r="W264" s="38" t="n">
        <x:v>0.6517000000000001</x:v>
      </x:c>
      <x:c r="X264" s="38" t="n">
        <x:v>0.049018816</x:v>
      </x:c>
      <x:c r="Y264" s="38" t="n">
        <x:v>0.10141823999999998</x:v>
      </x:c>
      <x:c r="Z264" s="38" t="n">
        <x:v>0.1785</x:v>
      </x:c>
      <x:c r="AA264" s="38" t="n">
        <x:v>0.06125</x:v>
      </x:c>
      <x:c r="AB264" s="38" t="n">
        <x:v>0.000126</x:v>
      </x:c>
      <x:c r="AC264" s="38" t="n">
        <x:v>0.6482909439999999</x:v>
      </x:c>
      <x:c r="AD264" s="28" t="n">
        <x:v>0.38353511794328116</x:v>
      </x:c>
    </x:row>
    <x:row r="265">
      <x:c r="A265" s="32" t="n">
        <x:v>45754</x:v>
      </x:c>
      <x:c r="B265" s="32" t="n">
        <x:v>45748</x:v>
      </x:c>
      <x:c r="C265" t="str">
        <x:v>Apr 2025</x:v>
      </x:c>
      <x:c r="D265" t="str">
        <x:v>Actual</x:v>
      </x:c>
      <x:c r="E265" t="str">
        <x:v>DB-101</x:v>
      </x:c>
      <x:c r="F265" t="str">
        <x:v>AeroSip Bottle</x:v>
      </x:c>
      <x:c r="G265" t="str">
        <x:v>One-time purchase</x:v>
      </x:c>
      <x:c r="H265" t="str">
        <x:v>None</x:v>
      </x:c>
      <x:c r="I265" t="str">
        <x:v>Active</x:v>
      </x:c>
      <x:c r="J265" t="str">
        <x:v>Shopify DTC</x:v>
      </x:c>
      <x:c r="K265" t="str">
        <x:v>Consumer</x:v>
      </x:c>
      <x:c r="L265" t="str">
        <x:v>All Geographies</x:v>
      </x:c>
      <x:c r="M265" s="34" t="n">
        <x:v>5193</x:v>
      </x:c>
      <x:c r="N265" s="28" t="n">
        <x:v>0.034199999999999994</x:v>
      </x:c>
      <x:c r="O265" s="34" t="n">
        <x:v>178</x:v>
      </x:c>
      <x:c r="P265" s="34" t="n">
        <x:v>1</x:v>
      </x:c>
      <x:c r="Q265" s="34" t="n">
        <x:v>178</x:v>
      </x:c>
      <x:c r="R265" s="33" t="n">
        <x:v>29</x:v>
      </x:c>
      <x:c r="S265" s="38" t="n">
        <x:v>5.162</x:v>
      </x:c>
      <x:c r="T265" s="38" t="n">
        <x:v>0.41296</x:v>
      </x:c>
      <x:c r="U265" s="38" t="n">
        <x:v>0.2137068</x:v>
      </x:c>
      <x:c r="V265" s="38" t="n">
        <x:v>4.5353332</x:v>
      </x:c>
      <x:c r="W265" s="38" t="n">
        <x:v>1.9224</x:v>
      </x:c>
      <x:c r="X265" s="38" t="n">
        <x:v>0.13152466280000003</x:v>
      </x:c>
      <x:c r="Y265" s="38" t="n">
        <x:v>0</x:v>
      </x:c>
      <x:c r="Z265" s="38" t="n">
        <x:v>0.7387</x:v>
      </x:c>
      <x:c r="AA265" s="38" t="n">
        <x:v>0.29369999999999996</x:v>
      </x:c>
      <x:c r="AB265" s="38" t="n">
        <x:v>0.0064080000000000005</x:v>
      </x:c>
      <x:c r="AC265" s="38" t="n">
        <x:v>1.4426005372000001</x:v>
      </x:c>
      <x:c r="AD265" s="28" t="n">
        <x:v>0.31808038650831655</x:v>
      </x:c>
    </x:row>
    <x:row r="266">
      <x:c r="A266" s="32" t="n">
        <x:v>45754</x:v>
      </x:c>
      <x:c r="B266" s="32" t="n">
        <x:v>45748</x:v>
      </x:c>
      <x:c r="C266" t="str">
        <x:v>Apr 2025</x:v>
      </x:c>
      <x:c r="D266" t="str">
        <x:v>Actual</x:v>
      </x:c>
      <x:c r="E266" t="str">
        <x:v>DB-101</x:v>
      </x:c>
      <x:c r="F266" t="str">
        <x:v>AeroSip Bottle</x:v>
      </x:c>
      <x:c r="G266" t="str">
        <x:v>One-time purchase</x:v>
      </x:c>
      <x:c r="H266" t="str">
        <x:v>None</x:v>
      </x:c>
      <x:c r="I266" t="str">
        <x:v>Active</x:v>
      </x:c>
      <x:c r="J266" t="str">
        <x:v>Amazon Marketplace</x:v>
      </x:c>
      <x:c r="K266" t="str">
        <x:v>Marketplace Consumer</x:v>
      </x:c>
      <x:c r="L266" t="str">
        <x:v>All Geographies</x:v>
      </x:c>
      <x:c r="M266" s="34" t="n">
        <x:v>2597</x:v>
      </x:c>
      <x:c r="N266" s="28" t="n">
        <x:v>0.040355999999999996</x:v>
      </x:c>
      <x:c r="O266" s="34" t="n">
        <x:v>105</x:v>
      </x:c>
      <x:c r="P266" s="34" t="n">
        <x:v>1</x:v>
      </x:c>
      <x:c r="Q266" s="34" t="n">
        <x:v>105</x:v>
      </x:c>
      <x:c r="R266" s="33" t="n">
        <x:v>29</x:v>
      </x:c>
      <x:c r="S266" s="38" t="n">
        <x:v>3.045</x:v>
      </x:c>
      <x:c r="T266" s="38" t="n">
        <x:v>0.15225</x:v>
      </x:c>
      <x:c r="U266" s="38" t="n">
        <x:v>0.13017375</x:v>
      </x:c>
      <x:c r="V266" s="38" t="n">
        <x:v>2.76257625</x:v>
      </x:c>
      <x:c r="W266" s="38" t="n">
        <x:v>1.134</x:v>
      </x:c>
      <x:c r="X266" s="38" t="n">
        <x:v>0</x:v>
      </x:c>
      <x:c r="Y266" s="38" t="n">
        <x:v>0.4143864375</x:v>
      </x:c>
      <x:c r="Z266" s="38" t="n">
        <x:v>0.546</x:v>
      </x:c>
      <x:c r="AA266" s="38" t="n">
        <x:v>0.22575</x:v>
      </x:c>
      <x:c r="AB266" s="38" t="n">
        <x:v>0.0037800000000000004</x:v>
      </x:c>
      <x:c r="AC266" s="38" t="n">
        <x:v>0.4386598125000001</x:v>
      </x:c>
      <x:c r="AD266" s="28" t="n">
        <x:v>0.15878649955815702</x:v>
      </x:c>
    </x:row>
    <x:row r="267">
      <x:c r="A267" s="32" t="n">
        <x:v>45754</x:v>
      </x:c>
      <x:c r="B267" s="32" t="n">
        <x:v>45748</x:v>
      </x:c>
      <x:c r="C267" t="str">
        <x:v>Apr 2025</x:v>
      </x:c>
      <x:c r="D267" t="str">
        <x:v>Actual</x:v>
      </x:c>
      <x:c r="E267" t="str">
        <x:v>DB-101</x:v>
      </x:c>
      <x:c r="F267" t="str">
        <x:v>AeroSip Bottle</x:v>
      </x:c>
      <x:c r="G267" t="str">
        <x:v>One-time purchase</x:v>
      </x:c>
      <x:c r="H267" t="str">
        <x:v>None</x:v>
      </x:c>
      <x:c r="I267" t="str">
        <x:v>Active</x:v>
      </x:c>
      <x:c r="J267" t="str">
        <x:v>Wholesale</x:v>
      </x:c>
      <x:c r="K267" t="str">
        <x:v>Retailer</x:v>
      </x:c>
      <x:c r="L267" t="str">
        <x:v>All Geographies</x:v>
      </x:c>
      <x:c r="M267" s="34" t="n">
        <x:v>1558</x:v>
      </x:c>
      <x:c r="N267" s="28" t="n">
        <x:v>0.01881</x:v>
      </x:c>
      <x:c r="O267" s="34" t="n">
        <x:v>29</x:v>
      </x:c>
      <x:c r="P267" s="34" t="n">
        <x:v>1</x:v>
      </x:c>
      <x:c r="Q267" s="34" t="n">
        <x:v>29</x:v>
      </x:c>
      <x:c r="R267" s="33" t="n">
        <x:v>29</x:v>
      </x:c>
      <x:c r="S267" s="38" t="n">
        <x:v>0.841</x:v>
      </x:c>
      <x:c r="T267" s="38" t="n">
        <x:v>0.29434999999999995</x:v>
      </x:c>
      <x:c r="U267" s="38" t="n">
        <x:v>0.024599250000000003</x:v>
      </x:c>
      <x:c r="V267" s="38" t="n">
        <x:v>0.5220507500000001</x:v>
      </x:c>
      <x:c r="W267" s="38" t="n">
        <x:v>0.31320000000000003</x:v>
      </x:c>
      <x:c r="X267" s="38" t="n">
        <x:v>0</x:v>
      </x:c>
      <x:c r="Y267" s="38" t="n">
        <x:v>0</x:v>
      </x:c>
      <x:c r="Z267" s="38" t="n">
        <x:v>0.0667</x:v>
      </x:c>
      <x:c r="AA267" s="38" t="n">
        <x:v>0.02465</x:v>
      </x:c>
      <x:c r="AB267" s="38" t="n">
        <x:v>0.001044</x:v>
      </x:c>
      <x:c r="AC267" s="38" t="n">
        <x:v>0.1164567500000001</x:v>
      </x:c>
      <x:c r="AD267" s="28" t="n">
        <x:v>0.22307553432305205</x:v>
      </x:c>
    </x:row>
    <x:row r="268">
      <x:c r="A268" s="32" t="n">
        <x:v>45754</x:v>
      </x:c>
      <x:c r="B268" s="32" t="n">
        <x:v>45748</x:v>
      </x:c>
      <x:c r="C268" t="str">
        <x:v>Apr 2025</x:v>
      </x:c>
      <x:c r="D268" t="str">
        <x:v>Actual</x:v>
      </x:c>
      <x:c r="E268" t="str">
        <x:v>DB-101</x:v>
      </x:c>
      <x:c r="F268" t="str">
        <x:v>AeroSip Bottle</x:v>
      </x:c>
      <x:c r="G268" t="str">
        <x:v>One-time purchase</x:v>
      </x:c>
      <x:c r="H268" t="str">
        <x:v>None</x:v>
      </x:c>
      <x:c r="I268" t="str">
        <x:v>Active</x:v>
      </x:c>
      <x:c r="J268" t="str">
        <x:v>TikTok Shop</x:v>
      </x:c>
      <x:c r="K268" t="str">
        <x:v>Social Commerce</x:v>
      </x:c>
      <x:c r="L268" t="str">
        <x:v>All Geographies</x:v>
      </x:c>
      <x:c r="M268" s="34" t="n">
        <x:v>1039</x:v>
      </x:c>
      <x:c r="N268" s="28" t="n">
        <x:v>0.043092</x:v>
      </x:c>
      <x:c r="O268" s="34" t="n">
        <x:v>45</x:v>
      </x:c>
      <x:c r="P268" s="34" t="n">
        <x:v>1</x:v>
      </x:c>
      <x:c r="Q268" s="34" t="n">
        <x:v>45</x:v>
      </x:c>
      <x:c r="R268" s="33" t="n">
        <x:v>29</x:v>
      </x:c>
      <x:c r="S268" s="38" t="n">
        <x:v>1.305</x:v>
      </x:c>
      <x:c r="T268" s="38" t="n">
        <x:v>0.1566</x:v>
      </x:c>
      <x:c r="U268" s="38" t="n">
        <x:v>0.051677999999999995</x:v>
      </x:c>
      <x:c r="V268" s="38" t="n">
        <x:v>1.096722</x:v>
      </x:c>
      <x:c r="W268" s="38" t="n">
        <x:v>0.48600000000000004</x:v>
      </x:c>
      <x:c r="X268" s="38" t="n">
        <x:v>0.031804938</x:v>
      </x:c>
      <x:c r="Y268" s="38" t="n">
        <x:v>0.06580332</x:v>
      </x:c>
      <x:c r="Z268" s="38" t="n">
        <x:v>0.22949999999999998</x:v>
      </x:c>
      <x:c r="AA268" s="38" t="n">
        <x:v>0.07875</x:v>
      </x:c>
      <x:c r="AB268" s="38" t="n">
        <x:v>0.0016200000000000001</x:v>
      </x:c>
      <x:c r="AC268" s="38" t="n">
        <x:v>0.20324374200000006</x:v>
      </x:c>
      <x:c r="AD268" s="28" t="n">
        <x:v>0.18531928966502</x:v>
      </x:c>
    </x:row>
    <x:row r="269">
      <x:c r="A269" s="32" t="n">
        <x:v>45754</x:v>
      </x:c>
      <x:c r="B269" s="32" t="n">
        <x:v>45748</x:v>
      </x:c>
      <x:c r="C269" t="str">
        <x:v>Apr 2025</x:v>
      </x:c>
      <x:c r="D269" t="str">
        <x:v>Actual</x:v>
      </x:c>
      <x:c r="E269" t="str">
        <x:v>DB-102</x:v>
      </x:c>
      <x:c r="F269" t="str">
        <x:v>GlowPatch Balm</x:v>
      </x:c>
      <x:c r="G269" t="str">
        <x:v>Consumable repeat</x:v>
      </x:c>
      <x:c r="H269" t="str">
        <x:v>None</x:v>
      </x:c>
      <x:c r="I269" t="str">
        <x:v>Active</x:v>
      </x:c>
      <x:c r="J269" t="str">
        <x:v>Shopify DTC</x:v>
      </x:c>
      <x:c r="K269" t="str">
        <x:v>Consumer</x:v>
      </x:c>
      <x:c r="L269" t="str">
        <x:v>All Geographies</x:v>
      </x:c>
      <x:c r="M269" s="34" t="n">
        <x:v>4195</x:v>
      </x:c>
      <x:c r="N269" s="28" t="n">
        <x:v>0.04248</x:v>
      </x:c>
      <x:c r="O269" s="34" t="n">
        <x:v>178</x:v>
      </x:c>
      <x:c r="P269" s="34" t="n">
        <x:v>1</x:v>
      </x:c>
      <x:c r="Q269" s="34" t="n">
        <x:v>178</x:v>
      </x:c>
      <x:c r="R269" s="33" t="n">
        <x:v>18</x:v>
      </x:c>
      <x:c r="S269" s="38" t="n">
        <x:v>3.204</x:v>
      </x:c>
      <x:c r="T269" s="38" t="n">
        <x:v>0.25632</x:v>
      </x:c>
      <x:c r="U269" s="38" t="n">
        <x:v>0.07369200000000001</x:v>
      </x:c>
      <x:c r="V269" s="38" t="n">
        <x:v>2.873988</x:v>
      </x:c>
      <x:c r="W269" s="38" t="n">
        <x:v>0.9629800000000001</x:v>
      </x:c>
      <x:c r="X269" s="38" t="n">
        <x:v>0.083345652</x:v>
      </x:c>
      <x:c r="Y269" s="38" t="n">
        <x:v>0</x:v>
      </x:c>
      <x:c r="Z269" s="38" t="n">
        <x:v>0.7387</x:v>
      </x:c>
      <x:c r="AA269" s="38" t="n">
        <x:v>0.29369999999999996</x:v>
      </x:c>
      <x:c r="AB269" s="38" t="n">
        <x:v>0.0010680000000000002</x:v>
      </x:c>
      <x:c r="AC269" s="38" t="n">
        <x:v>0.7941943480000004</x:v>
      </x:c>
      <x:c r="AD269" s="28" t="n">
        <x:v>0.2763387835996533</x:v>
      </x:c>
    </x:row>
    <x:row r="270">
      <x:c r="A270" s="32" t="n">
        <x:v>45754</x:v>
      </x:c>
      <x:c r="B270" s="32" t="n">
        <x:v>45748</x:v>
      </x:c>
      <x:c r="C270" t="str">
        <x:v>Apr 2025</x:v>
      </x:c>
      <x:c r="D270" t="str">
        <x:v>Actual</x:v>
      </x:c>
      <x:c r="E270" t="str">
        <x:v>DB-102</x:v>
      </x:c>
      <x:c r="F270" t="str">
        <x:v>GlowPatch Balm</x:v>
      </x:c>
      <x:c r="G270" t="str">
        <x:v>Consumable repeat</x:v>
      </x:c>
      <x:c r="H270" t="str">
        <x:v>None</x:v>
      </x:c>
      <x:c r="I270" t="str">
        <x:v>Active</x:v>
      </x:c>
      <x:c r="J270" t="str">
        <x:v>Amazon Marketplace</x:v>
      </x:c>
      <x:c r="K270" t="str">
        <x:v>Marketplace Consumer</x:v>
      </x:c>
      <x:c r="L270" t="str">
        <x:v>All Geographies</x:v>
      </x:c>
      <x:c r="M270" s="34" t="n">
        <x:v>2097</x:v>
      </x:c>
      <x:c r="N270" s="28" t="n">
        <x:v>0.050126399999999995</x:v>
      </x:c>
      <x:c r="O270" s="34" t="n">
        <x:v>105</x:v>
      </x:c>
      <x:c r="P270" s="34" t="n">
        <x:v>1</x:v>
      </x:c>
      <x:c r="Q270" s="34" t="n">
        <x:v>105</x:v>
      </x:c>
      <x:c r="R270" s="33" t="n">
        <x:v>18</x:v>
      </x:c>
      <x:c r="S270" s="38" t="n">
        <x:v>1.89</x:v>
      </x:c>
      <x:c r="T270" s="38" t="n">
        <x:v>0.0945</x:v>
      </x:c>
      <x:c r="U270" s="38" t="n">
        <x:v>0.0448875</x:v>
      </x:c>
      <x:c r="V270" s="38" t="n">
        <x:v>1.7506125</x:v>
      </x:c>
      <x:c r="W270" s="38" t="n">
        <x:v>0.56805</x:v>
      </x:c>
      <x:c r="X270" s="38" t="n">
        <x:v>0</x:v>
      </x:c>
      <x:c r="Y270" s="38" t="n">
        <x:v>0.262591875</x:v>
      </x:c>
      <x:c r="Z270" s="38" t="n">
        <x:v>0.546</x:v>
      </x:c>
      <x:c r="AA270" s="38" t="n">
        <x:v>0.22575</x:v>
      </x:c>
      <x:c r="AB270" s="38" t="n">
        <x:v>0.00063</x:v>
      </x:c>
      <x:c r="AC270" s="38" t="n">
        <x:v>0.1475906249999999</x:v>
      </x:c>
      <x:c r="AD270" s="28" t="n">
        <x:v>0.08430799220272898</x:v>
      </x:c>
    </x:row>
    <x:row r="271">
      <x:c r="A271" s="32" t="n">
        <x:v>45754</x:v>
      </x:c>
      <x:c r="B271" s="32" t="n">
        <x:v>45748</x:v>
      </x:c>
      <x:c r="C271" t="str">
        <x:v>Apr 2025</x:v>
      </x:c>
      <x:c r="D271" t="str">
        <x:v>Actual</x:v>
      </x:c>
      <x:c r="E271" t="str">
        <x:v>DB-102</x:v>
      </x:c>
      <x:c r="F271" t="str">
        <x:v>GlowPatch Balm</x:v>
      </x:c>
      <x:c r="G271" t="str">
        <x:v>Consumable repeat</x:v>
      </x:c>
      <x:c r="H271" t="str">
        <x:v>None</x:v>
      </x:c>
      <x:c r="I271" t="str">
        <x:v>Active</x:v>
      </x:c>
      <x:c r="J271" t="str">
        <x:v>Wholesale</x:v>
      </x:c>
      <x:c r="K271" t="str">
        <x:v>Retailer</x:v>
      </x:c>
      <x:c r="L271" t="str">
        <x:v>All Geographies</x:v>
      </x:c>
      <x:c r="M271" s="34" t="n">
        <x:v>1258</x:v>
      </x:c>
      <x:c r="N271" s="28" t="n">
        <x:v>0.023364</x:v>
      </x:c>
      <x:c r="O271" s="34" t="n">
        <x:v>29</x:v>
      </x:c>
      <x:c r="P271" s="34" t="n">
        <x:v>1</x:v>
      </x:c>
      <x:c r="Q271" s="34" t="n">
        <x:v>29</x:v>
      </x:c>
      <x:c r="R271" s="33" t="n">
        <x:v>18</x:v>
      </x:c>
      <x:c r="S271" s="38" t="n">
        <x:v>0.522</x:v>
      </x:c>
      <x:c r="T271" s="38" t="n">
        <x:v>0.1827</x:v>
      </x:c>
      <x:c r="U271" s="38" t="n">
        <x:v>0.008482500000000002</x:v>
      </x:c>
      <x:c r="V271" s="38" t="n">
        <x:v>0.33081750000000004</x:v>
      </x:c>
      <x:c r="W271" s="38" t="n">
        <x:v>0.15689</x:v>
      </x:c>
      <x:c r="X271" s="38" t="n">
        <x:v>0</x:v>
      </x:c>
      <x:c r="Y271" s="38" t="n">
        <x:v>0</x:v>
      </x:c>
      <x:c r="Z271" s="38" t="n">
        <x:v>0.0667</x:v>
      </x:c>
      <x:c r="AA271" s="38" t="n">
        <x:v>0.02465</x:v>
      </x:c>
      <x:c r="AB271" s="38" t="n">
        <x:v>0.00017400000000000003</x:v>
      </x:c>
      <x:c r="AC271" s="38" t="n">
        <x:v>0.08240350000000006</x:v>
      </x:c>
      <x:c r="AD271" s="28" t="n">
        <x:v>0.2490905106289723</x:v>
      </x:c>
    </x:row>
    <x:row r="272">
      <x:c r="A272" s="32" t="n">
        <x:v>45754</x:v>
      </x:c>
      <x:c r="B272" s="32" t="n">
        <x:v>45748</x:v>
      </x:c>
      <x:c r="C272" t="str">
        <x:v>Apr 2025</x:v>
      </x:c>
      <x:c r="D272" t="str">
        <x:v>Actual</x:v>
      </x:c>
      <x:c r="E272" t="str">
        <x:v>DB-102</x:v>
      </x:c>
      <x:c r="F272" t="str">
        <x:v>GlowPatch Balm</x:v>
      </x:c>
      <x:c r="G272" t="str">
        <x:v>Consumable repeat</x:v>
      </x:c>
      <x:c r="H272" t="str">
        <x:v>None</x:v>
      </x:c>
      <x:c r="I272" t="str">
        <x:v>Active</x:v>
      </x:c>
      <x:c r="J272" t="str">
        <x:v>TikTok Shop</x:v>
      </x:c>
      <x:c r="K272" t="str">
        <x:v>Social Commerce</x:v>
      </x:c>
      <x:c r="L272" t="str">
        <x:v>All Geographies</x:v>
      </x:c>
      <x:c r="M272" s="34" t="n">
        <x:v>839</x:v>
      </x:c>
      <x:c r="N272" s="28" t="n">
        <x:v>0.0535248</x:v>
      </x:c>
      <x:c r="O272" s="34" t="n">
        <x:v>45</x:v>
      </x:c>
      <x:c r="P272" s="34" t="n">
        <x:v>1</x:v>
      </x:c>
      <x:c r="Q272" s="34" t="n">
        <x:v>45</x:v>
      </x:c>
      <x:c r="R272" s="33" t="n">
        <x:v>18</x:v>
      </x:c>
      <x:c r="S272" s="38" t="n">
        <x:v>0.81</x:v>
      </x:c>
      <x:c r="T272" s="38" t="n">
        <x:v>0.09720000000000001</x:v>
      </x:c>
      <x:c r="U272" s="38" t="n">
        <x:v>0.017820000000000003</x:v>
      </x:c>
      <x:c r="V272" s="38" t="n">
        <x:v>0.6949800000000002</x:v>
      </x:c>
      <x:c r="W272" s="38" t="n">
        <x:v>0.24345000000000003</x:v>
      </x:c>
      <x:c r="X272" s="38" t="n">
        <x:v>0.020154420000000006</x:v>
      </x:c>
      <x:c r="Y272" s="38" t="n">
        <x:v>0.04169880000000001</x:v>
      </x:c>
      <x:c r="Z272" s="38" t="n">
        <x:v>0.22949999999999998</x:v>
      </x:c>
      <x:c r="AA272" s="38" t="n">
        <x:v>0.07875</x:v>
      </x:c>
      <x:c r="AB272" s="38" t="n">
        <x:v>0.00027</x:v>
      </x:c>
      <x:c r="AC272" s="38" t="n">
        <x:v>0.08115678000000007</x:v>
      </x:c>
      <x:c r="AD272" s="28" t="n">
        <x:v>0.11677570577570584</x:v>
      </x:c>
    </x:row>
    <x:row r="273">
      <x:c r="A273" s="32" t="n">
        <x:v>45754</x:v>
      </x:c>
      <x:c r="B273" s="32" t="n">
        <x:v>45748</x:v>
      </x:c>
      <x:c r="C273" t="str">
        <x:v>Apr 2025</x:v>
      </x:c>
      <x:c r="D273" t="str">
        <x:v>Actual</x:v>
      </x:c>
      <x:c r="E273" t="str">
        <x:v>DB-103</x:v>
      </x:c>
      <x:c r="F273" t="str">
        <x:v>EmberTrail Camp Mug</x:v>
      </x:c>
      <x:c r="G273" t="str">
        <x:v>One-time purchase</x:v>
      </x:c>
      <x:c r="H273" t="str">
        <x:v>Winter peak</x:v>
      </x:c>
      <x:c r="I273" t="str">
        <x:v>Active</x:v>
      </x:c>
      <x:c r="J273" t="str">
        <x:v>Shopify DTC</x:v>
      </x:c>
      <x:c r="K273" t="str">
        <x:v>Consumer</x:v>
      </x:c>
      <x:c r="L273" t="str">
        <x:v>All Geographies</x:v>
      </x:c>
      <x:c r="M273" s="34" t="n">
        <x:v>2948</x:v>
      </x:c>
      <x:c r="N273" s="28" t="n">
        <x:v>0.0324</x:v>
      </x:c>
      <x:c r="O273" s="34" t="n">
        <x:v>96</x:v>
      </x:c>
      <x:c r="P273" s="34" t="n">
        <x:v>1</x:v>
      </x:c>
      <x:c r="Q273" s="34" t="n">
        <x:v>96</x:v>
      </x:c>
      <x:c r="R273" s="33" t="n">
        <x:v>34</x:v>
      </x:c>
      <x:c r="S273" s="38" t="n">
        <x:v>3.264</x:v>
      </x:c>
      <x:c r="T273" s="38" t="n">
        <x:v>0.26111999999999996</x:v>
      </x:c>
      <x:c r="U273" s="38" t="n">
        <x:v>0.16515839999999998</x:v>
      </x:c>
      <x:c r="V273" s="38" t="n">
        <x:v>2.8377215999999996</x:v>
      </x:c>
      <x:c r="W273" s="38" t="n">
        <x:v>1.31232</x:v>
      </x:c>
      <x:c r="X273" s="38" t="n">
        <x:v>0.0822939264</x:v>
      </x:c>
      <x:c r="Y273" s="38" t="n">
        <x:v>0</x:v>
      </x:c>
      <x:c r="Z273" s="38" t="n">
        <x:v>0.39840000000000003</x:v>
      </x:c>
      <x:c r="AA273" s="38" t="n">
        <x:v>0.15839999999999999</x:v>
      </x:c>
      <x:c r="AB273" s="38" t="n">
        <x:v>0.005376000000000001</x:v>
      </x:c>
      <x:c r="AC273" s="38" t="n">
        <x:v>0.8809316735999996</x:v>
      </x:c>
      <x:c r="AD273" s="28" t="n">
        <x:v>0.31043625759482524</x:v>
      </x:c>
    </x:row>
    <x:row r="274">
      <x:c r="A274" s="32" t="n">
        <x:v>45754</x:v>
      </x:c>
      <x:c r="B274" s="32" t="n">
        <x:v>45748</x:v>
      </x:c>
      <x:c r="C274" t="str">
        <x:v>Apr 2025</x:v>
      </x:c>
      <x:c r="D274" t="str">
        <x:v>Actual</x:v>
      </x:c>
      <x:c r="E274" t="str">
        <x:v>DB-103</x:v>
      </x:c>
      <x:c r="F274" t="str">
        <x:v>EmberTrail Camp Mug</x:v>
      </x:c>
      <x:c r="G274" t="str">
        <x:v>One-time purchase</x:v>
      </x:c>
      <x:c r="H274" t="str">
        <x:v>Winter peak</x:v>
      </x:c>
      <x:c r="I274" t="str">
        <x:v>Active</x:v>
      </x:c>
      <x:c r="J274" t="str">
        <x:v>Amazon Marketplace</x:v>
      </x:c>
      <x:c r="K274" t="str">
        <x:v>Marketplace Consumer</x:v>
      </x:c>
      <x:c r="L274" t="str">
        <x:v>All Geographies</x:v>
      </x:c>
      <x:c r="M274" s="34" t="n">
        <x:v>1474</x:v>
      </x:c>
      <x:c r="N274" s="28" t="n">
        <x:v>0.038231999999999995</x:v>
      </x:c>
      <x:c r="O274" s="34" t="n">
        <x:v>56</x:v>
      </x:c>
      <x:c r="P274" s="34" t="n">
        <x:v>1</x:v>
      </x:c>
      <x:c r="Q274" s="34" t="n">
        <x:v>56</x:v>
      </x:c>
      <x:c r="R274" s="33" t="n">
        <x:v>34</x:v>
      </x:c>
      <x:c r="S274" s="38" t="n">
        <x:v>1.904</x:v>
      </x:c>
      <x:c r="T274" s="38" t="n">
        <x:v>0.0952</x:v>
      </x:c>
      <x:c r="U274" s="38" t="n">
        <x:v>0.099484</x:v>
      </x:c>
      <x:c r="V274" s="38" t="n">
        <x:v>1.709316</x:v>
      </x:c>
      <x:c r="W274" s="38" t="n">
        <x:v>0.76552</x:v>
      </x:c>
      <x:c r="X274" s="38" t="n">
        <x:v>0</x:v>
      </x:c>
      <x:c r="Y274" s="38" t="n">
        <x:v>0.2563974</x:v>
      </x:c>
      <x:c r="Z274" s="38" t="n">
        <x:v>0.2912</x:v>
      </x:c>
      <x:c r="AA274" s="38" t="n">
        <x:v>0.1204</x:v>
      </x:c>
      <x:c r="AB274" s="38" t="n">
        <x:v>0.0031360000000000003</x:v>
      </x:c>
      <x:c r="AC274" s="38" t="n">
        <x:v>0.27266260000000003</x:v>
      </x:c>
      <x:c r="AD274" s="28" t="n">
        <x:v>0.15951561911314235</x:v>
      </x:c>
    </x:row>
    <x:row r="275">
      <x:c r="A275" s="32" t="n">
        <x:v>45754</x:v>
      </x:c>
      <x:c r="B275" s="32" t="n">
        <x:v>45748</x:v>
      </x:c>
      <x:c r="C275" t="str">
        <x:v>Apr 2025</x:v>
      </x:c>
      <x:c r="D275" t="str">
        <x:v>Actual</x:v>
      </x:c>
      <x:c r="E275" t="str">
        <x:v>DB-103</x:v>
      </x:c>
      <x:c r="F275" t="str">
        <x:v>EmberTrail Camp Mug</x:v>
      </x:c>
      <x:c r="G275" t="str">
        <x:v>One-time purchase</x:v>
      </x:c>
      <x:c r="H275" t="str">
        <x:v>Winter peak</x:v>
      </x:c>
      <x:c r="I275" t="str">
        <x:v>Active</x:v>
      </x:c>
      <x:c r="J275" t="str">
        <x:v>Wholesale</x:v>
      </x:c>
      <x:c r="K275" t="str">
        <x:v>Retailer</x:v>
      </x:c>
      <x:c r="L275" t="str">
        <x:v>All Geographies</x:v>
      </x:c>
      <x:c r="M275" s="34" t="n">
        <x:v>884</x:v>
      </x:c>
      <x:c r="N275" s="28" t="n">
        <x:v>0.017820000000000003</x:v>
      </x:c>
      <x:c r="O275" s="34" t="n">
        <x:v>16</x:v>
      </x:c>
      <x:c r="P275" s="34" t="n">
        <x:v>1</x:v>
      </x:c>
      <x:c r="Q275" s="34" t="n">
        <x:v>16</x:v>
      </x:c>
      <x:c r="R275" s="33" t="n">
        <x:v>34</x:v>
      </x:c>
      <x:c r="S275" s="38" t="n">
        <x:v>0.544</x:v>
      </x:c>
      <x:c r="T275" s="38" t="n">
        <x:v>0.1904</x:v>
      </x:c>
      <x:c r="U275" s="38" t="n">
        <x:v>0.019448</x:v>
      </x:c>
      <x:c r="V275" s="38" t="n">
        <x:v>0.334152</x:v>
      </x:c>
      <x:c r="W275" s="38" t="n">
        <x:v>0.21872</x:v>
      </x:c>
      <x:c r="X275" s="38" t="n">
        <x:v>0</x:v>
      </x:c>
      <x:c r="Y275" s="38" t="n">
        <x:v>0</x:v>
      </x:c>
      <x:c r="Z275" s="38" t="n">
        <x:v>0.0368</x:v>
      </x:c>
      <x:c r="AA275" s="38" t="n">
        <x:v>0.0136</x:v>
      </x:c>
      <x:c r="AB275" s="38" t="n">
        <x:v>0.000896</x:v>
      </x:c>
      <x:c r="AC275" s="38" t="n">
        <x:v>0.06413600000000001</x:v>
      </x:c>
      <x:c r="AD275" s="28" t="n">
        <x:v>0.1919366037013096</x:v>
      </x:c>
    </x:row>
    <x:row r="276">
      <x:c r="A276" s="32" t="n">
        <x:v>45754</x:v>
      </x:c>
      <x:c r="B276" s="32" t="n">
        <x:v>45748</x:v>
      </x:c>
      <x:c r="C276" t="str">
        <x:v>Apr 2025</x:v>
      </x:c>
      <x:c r="D276" t="str">
        <x:v>Actual</x:v>
      </x:c>
      <x:c r="E276" t="str">
        <x:v>DB-103</x:v>
      </x:c>
      <x:c r="F276" t="str">
        <x:v>EmberTrail Camp Mug</x:v>
      </x:c>
      <x:c r="G276" t="str">
        <x:v>One-time purchase</x:v>
      </x:c>
      <x:c r="H276" t="str">
        <x:v>Winter peak</x:v>
      </x:c>
      <x:c r="I276" t="str">
        <x:v>Active</x:v>
      </x:c>
      <x:c r="J276" t="str">
        <x:v>TikTok Shop</x:v>
      </x:c>
      <x:c r="K276" t="str">
        <x:v>Social Commerce</x:v>
      </x:c>
      <x:c r="L276" t="str">
        <x:v>All Geographies</x:v>
      </x:c>
      <x:c r="M276" s="34" t="n">
        <x:v>590</x:v>
      </x:c>
      <x:c r="N276" s="28" t="n">
        <x:v>0.040824</x:v>
      </x:c>
      <x:c r="O276" s="34" t="n">
        <x:v>24</x:v>
      </x:c>
      <x:c r="P276" s="34" t="n">
        <x:v>1</x:v>
      </x:c>
      <x:c r="Q276" s="34" t="n">
        <x:v>24</x:v>
      </x:c>
      <x:c r="R276" s="33" t="n">
        <x:v>34</x:v>
      </x:c>
      <x:c r="S276" s="38" t="n">
        <x:v>0.816</x:v>
      </x:c>
      <x:c r="T276" s="38" t="n">
        <x:v>0.09792</x:v>
      </x:c>
      <x:c r="U276" s="38" t="n">
        <x:v>0.0394944</x:v>
      </x:c>
      <x:c r="V276" s="38" t="n">
        <x:v>0.6785855999999999</x:v>
      </x:c>
      <x:c r="W276" s="38" t="n">
        <x:v>0.32808</x:v>
      </x:c>
      <x:c r="X276" s="38" t="n">
        <x:v>0.0196789824</x:v>
      </x:c>
      <x:c r="Y276" s="38" t="n">
        <x:v>0.04071513599999999</x:v>
      </x:c>
      <x:c r="Z276" s="38" t="n">
        <x:v>0.1224</x:v>
      </x:c>
      <x:c r="AA276" s="38" t="n">
        <x:v>0.042</x:v>
      </x:c>
      <x:c r="AB276" s="38" t="n">
        <x:v>0.0013440000000000001</x:v>
      </x:c>
      <x:c r="AC276" s="38" t="n">
        <x:v>0.12436748159999993</x:v>
      </x:c>
      <x:c r="AD276" s="28" t="n">
        <x:v>0.18327456639221337</x:v>
      </x:c>
    </x:row>
    <x:row r="277">
      <x:c r="A277" s="32" t="n">
        <x:v>45754</x:v>
      </x:c>
      <x:c r="B277" s="32" t="n">
        <x:v>45748</x:v>
      </x:c>
      <x:c r="C277" t="str">
        <x:v>Apr 2025</x:v>
      </x:c>
      <x:c r="D277" t="str">
        <x:v>Actual</x:v>
      </x:c>
      <x:c r="E277" t="str">
        <x:v>DB-104</x:v>
      </x:c>
      <x:c r="F277" t="str">
        <x:v>SunNest Cooling Towel</x:v>
      </x:c>
      <x:c r="G277" t="str">
        <x:v>Consumable repeat</x:v>
      </x:c>
      <x:c r="H277" t="str">
        <x:v>Summer peak</x:v>
      </x:c>
      <x:c r="I277" t="str">
        <x:v>Active</x:v>
      </x:c>
      <x:c r="J277" t="str">
        <x:v>Shopify DTC</x:v>
      </x:c>
      <x:c r="K277" t="str">
        <x:v>Consumer</x:v>
      </x:c>
      <x:c r="L277" t="str">
        <x:v>All Geographies</x:v>
      </x:c>
      <x:c r="M277" s="34" t="n">
        <x:v>3565</x:v>
      </x:c>
      <x:c r="N277" s="28" t="n">
        <x:v>0.03312</x:v>
      </x:c>
      <x:c r="O277" s="34" t="n">
        <x:v>118</x:v>
      </x:c>
      <x:c r="P277" s="34" t="n">
        <x:v>1</x:v>
      </x:c>
      <x:c r="Q277" s="34" t="n">
        <x:v>118</x:v>
      </x:c>
      <x:c r="R277" s="33" t="n">
        <x:v>42</x:v>
      </x:c>
      <x:c r="S277" s="38" t="n">
        <x:v>4.956</x:v>
      </x:c>
      <x:c r="T277" s="38" t="n">
        <x:v>0.39648000000000005</x:v>
      </x:c>
      <x:c r="U277" s="38" t="n">
        <x:v>0.227976</x:v>
      </x:c>
      <x:c r="V277" s="38" t="n">
        <x:v>4.331544</x:v>
      </x:c>
      <x:c r="W277" s="38" t="n">
        <x:v>1.7759</x:v>
      </x:c>
      <x:c r="X277" s="38" t="n">
        <x:v>0.125614776</x:v>
      </x:c>
      <x:c r="Y277" s="38" t="n">
        <x:v>0</x:v>
      </x:c>
      <x:c r="Z277" s="38" t="n">
        <x:v>0.4897</x:v>
      </x:c>
      <x:c r="AA277" s="38" t="n">
        <x:v>0.19469999999999998</x:v>
      </x:c>
      <x:c r="AB277" s="38" t="n">
        <x:v>0.0033039999999999996</x:v>
      </x:c>
      <x:c r="AC277" s="38" t="n">
        <x:v>1.742325224</x:v>
      </x:c>
      <x:c r="AD277" s="28" t="n">
        <x:v>0.40224114634412117</x:v>
      </x:c>
    </x:row>
    <x:row r="278">
      <x:c r="A278" s="32" t="n">
        <x:v>45754</x:v>
      </x:c>
      <x:c r="B278" s="32" t="n">
        <x:v>45748</x:v>
      </x:c>
      <x:c r="C278" t="str">
        <x:v>Apr 2025</x:v>
      </x:c>
      <x:c r="D278" t="str">
        <x:v>Actual</x:v>
      </x:c>
      <x:c r="E278" t="str">
        <x:v>DB-104</x:v>
      </x:c>
      <x:c r="F278" t="str">
        <x:v>SunNest Cooling Towel</x:v>
      </x:c>
      <x:c r="G278" t="str">
        <x:v>Consumable repeat</x:v>
      </x:c>
      <x:c r="H278" t="str">
        <x:v>Summer peak</x:v>
      </x:c>
      <x:c r="I278" t="str">
        <x:v>Active</x:v>
      </x:c>
      <x:c r="J278" t="str">
        <x:v>Amazon Marketplace</x:v>
      </x:c>
      <x:c r="K278" t="str">
        <x:v>Marketplace Consumer</x:v>
      </x:c>
      <x:c r="L278" t="str">
        <x:v>All Geographies</x:v>
      </x:c>
      <x:c r="M278" s="34" t="n">
        <x:v>1783</x:v>
      </x:c>
      <x:c r="N278" s="28" t="n">
        <x:v>0.0390816</x:v>
      </x:c>
      <x:c r="O278" s="34" t="n">
        <x:v>70</x:v>
      </x:c>
      <x:c r="P278" s="34" t="n">
        <x:v>1</x:v>
      </x:c>
      <x:c r="Q278" s="34" t="n">
        <x:v>70</x:v>
      </x:c>
      <x:c r="R278" s="33" t="n">
        <x:v>42</x:v>
      </x:c>
      <x:c r="S278" s="38" t="n">
        <x:v>2.94</x:v>
      </x:c>
      <x:c r="T278" s="38" t="n">
        <x:v>0.147</x:v>
      </x:c>
      <x:c r="U278" s="38" t="n">
        <x:v>0.13965000000000002</x:v>
      </x:c>
      <x:c r="V278" s="38" t="n">
        <x:v>2.65335</x:v>
      </x:c>
      <x:c r="W278" s="38" t="n">
        <x:v>1.0535</x:v>
      </x:c>
      <x:c r="X278" s="38" t="n">
        <x:v>0</x:v>
      </x:c>
      <x:c r="Y278" s="38" t="n">
        <x:v>0.3980025</x:v>
      </x:c>
      <x:c r="Z278" s="38" t="n">
        <x:v>0.364</x:v>
      </x:c>
      <x:c r="AA278" s="38" t="n">
        <x:v>0.1505</x:v>
      </x:c>
      <x:c r="AB278" s="38" t="n">
        <x:v>0.00196</x:v>
      </x:c>
      <x:c r="AC278" s="38" t="n">
        <x:v>0.6853875</x:v>
      </x:c>
      <x:c r="AD278" s="28" t="n">
        <x:v>0.25831024930747926</x:v>
      </x:c>
    </x:row>
    <x:row r="279">
      <x:c r="A279" s="32" t="n">
        <x:v>45754</x:v>
      </x:c>
      <x:c r="B279" s="32" t="n">
        <x:v>45748</x:v>
      </x:c>
      <x:c r="C279" t="str">
        <x:v>Apr 2025</x:v>
      </x:c>
      <x:c r="D279" t="str">
        <x:v>Actual</x:v>
      </x:c>
      <x:c r="E279" t="str">
        <x:v>DB-104</x:v>
      </x:c>
      <x:c r="F279" t="str">
        <x:v>SunNest Cooling Towel</x:v>
      </x:c>
      <x:c r="G279" t="str">
        <x:v>Consumable repeat</x:v>
      </x:c>
      <x:c r="H279" t="str">
        <x:v>Summer peak</x:v>
      </x:c>
      <x:c r="I279" t="str">
        <x:v>Active</x:v>
      </x:c>
      <x:c r="J279" t="str">
        <x:v>Wholesale</x:v>
      </x:c>
      <x:c r="K279" t="str">
        <x:v>Retailer</x:v>
      </x:c>
      <x:c r="L279" t="str">
        <x:v>All Geographies</x:v>
      </x:c>
      <x:c r="M279" s="34" t="n">
        <x:v>1070</x:v>
      </x:c>
      <x:c r="N279" s="28" t="n">
        <x:v>0.018216000000000003</x:v>
      </x:c>
      <x:c r="O279" s="34" t="n">
        <x:v>19</x:v>
      </x:c>
      <x:c r="P279" s="34" t="n">
        <x:v>1</x:v>
      </x:c>
      <x:c r="Q279" s="34" t="n">
        <x:v>19</x:v>
      </x:c>
      <x:c r="R279" s="33" t="n">
        <x:v>42</x:v>
      </x:c>
      <x:c r="S279" s="38" t="n">
        <x:v>0.798</x:v>
      </x:c>
      <x:c r="T279" s="38" t="n">
        <x:v>0.2793</x:v>
      </x:c>
      <x:c r="U279" s="38" t="n">
        <x:v>0.025935000000000003</x:v>
      </x:c>
      <x:c r="V279" s="38" t="n">
        <x:v>0.49276500000000006</x:v>
      </x:c>
      <x:c r="W279" s="38" t="n">
        <x:v>0.28595</x:v>
      </x:c>
      <x:c r="X279" s="38" t="n">
        <x:v>0</x:v>
      </x:c>
      <x:c r="Y279" s="38" t="n">
        <x:v>0</x:v>
      </x:c>
      <x:c r="Z279" s="38" t="n">
        <x:v>0.043699999999999996</x:v>
      </x:c>
      <x:c r="AA279" s="38" t="n">
        <x:v>0.016149999999999998</x:v>
      </x:c>
      <x:c r="AB279" s="38" t="n">
        <x:v>0.0005319999999999999</x:v>
      </x:c>
      <x:c r="AC279" s="38" t="n">
        <x:v>0.1464330000000001</x:v>
      </x:c>
      <x:c r="AD279" s="28" t="n">
        <x:v>0.29716599190283416</x:v>
      </x:c>
    </x:row>
    <x:row r="280">
      <x:c r="A280" s="32" t="n">
        <x:v>45754</x:v>
      </x:c>
      <x:c r="B280" s="32" t="n">
        <x:v>45748</x:v>
      </x:c>
      <x:c r="C280" t="str">
        <x:v>Apr 2025</x:v>
      </x:c>
      <x:c r="D280" t="str">
        <x:v>Actual</x:v>
      </x:c>
      <x:c r="E280" t="str">
        <x:v>DB-104</x:v>
      </x:c>
      <x:c r="F280" t="str">
        <x:v>SunNest Cooling Towel</x:v>
      </x:c>
      <x:c r="G280" t="str">
        <x:v>Consumable repeat</x:v>
      </x:c>
      <x:c r="H280" t="str">
        <x:v>Summer peak</x:v>
      </x:c>
      <x:c r="I280" t="str">
        <x:v>Active</x:v>
      </x:c>
      <x:c r="J280" t="str">
        <x:v>TikTok Shop</x:v>
      </x:c>
      <x:c r="K280" t="str">
        <x:v>Social Commerce</x:v>
      </x:c>
      <x:c r="L280" t="str">
        <x:v>All Geographies</x:v>
      </x:c>
      <x:c r="M280" s="34" t="n">
        <x:v>713</x:v>
      </x:c>
      <x:c r="N280" s="28" t="n">
        <x:v>0.0417312</x:v>
      </x:c>
      <x:c r="O280" s="34" t="n">
        <x:v>30</x:v>
      </x:c>
      <x:c r="P280" s="34" t="n">
        <x:v>1</x:v>
      </x:c>
      <x:c r="Q280" s="34" t="n">
        <x:v>30</x:v>
      </x:c>
      <x:c r="R280" s="33" t="n">
        <x:v>42</x:v>
      </x:c>
      <x:c r="S280" s="38" t="n">
        <x:v>1.26</x:v>
      </x:c>
      <x:c r="T280" s="38" t="n">
        <x:v>0.1512</x:v>
      </x:c>
      <x:c r="U280" s="38" t="n">
        <x:v>0.05544</x:v>
      </x:c>
      <x:c r="V280" s="38" t="n">
        <x:v>1.05336</x:v>
      </x:c>
      <x:c r="W280" s="38" t="n">
        <x:v>0.4515</x:v>
      </x:c>
      <x:c r="X280" s="38" t="n">
        <x:v>0.030547440000000002</x:v>
      </x:c>
      <x:c r="Y280" s="38" t="n">
        <x:v>0.0632016</x:v>
      </x:c>
      <x:c r="Z280" s="38" t="n">
        <x:v>0.153</x:v>
      </x:c>
      <x:c r="AA280" s="38" t="n">
        <x:v>0.0525</x:v>
      </x:c>
      <x:c r="AB280" s="38" t="n">
        <x:v>0.0008399999999999999</x:v>
      </x:c>
      <x:c r="AC280" s="38" t="n">
        <x:v>0.3017709600000001</x:v>
      </x:c>
      <x:c r="AD280" s="28" t="n">
        <x:v>0.28648416495784923</x:v>
      </x:c>
    </x:row>
    <x:row r="281">
      <x:c r="A281" s="32" t="n">
        <x:v>45754</x:v>
      </x:c>
      <x:c r="B281" s="32" t="n">
        <x:v>45748</x:v>
      </x:c>
      <x:c r="C281" t="str">
        <x:v>Apr 2025</x:v>
      </x:c>
      <x:c r="D281" t="str">
        <x:v>Actual</x:v>
      </x:c>
      <x:c r="E281" t="str">
        <x:v>DB-105</x:v>
      </x:c>
      <x:c r="F281" t="str">
        <x:v>DreamFuel Refill Pack</x:v>
      </x:c>
      <x:c r="G281" t="str">
        <x:v>Subscription</x:v>
      </x:c>
      <x:c r="H281" t="str">
        <x:v>None</x:v>
      </x:c>
      <x:c r="I281" t="str">
        <x:v>Active</x:v>
      </x:c>
      <x:c r="J281" t="str">
        <x:v>Shopify DTC</x:v>
      </x:c>
      <x:c r="K281" t="str">
        <x:v>Consumer</x:v>
      </x:c>
      <x:c r="L281" t="str">
        <x:v>All Geographies</x:v>
      </x:c>
      <x:c r="M281" s="34" t="n">
        <x:v>3595</x:v>
      </x:c>
      <x:c r="N281" s="28" t="n">
        <x:v>0.03888</x:v>
      </x:c>
      <x:c r="O281" s="34" t="n">
        <x:v>140</x:v>
      </x:c>
      <x:c r="P281" s="34" t="n">
        <x:v>1</x:v>
      </x:c>
      <x:c r="Q281" s="34" t="n">
        <x:v>140</x:v>
      </x:c>
      <x:c r="R281" s="33" t="n">
        <x:v>56</x:v>
      </x:c>
      <x:c r="S281" s="38" t="n">
        <x:v>7.84</x:v>
      </x:c>
      <x:c r="T281" s="38" t="n">
        <x:v>0.6272</x:v>
      </x:c>
      <x:c r="U281" s="38" t="n">
        <x:v>0.144256</x:v>
      </x:c>
      <x:c r="V281" s="38" t="n">
        <x:v>7.068543999999999</x:v>
      </x:c>
      <x:c r="W281" s="38" t="n">
        <x:v>2.6068000000000002</x:v>
      </x:c>
      <x:c r="X281" s="38" t="n">
        <x:v>0.20498777599999998</x:v>
      </x:c>
      <x:c r="Y281" s="38" t="n">
        <x:v>0</x:v>
      </x:c>
      <x:c r="Z281" s="38" t="n">
        <x:v>0.581</x:v>
      </x:c>
      <x:c r="AA281" s="38" t="n">
        <x:v>0.231</x:v>
      </x:c>
      <x:c r="AB281" s="38" t="n">
        <x:v>0.000504</x:v>
      </x:c>
      <x:c r="AC281" s="38" t="n">
        <x:v>3.4442522239999995</x:v>
      </x:c>
      <x:c r="AD281" s="28" t="n">
        <x:v>0.48726473570794776</x:v>
      </x:c>
    </x:row>
    <x:row r="282">
      <x:c r="A282" s="32" t="n">
        <x:v>45754</x:v>
      </x:c>
      <x:c r="B282" s="32" t="n">
        <x:v>45748</x:v>
      </x:c>
      <x:c r="C282" t="str">
        <x:v>Apr 2025</x:v>
      </x:c>
      <x:c r="D282" t="str">
        <x:v>Actual</x:v>
      </x:c>
      <x:c r="E282" t="str">
        <x:v>DB-105</x:v>
      </x:c>
      <x:c r="F282" t="str">
        <x:v>DreamFuel Refill Pack</x:v>
      </x:c>
      <x:c r="G282" t="str">
        <x:v>Subscription</x:v>
      </x:c>
      <x:c r="H282" t="str">
        <x:v>None</x:v>
      </x:c>
      <x:c r="I282" t="str">
        <x:v>Active</x:v>
      </x:c>
      <x:c r="J282" t="str">
        <x:v>Amazon Marketplace</x:v>
      </x:c>
      <x:c r="K282" t="str">
        <x:v>Marketplace Consumer</x:v>
      </x:c>
      <x:c r="L282" t="str">
        <x:v>All Geographies</x:v>
      </x:c>
      <x:c r="M282" s="34" t="n">
        <x:v>1798</x:v>
      </x:c>
      <x:c r="N282" s="28" t="n">
        <x:v>0.0458784</x:v>
      </x:c>
      <x:c r="O282" s="34" t="n">
        <x:v>82</x:v>
      </x:c>
      <x:c r="P282" s="34" t="n">
        <x:v>1</x:v>
      </x:c>
      <x:c r="Q282" s="34" t="n">
        <x:v>82</x:v>
      </x:c>
      <x:c r="R282" s="33" t="n">
        <x:v>56</x:v>
      </x:c>
      <x:c r="S282" s="38" t="n">
        <x:v>4.592</x:v>
      </x:c>
      <x:c r="T282" s="38" t="n">
        <x:v>0.2296</x:v>
      </x:c>
      <x:c r="U282" s="38" t="n">
        <x:v>0.087248</x:v>
      </x:c>
      <x:c r="V282" s="38" t="n">
        <x:v>4.275152</x:v>
      </x:c>
      <x:c r="W282" s="38" t="n">
        <x:v>1.5268400000000002</x:v>
      </x:c>
      <x:c r="X282" s="38" t="n">
        <x:v>0</x:v>
      </x:c>
      <x:c r="Y282" s="38" t="n">
        <x:v>0.6412728</x:v>
      </x:c>
      <x:c r="Z282" s="38" t="n">
        <x:v>0.42640000000000006</x:v>
      </x:c>
      <x:c r="AA282" s="38" t="n">
        <x:v>0.17629999999999998</x:v>
      </x:c>
      <x:c r="AB282" s="38" t="n">
        <x:v>0.00029519999999999997</x:v>
      </x:c>
      <x:c r="AC282" s="38" t="n">
        <x:v>1.5040440000000004</x:v>
      </x:c>
      <x:c r="AD282" s="28" t="n">
        <x:v>0.3518106490716588</x:v>
      </x:c>
    </x:row>
    <x:row r="283">
      <x:c r="A283" s="32" t="n">
        <x:v>45754</x:v>
      </x:c>
      <x:c r="B283" s="32" t="n">
        <x:v>45748</x:v>
      </x:c>
      <x:c r="C283" t="str">
        <x:v>Apr 2025</x:v>
      </x:c>
      <x:c r="D283" t="str">
        <x:v>Actual</x:v>
      </x:c>
      <x:c r="E283" t="str">
        <x:v>DB-105</x:v>
      </x:c>
      <x:c r="F283" t="str">
        <x:v>DreamFuel Refill Pack</x:v>
      </x:c>
      <x:c r="G283" t="str">
        <x:v>Subscription</x:v>
      </x:c>
      <x:c r="H283" t="str">
        <x:v>None</x:v>
      </x:c>
      <x:c r="I283" t="str">
        <x:v>Active</x:v>
      </x:c>
      <x:c r="J283" t="str">
        <x:v>Wholesale</x:v>
      </x:c>
      <x:c r="K283" t="str">
        <x:v>Retailer</x:v>
      </x:c>
      <x:c r="L283" t="str">
        <x:v>All Geographies</x:v>
      </x:c>
      <x:c r="M283" s="34" t="n">
        <x:v>1079</x:v>
      </x:c>
      <x:c r="N283" s="28" t="n">
        <x:v>0.021384000000000004</x:v>
      </x:c>
      <x:c r="O283" s="34" t="n">
        <x:v>23</x:v>
      </x:c>
      <x:c r="P283" s="34" t="n">
        <x:v>1</x:v>
      </x:c>
      <x:c r="Q283" s="34" t="n">
        <x:v>23</x:v>
      </x:c>
      <x:c r="R283" s="33" t="n">
        <x:v>56</x:v>
      </x:c>
      <x:c r="S283" s="38" t="n">
        <x:v>1.288</x:v>
      </x:c>
      <x:c r="T283" s="38" t="n">
        <x:v>0.4508</x:v>
      </x:c>
      <x:c r="U283" s="38" t="n">
        <x:v>0.016744000000000002</x:v>
      </x:c>
      <x:c r="V283" s="38" t="n">
        <x:v>0.8204560000000001</x:v>
      </x:c>
      <x:c r="W283" s="38" t="n">
        <x:v>0.42826000000000003</x:v>
      </x:c>
      <x:c r="X283" s="38" t="n">
        <x:v>0</x:v>
      </x:c>
      <x:c r="Y283" s="38" t="n">
        <x:v>0</x:v>
      </x:c>
      <x:c r="Z283" s="38" t="n">
        <x:v>0.052899999999999996</x:v>
      </x:c>
      <x:c r="AA283" s="38" t="n">
        <x:v>0.01955</x:v>
      </x:c>
      <x:c r="AB283" s="38" t="n">
        <x:v>0.0000828</x:v>
      </x:c>
      <x:c r="AC283" s="38" t="n">
        <x:v>0.31966320000000004</x:v>
      </x:c>
      <x:c r="AD283" s="28" t="n">
        <x:v>0.38961650594303654</x:v>
      </x:c>
    </x:row>
    <x:row r="284">
      <x:c r="A284" s="32" t="n">
        <x:v>45754</x:v>
      </x:c>
      <x:c r="B284" s="32" t="n">
        <x:v>45748</x:v>
      </x:c>
      <x:c r="C284" t="str">
        <x:v>Apr 2025</x:v>
      </x:c>
      <x:c r="D284" t="str">
        <x:v>Actual</x:v>
      </x:c>
      <x:c r="E284" t="str">
        <x:v>DB-105</x:v>
      </x:c>
      <x:c r="F284" t="str">
        <x:v>DreamFuel Refill Pack</x:v>
      </x:c>
      <x:c r="G284" t="str">
        <x:v>Subscription</x:v>
      </x:c>
      <x:c r="H284" t="str">
        <x:v>None</x:v>
      </x:c>
      <x:c r="I284" t="str">
        <x:v>Active</x:v>
      </x:c>
      <x:c r="J284" t="str">
        <x:v>TikTok Shop</x:v>
      </x:c>
      <x:c r="K284" t="str">
        <x:v>Social Commerce</x:v>
      </x:c>
      <x:c r="L284" t="str">
        <x:v>All Geographies</x:v>
      </x:c>
      <x:c r="M284" s="34" t="n">
        <x:v>719</x:v>
      </x:c>
      <x:c r="N284" s="28" t="n">
        <x:v>0.0489888</x:v>
      </x:c>
      <x:c r="O284" s="34" t="n">
        <x:v>35</x:v>
      </x:c>
      <x:c r="P284" s="34" t="n">
        <x:v>1</x:v>
      </x:c>
      <x:c r="Q284" s="34" t="n">
        <x:v>35</x:v>
      </x:c>
      <x:c r="R284" s="33" t="n">
        <x:v>56</x:v>
      </x:c>
      <x:c r="S284" s="38" t="n">
        <x:v>1.96</x:v>
      </x:c>
      <x:c r="T284" s="38" t="n">
        <x:v>0.2352</x:v>
      </x:c>
      <x:c r="U284" s="38" t="n">
        <x:v>0.034496</x:v>
      </x:c>
      <x:c r="V284" s="38" t="n">
        <x:v>1.6903039999999998</x:v>
      </x:c>
      <x:c r="W284" s="38" t="n">
        <x:v>0.6517000000000001</x:v>
      </x:c>
      <x:c r="X284" s="38" t="n">
        <x:v>0.049018816</x:v>
      </x:c>
      <x:c r="Y284" s="38" t="n">
        <x:v>0.10141823999999998</x:v>
      </x:c>
      <x:c r="Z284" s="38" t="n">
        <x:v>0.1785</x:v>
      </x:c>
      <x:c r="AA284" s="38" t="n">
        <x:v>0.06125</x:v>
      </x:c>
      <x:c r="AB284" s="38" t="n">
        <x:v>0.000126</x:v>
      </x:c>
      <x:c r="AC284" s="38" t="n">
        <x:v>0.6482909439999999</x:v>
      </x:c>
      <x:c r="AD284" s="28" t="n">
        <x:v>0.38353511794328116</x:v>
      </x:c>
    </x:row>
    <x:row r="285">
      <x:c r="A285" s="32" t="n">
        <x:v>45761</x:v>
      </x:c>
      <x:c r="B285" s="32" t="n">
        <x:v>45748</x:v>
      </x:c>
      <x:c r="C285" t="str">
        <x:v>Apr 2025</x:v>
      </x:c>
      <x:c r="D285" t="str">
        <x:v>Actual</x:v>
      </x:c>
      <x:c r="E285" t="str">
        <x:v>DB-101</x:v>
      </x:c>
      <x:c r="F285" t="str">
        <x:v>AeroSip Bottle</x:v>
      </x:c>
      <x:c r="G285" t="str">
        <x:v>One-time purchase</x:v>
      </x:c>
      <x:c r="H285" t="str">
        <x:v>None</x:v>
      </x:c>
      <x:c r="I285" t="str">
        <x:v>Active</x:v>
      </x:c>
      <x:c r="J285" t="str">
        <x:v>Shopify DTC</x:v>
      </x:c>
      <x:c r="K285" t="str">
        <x:v>Consumer</x:v>
      </x:c>
      <x:c r="L285" t="str">
        <x:v>All Geographies</x:v>
      </x:c>
      <x:c r="M285" s="34" t="n">
        <x:v>5214</x:v>
      </x:c>
      <x:c r="N285" s="28" t="n">
        <x:v>0.034199999999999994</x:v>
      </x:c>
      <x:c r="O285" s="34" t="n">
        <x:v>178</x:v>
      </x:c>
      <x:c r="P285" s="34" t="n">
        <x:v>1</x:v>
      </x:c>
      <x:c r="Q285" s="34" t="n">
        <x:v>178</x:v>
      </x:c>
      <x:c r="R285" s="33" t="n">
        <x:v>29</x:v>
      </x:c>
      <x:c r="S285" s="38" t="n">
        <x:v>5.162</x:v>
      </x:c>
      <x:c r="T285" s="38" t="n">
        <x:v>0.41296</x:v>
      </x:c>
      <x:c r="U285" s="38" t="n">
        <x:v>0.2137068</x:v>
      </x:c>
      <x:c r="V285" s="38" t="n">
        <x:v>4.5353332</x:v>
      </x:c>
      <x:c r="W285" s="38" t="n">
        <x:v>1.9224</x:v>
      </x:c>
      <x:c r="X285" s="38" t="n">
        <x:v>0.13152466280000003</x:v>
      </x:c>
      <x:c r="Y285" s="38" t="n">
        <x:v>0</x:v>
      </x:c>
      <x:c r="Z285" s="38" t="n">
        <x:v>0.7387</x:v>
      </x:c>
      <x:c r="AA285" s="38" t="n">
        <x:v>0.29369999999999996</x:v>
      </x:c>
      <x:c r="AB285" s="38" t="n">
        <x:v>0.0064080000000000005</x:v>
      </x:c>
      <x:c r="AC285" s="38" t="n">
        <x:v>1.4426005372000001</x:v>
      </x:c>
      <x:c r="AD285" s="28" t="n">
        <x:v>0.31808038650831655</x:v>
      </x:c>
    </x:row>
    <x:row r="286">
      <x:c r="A286" s="32" t="n">
        <x:v>45761</x:v>
      </x:c>
      <x:c r="B286" s="32" t="n">
        <x:v>45748</x:v>
      </x:c>
      <x:c r="C286" t="str">
        <x:v>Apr 2025</x:v>
      </x:c>
      <x:c r="D286" t="str">
        <x:v>Actual</x:v>
      </x:c>
      <x:c r="E286" t="str">
        <x:v>DB-101</x:v>
      </x:c>
      <x:c r="F286" t="str">
        <x:v>AeroSip Bottle</x:v>
      </x:c>
      <x:c r="G286" t="str">
        <x:v>One-time purchase</x:v>
      </x:c>
      <x:c r="H286" t="str">
        <x:v>None</x:v>
      </x:c>
      <x:c r="I286" t="str">
        <x:v>Active</x:v>
      </x:c>
      <x:c r="J286" t="str">
        <x:v>Amazon Marketplace</x:v>
      </x:c>
      <x:c r="K286" t="str">
        <x:v>Marketplace Consumer</x:v>
      </x:c>
      <x:c r="L286" t="str">
        <x:v>All Geographies</x:v>
      </x:c>
      <x:c r="M286" s="34" t="n">
        <x:v>2607</x:v>
      </x:c>
      <x:c r="N286" s="28" t="n">
        <x:v>0.040355999999999996</x:v>
      </x:c>
      <x:c r="O286" s="34" t="n">
        <x:v>105</x:v>
      </x:c>
      <x:c r="P286" s="34" t="n">
        <x:v>1</x:v>
      </x:c>
      <x:c r="Q286" s="34" t="n">
        <x:v>105</x:v>
      </x:c>
      <x:c r="R286" s="33" t="n">
        <x:v>29</x:v>
      </x:c>
      <x:c r="S286" s="38" t="n">
        <x:v>3.045</x:v>
      </x:c>
      <x:c r="T286" s="38" t="n">
        <x:v>0.15225</x:v>
      </x:c>
      <x:c r="U286" s="38" t="n">
        <x:v>0.13017375</x:v>
      </x:c>
      <x:c r="V286" s="38" t="n">
        <x:v>2.76257625</x:v>
      </x:c>
      <x:c r="W286" s="38" t="n">
        <x:v>1.134</x:v>
      </x:c>
      <x:c r="X286" s="38" t="n">
        <x:v>0</x:v>
      </x:c>
      <x:c r="Y286" s="38" t="n">
        <x:v>0.4143864375</x:v>
      </x:c>
      <x:c r="Z286" s="38" t="n">
        <x:v>0.546</x:v>
      </x:c>
      <x:c r="AA286" s="38" t="n">
        <x:v>0.22575</x:v>
      </x:c>
      <x:c r="AB286" s="38" t="n">
        <x:v>0.0037800000000000004</x:v>
      </x:c>
      <x:c r="AC286" s="38" t="n">
        <x:v>0.4386598125000001</x:v>
      </x:c>
      <x:c r="AD286" s="28" t="n">
        <x:v>0.15878649955815702</x:v>
      </x:c>
    </x:row>
    <x:row r="287">
      <x:c r="A287" s="32" t="n">
        <x:v>45761</x:v>
      </x:c>
      <x:c r="B287" s="32" t="n">
        <x:v>45748</x:v>
      </x:c>
      <x:c r="C287" t="str">
        <x:v>Apr 2025</x:v>
      </x:c>
      <x:c r="D287" t="str">
        <x:v>Actual</x:v>
      </x:c>
      <x:c r="E287" t="str">
        <x:v>DB-101</x:v>
      </x:c>
      <x:c r="F287" t="str">
        <x:v>AeroSip Bottle</x:v>
      </x:c>
      <x:c r="G287" t="str">
        <x:v>One-time purchase</x:v>
      </x:c>
      <x:c r="H287" t="str">
        <x:v>None</x:v>
      </x:c>
      <x:c r="I287" t="str">
        <x:v>Active</x:v>
      </x:c>
      <x:c r="J287" t="str">
        <x:v>Wholesale</x:v>
      </x:c>
      <x:c r="K287" t="str">
        <x:v>Retailer</x:v>
      </x:c>
      <x:c r="L287" t="str">
        <x:v>All Geographies</x:v>
      </x:c>
      <x:c r="M287" s="34" t="n">
        <x:v>1564</x:v>
      </x:c>
      <x:c r="N287" s="28" t="n">
        <x:v>0.01881</x:v>
      </x:c>
      <x:c r="O287" s="34" t="n">
        <x:v>29</x:v>
      </x:c>
      <x:c r="P287" s="34" t="n">
        <x:v>1</x:v>
      </x:c>
      <x:c r="Q287" s="34" t="n">
        <x:v>29</x:v>
      </x:c>
      <x:c r="R287" s="33" t="n">
        <x:v>29</x:v>
      </x:c>
      <x:c r="S287" s="38" t="n">
        <x:v>0.841</x:v>
      </x:c>
      <x:c r="T287" s="38" t="n">
        <x:v>0.29434999999999995</x:v>
      </x:c>
      <x:c r="U287" s="38" t="n">
        <x:v>0.024599250000000003</x:v>
      </x:c>
      <x:c r="V287" s="38" t="n">
        <x:v>0.5220507500000001</x:v>
      </x:c>
      <x:c r="W287" s="38" t="n">
        <x:v>0.31320000000000003</x:v>
      </x:c>
      <x:c r="X287" s="38" t="n">
        <x:v>0</x:v>
      </x:c>
      <x:c r="Y287" s="38" t="n">
        <x:v>0</x:v>
      </x:c>
      <x:c r="Z287" s="38" t="n">
        <x:v>0.0667</x:v>
      </x:c>
      <x:c r="AA287" s="38" t="n">
        <x:v>0.02465</x:v>
      </x:c>
      <x:c r="AB287" s="38" t="n">
        <x:v>0.001044</x:v>
      </x:c>
      <x:c r="AC287" s="38" t="n">
        <x:v>0.1164567500000001</x:v>
      </x:c>
      <x:c r="AD287" s="28" t="n">
        <x:v>0.22307553432305205</x:v>
      </x:c>
    </x:row>
    <x:row r="288">
      <x:c r="A288" s="32" t="n">
        <x:v>45761</x:v>
      </x:c>
      <x:c r="B288" s="32" t="n">
        <x:v>45748</x:v>
      </x:c>
      <x:c r="C288" t="str">
        <x:v>Apr 2025</x:v>
      </x:c>
      <x:c r="D288" t="str">
        <x:v>Actual</x:v>
      </x:c>
      <x:c r="E288" t="str">
        <x:v>DB-101</x:v>
      </x:c>
      <x:c r="F288" t="str">
        <x:v>AeroSip Bottle</x:v>
      </x:c>
      <x:c r="G288" t="str">
        <x:v>One-time purchase</x:v>
      </x:c>
      <x:c r="H288" t="str">
        <x:v>None</x:v>
      </x:c>
      <x:c r="I288" t="str">
        <x:v>Active</x:v>
      </x:c>
      <x:c r="J288" t="str">
        <x:v>TikTok Shop</x:v>
      </x:c>
      <x:c r="K288" t="str">
        <x:v>Social Commerce</x:v>
      </x:c>
      <x:c r="L288" t="str">
        <x:v>All Geographies</x:v>
      </x:c>
      <x:c r="M288" s="34" t="n">
        <x:v>1043</x:v>
      </x:c>
      <x:c r="N288" s="28" t="n">
        <x:v>0.043092</x:v>
      </x:c>
      <x:c r="O288" s="34" t="n">
        <x:v>45</x:v>
      </x:c>
      <x:c r="P288" s="34" t="n">
        <x:v>1</x:v>
      </x:c>
      <x:c r="Q288" s="34" t="n">
        <x:v>45</x:v>
      </x:c>
      <x:c r="R288" s="33" t="n">
        <x:v>29</x:v>
      </x:c>
      <x:c r="S288" s="38" t="n">
        <x:v>1.305</x:v>
      </x:c>
      <x:c r="T288" s="38" t="n">
        <x:v>0.1566</x:v>
      </x:c>
      <x:c r="U288" s="38" t="n">
        <x:v>0.051677999999999995</x:v>
      </x:c>
      <x:c r="V288" s="38" t="n">
        <x:v>1.096722</x:v>
      </x:c>
      <x:c r="W288" s="38" t="n">
        <x:v>0.48600000000000004</x:v>
      </x:c>
      <x:c r="X288" s="38" t="n">
        <x:v>0.031804938</x:v>
      </x:c>
      <x:c r="Y288" s="38" t="n">
        <x:v>0.06580332</x:v>
      </x:c>
      <x:c r="Z288" s="38" t="n">
        <x:v>0.22949999999999998</x:v>
      </x:c>
      <x:c r="AA288" s="38" t="n">
        <x:v>0.07875</x:v>
      </x:c>
      <x:c r="AB288" s="38" t="n">
        <x:v>0.0016200000000000001</x:v>
      </x:c>
      <x:c r="AC288" s="38" t="n">
        <x:v>0.20324374200000006</x:v>
      </x:c>
      <x:c r="AD288" s="28" t="n">
        <x:v>0.18531928966502</x:v>
      </x:c>
    </x:row>
    <x:row r="289">
      <x:c r="A289" s="32" t="n">
        <x:v>45761</x:v>
      </x:c>
      <x:c r="B289" s="32" t="n">
        <x:v>45748</x:v>
      </x:c>
      <x:c r="C289" t="str">
        <x:v>Apr 2025</x:v>
      </x:c>
      <x:c r="D289" t="str">
        <x:v>Actual</x:v>
      </x:c>
      <x:c r="E289" t="str">
        <x:v>DB-102</x:v>
      </x:c>
      <x:c r="F289" t="str">
        <x:v>GlowPatch Balm</x:v>
      </x:c>
      <x:c r="G289" t="str">
        <x:v>Consumable repeat</x:v>
      </x:c>
      <x:c r="H289" t="str">
        <x:v>None</x:v>
      </x:c>
      <x:c r="I289" t="str">
        <x:v>Active</x:v>
      </x:c>
      <x:c r="J289" t="str">
        <x:v>Shopify DTC</x:v>
      </x:c>
      <x:c r="K289" t="str">
        <x:v>Consumer</x:v>
      </x:c>
      <x:c r="L289" t="str">
        <x:v>All Geographies</x:v>
      </x:c>
      <x:c r="M289" s="34" t="n">
        <x:v>4211</x:v>
      </x:c>
      <x:c r="N289" s="28" t="n">
        <x:v>0.04248</x:v>
      </x:c>
      <x:c r="O289" s="34" t="n">
        <x:v>179</x:v>
      </x:c>
      <x:c r="P289" s="34" t="n">
        <x:v>1</x:v>
      </x:c>
      <x:c r="Q289" s="34" t="n">
        <x:v>179</x:v>
      </x:c>
      <x:c r="R289" s="33" t="n">
        <x:v>18</x:v>
      </x:c>
      <x:c r="S289" s="38" t="n">
        <x:v>3.222</x:v>
      </x:c>
      <x:c r="T289" s="38" t="n">
        <x:v>0.25776</x:v>
      </x:c>
      <x:c r="U289" s="38" t="n">
        <x:v>0.074106</x:v>
      </x:c>
      <x:c r="V289" s="38" t="n">
        <x:v>2.890134</x:v>
      </x:c>
      <x:c r="W289" s="38" t="n">
        <x:v>0.96839</x:v>
      </x:c>
      <x:c r="X289" s="38" t="n">
        <x:v>0.083813886</x:v>
      </x:c>
      <x:c r="Y289" s="38" t="n">
        <x:v>0</x:v>
      </x:c>
      <x:c r="Z289" s="38" t="n">
        <x:v>0.74285</x:v>
      </x:c>
      <x:c r="AA289" s="38" t="n">
        <x:v>0.29534999999999995</x:v>
      </x:c>
      <x:c r="AB289" s="38" t="n">
        <x:v>0.0010739999999999999</x:v>
      </x:c>
      <x:c r="AC289" s="38" t="n">
        <x:v>0.7986561140000004</x:v>
      </x:c>
      <x:c r="AD289" s="28" t="n">
        <x:v>0.27633878359965325</x:v>
      </x:c>
    </x:row>
    <x:row r="290">
      <x:c r="A290" s="32" t="n">
        <x:v>45761</x:v>
      </x:c>
      <x:c r="B290" s="32" t="n">
        <x:v>45748</x:v>
      </x:c>
      <x:c r="C290" t="str">
        <x:v>Apr 2025</x:v>
      </x:c>
      <x:c r="D290" t="str">
        <x:v>Actual</x:v>
      </x:c>
      <x:c r="E290" t="str">
        <x:v>DB-102</x:v>
      </x:c>
      <x:c r="F290" t="str">
        <x:v>GlowPatch Balm</x:v>
      </x:c>
      <x:c r="G290" t="str">
        <x:v>Consumable repeat</x:v>
      </x:c>
      <x:c r="H290" t="str">
        <x:v>None</x:v>
      </x:c>
      <x:c r="I290" t="str">
        <x:v>Active</x:v>
      </x:c>
      <x:c r="J290" t="str">
        <x:v>Amazon Marketplace</x:v>
      </x:c>
      <x:c r="K290" t="str">
        <x:v>Marketplace Consumer</x:v>
      </x:c>
      <x:c r="L290" t="str">
        <x:v>All Geographies</x:v>
      </x:c>
      <x:c r="M290" s="34" t="n">
        <x:v>2106</x:v>
      </x:c>
      <x:c r="N290" s="28" t="n">
        <x:v>0.050126399999999995</x:v>
      </x:c>
      <x:c r="O290" s="34" t="n">
        <x:v>106</x:v>
      </x:c>
      <x:c r="P290" s="34" t="n">
        <x:v>1</x:v>
      </x:c>
      <x:c r="Q290" s="34" t="n">
        <x:v>106</x:v>
      </x:c>
      <x:c r="R290" s="33" t="n">
        <x:v>18</x:v>
      </x:c>
      <x:c r="S290" s="38" t="n">
        <x:v>1.908</x:v>
      </x:c>
      <x:c r="T290" s="38" t="n">
        <x:v>0.0954</x:v>
      </x:c>
      <x:c r="U290" s="38" t="n">
        <x:v>0.045315</x:v>
      </x:c>
      <x:c r="V290" s="38" t="n">
        <x:v>1.767285</x:v>
      </x:c>
      <x:c r="W290" s="38" t="n">
        <x:v>0.5734600000000001</x:v>
      </x:c>
      <x:c r="X290" s="38" t="n">
        <x:v>0</x:v>
      </x:c>
      <x:c r="Y290" s="38" t="n">
        <x:v>0.26509275</x:v>
      </x:c>
      <x:c r="Z290" s="38" t="n">
        <x:v>0.5512</x:v>
      </x:c>
      <x:c r="AA290" s="38" t="n">
        <x:v>0.22789999999999996</x:v>
      </x:c>
      <x:c r="AB290" s="38" t="n">
        <x:v>0.0006360000000000001</x:v>
      </x:c>
      <x:c r="AC290" s="38" t="n">
        <x:v>0.14899624999999994</x:v>
      </x:c>
      <x:c r="AD290" s="28" t="n">
        <x:v>0.08430799220272901</x:v>
      </x:c>
    </x:row>
    <x:row r="291">
      <x:c r="A291" s="32" t="n">
        <x:v>45761</x:v>
      </x:c>
      <x:c r="B291" s="32" t="n">
        <x:v>45748</x:v>
      </x:c>
      <x:c r="C291" t="str">
        <x:v>Apr 2025</x:v>
      </x:c>
      <x:c r="D291" t="str">
        <x:v>Actual</x:v>
      </x:c>
      <x:c r="E291" t="str">
        <x:v>DB-102</x:v>
      </x:c>
      <x:c r="F291" t="str">
        <x:v>GlowPatch Balm</x:v>
      </x:c>
      <x:c r="G291" t="str">
        <x:v>Consumable repeat</x:v>
      </x:c>
      <x:c r="H291" t="str">
        <x:v>None</x:v>
      </x:c>
      <x:c r="I291" t="str">
        <x:v>Active</x:v>
      </x:c>
      <x:c r="J291" t="str">
        <x:v>Wholesale</x:v>
      </x:c>
      <x:c r="K291" t="str">
        <x:v>Retailer</x:v>
      </x:c>
      <x:c r="L291" t="str">
        <x:v>All Geographies</x:v>
      </x:c>
      <x:c r="M291" s="34" t="n">
        <x:v>1263</x:v>
      </x:c>
      <x:c r="N291" s="28" t="n">
        <x:v>0.023364</x:v>
      </x:c>
      <x:c r="O291" s="34" t="n">
        <x:v>30</x:v>
      </x:c>
      <x:c r="P291" s="34" t="n">
        <x:v>1</x:v>
      </x:c>
      <x:c r="Q291" s="34" t="n">
        <x:v>30</x:v>
      </x:c>
      <x:c r="R291" s="33" t="n">
        <x:v>18</x:v>
      </x:c>
      <x:c r="S291" s="38" t="n">
        <x:v>0.54</x:v>
      </x:c>
      <x:c r="T291" s="38" t="n">
        <x:v>0.189</x:v>
      </x:c>
      <x:c r="U291" s="38" t="n">
        <x:v>0.008775000000000002</x:v>
      </x:c>
      <x:c r="V291" s="38" t="n">
        <x:v>0.34222500000000006</x:v>
      </x:c>
      <x:c r="W291" s="38" t="n">
        <x:v>0.1623</x:v>
      </x:c>
      <x:c r="X291" s="38" t="n">
        <x:v>0</x:v>
      </x:c>
      <x:c r="Y291" s="38" t="n">
        <x:v>0</x:v>
      </x:c>
      <x:c r="Z291" s="38" t="n">
        <x:v>0.069</x:v>
      </x:c>
      <x:c r="AA291" s="38" t="n">
        <x:v>0.0255</x:v>
      </x:c>
      <x:c r="AB291" s="38" t="n">
        <x:v>0.00017999999999999998</x:v>
      </x:c>
      <x:c r="AC291" s="38" t="n">
        <x:v>0.08524500000000006</x:v>
      </x:c>
      <x:c r="AD291" s="28" t="n">
        <x:v>0.2490905106289723</x:v>
      </x:c>
    </x:row>
    <x:row r="292">
      <x:c r="A292" s="32" t="n">
        <x:v>45761</x:v>
      </x:c>
      <x:c r="B292" s="32" t="n">
        <x:v>45748</x:v>
      </x:c>
      <x:c r="C292" t="str">
        <x:v>Apr 2025</x:v>
      </x:c>
      <x:c r="D292" t="str">
        <x:v>Actual</x:v>
      </x:c>
      <x:c r="E292" t="str">
        <x:v>DB-102</x:v>
      </x:c>
      <x:c r="F292" t="str">
        <x:v>GlowPatch Balm</x:v>
      </x:c>
      <x:c r="G292" t="str">
        <x:v>Consumable repeat</x:v>
      </x:c>
      <x:c r="H292" t="str">
        <x:v>None</x:v>
      </x:c>
      <x:c r="I292" t="str">
        <x:v>Active</x:v>
      </x:c>
      <x:c r="J292" t="str">
        <x:v>TikTok Shop</x:v>
      </x:c>
      <x:c r="K292" t="str">
        <x:v>Social Commerce</x:v>
      </x:c>
      <x:c r="L292" t="str">
        <x:v>All Geographies</x:v>
      </x:c>
      <x:c r="M292" s="34" t="n">
        <x:v>842</x:v>
      </x:c>
      <x:c r="N292" s="28" t="n">
        <x:v>0.0535248</x:v>
      </x:c>
      <x:c r="O292" s="34" t="n">
        <x:v>45</x:v>
      </x:c>
      <x:c r="P292" s="34" t="n">
        <x:v>1</x:v>
      </x:c>
      <x:c r="Q292" s="34" t="n">
        <x:v>45</x:v>
      </x:c>
      <x:c r="R292" s="33" t="n">
        <x:v>18</x:v>
      </x:c>
      <x:c r="S292" s="38" t="n">
        <x:v>0.81</x:v>
      </x:c>
      <x:c r="T292" s="38" t="n">
        <x:v>0.09720000000000001</x:v>
      </x:c>
      <x:c r="U292" s="38" t="n">
        <x:v>0.017820000000000003</x:v>
      </x:c>
      <x:c r="V292" s="38" t="n">
        <x:v>0.6949800000000002</x:v>
      </x:c>
      <x:c r="W292" s="38" t="n">
        <x:v>0.24345000000000003</x:v>
      </x:c>
      <x:c r="X292" s="38" t="n">
        <x:v>0.020154420000000006</x:v>
      </x:c>
      <x:c r="Y292" s="38" t="n">
        <x:v>0.04169880000000001</x:v>
      </x:c>
      <x:c r="Z292" s="38" t="n">
        <x:v>0.22949999999999998</x:v>
      </x:c>
      <x:c r="AA292" s="38" t="n">
        <x:v>0.07875</x:v>
      </x:c>
      <x:c r="AB292" s="38" t="n">
        <x:v>0.00027</x:v>
      </x:c>
      <x:c r="AC292" s="38" t="n">
        <x:v>0.08115678000000007</x:v>
      </x:c>
      <x:c r="AD292" s="28" t="n">
        <x:v>0.11677570577570584</x:v>
      </x:c>
    </x:row>
    <x:row r="293">
      <x:c r="A293" s="32" t="n">
        <x:v>45761</x:v>
      </x:c>
      <x:c r="B293" s="32" t="n">
        <x:v>45748</x:v>
      </x:c>
      <x:c r="C293" t="str">
        <x:v>Apr 2025</x:v>
      </x:c>
      <x:c r="D293" t="str">
        <x:v>Actual</x:v>
      </x:c>
      <x:c r="E293" t="str">
        <x:v>DB-103</x:v>
      </x:c>
      <x:c r="F293" t="str">
        <x:v>EmberTrail Camp Mug</x:v>
      </x:c>
      <x:c r="G293" t="str">
        <x:v>One-time purchase</x:v>
      </x:c>
      <x:c r="H293" t="str">
        <x:v>Winter peak</x:v>
      </x:c>
      <x:c r="I293" t="str">
        <x:v>Active</x:v>
      </x:c>
      <x:c r="J293" t="str">
        <x:v>Shopify DTC</x:v>
      </x:c>
      <x:c r="K293" t="str">
        <x:v>Consumer</x:v>
      </x:c>
      <x:c r="L293" t="str">
        <x:v>All Geographies</x:v>
      </x:c>
      <x:c r="M293" s="34" t="n">
        <x:v>2960</x:v>
      </x:c>
      <x:c r="N293" s="28" t="n">
        <x:v>0.0324</x:v>
      </x:c>
      <x:c r="O293" s="34" t="n">
        <x:v>96</x:v>
      </x:c>
      <x:c r="P293" s="34" t="n">
        <x:v>1</x:v>
      </x:c>
      <x:c r="Q293" s="34" t="n">
        <x:v>96</x:v>
      </x:c>
      <x:c r="R293" s="33" t="n">
        <x:v>34</x:v>
      </x:c>
      <x:c r="S293" s="38" t="n">
        <x:v>3.264</x:v>
      </x:c>
      <x:c r="T293" s="38" t="n">
        <x:v>0.26111999999999996</x:v>
      </x:c>
      <x:c r="U293" s="38" t="n">
        <x:v>0.16515839999999998</x:v>
      </x:c>
      <x:c r="V293" s="38" t="n">
        <x:v>2.8377215999999996</x:v>
      </x:c>
      <x:c r="W293" s="38" t="n">
        <x:v>1.31232</x:v>
      </x:c>
      <x:c r="X293" s="38" t="n">
        <x:v>0.0822939264</x:v>
      </x:c>
      <x:c r="Y293" s="38" t="n">
        <x:v>0</x:v>
      </x:c>
      <x:c r="Z293" s="38" t="n">
        <x:v>0.39840000000000003</x:v>
      </x:c>
      <x:c r="AA293" s="38" t="n">
        <x:v>0.15839999999999999</x:v>
      </x:c>
      <x:c r="AB293" s="38" t="n">
        <x:v>0.005376000000000001</x:v>
      </x:c>
      <x:c r="AC293" s="38" t="n">
        <x:v>0.8809316735999996</x:v>
      </x:c>
      <x:c r="AD293" s="28" t="n">
        <x:v>0.31043625759482524</x:v>
      </x:c>
    </x:row>
    <x:row r="294">
      <x:c r="A294" s="32" t="n">
        <x:v>45761</x:v>
      </x:c>
      <x:c r="B294" s="32" t="n">
        <x:v>45748</x:v>
      </x:c>
      <x:c r="C294" t="str">
        <x:v>Apr 2025</x:v>
      </x:c>
      <x:c r="D294" t="str">
        <x:v>Actual</x:v>
      </x:c>
      <x:c r="E294" t="str">
        <x:v>DB-103</x:v>
      </x:c>
      <x:c r="F294" t="str">
        <x:v>EmberTrail Camp Mug</x:v>
      </x:c>
      <x:c r="G294" t="str">
        <x:v>One-time purchase</x:v>
      </x:c>
      <x:c r="H294" t="str">
        <x:v>Winter peak</x:v>
      </x:c>
      <x:c r="I294" t="str">
        <x:v>Active</x:v>
      </x:c>
      <x:c r="J294" t="str">
        <x:v>Amazon Marketplace</x:v>
      </x:c>
      <x:c r="K294" t="str">
        <x:v>Marketplace Consumer</x:v>
      </x:c>
      <x:c r="L294" t="str">
        <x:v>All Geographies</x:v>
      </x:c>
      <x:c r="M294" s="34" t="n">
        <x:v>1480</x:v>
      </x:c>
      <x:c r="N294" s="28" t="n">
        <x:v>0.038231999999999995</x:v>
      </x:c>
      <x:c r="O294" s="34" t="n">
        <x:v>57</x:v>
      </x:c>
      <x:c r="P294" s="34" t="n">
        <x:v>1</x:v>
      </x:c>
      <x:c r="Q294" s="34" t="n">
        <x:v>57</x:v>
      </x:c>
      <x:c r="R294" s="33" t="n">
        <x:v>34</x:v>
      </x:c>
      <x:c r="S294" s="38" t="n">
        <x:v>1.938</x:v>
      </x:c>
      <x:c r="T294" s="38" t="n">
        <x:v>0.0969</x:v>
      </x:c>
      <x:c r="U294" s="38" t="n">
        <x:v>0.1012605</x:v>
      </x:c>
      <x:c r="V294" s="38" t="n">
        <x:v>1.7398395</x:v>
      </x:c>
      <x:c r="W294" s="38" t="n">
        <x:v>0.7791899999999999</x:v>
      </x:c>
      <x:c r="X294" s="38" t="n">
        <x:v>0</x:v>
      </x:c>
      <x:c r="Y294" s="38" t="n">
        <x:v>0.260975925</x:v>
      </x:c>
      <x:c r="Z294" s="38" t="n">
        <x:v>0.29640000000000005</x:v>
      </x:c>
      <x:c r="AA294" s="38" t="n">
        <x:v>0.12254999999999999</x:v>
      </x:c>
      <x:c r="AB294" s="38" t="n">
        <x:v>0.003192</x:v>
      </x:c>
      <x:c r="AC294" s="38" t="n">
        <x:v>0.27753157500000003</x:v>
      </x:c>
      <x:c r="AD294" s="28" t="n">
        <x:v>0.15951561911314235</x:v>
      </x:c>
    </x:row>
    <x:row r="295">
      <x:c r="A295" s="32" t="n">
        <x:v>45761</x:v>
      </x:c>
      <x:c r="B295" s="32" t="n">
        <x:v>45748</x:v>
      </x:c>
      <x:c r="C295" t="str">
        <x:v>Apr 2025</x:v>
      </x:c>
      <x:c r="D295" t="str">
        <x:v>Actual</x:v>
      </x:c>
      <x:c r="E295" t="str">
        <x:v>DB-103</x:v>
      </x:c>
      <x:c r="F295" t="str">
        <x:v>EmberTrail Camp Mug</x:v>
      </x:c>
      <x:c r="G295" t="str">
        <x:v>One-time purchase</x:v>
      </x:c>
      <x:c r="H295" t="str">
        <x:v>Winter peak</x:v>
      </x:c>
      <x:c r="I295" t="str">
        <x:v>Active</x:v>
      </x:c>
      <x:c r="J295" t="str">
        <x:v>Wholesale</x:v>
      </x:c>
      <x:c r="K295" t="str">
        <x:v>Retailer</x:v>
      </x:c>
      <x:c r="L295" t="str">
        <x:v>All Geographies</x:v>
      </x:c>
      <x:c r="M295" s="34" t="n">
        <x:v>888</x:v>
      </x:c>
      <x:c r="N295" s="28" t="n">
        <x:v>0.017820000000000003</x:v>
      </x:c>
      <x:c r="O295" s="34" t="n">
        <x:v>16</x:v>
      </x:c>
      <x:c r="P295" s="34" t="n">
        <x:v>1</x:v>
      </x:c>
      <x:c r="Q295" s="34" t="n">
        <x:v>16</x:v>
      </x:c>
      <x:c r="R295" s="33" t="n">
        <x:v>34</x:v>
      </x:c>
      <x:c r="S295" s="38" t="n">
        <x:v>0.544</x:v>
      </x:c>
      <x:c r="T295" s="38" t="n">
        <x:v>0.1904</x:v>
      </x:c>
      <x:c r="U295" s="38" t="n">
        <x:v>0.019448</x:v>
      </x:c>
      <x:c r="V295" s="38" t="n">
        <x:v>0.334152</x:v>
      </x:c>
      <x:c r="W295" s="38" t="n">
        <x:v>0.21872</x:v>
      </x:c>
      <x:c r="X295" s="38" t="n">
        <x:v>0</x:v>
      </x:c>
      <x:c r="Y295" s="38" t="n">
        <x:v>0</x:v>
      </x:c>
      <x:c r="Z295" s="38" t="n">
        <x:v>0.0368</x:v>
      </x:c>
      <x:c r="AA295" s="38" t="n">
        <x:v>0.0136</x:v>
      </x:c>
      <x:c r="AB295" s="38" t="n">
        <x:v>0.000896</x:v>
      </x:c>
      <x:c r="AC295" s="38" t="n">
        <x:v>0.06413600000000001</x:v>
      </x:c>
      <x:c r="AD295" s="28" t="n">
        <x:v>0.1919366037013096</x:v>
      </x:c>
    </x:row>
    <x:row r="296">
      <x:c r="A296" s="32" t="n">
        <x:v>45761</x:v>
      </x:c>
      <x:c r="B296" s="32" t="n">
        <x:v>45748</x:v>
      </x:c>
      <x:c r="C296" t="str">
        <x:v>Apr 2025</x:v>
      </x:c>
      <x:c r="D296" t="str">
        <x:v>Actual</x:v>
      </x:c>
      <x:c r="E296" t="str">
        <x:v>DB-103</x:v>
      </x:c>
      <x:c r="F296" t="str">
        <x:v>EmberTrail Camp Mug</x:v>
      </x:c>
      <x:c r="G296" t="str">
        <x:v>One-time purchase</x:v>
      </x:c>
      <x:c r="H296" t="str">
        <x:v>Winter peak</x:v>
      </x:c>
      <x:c r="I296" t="str">
        <x:v>Active</x:v>
      </x:c>
      <x:c r="J296" t="str">
        <x:v>TikTok Shop</x:v>
      </x:c>
      <x:c r="K296" t="str">
        <x:v>Social Commerce</x:v>
      </x:c>
      <x:c r="L296" t="str">
        <x:v>All Geographies</x:v>
      </x:c>
      <x:c r="M296" s="34" t="n">
        <x:v>592</x:v>
      </x:c>
      <x:c r="N296" s="28" t="n">
        <x:v>0.040824</x:v>
      </x:c>
      <x:c r="O296" s="34" t="n">
        <x:v>24</x:v>
      </x:c>
      <x:c r="P296" s="34" t="n">
        <x:v>1</x:v>
      </x:c>
      <x:c r="Q296" s="34" t="n">
        <x:v>24</x:v>
      </x:c>
      <x:c r="R296" s="33" t="n">
        <x:v>34</x:v>
      </x:c>
      <x:c r="S296" s="38" t="n">
        <x:v>0.816</x:v>
      </x:c>
      <x:c r="T296" s="38" t="n">
        <x:v>0.09792</x:v>
      </x:c>
      <x:c r="U296" s="38" t="n">
        <x:v>0.0394944</x:v>
      </x:c>
      <x:c r="V296" s="38" t="n">
        <x:v>0.6785855999999999</x:v>
      </x:c>
      <x:c r="W296" s="38" t="n">
        <x:v>0.32808</x:v>
      </x:c>
      <x:c r="X296" s="38" t="n">
        <x:v>0.0196789824</x:v>
      </x:c>
      <x:c r="Y296" s="38" t="n">
        <x:v>0.04071513599999999</x:v>
      </x:c>
      <x:c r="Z296" s="38" t="n">
        <x:v>0.1224</x:v>
      </x:c>
      <x:c r="AA296" s="38" t="n">
        <x:v>0.042</x:v>
      </x:c>
      <x:c r="AB296" s="38" t="n">
        <x:v>0.0013440000000000001</x:v>
      </x:c>
      <x:c r="AC296" s="38" t="n">
        <x:v>0.12436748159999993</x:v>
      </x:c>
      <x:c r="AD296" s="28" t="n">
        <x:v>0.18327456639221337</x:v>
      </x:c>
    </x:row>
    <x:row r="297">
      <x:c r="A297" s="32" t="n">
        <x:v>45761</x:v>
      </x:c>
      <x:c r="B297" s="32" t="n">
        <x:v>45748</x:v>
      </x:c>
      <x:c r="C297" t="str">
        <x:v>Apr 2025</x:v>
      </x:c>
      <x:c r="D297" t="str">
        <x:v>Actual</x:v>
      </x:c>
      <x:c r="E297" t="str">
        <x:v>DB-104</x:v>
      </x:c>
      <x:c r="F297" t="str">
        <x:v>SunNest Cooling Towel</x:v>
      </x:c>
      <x:c r="G297" t="str">
        <x:v>Consumable repeat</x:v>
      </x:c>
      <x:c r="H297" t="str">
        <x:v>Summer peak</x:v>
      </x:c>
      <x:c r="I297" t="str">
        <x:v>Active</x:v>
      </x:c>
      <x:c r="J297" t="str">
        <x:v>Shopify DTC</x:v>
      </x:c>
      <x:c r="K297" t="str">
        <x:v>Consumer</x:v>
      </x:c>
      <x:c r="L297" t="str">
        <x:v>All Geographies</x:v>
      </x:c>
      <x:c r="M297" s="34" t="n">
        <x:v>3580</x:v>
      </x:c>
      <x:c r="N297" s="28" t="n">
        <x:v>0.03312</x:v>
      </x:c>
      <x:c r="O297" s="34" t="n">
        <x:v>119</x:v>
      </x:c>
      <x:c r="P297" s="34" t="n">
        <x:v>1</x:v>
      </x:c>
      <x:c r="Q297" s="34" t="n">
        <x:v>119</x:v>
      </x:c>
      <x:c r="R297" s="33" t="n">
        <x:v>42</x:v>
      </x:c>
      <x:c r="S297" s="38" t="n">
        <x:v>4.998</x:v>
      </x:c>
      <x:c r="T297" s="38" t="n">
        <x:v>0.39984000000000003</x:v>
      </x:c>
      <x:c r="U297" s="38" t="n">
        <x:v>0.229908</x:v>
      </x:c>
      <x:c r="V297" s="38" t="n">
        <x:v>4.368252</x:v>
      </x:c>
      <x:c r="W297" s="38" t="n">
        <x:v>1.79095</x:v>
      </x:c>
      <x:c r="X297" s="38" t="n">
        <x:v>0.12667930800000002</x:v>
      </x:c>
      <x:c r="Y297" s="38" t="n">
        <x:v>0</x:v>
      </x:c>
      <x:c r="Z297" s="38" t="n">
        <x:v>0.49385</x:v>
      </x:c>
      <x:c r="AA297" s="38" t="n">
        <x:v>0.19635</x:v>
      </x:c>
      <x:c r="AB297" s="38" t="n">
        <x:v>0.003332</x:v>
      </x:c>
      <x:c r="AC297" s="38" t="n">
        <x:v>1.757090692</x:v>
      </x:c>
      <x:c r="AD297" s="28" t="n">
        <x:v>0.40224114634412117</x:v>
      </x:c>
    </x:row>
    <x:row r="298">
      <x:c r="A298" s="32" t="n">
        <x:v>45761</x:v>
      </x:c>
      <x:c r="B298" s="32" t="n">
        <x:v>45748</x:v>
      </x:c>
      <x:c r="C298" t="str">
        <x:v>Apr 2025</x:v>
      </x:c>
      <x:c r="D298" t="str">
        <x:v>Actual</x:v>
      </x:c>
      <x:c r="E298" t="str">
        <x:v>DB-104</x:v>
      </x:c>
      <x:c r="F298" t="str">
        <x:v>SunNest Cooling Towel</x:v>
      </x:c>
      <x:c r="G298" t="str">
        <x:v>Consumable repeat</x:v>
      </x:c>
      <x:c r="H298" t="str">
        <x:v>Summer peak</x:v>
      </x:c>
      <x:c r="I298" t="str">
        <x:v>Active</x:v>
      </x:c>
      <x:c r="J298" t="str">
        <x:v>Amazon Marketplace</x:v>
      </x:c>
      <x:c r="K298" t="str">
        <x:v>Marketplace Consumer</x:v>
      </x:c>
      <x:c r="L298" t="str">
        <x:v>All Geographies</x:v>
      </x:c>
      <x:c r="M298" s="34" t="n">
        <x:v>1790</x:v>
      </x:c>
      <x:c r="N298" s="28" t="n">
        <x:v>0.0390816</x:v>
      </x:c>
      <x:c r="O298" s="34" t="n">
        <x:v>70</x:v>
      </x:c>
      <x:c r="P298" s="34" t="n">
        <x:v>1</x:v>
      </x:c>
      <x:c r="Q298" s="34" t="n">
        <x:v>70</x:v>
      </x:c>
      <x:c r="R298" s="33" t="n">
        <x:v>42</x:v>
      </x:c>
      <x:c r="S298" s="38" t="n">
        <x:v>2.94</x:v>
      </x:c>
      <x:c r="T298" s="38" t="n">
        <x:v>0.147</x:v>
      </x:c>
      <x:c r="U298" s="38" t="n">
        <x:v>0.13965000000000002</x:v>
      </x:c>
      <x:c r="V298" s="38" t="n">
        <x:v>2.65335</x:v>
      </x:c>
      <x:c r="W298" s="38" t="n">
        <x:v>1.0535</x:v>
      </x:c>
      <x:c r="X298" s="38" t="n">
        <x:v>0</x:v>
      </x:c>
      <x:c r="Y298" s="38" t="n">
        <x:v>0.3980025</x:v>
      </x:c>
      <x:c r="Z298" s="38" t="n">
        <x:v>0.364</x:v>
      </x:c>
      <x:c r="AA298" s="38" t="n">
        <x:v>0.1505</x:v>
      </x:c>
      <x:c r="AB298" s="38" t="n">
        <x:v>0.00196</x:v>
      </x:c>
      <x:c r="AC298" s="38" t="n">
        <x:v>0.6853875</x:v>
      </x:c>
      <x:c r="AD298" s="28" t="n">
        <x:v>0.25831024930747926</x:v>
      </x:c>
    </x:row>
    <x:row r="299">
      <x:c r="A299" s="32" t="n">
        <x:v>45761</x:v>
      </x:c>
      <x:c r="B299" s="32" t="n">
        <x:v>45748</x:v>
      </x:c>
      <x:c r="C299" t="str">
        <x:v>Apr 2025</x:v>
      </x:c>
      <x:c r="D299" t="str">
        <x:v>Actual</x:v>
      </x:c>
      <x:c r="E299" t="str">
        <x:v>DB-104</x:v>
      </x:c>
      <x:c r="F299" t="str">
        <x:v>SunNest Cooling Towel</x:v>
      </x:c>
      <x:c r="G299" t="str">
        <x:v>Consumable repeat</x:v>
      </x:c>
      <x:c r="H299" t="str">
        <x:v>Summer peak</x:v>
      </x:c>
      <x:c r="I299" t="str">
        <x:v>Active</x:v>
      </x:c>
      <x:c r="J299" t="str">
        <x:v>Wholesale</x:v>
      </x:c>
      <x:c r="K299" t="str">
        <x:v>Retailer</x:v>
      </x:c>
      <x:c r="L299" t="str">
        <x:v>All Geographies</x:v>
      </x:c>
      <x:c r="M299" s="34" t="n">
        <x:v>1074</x:v>
      </x:c>
      <x:c r="N299" s="28" t="n">
        <x:v>0.018216000000000003</x:v>
      </x:c>
      <x:c r="O299" s="34" t="n">
        <x:v>20</x:v>
      </x:c>
      <x:c r="P299" s="34" t="n">
        <x:v>1</x:v>
      </x:c>
      <x:c r="Q299" s="34" t="n">
        <x:v>20</x:v>
      </x:c>
      <x:c r="R299" s="33" t="n">
        <x:v>42</x:v>
      </x:c>
      <x:c r="S299" s="38" t="n">
        <x:v>0.84</x:v>
      </x:c>
      <x:c r="T299" s="38" t="n">
        <x:v>0.294</x:v>
      </x:c>
      <x:c r="U299" s="38" t="n">
        <x:v>0.027300000000000005</x:v>
      </x:c>
      <x:c r="V299" s="38" t="n">
        <x:v>0.5187</x:v>
      </x:c>
      <x:c r="W299" s="38" t="n">
        <x:v>0.301</x:v>
      </x:c>
      <x:c r="X299" s="38" t="n">
        <x:v>0</x:v>
      </x:c>
      <x:c r="Y299" s="38" t="n">
        <x:v>0</x:v>
      </x:c>
      <x:c r="Z299" s="38" t="n">
        <x:v>0.046</x:v>
      </x:c>
      <x:c r="AA299" s="38" t="n">
        <x:v>0.017</x:v>
      </x:c>
      <x:c r="AB299" s="38" t="n">
        <x:v>0.00056</x:v>
      </x:c>
      <x:c r="AC299" s="38" t="n">
        <x:v>0.15414000000000005</x:v>
      </x:c>
      <x:c r="AD299" s="28" t="n">
        <x:v>0.2971659919028341</x:v>
      </x:c>
    </x:row>
    <x:row r="300">
      <x:c r="A300" s="32" t="n">
        <x:v>45761</x:v>
      </x:c>
      <x:c r="B300" s="32" t="n">
        <x:v>45748</x:v>
      </x:c>
      <x:c r="C300" t="str">
        <x:v>Apr 2025</x:v>
      </x:c>
      <x:c r="D300" t="str">
        <x:v>Actual</x:v>
      </x:c>
      <x:c r="E300" t="str">
        <x:v>DB-104</x:v>
      </x:c>
      <x:c r="F300" t="str">
        <x:v>SunNest Cooling Towel</x:v>
      </x:c>
      <x:c r="G300" t="str">
        <x:v>Consumable repeat</x:v>
      </x:c>
      <x:c r="H300" t="str">
        <x:v>Summer peak</x:v>
      </x:c>
      <x:c r="I300" t="str">
        <x:v>Active</x:v>
      </x:c>
      <x:c r="J300" t="str">
        <x:v>TikTok Shop</x:v>
      </x:c>
      <x:c r="K300" t="str">
        <x:v>Social Commerce</x:v>
      </x:c>
      <x:c r="L300" t="str">
        <x:v>All Geographies</x:v>
      </x:c>
      <x:c r="M300" s="34" t="n">
        <x:v>716</x:v>
      </x:c>
      <x:c r="N300" s="28" t="n">
        <x:v>0.0417312</x:v>
      </x:c>
      <x:c r="O300" s="34" t="n">
        <x:v>30</x:v>
      </x:c>
      <x:c r="P300" s="34" t="n">
        <x:v>1</x:v>
      </x:c>
      <x:c r="Q300" s="34" t="n">
        <x:v>30</x:v>
      </x:c>
      <x:c r="R300" s="33" t="n">
        <x:v>42</x:v>
      </x:c>
      <x:c r="S300" s="38" t="n">
        <x:v>1.26</x:v>
      </x:c>
      <x:c r="T300" s="38" t="n">
        <x:v>0.1512</x:v>
      </x:c>
      <x:c r="U300" s="38" t="n">
        <x:v>0.05544</x:v>
      </x:c>
      <x:c r="V300" s="38" t="n">
        <x:v>1.05336</x:v>
      </x:c>
      <x:c r="W300" s="38" t="n">
        <x:v>0.4515</x:v>
      </x:c>
      <x:c r="X300" s="38" t="n">
        <x:v>0.030547440000000002</x:v>
      </x:c>
      <x:c r="Y300" s="38" t="n">
        <x:v>0.0632016</x:v>
      </x:c>
      <x:c r="Z300" s="38" t="n">
        <x:v>0.153</x:v>
      </x:c>
      <x:c r="AA300" s="38" t="n">
        <x:v>0.0525</x:v>
      </x:c>
      <x:c r="AB300" s="38" t="n">
        <x:v>0.0008399999999999999</x:v>
      </x:c>
      <x:c r="AC300" s="38" t="n">
        <x:v>0.3017709600000001</x:v>
      </x:c>
      <x:c r="AD300" s="28" t="n">
        <x:v>0.28648416495784923</x:v>
      </x:c>
    </x:row>
    <x:row r="301">
      <x:c r="A301" s="32" t="n">
        <x:v>45761</x:v>
      </x:c>
      <x:c r="B301" s="32" t="n">
        <x:v>45748</x:v>
      </x:c>
      <x:c r="C301" t="str">
        <x:v>Apr 2025</x:v>
      </x:c>
      <x:c r="D301" t="str">
        <x:v>Actual</x:v>
      </x:c>
      <x:c r="E301" t="str">
        <x:v>DB-105</x:v>
      </x:c>
      <x:c r="F301" t="str">
        <x:v>DreamFuel Refill Pack</x:v>
      </x:c>
      <x:c r="G301" t="str">
        <x:v>Subscription</x:v>
      </x:c>
      <x:c r="H301" t="str">
        <x:v>None</x:v>
      </x:c>
      <x:c r="I301" t="str">
        <x:v>Active</x:v>
      </x:c>
      <x:c r="J301" t="str">
        <x:v>Shopify DTC</x:v>
      </x:c>
      <x:c r="K301" t="str">
        <x:v>Consumer</x:v>
      </x:c>
      <x:c r="L301" t="str">
        <x:v>All Geographies</x:v>
      </x:c>
      <x:c r="M301" s="34" t="n">
        <x:v>3610</x:v>
      </x:c>
      <x:c r="N301" s="28" t="n">
        <x:v>0.03888</x:v>
      </x:c>
      <x:c r="O301" s="34" t="n">
        <x:v>140</x:v>
      </x:c>
      <x:c r="P301" s="34" t="n">
        <x:v>1</x:v>
      </x:c>
      <x:c r="Q301" s="34" t="n">
        <x:v>140</x:v>
      </x:c>
      <x:c r="R301" s="33" t="n">
        <x:v>56</x:v>
      </x:c>
      <x:c r="S301" s="38" t="n">
        <x:v>7.84</x:v>
      </x:c>
      <x:c r="T301" s="38" t="n">
        <x:v>0.6272</x:v>
      </x:c>
      <x:c r="U301" s="38" t="n">
        <x:v>0.144256</x:v>
      </x:c>
      <x:c r="V301" s="38" t="n">
        <x:v>7.068543999999999</x:v>
      </x:c>
      <x:c r="W301" s="38" t="n">
        <x:v>2.6068000000000002</x:v>
      </x:c>
      <x:c r="X301" s="38" t="n">
        <x:v>0.20498777599999998</x:v>
      </x:c>
      <x:c r="Y301" s="38" t="n">
        <x:v>0</x:v>
      </x:c>
      <x:c r="Z301" s="38" t="n">
        <x:v>0.581</x:v>
      </x:c>
      <x:c r="AA301" s="38" t="n">
        <x:v>0.231</x:v>
      </x:c>
      <x:c r="AB301" s="38" t="n">
        <x:v>0.000504</x:v>
      </x:c>
      <x:c r="AC301" s="38" t="n">
        <x:v>3.4442522239999995</x:v>
      </x:c>
      <x:c r="AD301" s="28" t="n">
        <x:v>0.48726473570794776</x:v>
      </x:c>
    </x:row>
    <x:row r="302">
      <x:c r="A302" s="32" t="n">
        <x:v>45761</x:v>
      </x:c>
      <x:c r="B302" s="32" t="n">
        <x:v>45748</x:v>
      </x:c>
      <x:c r="C302" t="str">
        <x:v>Apr 2025</x:v>
      </x:c>
      <x:c r="D302" t="str">
        <x:v>Actual</x:v>
      </x:c>
      <x:c r="E302" t="str">
        <x:v>DB-105</x:v>
      </x:c>
      <x:c r="F302" t="str">
        <x:v>DreamFuel Refill Pack</x:v>
      </x:c>
      <x:c r="G302" t="str">
        <x:v>Subscription</x:v>
      </x:c>
      <x:c r="H302" t="str">
        <x:v>None</x:v>
      </x:c>
      <x:c r="I302" t="str">
        <x:v>Active</x:v>
      </x:c>
      <x:c r="J302" t="str">
        <x:v>Amazon Marketplace</x:v>
      </x:c>
      <x:c r="K302" t="str">
        <x:v>Marketplace Consumer</x:v>
      </x:c>
      <x:c r="L302" t="str">
        <x:v>All Geographies</x:v>
      </x:c>
      <x:c r="M302" s="34" t="n">
        <x:v>1805</x:v>
      </x:c>
      <x:c r="N302" s="28" t="n">
        <x:v>0.0458784</x:v>
      </x:c>
      <x:c r="O302" s="34" t="n">
        <x:v>83</x:v>
      </x:c>
      <x:c r="P302" s="34" t="n">
        <x:v>1</x:v>
      </x:c>
      <x:c r="Q302" s="34" t="n">
        <x:v>83</x:v>
      </x:c>
      <x:c r="R302" s="33" t="n">
        <x:v>56</x:v>
      </x:c>
      <x:c r="S302" s="38" t="n">
        <x:v>4.648</x:v>
      </x:c>
      <x:c r="T302" s="38" t="n">
        <x:v>0.2324</x:v>
      </x:c>
      <x:c r="U302" s="38" t="n">
        <x:v>0.08831199999999999</x:v>
      </x:c>
      <x:c r="V302" s="38" t="n">
        <x:v>4.327287999999999</x:v>
      </x:c>
      <x:c r="W302" s="38" t="n">
        <x:v>1.54546</x:v>
      </x:c>
      <x:c r="X302" s="38" t="n">
        <x:v>0</x:v>
      </x:c>
      <x:c r="Y302" s="38" t="n">
        <x:v>0.6490931999999999</x:v>
      </x:c>
      <x:c r="Z302" s="38" t="n">
        <x:v>0.43160000000000004</x:v>
      </x:c>
      <x:c r="AA302" s="38" t="n">
        <x:v>0.17845</x:v>
      </x:c>
      <x:c r="AB302" s="38" t="n">
        <x:v>0.0002988</x:v>
      </x:c>
      <x:c r="AC302" s="38" t="n">
        <x:v>1.5223859999999994</x:v>
      </x:c>
      <x:c r="AD302" s="28" t="n">
        <x:v>0.35181064907165865</x:v>
      </x:c>
    </x:row>
    <x:row r="303">
      <x:c r="A303" s="32" t="n">
        <x:v>45761</x:v>
      </x:c>
      <x:c r="B303" s="32" t="n">
        <x:v>45748</x:v>
      </x:c>
      <x:c r="C303" t="str">
        <x:v>Apr 2025</x:v>
      </x:c>
      <x:c r="D303" t="str">
        <x:v>Actual</x:v>
      </x:c>
      <x:c r="E303" t="str">
        <x:v>DB-105</x:v>
      </x:c>
      <x:c r="F303" t="str">
        <x:v>DreamFuel Refill Pack</x:v>
      </x:c>
      <x:c r="G303" t="str">
        <x:v>Subscription</x:v>
      </x:c>
      <x:c r="H303" t="str">
        <x:v>None</x:v>
      </x:c>
      <x:c r="I303" t="str">
        <x:v>Active</x:v>
      </x:c>
      <x:c r="J303" t="str">
        <x:v>Wholesale</x:v>
      </x:c>
      <x:c r="K303" t="str">
        <x:v>Retailer</x:v>
      </x:c>
      <x:c r="L303" t="str">
        <x:v>All Geographies</x:v>
      </x:c>
      <x:c r="M303" s="34" t="n">
        <x:v>1083</x:v>
      </x:c>
      <x:c r="N303" s="28" t="n">
        <x:v>0.021384000000000004</x:v>
      </x:c>
      <x:c r="O303" s="34" t="n">
        <x:v>23</x:v>
      </x:c>
      <x:c r="P303" s="34" t="n">
        <x:v>1</x:v>
      </x:c>
      <x:c r="Q303" s="34" t="n">
        <x:v>23</x:v>
      </x:c>
      <x:c r="R303" s="33" t="n">
        <x:v>56</x:v>
      </x:c>
      <x:c r="S303" s="38" t="n">
        <x:v>1.288</x:v>
      </x:c>
      <x:c r="T303" s="38" t="n">
        <x:v>0.4508</x:v>
      </x:c>
      <x:c r="U303" s="38" t="n">
        <x:v>0.016744000000000002</x:v>
      </x:c>
      <x:c r="V303" s="38" t="n">
        <x:v>0.8204560000000001</x:v>
      </x:c>
      <x:c r="W303" s="38" t="n">
        <x:v>0.42826000000000003</x:v>
      </x:c>
      <x:c r="X303" s="38" t="n">
        <x:v>0</x:v>
      </x:c>
      <x:c r="Y303" s="38" t="n">
        <x:v>0</x:v>
      </x:c>
      <x:c r="Z303" s="38" t="n">
        <x:v>0.052899999999999996</x:v>
      </x:c>
      <x:c r="AA303" s="38" t="n">
        <x:v>0.01955</x:v>
      </x:c>
      <x:c r="AB303" s="38" t="n">
        <x:v>0.0000828</x:v>
      </x:c>
      <x:c r="AC303" s="38" t="n">
        <x:v>0.31966320000000004</x:v>
      </x:c>
      <x:c r="AD303" s="28" t="n">
        <x:v>0.38961650594303654</x:v>
      </x:c>
    </x:row>
    <x:row r="304">
      <x:c r="A304" s="32" t="n">
        <x:v>45761</x:v>
      </x:c>
      <x:c r="B304" s="32" t="n">
        <x:v>45748</x:v>
      </x:c>
      <x:c r="C304" t="str">
        <x:v>Apr 2025</x:v>
      </x:c>
      <x:c r="D304" t="str">
        <x:v>Actual</x:v>
      </x:c>
      <x:c r="E304" t="str">
        <x:v>DB-105</x:v>
      </x:c>
      <x:c r="F304" t="str">
        <x:v>DreamFuel Refill Pack</x:v>
      </x:c>
      <x:c r="G304" t="str">
        <x:v>Subscription</x:v>
      </x:c>
      <x:c r="H304" t="str">
        <x:v>None</x:v>
      </x:c>
      <x:c r="I304" t="str">
        <x:v>Active</x:v>
      </x:c>
      <x:c r="J304" t="str">
        <x:v>TikTok Shop</x:v>
      </x:c>
      <x:c r="K304" t="str">
        <x:v>Social Commerce</x:v>
      </x:c>
      <x:c r="L304" t="str">
        <x:v>All Geographies</x:v>
      </x:c>
      <x:c r="M304" s="34" t="n">
        <x:v>722</x:v>
      </x:c>
      <x:c r="N304" s="28" t="n">
        <x:v>0.0489888</x:v>
      </x:c>
      <x:c r="O304" s="34" t="n">
        <x:v>35</x:v>
      </x:c>
      <x:c r="P304" s="34" t="n">
        <x:v>1</x:v>
      </x:c>
      <x:c r="Q304" s="34" t="n">
        <x:v>35</x:v>
      </x:c>
      <x:c r="R304" s="33" t="n">
        <x:v>56</x:v>
      </x:c>
      <x:c r="S304" s="38" t="n">
        <x:v>1.96</x:v>
      </x:c>
      <x:c r="T304" s="38" t="n">
        <x:v>0.2352</x:v>
      </x:c>
      <x:c r="U304" s="38" t="n">
        <x:v>0.034496</x:v>
      </x:c>
      <x:c r="V304" s="38" t="n">
        <x:v>1.6903039999999998</x:v>
      </x:c>
      <x:c r="W304" s="38" t="n">
        <x:v>0.6517000000000001</x:v>
      </x:c>
      <x:c r="X304" s="38" t="n">
        <x:v>0.049018816</x:v>
      </x:c>
      <x:c r="Y304" s="38" t="n">
        <x:v>0.10141823999999998</x:v>
      </x:c>
      <x:c r="Z304" s="38" t="n">
        <x:v>0.1785</x:v>
      </x:c>
      <x:c r="AA304" s="38" t="n">
        <x:v>0.06125</x:v>
      </x:c>
      <x:c r="AB304" s="38" t="n">
        <x:v>0.000126</x:v>
      </x:c>
      <x:c r="AC304" s="38" t="n">
        <x:v>0.6482909439999999</x:v>
      </x:c>
      <x:c r="AD304" s="28" t="n">
        <x:v>0.38353511794328116</x:v>
      </x:c>
    </x:row>
    <x:row r="305">
      <x:c r="A305" s="32" t="n">
        <x:v>45768</x:v>
      </x:c>
      <x:c r="B305" s="32" t="n">
        <x:v>45748</x:v>
      </x:c>
      <x:c r="C305" t="str">
        <x:v>Apr 2025</x:v>
      </x:c>
      <x:c r="D305" t="str">
        <x:v>Actual</x:v>
      </x:c>
      <x:c r="E305" t="str">
        <x:v>DB-101</x:v>
      </x:c>
      <x:c r="F305" t="str">
        <x:v>AeroSip Bottle</x:v>
      </x:c>
      <x:c r="G305" t="str">
        <x:v>One-time purchase</x:v>
      </x:c>
      <x:c r="H305" t="str">
        <x:v>None</x:v>
      </x:c>
      <x:c r="I305" t="str">
        <x:v>Active</x:v>
      </x:c>
      <x:c r="J305" t="str">
        <x:v>Shopify DTC</x:v>
      </x:c>
      <x:c r="K305" t="str">
        <x:v>Consumer</x:v>
      </x:c>
      <x:c r="L305" t="str">
        <x:v>All Geographies</x:v>
      </x:c>
      <x:c r="M305" s="34" t="n">
        <x:v>5235</x:v>
      </x:c>
      <x:c r="N305" s="28" t="n">
        <x:v>0.034199999999999994</x:v>
      </x:c>
      <x:c r="O305" s="34" t="n">
        <x:v>179</x:v>
      </x:c>
      <x:c r="P305" s="34" t="n">
        <x:v>1</x:v>
      </x:c>
      <x:c r="Q305" s="34" t="n">
        <x:v>179</x:v>
      </x:c>
      <x:c r="R305" s="33" t="n">
        <x:v>29</x:v>
      </x:c>
      <x:c r="S305" s="38" t="n">
        <x:v>5.191</x:v>
      </x:c>
      <x:c r="T305" s="38" t="n">
        <x:v>0.41528</x:v>
      </x:c>
      <x:c r="U305" s="38" t="n">
        <x:v>0.21490739999999997</x:v>
      </x:c>
      <x:c r="V305" s="38" t="n">
        <x:v>4.5608126</x:v>
      </x:c>
      <x:c r="W305" s="38" t="n">
        <x:v>1.9332</x:v>
      </x:c>
      <x:c r="X305" s="38" t="n">
        <x:v>0.1322635654</x:v>
      </x:c>
      <x:c r="Y305" s="38" t="n">
        <x:v>0</x:v>
      </x:c>
      <x:c r="Z305" s="38" t="n">
        <x:v>0.74285</x:v>
      </x:c>
      <x:c r="AA305" s="38" t="n">
        <x:v>0.29534999999999995</x:v>
      </x:c>
      <x:c r="AB305" s="38" t="n">
        <x:v>0.006444000000000001</x:v>
      </x:c>
      <x:c r="AC305" s="38" t="n">
        <x:v>1.4507050345999999</x:v>
      </x:c>
      <x:c r="AD305" s="28" t="n">
        <x:v>0.3180803865083165</x:v>
      </x:c>
    </x:row>
    <x:row r="306">
      <x:c r="A306" s="32" t="n">
        <x:v>45768</x:v>
      </x:c>
      <x:c r="B306" s="32" t="n">
        <x:v>45748</x:v>
      </x:c>
      <x:c r="C306" t="str">
        <x:v>Apr 2025</x:v>
      </x:c>
      <x:c r="D306" t="str">
        <x:v>Actual</x:v>
      </x:c>
      <x:c r="E306" t="str">
        <x:v>DB-101</x:v>
      </x:c>
      <x:c r="F306" t="str">
        <x:v>AeroSip Bottle</x:v>
      </x:c>
      <x:c r="G306" t="str">
        <x:v>One-time purchase</x:v>
      </x:c>
      <x:c r="H306" t="str">
        <x:v>None</x:v>
      </x:c>
      <x:c r="I306" t="str">
        <x:v>Active</x:v>
      </x:c>
      <x:c r="J306" t="str">
        <x:v>Amazon Marketplace</x:v>
      </x:c>
      <x:c r="K306" t="str">
        <x:v>Marketplace Consumer</x:v>
      </x:c>
      <x:c r="L306" t="str">
        <x:v>All Geographies</x:v>
      </x:c>
      <x:c r="M306" s="34" t="n">
        <x:v>2617</x:v>
      </x:c>
      <x:c r="N306" s="28" t="n">
        <x:v>0.040355999999999996</x:v>
      </x:c>
      <x:c r="O306" s="34" t="n">
        <x:v>106</x:v>
      </x:c>
      <x:c r="P306" s="34" t="n">
        <x:v>1</x:v>
      </x:c>
      <x:c r="Q306" s="34" t="n">
        <x:v>106</x:v>
      </x:c>
      <x:c r="R306" s="33" t="n">
        <x:v>29</x:v>
      </x:c>
      <x:c r="S306" s="38" t="n">
        <x:v>3.074</x:v>
      </x:c>
      <x:c r="T306" s="38" t="n">
        <x:v>0.1537</x:v>
      </x:c>
      <x:c r="U306" s="38" t="n">
        <x:v>0.1314135</x:v>
      </x:c>
      <x:c r="V306" s="38" t="n">
        <x:v>2.7888865</x:v>
      </x:c>
      <x:c r="W306" s="38" t="n">
        <x:v>1.1448000000000003</x:v>
      </x:c>
      <x:c r="X306" s="38" t="n">
        <x:v>0</x:v>
      </x:c>
      <x:c r="Y306" s="38" t="n">
        <x:v>0.41833297499999994</x:v>
      </x:c>
      <x:c r="Z306" s="38" t="n">
        <x:v>0.5512</x:v>
      </x:c>
      <x:c r="AA306" s="38" t="n">
        <x:v>0.22789999999999996</x:v>
      </x:c>
      <x:c r="AB306" s="38" t="n">
        <x:v>0.003816</x:v>
      </x:c>
      <x:c r="AC306" s="38" t="n">
        <x:v>0.44283752499999957</x:v>
      </x:c>
      <x:c r="AD306" s="28" t="n">
        <x:v>0.15878649955815685</x:v>
      </x:c>
    </x:row>
    <x:row r="307">
      <x:c r="A307" s="32" t="n">
        <x:v>45768</x:v>
      </x:c>
      <x:c r="B307" s="32" t="n">
        <x:v>45748</x:v>
      </x:c>
      <x:c r="C307" t="str">
        <x:v>Apr 2025</x:v>
      </x:c>
      <x:c r="D307" t="str">
        <x:v>Actual</x:v>
      </x:c>
      <x:c r="E307" t="str">
        <x:v>DB-101</x:v>
      </x:c>
      <x:c r="F307" t="str">
        <x:v>AeroSip Bottle</x:v>
      </x:c>
      <x:c r="G307" t="str">
        <x:v>One-time purchase</x:v>
      </x:c>
      <x:c r="H307" t="str">
        <x:v>None</x:v>
      </x:c>
      <x:c r="I307" t="str">
        <x:v>Active</x:v>
      </x:c>
      <x:c r="J307" t="str">
        <x:v>Wholesale</x:v>
      </x:c>
      <x:c r="K307" t="str">
        <x:v>Retailer</x:v>
      </x:c>
      <x:c r="L307" t="str">
        <x:v>All Geographies</x:v>
      </x:c>
      <x:c r="M307" s="34" t="n">
        <x:v>1570</x:v>
      </x:c>
      <x:c r="N307" s="28" t="n">
        <x:v>0.01881</x:v>
      </x:c>
      <x:c r="O307" s="34" t="n">
        <x:v>30</x:v>
      </x:c>
      <x:c r="P307" s="34" t="n">
        <x:v>1</x:v>
      </x:c>
      <x:c r="Q307" s="34" t="n">
        <x:v>30</x:v>
      </x:c>
      <x:c r="R307" s="33" t="n">
        <x:v>29</x:v>
      </x:c>
      <x:c r="S307" s="38" t="n">
        <x:v>0.87</x:v>
      </x:c>
      <x:c r="T307" s="38" t="n">
        <x:v>0.3045</x:v>
      </x:c>
      <x:c r="U307" s="38" t="n">
        <x:v>0.025447499999999998</x:v>
      </x:c>
      <x:c r="V307" s="38" t="n">
        <x:v>0.5400525</x:v>
      </x:c>
      <x:c r="W307" s="38" t="n">
        <x:v>0.324</x:v>
      </x:c>
      <x:c r="X307" s="38" t="n">
        <x:v>0</x:v>
      </x:c>
      <x:c r="Y307" s="38" t="n">
        <x:v>0</x:v>
      </x:c>
      <x:c r="Z307" s="38" t="n">
        <x:v>0.069</x:v>
      </x:c>
      <x:c r="AA307" s="38" t="n">
        <x:v>0.0255</x:v>
      </x:c>
      <x:c r="AB307" s="38" t="n">
        <x:v>0.00108</x:v>
      </x:c>
      <x:c r="AC307" s="38" t="n">
        <x:v>0.12047250000000004</x:v>
      </x:c>
      <x:c r="AD307" s="28" t="n">
        <x:v>0.22307553432305197</x:v>
      </x:c>
    </x:row>
    <x:row r="308">
      <x:c r="A308" s="32" t="n">
        <x:v>45768</x:v>
      </x:c>
      <x:c r="B308" s="32" t="n">
        <x:v>45748</x:v>
      </x:c>
      <x:c r="C308" t="str">
        <x:v>Apr 2025</x:v>
      </x:c>
      <x:c r="D308" t="str">
        <x:v>Actual</x:v>
      </x:c>
      <x:c r="E308" t="str">
        <x:v>DB-101</x:v>
      </x:c>
      <x:c r="F308" t="str">
        <x:v>AeroSip Bottle</x:v>
      </x:c>
      <x:c r="G308" t="str">
        <x:v>One-time purchase</x:v>
      </x:c>
      <x:c r="H308" t="str">
        <x:v>None</x:v>
      </x:c>
      <x:c r="I308" t="str">
        <x:v>Active</x:v>
      </x:c>
      <x:c r="J308" t="str">
        <x:v>TikTok Shop</x:v>
      </x:c>
      <x:c r="K308" t="str">
        <x:v>Social Commerce</x:v>
      </x:c>
      <x:c r="L308" t="str">
        <x:v>All Geographies</x:v>
      </x:c>
      <x:c r="M308" s="34" t="n">
        <x:v>1047</x:v>
      </x:c>
      <x:c r="N308" s="28" t="n">
        <x:v>0.043092</x:v>
      </x:c>
      <x:c r="O308" s="34" t="n">
        <x:v>45</x:v>
      </x:c>
      <x:c r="P308" s="34" t="n">
        <x:v>1</x:v>
      </x:c>
      <x:c r="Q308" s="34" t="n">
        <x:v>45</x:v>
      </x:c>
      <x:c r="R308" s="33" t="n">
        <x:v>29</x:v>
      </x:c>
      <x:c r="S308" s="38" t="n">
        <x:v>1.305</x:v>
      </x:c>
      <x:c r="T308" s="38" t="n">
        <x:v>0.1566</x:v>
      </x:c>
      <x:c r="U308" s="38" t="n">
        <x:v>0.051677999999999995</x:v>
      </x:c>
      <x:c r="V308" s="38" t="n">
        <x:v>1.096722</x:v>
      </x:c>
      <x:c r="W308" s="38" t="n">
        <x:v>0.48600000000000004</x:v>
      </x:c>
      <x:c r="X308" s="38" t="n">
        <x:v>0.031804938</x:v>
      </x:c>
      <x:c r="Y308" s="38" t="n">
        <x:v>0.06580332</x:v>
      </x:c>
      <x:c r="Z308" s="38" t="n">
        <x:v>0.22949999999999998</x:v>
      </x:c>
      <x:c r="AA308" s="38" t="n">
        <x:v>0.07875</x:v>
      </x:c>
      <x:c r="AB308" s="38" t="n">
        <x:v>0.0016200000000000001</x:v>
      </x:c>
      <x:c r="AC308" s="38" t="n">
        <x:v>0.20324374200000006</x:v>
      </x:c>
      <x:c r="AD308" s="28" t="n">
        <x:v>0.18531928966502</x:v>
      </x:c>
    </x:row>
    <x:row r="309">
      <x:c r="A309" s="32" t="n">
        <x:v>45768</x:v>
      </x:c>
      <x:c r="B309" s="32" t="n">
        <x:v>45748</x:v>
      </x:c>
      <x:c r="C309" t="str">
        <x:v>Apr 2025</x:v>
      </x:c>
      <x:c r="D309" t="str">
        <x:v>Actual</x:v>
      </x:c>
      <x:c r="E309" t="str">
        <x:v>DB-102</x:v>
      </x:c>
      <x:c r="F309" t="str">
        <x:v>GlowPatch Balm</x:v>
      </x:c>
      <x:c r="G309" t="str">
        <x:v>Consumable repeat</x:v>
      </x:c>
      <x:c r="H309" t="str">
        <x:v>None</x:v>
      </x:c>
      <x:c r="I309" t="str">
        <x:v>Active</x:v>
      </x:c>
      <x:c r="J309" t="str">
        <x:v>Shopify DTC</x:v>
      </x:c>
      <x:c r="K309" t="str">
        <x:v>Consumer</x:v>
      </x:c>
      <x:c r="L309" t="str">
        <x:v>All Geographies</x:v>
      </x:c>
      <x:c r="M309" s="34" t="n">
        <x:v>4228</x:v>
      </x:c>
      <x:c r="N309" s="28" t="n">
        <x:v>0.04248</x:v>
      </x:c>
      <x:c r="O309" s="34" t="n">
        <x:v>180</x:v>
      </x:c>
      <x:c r="P309" s="34" t="n">
        <x:v>1</x:v>
      </x:c>
      <x:c r="Q309" s="34" t="n">
        <x:v>180</x:v>
      </x:c>
      <x:c r="R309" s="33" t="n">
        <x:v>18</x:v>
      </x:c>
      <x:c r="S309" s="38" t="n">
        <x:v>3.24</x:v>
      </x:c>
      <x:c r="T309" s="38" t="n">
        <x:v>0.25920000000000004</x:v>
      </x:c>
      <x:c r="U309" s="38" t="n">
        <x:v>0.07452000000000002</x:v>
      </x:c>
      <x:c r="V309" s="38" t="n">
        <x:v>2.90628</x:v>
      </x:c>
      <x:c r="W309" s="38" t="n">
        <x:v>0.9738000000000001</x:v>
      </x:c>
      <x:c r="X309" s="38" t="n">
        <x:v>0.08428212000000002</x:v>
      </x:c>
      <x:c r="Y309" s="38" t="n">
        <x:v>0</x:v>
      </x:c>
      <x:c r="Z309" s="38" t="n">
        <x:v>0.7470000000000001</x:v>
      </x:c>
      <x:c r="AA309" s="38" t="n">
        <x:v>0.297</x:v>
      </x:c>
      <x:c r="AB309" s="38" t="n">
        <x:v>0.00108</x:v>
      </x:c>
      <x:c r="AC309" s="38" t="n">
        <x:v>0.8031178799999998</x:v>
      </x:c>
      <x:c r="AD309" s="28" t="n">
        <x:v>0.2763387835996531</x:v>
      </x:c>
    </x:row>
    <x:row r="310">
      <x:c r="A310" s="32" t="n">
        <x:v>45768</x:v>
      </x:c>
      <x:c r="B310" s="32" t="n">
        <x:v>45748</x:v>
      </x:c>
      <x:c r="C310" t="str">
        <x:v>Apr 2025</x:v>
      </x:c>
      <x:c r="D310" t="str">
        <x:v>Actual</x:v>
      </x:c>
      <x:c r="E310" t="str">
        <x:v>DB-102</x:v>
      </x:c>
      <x:c r="F310" t="str">
        <x:v>GlowPatch Balm</x:v>
      </x:c>
      <x:c r="G310" t="str">
        <x:v>Consumable repeat</x:v>
      </x:c>
      <x:c r="H310" t="str">
        <x:v>None</x:v>
      </x:c>
      <x:c r="I310" t="str">
        <x:v>Active</x:v>
      </x:c>
      <x:c r="J310" t="str">
        <x:v>Amazon Marketplace</x:v>
      </x:c>
      <x:c r="K310" t="str">
        <x:v>Marketplace Consumer</x:v>
      </x:c>
      <x:c r="L310" t="str">
        <x:v>All Geographies</x:v>
      </x:c>
      <x:c r="M310" s="34" t="n">
        <x:v>2114</x:v>
      </x:c>
      <x:c r="N310" s="28" t="n">
        <x:v>0.050126399999999995</x:v>
      </x:c>
      <x:c r="O310" s="34" t="n">
        <x:v>106</x:v>
      </x:c>
      <x:c r="P310" s="34" t="n">
        <x:v>1</x:v>
      </x:c>
      <x:c r="Q310" s="34" t="n">
        <x:v>106</x:v>
      </x:c>
      <x:c r="R310" s="33" t="n">
        <x:v>18</x:v>
      </x:c>
      <x:c r="S310" s="38" t="n">
        <x:v>1.908</x:v>
      </x:c>
      <x:c r="T310" s="38" t="n">
        <x:v>0.0954</x:v>
      </x:c>
      <x:c r="U310" s="38" t="n">
        <x:v>0.045315</x:v>
      </x:c>
      <x:c r="V310" s="38" t="n">
        <x:v>1.767285</x:v>
      </x:c>
      <x:c r="W310" s="38" t="n">
        <x:v>0.5734600000000001</x:v>
      </x:c>
      <x:c r="X310" s="38" t="n">
        <x:v>0</x:v>
      </x:c>
      <x:c r="Y310" s="38" t="n">
        <x:v>0.26509275</x:v>
      </x:c>
      <x:c r="Z310" s="38" t="n">
        <x:v>0.5512</x:v>
      </x:c>
      <x:c r="AA310" s="38" t="n">
        <x:v>0.22789999999999996</x:v>
      </x:c>
      <x:c r="AB310" s="38" t="n">
        <x:v>0.0006360000000000001</x:v>
      </x:c>
      <x:c r="AC310" s="38" t="n">
        <x:v>0.14899624999999994</x:v>
      </x:c>
      <x:c r="AD310" s="28" t="n">
        <x:v>0.08430799220272901</x:v>
      </x:c>
    </x:row>
    <x:row r="311">
      <x:c r="A311" s="32" t="n">
        <x:v>45768</x:v>
      </x:c>
      <x:c r="B311" s="32" t="n">
        <x:v>45748</x:v>
      </x:c>
      <x:c r="C311" t="str">
        <x:v>Apr 2025</x:v>
      </x:c>
      <x:c r="D311" t="str">
        <x:v>Actual</x:v>
      </x:c>
      <x:c r="E311" t="str">
        <x:v>DB-102</x:v>
      </x:c>
      <x:c r="F311" t="str">
        <x:v>GlowPatch Balm</x:v>
      </x:c>
      <x:c r="G311" t="str">
        <x:v>Consumable repeat</x:v>
      </x:c>
      <x:c r="H311" t="str">
        <x:v>None</x:v>
      </x:c>
      <x:c r="I311" t="str">
        <x:v>Active</x:v>
      </x:c>
      <x:c r="J311" t="str">
        <x:v>Wholesale</x:v>
      </x:c>
      <x:c r="K311" t="str">
        <x:v>Retailer</x:v>
      </x:c>
      <x:c r="L311" t="str">
        <x:v>All Geographies</x:v>
      </x:c>
      <x:c r="M311" s="34" t="n">
        <x:v>1268</x:v>
      </x:c>
      <x:c r="N311" s="28" t="n">
        <x:v>0.023364</x:v>
      </x:c>
      <x:c r="O311" s="34" t="n">
        <x:v>30</x:v>
      </x:c>
      <x:c r="P311" s="34" t="n">
        <x:v>1</x:v>
      </x:c>
      <x:c r="Q311" s="34" t="n">
        <x:v>30</x:v>
      </x:c>
      <x:c r="R311" s="33" t="n">
        <x:v>18</x:v>
      </x:c>
      <x:c r="S311" s="38" t="n">
        <x:v>0.54</x:v>
      </x:c>
      <x:c r="T311" s="38" t="n">
        <x:v>0.189</x:v>
      </x:c>
      <x:c r="U311" s="38" t="n">
        <x:v>0.008775000000000002</x:v>
      </x:c>
      <x:c r="V311" s="38" t="n">
        <x:v>0.34222500000000006</x:v>
      </x:c>
      <x:c r="W311" s="38" t="n">
        <x:v>0.1623</x:v>
      </x:c>
      <x:c r="X311" s="38" t="n">
        <x:v>0</x:v>
      </x:c>
      <x:c r="Y311" s="38" t="n">
        <x:v>0</x:v>
      </x:c>
      <x:c r="Z311" s="38" t="n">
        <x:v>0.069</x:v>
      </x:c>
      <x:c r="AA311" s="38" t="n">
        <x:v>0.0255</x:v>
      </x:c>
      <x:c r="AB311" s="38" t="n">
        <x:v>0.00017999999999999998</x:v>
      </x:c>
      <x:c r="AC311" s="38" t="n">
        <x:v>0.08524500000000006</x:v>
      </x:c>
      <x:c r="AD311" s="28" t="n">
        <x:v>0.2490905106289723</x:v>
      </x:c>
    </x:row>
    <x:row r="312">
      <x:c r="A312" s="32" t="n">
        <x:v>45768</x:v>
      </x:c>
      <x:c r="B312" s="32" t="n">
        <x:v>45748</x:v>
      </x:c>
      <x:c r="C312" t="str">
        <x:v>Apr 2025</x:v>
      </x:c>
      <x:c r="D312" t="str">
        <x:v>Actual</x:v>
      </x:c>
      <x:c r="E312" t="str">
        <x:v>DB-102</x:v>
      </x:c>
      <x:c r="F312" t="str">
        <x:v>GlowPatch Balm</x:v>
      </x:c>
      <x:c r="G312" t="str">
        <x:v>Consumable repeat</x:v>
      </x:c>
      <x:c r="H312" t="str">
        <x:v>None</x:v>
      </x:c>
      <x:c r="I312" t="str">
        <x:v>Active</x:v>
      </x:c>
      <x:c r="J312" t="str">
        <x:v>TikTok Shop</x:v>
      </x:c>
      <x:c r="K312" t="str">
        <x:v>Social Commerce</x:v>
      </x:c>
      <x:c r="L312" t="str">
        <x:v>All Geographies</x:v>
      </x:c>
      <x:c r="M312" s="34" t="n">
        <x:v>846</x:v>
      </x:c>
      <x:c r="N312" s="28" t="n">
        <x:v>0.0535248</x:v>
      </x:c>
      <x:c r="O312" s="34" t="n">
        <x:v>45</x:v>
      </x:c>
      <x:c r="P312" s="34" t="n">
        <x:v>1</x:v>
      </x:c>
      <x:c r="Q312" s="34" t="n">
        <x:v>45</x:v>
      </x:c>
      <x:c r="R312" s="33" t="n">
        <x:v>18</x:v>
      </x:c>
      <x:c r="S312" s="38" t="n">
        <x:v>0.81</x:v>
      </x:c>
      <x:c r="T312" s="38" t="n">
        <x:v>0.09720000000000001</x:v>
      </x:c>
      <x:c r="U312" s="38" t="n">
        <x:v>0.017820000000000003</x:v>
      </x:c>
      <x:c r="V312" s="38" t="n">
        <x:v>0.6949800000000002</x:v>
      </x:c>
      <x:c r="W312" s="38" t="n">
        <x:v>0.24345000000000003</x:v>
      </x:c>
      <x:c r="X312" s="38" t="n">
        <x:v>0.020154420000000006</x:v>
      </x:c>
      <x:c r="Y312" s="38" t="n">
        <x:v>0.04169880000000001</x:v>
      </x:c>
      <x:c r="Z312" s="38" t="n">
        <x:v>0.22949999999999998</x:v>
      </x:c>
      <x:c r="AA312" s="38" t="n">
        <x:v>0.07875</x:v>
      </x:c>
      <x:c r="AB312" s="38" t="n">
        <x:v>0.00027</x:v>
      </x:c>
      <x:c r="AC312" s="38" t="n">
        <x:v>0.08115678000000007</x:v>
      </x:c>
      <x:c r="AD312" s="28" t="n">
        <x:v>0.11677570577570584</x:v>
      </x:c>
    </x:row>
    <x:row r="313">
      <x:c r="A313" s="32" t="n">
        <x:v>45768</x:v>
      </x:c>
      <x:c r="B313" s="32" t="n">
        <x:v>45748</x:v>
      </x:c>
      <x:c r="C313" t="str">
        <x:v>Apr 2025</x:v>
      </x:c>
      <x:c r="D313" t="str">
        <x:v>Actual</x:v>
      </x:c>
      <x:c r="E313" t="str">
        <x:v>DB-103</x:v>
      </x:c>
      <x:c r="F313" t="str">
        <x:v>EmberTrail Camp Mug</x:v>
      </x:c>
      <x:c r="G313" t="str">
        <x:v>One-time purchase</x:v>
      </x:c>
      <x:c r="H313" t="str">
        <x:v>Winter peak</x:v>
      </x:c>
      <x:c r="I313" t="str">
        <x:v>Active</x:v>
      </x:c>
      <x:c r="J313" t="str">
        <x:v>Shopify DTC</x:v>
      </x:c>
      <x:c r="K313" t="str">
        <x:v>Consumer</x:v>
      </x:c>
      <x:c r="L313" t="str">
        <x:v>All Geographies</x:v>
      </x:c>
      <x:c r="M313" s="34" t="n">
        <x:v>2972</x:v>
      </x:c>
      <x:c r="N313" s="28" t="n">
        <x:v>0.0324</x:v>
      </x:c>
      <x:c r="O313" s="34" t="n">
        <x:v>96</x:v>
      </x:c>
      <x:c r="P313" s="34" t="n">
        <x:v>1</x:v>
      </x:c>
      <x:c r="Q313" s="34" t="n">
        <x:v>96</x:v>
      </x:c>
      <x:c r="R313" s="33" t="n">
        <x:v>34</x:v>
      </x:c>
      <x:c r="S313" s="38" t="n">
        <x:v>3.264</x:v>
      </x:c>
      <x:c r="T313" s="38" t="n">
        <x:v>0.26111999999999996</x:v>
      </x:c>
      <x:c r="U313" s="38" t="n">
        <x:v>0.16515839999999998</x:v>
      </x:c>
      <x:c r="V313" s="38" t="n">
        <x:v>2.8377215999999996</x:v>
      </x:c>
      <x:c r="W313" s="38" t="n">
        <x:v>1.31232</x:v>
      </x:c>
      <x:c r="X313" s="38" t="n">
        <x:v>0.0822939264</x:v>
      </x:c>
      <x:c r="Y313" s="38" t="n">
        <x:v>0</x:v>
      </x:c>
      <x:c r="Z313" s="38" t="n">
        <x:v>0.39840000000000003</x:v>
      </x:c>
      <x:c r="AA313" s="38" t="n">
        <x:v>0.15839999999999999</x:v>
      </x:c>
      <x:c r="AB313" s="38" t="n">
        <x:v>0.005376000000000001</x:v>
      </x:c>
      <x:c r="AC313" s="38" t="n">
        <x:v>0.8809316735999996</x:v>
      </x:c>
      <x:c r="AD313" s="28" t="n">
        <x:v>0.31043625759482524</x:v>
      </x:c>
    </x:row>
    <x:row r="314">
      <x:c r="A314" s="32" t="n">
        <x:v>45768</x:v>
      </x:c>
      <x:c r="B314" s="32" t="n">
        <x:v>45748</x:v>
      </x:c>
      <x:c r="C314" t="str">
        <x:v>Apr 2025</x:v>
      </x:c>
      <x:c r="D314" t="str">
        <x:v>Actual</x:v>
      </x:c>
      <x:c r="E314" t="str">
        <x:v>DB-103</x:v>
      </x:c>
      <x:c r="F314" t="str">
        <x:v>EmberTrail Camp Mug</x:v>
      </x:c>
      <x:c r="G314" t="str">
        <x:v>One-time purchase</x:v>
      </x:c>
      <x:c r="H314" t="str">
        <x:v>Winter peak</x:v>
      </x:c>
      <x:c r="I314" t="str">
        <x:v>Active</x:v>
      </x:c>
      <x:c r="J314" t="str">
        <x:v>Amazon Marketplace</x:v>
      </x:c>
      <x:c r="K314" t="str">
        <x:v>Marketplace Consumer</x:v>
      </x:c>
      <x:c r="L314" t="str">
        <x:v>All Geographies</x:v>
      </x:c>
      <x:c r="M314" s="34" t="n">
        <x:v>1486</x:v>
      </x:c>
      <x:c r="N314" s="28" t="n">
        <x:v>0.038231999999999995</x:v>
      </x:c>
      <x:c r="O314" s="34" t="n">
        <x:v>57</x:v>
      </x:c>
      <x:c r="P314" s="34" t="n">
        <x:v>1</x:v>
      </x:c>
      <x:c r="Q314" s="34" t="n">
        <x:v>57</x:v>
      </x:c>
      <x:c r="R314" s="33" t="n">
        <x:v>34</x:v>
      </x:c>
      <x:c r="S314" s="38" t="n">
        <x:v>1.938</x:v>
      </x:c>
      <x:c r="T314" s="38" t="n">
        <x:v>0.0969</x:v>
      </x:c>
      <x:c r="U314" s="38" t="n">
        <x:v>0.1012605</x:v>
      </x:c>
      <x:c r="V314" s="38" t="n">
        <x:v>1.7398395</x:v>
      </x:c>
      <x:c r="W314" s="38" t="n">
        <x:v>0.7791899999999999</x:v>
      </x:c>
      <x:c r="X314" s="38" t="n">
        <x:v>0</x:v>
      </x:c>
      <x:c r="Y314" s="38" t="n">
        <x:v>0.260975925</x:v>
      </x:c>
      <x:c r="Z314" s="38" t="n">
        <x:v>0.29640000000000005</x:v>
      </x:c>
      <x:c r="AA314" s="38" t="n">
        <x:v>0.12254999999999999</x:v>
      </x:c>
      <x:c r="AB314" s="38" t="n">
        <x:v>0.003192</x:v>
      </x:c>
      <x:c r="AC314" s="38" t="n">
        <x:v>0.27753157500000003</x:v>
      </x:c>
      <x:c r="AD314" s="28" t="n">
        <x:v>0.15951561911314235</x:v>
      </x:c>
    </x:row>
    <x:row r="315">
      <x:c r="A315" s="32" t="n">
        <x:v>45768</x:v>
      </x:c>
      <x:c r="B315" s="32" t="n">
        <x:v>45748</x:v>
      </x:c>
      <x:c r="C315" t="str">
        <x:v>Apr 2025</x:v>
      </x:c>
      <x:c r="D315" t="str">
        <x:v>Actual</x:v>
      </x:c>
      <x:c r="E315" t="str">
        <x:v>DB-103</x:v>
      </x:c>
      <x:c r="F315" t="str">
        <x:v>EmberTrail Camp Mug</x:v>
      </x:c>
      <x:c r="G315" t="str">
        <x:v>One-time purchase</x:v>
      </x:c>
      <x:c r="H315" t="str">
        <x:v>Winter peak</x:v>
      </x:c>
      <x:c r="I315" t="str">
        <x:v>Active</x:v>
      </x:c>
      <x:c r="J315" t="str">
        <x:v>Wholesale</x:v>
      </x:c>
      <x:c r="K315" t="str">
        <x:v>Retailer</x:v>
      </x:c>
      <x:c r="L315" t="str">
        <x:v>All Geographies</x:v>
      </x:c>
      <x:c r="M315" s="34" t="n">
        <x:v>892</x:v>
      </x:c>
      <x:c r="N315" s="28" t="n">
        <x:v>0.017820000000000003</x:v>
      </x:c>
      <x:c r="O315" s="34" t="n">
        <x:v>16</x:v>
      </x:c>
      <x:c r="P315" s="34" t="n">
        <x:v>1</x:v>
      </x:c>
      <x:c r="Q315" s="34" t="n">
        <x:v>16</x:v>
      </x:c>
      <x:c r="R315" s="33" t="n">
        <x:v>34</x:v>
      </x:c>
      <x:c r="S315" s="38" t="n">
        <x:v>0.544</x:v>
      </x:c>
      <x:c r="T315" s="38" t="n">
        <x:v>0.1904</x:v>
      </x:c>
      <x:c r="U315" s="38" t="n">
        <x:v>0.019448</x:v>
      </x:c>
      <x:c r="V315" s="38" t="n">
        <x:v>0.334152</x:v>
      </x:c>
      <x:c r="W315" s="38" t="n">
        <x:v>0.21872</x:v>
      </x:c>
      <x:c r="X315" s="38" t="n">
        <x:v>0</x:v>
      </x:c>
      <x:c r="Y315" s="38" t="n">
        <x:v>0</x:v>
      </x:c>
      <x:c r="Z315" s="38" t="n">
        <x:v>0.0368</x:v>
      </x:c>
      <x:c r="AA315" s="38" t="n">
        <x:v>0.0136</x:v>
      </x:c>
      <x:c r="AB315" s="38" t="n">
        <x:v>0.000896</x:v>
      </x:c>
      <x:c r="AC315" s="38" t="n">
        <x:v>0.06413600000000001</x:v>
      </x:c>
      <x:c r="AD315" s="28" t="n">
        <x:v>0.1919366037013096</x:v>
      </x:c>
    </x:row>
    <x:row r="316">
      <x:c r="A316" s="32" t="n">
        <x:v>45768</x:v>
      </x:c>
      <x:c r="B316" s="32" t="n">
        <x:v>45748</x:v>
      </x:c>
      <x:c r="C316" t="str">
        <x:v>Apr 2025</x:v>
      </x:c>
      <x:c r="D316" t="str">
        <x:v>Actual</x:v>
      </x:c>
      <x:c r="E316" t="str">
        <x:v>DB-103</x:v>
      </x:c>
      <x:c r="F316" t="str">
        <x:v>EmberTrail Camp Mug</x:v>
      </x:c>
      <x:c r="G316" t="str">
        <x:v>One-time purchase</x:v>
      </x:c>
      <x:c r="H316" t="str">
        <x:v>Winter peak</x:v>
      </x:c>
      <x:c r="I316" t="str">
        <x:v>Active</x:v>
      </x:c>
      <x:c r="J316" t="str">
        <x:v>TikTok Shop</x:v>
      </x:c>
      <x:c r="K316" t="str">
        <x:v>Social Commerce</x:v>
      </x:c>
      <x:c r="L316" t="str">
        <x:v>All Geographies</x:v>
      </x:c>
      <x:c r="M316" s="34" t="n">
        <x:v>594</x:v>
      </x:c>
      <x:c r="N316" s="28" t="n">
        <x:v>0.040824</x:v>
      </x:c>
      <x:c r="O316" s="34" t="n">
        <x:v>24</x:v>
      </x:c>
      <x:c r="P316" s="34" t="n">
        <x:v>1</x:v>
      </x:c>
      <x:c r="Q316" s="34" t="n">
        <x:v>24</x:v>
      </x:c>
      <x:c r="R316" s="33" t="n">
        <x:v>34</x:v>
      </x:c>
      <x:c r="S316" s="38" t="n">
        <x:v>0.816</x:v>
      </x:c>
      <x:c r="T316" s="38" t="n">
        <x:v>0.09792</x:v>
      </x:c>
      <x:c r="U316" s="38" t="n">
        <x:v>0.0394944</x:v>
      </x:c>
      <x:c r="V316" s="38" t="n">
        <x:v>0.6785855999999999</x:v>
      </x:c>
      <x:c r="W316" s="38" t="n">
        <x:v>0.32808</x:v>
      </x:c>
      <x:c r="X316" s="38" t="n">
        <x:v>0.0196789824</x:v>
      </x:c>
      <x:c r="Y316" s="38" t="n">
        <x:v>0.04071513599999999</x:v>
      </x:c>
      <x:c r="Z316" s="38" t="n">
        <x:v>0.1224</x:v>
      </x:c>
      <x:c r="AA316" s="38" t="n">
        <x:v>0.042</x:v>
      </x:c>
      <x:c r="AB316" s="38" t="n">
        <x:v>0.0013440000000000001</x:v>
      </x:c>
      <x:c r="AC316" s="38" t="n">
        <x:v>0.12436748159999993</x:v>
      </x:c>
      <x:c r="AD316" s="28" t="n">
        <x:v>0.18327456639221337</x:v>
      </x:c>
    </x:row>
    <x:row r="317">
      <x:c r="A317" s="32" t="n">
        <x:v>45768</x:v>
      </x:c>
      <x:c r="B317" s="32" t="n">
        <x:v>45748</x:v>
      </x:c>
      <x:c r="C317" t="str">
        <x:v>Apr 2025</x:v>
      </x:c>
      <x:c r="D317" t="str">
        <x:v>Actual</x:v>
      </x:c>
      <x:c r="E317" t="str">
        <x:v>DB-104</x:v>
      </x:c>
      <x:c r="F317" t="str">
        <x:v>SunNest Cooling Towel</x:v>
      </x:c>
      <x:c r="G317" t="str">
        <x:v>Consumable repeat</x:v>
      </x:c>
      <x:c r="H317" t="str">
        <x:v>Summer peak</x:v>
      </x:c>
      <x:c r="I317" t="str">
        <x:v>Active</x:v>
      </x:c>
      <x:c r="J317" t="str">
        <x:v>Shopify DTC</x:v>
      </x:c>
      <x:c r="K317" t="str">
        <x:v>Consumer</x:v>
      </x:c>
      <x:c r="L317" t="str">
        <x:v>All Geographies</x:v>
      </x:c>
      <x:c r="M317" s="34" t="n">
        <x:v>3594</x:v>
      </x:c>
      <x:c r="N317" s="28" t="n">
        <x:v>0.03312</x:v>
      </x:c>
      <x:c r="O317" s="34" t="n">
        <x:v>119</x:v>
      </x:c>
      <x:c r="P317" s="34" t="n">
        <x:v>1</x:v>
      </x:c>
      <x:c r="Q317" s="34" t="n">
        <x:v>119</x:v>
      </x:c>
      <x:c r="R317" s="33" t="n">
        <x:v>42</x:v>
      </x:c>
      <x:c r="S317" s="38" t="n">
        <x:v>4.998</x:v>
      </x:c>
      <x:c r="T317" s="38" t="n">
        <x:v>0.39984000000000003</x:v>
      </x:c>
      <x:c r="U317" s="38" t="n">
        <x:v>0.229908</x:v>
      </x:c>
      <x:c r="V317" s="38" t="n">
        <x:v>4.368252</x:v>
      </x:c>
      <x:c r="W317" s="38" t="n">
        <x:v>1.79095</x:v>
      </x:c>
      <x:c r="X317" s="38" t="n">
        <x:v>0.12667930800000002</x:v>
      </x:c>
      <x:c r="Y317" s="38" t="n">
        <x:v>0</x:v>
      </x:c>
      <x:c r="Z317" s="38" t="n">
        <x:v>0.49385</x:v>
      </x:c>
      <x:c r="AA317" s="38" t="n">
        <x:v>0.19635</x:v>
      </x:c>
      <x:c r="AB317" s="38" t="n">
        <x:v>0.003332</x:v>
      </x:c>
      <x:c r="AC317" s="38" t="n">
        <x:v>1.757090692</x:v>
      </x:c>
      <x:c r="AD317" s="28" t="n">
        <x:v>0.40224114634412117</x:v>
      </x:c>
    </x:row>
    <x:row r="318">
      <x:c r="A318" s="32" t="n">
        <x:v>45768</x:v>
      </x:c>
      <x:c r="B318" s="32" t="n">
        <x:v>45748</x:v>
      </x:c>
      <x:c r="C318" t="str">
        <x:v>Apr 2025</x:v>
      </x:c>
      <x:c r="D318" t="str">
        <x:v>Actual</x:v>
      </x:c>
      <x:c r="E318" t="str">
        <x:v>DB-104</x:v>
      </x:c>
      <x:c r="F318" t="str">
        <x:v>SunNest Cooling Towel</x:v>
      </x:c>
      <x:c r="G318" t="str">
        <x:v>Consumable repeat</x:v>
      </x:c>
      <x:c r="H318" t="str">
        <x:v>Summer peak</x:v>
      </x:c>
      <x:c r="I318" t="str">
        <x:v>Active</x:v>
      </x:c>
      <x:c r="J318" t="str">
        <x:v>Amazon Marketplace</x:v>
      </x:c>
      <x:c r="K318" t="str">
        <x:v>Marketplace Consumer</x:v>
      </x:c>
      <x:c r="L318" t="str">
        <x:v>All Geographies</x:v>
      </x:c>
      <x:c r="M318" s="34" t="n">
        <x:v>1797</x:v>
      </x:c>
      <x:c r="N318" s="28" t="n">
        <x:v>0.0390816</x:v>
      </x:c>
      <x:c r="O318" s="34" t="n">
        <x:v>70</x:v>
      </x:c>
      <x:c r="P318" s="34" t="n">
        <x:v>1</x:v>
      </x:c>
      <x:c r="Q318" s="34" t="n">
        <x:v>70</x:v>
      </x:c>
      <x:c r="R318" s="33" t="n">
        <x:v>42</x:v>
      </x:c>
      <x:c r="S318" s="38" t="n">
        <x:v>2.94</x:v>
      </x:c>
      <x:c r="T318" s="38" t="n">
        <x:v>0.147</x:v>
      </x:c>
      <x:c r="U318" s="38" t="n">
        <x:v>0.13965000000000002</x:v>
      </x:c>
      <x:c r="V318" s="38" t="n">
        <x:v>2.65335</x:v>
      </x:c>
      <x:c r="W318" s="38" t="n">
        <x:v>1.0535</x:v>
      </x:c>
      <x:c r="X318" s="38" t="n">
        <x:v>0</x:v>
      </x:c>
      <x:c r="Y318" s="38" t="n">
        <x:v>0.3980025</x:v>
      </x:c>
      <x:c r="Z318" s="38" t="n">
        <x:v>0.364</x:v>
      </x:c>
      <x:c r="AA318" s="38" t="n">
        <x:v>0.1505</x:v>
      </x:c>
      <x:c r="AB318" s="38" t="n">
        <x:v>0.00196</x:v>
      </x:c>
      <x:c r="AC318" s="38" t="n">
        <x:v>0.6853875</x:v>
      </x:c>
      <x:c r="AD318" s="28" t="n">
        <x:v>0.25831024930747926</x:v>
      </x:c>
    </x:row>
    <x:row r="319">
      <x:c r="A319" s="32" t="n">
        <x:v>45768</x:v>
      </x:c>
      <x:c r="B319" s="32" t="n">
        <x:v>45748</x:v>
      </x:c>
      <x:c r="C319" t="str">
        <x:v>Apr 2025</x:v>
      </x:c>
      <x:c r="D319" t="str">
        <x:v>Actual</x:v>
      </x:c>
      <x:c r="E319" t="str">
        <x:v>DB-104</x:v>
      </x:c>
      <x:c r="F319" t="str">
        <x:v>SunNest Cooling Towel</x:v>
      </x:c>
      <x:c r="G319" t="str">
        <x:v>Consumable repeat</x:v>
      </x:c>
      <x:c r="H319" t="str">
        <x:v>Summer peak</x:v>
      </x:c>
      <x:c r="I319" t="str">
        <x:v>Active</x:v>
      </x:c>
      <x:c r="J319" t="str">
        <x:v>Wholesale</x:v>
      </x:c>
      <x:c r="K319" t="str">
        <x:v>Retailer</x:v>
      </x:c>
      <x:c r="L319" t="str">
        <x:v>All Geographies</x:v>
      </x:c>
      <x:c r="M319" s="34" t="n">
        <x:v>1078</x:v>
      </x:c>
      <x:c r="N319" s="28" t="n">
        <x:v>0.018216000000000003</x:v>
      </x:c>
      <x:c r="O319" s="34" t="n">
        <x:v>20</x:v>
      </x:c>
      <x:c r="P319" s="34" t="n">
        <x:v>1</x:v>
      </x:c>
      <x:c r="Q319" s="34" t="n">
        <x:v>20</x:v>
      </x:c>
      <x:c r="R319" s="33" t="n">
        <x:v>42</x:v>
      </x:c>
      <x:c r="S319" s="38" t="n">
        <x:v>0.84</x:v>
      </x:c>
      <x:c r="T319" s="38" t="n">
        <x:v>0.294</x:v>
      </x:c>
      <x:c r="U319" s="38" t="n">
        <x:v>0.027300000000000005</x:v>
      </x:c>
      <x:c r="V319" s="38" t="n">
        <x:v>0.5187</x:v>
      </x:c>
      <x:c r="W319" s="38" t="n">
        <x:v>0.301</x:v>
      </x:c>
      <x:c r="X319" s="38" t="n">
        <x:v>0</x:v>
      </x:c>
      <x:c r="Y319" s="38" t="n">
        <x:v>0</x:v>
      </x:c>
      <x:c r="Z319" s="38" t="n">
        <x:v>0.046</x:v>
      </x:c>
      <x:c r="AA319" s="38" t="n">
        <x:v>0.017</x:v>
      </x:c>
      <x:c r="AB319" s="38" t="n">
        <x:v>0.00056</x:v>
      </x:c>
      <x:c r="AC319" s="38" t="n">
        <x:v>0.15414000000000005</x:v>
      </x:c>
      <x:c r="AD319" s="28" t="n">
        <x:v>0.2971659919028341</x:v>
      </x:c>
    </x:row>
    <x:row r="320">
      <x:c r="A320" s="32" t="n">
        <x:v>45768</x:v>
      </x:c>
      <x:c r="B320" s="32" t="n">
        <x:v>45748</x:v>
      </x:c>
      <x:c r="C320" t="str">
        <x:v>Apr 2025</x:v>
      </x:c>
      <x:c r="D320" t="str">
        <x:v>Actual</x:v>
      </x:c>
      <x:c r="E320" t="str">
        <x:v>DB-104</x:v>
      </x:c>
      <x:c r="F320" t="str">
        <x:v>SunNest Cooling Towel</x:v>
      </x:c>
      <x:c r="G320" t="str">
        <x:v>Consumable repeat</x:v>
      </x:c>
      <x:c r="H320" t="str">
        <x:v>Summer peak</x:v>
      </x:c>
      <x:c r="I320" t="str">
        <x:v>Active</x:v>
      </x:c>
      <x:c r="J320" t="str">
        <x:v>TikTok Shop</x:v>
      </x:c>
      <x:c r="K320" t="str">
        <x:v>Social Commerce</x:v>
      </x:c>
      <x:c r="L320" t="str">
        <x:v>All Geographies</x:v>
      </x:c>
      <x:c r="M320" s="34" t="n">
        <x:v>719</x:v>
      </x:c>
      <x:c r="N320" s="28" t="n">
        <x:v>0.0417312</x:v>
      </x:c>
      <x:c r="O320" s="34" t="n">
        <x:v>30</x:v>
      </x:c>
      <x:c r="P320" s="34" t="n">
        <x:v>1</x:v>
      </x:c>
      <x:c r="Q320" s="34" t="n">
        <x:v>30</x:v>
      </x:c>
      <x:c r="R320" s="33" t="n">
        <x:v>42</x:v>
      </x:c>
      <x:c r="S320" s="38" t="n">
        <x:v>1.26</x:v>
      </x:c>
      <x:c r="T320" s="38" t="n">
        <x:v>0.1512</x:v>
      </x:c>
      <x:c r="U320" s="38" t="n">
        <x:v>0.05544</x:v>
      </x:c>
      <x:c r="V320" s="38" t="n">
        <x:v>1.05336</x:v>
      </x:c>
      <x:c r="W320" s="38" t="n">
        <x:v>0.4515</x:v>
      </x:c>
      <x:c r="X320" s="38" t="n">
        <x:v>0.030547440000000002</x:v>
      </x:c>
      <x:c r="Y320" s="38" t="n">
        <x:v>0.0632016</x:v>
      </x:c>
      <x:c r="Z320" s="38" t="n">
        <x:v>0.153</x:v>
      </x:c>
      <x:c r="AA320" s="38" t="n">
        <x:v>0.0525</x:v>
      </x:c>
      <x:c r="AB320" s="38" t="n">
        <x:v>0.0008399999999999999</x:v>
      </x:c>
      <x:c r="AC320" s="38" t="n">
        <x:v>0.3017709600000001</x:v>
      </x:c>
      <x:c r="AD320" s="28" t="n">
        <x:v>0.28648416495784923</x:v>
      </x:c>
    </x:row>
    <x:row r="321">
      <x:c r="A321" s="32" t="n">
        <x:v>45768</x:v>
      </x:c>
      <x:c r="B321" s="32" t="n">
        <x:v>45748</x:v>
      </x:c>
      <x:c r="C321" t="str">
        <x:v>Apr 2025</x:v>
      </x:c>
      <x:c r="D321" t="str">
        <x:v>Actual</x:v>
      </x:c>
      <x:c r="E321" t="str">
        <x:v>DB-105</x:v>
      </x:c>
      <x:c r="F321" t="str">
        <x:v>DreamFuel Refill Pack</x:v>
      </x:c>
      <x:c r="G321" t="str">
        <x:v>Subscription</x:v>
      </x:c>
      <x:c r="H321" t="str">
        <x:v>None</x:v>
      </x:c>
      <x:c r="I321" t="str">
        <x:v>Active</x:v>
      </x:c>
      <x:c r="J321" t="str">
        <x:v>Shopify DTC</x:v>
      </x:c>
      <x:c r="K321" t="str">
        <x:v>Consumer</x:v>
      </x:c>
      <x:c r="L321" t="str">
        <x:v>All Geographies</x:v>
      </x:c>
      <x:c r="M321" s="34" t="n">
        <x:v>3624</x:v>
      </x:c>
      <x:c r="N321" s="28" t="n">
        <x:v>0.03888</x:v>
      </x:c>
      <x:c r="O321" s="34" t="n">
        <x:v>141</x:v>
      </x:c>
      <x:c r="P321" s="34" t="n">
        <x:v>1</x:v>
      </x:c>
      <x:c r="Q321" s="34" t="n">
        <x:v>141</x:v>
      </x:c>
      <x:c r="R321" s="33" t="n">
        <x:v>56</x:v>
      </x:c>
      <x:c r="S321" s="38" t="n">
        <x:v>7.896</x:v>
      </x:c>
      <x:c r="T321" s="38" t="n">
        <x:v>0.63168</x:v>
      </x:c>
      <x:c r="U321" s="38" t="n">
        <x:v>0.1452864</x:v>
      </x:c>
      <x:c r="V321" s="38" t="n">
        <x:v>7.1190336</x:v>
      </x:c>
      <x:c r="W321" s="38" t="n">
        <x:v>2.62542</x:v>
      </x:c>
      <x:c r="X321" s="38" t="n">
        <x:v>0.20645197440000002</x:v>
      </x:c>
      <x:c r="Y321" s="38" t="n">
        <x:v>0</x:v>
      </x:c>
      <x:c r="Z321" s="38" t="n">
        <x:v>0.5851500000000001</x:v>
      </x:c>
      <x:c r="AA321" s="38" t="n">
        <x:v>0.23264999999999997</x:v>
      </x:c>
      <x:c r="AB321" s="38" t="n">
        <x:v>0.0005076</x:v>
      </x:c>
      <x:c r="AC321" s="38" t="n">
        <x:v>3.4688540255999993</x:v>
      </x:c>
      <x:c r="AD321" s="28" t="n">
        <x:v>0.4872647357079477</x:v>
      </x:c>
    </x:row>
    <x:row r="322">
      <x:c r="A322" s="32" t="n">
        <x:v>45768</x:v>
      </x:c>
      <x:c r="B322" s="32" t="n">
        <x:v>45748</x:v>
      </x:c>
      <x:c r="C322" t="str">
        <x:v>Apr 2025</x:v>
      </x:c>
      <x:c r="D322" t="str">
        <x:v>Actual</x:v>
      </x:c>
      <x:c r="E322" t="str">
        <x:v>DB-105</x:v>
      </x:c>
      <x:c r="F322" t="str">
        <x:v>DreamFuel Refill Pack</x:v>
      </x:c>
      <x:c r="G322" t="str">
        <x:v>Subscription</x:v>
      </x:c>
      <x:c r="H322" t="str">
        <x:v>None</x:v>
      </x:c>
      <x:c r="I322" t="str">
        <x:v>Active</x:v>
      </x:c>
      <x:c r="J322" t="str">
        <x:v>Amazon Marketplace</x:v>
      </x:c>
      <x:c r="K322" t="str">
        <x:v>Marketplace Consumer</x:v>
      </x:c>
      <x:c r="L322" t="str">
        <x:v>All Geographies</x:v>
      </x:c>
      <x:c r="M322" s="34" t="n">
        <x:v>1812</x:v>
      </x:c>
      <x:c r="N322" s="28" t="n">
        <x:v>0.0458784</x:v>
      </x:c>
      <x:c r="O322" s="34" t="n">
        <x:v>83</x:v>
      </x:c>
      <x:c r="P322" s="34" t="n">
        <x:v>1</x:v>
      </x:c>
      <x:c r="Q322" s="34" t="n">
        <x:v>83</x:v>
      </x:c>
      <x:c r="R322" s="33" t="n">
        <x:v>56</x:v>
      </x:c>
      <x:c r="S322" s="38" t="n">
        <x:v>4.648</x:v>
      </x:c>
      <x:c r="T322" s="38" t="n">
        <x:v>0.2324</x:v>
      </x:c>
      <x:c r="U322" s="38" t="n">
        <x:v>0.08831199999999999</x:v>
      </x:c>
      <x:c r="V322" s="38" t="n">
        <x:v>4.327287999999999</x:v>
      </x:c>
      <x:c r="W322" s="38" t="n">
        <x:v>1.54546</x:v>
      </x:c>
      <x:c r="X322" s="38" t="n">
        <x:v>0</x:v>
      </x:c>
      <x:c r="Y322" s="38" t="n">
        <x:v>0.6490931999999999</x:v>
      </x:c>
      <x:c r="Z322" s="38" t="n">
        <x:v>0.43160000000000004</x:v>
      </x:c>
      <x:c r="AA322" s="38" t="n">
        <x:v>0.17845</x:v>
      </x:c>
      <x:c r="AB322" s="38" t="n">
        <x:v>0.0002988</x:v>
      </x:c>
      <x:c r="AC322" s="38" t="n">
        <x:v>1.5223859999999994</x:v>
      </x:c>
      <x:c r="AD322" s="28" t="n">
        <x:v>0.35181064907165865</x:v>
      </x:c>
    </x:row>
    <x:row r="323">
      <x:c r="A323" s="32" t="n">
        <x:v>45768</x:v>
      </x:c>
      <x:c r="B323" s="32" t="n">
        <x:v>45748</x:v>
      </x:c>
      <x:c r="C323" t="str">
        <x:v>Apr 2025</x:v>
      </x:c>
      <x:c r="D323" t="str">
        <x:v>Actual</x:v>
      </x:c>
      <x:c r="E323" t="str">
        <x:v>DB-105</x:v>
      </x:c>
      <x:c r="F323" t="str">
        <x:v>DreamFuel Refill Pack</x:v>
      </x:c>
      <x:c r="G323" t="str">
        <x:v>Subscription</x:v>
      </x:c>
      <x:c r="H323" t="str">
        <x:v>None</x:v>
      </x:c>
      <x:c r="I323" t="str">
        <x:v>Active</x:v>
      </x:c>
      <x:c r="J323" t="str">
        <x:v>Wholesale</x:v>
      </x:c>
      <x:c r="K323" t="str">
        <x:v>Retailer</x:v>
      </x:c>
      <x:c r="L323" t="str">
        <x:v>All Geographies</x:v>
      </x:c>
      <x:c r="M323" s="34" t="n">
        <x:v>1087</x:v>
      </x:c>
      <x:c r="N323" s="28" t="n">
        <x:v>0.021384000000000004</x:v>
      </x:c>
      <x:c r="O323" s="34" t="n">
        <x:v>23</x:v>
      </x:c>
      <x:c r="P323" s="34" t="n">
        <x:v>1</x:v>
      </x:c>
      <x:c r="Q323" s="34" t="n">
        <x:v>23</x:v>
      </x:c>
      <x:c r="R323" s="33" t="n">
        <x:v>56</x:v>
      </x:c>
      <x:c r="S323" s="38" t="n">
        <x:v>1.288</x:v>
      </x:c>
      <x:c r="T323" s="38" t="n">
        <x:v>0.4508</x:v>
      </x:c>
      <x:c r="U323" s="38" t="n">
        <x:v>0.016744000000000002</x:v>
      </x:c>
      <x:c r="V323" s="38" t="n">
        <x:v>0.8204560000000001</x:v>
      </x:c>
      <x:c r="W323" s="38" t="n">
        <x:v>0.42826000000000003</x:v>
      </x:c>
      <x:c r="X323" s="38" t="n">
        <x:v>0</x:v>
      </x:c>
      <x:c r="Y323" s="38" t="n">
        <x:v>0</x:v>
      </x:c>
      <x:c r="Z323" s="38" t="n">
        <x:v>0.052899999999999996</x:v>
      </x:c>
      <x:c r="AA323" s="38" t="n">
        <x:v>0.01955</x:v>
      </x:c>
      <x:c r="AB323" s="38" t="n">
        <x:v>0.0000828</x:v>
      </x:c>
      <x:c r="AC323" s="38" t="n">
        <x:v>0.31966320000000004</x:v>
      </x:c>
      <x:c r="AD323" s="28" t="n">
        <x:v>0.38961650594303654</x:v>
      </x:c>
    </x:row>
    <x:row r="324">
      <x:c r="A324" s="32" t="n">
        <x:v>45768</x:v>
      </x:c>
      <x:c r="B324" s="32" t="n">
        <x:v>45748</x:v>
      </x:c>
      <x:c r="C324" t="str">
        <x:v>Apr 2025</x:v>
      </x:c>
      <x:c r="D324" t="str">
        <x:v>Actual</x:v>
      </x:c>
      <x:c r="E324" t="str">
        <x:v>DB-105</x:v>
      </x:c>
      <x:c r="F324" t="str">
        <x:v>DreamFuel Refill Pack</x:v>
      </x:c>
      <x:c r="G324" t="str">
        <x:v>Subscription</x:v>
      </x:c>
      <x:c r="H324" t="str">
        <x:v>None</x:v>
      </x:c>
      <x:c r="I324" t="str">
        <x:v>Active</x:v>
      </x:c>
      <x:c r="J324" t="str">
        <x:v>TikTok Shop</x:v>
      </x:c>
      <x:c r="K324" t="str">
        <x:v>Social Commerce</x:v>
      </x:c>
      <x:c r="L324" t="str">
        <x:v>All Geographies</x:v>
      </x:c>
      <x:c r="M324" s="34" t="n">
        <x:v>725</x:v>
      </x:c>
      <x:c r="N324" s="28" t="n">
        <x:v>0.0489888</x:v>
      </x:c>
      <x:c r="O324" s="34" t="n">
        <x:v>36</x:v>
      </x:c>
      <x:c r="P324" s="34" t="n">
        <x:v>1</x:v>
      </x:c>
      <x:c r="Q324" s="34" t="n">
        <x:v>36</x:v>
      </x:c>
      <x:c r="R324" s="33" t="n">
        <x:v>56</x:v>
      </x:c>
      <x:c r="S324" s="38" t="n">
        <x:v>2.016</x:v>
      </x:c>
      <x:c r="T324" s="38" t="n">
        <x:v>0.24192</x:v>
      </x:c>
      <x:c r="U324" s="38" t="n">
        <x:v>0.0354816</x:v>
      </x:c>
      <x:c r="V324" s="38" t="n">
        <x:v>1.7385984</x:v>
      </x:c>
      <x:c r="W324" s="38" t="n">
        <x:v>0.67032</x:v>
      </x:c>
      <x:c r="X324" s="38" t="n">
        <x:v>0.05041935360000001</x:v>
      </x:c>
      <x:c r="Y324" s="38" t="n">
        <x:v>0.104315904</x:v>
      </x:c>
      <x:c r="Z324" s="38" t="n">
        <x:v>0.18359999999999999</x:v>
      </x:c>
      <x:c r="AA324" s="38" t="n">
        <x:v>0.063</x:v>
      </x:c>
      <x:c r="AB324" s="38" t="n">
        <x:v>0.0001296</x:v>
      </x:c>
      <x:c r="AC324" s="38" t="n">
        <x:v>0.6668135424000001</x:v>
      </x:c>
      <x:c r="AD324" s="28" t="n">
        <x:v>0.38353511794328127</x:v>
      </x:c>
    </x:row>
    <x:row r="325">
      <x:c r="A325" s="32" t="n">
        <x:v>45775</x:v>
      </x:c>
      <x:c r="B325" s="32" t="n">
        <x:v>45748</x:v>
      </x:c>
      <x:c r="C325" t="str">
        <x:v>Apr 2025</x:v>
      </x:c>
      <x:c r="D325" t="str">
        <x:v>Actual</x:v>
      </x:c>
      <x:c r="E325" t="str">
        <x:v>DB-101</x:v>
      </x:c>
      <x:c r="F325" t="str">
        <x:v>AeroSip Bottle</x:v>
      </x:c>
      <x:c r="G325" t="str">
        <x:v>One-time purchase</x:v>
      </x:c>
      <x:c r="H325" t="str">
        <x:v>None</x:v>
      </x:c>
      <x:c r="I325" t="str">
        <x:v>Active</x:v>
      </x:c>
      <x:c r="J325" t="str">
        <x:v>Shopify DTC</x:v>
      </x:c>
      <x:c r="K325" t="str">
        <x:v>Consumer</x:v>
      </x:c>
      <x:c r="L325" t="str">
        <x:v>All Geographies</x:v>
      </x:c>
      <x:c r="M325" s="34" t="n">
        <x:v>5256</x:v>
      </x:c>
      <x:c r="N325" s="28" t="n">
        <x:v>0.034199999999999994</x:v>
      </x:c>
      <x:c r="O325" s="34" t="n">
        <x:v>180</x:v>
      </x:c>
      <x:c r="P325" s="34" t="n">
        <x:v>1</x:v>
      </x:c>
      <x:c r="Q325" s="34" t="n">
        <x:v>180</x:v>
      </x:c>
      <x:c r="R325" s="33" t="n">
        <x:v>29</x:v>
      </x:c>
      <x:c r="S325" s="38" t="n">
        <x:v>5.22</x:v>
      </x:c>
      <x:c r="T325" s="38" t="n">
        <x:v>0.41759999999999997</x:v>
      </x:c>
      <x:c r="U325" s="38" t="n">
        <x:v>0.21610799999999997</x:v>
      </x:c>
      <x:c r="V325" s="38" t="n">
        <x:v>4.586291999999999</x:v>
      </x:c>
      <x:c r="W325" s="38" t="n">
        <x:v>1.9440000000000002</x:v>
      </x:c>
      <x:c r="X325" s="38" t="n">
        <x:v>0.13300246799999998</x:v>
      </x:c>
      <x:c r="Y325" s="38" t="n">
        <x:v>0</x:v>
      </x:c>
      <x:c r="Z325" s="38" t="n">
        <x:v>0.7470000000000001</x:v>
      </x:c>
      <x:c r="AA325" s="38" t="n">
        <x:v>0.297</x:v>
      </x:c>
      <x:c r="AB325" s="38" t="n">
        <x:v>0.0064800000000000005</x:v>
      </x:c>
      <x:c r="AC325" s="38" t="n">
        <x:v>1.4588095319999994</x:v>
      </x:c>
      <x:c r="AD325" s="28" t="n">
        <x:v>0.31808038650831644</x:v>
      </x:c>
    </x:row>
    <x:row r="326">
      <x:c r="A326" s="32" t="n">
        <x:v>45775</x:v>
      </x:c>
      <x:c r="B326" s="32" t="n">
        <x:v>45748</x:v>
      </x:c>
      <x:c r="C326" t="str">
        <x:v>Apr 2025</x:v>
      </x:c>
      <x:c r="D326" t="str">
        <x:v>Actual</x:v>
      </x:c>
      <x:c r="E326" t="str">
        <x:v>DB-101</x:v>
      </x:c>
      <x:c r="F326" t="str">
        <x:v>AeroSip Bottle</x:v>
      </x:c>
      <x:c r="G326" t="str">
        <x:v>One-time purchase</x:v>
      </x:c>
      <x:c r="H326" t="str">
        <x:v>None</x:v>
      </x:c>
      <x:c r="I326" t="str">
        <x:v>Active</x:v>
      </x:c>
      <x:c r="J326" t="str">
        <x:v>Amazon Marketplace</x:v>
      </x:c>
      <x:c r="K326" t="str">
        <x:v>Marketplace Consumer</x:v>
      </x:c>
      <x:c r="L326" t="str">
        <x:v>All Geographies</x:v>
      </x:c>
      <x:c r="M326" s="34" t="n">
        <x:v>2628</x:v>
      </x:c>
      <x:c r="N326" s="28" t="n">
        <x:v>0.040355999999999996</x:v>
      </x:c>
      <x:c r="O326" s="34" t="n">
        <x:v>106</x:v>
      </x:c>
      <x:c r="P326" s="34" t="n">
        <x:v>1</x:v>
      </x:c>
      <x:c r="Q326" s="34" t="n">
        <x:v>106</x:v>
      </x:c>
      <x:c r="R326" s="33" t="n">
        <x:v>29</x:v>
      </x:c>
      <x:c r="S326" s="38" t="n">
        <x:v>3.074</x:v>
      </x:c>
      <x:c r="T326" s="38" t="n">
        <x:v>0.1537</x:v>
      </x:c>
      <x:c r="U326" s="38" t="n">
        <x:v>0.1314135</x:v>
      </x:c>
      <x:c r="V326" s="38" t="n">
        <x:v>2.7888865</x:v>
      </x:c>
      <x:c r="W326" s="38" t="n">
        <x:v>1.1448000000000003</x:v>
      </x:c>
      <x:c r="X326" s="38" t="n">
        <x:v>0</x:v>
      </x:c>
      <x:c r="Y326" s="38" t="n">
        <x:v>0.41833297499999994</x:v>
      </x:c>
      <x:c r="Z326" s="38" t="n">
        <x:v>0.5512</x:v>
      </x:c>
      <x:c r="AA326" s="38" t="n">
        <x:v>0.22789999999999996</x:v>
      </x:c>
      <x:c r="AB326" s="38" t="n">
        <x:v>0.003816</x:v>
      </x:c>
      <x:c r="AC326" s="38" t="n">
        <x:v>0.44283752499999957</x:v>
      </x:c>
      <x:c r="AD326" s="28" t="n">
        <x:v>0.15878649955815685</x:v>
      </x:c>
    </x:row>
    <x:row r="327">
      <x:c r="A327" s="32" t="n">
        <x:v>45775</x:v>
      </x:c>
      <x:c r="B327" s="32" t="n">
        <x:v>45748</x:v>
      </x:c>
      <x:c r="C327" t="str">
        <x:v>Apr 2025</x:v>
      </x:c>
      <x:c r="D327" t="str">
        <x:v>Actual</x:v>
      </x:c>
      <x:c r="E327" t="str">
        <x:v>DB-101</x:v>
      </x:c>
      <x:c r="F327" t="str">
        <x:v>AeroSip Bottle</x:v>
      </x:c>
      <x:c r="G327" t="str">
        <x:v>One-time purchase</x:v>
      </x:c>
      <x:c r="H327" t="str">
        <x:v>None</x:v>
      </x:c>
      <x:c r="I327" t="str">
        <x:v>Active</x:v>
      </x:c>
      <x:c r="J327" t="str">
        <x:v>Wholesale</x:v>
      </x:c>
      <x:c r="K327" t="str">
        <x:v>Retailer</x:v>
      </x:c>
      <x:c r="L327" t="str">
        <x:v>All Geographies</x:v>
      </x:c>
      <x:c r="M327" s="34" t="n">
        <x:v>1577</x:v>
      </x:c>
      <x:c r="N327" s="28" t="n">
        <x:v>0.01881</x:v>
      </x:c>
      <x:c r="O327" s="34" t="n">
        <x:v>30</x:v>
      </x:c>
      <x:c r="P327" s="34" t="n">
        <x:v>1</x:v>
      </x:c>
      <x:c r="Q327" s="34" t="n">
        <x:v>30</x:v>
      </x:c>
      <x:c r="R327" s="33" t="n">
        <x:v>29</x:v>
      </x:c>
      <x:c r="S327" s="38" t="n">
        <x:v>0.87</x:v>
      </x:c>
      <x:c r="T327" s="38" t="n">
        <x:v>0.3045</x:v>
      </x:c>
      <x:c r="U327" s="38" t="n">
        <x:v>0.025447499999999998</x:v>
      </x:c>
      <x:c r="V327" s="38" t="n">
        <x:v>0.5400525</x:v>
      </x:c>
      <x:c r="W327" s="38" t="n">
        <x:v>0.324</x:v>
      </x:c>
      <x:c r="X327" s="38" t="n">
        <x:v>0</x:v>
      </x:c>
      <x:c r="Y327" s="38" t="n">
        <x:v>0</x:v>
      </x:c>
      <x:c r="Z327" s="38" t="n">
        <x:v>0.069</x:v>
      </x:c>
      <x:c r="AA327" s="38" t="n">
        <x:v>0.0255</x:v>
      </x:c>
      <x:c r="AB327" s="38" t="n">
        <x:v>0.00108</x:v>
      </x:c>
      <x:c r="AC327" s="38" t="n">
        <x:v>0.12047250000000004</x:v>
      </x:c>
      <x:c r="AD327" s="28" t="n">
        <x:v>0.22307553432305197</x:v>
      </x:c>
    </x:row>
    <x:row r="328">
      <x:c r="A328" s="32" t="n">
        <x:v>45775</x:v>
      </x:c>
      <x:c r="B328" s="32" t="n">
        <x:v>45748</x:v>
      </x:c>
      <x:c r="C328" t="str">
        <x:v>Apr 2025</x:v>
      </x:c>
      <x:c r="D328" t="str">
        <x:v>Actual</x:v>
      </x:c>
      <x:c r="E328" t="str">
        <x:v>DB-101</x:v>
      </x:c>
      <x:c r="F328" t="str">
        <x:v>AeroSip Bottle</x:v>
      </x:c>
      <x:c r="G328" t="str">
        <x:v>One-time purchase</x:v>
      </x:c>
      <x:c r="H328" t="str">
        <x:v>None</x:v>
      </x:c>
      <x:c r="I328" t="str">
        <x:v>Active</x:v>
      </x:c>
      <x:c r="J328" t="str">
        <x:v>TikTok Shop</x:v>
      </x:c>
      <x:c r="K328" t="str">
        <x:v>Social Commerce</x:v>
      </x:c>
      <x:c r="L328" t="str">
        <x:v>All Geographies</x:v>
      </x:c>
      <x:c r="M328" s="34" t="n">
        <x:v>1051</x:v>
      </x:c>
      <x:c r="N328" s="28" t="n">
        <x:v>0.043092</x:v>
      </x:c>
      <x:c r="O328" s="34" t="n">
        <x:v>45</x:v>
      </x:c>
      <x:c r="P328" s="34" t="n">
        <x:v>1</x:v>
      </x:c>
      <x:c r="Q328" s="34" t="n">
        <x:v>45</x:v>
      </x:c>
      <x:c r="R328" s="33" t="n">
        <x:v>29</x:v>
      </x:c>
      <x:c r="S328" s="38" t="n">
        <x:v>1.305</x:v>
      </x:c>
      <x:c r="T328" s="38" t="n">
        <x:v>0.1566</x:v>
      </x:c>
      <x:c r="U328" s="38" t="n">
        <x:v>0.051677999999999995</x:v>
      </x:c>
      <x:c r="V328" s="38" t="n">
        <x:v>1.096722</x:v>
      </x:c>
      <x:c r="W328" s="38" t="n">
        <x:v>0.48600000000000004</x:v>
      </x:c>
      <x:c r="X328" s="38" t="n">
        <x:v>0.031804938</x:v>
      </x:c>
      <x:c r="Y328" s="38" t="n">
        <x:v>0.06580332</x:v>
      </x:c>
      <x:c r="Z328" s="38" t="n">
        <x:v>0.22949999999999998</x:v>
      </x:c>
      <x:c r="AA328" s="38" t="n">
        <x:v>0.07875</x:v>
      </x:c>
      <x:c r="AB328" s="38" t="n">
        <x:v>0.0016200000000000001</x:v>
      </x:c>
      <x:c r="AC328" s="38" t="n">
        <x:v>0.20324374200000006</x:v>
      </x:c>
      <x:c r="AD328" s="28" t="n">
        <x:v>0.18531928966502</x:v>
      </x:c>
    </x:row>
    <x:row r="329">
      <x:c r="A329" s="32" t="n">
        <x:v>45775</x:v>
      </x:c>
      <x:c r="B329" s="32" t="n">
        <x:v>45748</x:v>
      </x:c>
      <x:c r="C329" t="str">
        <x:v>Apr 2025</x:v>
      </x:c>
      <x:c r="D329" t="str">
        <x:v>Actual</x:v>
      </x:c>
      <x:c r="E329" t="str">
        <x:v>DB-102</x:v>
      </x:c>
      <x:c r="F329" t="str">
        <x:v>GlowPatch Balm</x:v>
      </x:c>
      <x:c r="G329" t="str">
        <x:v>Consumable repeat</x:v>
      </x:c>
      <x:c r="H329" t="str">
        <x:v>None</x:v>
      </x:c>
      <x:c r="I329" t="str">
        <x:v>Active</x:v>
      </x:c>
      <x:c r="J329" t="str">
        <x:v>Shopify DTC</x:v>
      </x:c>
      <x:c r="K329" t="str">
        <x:v>Consumer</x:v>
      </x:c>
      <x:c r="L329" t="str">
        <x:v>All Geographies</x:v>
      </x:c>
      <x:c r="M329" s="34" t="n">
        <x:v>4245</x:v>
      </x:c>
      <x:c r="N329" s="28" t="n">
        <x:v>0.04248</x:v>
      </x:c>
      <x:c r="O329" s="34" t="n">
        <x:v>180</x:v>
      </x:c>
      <x:c r="P329" s="34" t="n">
        <x:v>1</x:v>
      </x:c>
      <x:c r="Q329" s="34" t="n">
        <x:v>180</x:v>
      </x:c>
      <x:c r="R329" s="33" t="n">
        <x:v>18</x:v>
      </x:c>
      <x:c r="S329" s="38" t="n">
        <x:v>3.24</x:v>
      </x:c>
      <x:c r="T329" s="38" t="n">
        <x:v>0.25920000000000004</x:v>
      </x:c>
      <x:c r="U329" s="38" t="n">
        <x:v>0.07452000000000002</x:v>
      </x:c>
      <x:c r="V329" s="38" t="n">
        <x:v>2.90628</x:v>
      </x:c>
      <x:c r="W329" s="38" t="n">
        <x:v>0.9738000000000001</x:v>
      </x:c>
      <x:c r="X329" s="38" t="n">
        <x:v>0.08428212000000002</x:v>
      </x:c>
      <x:c r="Y329" s="38" t="n">
        <x:v>0</x:v>
      </x:c>
      <x:c r="Z329" s="38" t="n">
        <x:v>0.7470000000000001</x:v>
      </x:c>
      <x:c r="AA329" s="38" t="n">
        <x:v>0.297</x:v>
      </x:c>
      <x:c r="AB329" s="38" t="n">
        <x:v>0.00108</x:v>
      </x:c>
      <x:c r="AC329" s="38" t="n">
        <x:v>0.8031178799999998</x:v>
      </x:c>
      <x:c r="AD329" s="28" t="n">
        <x:v>0.2763387835996531</x:v>
      </x:c>
    </x:row>
    <x:row r="330">
      <x:c r="A330" s="32" t="n">
        <x:v>45775</x:v>
      </x:c>
      <x:c r="B330" s="32" t="n">
        <x:v>45748</x:v>
      </x:c>
      <x:c r="C330" t="str">
        <x:v>Apr 2025</x:v>
      </x:c>
      <x:c r="D330" t="str">
        <x:v>Actual</x:v>
      </x:c>
      <x:c r="E330" t="str">
        <x:v>DB-102</x:v>
      </x:c>
      <x:c r="F330" t="str">
        <x:v>GlowPatch Balm</x:v>
      </x:c>
      <x:c r="G330" t="str">
        <x:v>Consumable repeat</x:v>
      </x:c>
      <x:c r="H330" t="str">
        <x:v>None</x:v>
      </x:c>
      <x:c r="I330" t="str">
        <x:v>Active</x:v>
      </x:c>
      <x:c r="J330" t="str">
        <x:v>Amazon Marketplace</x:v>
      </x:c>
      <x:c r="K330" t="str">
        <x:v>Marketplace Consumer</x:v>
      </x:c>
      <x:c r="L330" t="str">
        <x:v>All Geographies</x:v>
      </x:c>
      <x:c r="M330" s="34" t="n">
        <x:v>2122</x:v>
      </x:c>
      <x:c r="N330" s="28" t="n">
        <x:v>0.050126399999999995</x:v>
      </x:c>
      <x:c r="O330" s="34" t="n">
        <x:v>106</x:v>
      </x:c>
      <x:c r="P330" s="34" t="n">
        <x:v>1</x:v>
      </x:c>
      <x:c r="Q330" s="34" t="n">
        <x:v>106</x:v>
      </x:c>
      <x:c r="R330" s="33" t="n">
        <x:v>18</x:v>
      </x:c>
      <x:c r="S330" s="38" t="n">
        <x:v>1.908</x:v>
      </x:c>
      <x:c r="T330" s="38" t="n">
        <x:v>0.0954</x:v>
      </x:c>
      <x:c r="U330" s="38" t="n">
        <x:v>0.045315</x:v>
      </x:c>
      <x:c r="V330" s="38" t="n">
        <x:v>1.767285</x:v>
      </x:c>
      <x:c r="W330" s="38" t="n">
        <x:v>0.5734600000000001</x:v>
      </x:c>
      <x:c r="X330" s="38" t="n">
        <x:v>0</x:v>
      </x:c>
      <x:c r="Y330" s="38" t="n">
        <x:v>0.26509275</x:v>
      </x:c>
      <x:c r="Z330" s="38" t="n">
        <x:v>0.5512</x:v>
      </x:c>
      <x:c r="AA330" s="38" t="n">
        <x:v>0.22789999999999996</x:v>
      </x:c>
      <x:c r="AB330" s="38" t="n">
        <x:v>0.0006360000000000001</x:v>
      </x:c>
      <x:c r="AC330" s="38" t="n">
        <x:v>0.14899624999999994</x:v>
      </x:c>
      <x:c r="AD330" s="28" t="n">
        <x:v>0.08430799220272901</x:v>
      </x:c>
    </x:row>
    <x:row r="331">
      <x:c r="A331" s="32" t="n">
        <x:v>45775</x:v>
      </x:c>
      <x:c r="B331" s="32" t="n">
        <x:v>45748</x:v>
      </x:c>
      <x:c r="C331" t="str">
        <x:v>Apr 2025</x:v>
      </x:c>
      <x:c r="D331" t="str">
        <x:v>Actual</x:v>
      </x:c>
      <x:c r="E331" t="str">
        <x:v>DB-102</x:v>
      </x:c>
      <x:c r="F331" t="str">
        <x:v>GlowPatch Balm</x:v>
      </x:c>
      <x:c r="G331" t="str">
        <x:v>Consumable repeat</x:v>
      </x:c>
      <x:c r="H331" t="str">
        <x:v>None</x:v>
      </x:c>
      <x:c r="I331" t="str">
        <x:v>Active</x:v>
      </x:c>
      <x:c r="J331" t="str">
        <x:v>Wholesale</x:v>
      </x:c>
      <x:c r="K331" t="str">
        <x:v>Retailer</x:v>
      </x:c>
      <x:c r="L331" t="str">
        <x:v>All Geographies</x:v>
      </x:c>
      <x:c r="M331" s="34" t="n">
        <x:v>1273</x:v>
      </x:c>
      <x:c r="N331" s="28" t="n">
        <x:v>0.023364</x:v>
      </x:c>
      <x:c r="O331" s="34" t="n">
        <x:v>30</x:v>
      </x:c>
      <x:c r="P331" s="34" t="n">
        <x:v>1</x:v>
      </x:c>
      <x:c r="Q331" s="34" t="n">
        <x:v>30</x:v>
      </x:c>
      <x:c r="R331" s="33" t="n">
        <x:v>18</x:v>
      </x:c>
      <x:c r="S331" s="38" t="n">
        <x:v>0.54</x:v>
      </x:c>
      <x:c r="T331" s="38" t="n">
        <x:v>0.189</x:v>
      </x:c>
      <x:c r="U331" s="38" t="n">
        <x:v>0.008775000000000002</x:v>
      </x:c>
      <x:c r="V331" s="38" t="n">
        <x:v>0.34222500000000006</x:v>
      </x:c>
      <x:c r="W331" s="38" t="n">
        <x:v>0.1623</x:v>
      </x:c>
      <x:c r="X331" s="38" t="n">
        <x:v>0</x:v>
      </x:c>
      <x:c r="Y331" s="38" t="n">
        <x:v>0</x:v>
      </x:c>
      <x:c r="Z331" s="38" t="n">
        <x:v>0.069</x:v>
      </x:c>
      <x:c r="AA331" s="38" t="n">
        <x:v>0.0255</x:v>
      </x:c>
      <x:c r="AB331" s="38" t="n">
        <x:v>0.00017999999999999998</x:v>
      </x:c>
      <x:c r="AC331" s="38" t="n">
        <x:v>0.08524500000000006</x:v>
      </x:c>
      <x:c r="AD331" s="28" t="n">
        <x:v>0.2490905106289723</x:v>
      </x:c>
    </x:row>
    <x:row r="332">
      <x:c r="A332" s="32" t="n">
        <x:v>45775</x:v>
      </x:c>
      <x:c r="B332" s="32" t="n">
        <x:v>45748</x:v>
      </x:c>
      <x:c r="C332" t="str">
        <x:v>Apr 2025</x:v>
      </x:c>
      <x:c r="D332" t="str">
        <x:v>Actual</x:v>
      </x:c>
      <x:c r="E332" t="str">
        <x:v>DB-102</x:v>
      </x:c>
      <x:c r="F332" t="str">
        <x:v>GlowPatch Balm</x:v>
      </x:c>
      <x:c r="G332" t="str">
        <x:v>Consumable repeat</x:v>
      </x:c>
      <x:c r="H332" t="str">
        <x:v>None</x:v>
      </x:c>
      <x:c r="I332" t="str">
        <x:v>Active</x:v>
      </x:c>
      <x:c r="J332" t="str">
        <x:v>TikTok Shop</x:v>
      </x:c>
      <x:c r="K332" t="str">
        <x:v>Social Commerce</x:v>
      </x:c>
      <x:c r="L332" t="str">
        <x:v>All Geographies</x:v>
      </x:c>
      <x:c r="M332" s="34" t="n">
        <x:v>849</x:v>
      </x:c>
      <x:c r="N332" s="28" t="n">
        <x:v>0.0535248</x:v>
      </x:c>
      <x:c r="O332" s="34" t="n">
        <x:v>45</x:v>
      </x:c>
      <x:c r="P332" s="34" t="n">
        <x:v>1</x:v>
      </x:c>
      <x:c r="Q332" s="34" t="n">
        <x:v>45</x:v>
      </x:c>
      <x:c r="R332" s="33" t="n">
        <x:v>18</x:v>
      </x:c>
      <x:c r="S332" s="38" t="n">
        <x:v>0.81</x:v>
      </x:c>
      <x:c r="T332" s="38" t="n">
        <x:v>0.09720000000000001</x:v>
      </x:c>
      <x:c r="U332" s="38" t="n">
        <x:v>0.017820000000000003</x:v>
      </x:c>
      <x:c r="V332" s="38" t="n">
        <x:v>0.6949800000000002</x:v>
      </x:c>
      <x:c r="W332" s="38" t="n">
        <x:v>0.24345000000000003</x:v>
      </x:c>
      <x:c r="X332" s="38" t="n">
        <x:v>0.020154420000000006</x:v>
      </x:c>
      <x:c r="Y332" s="38" t="n">
        <x:v>0.04169880000000001</x:v>
      </x:c>
      <x:c r="Z332" s="38" t="n">
        <x:v>0.22949999999999998</x:v>
      </x:c>
      <x:c r="AA332" s="38" t="n">
        <x:v>0.07875</x:v>
      </x:c>
      <x:c r="AB332" s="38" t="n">
        <x:v>0.00027</x:v>
      </x:c>
      <x:c r="AC332" s="38" t="n">
        <x:v>0.08115678000000007</x:v>
      </x:c>
      <x:c r="AD332" s="28" t="n">
        <x:v>0.11677570577570584</x:v>
      </x:c>
    </x:row>
    <x:row r="333">
      <x:c r="A333" s="32" t="n">
        <x:v>45775</x:v>
      </x:c>
      <x:c r="B333" s="32" t="n">
        <x:v>45748</x:v>
      </x:c>
      <x:c r="C333" t="str">
        <x:v>Apr 2025</x:v>
      </x:c>
      <x:c r="D333" t="str">
        <x:v>Actual</x:v>
      </x:c>
      <x:c r="E333" t="str">
        <x:v>DB-103</x:v>
      </x:c>
      <x:c r="F333" t="str">
        <x:v>EmberTrail Camp Mug</x:v>
      </x:c>
      <x:c r="G333" t="str">
        <x:v>One-time purchase</x:v>
      </x:c>
      <x:c r="H333" t="str">
        <x:v>Winter peak</x:v>
      </x:c>
      <x:c r="I333" t="str">
        <x:v>Active</x:v>
      </x:c>
      <x:c r="J333" t="str">
        <x:v>Shopify DTC</x:v>
      </x:c>
      <x:c r="K333" t="str">
        <x:v>Consumer</x:v>
      </x:c>
      <x:c r="L333" t="str">
        <x:v>All Geographies</x:v>
      </x:c>
      <x:c r="M333" s="34" t="n">
        <x:v>2984</x:v>
      </x:c>
      <x:c r="N333" s="28" t="n">
        <x:v>0.0324</x:v>
      </x:c>
      <x:c r="O333" s="34" t="n">
        <x:v>97</x:v>
      </x:c>
      <x:c r="P333" s="34" t="n">
        <x:v>1</x:v>
      </x:c>
      <x:c r="Q333" s="34" t="n">
        <x:v>97</x:v>
      </x:c>
      <x:c r="R333" s="33" t="n">
        <x:v>34</x:v>
      </x:c>
      <x:c r="S333" s="38" t="n">
        <x:v>3.298</x:v>
      </x:c>
      <x:c r="T333" s="38" t="n">
        <x:v>0.26384</x:v>
      </x:c>
      <x:c r="U333" s="38" t="n">
        <x:v>0.1668788</x:v>
      </x:c>
      <x:c r="V333" s="38" t="n">
        <x:v>2.8672812</x:v>
      </x:c>
      <x:c r="W333" s="38" t="n">
        <x:v>1.32599</x:v>
      </x:c>
      <x:c r="X333" s="38" t="n">
        <x:v>0.0831511548</x:v>
      </x:c>
      <x:c r="Y333" s="38" t="n">
        <x:v>0</x:v>
      </x:c>
      <x:c r="Z333" s="38" t="n">
        <x:v>0.40255</x:v>
      </x:c>
      <x:c r="AA333" s="38" t="n">
        <x:v>0.16004999999999997</x:v>
      </x:c>
      <x:c r="AB333" s="38" t="n">
        <x:v>0.005432</x:v>
      </x:c>
      <x:c r="AC333" s="38" t="n">
        <x:v>0.8901080452</x:v>
      </x:c>
      <x:c r="AD333" s="28" t="n">
        <x:v>0.31043625759482535</x:v>
      </x:c>
    </x:row>
    <x:row r="334">
      <x:c r="A334" s="32" t="n">
        <x:v>45775</x:v>
      </x:c>
      <x:c r="B334" s="32" t="n">
        <x:v>45748</x:v>
      </x:c>
      <x:c r="C334" t="str">
        <x:v>Apr 2025</x:v>
      </x:c>
      <x:c r="D334" t="str">
        <x:v>Actual</x:v>
      </x:c>
      <x:c r="E334" t="str">
        <x:v>DB-103</x:v>
      </x:c>
      <x:c r="F334" t="str">
        <x:v>EmberTrail Camp Mug</x:v>
      </x:c>
      <x:c r="G334" t="str">
        <x:v>One-time purchase</x:v>
      </x:c>
      <x:c r="H334" t="str">
        <x:v>Winter peak</x:v>
      </x:c>
      <x:c r="I334" t="str">
        <x:v>Active</x:v>
      </x:c>
      <x:c r="J334" t="str">
        <x:v>Amazon Marketplace</x:v>
      </x:c>
      <x:c r="K334" t="str">
        <x:v>Marketplace Consumer</x:v>
      </x:c>
      <x:c r="L334" t="str">
        <x:v>All Geographies</x:v>
      </x:c>
      <x:c r="M334" s="34" t="n">
        <x:v>1492</x:v>
      </x:c>
      <x:c r="N334" s="28" t="n">
        <x:v>0.038231999999999995</x:v>
      </x:c>
      <x:c r="O334" s="34" t="n">
        <x:v>57</x:v>
      </x:c>
      <x:c r="P334" s="34" t="n">
        <x:v>1</x:v>
      </x:c>
      <x:c r="Q334" s="34" t="n">
        <x:v>57</x:v>
      </x:c>
      <x:c r="R334" s="33" t="n">
        <x:v>34</x:v>
      </x:c>
      <x:c r="S334" s="38" t="n">
        <x:v>1.938</x:v>
      </x:c>
      <x:c r="T334" s="38" t="n">
        <x:v>0.0969</x:v>
      </x:c>
      <x:c r="U334" s="38" t="n">
        <x:v>0.1012605</x:v>
      </x:c>
      <x:c r="V334" s="38" t="n">
        <x:v>1.7398395</x:v>
      </x:c>
      <x:c r="W334" s="38" t="n">
        <x:v>0.7791899999999999</x:v>
      </x:c>
      <x:c r="X334" s="38" t="n">
        <x:v>0</x:v>
      </x:c>
      <x:c r="Y334" s="38" t="n">
        <x:v>0.260975925</x:v>
      </x:c>
      <x:c r="Z334" s="38" t="n">
        <x:v>0.29640000000000005</x:v>
      </x:c>
      <x:c r="AA334" s="38" t="n">
        <x:v>0.12254999999999999</x:v>
      </x:c>
      <x:c r="AB334" s="38" t="n">
        <x:v>0.003192</x:v>
      </x:c>
      <x:c r="AC334" s="38" t="n">
        <x:v>0.27753157500000003</x:v>
      </x:c>
      <x:c r="AD334" s="28" t="n">
        <x:v>0.15951561911314235</x:v>
      </x:c>
    </x:row>
    <x:row r="335">
      <x:c r="A335" s="32" t="n">
        <x:v>45775</x:v>
      </x:c>
      <x:c r="B335" s="32" t="n">
        <x:v>45748</x:v>
      </x:c>
      <x:c r="C335" t="str">
        <x:v>Apr 2025</x:v>
      </x:c>
      <x:c r="D335" t="str">
        <x:v>Actual</x:v>
      </x:c>
      <x:c r="E335" t="str">
        <x:v>DB-103</x:v>
      </x:c>
      <x:c r="F335" t="str">
        <x:v>EmberTrail Camp Mug</x:v>
      </x:c>
      <x:c r="G335" t="str">
        <x:v>One-time purchase</x:v>
      </x:c>
      <x:c r="H335" t="str">
        <x:v>Winter peak</x:v>
      </x:c>
      <x:c r="I335" t="str">
        <x:v>Active</x:v>
      </x:c>
      <x:c r="J335" t="str">
        <x:v>Wholesale</x:v>
      </x:c>
      <x:c r="K335" t="str">
        <x:v>Retailer</x:v>
      </x:c>
      <x:c r="L335" t="str">
        <x:v>All Geographies</x:v>
      </x:c>
      <x:c r="M335" s="34" t="n">
        <x:v>895</x:v>
      </x:c>
      <x:c r="N335" s="28" t="n">
        <x:v>0.017820000000000003</x:v>
      </x:c>
      <x:c r="O335" s="34" t="n">
        <x:v>16</x:v>
      </x:c>
      <x:c r="P335" s="34" t="n">
        <x:v>1</x:v>
      </x:c>
      <x:c r="Q335" s="34" t="n">
        <x:v>16</x:v>
      </x:c>
      <x:c r="R335" s="33" t="n">
        <x:v>34</x:v>
      </x:c>
      <x:c r="S335" s="38" t="n">
        <x:v>0.544</x:v>
      </x:c>
      <x:c r="T335" s="38" t="n">
        <x:v>0.1904</x:v>
      </x:c>
      <x:c r="U335" s="38" t="n">
        <x:v>0.019448</x:v>
      </x:c>
      <x:c r="V335" s="38" t="n">
        <x:v>0.334152</x:v>
      </x:c>
      <x:c r="W335" s="38" t="n">
        <x:v>0.21872</x:v>
      </x:c>
      <x:c r="X335" s="38" t="n">
        <x:v>0</x:v>
      </x:c>
      <x:c r="Y335" s="38" t="n">
        <x:v>0</x:v>
      </x:c>
      <x:c r="Z335" s="38" t="n">
        <x:v>0.0368</x:v>
      </x:c>
      <x:c r="AA335" s="38" t="n">
        <x:v>0.0136</x:v>
      </x:c>
      <x:c r="AB335" s="38" t="n">
        <x:v>0.000896</x:v>
      </x:c>
      <x:c r="AC335" s="38" t="n">
        <x:v>0.06413600000000001</x:v>
      </x:c>
      <x:c r="AD335" s="28" t="n">
        <x:v>0.1919366037013096</x:v>
      </x:c>
    </x:row>
    <x:row r="336">
      <x:c r="A336" s="32" t="n">
        <x:v>45775</x:v>
      </x:c>
      <x:c r="B336" s="32" t="n">
        <x:v>45748</x:v>
      </x:c>
      <x:c r="C336" t="str">
        <x:v>Apr 2025</x:v>
      </x:c>
      <x:c r="D336" t="str">
        <x:v>Actual</x:v>
      </x:c>
      <x:c r="E336" t="str">
        <x:v>DB-103</x:v>
      </x:c>
      <x:c r="F336" t="str">
        <x:v>EmberTrail Camp Mug</x:v>
      </x:c>
      <x:c r="G336" t="str">
        <x:v>One-time purchase</x:v>
      </x:c>
      <x:c r="H336" t="str">
        <x:v>Winter peak</x:v>
      </x:c>
      <x:c r="I336" t="str">
        <x:v>Active</x:v>
      </x:c>
      <x:c r="J336" t="str">
        <x:v>TikTok Shop</x:v>
      </x:c>
      <x:c r="K336" t="str">
        <x:v>Social Commerce</x:v>
      </x:c>
      <x:c r="L336" t="str">
        <x:v>All Geographies</x:v>
      </x:c>
      <x:c r="M336" s="34" t="n">
        <x:v>597</x:v>
      </x:c>
      <x:c r="N336" s="28" t="n">
        <x:v>0.040824</x:v>
      </x:c>
      <x:c r="O336" s="34" t="n">
        <x:v>24</x:v>
      </x:c>
      <x:c r="P336" s="34" t="n">
        <x:v>1</x:v>
      </x:c>
      <x:c r="Q336" s="34" t="n">
        <x:v>24</x:v>
      </x:c>
      <x:c r="R336" s="33" t="n">
        <x:v>34</x:v>
      </x:c>
      <x:c r="S336" s="38" t="n">
        <x:v>0.816</x:v>
      </x:c>
      <x:c r="T336" s="38" t="n">
        <x:v>0.09792</x:v>
      </x:c>
      <x:c r="U336" s="38" t="n">
        <x:v>0.0394944</x:v>
      </x:c>
      <x:c r="V336" s="38" t="n">
        <x:v>0.6785855999999999</x:v>
      </x:c>
      <x:c r="W336" s="38" t="n">
        <x:v>0.32808</x:v>
      </x:c>
      <x:c r="X336" s="38" t="n">
        <x:v>0.0196789824</x:v>
      </x:c>
      <x:c r="Y336" s="38" t="n">
        <x:v>0.04071513599999999</x:v>
      </x:c>
      <x:c r="Z336" s="38" t="n">
        <x:v>0.1224</x:v>
      </x:c>
      <x:c r="AA336" s="38" t="n">
        <x:v>0.042</x:v>
      </x:c>
      <x:c r="AB336" s="38" t="n">
        <x:v>0.0013440000000000001</x:v>
      </x:c>
      <x:c r="AC336" s="38" t="n">
        <x:v>0.12436748159999993</x:v>
      </x:c>
      <x:c r="AD336" s="28" t="n">
        <x:v>0.18327456639221337</x:v>
      </x:c>
    </x:row>
    <x:row r="337">
      <x:c r="A337" s="32" t="n">
        <x:v>45775</x:v>
      </x:c>
      <x:c r="B337" s="32" t="n">
        <x:v>45748</x:v>
      </x:c>
      <x:c r="C337" t="str">
        <x:v>Apr 2025</x:v>
      </x:c>
      <x:c r="D337" t="str">
        <x:v>Actual</x:v>
      </x:c>
      <x:c r="E337" t="str">
        <x:v>DB-104</x:v>
      </x:c>
      <x:c r="F337" t="str">
        <x:v>SunNest Cooling Towel</x:v>
      </x:c>
      <x:c r="G337" t="str">
        <x:v>Consumable repeat</x:v>
      </x:c>
      <x:c r="H337" t="str">
        <x:v>Summer peak</x:v>
      </x:c>
      <x:c r="I337" t="str">
        <x:v>Active</x:v>
      </x:c>
      <x:c r="J337" t="str">
        <x:v>Shopify DTC</x:v>
      </x:c>
      <x:c r="K337" t="str">
        <x:v>Consumer</x:v>
      </x:c>
      <x:c r="L337" t="str">
        <x:v>All Geographies</x:v>
      </x:c>
      <x:c r="M337" s="34" t="n">
        <x:v>3608</x:v>
      </x:c>
      <x:c r="N337" s="28" t="n">
        <x:v>0.03312</x:v>
      </x:c>
      <x:c r="O337" s="34" t="n">
        <x:v>119</x:v>
      </x:c>
      <x:c r="P337" s="34" t="n">
        <x:v>1</x:v>
      </x:c>
      <x:c r="Q337" s="34" t="n">
        <x:v>119</x:v>
      </x:c>
      <x:c r="R337" s="33" t="n">
        <x:v>42</x:v>
      </x:c>
      <x:c r="S337" s="38" t="n">
        <x:v>4.998</x:v>
      </x:c>
      <x:c r="T337" s="38" t="n">
        <x:v>0.39984000000000003</x:v>
      </x:c>
      <x:c r="U337" s="38" t="n">
        <x:v>0.229908</x:v>
      </x:c>
      <x:c r="V337" s="38" t="n">
        <x:v>4.368252</x:v>
      </x:c>
      <x:c r="W337" s="38" t="n">
        <x:v>1.79095</x:v>
      </x:c>
      <x:c r="X337" s="38" t="n">
        <x:v>0.12667930800000002</x:v>
      </x:c>
      <x:c r="Y337" s="38" t="n">
        <x:v>0</x:v>
      </x:c>
      <x:c r="Z337" s="38" t="n">
        <x:v>0.49385</x:v>
      </x:c>
      <x:c r="AA337" s="38" t="n">
        <x:v>0.19635</x:v>
      </x:c>
      <x:c r="AB337" s="38" t="n">
        <x:v>0.003332</x:v>
      </x:c>
      <x:c r="AC337" s="38" t="n">
        <x:v>1.757090692</x:v>
      </x:c>
      <x:c r="AD337" s="28" t="n">
        <x:v>0.40224114634412117</x:v>
      </x:c>
    </x:row>
    <x:row r="338">
      <x:c r="A338" s="32" t="n">
        <x:v>45775</x:v>
      </x:c>
      <x:c r="B338" s="32" t="n">
        <x:v>45748</x:v>
      </x:c>
      <x:c r="C338" t="str">
        <x:v>Apr 2025</x:v>
      </x:c>
      <x:c r="D338" t="str">
        <x:v>Actual</x:v>
      </x:c>
      <x:c r="E338" t="str">
        <x:v>DB-104</x:v>
      </x:c>
      <x:c r="F338" t="str">
        <x:v>SunNest Cooling Towel</x:v>
      </x:c>
      <x:c r="G338" t="str">
        <x:v>Consumable repeat</x:v>
      </x:c>
      <x:c r="H338" t="str">
        <x:v>Summer peak</x:v>
      </x:c>
      <x:c r="I338" t="str">
        <x:v>Active</x:v>
      </x:c>
      <x:c r="J338" t="str">
        <x:v>Amazon Marketplace</x:v>
      </x:c>
      <x:c r="K338" t="str">
        <x:v>Marketplace Consumer</x:v>
      </x:c>
      <x:c r="L338" t="str">
        <x:v>All Geographies</x:v>
      </x:c>
      <x:c r="M338" s="34" t="n">
        <x:v>1804</x:v>
      </x:c>
      <x:c r="N338" s="28" t="n">
        <x:v>0.0390816</x:v>
      </x:c>
      <x:c r="O338" s="34" t="n">
        <x:v>71</x:v>
      </x:c>
      <x:c r="P338" s="34" t="n">
        <x:v>1</x:v>
      </x:c>
      <x:c r="Q338" s="34" t="n">
        <x:v>71</x:v>
      </x:c>
      <x:c r="R338" s="33" t="n">
        <x:v>42</x:v>
      </x:c>
      <x:c r="S338" s="38" t="n">
        <x:v>2.982</x:v>
      </x:c>
      <x:c r="T338" s="38" t="n">
        <x:v>0.1491</x:v>
      </x:c>
      <x:c r="U338" s="38" t="n">
        <x:v>0.14164500000000002</x:v>
      </x:c>
      <x:c r="V338" s="38" t="n">
        <x:v>2.6912550000000004</x:v>
      </x:c>
      <x:c r="W338" s="38" t="n">
        <x:v>1.0685499999999999</x:v>
      </x:c>
      <x:c r="X338" s="38" t="n">
        <x:v>0</x:v>
      </x:c>
      <x:c r="Y338" s="38" t="n">
        <x:v>0.40368825</x:v>
      </x:c>
      <x:c r="Z338" s="38" t="n">
        <x:v>0.3692</x:v>
      </x:c>
      <x:c r="AA338" s="38" t="n">
        <x:v>0.15265</x:v>
      </x:c>
      <x:c r="AB338" s="38" t="n">
        <x:v>0.0019879999999999997</x:v>
      </x:c>
      <x:c r="AC338" s="38" t="n">
        <x:v>0.6951787500000005</x:v>
      </x:c>
      <x:c r="AD338" s="28" t="n">
        <x:v>0.25831024930747937</x:v>
      </x:c>
    </x:row>
    <x:row r="339">
      <x:c r="A339" s="32" t="n">
        <x:v>45775</x:v>
      </x:c>
      <x:c r="B339" s="32" t="n">
        <x:v>45748</x:v>
      </x:c>
      <x:c r="C339" t="str">
        <x:v>Apr 2025</x:v>
      </x:c>
      <x:c r="D339" t="str">
        <x:v>Actual</x:v>
      </x:c>
      <x:c r="E339" t="str">
        <x:v>DB-104</x:v>
      </x:c>
      <x:c r="F339" t="str">
        <x:v>SunNest Cooling Towel</x:v>
      </x:c>
      <x:c r="G339" t="str">
        <x:v>Consumable repeat</x:v>
      </x:c>
      <x:c r="H339" t="str">
        <x:v>Summer peak</x:v>
      </x:c>
      <x:c r="I339" t="str">
        <x:v>Active</x:v>
      </x:c>
      <x:c r="J339" t="str">
        <x:v>Wholesale</x:v>
      </x:c>
      <x:c r="K339" t="str">
        <x:v>Retailer</x:v>
      </x:c>
      <x:c r="L339" t="str">
        <x:v>All Geographies</x:v>
      </x:c>
      <x:c r="M339" s="34" t="n">
        <x:v>1082</x:v>
      </x:c>
      <x:c r="N339" s="28" t="n">
        <x:v>0.018216000000000003</x:v>
      </x:c>
      <x:c r="O339" s="34" t="n">
        <x:v>20</x:v>
      </x:c>
      <x:c r="P339" s="34" t="n">
        <x:v>1</x:v>
      </x:c>
      <x:c r="Q339" s="34" t="n">
        <x:v>20</x:v>
      </x:c>
      <x:c r="R339" s="33" t="n">
        <x:v>42</x:v>
      </x:c>
      <x:c r="S339" s="38" t="n">
        <x:v>0.84</x:v>
      </x:c>
      <x:c r="T339" s="38" t="n">
        <x:v>0.294</x:v>
      </x:c>
      <x:c r="U339" s="38" t="n">
        <x:v>0.027300000000000005</x:v>
      </x:c>
      <x:c r="V339" s="38" t="n">
        <x:v>0.5187</x:v>
      </x:c>
      <x:c r="W339" s="38" t="n">
        <x:v>0.301</x:v>
      </x:c>
      <x:c r="X339" s="38" t="n">
        <x:v>0</x:v>
      </x:c>
      <x:c r="Y339" s="38" t="n">
        <x:v>0</x:v>
      </x:c>
      <x:c r="Z339" s="38" t="n">
        <x:v>0.046</x:v>
      </x:c>
      <x:c r="AA339" s="38" t="n">
        <x:v>0.017</x:v>
      </x:c>
      <x:c r="AB339" s="38" t="n">
        <x:v>0.00056</x:v>
      </x:c>
      <x:c r="AC339" s="38" t="n">
        <x:v>0.15414000000000005</x:v>
      </x:c>
      <x:c r="AD339" s="28" t="n">
        <x:v>0.2971659919028341</x:v>
      </x:c>
    </x:row>
    <x:row r="340">
      <x:c r="A340" s="32" t="n">
        <x:v>45775</x:v>
      </x:c>
      <x:c r="B340" s="32" t="n">
        <x:v>45748</x:v>
      </x:c>
      <x:c r="C340" t="str">
        <x:v>Apr 2025</x:v>
      </x:c>
      <x:c r="D340" t="str">
        <x:v>Actual</x:v>
      </x:c>
      <x:c r="E340" t="str">
        <x:v>DB-104</x:v>
      </x:c>
      <x:c r="F340" t="str">
        <x:v>SunNest Cooling Towel</x:v>
      </x:c>
      <x:c r="G340" t="str">
        <x:v>Consumable repeat</x:v>
      </x:c>
      <x:c r="H340" t="str">
        <x:v>Summer peak</x:v>
      </x:c>
      <x:c r="I340" t="str">
        <x:v>Active</x:v>
      </x:c>
      <x:c r="J340" t="str">
        <x:v>TikTok Shop</x:v>
      </x:c>
      <x:c r="K340" t="str">
        <x:v>Social Commerce</x:v>
      </x:c>
      <x:c r="L340" t="str">
        <x:v>All Geographies</x:v>
      </x:c>
      <x:c r="M340" s="34" t="n">
        <x:v>722</x:v>
      </x:c>
      <x:c r="N340" s="28" t="n">
        <x:v>0.0417312</x:v>
      </x:c>
      <x:c r="O340" s="34" t="n">
        <x:v>30</x:v>
      </x:c>
      <x:c r="P340" s="34" t="n">
        <x:v>1</x:v>
      </x:c>
      <x:c r="Q340" s="34" t="n">
        <x:v>30</x:v>
      </x:c>
      <x:c r="R340" s="33" t="n">
        <x:v>42</x:v>
      </x:c>
      <x:c r="S340" s="38" t="n">
        <x:v>1.26</x:v>
      </x:c>
      <x:c r="T340" s="38" t="n">
        <x:v>0.1512</x:v>
      </x:c>
      <x:c r="U340" s="38" t="n">
        <x:v>0.05544</x:v>
      </x:c>
      <x:c r="V340" s="38" t="n">
        <x:v>1.05336</x:v>
      </x:c>
      <x:c r="W340" s="38" t="n">
        <x:v>0.4515</x:v>
      </x:c>
      <x:c r="X340" s="38" t="n">
        <x:v>0.030547440000000002</x:v>
      </x:c>
      <x:c r="Y340" s="38" t="n">
        <x:v>0.0632016</x:v>
      </x:c>
      <x:c r="Z340" s="38" t="n">
        <x:v>0.153</x:v>
      </x:c>
      <x:c r="AA340" s="38" t="n">
        <x:v>0.0525</x:v>
      </x:c>
      <x:c r="AB340" s="38" t="n">
        <x:v>0.0008399999999999999</x:v>
      </x:c>
      <x:c r="AC340" s="38" t="n">
        <x:v>0.3017709600000001</x:v>
      </x:c>
      <x:c r="AD340" s="28" t="n">
        <x:v>0.28648416495784923</x:v>
      </x:c>
    </x:row>
    <x:row r="341">
      <x:c r="A341" s="32" t="n">
        <x:v>45775</x:v>
      </x:c>
      <x:c r="B341" s="32" t="n">
        <x:v>45748</x:v>
      </x:c>
      <x:c r="C341" t="str">
        <x:v>Apr 2025</x:v>
      </x:c>
      <x:c r="D341" t="str">
        <x:v>Actual</x:v>
      </x:c>
      <x:c r="E341" t="str">
        <x:v>DB-105</x:v>
      </x:c>
      <x:c r="F341" t="str">
        <x:v>DreamFuel Refill Pack</x:v>
      </x:c>
      <x:c r="G341" t="str">
        <x:v>Subscription</x:v>
      </x:c>
      <x:c r="H341" t="str">
        <x:v>None</x:v>
      </x:c>
      <x:c r="I341" t="str">
        <x:v>Active</x:v>
      </x:c>
      <x:c r="J341" t="str">
        <x:v>Shopify DTC</x:v>
      </x:c>
      <x:c r="K341" t="str">
        <x:v>Consumer</x:v>
      </x:c>
      <x:c r="L341" t="str">
        <x:v>All Geographies</x:v>
      </x:c>
      <x:c r="M341" s="34" t="n">
        <x:v>3638</x:v>
      </x:c>
      <x:c r="N341" s="28" t="n">
        <x:v>0.03888</x:v>
      </x:c>
      <x:c r="O341" s="34" t="n">
        <x:v>141</x:v>
      </x:c>
      <x:c r="P341" s="34" t="n">
        <x:v>1</x:v>
      </x:c>
      <x:c r="Q341" s="34" t="n">
        <x:v>141</x:v>
      </x:c>
      <x:c r="R341" s="33" t="n">
        <x:v>56</x:v>
      </x:c>
      <x:c r="S341" s="38" t="n">
        <x:v>7.896</x:v>
      </x:c>
      <x:c r="T341" s="38" t="n">
        <x:v>0.63168</x:v>
      </x:c>
      <x:c r="U341" s="38" t="n">
        <x:v>0.1452864</x:v>
      </x:c>
      <x:c r="V341" s="38" t="n">
        <x:v>7.1190336</x:v>
      </x:c>
      <x:c r="W341" s="38" t="n">
        <x:v>2.62542</x:v>
      </x:c>
      <x:c r="X341" s="38" t="n">
        <x:v>0.20645197440000002</x:v>
      </x:c>
      <x:c r="Y341" s="38" t="n">
        <x:v>0</x:v>
      </x:c>
      <x:c r="Z341" s="38" t="n">
        <x:v>0.5851500000000001</x:v>
      </x:c>
      <x:c r="AA341" s="38" t="n">
        <x:v>0.23264999999999997</x:v>
      </x:c>
      <x:c r="AB341" s="38" t="n">
        <x:v>0.0005076</x:v>
      </x:c>
      <x:c r="AC341" s="38" t="n">
        <x:v>3.4688540255999993</x:v>
      </x:c>
      <x:c r="AD341" s="28" t="n">
        <x:v>0.4872647357079477</x:v>
      </x:c>
    </x:row>
    <x:row r="342">
      <x:c r="A342" s="32" t="n">
        <x:v>45775</x:v>
      </x:c>
      <x:c r="B342" s="32" t="n">
        <x:v>45748</x:v>
      </x:c>
      <x:c r="C342" t="str">
        <x:v>Apr 2025</x:v>
      </x:c>
      <x:c r="D342" t="str">
        <x:v>Actual</x:v>
      </x:c>
      <x:c r="E342" t="str">
        <x:v>DB-105</x:v>
      </x:c>
      <x:c r="F342" t="str">
        <x:v>DreamFuel Refill Pack</x:v>
      </x:c>
      <x:c r="G342" t="str">
        <x:v>Subscription</x:v>
      </x:c>
      <x:c r="H342" t="str">
        <x:v>None</x:v>
      </x:c>
      <x:c r="I342" t="str">
        <x:v>Active</x:v>
      </x:c>
      <x:c r="J342" t="str">
        <x:v>Amazon Marketplace</x:v>
      </x:c>
      <x:c r="K342" t="str">
        <x:v>Marketplace Consumer</x:v>
      </x:c>
      <x:c r="L342" t="str">
        <x:v>All Geographies</x:v>
      </x:c>
      <x:c r="M342" s="34" t="n">
        <x:v>1819</x:v>
      </x:c>
      <x:c r="N342" s="28" t="n">
        <x:v>0.0458784</x:v>
      </x:c>
      <x:c r="O342" s="34" t="n">
        <x:v>83</x:v>
      </x:c>
      <x:c r="P342" s="34" t="n">
        <x:v>1</x:v>
      </x:c>
      <x:c r="Q342" s="34" t="n">
        <x:v>83</x:v>
      </x:c>
      <x:c r="R342" s="33" t="n">
        <x:v>56</x:v>
      </x:c>
      <x:c r="S342" s="38" t="n">
        <x:v>4.648</x:v>
      </x:c>
      <x:c r="T342" s="38" t="n">
        <x:v>0.2324</x:v>
      </x:c>
      <x:c r="U342" s="38" t="n">
        <x:v>0.08831199999999999</x:v>
      </x:c>
      <x:c r="V342" s="38" t="n">
        <x:v>4.327287999999999</x:v>
      </x:c>
      <x:c r="W342" s="38" t="n">
        <x:v>1.54546</x:v>
      </x:c>
      <x:c r="X342" s="38" t="n">
        <x:v>0</x:v>
      </x:c>
      <x:c r="Y342" s="38" t="n">
        <x:v>0.6490931999999999</x:v>
      </x:c>
      <x:c r="Z342" s="38" t="n">
        <x:v>0.43160000000000004</x:v>
      </x:c>
      <x:c r="AA342" s="38" t="n">
        <x:v>0.17845</x:v>
      </x:c>
      <x:c r="AB342" s="38" t="n">
        <x:v>0.0002988</x:v>
      </x:c>
      <x:c r="AC342" s="38" t="n">
        <x:v>1.5223859999999994</x:v>
      </x:c>
      <x:c r="AD342" s="28" t="n">
        <x:v>0.35181064907165865</x:v>
      </x:c>
    </x:row>
    <x:row r="343">
      <x:c r="A343" s="32" t="n">
        <x:v>45775</x:v>
      </x:c>
      <x:c r="B343" s="32" t="n">
        <x:v>45748</x:v>
      </x:c>
      <x:c r="C343" t="str">
        <x:v>Apr 2025</x:v>
      </x:c>
      <x:c r="D343" t="str">
        <x:v>Actual</x:v>
      </x:c>
      <x:c r="E343" t="str">
        <x:v>DB-105</x:v>
      </x:c>
      <x:c r="F343" t="str">
        <x:v>DreamFuel Refill Pack</x:v>
      </x:c>
      <x:c r="G343" t="str">
        <x:v>Subscription</x:v>
      </x:c>
      <x:c r="H343" t="str">
        <x:v>None</x:v>
      </x:c>
      <x:c r="I343" t="str">
        <x:v>Active</x:v>
      </x:c>
      <x:c r="J343" t="str">
        <x:v>Wholesale</x:v>
      </x:c>
      <x:c r="K343" t="str">
        <x:v>Retailer</x:v>
      </x:c>
      <x:c r="L343" t="str">
        <x:v>All Geographies</x:v>
      </x:c>
      <x:c r="M343" s="34" t="n">
        <x:v>1092</x:v>
      </x:c>
      <x:c r="N343" s="28" t="n">
        <x:v>0.021384000000000004</x:v>
      </x:c>
      <x:c r="O343" s="34" t="n">
        <x:v>23</x:v>
      </x:c>
      <x:c r="P343" s="34" t="n">
        <x:v>1</x:v>
      </x:c>
      <x:c r="Q343" s="34" t="n">
        <x:v>23</x:v>
      </x:c>
      <x:c r="R343" s="33" t="n">
        <x:v>56</x:v>
      </x:c>
      <x:c r="S343" s="38" t="n">
        <x:v>1.288</x:v>
      </x:c>
      <x:c r="T343" s="38" t="n">
        <x:v>0.4508</x:v>
      </x:c>
      <x:c r="U343" s="38" t="n">
        <x:v>0.016744000000000002</x:v>
      </x:c>
      <x:c r="V343" s="38" t="n">
        <x:v>0.8204560000000001</x:v>
      </x:c>
      <x:c r="W343" s="38" t="n">
        <x:v>0.42826000000000003</x:v>
      </x:c>
      <x:c r="X343" s="38" t="n">
        <x:v>0</x:v>
      </x:c>
      <x:c r="Y343" s="38" t="n">
        <x:v>0</x:v>
      </x:c>
      <x:c r="Z343" s="38" t="n">
        <x:v>0.052899999999999996</x:v>
      </x:c>
      <x:c r="AA343" s="38" t="n">
        <x:v>0.01955</x:v>
      </x:c>
      <x:c r="AB343" s="38" t="n">
        <x:v>0.0000828</x:v>
      </x:c>
      <x:c r="AC343" s="38" t="n">
        <x:v>0.31966320000000004</x:v>
      </x:c>
      <x:c r="AD343" s="28" t="n">
        <x:v>0.38961650594303654</x:v>
      </x:c>
    </x:row>
    <x:row r="344">
      <x:c r="A344" s="32" t="n">
        <x:v>45775</x:v>
      </x:c>
      <x:c r="B344" s="32" t="n">
        <x:v>45748</x:v>
      </x:c>
      <x:c r="C344" t="str">
        <x:v>Apr 2025</x:v>
      </x:c>
      <x:c r="D344" t="str">
        <x:v>Actual</x:v>
      </x:c>
      <x:c r="E344" t="str">
        <x:v>DB-105</x:v>
      </x:c>
      <x:c r="F344" t="str">
        <x:v>DreamFuel Refill Pack</x:v>
      </x:c>
      <x:c r="G344" t="str">
        <x:v>Subscription</x:v>
      </x:c>
      <x:c r="H344" t="str">
        <x:v>None</x:v>
      </x:c>
      <x:c r="I344" t="str">
        <x:v>Active</x:v>
      </x:c>
      <x:c r="J344" t="str">
        <x:v>TikTok Shop</x:v>
      </x:c>
      <x:c r="K344" t="str">
        <x:v>Social Commerce</x:v>
      </x:c>
      <x:c r="L344" t="str">
        <x:v>All Geographies</x:v>
      </x:c>
      <x:c r="M344" s="34" t="n">
        <x:v>728</x:v>
      </x:c>
      <x:c r="N344" s="28" t="n">
        <x:v>0.0489888</x:v>
      </x:c>
      <x:c r="O344" s="34" t="n">
        <x:v>36</x:v>
      </x:c>
      <x:c r="P344" s="34" t="n">
        <x:v>1</x:v>
      </x:c>
      <x:c r="Q344" s="34" t="n">
        <x:v>36</x:v>
      </x:c>
      <x:c r="R344" s="33" t="n">
        <x:v>56</x:v>
      </x:c>
      <x:c r="S344" s="38" t="n">
        <x:v>2.016</x:v>
      </x:c>
      <x:c r="T344" s="38" t="n">
        <x:v>0.24192</x:v>
      </x:c>
      <x:c r="U344" s="38" t="n">
        <x:v>0.0354816</x:v>
      </x:c>
      <x:c r="V344" s="38" t="n">
        <x:v>1.7385984</x:v>
      </x:c>
      <x:c r="W344" s="38" t="n">
        <x:v>0.67032</x:v>
      </x:c>
      <x:c r="X344" s="38" t="n">
        <x:v>0.05041935360000001</x:v>
      </x:c>
      <x:c r="Y344" s="38" t="n">
        <x:v>0.104315904</x:v>
      </x:c>
      <x:c r="Z344" s="38" t="n">
        <x:v>0.18359999999999999</x:v>
      </x:c>
      <x:c r="AA344" s="38" t="n">
        <x:v>0.063</x:v>
      </x:c>
      <x:c r="AB344" s="38" t="n">
        <x:v>0.0001296</x:v>
      </x:c>
      <x:c r="AC344" s="38" t="n">
        <x:v>0.6668135424000001</x:v>
      </x:c>
      <x:c r="AD344" s="28" t="n">
        <x:v>0.38353511794328127</x:v>
      </x:c>
    </x:row>
    <x:row r="345">
      <x:c r="A345" s="32" t="n">
        <x:v>45782</x:v>
      </x:c>
      <x:c r="B345" s="32" t="n">
        <x:v>45778</x:v>
      </x:c>
      <x:c r="C345" t="str">
        <x:v>May 2025</x:v>
      </x:c>
      <x:c r="D345" t="str">
        <x:v>Actual</x:v>
      </x:c>
      <x:c r="E345" t="str">
        <x:v>DB-101</x:v>
      </x:c>
      <x:c r="F345" t="str">
        <x:v>AeroSip Bottle</x:v>
      </x:c>
      <x:c r="G345" t="str">
        <x:v>One-time purchase</x:v>
      </x:c>
      <x:c r="H345" t="str">
        <x:v>None</x:v>
      </x:c>
      <x:c r="I345" t="str">
        <x:v>Active</x:v>
      </x:c>
      <x:c r="J345" t="str">
        <x:v>Shopify DTC</x:v>
      </x:c>
      <x:c r="K345" t="str">
        <x:v>Consumer</x:v>
      </x:c>
      <x:c r="L345" t="str">
        <x:v>All Geographies</x:v>
      </x:c>
      <x:c r="M345" s="34" t="n">
        <x:v>5276</x:v>
      </x:c>
      <x:c r="N345" s="28" t="n">
        <x:v>0.034199999999999994</x:v>
      </x:c>
      <x:c r="O345" s="34" t="n">
        <x:v>180</x:v>
      </x:c>
      <x:c r="P345" s="34" t="n">
        <x:v>1</x:v>
      </x:c>
      <x:c r="Q345" s="34" t="n">
        <x:v>180</x:v>
      </x:c>
      <x:c r="R345" s="33" t="n">
        <x:v>29</x:v>
      </x:c>
      <x:c r="S345" s="38" t="n">
        <x:v>5.22</x:v>
      </x:c>
      <x:c r="T345" s="38" t="n">
        <x:v>0.41759999999999997</x:v>
      </x:c>
      <x:c r="U345" s="38" t="n">
        <x:v>0.21610799999999997</x:v>
      </x:c>
      <x:c r="V345" s="38" t="n">
        <x:v>4.586291999999999</x:v>
      </x:c>
      <x:c r="W345" s="38" t="n">
        <x:v>1.9440000000000002</x:v>
      </x:c>
      <x:c r="X345" s="38" t="n">
        <x:v>0.13300246799999998</x:v>
      </x:c>
      <x:c r="Y345" s="38" t="n">
        <x:v>0</x:v>
      </x:c>
      <x:c r="Z345" s="38" t="n">
        <x:v>0.7470000000000001</x:v>
      </x:c>
      <x:c r="AA345" s="38" t="n">
        <x:v>0.297</x:v>
      </x:c>
      <x:c r="AB345" s="38" t="n">
        <x:v>0.0064800000000000005</x:v>
      </x:c>
      <x:c r="AC345" s="38" t="n">
        <x:v>1.4588095319999994</x:v>
      </x:c>
      <x:c r="AD345" s="28" t="n">
        <x:v>0.31808038650831644</x:v>
      </x:c>
    </x:row>
    <x:row r="346">
      <x:c r="A346" s="32" t="n">
        <x:v>45782</x:v>
      </x:c>
      <x:c r="B346" s="32" t="n">
        <x:v>45778</x:v>
      </x:c>
      <x:c r="C346" t="str">
        <x:v>May 2025</x:v>
      </x:c>
      <x:c r="D346" t="str">
        <x:v>Actual</x:v>
      </x:c>
      <x:c r="E346" t="str">
        <x:v>DB-101</x:v>
      </x:c>
      <x:c r="F346" t="str">
        <x:v>AeroSip Bottle</x:v>
      </x:c>
      <x:c r="G346" t="str">
        <x:v>One-time purchase</x:v>
      </x:c>
      <x:c r="H346" t="str">
        <x:v>None</x:v>
      </x:c>
      <x:c r="I346" t="str">
        <x:v>Active</x:v>
      </x:c>
      <x:c r="J346" t="str">
        <x:v>Amazon Marketplace</x:v>
      </x:c>
      <x:c r="K346" t="str">
        <x:v>Marketplace Consumer</x:v>
      </x:c>
      <x:c r="L346" t="str">
        <x:v>All Geographies</x:v>
      </x:c>
      <x:c r="M346" s="34" t="n">
        <x:v>2638</x:v>
      </x:c>
      <x:c r="N346" s="28" t="n">
        <x:v>0.040355999999999996</x:v>
      </x:c>
      <x:c r="O346" s="34" t="n">
        <x:v>106</x:v>
      </x:c>
      <x:c r="P346" s="34" t="n">
        <x:v>1</x:v>
      </x:c>
      <x:c r="Q346" s="34" t="n">
        <x:v>106</x:v>
      </x:c>
      <x:c r="R346" s="33" t="n">
        <x:v>29</x:v>
      </x:c>
      <x:c r="S346" s="38" t="n">
        <x:v>3.074</x:v>
      </x:c>
      <x:c r="T346" s="38" t="n">
        <x:v>0.1537</x:v>
      </x:c>
      <x:c r="U346" s="38" t="n">
        <x:v>0.1314135</x:v>
      </x:c>
      <x:c r="V346" s="38" t="n">
        <x:v>2.7888865</x:v>
      </x:c>
      <x:c r="W346" s="38" t="n">
        <x:v>1.1448000000000003</x:v>
      </x:c>
      <x:c r="X346" s="38" t="n">
        <x:v>0</x:v>
      </x:c>
      <x:c r="Y346" s="38" t="n">
        <x:v>0.41833297499999994</x:v>
      </x:c>
      <x:c r="Z346" s="38" t="n">
        <x:v>0.5512</x:v>
      </x:c>
      <x:c r="AA346" s="38" t="n">
        <x:v>0.22789999999999996</x:v>
      </x:c>
      <x:c r="AB346" s="38" t="n">
        <x:v>0.003816</x:v>
      </x:c>
      <x:c r="AC346" s="38" t="n">
        <x:v>0.44283752499999957</x:v>
      </x:c>
      <x:c r="AD346" s="28" t="n">
        <x:v>0.15878649955815685</x:v>
      </x:c>
    </x:row>
    <x:row r="347">
      <x:c r="A347" s="32" t="n">
        <x:v>45782</x:v>
      </x:c>
      <x:c r="B347" s="32" t="n">
        <x:v>45778</x:v>
      </x:c>
      <x:c r="C347" t="str">
        <x:v>May 2025</x:v>
      </x:c>
      <x:c r="D347" t="str">
        <x:v>Actual</x:v>
      </x:c>
      <x:c r="E347" t="str">
        <x:v>DB-101</x:v>
      </x:c>
      <x:c r="F347" t="str">
        <x:v>AeroSip Bottle</x:v>
      </x:c>
      <x:c r="G347" t="str">
        <x:v>One-time purchase</x:v>
      </x:c>
      <x:c r="H347" t="str">
        <x:v>None</x:v>
      </x:c>
      <x:c r="I347" t="str">
        <x:v>Active</x:v>
      </x:c>
      <x:c r="J347" t="str">
        <x:v>Wholesale</x:v>
      </x:c>
      <x:c r="K347" t="str">
        <x:v>Retailer</x:v>
      </x:c>
      <x:c r="L347" t="str">
        <x:v>All Geographies</x:v>
      </x:c>
      <x:c r="M347" s="34" t="n">
        <x:v>1583</x:v>
      </x:c>
      <x:c r="N347" s="28" t="n">
        <x:v>0.01881</x:v>
      </x:c>
      <x:c r="O347" s="34" t="n">
        <x:v>30</x:v>
      </x:c>
      <x:c r="P347" s="34" t="n">
        <x:v>1</x:v>
      </x:c>
      <x:c r="Q347" s="34" t="n">
        <x:v>30</x:v>
      </x:c>
      <x:c r="R347" s="33" t="n">
        <x:v>29</x:v>
      </x:c>
      <x:c r="S347" s="38" t="n">
        <x:v>0.87</x:v>
      </x:c>
      <x:c r="T347" s="38" t="n">
        <x:v>0.3045</x:v>
      </x:c>
      <x:c r="U347" s="38" t="n">
        <x:v>0.025447499999999998</x:v>
      </x:c>
      <x:c r="V347" s="38" t="n">
        <x:v>0.5400525</x:v>
      </x:c>
      <x:c r="W347" s="38" t="n">
        <x:v>0.324</x:v>
      </x:c>
      <x:c r="X347" s="38" t="n">
        <x:v>0</x:v>
      </x:c>
      <x:c r="Y347" s="38" t="n">
        <x:v>0</x:v>
      </x:c>
      <x:c r="Z347" s="38" t="n">
        <x:v>0.069</x:v>
      </x:c>
      <x:c r="AA347" s="38" t="n">
        <x:v>0.0255</x:v>
      </x:c>
      <x:c r="AB347" s="38" t="n">
        <x:v>0.00108</x:v>
      </x:c>
      <x:c r="AC347" s="38" t="n">
        <x:v>0.12047250000000004</x:v>
      </x:c>
      <x:c r="AD347" s="28" t="n">
        <x:v>0.22307553432305197</x:v>
      </x:c>
    </x:row>
    <x:row r="348">
      <x:c r="A348" s="32" t="n">
        <x:v>45782</x:v>
      </x:c>
      <x:c r="B348" s="32" t="n">
        <x:v>45778</x:v>
      </x:c>
      <x:c r="C348" t="str">
        <x:v>May 2025</x:v>
      </x:c>
      <x:c r="D348" t="str">
        <x:v>Actual</x:v>
      </x:c>
      <x:c r="E348" t="str">
        <x:v>DB-101</x:v>
      </x:c>
      <x:c r="F348" t="str">
        <x:v>AeroSip Bottle</x:v>
      </x:c>
      <x:c r="G348" t="str">
        <x:v>One-time purchase</x:v>
      </x:c>
      <x:c r="H348" t="str">
        <x:v>None</x:v>
      </x:c>
      <x:c r="I348" t="str">
        <x:v>Active</x:v>
      </x:c>
      <x:c r="J348" t="str">
        <x:v>TikTok Shop</x:v>
      </x:c>
      <x:c r="K348" t="str">
        <x:v>Social Commerce</x:v>
      </x:c>
      <x:c r="L348" t="str">
        <x:v>All Geographies</x:v>
      </x:c>
      <x:c r="M348" s="34" t="n">
        <x:v>1055</x:v>
      </x:c>
      <x:c r="N348" s="28" t="n">
        <x:v>0.043092</x:v>
      </x:c>
      <x:c r="O348" s="34" t="n">
        <x:v>45</x:v>
      </x:c>
      <x:c r="P348" s="34" t="n">
        <x:v>1</x:v>
      </x:c>
      <x:c r="Q348" s="34" t="n">
        <x:v>45</x:v>
      </x:c>
      <x:c r="R348" s="33" t="n">
        <x:v>29</x:v>
      </x:c>
      <x:c r="S348" s="38" t="n">
        <x:v>1.305</x:v>
      </x:c>
      <x:c r="T348" s="38" t="n">
        <x:v>0.1566</x:v>
      </x:c>
      <x:c r="U348" s="38" t="n">
        <x:v>0.051677999999999995</x:v>
      </x:c>
      <x:c r="V348" s="38" t="n">
        <x:v>1.096722</x:v>
      </x:c>
      <x:c r="W348" s="38" t="n">
        <x:v>0.48600000000000004</x:v>
      </x:c>
      <x:c r="X348" s="38" t="n">
        <x:v>0.031804938</x:v>
      </x:c>
      <x:c r="Y348" s="38" t="n">
        <x:v>0.06580332</x:v>
      </x:c>
      <x:c r="Z348" s="38" t="n">
        <x:v>0.22949999999999998</x:v>
      </x:c>
      <x:c r="AA348" s="38" t="n">
        <x:v>0.07875</x:v>
      </x:c>
      <x:c r="AB348" s="38" t="n">
        <x:v>0.0016200000000000001</x:v>
      </x:c>
      <x:c r="AC348" s="38" t="n">
        <x:v>0.20324374200000006</x:v>
      </x:c>
      <x:c r="AD348" s="28" t="n">
        <x:v>0.18531928966502</x:v>
      </x:c>
    </x:row>
    <x:row r="349">
      <x:c r="A349" s="32" t="n">
        <x:v>45782</x:v>
      </x:c>
      <x:c r="B349" s="32" t="n">
        <x:v>45778</x:v>
      </x:c>
      <x:c r="C349" t="str">
        <x:v>May 2025</x:v>
      </x:c>
      <x:c r="D349" t="str">
        <x:v>Actual</x:v>
      </x:c>
      <x:c r="E349" t="str">
        <x:v>DB-102</x:v>
      </x:c>
      <x:c r="F349" t="str">
        <x:v>GlowPatch Balm</x:v>
      </x:c>
      <x:c r="G349" t="str">
        <x:v>Consumable repeat</x:v>
      </x:c>
      <x:c r="H349" t="str">
        <x:v>None</x:v>
      </x:c>
      <x:c r="I349" t="str">
        <x:v>Active</x:v>
      </x:c>
      <x:c r="J349" t="str">
        <x:v>Shopify DTC</x:v>
      </x:c>
      <x:c r="K349" t="str">
        <x:v>Consumer</x:v>
      </x:c>
      <x:c r="L349" t="str">
        <x:v>All Geographies</x:v>
      </x:c>
      <x:c r="M349" s="34" t="n">
        <x:v>4262</x:v>
      </x:c>
      <x:c r="N349" s="28" t="n">
        <x:v>0.04248</x:v>
      </x:c>
      <x:c r="O349" s="34" t="n">
        <x:v>181</x:v>
      </x:c>
      <x:c r="P349" s="34" t="n">
        <x:v>1</x:v>
      </x:c>
      <x:c r="Q349" s="34" t="n">
        <x:v>181</x:v>
      </x:c>
      <x:c r="R349" s="33" t="n">
        <x:v>18</x:v>
      </x:c>
      <x:c r="S349" s="38" t="n">
        <x:v>3.258</x:v>
      </x:c>
      <x:c r="T349" s="38" t="n">
        <x:v>0.26064</x:v>
      </x:c>
      <x:c r="U349" s="38" t="n">
        <x:v>0.074934</x:v>
      </x:c>
      <x:c r="V349" s="38" t="n">
        <x:v>2.922426</x:v>
      </x:c>
      <x:c r="W349" s="38" t="n">
        <x:v>0.97921</x:v>
      </x:c>
      <x:c r="X349" s="38" t="n">
        <x:v>0.08475035400000001</x:v>
      </x:c>
      <x:c r="Y349" s="38" t="n">
        <x:v>0</x:v>
      </x:c>
      <x:c r="Z349" s="38" t="n">
        <x:v>0.7511500000000001</x:v>
      </x:c>
      <x:c r="AA349" s="38" t="n">
        <x:v>0.29864999999999997</x:v>
      </x:c>
      <x:c r="AB349" s="38" t="n">
        <x:v>0.001086</x:v>
      </x:c>
      <x:c r="AC349" s="38" t="n">
        <x:v>0.807579646</x:v>
      </x:c>
      <x:c r="AD349" s="28" t="n">
        <x:v>0.27633878359965314</x:v>
      </x:c>
    </x:row>
    <x:row r="350">
      <x:c r="A350" s="32" t="n">
        <x:v>45782</x:v>
      </x:c>
      <x:c r="B350" s="32" t="n">
        <x:v>45778</x:v>
      </x:c>
      <x:c r="C350" t="str">
        <x:v>May 2025</x:v>
      </x:c>
      <x:c r="D350" t="str">
        <x:v>Actual</x:v>
      </x:c>
      <x:c r="E350" t="str">
        <x:v>DB-102</x:v>
      </x:c>
      <x:c r="F350" t="str">
        <x:v>GlowPatch Balm</x:v>
      </x:c>
      <x:c r="G350" t="str">
        <x:v>Consumable repeat</x:v>
      </x:c>
      <x:c r="H350" t="str">
        <x:v>None</x:v>
      </x:c>
      <x:c r="I350" t="str">
        <x:v>Active</x:v>
      </x:c>
      <x:c r="J350" t="str">
        <x:v>Amazon Marketplace</x:v>
      </x:c>
      <x:c r="K350" t="str">
        <x:v>Marketplace Consumer</x:v>
      </x:c>
      <x:c r="L350" t="str">
        <x:v>All Geographies</x:v>
      </x:c>
      <x:c r="M350" s="34" t="n">
        <x:v>2131</x:v>
      </x:c>
      <x:c r="N350" s="28" t="n">
        <x:v>0.050126399999999995</x:v>
      </x:c>
      <x:c r="O350" s="34" t="n">
        <x:v>107</x:v>
      </x:c>
      <x:c r="P350" s="34" t="n">
        <x:v>1</x:v>
      </x:c>
      <x:c r="Q350" s="34" t="n">
        <x:v>107</x:v>
      </x:c>
      <x:c r="R350" s="33" t="n">
        <x:v>18</x:v>
      </x:c>
      <x:c r="S350" s="38" t="n">
        <x:v>1.926</x:v>
      </x:c>
      <x:c r="T350" s="38" t="n">
        <x:v>0.0963</x:v>
      </x:c>
      <x:c r="U350" s="38" t="n">
        <x:v>0.0457425</x:v>
      </x:c>
      <x:c r="V350" s="38" t="n">
        <x:v>1.7839574999999999</x:v>
      </x:c>
      <x:c r="W350" s="38" t="n">
        <x:v>0.57887</x:v>
      </x:c>
      <x:c r="X350" s="38" t="n">
        <x:v>0</x:v>
      </x:c>
      <x:c r="Y350" s="38" t="n">
        <x:v>0.26759362499999995</x:v>
      </x:c>
      <x:c r="Z350" s="38" t="n">
        <x:v>0.5564</x:v>
      </x:c>
      <x:c r="AA350" s="38" t="n">
        <x:v>0.23004999999999998</x:v>
      </x:c>
      <x:c r="AB350" s="38" t="n">
        <x:v>0.000642</x:v>
      </x:c>
      <x:c r="AC350" s="38" t="n">
        <x:v>0.15040187499999993</x:v>
      </x:c>
      <x:c r="AD350" s="28" t="n">
        <x:v>0.08430799220272901</x:v>
      </x:c>
    </x:row>
    <x:row r="351">
      <x:c r="A351" s="32" t="n">
        <x:v>45782</x:v>
      </x:c>
      <x:c r="B351" s="32" t="n">
        <x:v>45778</x:v>
      </x:c>
      <x:c r="C351" t="str">
        <x:v>May 2025</x:v>
      </x:c>
      <x:c r="D351" t="str">
        <x:v>Actual</x:v>
      </x:c>
      <x:c r="E351" t="str">
        <x:v>DB-102</x:v>
      </x:c>
      <x:c r="F351" t="str">
        <x:v>GlowPatch Balm</x:v>
      </x:c>
      <x:c r="G351" t="str">
        <x:v>Consumable repeat</x:v>
      </x:c>
      <x:c r="H351" t="str">
        <x:v>None</x:v>
      </x:c>
      <x:c r="I351" t="str">
        <x:v>Active</x:v>
      </x:c>
      <x:c r="J351" t="str">
        <x:v>Wholesale</x:v>
      </x:c>
      <x:c r="K351" t="str">
        <x:v>Retailer</x:v>
      </x:c>
      <x:c r="L351" t="str">
        <x:v>All Geographies</x:v>
      </x:c>
      <x:c r="M351" s="34" t="n">
        <x:v>1278</x:v>
      </x:c>
      <x:c r="N351" s="28" t="n">
        <x:v>0.023364</x:v>
      </x:c>
      <x:c r="O351" s="34" t="n">
        <x:v>30</x:v>
      </x:c>
      <x:c r="P351" s="34" t="n">
        <x:v>1</x:v>
      </x:c>
      <x:c r="Q351" s="34" t="n">
        <x:v>30</x:v>
      </x:c>
      <x:c r="R351" s="33" t="n">
        <x:v>18</x:v>
      </x:c>
      <x:c r="S351" s="38" t="n">
        <x:v>0.54</x:v>
      </x:c>
      <x:c r="T351" s="38" t="n">
        <x:v>0.189</x:v>
      </x:c>
      <x:c r="U351" s="38" t="n">
        <x:v>0.008775000000000002</x:v>
      </x:c>
      <x:c r="V351" s="38" t="n">
        <x:v>0.34222500000000006</x:v>
      </x:c>
      <x:c r="W351" s="38" t="n">
        <x:v>0.1623</x:v>
      </x:c>
      <x:c r="X351" s="38" t="n">
        <x:v>0</x:v>
      </x:c>
      <x:c r="Y351" s="38" t="n">
        <x:v>0</x:v>
      </x:c>
      <x:c r="Z351" s="38" t="n">
        <x:v>0.069</x:v>
      </x:c>
      <x:c r="AA351" s="38" t="n">
        <x:v>0.0255</x:v>
      </x:c>
      <x:c r="AB351" s="38" t="n">
        <x:v>0.00017999999999999998</x:v>
      </x:c>
      <x:c r="AC351" s="38" t="n">
        <x:v>0.08524500000000006</x:v>
      </x:c>
      <x:c r="AD351" s="28" t="n">
        <x:v>0.2490905106289723</x:v>
      </x:c>
    </x:row>
    <x:row r="352">
      <x:c r="A352" s="32" t="n">
        <x:v>45782</x:v>
      </x:c>
      <x:c r="B352" s="32" t="n">
        <x:v>45778</x:v>
      </x:c>
      <x:c r="C352" t="str">
        <x:v>May 2025</x:v>
      </x:c>
      <x:c r="D352" t="str">
        <x:v>Actual</x:v>
      </x:c>
      <x:c r="E352" t="str">
        <x:v>DB-102</x:v>
      </x:c>
      <x:c r="F352" t="str">
        <x:v>GlowPatch Balm</x:v>
      </x:c>
      <x:c r="G352" t="str">
        <x:v>Consumable repeat</x:v>
      </x:c>
      <x:c r="H352" t="str">
        <x:v>None</x:v>
      </x:c>
      <x:c r="I352" t="str">
        <x:v>Active</x:v>
      </x:c>
      <x:c r="J352" t="str">
        <x:v>TikTok Shop</x:v>
      </x:c>
      <x:c r="K352" t="str">
        <x:v>Social Commerce</x:v>
      </x:c>
      <x:c r="L352" t="str">
        <x:v>All Geographies</x:v>
      </x:c>
      <x:c r="M352" s="34" t="n">
        <x:v>852</x:v>
      </x:c>
      <x:c r="N352" s="28" t="n">
        <x:v>0.0535248</x:v>
      </x:c>
      <x:c r="O352" s="34" t="n">
        <x:v>46</x:v>
      </x:c>
      <x:c r="P352" s="34" t="n">
        <x:v>1</x:v>
      </x:c>
      <x:c r="Q352" s="34" t="n">
        <x:v>46</x:v>
      </x:c>
      <x:c r="R352" s="33" t="n">
        <x:v>18</x:v>
      </x:c>
      <x:c r="S352" s="38" t="n">
        <x:v>0.828</x:v>
      </x:c>
      <x:c r="T352" s="38" t="n">
        <x:v>0.09935999999999999</x:v>
      </x:c>
      <x:c r="U352" s="38" t="n">
        <x:v>0.018216</x:v>
      </x:c>
      <x:c r="V352" s="38" t="n">
        <x:v>0.7104239999999999</x:v>
      </x:c>
      <x:c r="W352" s="38" t="n">
        <x:v>0.24886000000000003</x:v>
      </x:c>
      <x:c r="X352" s="38" t="n">
        <x:v>0.020602296</x:v>
      </x:c>
      <x:c r="Y352" s="38" t="n">
        <x:v>0.042625439999999994</x:v>
      </x:c>
      <x:c r="Z352" s="38" t="n">
        <x:v>0.2346</x:v>
      </x:c>
      <x:c r="AA352" s="38" t="n">
        <x:v>0.0805</x:v>
      </x:c>
      <x:c r="AB352" s="38" t="n">
        <x:v>0.00027600000000000004</x:v>
      </x:c>
      <x:c r="AC352" s="38" t="n">
        <x:v>0.08296026399999988</x:v>
      </x:c>
      <x:c r="AD352" s="28" t="n">
        <x:v>0.11677570577570562</x:v>
      </x:c>
    </x:row>
    <x:row r="353">
      <x:c r="A353" s="32" t="n">
        <x:v>45782</x:v>
      </x:c>
      <x:c r="B353" s="32" t="n">
        <x:v>45778</x:v>
      </x:c>
      <x:c r="C353" t="str">
        <x:v>May 2025</x:v>
      </x:c>
      <x:c r="D353" t="str">
        <x:v>Actual</x:v>
      </x:c>
      <x:c r="E353" t="str">
        <x:v>DB-103</x:v>
      </x:c>
      <x:c r="F353" t="str">
        <x:v>EmberTrail Camp Mug</x:v>
      </x:c>
      <x:c r="G353" t="str">
        <x:v>One-time purchase</x:v>
      </x:c>
      <x:c r="H353" t="str">
        <x:v>Winter peak</x:v>
      </x:c>
      <x:c r="I353" t="str">
        <x:v>Active</x:v>
      </x:c>
      <x:c r="J353" t="str">
        <x:v>Shopify DTC</x:v>
      </x:c>
      <x:c r="K353" t="str">
        <x:v>Consumer</x:v>
      </x:c>
      <x:c r="L353" t="str">
        <x:v>All Geographies</x:v>
      </x:c>
      <x:c r="M353" s="34" t="n">
        <x:v>2849</x:v>
      </x:c>
      <x:c r="N353" s="28" t="n">
        <x:v>0.0324</x:v>
      </x:c>
      <x:c r="O353" s="34" t="n">
        <x:v>92</x:v>
      </x:c>
      <x:c r="P353" s="34" t="n">
        <x:v>1</x:v>
      </x:c>
      <x:c r="Q353" s="34" t="n">
        <x:v>92</x:v>
      </x:c>
      <x:c r="R353" s="33" t="n">
        <x:v>34</x:v>
      </x:c>
      <x:c r="S353" s="38" t="n">
        <x:v>3.128</x:v>
      </x:c>
      <x:c r="T353" s="38" t="n">
        <x:v>0.25024</x:v>
      </x:c>
      <x:c r="U353" s="38" t="n">
        <x:v>0.15827680000000002</x:v>
      </x:c>
      <x:c r="V353" s="38" t="n">
        <x:v>2.7194832000000004</x:v>
      </x:c>
      <x:c r="W353" s="38" t="n">
        <x:v>1.25764</x:v>
      </x:c>
      <x:c r="X353" s="38" t="n">
        <x:v>0.07886501280000002</x:v>
      </x:c>
      <x:c r="Y353" s="38" t="n">
        <x:v>0</x:v>
      </x:c>
      <x:c r="Z353" s="38" t="n">
        <x:v>0.38180000000000003</x:v>
      </x:c>
      <x:c r="AA353" s="38" t="n">
        <x:v>0.1518</x:v>
      </x:c>
      <x:c r="AB353" s="38" t="n">
        <x:v>0.005152</x:v>
      </x:c>
      <x:c r="AC353" s="38" t="n">
        <x:v>0.8442261872000003</x:v>
      </x:c>
      <x:c r="AD353" s="28" t="n">
        <x:v>0.31043625759482546</x:v>
      </x:c>
    </x:row>
    <x:row r="354">
      <x:c r="A354" s="32" t="n">
        <x:v>45782</x:v>
      </x:c>
      <x:c r="B354" s="32" t="n">
        <x:v>45778</x:v>
      </x:c>
      <x:c r="C354" t="str">
        <x:v>May 2025</x:v>
      </x:c>
      <x:c r="D354" t="str">
        <x:v>Actual</x:v>
      </x:c>
      <x:c r="E354" t="str">
        <x:v>DB-103</x:v>
      </x:c>
      <x:c r="F354" t="str">
        <x:v>EmberTrail Camp Mug</x:v>
      </x:c>
      <x:c r="G354" t="str">
        <x:v>One-time purchase</x:v>
      </x:c>
      <x:c r="H354" t="str">
        <x:v>Winter peak</x:v>
      </x:c>
      <x:c r="I354" t="str">
        <x:v>Active</x:v>
      </x:c>
      <x:c r="J354" t="str">
        <x:v>Amazon Marketplace</x:v>
      </x:c>
      <x:c r="K354" t="str">
        <x:v>Marketplace Consumer</x:v>
      </x:c>
      <x:c r="L354" t="str">
        <x:v>All Geographies</x:v>
      </x:c>
      <x:c r="M354" s="34" t="n">
        <x:v>1425</x:v>
      </x:c>
      <x:c r="N354" s="28" t="n">
        <x:v>0.038231999999999995</x:v>
      </x:c>
      <x:c r="O354" s="34" t="n">
        <x:v>54</x:v>
      </x:c>
      <x:c r="P354" s="34" t="n">
        <x:v>1</x:v>
      </x:c>
      <x:c r="Q354" s="34" t="n">
        <x:v>54</x:v>
      </x:c>
      <x:c r="R354" s="33" t="n">
        <x:v>34</x:v>
      </x:c>
      <x:c r="S354" s="38" t="n">
        <x:v>1.836</x:v>
      </x:c>
      <x:c r="T354" s="38" t="n">
        <x:v>0.0918</x:v>
      </x:c>
      <x:c r="U354" s="38" t="n">
        <x:v>0.095931</x:v>
      </x:c>
      <x:c r="V354" s="38" t="n">
        <x:v>1.648269</x:v>
      </x:c>
      <x:c r="W354" s="38" t="n">
        <x:v>0.73818</x:v>
      </x:c>
      <x:c r="X354" s="38" t="n">
        <x:v>0</x:v>
      </x:c>
      <x:c r="Y354" s="38" t="n">
        <x:v>0.24724035</x:v>
      </x:c>
      <x:c r="Z354" s="38" t="n">
        <x:v>0.2808</x:v>
      </x:c>
      <x:c r="AA354" s="38" t="n">
        <x:v>0.1161</x:v>
      </x:c>
      <x:c r="AB354" s="38" t="n">
        <x:v>0.003024</x:v>
      </x:c>
      <x:c r="AC354" s="38" t="n">
        <x:v>0.26292465000000004</x:v>
      </x:c>
      <x:c r="AD354" s="28" t="n">
        <x:v>0.15951561911314235</x:v>
      </x:c>
    </x:row>
    <x:row r="355">
      <x:c r="A355" s="32" t="n">
        <x:v>45782</x:v>
      </x:c>
      <x:c r="B355" s="32" t="n">
        <x:v>45778</x:v>
      </x:c>
      <x:c r="C355" t="str">
        <x:v>May 2025</x:v>
      </x:c>
      <x:c r="D355" t="str">
        <x:v>Actual</x:v>
      </x:c>
      <x:c r="E355" t="str">
        <x:v>DB-103</x:v>
      </x:c>
      <x:c r="F355" t="str">
        <x:v>EmberTrail Camp Mug</x:v>
      </x:c>
      <x:c r="G355" t="str">
        <x:v>One-time purchase</x:v>
      </x:c>
      <x:c r="H355" t="str">
        <x:v>Winter peak</x:v>
      </x:c>
      <x:c r="I355" t="str">
        <x:v>Active</x:v>
      </x:c>
      <x:c r="J355" t="str">
        <x:v>Wholesale</x:v>
      </x:c>
      <x:c r="K355" t="str">
        <x:v>Retailer</x:v>
      </x:c>
      <x:c r="L355" t="str">
        <x:v>All Geographies</x:v>
      </x:c>
      <x:c r="M355" s="34" t="n">
        <x:v>855</x:v>
      </x:c>
      <x:c r="N355" s="28" t="n">
        <x:v>0.017820000000000003</x:v>
      </x:c>
      <x:c r="O355" s="34" t="n">
        <x:v>15</x:v>
      </x:c>
      <x:c r="P355" s="34" t="n">
        <x:v>1</x:v>
      </x:c>
      <x:c r="Q355" s="34" t="n">
        <x:v>15</x:v>
      </x:c>
      <x:c r="R355" s="33" t="n">
        <x:v>34</x:v>
      </x:c>
      <x:c r="S355" s="38" t="n">
        <x:v>0.51</x:v>
      </x:c>
      <x:c r="T355" s="38" t="n">
        <x:v>0.1785</x:v>
      </x:c>
      <x:c r="U355" s="38" t="n">
        <x:v>0.018232500000000002</x:v>
      </x:c>
      <x:c r="V355" s="38" t="n">
        <x:v>0.31326750000000003</x:v>
      </x:c>
      <x:c r="W355" s="38" t="n">
        <x:v>0.20505</x:v>
      </x:c>
      <x:c r="X355" s="38" t="n">
        <x:v>0</x:v>
      </x:c>
      <x:c r="Y355" s="38" t="n">
        <x:v>0</x:v>
      </x:c>
      <x:c r="Z355" s="38" t="n">
        <x:v>0.0345</x:v>
      </x:c>
      <x:c r="AA355" s="38" t="n">
        <x:v>0.01275</x:v>
      </x:c>
      <x:c r="AB355" s="38" t="n">
        <x:v>0.0008399999999999999</x:v>
      </x:c>
      <x:c r="AC355" s="38" t="n">
        <x:v>0.06012750000000002</x:v>
      </x:c>
      <x:c r="AD355" s="28" t="n">
        <x:v>0.19193660370130963</x:v>
      </x:c>
    </x:row>
    <x:row r="356">
      <x:c r="A356" s="32" t="n">
        <x:v>45782</x:v>
      </x:c>
      <x:c r="B356" s="32" t="n">
        <x:v>45778</x:v>
      </x:c>
      <x:c r="C356" t="str">
        <x:v>May 2025</x:v>
      </x:c>
      <x:c r="D356" t="str">
        <x:v>Actual</x:v>
      </x:c>
      <x:c r="E356" t="str">
        <x:v>DB-103</x:v>
      </x:c>
      <x:c r="F356" t="str">
        <x:v>EmberTrail Camp Mug</x:v>
      </x:c>
      <x:c r="G356" t="str">
        <x:v>One-time purchase</x:v>
      </x:c>
      <x:c r="H356" t="str">
        <x:v>Winter peak</x:v>
      </x:c>
      <x:c r="I356" t="str">
        <x:v>Active</x:v>
      </x:c>
      <x:c r="J356" t="str">
        <x:v>TikTok Shop</x:v>
      </x:c>
      <x:c r="K356" t="str">
        <x:v>Social Commerce</x:v>
      </x:c>
      <x:c r="L356" t="str">
        <x:v>All Geographies</x:v>
      </x:c>
      <x:c r="M356" s="34" t="n">
        <x:v>570</x:v>
      </x:c>
      <x:c r="N356" s="28" t="n">
        <x:v>0.040824</x:v>
      </x:c>
      <x:c r="O356" s="34" t="n">
        <x:v>23</x:v>
      </x:c>
      <x:c r="P356" s="34" t="n">
        <x:v>1</x:v>
      </x:c>
      <x:c r="Q356" s="34" t="n">
        <x:v>23</x:v>
      </x:c>
      <x:c r="R356" s="33" t="n">
        <x:v>34</x:v>
      </x:c>
      <x:c r="S356" s="38" t="n">
        <x:v>0.782</x:v>
      </x:c>
      <x:c r="T356" s="38" t="n">
        <x:v>0.09384</x:v>
      </x:c>
      <x:c r="U356" s="38" t="n">
        <x:v>0.0378488</x:v>
      </x:c>
      <x:c r="V356" s="38" t="n">
        <x:v>0.6503112</x:v>
      </x:c>
      <x:c r="W356" s="38" t="n">
        <x:v>0.31441</x:v>
      </x:c>
      <x:c r="X356" s="38" t="n">
        <x:v>0.0188590248</x:v>
      </x:c>
      <x:c r="Y356" s="38" t="n">
        <x:v>0.039018672</x:v>
      </x:c>
      <x:c r="Z356" s="38" t="n">
        <x:v>0.1173</x:v>
      </x:c>
      <x:c r="AA356" s="38" t="n">
        <x:v>0.04025</x:v>
      </x:c>
      <x:c r="AB356" s="38" t="n">
        <x:v>0.001288</x:v>
      </x:c>
      <x:c r="AC356" s="38" t="n">
        <x:v>0.11918550319999995</x:v>
      </x:c>
      <x:c r="AD356" s="28" t="n">
        <x:v>0.18327456639221337</x:v>
      </x:c>
    </x:row>
    <x:row r="357">
      <x:c r="A357" s="32" t="n">
        <x:v>45782</x:v>
      </x:c>
      <x:c r="B357" s="32" t="n">
        <x:v>45778</x:v>
      </x:c>
      <x:c r="C357" t="str">
        <x:v>May 2025</x:v>
      </x:c>
      <x:c r="D357" t="str">
        <x:v>Actual</x:v>
      </x:c>
      <x:c r="E357" t="str">
        <x:v>DB-104</x:v>
      </x:c>
      <x:c r="F357" t="str">
        <x:v>SunNest Cooling Towel</x:v>
      </x:c>
      <x:c r="G357" t="str">
        <x:v>Consumable repeat</x:v>
      </x:c>
      <x:c r="H357" t="str">
        <x:v>Summer peak</x:v>
      </x:c>
      <x:c r="I357" t="str">
        <x:v>Active</x:v>
      </x:c>
      <x:c r="J357" t="str">
        <x:v>Shopify DTC</x:v>
      </x:c>
      <x:c r="K357" t="str">
        <x:v>Consumer</x:v>
      </x:c>
      <x:c r="L357" t="str">
        <x:v>All Geographies</x:v>
      </x:c>
      <x:c r="M357" s="34" t="n">
        <x:v>4416</x:v>
      </x:c>
      <x:c r="N357" s="28" t="n">
        <x:v>0.03312</x:v>
      </x:c>
      <x:c r="O357" s="34" t="n">
        <x:v>146</x:v>
      </x:c>
      <x:c r="P357" s="34" t="n">
        <x:v>1</x:v>
      </x:c>
      <x:c r="Q357" s="34" t="n">
        <x:v>146</x:v>
      </x:c>
      <x:c r="R357" s="33" t="n">
        <x:v>42</x:v>
      </x:c>
      <x:c r="S357" s="38" t="n">
        <x:v>6.132</x:v>
      </x:c>
      <x:c r="T357" s="38" t="n">
        <x:v>0.49056</x:v>
      </x:c>
      <x:c r="U357" s="38" t="n">
        <x:v>0.282072</x:v>
      </x:c>
      <x:c r="V357" s="38" t="n">
        <x:v>5.359367999999999</x:v>
      </x:c>
      <x:c r="W357" s="38" t="n">
        <x:v>2.1973000000000003</x:v>
      </x:c>
      <x:c r="X357" s="38" t="n">
        <x:v>0.15542167199999998</x:v>
      </x:c>
      <x:c r="Y357" s="38" t="n">
        <x:v>0</x:v>
      </x:c>
      <x:c r="Z357" s="38" t="n">
        <x:v>0.6059000000000001</x:v>
      </x:c>
      <x:c r="AA357" s="38" t="n">
        <x:v>0.24089999999999998</x:v>
      </x:c>
      <x:c r="AB357" s="38" t="n">
        <x:v>0.0040880000000000005</x:v>
      </x:c>
      <x:c r="AC357" s="38" t="n">
        <x:v>2.155758327999999</x:v>
      </x:c>
      <x:c r="AD357" s="28" t="n">
        <x:v>0.402241146344121</x:v>
      </x:c>
    </x:row>
    <x:row r="358">
      <x:c r="A358" s="32" t="n">
        <x:v>45782</x:v>
      </x:c>
      <x:c r="B358" s="32" t="n">
        <x:v>45778</x:v>
      </x:c>
      <x:c r="C358" t="str">
        <x:v>May 2025</x:v>
      </x:c>
      <x:c r="D358" t="str">
        <x:v>Actual</x:v>
      </x:c>
      <x:c r="E358" t="str">
        <x:v>DB-104</x:v>
      </x:c>
      <x:c r="F358" t="str">
        <x:v>SunNest Cooling Towel</x:v>
      </x:c>
      <x:c r="G358" t="str">
        <x:v>Consumable repeat</x:v>
      </x:c>
      <x:c r="H358" t="str">
        <x:v>Summer peak</x:v>
      </x:c>
      <x:c r="I358" t="str">
        <x:v>Active</x:v>
      </x:c>
      <x:c r="J358" t="str">
        <x:v>Amazon Marketplace</x:v>
      </x:c>
      <x:c r="K358" t="str">
        <x:v>Marketplace Consumer</x:v>
      </x:c>
      <x:c r="L358" t="str">
        <x:v>All Geographies</x:v>
      </x:c>
      <x:c r="M358" s="34" t="n">
        <x:v>2208</x:v>
      </x:c>
      <x:c r="N358" s="28" t="n">
        <x:v>0.0390816</x:v>
      </x:c>
      <x:c r="O358" s="34" t="n">
        <x:v>86</x:v>
      </x:c>
      <x:c r="P358" s="34" t="n">
        <x:v>1</x:v>
      </x:c>
      <x:c r="Q358" s="34" t="n">
        <x:v>86</x:v>
      </x:c>
      <x:c r="R358" s="33" t="n">
        <x:v>42</x:v>
      </x:c>
      <x:c r="S358" s="38" t="n">
        <x:v>3.612</x:v>
      </x:c>
      <x:c r="T358" s="38" t="n">
        <x:v>0.1806</x:v>
      </x:c>
      <x:c r="U358" s="38" t="n">
        <x:v>0.17157</x:v>
      </x:c>
      <x:c r="V358" s="38" t="n">
        <x:v>3.25983</x:v>
      </x:c>
      <x:c r="W358" s="38" t="n">
        <x:v>1.2943</x:v>
      </x:c>
      <x:c r="X358" s="38" t="n">
        <x:v>0</x:v>
      </x:c>
      <x:c r="Y358" s="38" t="n">
        <x:v>0.4889745</x:v>
      </x:c>
      <x:c r="Z358" s="38" t="n">
        <x:v>0.4472</x:v>
      </x:c>
      <x:c r="AA358" s="38" t="n">
        <x:v>0.1849</x:v>
      </x:c>
      <x:c r="AB358" s="38" t="n">
        <x:v>0.002408</x:v>
      </x:c>
      <x:c r="AC358" s="38" t="n">
        <x:v>0.8420474999999998</x:v>
      </x:c>
      <x:c r="AD358" s="28" t="n">
        <x:v>0.2583102493074792</x:v>
      </x:c>
    </x:row>
    <x:row r="359">
      <x:c r="A359" s="32" t="n">
        <x:v>45782</x:v>
      </x:c>
      <x:c r="B359" s="32" t="n">
        <x:v>45778</x:v>
      </x:c>
      <x:c r="C359" t="str">
        <x:v>May 2025</x:v>
      </x:c>
      <x:c r="D359" t="str">
        <x:v>Actual</x:v>
      </x:c>
      <x:c r="E359" t="str">
        <x:v>DB-104</x:v>
      </x:c>
      <x:c r="F359" t="str">
        <x:v>SunNest Cooling Towel</x:v>
      </x:c>
      <x:c r="G359" t="str">
        <x:v>Consumable repeat</x:v>
      </x:c>
      <x:c r="H359" t="str">
        <x:v>Summer peak</x:v>
      </x:c>
      <x:c r="I359" t="str">
        <x:v>Active</x:v>
      </x:c>
      <x:c r="J359" t="str">
        <x:v>Wholesale</x:v>
      </x:c>
      <x:c r="K359" t="str">
        <x:v>Retailer</x:v>
      </x:c>
      <x:c r="L359" t="str">
        <x:v>All Geographies</x:v>
      </x:c>
      <x:c r="M359" s="34" t="n">
        <x:v>1325</x:v>
      </x:c>
      <x:c r="N359" s="28" t="n">
        <x:v>0.018216000000000003</x:v>
      </x:c>
      <x:c r="O359" s="34" t="n">
        <x:v>24</x:v>
      </x:c>
      <x:c r="P359" s="34" t="n">
        <x:v>1</x:v>
      </x:c>
      <x:c r="Q359" s="34" t="n">
        <x:v>24</x:v>
      </x:c>
      <x:c r="R359" s="33" t="n">
        <x:v>42</x:v>
      </x:c>
      <x:c r="S359" s="38" t="n">
        <x:v>1.008</x:v>
      </x:c>
      <x:c r="T359" s="38" t="n">
        <x:v>0.3528</x:v>
      </x:c>
      <x:c r="U359" s="38" t="n">
        <x:v>0.032760000000000004</x:v>
      </x:c>
      <x:c r="V359" s="38" t="n">
        <x:v>0.62244</x:v>
      </x:c>
      <x:c r="W359" s="38" t="n">
        <x:v>0.3612</x:v>
      </x:c>
      <x:c r="X359" s="38" t="n">
        <x:v>0</x:v>
      </x:c>
      <x:c r="Y359" s="38" t="n">
        <x:v>0</x:v>
      </x:c>
      <x:c r="Z359" s="38" t="n">
        <x:v>0.0552</x:v>
      </x:c>
      <x:c r="AA359" s="38" t="n">
        <x:v>0.020399999999999998</x:v>
      </x:c>
      <x:c r="AB359" s="38" t="n">
        <x:v>0.000672</x:v>
      </x:c>
      <x:c r="AC359" s="38" t="n">
        <x:v>0.18496799999999997</x:v>
      </x:c>
      <x:c r="AD359" s="28" t="n">
        <x:v>0.29716599190283394</x:v>
      </x:c>
    </x:row>
    <x:row r="360">
      <x:c r="A360" s="32" t="n">
        <x:v>45782</x:v>
      </x:c>
      <x:c r="B360" s="32" t="n">
        <x:v>45778</x:v>
      </x:c>
      <x:c r="C360" t="str">
        <x:v>May 2025</x:v>
      </x:c>
      <x:c r="D360" t="str">
        <x:v>Actual</x:v>
      </x:c>
      <x:c r="E360" t="str">
        <x:v>DB-104</x:v>
      </x:c>
      <x:c r="F360" t="str">
        <x:v>SunNest Cooling Towel</x:v>
      </x:c>
      <x:c r="G360" t="str">
        <x:v>Consumable repeat</x:v>
      </x:c>
      <x:c r="H360" t="str">
        <x:v>Summer peak</x:v>
      </x:c>
      <x:c r="I360" t="str">
        <x:v>Active</x:v>
      </x:c>
      <x:c r="J360" t="str">
        <x:v>TikTok Shop</x:v>
      </x:c>
      <x:c r="K360" t="str">
        <x:v>Social Commerce</x:v>
      </x:c>
      <x:c r="L360" t="str">
        <x:v>All Geographies</x:v>
      </x:c>
      <x:c r="M360" s="34" t="n">
        <x:v>883</x:v>
      </x:c>
      <x:c r="N360" s="28" t="n">
        <x:v>0.0417312</x:v>
      </x:c>
      <x:c r="O360" s="34" t="n">
        <x:v>37</x:v>
      </x:c>
      <x:c r="P360" s="34" t="n">
        <x:v>1</x:v>
      </x:c>
      <x:c r="Q360" s="34" t="n">
        <x:v>37</x:v>
      </x:c>
      <x:c r="R360" s="33" t="n">
        <x:v>42</x:v>
      </x:c>
      <x:c r="S360" s="38" t="n">
        <x:v>1.554</x:v>
      </x:c>
      <x:c r="T360" s="38" t="n">
        <x:v>0.18648</x:v>
      </x:c>
      <x:c r="U360" s="38" t="n">
        <x:v>0.068376</x:v>
      </x:c>
      <x:c r="V360" s="38" t="n">
        <x:v>1.299144</x:v>
      </x:c>
      <x:c r="W360" s="38" t="n">
        <x:v>0.5568500000000001</x:v>
      </x:c>
      <x:c r="X360" s="38" t="n">
        <x:v>0.037675176000000005</x:v>
      </x:c>
      <x:c r="Y360" s="38" t="n">
        <x:v>0.07794864</x:v>
      </x:c>
      <x:c r="Z360" s="38" t="n">
        <x:v>0.18869999999999998</x:v>
      </x:c>
      <x:c r="AA360" s="38" t="n">
        <x:v>0.06475</x:v>
      </x:c>
      <x:c r="AB360" s="38" t="n">
        <x:v>0.001036</x:v>
      </x:c>
      <x:c r="AC360" s="38" t="n">
        <x:v>0.37218418400000003</x:v>
      </x:c>
      <x:c r="AD360" s="28" t="n">
        <x:v>0.2864841649578492</x:v>
      </x:c>
    </x:row>
    <x:row r="361">
      <x:c r="A361" s="32" t="n">
        <x:v>45782</x:v>
      </x:c>
      <x:c r="B361" s="32" t="n">
        <x:v>45778</x:v>
      </x:c>
      <x:c r="C361" t="str">
        <x:v>May 2025</x:v>
      </x:c>
      <x:c r="D361" t="str">
        <x:v>Actual</x:v>
      </x:c>
      <x:c r="E361" t="str">
        <x:v>DB-105</x:v>
      </x:c>
      <x:c r="F361" t="str">
        <x:v>DreamFuel Refill Pack</x:v>
      </x:c>
      <x:c r="G361" t="str">
        <x:v>Subscription</x:v>
      </x:c>
      <x:c r="H361" t="str">
        <x:v>None</x:v>
      </x:c>
      <x:c r="I361" t="str">
        <x:v>Active</x:v>
      </x:c>
      <x:c r="J361" t="str">
        <x:v>Shopify DTC</x:v>
      </x:c>
      <x:c r="K361" t="str">
        <x:v>Consumer</x:v>
      </x:c>
      <x:c r="L361" t="str">
        <x:v>All Geographies</x:v>
      </x:c>
      <x:c r="M361" s="34" t="n">
        <x:v>3653</x:v>
      </x:c>
      <x:c r="N361" s="28" t="n">
        <x:v>0.03888</x:v>
      </x:c>
      <x:c r="O361" s="34" t="n">
        <x:v>142</x:v>
      </x:c>
      <x:c r="P361" s="34" t="n">
        <x:v>1</x:v>
      </x:c>
      <x:c r="Q361" s="34" t="n">
        <x:v>142</x:v>
      </x:c>
      <x:c r="R361" s="33" t="n">
        <x:v>56</x:v>
      </x:c>
      <x:c r="S361" s="38" t="n">
        <x:v>7.952</x:v>
      </x:c>
      <x:c r="T361" s="38" t="n">
        <x:v>0.6361600000000001</x:v>
      </x:c>
      <x:c r="U361" s="38" t="n">
        <x:v>0.1463168</x:v>
      </x:c>
      <x:c r="V361" s="38" t="n">
        <x:v>7.1695231999999995</x:v>
      </x:c>
      <x:c r="W361" s="38" t="n">
        <x:v>2.64404</x:v>
      </x:c>
      <x:c r="X361" s="38" t="n">
        <x:v>0.2079161728</x:v>
      </x:c>
      <x:c r="Y361" s="38" t="n">
        <x:v>0</x:v>
      </x:c>
      <x:c r="Z361" s="38" t="n">
        <x:v>0.5893</x:v>
      </x:c>
      <x:c r="AA361" s="38" t="n">
        <x:v>0.23429999999999998</x:v>
      </x:c>
      <x:c r="AB361" s="38" t="n">
        <x:v>0.0005112</x:v>
      </x:c>
      <x:c r="AC361" s="38" t="n">
        <x:v>3.4934558271999996</x:v>
      </x:c>
      <x:c r="AD361" s="28" t="n">
        <x:v>0.48726473570794776</x:v>
      </x:c>
    </x:row>
    <x:row r="362">
      <x:c r="A362" s="32" t="n">
        <x:v>45782</x:v>
      </x:c>
      <x:c r="B362" s="32" t="n">
        <x:v>45778</x:v>
      </x:c>
      <x:c r="C362" t="str">
        <x:v>May 2025</x:v>
      </x:c>
      <x:c r="D362" t="str">
        <x:v>Actual</x:v>
      </x:c>
      <x:c r="E362" t="str">
        <x:v>DB-105</x:v>
      </x:c>
      <x:c r="F362" t="str">
        <x:v>DreamFuel Refill Pack</x:v>
      </x:c>
      <x:c r="G362" t="str">
        <x:v>Subscription</x:v>
      </x:c>
      <x:c r="H362" t="str">
        <x:v>None</x:v>
      </x:c>
      <x:c r="I362" t="str">
        <x:v>Active</x:v>
      </x:c>
      <x:c r="J362" t="str">
        <x:v>Amazon Marketplace</x:v>
      </x:c>
      <x:c r="K362" t="str">
        <x:v>Marketplace Consumer</x:v>
      </x:c>
      <x:c r="L362" t="str">
        <x:v>All Geographies</x:v>
      </x:c>
      <x:c r="M362" s="34" t="n">
        <x:v>1826</x:v>
      </x:c>
      <x:c r="N362" s="28" t="n">
        <x:v>0.0458784</x:v>
      </x:c>
      <x:c r="O362" s="34" t="n">
        <x:v>84</x:v>
      </x:c>
      <x:c r="P362" s="34" t="n">
        <x:v>1</x:v>
      </x:c>
      <x:c r="Q362" s="34" t="n">
        <x:v>84</x:v>
      </x:c>
      <x:c r="R362" s="33" t="n">
        <x:v>56</x:v>
      </x:c>
      <x:c r="S362" s="38" t="n">
        <x:v>4.704</x:v>
      </x:c>
      <x:c r="T362" s="38" t="n">
        <x:v>0.2352</x:v>
      </x:c>
      <x:c r="U362" s="38" t="n">
        <x:v>0.089376</x:v>
      </x:c>
      <x:c r="V362" s="38" t="n">
        <x:v>4.379424</x:v>
      </x:c>
      <x:c r="W362" s="38" t="n">
        <x:v>1.5640800000000001</x:v>
      </x:c>
      <x:c r="X362" s="38" t="n">
        <x:v>0</x:v>
      </x:c>
      <x:c r="Y362" s="38" t="n">
        <x:v>0.6569136</x:v>
      </x:c>
      <x:c r="Z362" s="38" t="n">
        <x:v>0.4368</x:v>
      </x:c>
      <x:c r="AA362" s="38" t="n">
        <x:v>0.18059999999999998</x:v>
      </x:c>
      <x:c r="AB362" s="38" t="n">
        <x:v>0.0003024</x:v>
      </x:c>
      <x:c r="AC362" s="38" t="n">
        <x:v>1.5407280000000003</x:v>
      </x:c>
      <x:c r="AD362" s="28" t="n">
        <x:v>0.3518106490716588</x:v>
      </x:c>
    </x:row>
    <x:row r="363">
      <x:c r="A363" s="32" t="n">
        <x:v>45782</x:v>
      </x:c>
      <x:c r="B363" s="32" t="n">
        <x:v>45778</x:v>
      </x:c>
      <x:c r="C363" t="str">
        <x:v>May 2025</x:v>
      </x:c>
      <x:c r="D363" t="str">
        <x:v>Actual</x:v>
      </x:c>
      <x:c r="E363" t="str">
        <x:v>DB-105</x:v>
      </x:c>
      <x:c r="F363" t="str">
        <x:v>DreamFuel Refill Pack</x:v>
      </x:c>
      <x:c r="G363" t="str">
        <x:v>Subscription</x:v>
      </x:c>
      <x:c r="H363" t="str">
        <x:v>None</x:v>
      </x:c>
      <x:c r="I363" t="str">
        <x:v>Active</x:v>
      </x:c>
      <x:c r="J363" t="str">
        <x:v>Wholesale</x:v>
      </x:c>
      <x:c r="K363" t="str">
        <x:v>Retailer</x:v>
      </x:c>
      <x:c r="L363" t="str">
        <x:v>All Geographies</x:v>
      </x:c>
      <x:c r="M363" s="34" t="n">
        <x:v>1096</x:v>
      </x:c>
      <x:c r="N363" s="28" t="n">
        <x:v>0.021384000000000004</x:v>
      </x:c>
      <x:c r="O363" s="34" t="n">
        <x:v>23</x:v>
      </x:c>
      <x:c r="P363" s="34" t="n">
        <x:v>1</x:v>
      </x:c>
      <x:c r="Q363" s="34" t="n">
        <x:v>23</x:v>
      </x:c>
      <x:c r="R363" s="33" t="n">
        <x:v>56</x:v>
      </x:c>
      <x:c r="S363" s="38" t="n">
        <x:v>1.288</x:v>
      </x:c>
      <x:c r="T363" s="38" t="n">
        <x:v>0.4508</x:v>
      </x:c>
      <x:c r="U363" s="38" t="n">
        <x:v>0.016744000000000002</x:v>
      </x:c>
      <x:c r="V363" s="38" t="n">
        <x:v>0.8204560000000001</x:v>
      </x:c>
      <x:c r="W363" s="38" t="n">
        <x:v>0.42826000000000003</x:v>
      </x:c>
      <x:c r="X363" s="38" t="n">
        <x:v>0</x:v>
      </x:c>
      <x:c r="Y363" s="38" t="n">
        <x:v>0</x:v>
      </x:c>
      <x:c r="Z363" s="38" t="n">
        <x:v>0.052899999999999996</x:v>
      </x:c>
      <x:c r="AA363" s="38" t="n">
        <x:v>0.01955</x:v>
      </x:c>
      <x:c r="AB363" s="38" t="n">
        <x:v>0.0000828</x:v>
      </x:c>
      <x:c r="AC363" s="38" t="n">
        <x:v>0.31966320000000004</x:v>
      </x:c>
      <x:c r="AD363" s="28" t="n">
        <x:v>0.38961650594303654</x:v>
      </x:c>
    </x:row>
    <x:row r="364">
      <x:c r="A364" s="32" t="n">
        <x:v>45782</x:v>
      </x:c>
      <x:c r="B364" s="32" t="n">
        <x:v>45778</x:v>
      </x:c>
      <x:c r="C364" t="str">
        <x:v>May 2025</x:v>
      </x:c>
      <x:c r="D364" t="str">
        <x:v>Actual</x:v>
      </x:c>
      <x:c r="E364" t="str">
        <x:v>DB-105</x:v>
      </x:c>
      <x:c r="F364" t="str">
        <x:v>DreamFuel Refill Pack</x:v>
      </x:c>
      <x:c r="G364" t="str">
        <x:v>Subscription</x:v>
      </x:c>
      <x:c r="H364" t="str">
        <x:v>None</x:v>
      </x:c>
      <x:c r="I364" t="str">
        <x:v>Active</x:v>
      </x:c>
      <x:c r="J364" t="str">
        <x:v>TikTok Shop</x:v>
      </x:c>
      <x:c r="K364" t="str">
        <x:v>Social Commerce</x:v>
      </x:c>
      <x:c r="L364" t="str">
        <x:v>All Geographies</x:v>
      </x:c>
      <x:c r="M364" s="34" t="n">
        <x:v>731</x:v>
      </x:c>
      <x:c r="N364" s="28" t="n">
        <x:v>0.0489888</x:v>
      </x:c>
      <x:c r="O364" s="34" t="n">
        <x:v>36</x:v>
      </x:c>
      <x:c r="P364" s="34" t="n">
        <x:v>1</x:v>
      </x:c>
      <x:c r="Q364" s="34" t="n">
        <x:v>36</x:v>
      </x:c>
      <x:c r="R364" s="33" t="n">
        <x:v>56</x:v>
      </x:c>
      <x:c r="S364" s="38" t="n">
        <x:v>2.016</x:v>
      </x:c>
      <x:c r="T364" s="38" t="n">
        <x:v>0.24192</x:v>
      </x:c>
      <x:c r="U364" s="38" t="n">
        <x:v>0.0354816</x:v>
      </x:c>
      <x:c r="V364" s="38" t="n">
        <x:v>1.7385984</x:v>
      </x:c>
      <x:c r="W364" s="38" t="n">
        <x:v>0.67032</x:v>
      </x:c>
      <x:c r="X364" s="38" t="n">
        <x:v>0.05041935360000001</x:v>
      </x:c>
      <x:c r="Y364" s="38" t="n">
        <x:v>0.104315904</x:v>
      </x:c>
      <x:c r="Z364" s="38" t="n">
        <x:v>0.18359999999999999</x:v>
      </x:c>
      <x:c r="AA364" s="38" t="n">
        <x:v>0.063</x:v>
      </x:c>
      <x:c r="AB364" s="38" t="n">
        <x:v>0.0001296</x:v>
      </x:c>
      <x:c r="AC364" s="38" t="n">
        <x:v>0.6668135424000001</x:v>
      </x:c>
      <x:c r="AD364" s="28" t="n">
        <x:v>0.38353511794328127</x:v>
      </x:c>
    </x:row>
    <x:row r="365">
      <x:c r="A365" s="32" t="n">
        <x:v>45789</x:v>
      </x:c>
      <x:c r="B365" s="32" t="n">
        <x:v>45778</x:v>
      </x:c>
      <x:c r="C365" t="str">
        <x:v>May 2025</x:v>
      </x:c>
      <x:c r="D365" t="str">
        <x:v>Actual</x:v>
      </x:c>
      <x:c r="E365" t="str">
        <x:v>DB-101</x:v>
      </x:c>
      <x:c r="F365" t="str">
        <x:v>AeroSip Bottle</x:v>
      </x:c>
      <x:c r="G365" t="str">
        <x:v>One-time purchase</x:v>
      </x:c>
      <x:c r="H365" t="str">
        <x:v>None</x:v>
      </x:c>
      <x:c r="I365" t="str">
        <x:v>Active</x:v>
      </x:c>
      <x:c r="J365" t="str">
        <x:v>Shopify DTC</x:v>
      </x:c>
      <x:c r="K365" t="str">
        <x:v>Consumer</x:v>
      </x:c>
      <x:c r="L365" t="str">
        <x:v>All Geographies</x:v>
      </x:c>
      <x:c r="M365" s="34" t="n">
        <x:v>5297</x:v>
      </x:c>
      <x:c r="N365" s="28" t="n">
        <x:v>0.034199999999999994</x:v>
      </x:c>
      <x:c r="O365" s="34" t="n">
        <x:v>181</x:v>
      </x:c>
      <x:c r="P365" s="34" t="n">
        <x:v>1</x:v>
      </x:c>
      <x:c r="Q365" s="34" t="n">
        <x:v>181</x:v>
      </x:c>
      <x:c r="R365" s="33" t="n">
        <x:v>29</x:v>
      </x:c>
      <x:c r="S365" s="38" t="n">
        <x:v>5.249</x:v>
      </x:c>
      <x:c r="T365" s="38" t="n">
        <x:v>0.41991999999999996</x:v>
      </x:c>
      <x:c r="U365" s="38" t="n">
        <x:v>0.21730859999999996</x:v>
      </x:c>
      <x:c r="V365" s="38" t="n">
        <x:v>4.611771399999999</x:v>
      </x:c>
      <x:c r="W365" s="38" t="n">
        <x:v>1.9548</x:v>
      </x:c>
      <x:c r="X365" s="38" t="n">
        <x:v>0.1337413706</x:v>
      </x:c>
      <x:c r="Y365" s="38" t="n">
        <x:v>0</x:v>
      </x:c>
      <x:c r="Z365" s="38" t="n">
        <x:v>0.7511500000000001</x:v>
      </x:c>
      <x:c r="AA365" s="38" t="n">
        <x:v>0.29864999999999997</x:v>
      </x:c>
      <x:c r="AB365" s="38" t="n">
        <x:v>0.006516</x:v>
      </x:c>
      <x:c r="AC365" s="38" t="n">
        <x:v>1.4669140293999994</x:v>
      </x:c>
      <x:c r="AD365" s="28" t="n">
        <x:v>0.31808038650831644</x:v>
      </x:c>
    </x:row>
    <x:row r="366">
      <x:c r="A366" s="32" t="n">
        <x:v>45789</x:v>
      </x:c>
      <x:c r="B366" s="32" t="n">
        <x:v>45778</x:v>
      </x:c>
      <x:c r="C366" t="str">
        <x:v>May 2025</x:v>
      </x:c>
      <x:c r="D366" t="str">
        <x:v>Actual</x:v>
      </x:c>
      <x:c r="E366" t="str">
        <x:v>DB-101</x:v>
      </x:c>
      <x:c r="F366" t="str">
        <x:v>AeroSip Bottle</x:v>
      </x:c>
      <x:c r="G366" t="str">
        <x:v>One-time purchase</x:v>
      </x:c>
      <x:c r="H366" t="str">
        <x:v>None</x:v>
      </x:c>
      <x:c r="I366" t="str">
        <x:v>Active</x:v>
      </x:c>
      <x:c r="J366" t="str">
        <x:v>Amazon Marketplace</x:v>
      </x:c>
      <x:c r="K366" t="str">
        <x:v>Marketplace Consumer</x:v>
      </x:c>
      <x:c r="L366" t="str">
        <x:v>All Geographies</x:v>
      </x:c>
      <x:c r="M366" s="34" t="n">
        <x:v>2648</x:v>
      </x:c>
      <x:c r="N366" s="28" t="n">
        <x:v>0.040355999999999996</x:v>
      </x:c>
      <x:c r="O366" s="34" t="n">
        <x:v>107</x:v>
      </x:c>
      <x:c r="P366" s="34" t="n">
        <x:v>1</x:v>
      </x:c>
      <x:c r="Q366" s="34" t="n">
        <x:v>107</x:v>
      </x:c>
      <x:c r="R366" s="33" t="n">
        <x:v>29</x:v>
      </x:c>
      <x:c r="S366" s="38" t="n">
        <x:v>3.103</x:v>
      </x:c>
      <x:c r="T366" s="38" t="n">
        <x:v>0.15515</x:v>
      </x:c>
      <x:c r="U366" s="38" t="n">
        <x:v>0.13265325</x:v>
      </x:c>
      <x:c r="V366" s="38" t="n">
        <x:v>2.81519675</x:v>
      </x:c>
      <x:c r="W366" s="38" t="n">
        <x:v>1.1556000000000002</x:v>
      </x:c>
      <x:c r="X366" s="38" t="n">
        <x:v>0</x:v>
      </x:c>
      <x:c r="Y366" s="38" t="n">
        <x:v>0.4222795125</x:v>
      </x:c>
      <x:c r="Z366" s="38" t="n">
        <x:v>0.5564</x:v>
      </x:c>
      <x:c r="AA366" s="38" t="n">
        <x:v>0.23004999999999998</x:v>
      </x:c>
      <x:c r="AB366" s="38" t="n">
        <x:v>0.0038520000000000004</x:v>
      </x:c>
      <x:c r="AC366" s="38" t="n">
        <x:v>0.4470152374999999</x:v>
      </x:c>
      <x:c r="AD366" s="28" t="n">
        <x:v>0.15878649955815693</x:v>
      </x:c>
    </x:row>
    <x:row r="367">
      <x:c r="A367" s="32" t="n">
        <x:v>45789</x:v>
      </x:c>
      <x:c r="B367" s="32" t="n">
        <x:v>45778</x:v>
      </x:c>
      <x:c r="C367" t="str">
        <x:v>May 2025</x:v>
      </x:c>
      <x:c r="D367" t="str">
        <x:v>Actual</x:v>
      </x:c>
      <x:c r="E367" t="str">
        <x:v>DB-101</x:v>
      </x:c>
      <x:c r="F367" t="str">
        <x:v>AeroSip Bottle</x:v>
      </x:c>
      <x:c r="G367" t="str">
        <x:v>One-time purchase</x:v>
      </x:c>
      <x:c r="H367" t="str">
        <x:v>None</x:v>
      </x:c>
      <x:c r="I367" t="str">
        <x:v>Active</x:v>
      </x:c>
      <x:c r="J367" t="str">
        <x:v>Wholesale</x:v>
      </x:c>
      <x:c r="K367" t="str">
        <x:v>Retailer</x:v>
      </x:c>
      <x:c r="L367" t="str">
        <x:v>All Geographies</x:v>
      </x:c>
      <x:c r="M367" s="34" t="n">
        <x:v>1589</x:v>
      </x:c>
      <x:c r="N367" s="28" t="n">
        <x:v>0.01881</x:v>
      </x:c>
      <x:c r="O367" s="34" t="n">
        <x:v>30</x:v>
      </x:c>
      <x:c r="P367" s="34" t="n">
        <x:v>1</x:v>
      </x:c>
      <x:c r="Q367" s="34" t="n">
        <x:v>30</x:v>
      </x:c>
      <x:c r="R367" s="33" t="n">
        <x:v>29</x:v>
      </x:c>
      <x:c r="S367" s="38" t="n">
        <x:v>0.87</x:v>
      </x:c>
      <x:c r="T367" s="38" t="n">
        <x:v>0.3045</x:v>
      </x:c>
      <x:c r="U367" s="38" t="n">
        <x:v>0.025447499999999998</x:v>
      </x:c>
      <x:c r="V367" s="38" t="n">
        <x:v>0.5400525</x:v>
      </x:c>
      <x:c r="W367" s="38" t="n">
        <x:v>0.324</x:v>
      </x:c>
      <x:c r="X367" s="38" t="n">
        <x:v>0</x:v>
      </x:c>
      <x:c r="Y367" s="38" t="n">
        <x:v>0</x:v>
      </x:c>
      <x:c r="Z367" s="38" t="n">
        <x:v>0.069</x:v>
      </x:c>
      <x:c r="AA367" s="38" t="n">
        <x:v>0.0255</x:v>
      </x:c>
      <x:c r="AB367" s="38" t="n">
        <x:v>0.00108</x:v>
      </x:c>
      <x:c r="AC367" s="38" t="n">
        <x:v>0.12047250000000004</x:v>
      </x:c>
      <x:c r="AD367" s="28" t="n">
        <x:v>0.22307553432305197</x:v>
      </x:c>
    </x:row>
    <x:row r="368">
      <x:c r="A368" s="32" t="n">
        <x:v>45789</x:v>
      </x:c>
      <x:c r="B368" s="32" t="n">
        <x:v>45778</x:v>
      </x:c>
      <x:c r="C368" t="str">
        <x:v>May 2025</x:v>
      </x:c>
      <x:c r="D368" t="str">
        <x:v>Actual</x:v>
      </x:c>
      <x:c r="E368" t="str">
        <x:v>DB-101</x:v>
      </x:c>
      <x:c r="F368" t="str">
        <x:v>AeroSip Bottle</x:v>
      </x:c>
      <x:c r="G368" t="str">
        <x:v>One-time purchase</x:v>
      </x:c>
      <x:c r="H368" t="str">
        <x:v>None</x:v>
      </x:c>
      <x:c r="I368" t="str">
        <x:v>Active</x:v>
      </x:c>
      <x:c r="J368" t="str">
        <x:v>TikTok Shop</x:v>
      </x:c>
      <x:c r="K368" t="str">
        <x:v>Social Commerce</x:v>
      </x:c>
      <x:c r="L368" t="str">
        <x:v>All Geographies</x:v>
      </x:c>
      <x:c r="M368" s="34" t="n">
        <x:v>1059</x:v>
      </x:c>
      <x:c r="N368" s="28" t="n">
        <x:v>0.043092</x:v>
      </x:c>
      <x:c r="O368" s="34" t="n">
        <x:v>46</x:v>
      </x:c>
      <x:c r="P368" s="34" t="n">
        <x:v>1</x:v>
      </x:c>
      <x:c r="Q368" s="34" t="n">
        <x:v>46</x:v>
      </x:c>
      <x:c r="R368" s="33" t="n">
        <x:v>29</x:v>
      </x:c>
      <x:c r="S368" s="38" t="n">
        <x:v>1.334</x:v>
      </x:c>
      <x:c r="T368" s="38" t="n">
        <x:v>0.16008</x:v>
      </x:c>
      <x:c r="U368" s="38" t="n">
        <x:v>0.0528264</x:v>
      </x:c>
      <x:c r="V368" s="38" t="n">
        <x:v>1.1210936</x:v>
      </x:c>
      <x:c r="W368" s="38" t="n">
        <x:v>0.4968</x:v>
      </x:c>
      <x:c r="X368" s="38" t="n">
        <x:v>0.0325117144</x:v>
      </x:c>
      <x:c r="Y368" s="38" t="n">
        <x:v>0.067265616</x:v>
      </x:c>
      <x:c r="Z368" s="38" t="n">
        <x:v>0.2346</x:v>
      </x:c>
      <x:c r="AA368" s="38" t="n">
        <x:v>0.0805</x:v>
      </x:c>
      <x:c r="AB368" s="38" t="n">
        <x:v>0.0016560000000000001</x:v>
      </x:c>
      <x:c r="AC368" s="38" t="n">
        <x:v>0.20776026959999994</x:v>
      </x:c>
      <x:c r="AD368" s="28" t="n">
        <x:v>0.18531928966501987</x:v>
      </x:c>
    </x:row>
    <x:row r="369">
      <x:c r="A369" s="32" t="n">
        <x:v>45789</x:v>
      </x:c>
      <x:c r="B369" s="32" t="n">
        <x:v>45778</x:v>
      </x:c>
      <x:c r="C369" t="str">
        <x:v>May 2025</x:v>
      </x:c>
      <x:c r="D369" t="str">
        <x:v>Actual</x:v>
      </x:c>
      <x:c r="E369" t="str">
        <x:v>DB-102</x:v>
      </x:c>
      <x:c r="F369" t="str">
        <x:v>GlowPatch Balm</x:v>
      </x:c>
      <x:c r="G369" t="str">
        <x:v>Consumable repeat</x:v>
      </x:c>
      <x:c r="H369" t="str">
        <x:v>None</x:v>
      </x:c>
      <x:c r="I369" t="str">
        <x:v>Active</x:v>
      </x:c>
      <x:c r="J369" t="str">
        <x:v>Shopify DTC</x:v>
      </x:c>
      <x:c r="K369" t="str">
        <x:v>Consumer</x:v>
      </x:c>
      <x:c r="L369" t="str">
        <x:v>All Geographies</x:v>
      </x:c>
      <x:c r="M369" s="34" t="n">
        <x:v>4278</x:v>
      </x:c>
      <x:c r="N369" s="28" t="n">
        <x:v>0.04248</x:v>
      </x:c>
      <x:c r="O369" s="34" t="n">
        <x:v>182</x:v>
      </x:c>
      <x:c r="P369" s="34" t="n">
        <x:v>1</x:v>
      </x:c>
      <x:c r="Q369" s="34" t="n">
        <x:v>182</x:v>
      </x:c>
      <x:c r="R369" s="33" t="n">
        <x:v>18</x:v>
      </x:c>
      <x:c r="S369" s="38" t="n">
        <x:v>3.276</x:v>
      </x:c>
      <x:c r="T369" s="38" t="n">
        <x:v>0.26208</x:v>
      </x:c>
      <x:c r="U369" s="38" t="n">
        <x:v>0.075348</x:v>
      </x:c>
      <x:c r="V369" s="38" t="n">
        <x:v>2.9385719999999997</x:v>
      </x:c>
      <x:c r="W369" s="38" t="n">
        <x:v>0.98462</x:v>
      </x:c>
      <x:c r="X369" s="38" t="n">
        <x:v>0.085218588</x:v>
      </x:c>
      <x:c r="Y369" s="38" t="n">
        <x:v>0</x:v>
      </x:c>
      <x:c r="Z369" s="38" t="n">
        <x:v>0.7553000000000001</x:v>
      </x:c>
      <x:c r="AA369" s="38" t="n">
        <x:v>0.3003</x:v>
      </x:c>
      <x:c r="AB369" s="38" t="n">
        <x:v>0.001092</x:v>
      </x:c>
      <x:c r="AC369" s="38" t="n">
        <x:v>0.8120414119999996</x:v>
      </x:c>
      <x:c r="AD369" s="28" t="n">
        <x:v>0.276338783599653</x:v>
      </x:c>
    </x:row>
    <x:row r="370">
      <x:c r="A370" s="32" t="n">
        <x:v>45789</x:v>
      </x:c>
      <x:c r="B370" s="32" t="n">
        <x:v>45778</x:v>
      </x:c>
      <x:c r="C370" t="str">
        <x:v>May 2025</x:v>
      </x:c>
      <x:c r="D370" t="str">
        <x:v>Actual</x:v>
      </x:c>
      <x:c r="E370" t="str">
        <x:v>DB-102</x:v>
      </x:c>
      <x:c r="F370" t="str">
        <x:v>GlowPatch Balm</x:v>
      </x:c>
      <x:c r="G370" t="str">
        <x:v>Consumable repeat</x:v>
      </x:c>
      <x:c r="H370" t="str">
        <x:v>None</x:v>
      </x:c>
      <x:c r="I370" t="str">
        <x:v>Active</x:v>
      </x:c>
      <x:c r="J370" t="str">
        <x:v>Amazon Marketplace</x:v>
      </x:c>
      <x:c r="K370" t="str">
        <x:v>Marketplace Consumer</x:v>
      </x:c>
      <x:c r="L370" t="str">
        <x:v>All Geographies</x:v>
      </x:c>
      <x:c r="M370" s="34" t="n">
        <x:v>2139</x:v>
      </x:c>
      <x:c r="N370" s="28" t="n">
        <x:v>0.050126399999999995</x:v>
      </x:c>
      <x:c r="O370" s="34" t="n">
        <x:v>107</x:v>
      </x:c>
      <x:c r="P370" s="34" t="n">
        <x:v>1</x:v>
      </x:c>
      <x:c r="Q370" s="34" t="n">
        <x:v>107</x:v>
      </x:c>
      <x:c r="R370" s="33" t="n">
        <x:v>18</x:v>
      </x:c>
      <x:c r="S370" s="38" t="n">
        <x:v>1.926</x:v>
      </x:c>
      <x:c r="T370" s="38" t="n">
        <x:v>0.0963</x:v>
      </x:c>
      <x:c r="U370" s="38" t="n">
        <x:v>0.0457425</x:v>
      </x:c>
      <x:c r="V370" s="38" t="n">
        <x:v>1.7839574999999999</x:v>
      </x:c>
      <x:c r="W370" s="38" t="n">
        <x:v>0.57887</x:v>
      </x:c>
      <x:c r="X370" s="38" t="n">
        <x:v>0</x:v>
      </x:c>
      <x:c r="Y370" s="38" t="n">
        <x:v>0.26759362499999995</x:v>
      </x:c>
      <x:c r="Z370" s="38" t="n">
        <x:v>0.5564</x:v>
      </x:c>
      <x:c r="AA370" s="38" t="n">
        <x:v>0.23004999999999998</x:v>
      </x:c>
      <x:c r="AB370" s="38" t="n">
        <x:v>0.000642</x:v>
      </x:c>
      <x:c r="AC370" s="38" t="n">
        <x:v>0.15040187499999993</x:v>
      </x:c>
      <x:c r="AD370" s="28" t="n">
        <x:v>0.08430799220272901</x:v>
      </x:c>
    </x:row>
    <x:row r="371">
      <x:c r="A371" s="32" t="n">
        <x:v>45789</x:v>
      </x:c>
      <x:c r="B371" s="32" t="n">
        <x:v>45778</x:v>
      </x:c>
      <x:c r="C371" t="str">
        <x:v>May 2025</x:v>
      </x:c>
      <x:c r="D371" t="str">
        <x:v>Actual</x:v>
      </x:c>
      <x:c r="E371" t="str">
        <x:v>DB-102</x:v>
      </x:c>
      <x:c r="F371" t="str">
        <x:v>GlowPatch Balm</x:v>
      </x:c>
      <x:c r="G371" t="str">
        <x:v>Consumable repeat</x:v>
      </x:c>
      <x:c r="H371" t="str">
        <x:v>None</x:v>
      </x:c>
      <x:c r="I371" t="str">
        <x:v>Active</x:v>
      </x:c>
      <x:c r="J371" t="str">
        <x:v>Wholesale</x:v>
      </x:c>
      <x:c r="K371" t="str">
        <x:v>Retailer</x:v>
      </x:c>
      <x:c r="L371" t="str">
        <x:v>All Geographies</x:v>
      </x:c>
      <x:c r="M371" s="34" t="n">
        <x:v>1283</x:v>
      </x:c>
      <x:c r="N371" s="28" t="n">
        <x:v>0.023364</x:v>
      </x:c>
      <x:c r="O371" s="34" t="n">
        <x:v>30</x:v>
      </x:c>
      <x:c r="P371" s="34" t="n">
        <x:v>1</x:v>
      </x:c>
      <x:c r="Q371" s="34" t="n">
        <x:v>30</x:v>
      </x:c>
      <x:c r="R371" s="33" t="n">
        <x:v>18</x:v>
      </x:c>
      <x:c r="S371" s="38" t="n">
        <x:v>0.54</x:v>
      </x:c>
      <x:c r="T371" s="38" t="n">
        <x:v>0.189</x:v>
      </x:c>
      <x:c r="U371" s="38" t="n">
        <x:v>0.008775000000000002</x:v>
      </x:c>
      <x:c r="V371" s="38" t="n">
        <x:v>0.34222500000000006</x:v>
      </x:c>
      <x:c r="W371" s="38" t="n">
        <x:v>0.1623</x:v>
      </x:c>
      <x:c r="X371" s="38" t="n">
        <x:v>0</x:v>
      </x:c>
      <x:c r="Y371" s="38" t="n">
        <x:v>0</x:v>
      </x:c>
      <x:c r="Z371" s="38" t="n">
        <x:v>0.069</x:v>
      </x:c>
      <x:c r="AA371" s="38" t="n">
        <x:v>0.0255</x:v>
      </x:c>
      <x:c r="AB371" s="38" t="n">
        <x:v>0.00017999999999999998</x:v>
      </x:c>
      <x:c r="AC371" s="38" t="n">
        <x:v>0.08524500000000006</x:v>
      </x:c>
      <x:c r="AD371" s="28" t="n">
        <x:v>0.2490905106289723</x:v>
      </x:c>
    </x:row>
    <x:row r="372">
      <x:c r="A372" s="32" t="n">
        <x:v>45789</x:v>
      </x:c>
      <x:c r="B372" s="32" t="n">
        <x:v>45778</x:v>
      </x:c>
      <x:c r="C372" t="str">
        <x:v>May 2025</x:v>
      </x:c>
      <x:c r="D372" t="str">
        <x:v>Actual</x:v>
      </x:c>
      <x:c r="E372" t="str">
        <x:v>DB-102</x:v>
      </x:c>
      <x:c r="F372" t="str">
        <x:v>GlowPatch Balm</x:v>
      </x:c>
      <x:c r="G372" t="str">
        <x:v>Consumable repeat</x:v>
      </x:c>
      <x:c r="H372" t="str">
        <x:v>None</x:v>
      </x:c>
      <x:c r="I372" t="str">
        <x:v>Active</x:v>
      </x:c>
      <x:c r="J372" t="str">
        <x:v>TikTok Shop</x:v>
      </x:c>
      <x:c r="K372" t="str">
        <x:v>Social Commerce</x:v>
      </x:c>
      <x:c r="L372" t="str">
        <x:v>All Geographies</x:v>
      </x:c>
      <x:c r="M372" s="34" t="n">
        <x:v>856</x:v>
      </x:c>
      <x:c r="N372" s="28" t="n">
        <x:v>0.0535248</x:v>
      </x:c>
      <x:c r="O372" s="34" t="n">
        <x:v>46</x:v>
      </x:c>
      <x:c r="P372" s="34" t="n">
        <x:v>1</x:v>
      </x:c>
      <x:c r="Q372" s="34" t="n">
        <x:v>46</x:v>
      </x:c>
      <x:c r="R372" s="33" t="n">
        <x:v>18</x:v>
      </x:c>
      <x:c r="S372" s="38" t="n">
        <x:v>0.828</x:v>
      </x:c>
      <x:c r="T372" s="38" t="n">
        <x:v>0.09935999999999999</x:v>
      </x:c>
      <x:c r="U372" s="38" t="n">
        <x:v>0.018216</x:v>
      </x:c>
      <x:c r="V372" s="38" t="n">
        <x:v>0.7104239999999999</x:v>
      </x:c>
      <x:c r="W372" s="38" t="n">
        <x:v>0.24886000000000003</x:v>
      </x:c>
      <x:c r="X372" s="38" t="n">
        <x:v>0.020602296</x:v>
      </x:c>
      <x:c r="Y372" s="38" t="n">
        <x:v>0.042625439999999994</x:v>
      </x:c>
      <x:c r="Z372" s="38" t="n">
        <x:v>0.2346</x:v>
      </x:c>
      <x:c r="AA372" s="38" t="n">
        <x:v>0.0805</x:v>
      </x:c>
      <x:c r="AB372" s="38" t="n">
        <x:v>0.00027600000000000004</x:v>
      </x:c>
      <x:c r="AC372" s="38" t="n">
        <x:v>0.08296026399999988</x:v>
      </x:c>
      <x:c r="AD372" s="28" t="n">
        <x:v>0.11677570577570562</x:v>
      </x:c>
    </x:row>
    <x:row r="373">
      <x:c r="A373" s="32" t="n">
        <x:v>45789</x:v>
      </x:c>
      <x:c r="B373" s="32" t="n">
        <x:v>45778</x:v>
      </x:c>
      <x:c r="C373" t="str">
        <x:v>May 2025</x:v>
      </x:c>
      <x:c r="D373" t="str">
        <x:v>Actual</x:v>
      </x:c>
      <x:c r="E373" t="str">
        <x:v>DB-103</x:v>
      </x:c>
      <x:c r="F373" t="str">
        <x:v>EmberTrail Camp Mug</x:v>
      </x:c>
      <x:c r="G373" t="str">
        <x:v>One-time purchase</x:v>
      </x:c>
      <x:c r="H373" t="str">
        <x:v>Winter peak</x:v>
      </x:c>
      <x:c r="I373" t="str">
        <x:v>Active</x:v>
      </x:c>
      <x:c r="J373" t="str">
        <x:v>Shopify DTC</x:v>
      </x:c>
      <x:c r="K373" t="str">
        <x:v>Consumer</x:v>
      </x:c>
      <x:c r="L373" t="str">
        <x:v>All Geographies</x:v>
      </x:c>
      <x:c r="M373" s="34" t="n">
        <x:v>2860</x:v>
      </x:c>
      <x:c r="N373" s="28" t="n">
        <x:v>0.0324</x:v>
      </x:c>
      <x:c r="O373" s="34" t="n">
        <x:v>93</x:v>
      </x:c>
      <x:c r="P373" s="34" t="n">
        <x:v>1</x:v>
      </x:c>
      <x:c r="Q373" s="34" t="n">
        <x:v>93</x:v>
      </x:c>
      <x:c r="R373" s="33" t="n">
        <x:v>34</x:v>
      </x:c>
      <x:c r="S373" s="38" t="n">
        <x:v>3.162</x:v>
      </x:c>
      <x:c r="T373" s="38" t="n">
        <x:v>0.25296</x:v>
      </x:c>
      <x:c r="U373" s="38" t="n">
        <x:v>0.1599972</x:v>
      </x:c>
      <x:c r="V373" s="38" t="n">
        <x:v>2.7490428000000002</x:v>
      </x:c>
      <x:c r="W373" s="38" t="n">
        <x:v>1.27131</x:v>
      </x:c>
      <x:c r="X373" s="38" t="n">
        <x:v>0.07972224120000002</x:v>
      </x:c>
      <x:c r="Y373" s="38" t="n">
        <x:v>0</x:v>
      </x:c>
      <x:c r="Z373" s="38" t="n">
        <x:v>0.38595000000000007</x:v>
      </x:c>
      <x:c r="AA373" s="38" t="n">
        <x:v>0.15344999999999998</x:v>
      </x:c>
      <x:c r="AB373" s="38" t="n">
        <x:v>0.005208</x:v>
      </x:c>
      <x:c r="AC373" s="38" t="n">
        <x:v>0.8534025588000003</x:v>
      </x:c>
      <x:c r="AD373" s="28" t="n">
        <x:v>0.31043625759482546</x:v>
      </x:c>
    </x:row>
    <x:row r="374">
      <x:c r="A374" s="32" t="n">
        <x:v>45789</x:v>
      </x:c>
      <x:c r="B374" s="32" t="n">
        <x:v>45778</x:v>
      </x:c>
      <x:c r="C374" t="str">
        <x:v>May 2025</x:v>
      </x:c>
      <x:c r="D374" t="str">
        <x:v>Actual</x:v>
      </x:c>
      <x:c r="E374" t="str">
        <x:v>DB-103</x:v>
      </x:c>
      <x:c r="F374" t="str">
        <x:v>EmberTrail Camp Mug</x:v>
      </x:c>
      <x:c r="G374" t="str">
        <x:v>One-time purchase</x:v>
      </x:c>
      <x:c r="H374" t="str">
        <x:v>Winter peak</x:v>
      </x:c>
      <x:c r="I374" t="str">
        <x:v>Active</x:v>
      </x:c>
      <x:c r="J374" t="str">
        <x:v>Amazon Marketplace</x:v>
      </x:c>
      <x:c r="K374" t="str">
        <x:v>Marketplace Consumer</x:v>
      </x:c>
      <x:c r="L374" t="str">
        <x:v>All Geographies</x:v>
      </x:c>
      <x:c r="M374" s="34" t="n">
        <x:v>1430</x:v>
      </x:c>
      <x:c r="N374" s="28" t="n">
        <x:v>0.038231999999999995</x:v>
      </x:c>
      <x:c r="O374" s="34" t="n">
        <x:v>55</x:v>
      </x:c>
      <x:c r="P374" s="34" t="n">
        <x:v>1</x:v>
      </x:c>
      <x:c r="Q374" s="34" t="n">
        <x:v>55</x:v>
      </x:c>
      <x:c r="R374" s="33" t="n">
        <x:v>34</x:v>
      </x:c>
      <x:c r="S374" s="38" t="n">
        <x:v>1.87</x:v>
      </x:c>
      <x:c r="T374" s="38" t="n">
        <x:v>0.09350000000000001</x:v>
      </x:c>
      <x:c r="U374" s="38" t="n">
        <x:v>0.09770750000000002</x:v>
      </x:c>
      <x:c r="V374" s="38" t="n">
        <x:v>1.6787925000000001</x:v>
      </x:c>
      <x:c r="W374" s="38" t="n">
        <x:v>0.75185</x:v>
      </x:c>
      <x:c r="X374" s="38" t="n">
        <x:v>0</x:v>
      </x:c>
      <x:c r="Y374" s="38" t="n">
        <x:v>0.251818875</x:v>
      </x:c>
      <x:c r="Z374" s="38" t="n">
        <x:v>0.286</x:v>
      </x:c>
      <x:c r="AA374" s="38" t="n">
        <x:v>0.11825</x:v>
      </x:c>
      <x:c r="AB374" s="38" t="n">
        <x:v>0.0030800000000000003</x:v>
      </x:c>
      <x:c r="AC374" s="38" t="n">
        <x:v>0.2677936250000001</x:v>
      </x:c>
      <x:c r="AD374" s="28" t="n">
        <x:v>0.15951561911314238</x:v>
      </x:c>
    </x:row>
    <x:row r="375">
      <x:c r="A375" s="32" t="n">
        <x:v>45789</x:v>
      </x:c>
      <x:c r="B375" s="32" t="n">
        <x:v>45778</x:v>
      </x:c>
      <x:c r="C375" t="str">
        <x:v>May 2025</x:v>
      </x:c>
      <x:c r="D375" t="str">
        <x:v>Actual</x:v>
      </x:c>
      <x:c r="E375" t="str">
        <x:v>DB-103</x:v>
      </x:c>
      <x:c r="F375" t="str">
        <x:v>EmberTrail Camp Mug</x:v>
      </x:c>
      <x:c r="G375" t="str">
        <x:v>One-time purchase</x:v>
      </x:c>
      <x:c r="H375" t="str">
        <x:v>Winter peak</x:v>
      </x:c>
      <x:c r="I375" t="str">
        <x:v>Active</x:v>
      </x:c>
      <x:c r="J375" t="str">
        <x:v>Wholesale</x:v>
      </x:c>
      <x:c r="K375" t="str">
        <x:v>Retailer</x:v>
      </x:c>
      <x:c r="L375" t="str">
        <x:v>All Geographies</x:v>
      </x:c>
      <x:c r="M375" s="34" t="n">
        <x:v>858</x:v>
      </x:c>
      <x:c r="N375" s="28" t="n">
        <x:v>0.017820000000000003</x:v>
      </x:c>
      <x:c r="O375" s="34" t="n">
        <x:v>15</x:v>
      </x:c>
      <x:c r="P375" s="34" t="n">
        <x:v>1</x:v>
      </x:c>
      <x:c r="Q375" s="34" t="n">
        <x:v>15</x:v>
      </x:c>
      <x:c r="R375" s="33" t="n">
        <x:v>34</x:v>
      </x:c>
      <x:c r="S375" s="38" t="n">
        <x:v>0.51</x:v>
      </x:c>
      <x:c r="T375" s="38" t="n">
        <x:v>0.1785</x:v>
      </x:c>
      <x:c r="U375" s="38" t="n">
        <x:v>0.018232500000000002</x:v>
      </x:c>
      <x:c r="V375" s="38" t="n">
        <x:v>0.31326750000000003</x:v>
      </x:c>
      <x:c r="W375" s="38" t="n">
        <x:v>0.20505</x:v>
      </x:c>
      <x:c r="X375" s="38" t="n">
        <x:v>0</x:v>
      </x:c>
      <x:c r="Y375" s="38" t="n">
        <x:v>0</x:v>
      </x:c>
      <x:c r="Z375" s="38" t="n">
        <x:v>0.0345</x:v>
      </x:c>
      <x:c r="AA375" s="38" t="n">
        <x:v>0.01275</x:v>
      </x:c>
      <x:c r="AB375" s="38" t="n">
        <x:v>0.0008399999999999999</x:v>
      </x:c>
      <x:c r="AC375" s="38" t="n">
        <x:v>0.06012750000000002</x:v>
      </x:c>
      <x:c r="AD375" s="28" t="n">
        <x:v>0.19193660370130963</x:v>
      </x:c>
    </x:row>
    <x:row r="376">
      <x:c r="A376" s="32" t="n">
        <x:v>45789</x:v>
      </x:c>
      <x:c r="B376" s="32" t="n">
        <x:v>45778</x:v>
      </x:c>
      <x:c r="C376" t="str">
        <x:v>May 2025</x:v>
      </x:c>
      <x:c r="D376" t="str">
        <x:v>Actual</x:v>
      </x:c>
      <x:c r="E376" t="str">
        <x:v>DB-103</x:v>
      </x:c>
      <x:c r="F376" t="str">
        <x:v>EmberTrail Camp Mug</x:v>
      </x:c>
      <x:c r="G376" t="str">
        <x:v>One-time purchase</x:v>
      </x:c>
      <x:c r="H376" t="str">
        <x:v>Winter peak</x:v>
      </x:c>
      <x:c r="I376" t="str">
        <x:v>Active</x:v>
      </x:c>
      <x:c r="J376" t="str">
        <x:v>TikTok Shop</x:v>
      </x:c>
      <x:c r="K376" t="str">
        <x:v>Social Commerce</x:v>
      </x:c>
      <x:c r="L376" t="str">
        <x:v>All Geographies</x:v>
      </x:c>
      <x:c r="M376" s="34" t="n">
        <x:v>572</x:v>
      </x:c>
      <x:c r="N376" s="28" t="n">
        <x:v>0.040824</x:v>
      </x:c>
      <x:c r="O376" s="34" t="n">
        <x:v>23</x:v>
      </x:c>
      <x:c r="P376" s="34" t="n">
        <x:v>1</x:v>
      </x:c>
      <x:c r="Q376" s="34" t="n">
        <x:v>23</x:v>
      </x:c>
      <x:c r="R376" s="33" t="n">
        <x:v>34</x:v>
      </x:c>
      <x:c r="S376" s="38" t="n">
        <x:v>0.782</x:v>
      </x:c>
      <x:c r="T376" s="38" t="n">
        <x:v>0.09384</x:v>
      </x:c>
      <x:c r="U376" s="38" t="n">
        <x:v>0.0378488</x:v>
      </x:c>
      <x:c r="V376" s="38" t="n">
        <x:v>0.6503112</x:v>
      </x:c>
      <x:c r="W376" s="38" t="n">
        <x:v>0.31441</x:v>
      </x:c>
      <x:c r="X376" s="38" t="n">
        <x:v>0.0188590248</x:v>
      </x:c>
      <x:c r="Y376" s="38" t="n">
        <x:v>0.039018672</x:v>
      </x:c>
      <x:c r="Z376" s="38" t="n">
        <x:v>0.1173</x:v>
      </x:c>
      <x:c r="AA376" s="38" t="n">
        <x:v>0.04025</x:v>
      </x:c>
      <x:c r="AB376" s="38" t="n">
        <x:v>0.001288</x:v>
      </x:c>
      <x:c r="AC376" s="38" t="n">
        <x:v>0.11918550319999995</x:v>
      </x:c>
      <x:c r="AD376" s="28" t="n">
        <x:v>0.18327456639221337</x:v>
      </x:c>
    </x:row>
    <x:row r="377">
      <x:c r="A377" s="32" t="n">
        <x:v>45789</x:v>
      </x:c>
      <x:c r="B377" s="32" t="n">
        <x:v>45778</x:v>
      </x:c>
      <x:c r="C377" t="str">
        <x:v>May 2025</x:v>
      </x:c>
      <x:c r="D377" t="str">
        <x:v>Actual</x:v>
      </x:c>
      <x:c r="E377" t="str">
        <x:v>DB-104</x:v>
      </x:c>
      <x:c r="F377" t="str">
        <x:v>SunNest Cooling Towel</x:v>
      </x:c>
      <x:c r="G377" t="str">
        <x:v>Consumable repeat</x:v>
      </x:c>
      <x:c r="H377" t="str">
        <x:v>Summer peak</x:v>
      </x:c>
      <x:c r="I377" t="str">
        <x:v>Active</x:v>
      </x:c>
      <x:c r="J377" t="str">
        <x:v>Shopify DTC</x:v>
      </x:c>
      <x:c r="K377" t="str">
        <x:v>Consumer</x:v>
      </x:c>
      <x:c r="L377" t="str">
        <x:v>All Geographies</x:v>
      </x:c>
      <x:c r="M377" s="34" t="n">
        <x:v>4433</x:v>
      </x:c>
      <x:c r="N377" s="28" t="n">
        <x:v>0.03312</x:v>
      </x:c>
      <x:c r="O377" s="34" t="n">
        <x:v>147</x:v>
      </x:c>
      <x:c r="P377" s="34" t="n">
        <x:v>1</x:v>
      </x:c>
      <x:c r="Q377" s="34" t="n">
        <x:v>147</x:v>
      </x:c>
      <x:c r="R377" s="33" t="n">
        <x:v>42</x:v>
      </x:c>
      <x:c r="S377" s="38" t="n">
        <x:v>6.174</x:v>
      </x:c>
      <x:c r="T377" s="38" t="n">
        <x:v>0.49392</x:v>
      </x:c>
      <x:c r="U377" s="38" t="n">
        <x:v>0.28400400000000003</x:v>
      </x:c>
      <x:c r="V377" s="38" t="n">
        <x:v>5.396076</x:v>
      </x:c>
      <x:c r="W377" s="38" t="n">
        <x:v>2.21235</x:v>
      </x:c>
      <x:c r="X377" s="38" t="n">
        <x:v>0.15648620400000002</x:v>
      </x:c>
      <x:c r="Y377" s="38" t="n">
        <x:v>0</x:v>
      </x:c>
      <x:c r="Z377" s="38" t="n">
        <x:v>0.6100500000000001</x:v>
      </x:c>
      <x:c r="AA377" s="38" t="n">
        <x:v>0.24255</x:v>
      </x:c>
      <x:c r="AB377" s="38" t="n">
        <x:v>0.004116</x:v>
      </x:c>
      <x:c r="AC377" s="38" t="n">
        <x:v>2.170523796</x:v>
      </x:c>
      <x:c r="AD377" s="28" t="n">
        <x:v>0.40224114634412117</x:v>
      </x:c>
    </x:row>
    <x:row r="378">
      <x:c r="A378" s="32" t="n">
        <x:v>45789</x:v>
      </x:c>
      <x:c r="B378" s="32" t="n">
        <x:v>45778</x:v>
      </x:c>
      <x:c r="C378" t="str">
        <x:v>May 2025</x:v>
      </x:c>
      <x:c r="D378" t="str">
        <x:v>Actual</x:v>
      </x:c>
      <x:c r="E378" t="str">
        <x:v>DB-104</x:v>
      </x:c>
      <x:c r="F378" t="str">
        <x:v>SunNest Cooling Towel</x:v>
      </x:c>
      <x:c r="G378" t="str">
        <x:v>Consumable repeat</x:v>
      </x:c>
      <x:c r="H378" t="str">
        <x:v>Summer peak</x:v>
      </x:c>
      <x:c r="I378" t="str">
        <x:v>Active</x:v>
      </x:c>
      <x:c r="J378" t="str">
        <x:v>Amazon Marketplace</x:v>
      </x:c>
      <x:c r="K378" t="str">
        <x:v>Marketplace Consumer</x:v>
      </x:c>
      <x:c r="L378" t="str">
        <x:v>All Geographies</x:v>
      </x:c>
      <x:c r="M378" s="34" t="n">
        <x:v>2217</x:v>
      </x:c>
      <x:c r="N378" s="28" t="n">
        <x:v>0.0390816</x:v>
      </x:c>
      <x:c r="O378" s="34" t="n">
        <x:v>87</x:v>
      </x:c>
      <x:c r="P378" s="34" t="n">
        <x:v>1</x:v>
      </x:c>
      <x:c r="Q378" s="34" t="n">
        <x:v>87</x:v>
      </x:c>
      <x:c r="R378" s="33" t="n">
        <x:v>42</x:v>
      </x:c>
      <x:c r="S378" s="38" t="n">
        <x:v>3.654</x:v>
      </x:c>
      <x:c r="T378" s="38" t="n">
        <x:v>0.1827</x:v>
      </x:c>
      <x:c r="U378" s="38" t="n">
        <x:v>0.173565</x:v>
      </x:c>
      <x:c r="V378" s="38" t="n">
        <x:v>3.297735</x:v>
      </x:c>
      <x:c r="W378" s="38" t="n">
        <x:v>1.3093500000000002</x:v>
      </x:c>
      <x:c r="X378" s="38" t="n">
        <x:v>0</x:v>
      </x:c>
      <x:c r="Y378" s="38" t="n">
        <x:v>0.49466024999999997</x:v>
      </x:c>
      <x:c r="Z378" s="38" t="n">
        <x:v>0.4524</x:v>
      </x:c>
      <x:c r="AA378" s="38" t="n">
        <x:v>0.18705</x:v>
      </x:c>
      <x:c r="AB378" s="38" t="n">
        <x:v>0.002436</x:v>
      </x:c>
      <x:c r="AC378" s="38" t="n">
        <x:v>0.8518387499999999</x:v>
      </x:c>
      <x:c r="AD378" s="28" t="n">
        <x:v>0.2583102493074792</x:v>
      </x:c>
    </x:row>
    <x:row r="379">
      <x:c r="A379" s="32" t="n">
        <x:v>45789</x:v>
      </x:c>
      <x:c r="B379" s="32" t="n">
        <x:v>45778</x:v>
      </x:c>
      <x:c r="C379" t="str">
        <x:v>May 2025</x:v>
      </x:c>
      <x:c r="D379" t="str">
        <x:v>Actual</x:v>
      </x:c>
      <x:c r="E379" t="str">
        <x:v>DB-104</x:v>
      </x:c>
      <x:c r="F379" t="str">
        <x:v>SunNest Cooling Towel</x:v>
      </x:c>
      <x:c r="G379" t="str">
        <x:v>Consumable repeat</x:v>
      </x:c>
      <x:c r="H379" t="str">
        <x:v>Summer peak</x:v>
      </x:c>
      <x:c r="I379" t="str">
        <x:v>Active</x:v>
      </x:c>
      <x:c r="J379" t="str">
        <x:v>Wholesale</x:v>
      </x:c>
      <x:c r="K379" t="str">
        <x:v>Retailer</x:v>
      </x:c>
      <x:c r="L379" t="str">
        <x:v>All Geographies</x:v>
      </x:c>
      <x:c r="M379" s="34" t="n">
        <x:v>1330</x:v>
      </x:c>
      <x:c r="N379" s="28" t="n">
        <x:v>0.018216000000000003</x:v>
      </x:c>
      <x:c r="O379" s="34" t="n">
        <x:v>24</x:v>
      </x:c>
      <x:c r="P379" s="34" t="n">
        <x:v>1</x:v>
      </x:c>
      <x:c r="Q379" s="34" t="n">
        <x:v>24</x:v>
      </x:c>
      <x:c r="R379" s="33" t="n">
        <x:v>42</x:v>
      </x:c>
      <x:c r="S379" s="38" t="n">
        <x:v>1.008</x:v>
      </x:c>
      <x:c r="T379" s="38" t="n">
        <x:v>0.3528</x:v>
      </x:c>
      <x:c r="U379" s="38" t="n">
        <x:v>0.032760000000000004</x:v>
      </x:c>
      <x:c r="V379" s="38" t="n">
        <x:v>0.62244</x:v>
      </x:c>
      <x:c r="W379" s="38" t="n">
        <x:v>0.3612</x:v>
      </x:c>
      <x:c r="X379" s="38" t="n">
        <x:v>0</x:v>
      </x:c>
      <x:c r="Y379" s="38" t="n">
        <x:v>0</x:v>
      </x:c>
      <x:c r="Z379" s="38" t="n">
        <x:v>0.0552</x:v>
      </x:c>
      <x:c r="AA379" s="38" t="n">
        <x:v>0.020399999999999998</x:v>
      </x:c>
      <x:c r="AB379" s="38" t="n">
        <x:v>0.000672</x:v>
      </x:c>
      <x:c r="AC379" s="38" t="n">
        <x:v>0.18496799999999997</x:v>
      </x:c>
      <x:c r="AD379" s="28" t="n">
        <x:v>0.29716599190283394</x:v>
      </x:c>
    </x:row>
    <x:row r="380">
      <x:c r="A380" s="32" t="n">
        <x:v>45789</x:v>
      </x:c>
      <x:c r="B380" s="32" t="n">
        <x:v>45778</x:v>
      </x:c>
      <x:c r="C380" t="str">
        <x:v>May 2025</x:v>
      </x:c>
      <x:c r="D380" t="str">
        <x:v>Actual</x:v>
      </x:c>
      <x:c r="E380" t="str">
        <x:v>DB-104</x:v>
      </x:c>
      <x:c r="F380" t="str">
        <x:v>SunNest Cooling Towel</x:v>
      </x:c>
      <x:c r="G380" t="str">
        <x:v>Consumable repeat</x:v>
      </x:c>
      <x:c r="H380" t="str">
        <x:v>Summer peak</x:v>
      </x:c>
      <x:c r="I380" t="str">
        <x:v>Active</x:v>
      </x:c>
      <x:c r="J380" t="str">
        <x:v>TikTok Shop</x:v>
      </x:c>
      <x:c r="K380" t="str">
        <x:v>Social Commerce</x:v>
      </x:c>
      <x:c r="L380" t="str">
        <x:v>All Geographies</x:v>
      </x:c>
      <x:c r="M380" s="34" t="n">
        <x:v>887</x:v>
      </x:c>
      <x:c r="N380" s="28" t="n">
        <x:v>0.0417312</x:v>
      </x:c>
      <x:c r="O380" s="34" t="n">
        <x:v>37</x:v>
      </x:c>
      <x:c r="P380" s="34" t="n">
        <x:v>1</x:v>
      </x:c>
      <x:c r="Q380" s="34" t="n">
        <x:v>37</x:v>
      </x:c>
      <x:c r="R380" s="33" t="n">
        <x:v>42</x:v>
      </x:c>
      <x:c r="S380" s="38" t="n">
        <x:v>1.554</x:v>
      </x:c>
      <x:c r="T380" s="38" t="n">
        <x:v>0.18648</x:v>
      </x:c>
      <x:c r="U380" s="38" t="n">
        <x:v>0.068376</x:v>
      </x:c>
      <x:c r="V380" s="38" t="n">
        <x:v>1.299144</x:v>
      </x:c>
      <x:c r="W380" s="38" t="n">
        <x:v>0.5568500000000001</x:v>
      </x:c>
      <x:c r="X380" s="38" t="n">
        <x:v>0.037675176000000005</x:v>
      </x:c>
      <x:c r="Y380" s="38" t="n">
        <x:v>0.07794864</x:v>
      </x:c>
      <x:c r="Z380" s="38" t="n">
        <x:v>0.18869999999999998</x:v>
      </x:c>
      <x:c r="AA380" s="38" t="n">
        <x:v>0.06475</x:v>
      </x:c>
      <x:c r="AB380" s="38" t="n">
        <x:v>0.001036</x:v>
      </x:c>
      <x:c r="AC380" s="38" t="n">
        <x:v>0.37218418400000003</x:v>
      </x:c>
      <x:c r="AD380" s="28" t="n">
        <x:v>0.2864841649578492</x:v>
      </x:c>
    </x:row>
    <x:row r="381">
      <x:c r="A381" s="32" t="n">
        <x:v>45789</x:v>
      </x:c>
      <x:c r="B381" s="32" t="n">
        <x:v>45778</x:v>
      </x:c>
      <x:c r="C381" t="str">
        <x:v>May 2025</x:v>
      </x:c>
      <x:c r="D381" t="str">
        <x:v>Actual</x:v>
      </x:c>
      <x:c r="E381" t="str">
        <x:v>DB-105</x:v>
      </x:c>
      <x:c r="F381" t="str">
        <x:v>DreamFuel Refill Pack</x:v>
      </x:c>
      <x:c r="G381" t="str">
        <x:v>Subscription</x:v>
      </x:c>
      <x:c r="H381" t="str">
        <x:v>None</x:v>
      </x:c>
      <x:c r="I381" t="str">
        <x:v>Active</x:v>
      </x:c>
      <x:c r="J381" t="str">
        <x:v>Shopify DTC</x:v>
      </x:c>
      <x:c r="K381" t="str">
        <x:v>Consumer</x:v>
      </x:c>
      <x:c r="L381" t="str">
        <x:v>All Geographies</x:v>
      </x:c>
      <x:c r="M381" s="34" t="n">
        <x:v>3667</x:v>
      </x:c>
      <x:c r="N381" s="28" t="n">
        <x:v>0.03888</x:v>
      </x:c>
      <x:c r="O381" s="34" t="n">
        <x:v>143</x:v>
      </x:c>
      <x:c r="P381" s="34" t="n">
        <x:v>1</x:v>
      </x:c>
      <x:c r="Q381" s="34" t="n">
        <x:v>143</x:v>
      </x:c>
      <x:c r="R381" s="33" t="n">
        <x:v>56</x:v>
      </x:c>
      <x:c r="S381" s="38" t="n">
        <x:v>8.008</x:v>
      </x:c>
      <x:c r="T381" s="38" t="n">
        <x:v>0.64064</x:v>
      </x:c>
      <x:c r="U381" s="38" t="n">
        <x:v>0.14734719999999998</x:v>
      </x:c>
      <x:c r="V381" s="38" t="n">
        <x:v>7.220012799999999</x:v>
      </x:c>
      <x:c r="W381" s="38" t="n">
        <x:v>2.6626600000000002</x:v>
      </x:c>
      <x:c r="X381" s="38" t="n">
        <x:v>0.2093803712</x:v>
      </x:c>
      <x:c r="Y381" s="38" t="n">
        <x:v>0</x:v>
      </x:c>
      <x:c r="Z381" s="38" t="n">
        <x:v>0.59345</x:v>
      </x:c>
      <x:c r="AA381" s="38" t="n">
        <x:v>0.23595</x:v>
      </x:c>
      <x:c r="AB381" s="38" t="n">
        <x:v>0.0005147999999999999</x:v>
      </x:c>
      <x:c r="AC381" s="38" t="n">
        <x:v>3.518057628799999</x:v>
      </x:c>
      <x:c r="AD381" s="28" t="n">
        <x:v>0.4872647357079477</x:v>
      </x:c>
    </x:row>
    <x:row r="382">
      <x:c r="A382" s="32" t="n">
        <x:v>45789</x:v>
      </x:c>
      <x:c r="B382" s="32" t="n">
        <x:v>45778</x:v>
      </x:c>
      <x:c r="C382" t="str">
        <x:v>May 2025</x:v>
      </x:c>
      <x:c r="D382" t="str">
        <x:v>Actual</x:v>
      </x:c>
      <x:c r="E382" t="str">
        <x:v>DB-105</x:v>
      </x:c>
      <x:c r="F382" t="str">
        <x:v>DreamFuel Refill Pack</x:v>
      </x:c>
      <x:c r="G382" t="str">
        <x:v>Subscription</x:v>
      </x:c>
      <x:c r="H382" t="str">
        <x:v>None</x:v>
      </x:c>
      <x:c r="I382" t="str">
        <x:v>Active</x:v>
      </x:c>
      <x:c r="J382" t="str">
        <x:v>Amazon Marketplace</x:v>
      </x:c>
      <x:c r="K382" t="str">
        <x:v>Marketplace Consumer</x:v>
      </x:c>
      <x:c r="L382" t="str">
        <x:v>All Geographies</x:v>
      </x:c>
      <x:c r="M382" s="34" t="n">
        <x:v>1834</x:v>
      </x:c>
      <x:c r="N382" s="28" t="n">
        <x:v>0.0458784</x:v>
      </x:c>
      <x:c r="O382" s="34" t="n">
        <x:v>84</x:v>
      </x:c>
      <x:c r="P382" s="34" t="n">
        <x:v>1</x:v>
      </x:c>
      <x:c r="Q382" s="34" t="n">
        <x:v>84</x:v>
      </x:c>
      <x:c r="R382" s="33" t="n">
        <x:v>56</x:v>
      </x:c>
      <x:c r="S382" s="38" t="n">
        <x:v>4.704</x:v>
      </x:c>
      <x:c r="T382" s="38" t="n">
        <x:v>0.2352</x:v>
      </x:c>
      <x:c r="U382" s="38" t="n">
        <x:v>0.089376</x:v>
      </x:c>
      <x:c r="V382" s="38" t="n">
        <x:v>4.379424</x:v>
      </x:c>
      <x:c r="W382" s="38" t="n">
        <x:v>1.5640800000000001</x:v>
      </x:c>
      <x:c r="X382" s="38" t="n">
        <x:v>0</x:v>
      </x:c>
      <x:c r="Y382" s="38" t="n">
        <x:v>0.6569136</x:v>
      </x:c>
      <x:c r="Z382" s="38" t="n">
        <x:v>0.4368</x:v>
      </x:c>
      <x:c r="AA382" s="38" t="n">
        <x:v>0.18059999999999998</x:v>
      </x:c>
      <x:c r="AB382" s="38" t="n">
        <x:v>0.0003024</x:v>
      </x:c>
      <x:c r="AC382" s="38" t="n">
        <x:v>1.5407280000000003</x:v>
      </x:c>
      <x:c r="AD382" s="28" t="n">
        <x:v>0.3518106490716588</x:v>
      </x:c>
    </x:row>
    <x:row r="383">
      <x:c r="A383" s="32" t="n">
        <x:v>45789</x:v>
      </x:c>
      <x:c r="B383" s="32" t="n">
        <x:v>45778</x:v>
      </x:c>
      <x:c r="C383" t="str">
        <x:v>May 2025</x:v>
      </x:c>
      <x:c r="D383" t="str">
        <x:v>Actual</x:v>
      </x:c>
      <x:c r="E383" t="str">
        <x:v>DB-105</x:v>
      </x:c>
      <x:c r="F383" t="str">
        <x:v>DreamFuel Refill Pack</x:v>
      </x:c>
      <x:c r="G383" t="str">
        <x:v>Subscription</x:v>
      </x:c>
      <x:c r="H383" t="str">
        <x:v>None</x:v>
      </x:c>
      <x:c r="I383" t="str">
        <x:v>Active</x:v>
      </x:c>
      <x:c r="J383" t="str">
        <x:v>Wholesale</x:v>
      </x:c>
      <x:c r="K383" t="str">
        <x:v>Retailer</x:v>
      </x:c>
      <x:c r="L383" t="str">
        <x:v>All Geographies</x:v>
      </x:c>
      <x:c r="M383" s="34" t="n">
        <x:v>1100</x:v>
      </x:c>
      <x:c r="N383" s="28" t="n">
        <x:v>0.021384000000000004</x:v>
      </x:c>
      <x:c r="O383" s="34" t="n">
        <x:v>24</x:v>
      </x:c>
      <x:c r="P383" s="34" t="n">
        <x:v>1</x:v>
      </x:c>
      <x:c r="Q383" s="34" t="n">
        <x:v>24</x:v>
      </x:c>
      <x:c r="R383" s="33" t="n">
        <x:v>56</x:v>
      </x:c>
      <x:c r="S383" s="38" t="n">
        <x:v>1.344</x:v>
      </x:c>
      <x:c r="T383" s="38" t="n">
        <x:v>0.4704</x:v>
      </x:c>
      <x:c r="U383" s="38" t="n">
        <x:v>0.017472000000000005</x:v>
      </x:c>
      <x:c r="V383" s="38" t="n">
        <x:v>0.8561280000000001</x:v>
      </x:c>
      <x:c r="W383" s="38" t="n">
        <x:v>0.44688</x:v>
      </x:c>
      <x:c r="X383" s="38" t="n">
        <x:v>0</x:v>
      </x:c>
      <x:c r="Y383" s="38" t="n">
        <x:v>0</x:v>
      </x:c>
      <x:c r="Z383" s="38" t="n">
        <x:v>0.0552</x:v>
      </x:c>
      <x:c r="AA383" s="38" t="n">
        <x:v>0.020399999999999998</x:v>
      </x:c>
      <x:c r="AB383" s="38" t="n">
        <x:v>0.0000864</x:v>
      </x:c>
      <x:c r="AC383" s="38" t="n">
        <x:v>0.3335616000000002</x:v>
      </x:c>
      <x:c r="AD383" s="28" t="n">
        <x:v>0.3896165059430367</x:v>
      </x:c>
    </x:row>
    <x:row r="384">
      <x:c r="A384" s="32" t="n">
        <x:v>45789</x:v>
      </x:c>
      <x:c r="B384" s="32" t="n">
        <x:v>45778</x:v>
      </x:c>
      <x:c r="C384" t="str">
        <x:v>May 2025</x:v>
      </x:c>
      <x:c r="D384" t="str">
        <x:v>Actual</x:v>
      </x:c>
      <x:c r="E384" t="str">
        <x:v>DB-105</x:v>
      </x:c>
      <x:c r="F384" t="str">
        <x:v>DreamFuel Refill Pack</x:v>
      </x:c>
      <x:c r="G384" t="str">
        <x:v>Subscription</x:v>
      </x:c>
      <x:c r="H384" t="str">
        <x:v>None</x:v>
      </x:c>
      <x:c r="I384" t="str">
        <x:v>Active</x:v>
      </x:c>
      <x:c r="J384" t="str">
        <x:v>TikTok Shop</x:v>
      </x:c>
      <x:c r="K384" t="str">
        <x:v>Social Commerce</x:v>
      </x:c>
      <x:c r="L384" t="str">
        <x:v>All Geographies</x:v>
      </x:c>
      <x:c r="M384" s="34" t="n">
        <x:v>733</x:v>
      </x:c>
      <x:c r="N384" s="28" t="n">
        <x:v>0.0489888</x:v>
      </x:c>
      <x:c r="O384" s="34" t="n">
        <x:v>36</x:v>
      </x:c>
      <x:c r="P384" s="34" t="n">
        <x:v>1</x:v>
      </x:c>
      <x:c r="Q384" s="34" t="n">
        <x:v>36</x:v>
      </x:c>
      <x:c r="R384" s="33" t="n">
        <x:v>56</x:v>
      </x:c>
      <x:c r="S384" s="38" t="n">
        <x:v>2.016</x:v>
      </x:c>
      <x:c r="T384" s="38" t="n">
        <x:v>0.24192</x:v>
      </x:c>
      <x:c r="U384" s="38" t="n">
        <x:v>0.0354816</x:v>
      </x:c>
      <x:c r="V384" s="38" t="n">
        <x:v>1.7385984</x:v>
      </x:c>
      <x:c r="W384" s="38" t="n">
        <x:v>0.67032</x:v>
      </x:c>
      <x:c r="X384" s="38" t="n">
        <x:v>0.05041935360000001</x:v>
      </x:c>
      <x:c r="Y384" s="38" t="n">
        <x:v>0.104315904</x:v>
      </x:c>
      <x:c r="Z384" s="38" t="n">
        <x:v>0.18359999999999999</x:v>
      </x:c>
      <x:c r="AA384" s="38" t="n">
        <x:v>0.063</x:v>
      </x:c>
      <x:c r="AB384" s="38" t="n">
        <x:v>0.0001296</x:v>
      </x:c>
      <x:c r="AC384" s="38" t="n">
        <x:v>0.6668135424000001</x:v>
      </x:c>
      <x:c r="AD384" s="28" t="n">
        <x:v>0.38353511794328127</x:v>
      </x:c>
    </x:row>
    <x:row r="385">
      <x:c r="A385" s="32" t="n">
        <x:v>45796</x:v>
      </x:c>
      <x:c r="B385" s="32" t="n">
        <x:v>45778</x:v>
      </x:c>
      <x:c r="C385" t="str">
        <x:v>May 2025</x:v>
      </x:c>
      <x:c r="D385" t="str">
        <x:v>Actual</x:v>
      </x:c>
      <x:c r="E385" t="str">
        <x:v>DB-101</x:v>
      </x:c>
      <x:c r="F385" t="str">
        <x:v>AeroSip Bottle</x:v>
      </x:c>
      <x:c r="G385" t="str">
        <x:v>One-time purchase</x:v>
      </x:c>
      <x:c r="H385" t="str">
        <x:v>None</x:v>
      </x:c>
      <x:c r="I385" t="str">
        <x:v>Active</x:v>
      </x:c>
      <x:c r="J385" t="str">
        <x:v>Shopify DTC</x:v>
      </x:c>
      <x:c r="K385" t="str">
        <x:v>Consumer</x:v>
      </x:c>
      <x:c r="L385" t="str">
        <x:v>All Geographies</x:v>
      </x:c>
      <x:c r="M385" s="34" t="n">
        <x:v>5318</x:v>
      </x:c>
      <x:c r="N385" s="28" t="n">
        <x:v>0.034199999999999994</x:v>
      </x:c>
      <x:c r="O385" s="34" t="n">
        <x:v>182</x:v>
      </x:c>
      <x:c r="P385" s="34" t="n">
        <x:v>1</x:v>
      </x:c>
      <x:c r="Q385" s="34" t="n">
        <x:v>182</x:v>
      </x:c>
      <x:c r="R385" s="33" t="n">
        <x:v>29</x:v>
      </x:c>
      <x:c r="S385" s="38" t="n">
        <x:v>5.278</x:v>
      </x:c>
      <x:c r="T385" s="38" t="n">
        <x:v>0.42223999999999995</x:v>
      </x:c>
      <x:c r="U385" s="38" t="n">
        <x:v>0.2185092</x:v>
      </x:c>
      <x:c r="V385" s="38" t="n">
        <x:v>4.6372508</x:v>
      </x:c>
      <x:c r="W385" s="38" t="n">
        <x:v>1.9656000000000002</x:v>
      </x:c>
      <x:c r="X385" s="38" t="n">
        <x:v>0.13448027320000003</x:v>
      </x:c>
      <x:c r="Y385" s="38" t="n">
        <x:v>0</x:v>
      </x:c>
      <x:c r="Z385" s="38" t="n">
        <x:v>0.7553000000000001</x:v>
      </x:c>
      <x:c r="AA385" s="38" t="n">
        <x:v>0.3003</x:v>
      </x:c>
      <x:c r="AB385" s="38" t="n">
        <x:v>0.0065520000000000005</x:v>
      </x:c>
      <x:c r="AC385" s="38" t="n">
        <x:v>1.4750185268000002</x:v>
      </x:c>
      <x:c r="AD385" s="28" t="n">
        <x:v>0.31808038650831655</x:v>
      </x:c>
    </x:row>
    <x:row r="386">
      <x:c r="A386" s="32" t="n">
        <x:v>45796</x:v>
      </x:c>
      <x:c r="B386" s="32" t="n">
        <x:v>45778</x:v>
      </x:c>
      <x:c r="C386" t="str">
        <x:v>May 2025</x:v>
      </x:c>
      <x:c r="D386" t="str">
        <x:v>Actual</x:v>
      </x:c>
      <x:c r="E386" t="str">
        <x:v>DB-101</x:v>
      </x:c>
      <x:c r="F386" t="str">
        <x:v>AeroSip Bottle</x:v>
      </x:c>
      <x:c r="G386" t="str">
        <x:v>One-time purchase</x:v>
      </x:c>
      <x:c r="H386" t="str">
        <x:v>None</x:v>
      </x:c>
      <x:c r="I386" t="str">
        <x:v>Active</x:v>
      </x:c>
      <x:c r="J386" t="str">
        <x:v>Amazon Marketplace</x:v>
      </x:c>
      <x:c r="K386" t="str">
        <x:v>Marketplace Consumer</x:v>
      </x:c>
      <x:c r="L386" t="str">
        <x:v>All Geographies</x:v>
      </x:c>
      <x:c r="M386" s="34" t="n">
        <x:v>2659</x:v>
      </x:c>
      <x:c r="N386" s="28" t="n">
        <x:v>0.040355999999999996</x:v>
      </x:c>
      <x:c r="O386" s="34" t="n">
        <x:v>107</x:v>
      </x:c>
      <x:c r="P386" s="34" t="n">
        <x:v>1</x:v>
      </x:c>
      <x:c r="Q386" s="34" t="n">
        <x:v>107</x:v>
      </x:c>
      <x:c r="R386" s="33" t="n">
        <x:v>29</x:v>
      </x:c>
      <x:c r="S386" s="38" t="n">
        <x:v>3.103</x:v>
      </x:c>
      <x:c r="T386" s="38" t="n">
        <x:v>0.15515</x:v>
      </x:c>
      <x:c r="U386" s="38" t="n">
        <x:v>0.13265325</x:v>
      </x:c>
      <x:c r="V386" s="38" t="n">
        <x:v>2.81519675</x:v>
      </x:c>
      <x:c r="W386" s="38" t="n">
        <x:v>1.1556000000000002</x:v>
      </x:c>
      <x:c r="X386" s="38" t="n">
        <x:v>0</x:v>
      </x:c>
      <x:c r="Y386" s="38" t="n">
        <x:v>0.4222795125</x:v>
      </x:c>
      <x:c r="Z386" s="38" t="n">
        <x:v>0.5564</x:v>
      </x:c>
      <x:c r="AA386" s="38" t="n">
        <x:v>0.23004999999999998</x:v>
      </x:c>
      <x:c r="AB386" s="38" t="n">
        <x:v>0.0038520000000000004</x:v>
      </x:c>
      <x:c r="AC386" s="38" t="n">
        <x:v>0.4470152374999999</x:v>
      </x:c>
      <x:c r="AD386" s="28" t="n">
        <x:v>0.15878649955815693</x:v>
      </x:c>
    </x:row>
    <x:row r="387">
      <x:c r="A387" s="32" t="n">
        <x:v>45796</x:v>
      </x:c>
      <x:c r="B387" s="32" t="n">
        <x:v>45778</x:v>
      </x:c>
      <x:c r="C387" t="str">
        <x:v>May 2025</x:v>
      </x:c>
      <x:c r="D387" t="str">
        <x:v>Actual</x:v>
      </x:c>
      <x:c r="E387" t="str">
        <x:v>DB-101</x:v>
      </x:c>
      <x:c r="F387" t="str">
        <x:v>AeroSip Bottle</x:v>
      </x:c>
      <x:c r="G387" t="str">
        <x:v>One-time purchase</x:v>
      </x:c>
      <x:c r="H387" t="str">
        <x:v>None</x:v>
      </x:c>
      <x:c r="I387" t="str">
        <x:v>Active</x:v>
      </x:c>
      <x:c r="J387" t="str">
        <x:v>Wholesale</x:v>
      </x:c>
      <x:c r="K387" t="str">
        <x:v>Retailer</x:v>
      </x:c>
      <x:c r="L387" t="str">
        <x:v>All Geographies</x:v>
      </x:c>
      <x:c r="M387" s="34" t="n">
        <x:v>1595</x:v>
      </x:c>
      <x:c r="N387" s="28" t="n">
        <x:v>0.01881</x:v>
      </x:c>
      <x:c r="O387" s="34" t="n">
        <x:v>30</x:v>
      </x:c>
      <x:c r="P387" s="34" t="n">
        <x:v>1</x:v>
      </x:c>
      <x:c r="Q387" s="34" t="n">
        <x:v>30</x:v>
      </x:c>
      <x:c r="R387" s="33" t="n">
        <x:v>29</x:v>
      </x:c>
      <x:c r="S387" s="38" t="n">
        <x:v>0.87</x:v>
      </x:c>
      <x:c r="T387" s="38" t="n">
        <x:v>0.3045</x:v>
      </x:c>
      <x:c r="U387" s="38" t="n">
        <x:v>0.025447499999999998</x:v>
      </x:c>
      <x:c r="V387" s="38" t="n">
        <x:v>0.5400525</x:v>
      </x:c>
      <x:c r="W387" s="38" t="n">
        <x:v>0.324</x:v>
      </x:c>
      <x:c r="X387" s="38" t="n">
        <x:v>0</x:v>
      </x:c>
      <x:c r="Y387" s="38" t="n">
        <x:v>0</x:v>
      </x:c>
      <x:c r="Z387" s="38" t="n">
        <x:v>0.069</x:v>
      </x:c>
      <x:c r="AA387" s="38" t="n">
        <x:v>0.0255</x:v>
      </x:c>
      <x:c r="AB387" s="38" t="n">
        <x:v>0.00108</x:v>
      </x:c>
      <x:c r="AC387" s="38" t="n">
        <x:v>0.12047250000000004</x:v>
      </x:c>
      <x:c r="AD387" s="28" t="n">
        <x:v>0.22307553432305197</x:v>
      </x:c>
    </x:row>
    <x:row r="388">
      <x:c r="A388" s="32" t="n">
        <x:v>45796</x:v>
      </x:c>
      <x:c r="B388" s="32" t="n">
        <x:v>45778</x:v>
      </x:c>
      <x:c r="C388" t="str">
        <x:v>May 2025</x:v>
      </x:c>
      <x:c r="D388" t="str">
        <x:v>Actual</x:v>
      </x:c>
      <x:c r="E388" t="str">
        <x:v>DB-101</x:v>
      </x:c>
      <x:c r="F388" t="str">
        <x:v>AeroSip Bottle</x:v>
      </x:c>
      <x:c r="G388" t="str">
        <x:v>One-time purchase</x:v>
      </x:c>
      <x:c r="H388" t="str">
        <x:v>None</x:v>
      </x:c>
      <x:c r="I388" t="str">
        <x:v>Active</x:v>
      </x:c>
      <x:c r="J388" t="str">
        <x:v>TikTok Shop</x:v>
      </x:c>
      <x:c r="K388" t="str">
        <x:v>Social Commerce</x:v>
      </x:c>
      <x:c r="L388" t="str">
        <x:v>All Geographies</x:v>
      </x:c>
      <x:c r="M388" s="34" t="n">
        <x:v>1064</x:v>
      </x:c>
      <x:c r="N388" s="28" t="n">
        <x:v>0.043092</x:v>
      </x:c>
      <x:c r="O388" s="34" t="n">
        <x:v>46</x:v>
      </x:c>
      <x:c r="P388" s="34" t="n">
        <x:v>1</x:v>
      </x:c>
      <x:c r="Q388" s="34" t="n">
        <x:v>46</x:v>
      </x:c>
      <x:c r="R388" s="33" t="n">
        <x:v>29</x:v>
      </x:c>
      <x:c r="S388" s="38" t="n">
        <x:v>1.334</x:v>
      </x:c>
      <x:c r="T388" s="38" t="n">
        <x:v>0.16008</x:v>
      </x:c>
      <x:c r="U388" s="38" t="n">
        <x:v>0.0528264</x:v>
      </x:c>
      <x:c r="V388" s="38" t="n">
        <x:v>1.1210936</x:v>
      </x:c>
      <x:c r="W388" s="38" t="n">
        <x:v>0.4968</x:v>
      </x:c>
      <x:c r="X388" s="38" t="n">
        <x:v>0.0325117144</x:v>
      </x:c>
      <x:c r="Y388" s="38" t="n">
        <x:v>0.067265616</x:v>
      </x:c>
      <x:c r="Z388" s="38" t="n">
        <x:v>0.2346</x:v>
      </x:c>
      <x:c r="AA388" s="38" t="n">
        <x:v>0.0805</x:v>
      </x:c>
      <x:c r="AB388" s="38" t="n">
        <x:v>0.0016560000000000001</x:v>
      </x:c>
      <x:c r="AC388" s="38" t="n">
        <x:v>0.20776026959999994</x:v>
      </x:c>
      <x:c r="AD388" s="28" t="n">
        <x:v>0.18531928966501987</x:v>
      </x:c>
    </x:row>
    <x:row r="389">
      <x:c r="A389" s="32" t="n">
        <x:v>45796</x:v>
      </x:c>
      <x:c r="B389" s="32" t="n">
        <x:v>45778</x:v>
      </x:c>
      <x:c r="C389" t="str">
        <x:v>May 2025</x:v>
      </x:c>
      <x:c r="D389" t="str">
        <x:v>Actual</x:v>
      </x:c>
      <x:c r="E389" t="str">
        <x:v>DB-102</x:v>
      </x:c>
      <x:c r="F389" t="str">
        <x:v>GlowPatch Balm</x:v>
      </x:c>
      <x:c r="G389" t="str">
        <x:v>Consumable repeat</x:v>
      </x:c>
      <x:c r="H389" t="str">
        <x:v>None</x:v>
      </x:c>
      <x:c r="I389" t="str">
        <x:v>Active</x:v>
      </x:c>
      <x:c r="J389" t="str">
        <x:v>Shopify DTC</x:v>
      </x:c>
      <x:c r="K389" t="str">
        <x:v>Consumer</x:v>
      </x:c>
      <x:c r="L389" t="str">
        <x:v>All Geographies</x:v>
      </x:c>
      <x:c r="M389" s="34" t="n">
        <x:v>4295</x:v>
      </x:c>
      <x:c r="N389" s="28" t="n">
        <x:v>0.04248</x:v>
      </x:c>
      <x:c r="O389" s="34" t="n">
        <x:v>182</x:v>
      </x:c>
      <x:c r="P389" s="34" t="n">
        <x:v>1</x:v>
      </x:c>
      <x:c r="Q389" s="34" t="n">
        <x:v>182</x:v>
      </x:c>
      <x:c r="R389" s="33" t="n">
        <x:v>18</x:v>
      </x:c>
      <x:c r="S389" s="38" t="n">
        <x:v>3.276</x:v>
      </x:c>
      <x:c r="T389" s="38" t="n">
        <x:v>0.26208</x:v>
      </x:c>
      <x:c r="U389" s="38" t="n">
        <x:v>0.075348</x:v>
      </x:c>
      <x:c r="V389" s="38" t="n">
        <x:v>2.9385719999999997</x:v>
      </x:c>
      <x:c r="W389" s="38" t="n">
        <x:v>0.98462</x:v>
      </x:c>
      <x:c r="X389" s="38" t="n">
        <x:v>0.085218588</x:v>
      </x:c>
      <x:c r="Y389" s="38" t="n">
        <x:v>0</x:v>
      </x:c>
      <x:c r="Z389" s="38" t="n">
        <x:v>0.7553000000000001</x:v>
      </x:c>
      <x:c r="AA389" s="38" t="n">
        <x:v>0.3003</x:v>
      </x:c>
      <x:c r="AB389" s="38" t="n">
        <x:v>0.001092</x:v>
      </x:c>
      <x:c r="AC389" s="38" t="n">
        <x:v>0.8120414119999996</x:v>
      </x:c>
      <x:c r="AD389" s="28" t="n">
        <x:v>0.276338783599653</x:v>
      </x:c>
    </x:row>
    <x:row r="390">
      <x:c r="A390" s="32" t="n">
        <x:v>45796</x:v>
      </x:c>
      <x:c r="B390" s="32" t="n">
        <x:v>45778</x:v>
      </x:c>
      <x:c r="C390" t="str">
        <x:v>May 2025</x:v>
      </x:c>
      <x:c r="D390" t="str">
        <x:v>Actual</x:v>
      </x:c>
      <x:c r="E390" t="str">
        <x:v>DB-102</x:v>
      </x:c>
      <x:c r="F390" t="str">
        <x:v>GlowPatch Balm</x:v>
      </x:c>
      <x:c r="G390" t="str">
        <x:v>Consumable repeat</x:v>
      </x:c>
      <x:c r="H390" t="str">
        <x:v>None</x:v>
      </x:c>
      <x:c r="I390" t="str">
        <x:v>Active</x:v>
      </x:c>
      <x:c r="J390" t="str">
        <x:v>Amazon Marketplace</x:v>
      </x:c>
      <x:c r="K390" t="str">
        <x:v>Marketplace Consumer</x:v>
      </x:c>
      <x:c r="L390" t="str">
        <x:v>All Geographies</x:v>
      </x:c>
      <x:c r="M390" s="34" t="n">
        <x:v>2147</x:v>
      </x:c>
      <x:c r="N390" s="28" t="n">
        <x:v>0.050126399999999995</x:v>
      </x:c>
      <x:c r="O390" s="34" t="n">
        <x:v>108</x:v>
      </x:c>
      <x:c r="P390" s="34" t="n">
        <x:v>1</x:v>
      </x:c>
      <x:c r="Q390" s="34" t="n">
        <x:v>108</x:v>
      </x:c>
      <x:c r="R390" s="33" t="n">
        <x:v>18</x:v>
      </x:c>
      <x:c r="S390" s="38" t="n">
        <x:v>1.944</x:v>
      </x:c>
      <x:c r="T390" s="38" t="n">
        <x:v>0.09720000000000001</x:v>
      </x:c>
      <x:c r="U390" s="38" t="n">
        <x:v>0.04617</x:v>
      </x:c>
      <x:c r="V390" s="38" t="n">
        <x:v>1.80063</x:v>
      </x:c>
      <x:c r="W390" s="38" t="n">
        <x:v>0.58428</x:v>
      </x:c>
      <x:c r="X390" s="38" t="n">
        <x:v>0</x:v>
      </x:c>
      <x:c r="Y390" s="38" t="n">
        <x:v>0.27009449999999996</x:v>
      </x:c>
      <x:c r="Z390" s="38" t="n">
        <x:v>0.5616</x:v>
      </x:c>
      <x:c r="AA390" s="38" t="n">
        <x:v>0.2322</x:v>
      </x:c>
      <x:c r="AB390" s="38" t="n">
        <x:v>0.000648</x:v>
      </x:c>
      <x:c r="AC390" s="38" t="n">
        <x:v>0.15180749999999993</x:v>
      </x:c>
      <x:c r="AD390" s="28" t="n">
        <x:v>0.08430799220272901</x:v>
      </x:c>
    </x:row>
    <x:row r="391">
      <x:c r="A391" s="32" t="n">
        <x:v>45796</x:v>
      </x:c>
      <x:c r="B391" s="32" t="n">
        <x:v>45778</x:v>
      </x:c>
      <x:c r="C391" t="str">
        <x:v>May 2025</x:v>
      </x:c>
      <x:c r="D391" t="str">
        <x:v>Actual</x:v>
      </x:c>
      <x:c r="E391" t="str">
        <x:v>DB-102</x:v>
      </x:c>
      <x:c r="F391" t="str">
        <x:v>GlowPatch Balm</x:v>
      </x:c>
      <x:c r="G391" t="str">
        <x:v>Consumable repeat</x:v>
      </x:c>
      <x:c r="H391" t="str">
        <x:v>None</x:v>
      </x:c>
      <x:c r="I391" t="str">
        <x:v>Active</x:v>
      </x:c>
      <x:c r="J391" t="str">
        <x:v>Wholesale</x:v>
      </x:c>
      <x:c r="K391" t="str">
        <x:v>Retailer</x:v>
      </x:c>
      <x:c r="L391" t="str">
        <x:v>All Geographies</x:v>
      </x:c>
      <x:c r="M391" s="34" t="n">
        <x:v>1288</x:v>
      </x:c>
      <x:c r="N391" s="28" t="n">
        <x:v>0.023364</x:v>
      </x:c>
      <x:c r="O391" s="34" t="n">
        <x:v>30</x:v>
      </x:c>
      <x:c r="P391" s="34" t="n">
        <x:v>1</x:v>
      </x:c>
      <x:c r="Q391" s="34" t="n">
        <x:v>30</x:v>
      </x:c>
      <x:c r="R391" s="33" t="n">
        <x:v>18</x:v>
      </x:c>
      <x:c r="S391" s="38" t="n">
        <x:v>0.54</x:v>
      </x:c>
      <x:c r="T391" s="38" t="n">
        <x:v>0.189</x:v>
      </x:c>
      <x:c r="U391" s="38" t="n">
        <x:v>0.008775000000000002</x:v>
      </x:c>
      <x:c r="V391" s="38" t="n">
        <x:v>0.34222500000000006</x:v>
      </x:c>
      <x:c r="W391" s="38" t="n">
        <x:v>0.1623</x:v>
      </x:c>
      <x:c r="X391" s="38" t="n">
        <x:v>0</x:v>
      </x:c>
      <x:c r="Y391" s="38" t="n">
        <x:v>0</x:v>
      </x:c>
      <x:c r="Z391" s="38" t="n">
        <x:v>0.069</x:v>
      </x:c>
      <x:c r="AA391" s="38" t="n">
        <x:v>0.0255</x:v>
      </x:c>
      <x:c r="AB391" s="38" t="n">
        <x:v>0.00017999999999999998</x:v>
      </x:c>
      <x:c r="AC391" s="38" t="n">
        <x:v>0.08524500000000006</x:v>
      </x:c>
      <x:c r="AD391" s="28" t="n">
        <x:v>0.2490905106289723</x:v>
      </x:c>
    </x:row>
    <x:row r="392">
      <x:c r="A392" s="32" t="n">
        <x:v>45796</x:v>
      </x:c>
      <x:c r="B392" s="32" t="n">
        <x:v>45778</x:v>
      </x:c>
      <x:c r="C392" t="str">
        <x:v>May 2025</x:v>
      </x:c>
      <x:c r="D392" t="str">
        <x:v>Actual</x:v>
      </x:c>
      <x:c r="E392" t="str">
        <x:v>DB-102</x:v>
      </x:c>
      <x:c r="F392" t="str">
        <x:v>GlowPatch Balm</x:v>
      </x:c>
      <x:c r="G392" t="str">
        <x:v>Consumable repeat</x:v>
      </x:c>
      <x:c r="H392" t="str">
        <x:v>None</x:v>
      </x:c>
      <x:c r="I392" t="str">
        <x:v>Active</x:v>
      </x:c>
      <x:c r="J392" t="str">
        <x:v>TikTok Shop</x:v>
      </x:c>
      <x:c r="K392" t="str">
        <x:v>Social Commerce</x:v>
      </x:c>
      <x:c r="L392" t="str">
        <x:v>All Geographies</x:v>
      </x:c>
      <x:c r="M392" s="34" t="n">
        <x:v>859</x:v>
      </x:c>
      <x:c r="N392" s="28" t="n">
        <x:v>0.0535248</x:v>
      </x:c>
      <x:c r="O392" s="34" t="n">
        <x:v>46</x:v>
      </x:c>
      <x:c r="P392" s="34" t="n">
        <x:v>1</x:v>
      </x:c>
      <x:c r="Q392" s="34" t="n">
        <x:v>46</x:v>
      </x:c>
      <x:c r="R392" s="33" t="n">
        <x:v>18</x:v>
      </x:c>
      <x:c r="S392" s="38" t="n">
        <x:v>0.828</x:v>
      </x:c>
      <x:c r="T392" s="38" t="n">
        <x:v>0.09935999999999999</x:v>
      </x:c>
      <x:c r="U392" s="38" t="n">
        <x:v>0.018216</x:v>
      </x:c>
      <x:c r="V392" s="38" t="n">
        <x:v>0.7104239999999999</x:v>
      </x:c>
      <x:c r="W392" s="38" t="n">
        <x:v>0.24886000000000003</x:v>
      </x:c>
      <x:c r="X392" s="38" t="n">
        <x:v>0.020602296</x:v>
      </x:c>
      <x:c r="Y392" s="38" t="n">
        <x:v>0.042625439999999994</x:v>
      </x:c>
      <x:c r="Z392" s="38" t="n">
        <x:v>0.2346</x:v>
      </x:c>
      <x:c r="AA392" s="38" t="n">
        <x:v>0.0805</x:v>
      </x:c>
      <x:c r="AB392" s="38" t="n">
        <x:v>0.00027600000000000004</x:v>
      </x:c>
      <x:c r="AC392" s="38" t="n">
        <x:v>0.08296026399999988</x:v>
      </x:c>
      <x:c r="AD392" s="28" t="n">
        <x:v>0.11677570577570562</x:v>
      </x:c>
    </x:row>
    <x:row r="393">
      <x:c r="A393" s="32" t="n">
        <x:v>45796</x:v>
      </x:c>
      <x:c r="B393" s="32" t="n">
        <x:v>45778</x:v>
      </x:c>
      <x:c r="C393" t="str">
        <x:v>May 2025</x:v>
      </x:c>
      <x:c r="D393" t="str">
        <x:v>Actual</x:v>
      </x:c>
      <x:c r="E393" t="str">
        <x:v>DB-103</x:v>
      </x:c>
      <x:c r="F393" t="str">
        <x:v>EmberTrail Camp Mug</x:v>
      </x:c>
      <x:c r="G393" t="str">
        <x:v>One-time purchase</x:v>
      </x:c>
      <x:c r="H393" t="str">
        <x:v>Winter peak</x:v>
      </x:c>
      <x:c r="I393" t="str">
        <x:v>Active</x:v>
      </x:c>
      <x:c r="J393" t="str">
        <x:v>Shopify DTC</x:v>
      </x:c>
      <x:c r="K393" t="str">
        <x:v>Consumer</x:v>
      </x:c>
      <x:c r="L393" t="str">
        <x:v>All Geographies</x:v>
      </x:c>
      <x:c r="M393" s="34" t="n">
        <x:v>2872</x:v>
      </x:c>
      <x:c r="N393" s="28" t="n">
        <x:v>0.0324</x:v>
      </x:c>
      <x:c r="O393" s="34" t="n">
        <x:v>93</x:v>
      </x:c>
      <x:c r="P393" s="34" t="n">
        <x:v>1</x:v>
      </x:c>
      <x:c r="Q393" s="34" t="n">
        <x:v>93</x:v>
      </x:c>
      <x:c r="R393" s="33" t="n">
        <x:v>34</x:v>
      </x:c>
      <x:c r="S393" s="38" t="n">
        <x:v>3.162</x:v>
      </x:c>
      <x:c r="T393" s="38" t="n">
        <x:v>0.25296</x:v>
      </x:c>
      <x:c r="U393" s="38" t="n">
        <x:v>0.1599972</x:v>
      </x:c>
      <x:c r="V393" s="38" t="n">
        <x:v>2.7490428000000002</x:v>
      </x:c>
      <x:c r="W393" s="38" t="n">
        <x:v>1.27131</x:v>
      </x:c>
      <x:c r="X393" s="38" t="n">
        <x:v>0.07972224120000002</x:v>
      </x:c>
      <x:c r="Y393" s="38" t="n">
        <x:v>0</x:v>
      </x:c>
      <x:c r="Z393" s="38" t="n">
        <x:v>0.38595000000000007</x:v>
      </x:c>
      <x:c r="AA393" s="38" t="n">
        <x:v>0.15344999999999998</x:v>
      </x:c>
      <x:c r="AB393" s="38" t="n">
        <x:v>0.005208</x:v>
      </x:c>
      <x:c r="AC393" s="38" t="n">
        <x:v>0.8534025588000003</x:v>
      </x:c>
      <x:c r="AD393" s="28" t="n">
        <x:v>0.31043625759482546</x:v>
      </x:c>
    </x:row>
    <x:row r="394">
      <x:c r="A394" s="32" t="n">
        <x:v>45796</x:v>
      </x:c>
      <x:c r="B394" s="32" t="n">
        <x:v>45778</x:v>
      </x:c>
      <x:c r="C394" t="str">
        <x:v>May 2025</x:v>
      </x:c>
      <x:c r="D394" t="str">
        <x:v>Actual</x:v>
      </x:c>
      <x:c r="E394" t="str">
        <x:v>DB-103</x:v>
      </x:c>
      <x:c r="F394" t="str">
        <x:v>EmberTrail Camp Mug</x:v>
      </x:c>
      <x:c r="G394" t="str">
        <x:v>One-time purchase</x:v>
      </x:c>
      <x:c r="H394" t="str">
        <x:v>Winter peak</x:v>
      </x:c>
      <x:c r="I394" t="str">
        <x:v>Active</x:v>
      </x:c>
      <x:c r="J394" t="str">
        <x:v>Amazon Marketplace</x:v>
      </x:c>
      <x:c r="K394" t="str">
        <x:v>Marketplace Consumer</x:v>
      </x:c>
      <x:c r="L394" t="str">
        <x:v>All Geographies</x:v>
      </x:c>
      <x:c r="M394" s="34" t="n">
        <x:v>1436</x:v>
      </x:c>
      <x:c r="N394" s="28" t="n">
        <x:v>0.038231999999999995</x:v>
      </x:c>
      <x:c r="O394" s="34" t="n">
        <x:v>55</x:v>
      </x:c>
      <x:c r="P394" s="34" t="n">
        <x:v>1</x:v>
      </x:c>
      <x:c r="Q394" s="34" t="n">
        <x:v>55</x:v>
      </x:c>
      <x:c r="R394" s="33" t="n">
        <x:v>34</x:v>
      </x:c>
      <x:c r="S394" s="38" t="n">
        <x:v>1.87</x:v>
      </x:c>
      <x:c r="T394" s="38" t="n">
        <x:v>0.09350000000000001</x:v>
      </x:c>
      <x:c r="U394" s="38" t="n">
        <x:v>0.09770750000000002</x:v>
      </x:c>
      <x:c r="V394" s="38" t="n">
        <x:v>1.6787925000000001</x:v>
      </x:c>
      <x:c r="W394" s="38" t="n">
        <x:v>0.75185</x:v>
      </x:c>
      <x:c r="X394" s="38" t="n">
        <x:v>0</x:v>
      </x:c>
      <x:c r="Y394" s="38" t="n">
        <x:v>0.251818875</x:v>
      </x:c>
      <x:c r="Z394" s="38" t="n">
        <x:v>0.286</x:v>
      </x:c>
      <x:c r="AA394" s="38" t="n">
        <x:v>0.11825</x:v>
      </x:c>
      <x:c r="AB394" s="38" t="n">
        <x:v>0.0030800000000000003</x:v>
      </x:c>
      <x:c r="AC394" s="38" t="n">
        <x:v>0.2677936250000001</x:v>
      </x:c>
      <x:c r="AD394" s="28" t="n">
        <x:v>0.15951561911314238</x:v>
      </x:c>
    </x:row>
    <x:row r="395">
      <x:c r="A395" s="32" t="n">
        <x:v>45796</x:v>
      </x:c>
      <x:c r="B395" s="32" t="n">
        <x:v>45778</x:v>
      </x:c>
      <x:c r="C395" t="str">
        <x:v>May 2025</x:v>
      </x:c>
      <x:c r="D395" t="str">
        <x:v>Actual</x:v>
      </x:c>
      <x:c r="E395" t="str">
        <x:v>DB-103</x:v>
      </x:c>
      <x:c r="F395" t="str">
        <x:v>EmberTrail Camp Mug</x:v>
      </x:c>
      <x:c r="G395" t="str">
        <x:v>One-time purchase</x:v>
      </x:c>
      <x:c r="H395" t="str">
        <x:v>Winter peak</x:v>
      </x:c>
      <x:c r="I395" t="str">
        <x:v>Active</x:v>
      </x:c>
      <x:c r="J395" t="str">
        <x:v>Wholesale</x:v>
      </x:c>
      <x:c r="K395" t="str">
        <x:v>Retailer</x:v>
      </x:c>
      <x:c r="L395" t="str">
        <x:v>All Geographies</x:v>
      </x:c>
      <x:c r="M395" s="34" t="n">
        <x:v>861</x:v>
      </x:c>
      <x:c r="N395" s="28" t="n">
        <x:v>0.017820000000000003</x:v>
      </x:c>
      <x:c r="O395" s="34" t="n">
        <x:v>15</x:v>
      </x:c>
      <x:c r="P395" s="34" t="n">
        <x:v>1</x:v>
      </x:c>
      <x:c r="Q395" s="34" t="n">
        <x:v>15</x:v>
      </x:c>
      <x:c r="R395" s="33" t="n">
        <x:v>34</x:v>
      </x:c>
      <x:c r="S395" s="38" t="n">
        <x:v>0.51</x:v>
      </x:c>
      <x:c r="T395" s="38" t="n">
        <x:v>0.1785</x:v>
      </x:c>
      <x:c r="U395" s="38" t="n">
        <x:v>0.018232500000000002</x:v>
      </x:c>
      <x:c r="V395" s="38" t="n">
        <x:v>0.31326750000000003</x:v>
      </x:c>
      <x:c r="W395" s="38" t="n">
        <x:v>0.20505</x:v>
      </x:c>
      <x:c r="X395" s="38" t="n">
        <x:v>0</x:v>
      </x:c>
      <x:c r="Y395" s="38" t="n">
        <x:v>0</x:v>
      </x:c>
      <x:c r="Z395" s="38" t="n">
        <x:v>0.0345</x:v>
      </x:c>
      <x:c r="AA395" s="38" t="n">
        <x:v>0.01275</x:v>
      </x:c>
      <x:c r="AB395" s="38" t="n">
        <x:v>0.0008399999999999999</x:v>
      </x:c>
      <x:c r="AC395" s="38" t="n">
        <x:v>0.06012750000000002</x:v>
      </x:c>
      <x:c r="AD395" s="28" t="n">
        <x:v>0.19193660370130963</x:v>
      </x:c>
    </x:row>
    <x:row r="396">
      <x:c r="A396" s="32" t="n">
        <x:v>45796</x:v>
      </x:c>
      <x:c r="B396" s="32" t="n">
        <x:v>45778</x:v>
      </x:c>
      <x:c r="C396" t="str">
        <x:v>May 2025</x:v>
      </x:c>
      <x:c r="D396" t="str">
        <x:v>Actual</x:v>
      </x:c>
      <x:c r="E396" t="str">
        <x:v>DB-103</x:v>
      </x:c>
      <x:c r="F396" t="str">
        <x:v>EmberTrail Camp Mug</x:v>
      </x:c>
      <x:c r="G396" t="str">
        <x:v>One-time purchase</x:v>
      </x:c>
      <x:c r="H396" t="str">
        <x:v>Winter peak</x:v>
      </x:c>
      <x:c r="I396" t="str">
        <x:v>Active</x:v>
      </x:c>
      <x:c r="J396" t="str">
        <x:v>TikTok Shop</x:v>
      </x:c>
      <x:c r="K396" t="str">
        <x:v>Social Commerce</x:v>
      </x:c>
      <x:c r="L396" t="str">
        <x:v>All Geographies</x:v>
      </x:c>
      <x:c r="M396" s="34" t="n">
        <x:v>574</x:v>
      </x:c>
      <x:c r="N396" s="28" t="n">
        <x:v>0.040824</x:v>
      </x:c>
      <x:c r="O396" s="34" t="n">
        <x:v>23</x:v>
      </x:c>
      <x:c r="P396" s="34" t="n">
        <x:v>1</x:v>
      </x:c>
      <x:c r="Q396" s="34" t="n">
        <x:v>23</x:v>
      </x:c>
      <x:c r="R396" s="33" t="n">
        <x:v>34</x:v>
      </x:c>
      <x:c r="S396" s="38" t="n">
        <x:v>0.782</x:v>
      </x:c>
      <x:c r="T396" s="38" t="n">
        <x:v>0.09384</x:v>
      </x:c>
      <x:c r="U396" s="38" t="n">
        <x:v>0.0378488</x:v>
      </x:c>
      <x:c r="V396" s="38" t="n">
        <x:v>0.6503112</x:v>
      </x:c>
      <x:c r="W396" s="38" t="n">
        <x:v>0.31441</x:v>
      </x:c>
      <x:c r="X396" s="38" t="n">
        <x:v>0.0188590248</x:v>
      </x:c>
      <x:c r="Y396" s="38" t="n">
        <x:v>0.039018672</x:v>
      </x:c>
      <x:c r="Z396" s="38" t="n">
        <x:v>0.1173</x:v>
      </x:c>
      <x:c r="AA396" s="38" t="n">
        <x:v>0.04025</x:v>
      </x:c>
      <x:c r="AB396" s="38" t="n">
        <x:v>0.001288</x:v>
      </x:c>
      <x:c r="AC396" s="38" t="n">
        <x:v>0.11918550319999995</x:v>
      </x:c>
      <x:c r="AD396" s="28" t="n">
        <x:v>0.18327456639221337</x:v>
      </x:c>
    </x:row>
    <x:row r="397">
      <x:c r="A397" s="32" t="n">
        <x:v>45796</x:v>
      </x:c>
      <x:c r="B397" s="32" t="n">
        <x:v>45778</x:v>
      </x:c>
      <x:c r="C397" t="str">
        <x:v>May 2025</x:v>
      </x:c>
      <x:c r="D397" t="str">
        <x:v>Actual</x:v>
      </x:c>
      <x:c r="E397" t="str">
        <x:v>DB-104</x:v>
      </x:c>
      <x:c r="F397" t="str">
        <x:v>SunNest Cooling Towel</x:v>
      </x:c>
      <x:c r="G397" t="str">
        <x:v>Consumable repeat</x:v>
      </x:c>
      <x:c r="H397" t="str">
        <x:v>Summer peak</x:v>
      </x:c>
      <x:c r="I397" t="str">
        <x:v>Active</x:v>
      </x:c>
      <x:c r="J397" t="str">
        <x:v>Shopify DTC</x:v>
      </x:c>
      <x:c r="K397" t="str">
        <x:v>Consumer</x:v>
      </x:c>
      <x:c r="L397" t="str">
        <x:v>All Geographies</x:v>
      </x:c>
      <x:c r="M397" s="34" t="n">
        <x:v>4450</x:v>
      </x:c>
      <x:c r="N397" s="28" t="n">
        <x:v>0.03312</x:v>
      </x:c>
      <x:c r="O397" s="34" t="n">
        <x:v>147</x:v>
      </x:c>
      <x:c r="P397" s="34" t="n">
        <x:v>1</x:v>
      </x:c>
      <x:c r="Q397" s="34" t="n">
        <x:v>147</x:v>
      </x:c>
      <x:c r="R397" s="33" t="n">
        <x:v>42</x:v>
      </x:c>
      <x:c r="S397" s="38" t="n">
        <x:v>6.174</x:v>
      </x:c>
      <x:c r="T397" s="38" t="n">
        <x:v>0.49392</x:v>
      </x:c>
      <x:c r="U397" s="38" t="n">
        <x:v>0.28400400000000003</x:v>
      </x:c>
      <x:c r="V397" s="38" t="n">
        <x:v>5.396076</x:v>
      </x:c>
      <x:c r="W397" s="38" t="n">
        <x:v>2.21235</x:v>
      </x:c>
      <x:c r="X397" s="38" t="n">
        <x:v>0.15648620400000002</x:v>
      </x:c>
      <x:c r="Y397" s="38" t="n">
        <x:v>0</x:v>
      </x:c>
      <x:c r="Z397" s="38" t="n">
        <x:v>0.6100500000000001</x:v>
      </x:c>
      <x:c r="AA397" s="38" t="n">
        <x:v>0.24255</x:v>
      </x:c>
      <x:c r="AB397" s="38" t="n">
        <x:v>0.004116</x:v>
      </x:c>
      <x:c r="AC397" s="38" t="n">
        <x:v>2.170523796</x:v>
      </x:c>
      <x:c r="AD397" s="28" t="n">
        <x:v>0.40224114634412117</x:v>
      </x:c>
    </x:row>
    <x:row r="398">
      <x:c r="A398" s="32" t="n">
        <x:v>45796</x:v>
      </x:c>
      <x:c r="B398" s="32" t="n">
        <x:v>45778</x:v>
      </x:c>
      <x:c r="C398" t="str">
        <x:v>May 2025</x:v>
      </x:c>
      <x:c r="D398" t="str">
        <x:v>Actual</x:v>
      </x:c>
      <x:c r="E398" t="str">
        <x:v>DB-104</x:v>
      </x:c>
      <x:c r="F398" t="str">
        <x:v>SunNest Cooling Towel</x:v>
      </x:c>
      <x:c r="G398" t="str">
        <x:v>Consumable repeat</x:v>
      </x:c>
      <x:c r="H398" t="str">
        <x:v>Summer peak</x:v>
      </x:c>
      <x:c r="I398" t="str">
        <x:v>Active</x:v>
      </x:c>
      <x:c r="J398" t="str">
        <x:v>Amazon Marketplace</x:v>
      </x:c>
      <x:c r="K398" t="str">
        <x:v>Marketplace Consumer</x:v>
      </x:c>
      <x:c r="L398" t="str">
        <x:v>All Geographies</x:v>
      </x:c>
      <x:c r="M398" s="34" t="n">
        <x:v>2225</x:v>
      </x:c>
      <x:c r="N398" s="28" t="n">
        <x:v>0.0390816</x:v>
      </x:c>
      <x:c r="O398" s="34" t="n">
        <x:v>87</x:v>
      </x:c>
      <x:c r="P398" s="34" t="n">
        <x:v>1</x:v>
      </x:c>
      <x:c r="Q398" s="34" t="n">
        <x:v>87</x:v>
      </x:c>
      <x:c r="R398" s="33" t="n">
        <x:v>42</x:v>
      </x:c>
      <x:c r="S398" s="38" t="n">
        <x:v>3.654</x:v>
      </x:c>
      <x:c r="T398" s="38" t="n">
        <x:v>0.1827</x:v>
      </x:c>
      <x:c r="U398" s="38" t="n">
        <x:v>0.173565</x:v>
      </x:c>
      <x:c r="V398" s="38" t="n">
        <x:v>3.297735</x:v>
      </x:c>
      <x:c r="W398" s="38" t="n">
        <x:v>1.3093500000000002</x:v>
      </x:c>
      <x:c r="X398" s="38" t="n">
        <x:v>0</x:v>
      </x:c>
      <x:c r="Y398" s="38" t="n">
        <x:v>0.49466024999999997</x:v>
      </x:c>
      <x:c r="Z398" s="38" t="n">
        <x:v>0.4524</x:v>
      </x:c>
      <x:c r="AA398" s="38" t="n">
        <x:v>0.18705</x:v>
      </x:c>
      <x:c r="AB398" s="38" t="n">
        <x:v>0.002436</x:v>
      </x:c>
      <x:c r="AC398" s="38" t="n">
        <x:v>0.8518387499999999</x:v>
      </x:c>
      <x:c r="AD398" s="28" t="n">
        <x:v>0.2583102493074792</x:v>
      </x:c>
    </x:row>
    <x:row r="399">
      <x:c r="A399" s="32" t="n">
        <x:v>45796</x:v>
      </x:c>
      <x:c r="B399" s="32" t="n">
        <x:v>45778</x:v>
      </x:c>
      <x:c r="C399" t="str">
        <x:v>May 2025</x:v>
      </x:c>
      <x:c r="D399" t="str">
        <x:v>Actual</x:v>
      </x:c>
      <x:c r="E399" t="str">
        <x:v>DB-104</x:v>
      </x:c>
      <x:c r="F399" t="str">
        <x:v>SunNest Cooling Towel</x:v>
      </x:c>
      <x:c r="G399" t="str">
        <x:v>Consumable repeat</x:v>
      </x:c>
      <x:c r="H399" t="str">
        <x:v>Summer peak</x:v>
      </x:c>
      <x:c r="I399" t="str">
        <x:v>Active</x:v>
      </x:c>
      <x:c r="J399" t="str">
        <x:v>Wholesale</x:v>
      </x:c>
      <x:c r="K399" t="str">
        <x:v>Retailer</x:v>
      </x:c>
      <x:c r="L399" t="str">
        <x:v>All Geographies</x:v>
      </x:c>
      <x:c r="M399" s="34" t="n">
        <x:v>1335</x:v>
      </x:c>
      <x:c r="N399" s="28" t="n">
        <x:v>0.018216000000000003</x:v>
      </x:c>
      <x:c r="O399" s="34" t="n">
        <x:v>24</x:v>
      </x:c>
      <x:c r="P399" s="34" t="n">
        <x:v>1</x:v>
      </x:c>
      <x:c r="Q399" s="34" t="n">
        <x:v>24</x:v>
      </x:c>
      <x:c r="R399" s="33" t="n">
        <x:v>42</x:v>
      </x:c>
      <x:c r="S399" s="38" t="n">
        <x:v>1.008</x:v>
      </x:c>
      <x:c r="T399" s="38" t="n">
        <x:v>0.3528</x:v>
      </x:c>
      <x:c r="U399" s="38" t="n">
        <x:v>0.032760000000000004</x:v>
      </x:c>
      <x:c r="V399" s="38" t="n">
        <x:v>0.62244</x:v>
      </x:c>
      <x:c r="W399" s="38" t="n">
        <x:v>0.3612</x:v>
      </x:c>
      <x:c r="X399" s="38" t="n">
        <x:v>0</x:v>
      </x:c>
      <x:c r="Y399" s="38" t="n">
        <x:v>0</x:v>
      </x:c>
      <x:c r="Z399" s="38" t="n">
        <x:v>0.0552</x:v>
      </x:c>
      <x:c r="AA399" s="38" t="n">
        <x:v>0.020399999999999998</x:v>
      </x:c>
      <x:c r="AB399" s="38" t="n">
        <x:v>0.000672</x:v>
      </x:c>
      <x:c r="AC399" s="38" t="n">
        <x:v>0.18496799999999997</x:v>
      </x:c>
      <x:c r="AD399" s="28" t="n">
        <x:v>0.29716599190283394</x:v>
      </x:c>
    </x:row>
    <x:row r="400">
      <x:c r="A400" s="32" t="n">
        <x:v>45796</x:v>
      </x:c>
      <x:c r="B400" s="32" t="n">
        <x:v>45778</x:v>
      </x:c>
      <x:c r="C400" t="str">
        <x:v>May 2025</x:v>
      </x:c>
      <x:c r="D400" t="str">
        <x:v>Actual</x:v>
      </x:c>
      <x:c r="E400" t="str">
        <x:v>DB-104</x:v>
      </x:c>
      <x:c r="F400" t="str">
        <x:v>SunNest Cooling Towel</x:v>
      </x:c>
      <x:c r="G400" t="str">
        <x:v>Consumable repeat</x:v>
      </x:c>
      <x:c r="H400" t="str">
        <x:v>Summer peak</x:v>
      </x:c>
      <x:c r="I400" t="str">
        <x:v>Active</x:v>
      </x:c>
      <x:c r="J400" t="str">
        <x:v>TikTok Shop</x:v>
      </x:c>
      <x:c r="K400" t="str">
        <x:v>Social Commerce</x:v>
      </x:c>
      <x:c r="L400" t="str">
        <x:v>All Geographies</x:v>
      </x:c>
      <x:c r="M400" s="34" t="n">
        <x:v>890</x:v>
      </x:c>
      <x:c r="N400" s="28" t="n">
        <x:v>0.0417312</x:v>
      </x:c>
      <x:c r="O400" s="34" t="n">
        <x:v>37</x:v>
      </x:c>
      <x:c r="P400" s="34" t="n">
        <x:v>1</x:v>
      </x:c>
      <x:c r="Q400" s="34" t="n">
        <x:v>37</x:v>
      </x:c>
      <x:c r="R400" s="33" t="n">
        <x:v>42</x:v>
      </x:c>
      <x:c r="S400" s="38" t="n">
        <x:v>1.554</x:v>
      </x:c>
      <x:c r="T400" s="38" t="n">
        <x:v>0.18648</x:v>
      </x:c>
      <x:c r="U400" s="38" t="n">
        <x:v>0.068376</x:v>
      </x:c>
      <x:c r="V400" s="38" t="n">
        <x:v>1.299144</x:v>
      </x:c>
      <x:c r="W400" s="38" t="n">
        <x:v>0.5568500000000001</x:v>
      </x:c>
      <x:c r="X400" s="38" t="n">
        <x:v>0.037675176000000005</x:v>
      </x:c>
      <x:c r="Y400" s="38" t="n">
        <x:v>0.07794864</x:v>
      </x:c>
      <x:c r="Z400" s="38" t="n">
        <x:v>0.18869999999999998</x:v>
      </x:c>
      <x:c r="AA400" s="38" t="n">
        <x:v>0.06475</x:v>
      </x:c>
      <x:c r="AB400" s="38" t="n">
        <x:v>0.001036</x:v>
      </x:c>
      <x:c r="AC400" s="38" t="n">
        <x:v>0.37218418400000003</x:v>
      </x:c>
      <x:c r="AD400" s="28" t="n">
        <x:v>0.2864841649578492</x:v>
      </x:c>
    </x:row>
    <x:row r="401">
      <x:c r="A401" s="32" t="n">
        <x:v>45796</x:v>
      </x:c>
      <x:c r="B401" s="32" t="n">
        <x:v>45778</x:v>
      </x:c>
      <x:c r="C401" t="str">
        <x:v>May 2025</x:v>
      </x:c>
      <x:c r="D401" t="str">
        <x:v>Actual</x:v>
      </x:c>
      <x:c r="E401" t="str">
        <x:v>DB-105</x:v>
      </x:c>
      <x:c r="F401" t="str">
        <x:v>DreamFuel Refill Pack</x:v>
      </x:c>
      <x:c r="G401" t="str">
        <x:v>Subscription</x:v>
      </x:c>
      <x:c r="H401" t="str">
        <x:v>None</x:v>
      </x:c>
      <x:c r="I401" t="str">
        <x:v>Active</x:v>
      </x:c>
      <x:c r="J401" t="str">
        <x:v>Shopify DTC</x:v>
      </x:c>
      <x:c r="K401" t="str">
        <x:v>Consumer</x:v>
      </x:c>
      <x:c r="L401" t="str">
        <x:v>All Geographies</x:v>
      </x:c>
      <x:c r="M401" s="34" t="n">
        <x:v>3681</x:v>
      </x:c>
      <x:c r="N401" s="28" t="n">
        <x:v>0.03888</x:v>
      </x:c>
      <x:c r="O401" s="34" t="n">
        <x:v>143</x:v>
      </x:c>
      <x:c r="P401" s="34" t="n">
        <x:v>1</x:v>
      </x:c>
      <x:c r="Q401" s="34" t="n">
        <x:v>143</x:v>
      </x:c>
      <x:c r="R401" s="33" t="n">
        <x:v>56</x:v>
      </x:c>
      <x:c r="S401" s="38" t="n">
        <x:v>8.008</x:v>
      </x:c>
      <x:c r="T401" s="38" t="n">
        <x:v>0.64064</x:v>
      </x:c>
      <x:c r="U401" s="38" t="n">
        <x:v>0.14734719999999998</x:v>
      </x:c>
      <x:c r="V401" s="38" t="n">
        <x:v>7.220012799999999</x:v>
      </x:c>
      <x:c r="W401" s="38" t="n">
        <x:v>2.6626600000000002</x:v>
      </x:c>
      <x:c r="X401" s="38" t="n">
        <x:v>0.2093803712</x:v>
      </x:c>
      <x:c r="Y401" s="38" t="n">
        <x:v>0</x:v>
      </x:c>
      <x:c r="Z401" s="38" t="n">
        <x:v>0.59345</x:v>
      </x:c>
      <x:c r="AA401" s="38" t="n">
        <x:v>0.23595</x:v>
      </x:c>
      <x:c r="AB401" s="38" t="n">
        <x:v>0.0005147999999999999</x:v>
      </x:c>
      <x:c r="AC401" s="38" t="n">
        <x:v>3.518057628799999</x:v>
      </x:c>
      <x:c r="AD401" s="28" t="n">
        <x:v>0.4872647357079477</x:v>
      </x:c>
    </x:row>
    <x:row r="402">
      <x:c r="A402" s="32" t="n">
        <x:v>45796</x:v>
      </x:c>
      <x:c r="B402" s="32" t="n">
        <x:v>45778</x:v>
      </x:c>
      <x:c r="C402" t="str">
        <x:v>May 2025</x:v>
      </x:c>
      <x:c r="D402" t="str">
        <x:v>Actual</x:v>
      </x:c>
      <x:c r="E402" t="str">
        <x:v>DB-105</x:v>
      </x:c>
      <x:c r="F402" t="str">
        <x:v>DreamFuel Refill Pack</x:v>
      </x:c>
      <x:c r="G402" t="str">
        <x:v>Subscription</x:v>
      </x:c>
      <x:c r="H402" t="str">
        <x:v>None</x:v>
      </x:c>
      <x:c r="I402" t="str">
        <x:v>Active</x:v>
      </x:c>
      <x:c r="J402" t="str">
        <x:v>Amazon Marketplace</x:v>
      </x:c>
      <x:c r="K402" t="str">
        <x:v>Marketplace Consumer</x:v>
      </x:c>
      <x:c r="L402" t="str">
        <x:v>All Geographies</x:v>
      </x:c>
      <x:c r="M402" s="34" t="n">
        <x:v>1841</x:v>
      </x:c>
      <x:c r="N402" s="28" t="n">
        <x:v>0.0458784</x:v>
      </x:c>
      <x:c r="O402" s="34" t="n">
        <x:v>84</x:v>
      </x:c>
      <x:c r="P402" s="34" t="n">
        <x:v>1</x:v>
      </x:c>
      <x:c r="Q402" s="34" t="n">
        <x:v>84</x:v>
      </x:c>
      <x:c r="R402" s="33" t="n">
        <x:v>56</x:v>
      </x:c>
      <x:c r="S402" s="38" t="n">
        <x:v>4.704</x:v>
      </x:c>
      <x:c r="T402" s="38" t="n">
        <x:v>0.2352</x:v>
      </x:c>
      <x:c r="U402" s="38" t="n">
        <x:v>0.089376</x:v>
      </x:c>
      <x:c r="V402" s="38" t="n">
        <x:v>4.379424</x:v>
      </x:c>
      <x:c r="W402" s="38" t="n">
        <x:v>1.5640800000000001</x:v>
      </x:c>
      <x:c r="X402" s="38" t="n">
        <x:v>0</x:v>
      </x:c>
      <x:c r="Y402" s="38" t="n">
        <x:v>0.6569136</x:v>
      </x:c>
      <x:c r="Z402" s="38" t="n">
        <x:v>0.4368</x:v>
      </x:c>
      <x:c r="AA402" s="38" t="n">
        <x:v>0.18059999999999998</x:v>
      </x:c>
      <x:c r="AB402" s="38" t="n">
        <x:v>0.0003024</x:v>
      </x:c>
      <x:c r="AC402" s="38" t="n">
        <x:v>1.5407280000000003</x:v>
      </x:c>
      <x:c r="AD402" s="28" t="n">
        <x:v>0.3518106490716588</x:v>
      </x:c>
    </x:row>
    <x:row r="403">
      <x:c r="A403" s="32" t="n">
        <x:v>45796</x:v>
      </x:c>
      <x:c r="B403" s="32" t="n">
        <x:v>45778</x:v>
      </x:c>
      <x:c r="C403" t="str">
        <x:v>May 2025</x:v>
      </x:c>
      <x:c r="D403" t="str">
        <x:v>Actual</x:v>
      </x:c>
      <x:c r="E403" t="str">
        <x:v>DB-105</x:v>
      </x:c>
      <x:c r="F403" t="str">
        <x:v>DreamFuel Refill Pack</x:v>
      </x:c>
      <x:c r="G403" t="str">
        <x:v>Subscription</x:v>
      </x:c>
      <x:c r="H403" t="str">
        <x:v>None</x:v>
      </x:c>
      <x:c r="I403" t="str">
        <x:v>Active</x:v>
      </x:c>
      <x:c r="J403" t="str">
        <x:v>Wholesale</x:v>
      </x:c>
      <x:c r="K403" t="str">
        <x:v>Retailer</x:v>
      </x:c>
      <x:c r="L403" t="str">
        <x:v>All Geographies</x:v>
      </x:c>
      <x:c r="M403" s="34" t="n">
        <x:v>1104</x:v>
      </x:c>
      <x:c r="N403" s="28" t="n">
        <x:v>0.021384000000000004</x:v>
      </x:c>
      <x:c r="O403" s="34" t="n">
        <x:v>24</x:v>
      </x:c>
      <x:c r="P403" s="34" t="n">
        <x:v>1</x:v>
      </x:c>
      <x:c r="Q403" s="34" t="n">
        <x:v>24</x:v>
      </x:c>
      <x:c r="R403" s="33" t="n">
        <x:v>56</x:v>
      </x:c>
      <x:c r="S403" s="38" t="n">
        <x:v>1.344</x:v>
      </x:c>
      <x:c r="T403" s="38" t="n">
        <x:v>0.4704</x:v>
      </x:c>
      <x:c r="U403" s="38" t="n">
        <x:v>0.017472000000000005</x:v>
      </x:c>
      <x:c r="V403" s="38" t="n">
        <x:v>0.8561280000000001</x:v>
      </x:c>
      <x:c r="W403" s="38" t="n">
        <x:v>0.44688</x:v>
      </x:c>
      <x:c r="X403" s="38" t="n">
        <x:v>0</x:v>
      </x:c>
      <x:c r="Y403" s="38" t="n">
        <x:v>0</x:v>
      </x:c>
      <x:c r="Z403" s="38" t="n">
        <x:v>0.0552</x:v>
      </x:c>
      <x:c r="AA403" s="38" t="n">
        <x:v>0.020399999999999998</x:v>
      </x:c>
      <x:c r="AB403" s="38" t="n">
        <x:v>0.0000864</x:v>
      </x:c>
      <x:c r="AC403" s="38" t="n">
        <x:v>0.3335616000000002</x:v>
      </x:c>
      <x:c r="AD403" s="28" t="n">
        <x:v>0.3896165059430367</x:v>
      </x:c>
    </x:row>
    <x:row r="404">
      <x:c r="A404" s="32" t="n">
        <x:v>45796</x:v>
      </x:c>
      <x:c r="B404" s="32" t="n">
        <x:v>45778</x:v>
      </x:c>
      <x:c r="C404" t="str">
        <x:v>May 2025</x:v>
      </x:c>
      <x:c r="D404" t="str">
        <x:v>Actual</x:v>
      </x:c>
      <x:c r="E404" t="str">
        <x:v>DB-105</x:v>
      </x:c>
      <x:c r="F404" t="str">
        <x:v>DreamFuel Refill Pack</x:v>
      </x:c>
      <x:c r="G404" t="str">
        <x:v>Subscription</x:v>
      </x:c>
      <x:c r="H404" t="str">
        <x:v>None</x:v>
      </x:c>
      <x:c r="I404" t="str">
        <x:v>Active</x:v>
      </x:c>
      <x:c r="J404" t="str">
        <x:v>TikTok Shop</x:v>
      </x:c>
      <x:c r="K404" t="str">
        <x:v>Social Commerce</x:v>
      </x:c>
      <x:c r="L404" t="str">
        <x:v>All Geographies</x:v>
      </x:c>
      <x:c r="M404" s="34" t="n">
        <x:v>736</x:v>
      </x:c>
      <x:c r="N404" s="28" t="n">
        <x:v>0.0489888</x:v>
      </x:c>
      <x:c r="O404" s="34" t="n">
        <x:v>36</x:v>
      </x:c>
      <x:c r="P404" s="34" t="n">
        <x:v>1</x:v>
      </x:c>
      <x:c r="Q404" s="34" t="n">
        <x:v>36</x:v>
      </x:c>
      <x:c r="R404" s="33" t="n">
        <x:v>56</x:v>
      </x:c>
      <x:c r="S404" s="38" t="n">
        <x:v>2.016</x:v>
      </x:c>
      <x:c r="T404" s="38" t="n">
        <x:v>0.24192</x:v>
      </x:c>
      <x:c r="U404" s="38" t="n">
        <x:v>0.0354816</x:v>
      </x:c>
      <x:c r="V404" s="38" t="n">
        <x:v>1.7385984</x:v>
      </x:c>
      <x:c r="W404" s="38" t="n">
        <x:v>0.67032</x:v>
      </x:c>
      <x:c r="X404" s="38" t="n">
        <x:v>0.05041935360000001</x:v>
      </x:c>
      <x:c r="Y404" s="38" t="n">
        <x:v>0.104315904</x:v>
      </x:c>
      <x:c r="Z404" s="38" t="n">
        <x:v>0.18359999999999999</x:v>
      </x:c>
      <x:c r="AA404" s="38" t="n">
        <x:v>0.063</x:v>
      </x:c>
      <x:c r="AB404" s="38" t="n">
        <x:v>0.0001296</x:v>
      </x:c>
      <x:c r="AC404" s="38" t="n">
        <x:v>0.6668135424000001</x:v>
      </x:c>
      <x:c r="AD404" s="28" t="n">
        <x:v>0.38353511794328127</x:v>
      </x:c>
    </x:row>
    <x:row r="405">
      <x:c r="A405" s="32" t="n">
        <x:v>45803</x:v>
      </x:c>
      <x:c r="B405" s="32" t="n">
        <x:v>45778</x:v>
      </x:c>
      <x:c r="C405" t="str">
        <x:v>May 2025</x:v>
      </x:c>
      <x:c r="D405" t="str">
        <x:v>Actual</x:v>
      </x:c>
      <x:c r="E405" t="str">
        <x:v>DB-101</x:v>
      </x:c>
      <x:c r="F405" t="str">
        <x:v>AeroSip Bottle</x:v>
      </x:c>
      <x:c r="G405" t="str">
        <x:v>One-time purchase</x:v>
      </x:c>
      <x:c r="H405" t="str">
        <x:v>None</x:v>
      </x:c>
      <x:c r="I405" t="str">
        <x:v>Active</x:v>
      </x:c>
      <x:c r="J405" t="str">
        <x:v>Shopify DTC</x:v>
      </x:c>
      <x:c r="K405" t="str">
        <x:v>Consumer</x:v>
      </x:c>
      <x:c r="L405" t="str">
        <x:v>All Geographies</x:v>
      </x:c>
      <x:c r="M405" s="34" t="n">
        <x:v>5338</x:v>
      </x:c>
      <x:c r="N405" s="28" t="n">
        <x:v>0.034199999999999994</x:v>
      </x:c>
      <x:c r="O405" s="34" t="n">
        <x:v>183</x:v>
      </x:c>
      <x:c r="P405" s="34" t="n">
        <x:v>1</x:v>
      </x:c>
      <x:c r="Q405" s="34" t="n">
        <x:v>183</x:v>
      </x:c>
      <x:c r="R405" s="33" t="n">
        <x:v>29</x:v>
      </x:c>
      <x:c r="S405" s="38" t="n">
        <x:v>5.307</x:v>
      </x:c>
      <x:c r="T405" s="38" t="n">
        <x:v>0.42456000000000005</x:v>
      </x:c>
      <x:c r="U405" s="38" t="n">
        <x:v>0.21970980000000004</x:v>
      </x:c>
      <x:c r="V405" s="38" t="n">
        <x:v>4.6627302</x:v>
      </x:c>
      <x:c r="W405" s="38" t="n">
        <x:v>1.9764000000000002</x:v>
      </x:c>
      <x:c r="X405" s="38" t="n">
        <x:v>0.1352191758</x:v>
      </x:c>
      <x:c r="Y405" s="38" t="n">
        <x:v>0</x:v>
      </x:c>
      <x:c r="Z405" s="38" t="n">
        <x:v>0.7594500000000001</x:v>
      </x:c>
      <x:c r="AA405" s="38" t="n">
        <x:v>0.30195</x:v>
      </x:c>
      <x:c r="AB405" s="38" t="n">
        <x:v>0.006588000000000001</x:v>
      </x:c>
      <x:c r="AC405" s="38" t="n">
        <x:v>1.4831230242000002</x:v>
      </x:c>
      <x:c r="AD405" s="28" t="n">
        <x:v>0.31808038650831655</x:v>
      </x:c>
    </x:row>
    <x:row r="406">
      <x:c r="A406" s="32" t="n">
        <x:v>45803</x:v>
      </x:c>
      <x:c r="B406" s="32" t="n">
        <x:v>45778</x:v>
      </x:c>
      <x:c r="C406" t="str">
        <x:v>May 2025</x:v>
      </x:c>
      <x:c r="D406" t="str">
        <x:v>Actual</x:v>
      </x:c>
      <x:c r="E406" t="str">
        <x:v>DB-101</x:v>
      </x:c>
      <x:c r="F406" t="str">
        <x:v>AeroSip Bottle</x:v>
      </x:c>
      <x:c r="G406" t="str">
        <x:v>One-time purchase</x:v>
      </x:c>
      <x:c r="H406" t="str">
        <x:v>None</x:v>
      </x:c>
      <x:c r="I406" t="str">
        <x:v>Active</x:v>
      </x:c>
      <x:c r="J406" t="str">
        <x:v>Amazon Marketplace</x:v>
      </x:c>
      <x:c r="K406" t="str">
        <x:v>Marketplace Consumer</x:v>
      </x:c>
      <x:c r="L406" t="str">
        <x:v>All Geographies</x:v>
      </x:c>
      <x:c r="M406" s="34" t="n">
        <x:v>2669</x:v>
      </x:c>
      <x:c r="N406" s="28" t="n">
        <x:v>0.040355999999999996</x:v>
      </x:c>
      <x:c r="O406" s="34" t="n">
        <x:v>108</x:v>
      </x:c>
      <x:c r="P406" s="34" t="n">
        <x:v>1</x:v>
      </x:c>
      <x:c r="Q406" s="34" t="n">
        <x:v>108</x:v>
      </x:c>
      <x:c r="R406" s="33" t="n">
        <x:v>29</x:v>
      </x:c>
      <x:c r="S406" s="38" t="n">
        <x:v>3.132</x:v>
      </x:c>
      <x:c r="T406" s="38" t="n">
        <x:v>0.15660000000000002</x:v>
      </x:c>
      <x:c r="U406" s="38" t="n">
        <x:v>0.13389299999999998</x:v>
      </x:c>
      <x:c r="V406" s="38" t="n">
        <x:v>2.841507</x:v>
      </x:c>
      <x:c r="W406" s="38" t="n">
        <x:v>1.1664</x:v>
      </x:c>
      <x:c r="X406" s="38" t="n">
        <x:v>0</x:v>
      </x:c>
      <x:c r="Y406" s="38" t="n">
        <x:v>0.42622604999999997</x:v>
      </x:c>
      <x:c r="Z406" s="38" t="n">
        <x:v>0.5616</x:v>
      </x:c>
      <x:c r="AA406" s="38" t="n">
        <x:v>0.2322</x:v>
      </x:c>
      <x:c r="AB406" s="38" t="n">
        <x:v>0.003888</x:v>
      </x:c>
      <x:c r="AC406" s="38" t="n">
        <x:v>0.45119295000000004</x:v>
      </x:c>
      <x:c r="AD406" s="28" t="n">
        <x:v>0.15878649955815702</x:v>
      </x:c>
    </x:row>
    <x:row r="407">
      <x:c r="A407" s="32" t="n">
        <x:v>45803</x:v>
      </x:c>
      <x:c r="B407" s="32" t="n">
        <x:v>45778</x:v>
      </x:c>
      <x:c r="C407" t="str">
        <x:v>May 2025</x:v>
      </x:c>
      <x:c r="D407" t="str">
        <x:v>Actual</x:v>
      </x:c>
      <x:c r="E407" t="str">
        <x:v>DB-101</x:v>
      </x:c>
      <x:c r="F407" t="str">
        <x:v>AeroSip Bottle</x:v>
      </x:c>
      <x:c r="G407" t="str">
        <x:v>One-time purchase</x:v>
      </x:c>
      <x:c r="H407" t="str">
        <x:v>None</x:v>
      </x:c>
      <x:c r="I407" t="str">
        <x:v>Active</x:v>
      </x:c>
      <x:c r="J407" t="str">
        <x:v>Wholesale</x:v>
      </x:c>
      <x:c r="K407" t="str">
        <x:v>Retailer</x:v>
      </x:c>
      <x:c r="L407" t="str">
        <x:v>All Geographies</x:v>
      </x:c>
      <x:c r="M407" s="34" t="n">
        <x:v>1601</x:v>
      </x:c>
      <x:c r="N407" s="28" t="n">
        <x:v>0.01881</x:v>
      </x:c>
      <x:c r="O407" s="34" t="n">
        <x:v>30</x:v>
      </x:c>
      <x:c r="P407" s="34" t="n">
        <x:v>1</x:v>
      </x:c>
      <x:c r="Q407" s="34" t="n">
        <x:v>30</x:v>
      </x:c>
      <x:c r="R407" s="33" t="n">
        <x:v>29</x:v>
      </x:c>
      <x:c r="S407" s="38" t="n">
        <x:v>0.87</x:v>
      </x:c>
      <x:c r="T407" s="38" t="n">
        <x:v>0.3045</x:v>
      </x:c>
      <x:c r="U407" s="38" t="n">
        <x:v>0.025447499999999998</x:v>
      </x:c>
      <x:c r="V407" s="38" t="n">
        <x:v>0.5400525</x:v>
      </x:c>
      <x:c r="W407" s="38" t="n">
        <x:v>0.324</x:v>
      </x:c>
      <x:c r="X407" s="38" t="n">
        <x:v>0</x:v>
      </x:c>
      <x:c r="Y407" s="38" t="n">
        <x:v>0</x:v>
      </x:c>
      <x:c r="Z407" s="38" t="n">
        <x:v>0.069</x:v>
      </x:c>
      <x:c r="AA407" s="38" t="n">
        <x:v>0.0255</x:v>
      </x:c>
      <x:c r="AB407" s="38" t="n">
        <x:v>0.00108</x:v>
      </x:c>
      <x:c r="AC407" s="38" t="n">
        <x:v>0.12047250000000004</x:v>
      </x:c>
      <x:c r="AD407" s="28" t="n">
        <x:v>0.22307553432305197</x:v>
      </x:c>
    </x:row>
    <x:row r="408">
      <x:c r="A408" s="32" t="n">
        <x:v>45803</x:v>
      </x:c>
      <x:c r="B408" s="32" t="n">
        <x:v>45778</x:v>
      </x:c>
      <x:c r="C408" t="str">
        <x:v>May 2025</x:v>
      </x:c>
      <x:c r="D408" t="str">
        <x:v>Actual</x:v>
      </x:c>
      <x:c r="E408" t="str">
        <x:v>DB-101</x:v>
      </x:c>
      <x:c r="F408" t="str">
        <x:v>AeroSip Bottle</x:v>
      </x:c>
      <x:c r="G408" t="str">
        <x:v>One-time purchase</x:v>
      </x:c>
      <x:c r="H408" t="str">
        <x:v>None</x:v>
      </x:c>
      <x:c r="I408" t="str">
        <x:v>Active</x:v>
      </x:c>
      <x:c r="J408" t="str">
        <x:v>TikTok Shop</x:v>
      </x:c>
      <x:c r="K408" t="str">
        <x:v>Social Commerce</x:v>
      </x:c>
      <x:c r="L408" t="str">
        <x:v>All Geographies</x:v>
      </x:c>
      <x:c r="M408" s="34" t="n">
        <x:v>1068</x:v>
      </x:c>
      <x:c r="N408" s="28" t="n">
        <x:v>0.043092</x:v>
      </x:c>
      <x:c r="O408" s="34" t="n">
        <x:v>46</x:v>
      </x:c>
      <x:c r="P408" s="34" t="n">
        <x:v>1</x:v>
      </x:c>
      <x:c r="Q408" s="34" t="n">
        <x:v>46</x:v>
      </x:c>
      <x:c r="R408" s="33" t="n">
        <x:v>29</x:v>
      </x:c>
      <x:c r="S408" s="38" t="n">
        <x:v>1.334</x:v>
      </x:c>
      <x:c r="T408" s="38" t="n">
        <x:v>0.16008</x:v>
      </x:c>
      <x:c r="U408" s="38" t="n">
        <x:v>0.0528264</x:v>
      </x:c>
      <x:c r="V408" s="38" t="n">
        <x:v>1.1210936</x:v>
      </x:c>
      <x:c r="W408" s="38" t="n">
        <x:v>0.4968</x:v>
      </x:c>
      <x:c r="X408" s="38" t="n">
        <x:v>0.0325117144</x:v>
      </x:c>
      <x:c r="Y408" s="38" t="n">
        <x:v>0.067265616</x:v>
      </x:c>
      <x:c r="Z408" s="38" t="n">
        <x:v>0.2346</x:v>
      </x:c>
      <x:c r="AA408" s="38" t="n">
        <x:v>0.0805</x:v>
      </x:c>
      <x:c r="AB408" s="38" t="n">
        <x:v>0.0016560000000000001</x:v>
      </x:c>
      <x:c r="AC408" s="38" t="n">
        <x:v>0.20776026959999994</x:v>
      </x:c>
      <x:c r="AD408" s="28" t="n">
        <x:v>0.18531928966501987</x:v>
      </x:c>
    </x:row>
    <x:row r="409">
      <x:c r="A409" s="32" t="n">
        <x:v>45803</x:v>
      </x:c>
      <x:c r="B409" s="32" t="n">
        <x:v>45778</x:v>
      </x:c>
      <x:c r="C409" t="str">
        <x:v>May 2025</x:v>
      </x:c>
      <x:c r="D409" t="str">
        <x:v>Actual</x:v>
      </x:c>
      <x:c r="E409" t="str">
        <x:v>DB-102</x:v>
      </x:c>
      <x:c r="F409" t="str">
        <x:v>GlowPatch Balm</x:v>
      </x:c>
      <x:c r="G409" t="str">
        <x:v>Consumable repeat</x:v>
      </x:c>
      <x:c r="H409" t="str">
        <x:v>None</x:v>
      </x:c>
      <x:c r="I409" t="str">
        <x:v>Active</x:v>
      </x:c>
      <x:c r="J409" t="str">
        <x:v>Shopify DTC</x:v>
      </x:c>
      <x:c r="K409" t="str">
        <x:v>Consumer</x:v>
      </x:c>
      <x:c r="L409" t="str">
        <x:v>All Geographies</x:v>
      </x:c>
      <x:c r="M409" s="34" t="n">
        <x:v>4312</x:v>
      </x:c>
      <x:c r="N409" s="28" t="n">
        <x:v>0.04248</x:v>
      </x:c>
      <x:c r="O409" s="34" t="n">
        <x:v>183</x:v>
      </x:c>
      <x:c r="P409" s="34" t="n">
        <x:v>1</x:v>
      </x:c>
      <x:c r="Q409" s="34" t="n">
        <x:v>183</x:v>
      </x:c>
      <x:c r="R409" s="33" t="n">
        <x:v>18</x:v>
      </x:c>
      <x:c r="S409" s="38" t="n">
        <x:v>3.294</x:v>
      </x:c>
      <x:c r="T409" s="38" t="n">
        <x:v>0.26352000000000003</x:v>
      </x:c>
      <x:c r="U409" s="38" t="n">
        <x:v>0.075762</x:v>
      </x:c>
      <x:c r="V409" s="38" t="n">
        <x:v>2.9547179999999997</x:v>
      </x:c>
      <x:c r="W409" s="38" t="n">
        <x:v>0.99003</x:v>
      </x:c>
      <x:c r="X409" s="38" t="n">
        <x:v>0.085686822</x:v>
      </x:c>
      <x:c r="Y409" s="38" t="n">
        <x:v>0</x:v>
      </x:c>
      <x:c r="Z409" s="38" t="n">
        <x:v>0.7594500000000001</x:v>
      </x:c>
      <x:c r="AA409" s="38" t="n">
        <x:v>0.30195</x:v>
      </x:c>
      <x:c r="AB409" s="38" t="n">
        <x:v>0.0010979999999999998</x:v>
      </x:c>
      <x:c r="AC409" s="38" t="n">
        <x:v>0.8165031779999996</x:v>
      </x:c>
      <x:c r="AD409" s="28" t="n">
        <x:v>0.2763387835996531</x:v>
      </x:c>
    </x:row>
    <x:row r="410">
      <x:c r="A410" s="32" t="n">
        <x:v>45803</x:v>
      </x:c>
      <x:c r="B410" s="32" t="n">
        <x:v>45778</x:v>
      </x:c>
      <x:c r="C410" t="str">
        <x:v>May 2025</x:v>
      </x:c>
      <x:c r="D410" t="str">
        <x:v>Actual</x:v>
      </x:c>
      <x:c r="E410" t="str">
        <x:v>DB-102</x:v>
      </x:c>
      <x:c r="F410" t="str">
        <x:v>GlowPatch Balm</x:v>
      </x:c>
      <x:c r="G410" t="str">
        <x:v>Consumable repeat</x:v>
      </x:c>
      <x:c r="H410" t="str">
        <x:v>None</x:v>
      </x:c>
      <x:c r="I410" t="str">
        <x:v>Active</x:v>
      </x:c>
      <x:c r="J410" t="str">
        <x:v>Amazon Marketplace</x:v>
      </x:c>
      <x:c r="K410" t="str">
        <x:v>Marketplace Consumer</x:v>
      </x:c>
      <x:c r="L410" t="str">
        <x:v>All Geographies</x:v>
      </x:c>
      <x:c r="M410" s="34" t="n">
        <x:v>2156</x:v>
      </x:c>
      <x:c r="N410" s="28" t="n">
        <x:v>0.050126399999999995</x:v>
      </x:c>
      <x:c r="O410" s="34" t="n">
        <x:v>108</x:v>
      </x:c>
      <x:c r="P410" s="34" t="n">
        <x:v>1</x:v>
      </x:c>
      <x:c r="Q410" s="34" t="n">
        <x:v>108</x:v>
      </x:c>
      <x:c r="R410" s="33" t="n">
        <x:v>18</x:v>
      </x:c>
      <x:c r="S410" s="38" t="n">
        <x:v>1.944</x:v>
      </x:c>
      <x:c r="T410" s="38" t="n">
        <x:v>0.09720000000000001</x:v>
      </x:c>
      <x:c r="U410" s="38" t="n">
        <x:v>0.04617</x:v>
      </x:c>
      <x:c r="V410" s="38" t="n">
        <x:v>1.80063</x:v>
      </x:c>
      <x:c r="W410" s="38" t="n">
        <x:v>0.58428</x:v>
      </x:c>
      <x:c r="X410" s="38" t="n">
        <x:v>0</x:v>
      </x:c>
      <x:c r="Y410" s="38" t="n">
        <x:v>0.27009449999999996</x:v>
      </x:c>
      <x:c r="Z410" s="38" t="n">
        <x:v>0.5616</x:v>
      </x:c>
      <x:c r="AA410" s="38" t="n">
        <x:v>0.2322</x:v>
      </x:c>
      <x:c r="AB410" s="38" t="n">
        <x:v>0.000648</x:v>
      </x:c>
      <x:c r="AC410" s="38" t="n">
        <x:v>0.15180749999999993</x:v>
      </x:c>
      <x:c r="AD410" s="28" t="n">
        <x:v>0.08430799220272901</x:v>
      </x:c>
    </x:row>
    <x:row r="411">
      <x:c r="A411" s="32" t="n">
        <x:v>45803</x:v>
      </x:c>
      <x:c r="B411" s="32" t="n">
        <x:v>45778</x:v>
      </x:c>
      <x:c r="C411" t="str">
        <x:v>May 2025</x:v>
      </x:c>
      <x:c r="D411" t="str">
        <x:v>Actual</x:v>
      </x:c>
      <x:c r="E411" t="str">
        <x:v>DB-102</x:v>
      </x:c>
      <x:c r="F411" t="str">
        <x:v>GlowPatch Balm</x:v>
      </x:c>
      <x:c r="G411" t="str">
        <x:v>Consumable repeat</x:v>
      </x:c>
      <x:c r="H411" t="str">
        <x:v>None</x:v>
      </x:c>
      <x:c r="I411" t="str">
        <x:v>Active</x:v>
      </x:c>
      <x:c r="J411" t="str">
        <x:v>Wholesale</x:v>
      </x:c>
      <x:c r="K411" t="str">
        <x:v>Retailer</x:v>
      </x:c>
      <x:c r="L411" t="str">
        <x:v>All Geographies</x:v>
      </x:c>
      <x:c r="M411" s="34" t="n">
        <x:v>1294</x:v>
      </x:c>
      <x:c r="N411" s="28" t="n">
        <x:v>0.023364</x:v>
      </x:c>
      <x:c r="O411" s="34" t="n">
        <x:v>30</x:v>
      </x:c>
      <x:c r="P411" s="34" t="n">
        <x:v>1</x:v>
      </x:c>
      <x:c r="Q411" s="34" t="n">
        <x:v>30</x:v>
      </x:c>
      <x:c r="R411" s="33" t="n">
        <x:v>18</x:v>
      </x:c>
      <x:c r="S411" s="38" t="n">
        <x:v>0.54</x:v>
      </x:c>
      <x:c r="T411" s="38" t="n">
        <x:v>0.189</x:v>
      </x:c>
      <x:c r="U411" s="38" t="n">
        <x:v>0.008775000000000002</x:v>
      </x:c>
      <x:c r="V411" s="38" t="n">
        <x:v>0.34222500000000006</x:v>
      </x:c>
      <x:c r="W411" s="38" t="n">
        <x:v>0.1623</x:v>
      </x:c>
      <x:c r="X411" s="38" t="n">
        <x:v>0</x:v>
      </x:c>
      <x:c r="Y411" s="38" t="n">
        <x:v>0</x:v>
      </x:c>
      <x:c r="Z411" s="38" t="n">
        <x:v>0.069</x:v>
      </x:c>
      <x:c r="AA411" s="38" t="n">
        <x:v>0.0255</x:v>
      </x:c>
      <x:c r="AB411" s="38" t="n">
        <x:v>0.00017999999999999998</x:v>
      </x:c>
      <x:c r="AC411" s="38" t="n">
        <x:v>0.08524500000000006</x:v>
      </x:c>
      <x:c r="AD411" s="28" t="n">
        <x:v>0.2490905106289723</x:v>
      </x:c>
    </x:row>
    <x:row r="412">
      <x:c r="A412" s="32" t="n">
        <x:v>45803</x:v>
      </x:c>
      <x:c r="B412" s="32" t="n">
        <x:v>45778</x:v>
      </x:c>
      <x:c r="C412" t="str">
        <x:v>May 2025</x:v>
      </x:c>
      <x:c r="D412" t="str">
        <x:v>Actual</x:v>
      </x:c>
      <x:c r="E412" t="str">
        <x:v>DB-102</x:v>
      </x:c>
      <x:c r="F412" t="str">
        <x:v>GlowPatch Balm</x:v>
      </x:c>
      <x:c r="G412" t="str">
        <x:v>Consumable repeat</x:v>
      </x:c>
      <x:c r="H412" t="str">
        <x:v>None</x:v>
      </x:c>
      <x:c r="I412" t="str">
        <x:v>Active</x:v>
      </x:c>
      <x:c r="J412" t="str">
        <x:v>TikTok Shop</x:v>
      </x:c>
      <x:c r="K412" t="str">
        <x:v>Social Commerce</x:v>
      </x:c>
      <x:c r="L412" t="str">
        <x:v>All Geographies</x:v>
      </x:c>
      <x:c r="M412" s="34" t="n">
        <x:v>862</x:v>
      </x:c>
      <x:c r="N412" s="28" t="n">
        <x:v>0.0535248</x:v>
      </x:c>
      <x:c r="O412" s="34" t="n">
        <x:v>46</x:v>
      </x:c>
      <x:c r="P412" s="34" t="n">
        <x:v>1</x:v>
      </x:c>
      <x:c r="Q412" s="34" t="n">
        <x:v>46</x:v>
      </x:c>
      <x:c r="R412" s="33" t="n">
        <x:v>18</x:v>
      </x:c>
      <x:c r="S412" s="38" t="n">
        <x:v>0.828</x:v>
      </x:c>
      <x:c r="T412" s="38" t="n">
        <x:v>0.09935999999999999</x:v>
      </x:c>
      <x:c r="U412" s="38" t="n">
        <x:v>0.018216</x:v>
      </x:c>
      <x:c r="V412" s="38" t="n">
        <x:v>0.7104239999999999</x:v>
      </x:c>
      <x:c r="W412" s="38" t="n">
        <x:v>0.24886000000000003</x:v>
      </x:c>
      <x:c r="X412" s="38" t="n">
        <x:v>0.020602296</x:v>
      </x:c>
      <x:c r="Y412" s="38" t="n">
        <x:v>0.042625439999999994</x:v>
      </x:c>
      <x:c r="Z412" s="38" t="n">
        <x:v>0.2346</x:v>
      </x:c>
      <x:c r="AA412" s="38" t="n">
        <x:v>0.0805</x:v>
      </x:c>
      <x:c r="AB412" s="38" t="n">
        <x:v>0.00027600000000000004</x:v>
      </x:c>
      <x:c r="AC412" s="38" t="n">
        <x:v>0.08296026399999988</x:v>
      </x:c>
      <x:c r="AD412" s="28" t="n">
        <x:v>0.11677570577570562</x:v>
      </x:c>
    </x:row>
    <x:row r="413">
      <x:c r="A413" s="32" t="n">
        <x:v>45803</x:v>
      </x:c>
      <x:c r="B413" s="32" t="n">
        <x:v>45778</x:v>
      </x:c>
      <x:c r="C413" t="str">
        <x:v>May 2025</x:v>
      </x:c>
      <x:c r="D413" t="str">
        <x:v>Actual</x:v>
      </x:c>
      <x:c r="E413" t="str">
        <x:v>DB-103</x:v>
      </x:c>
      <x:c r="F413" t="str">
        <x:v>EmberTrail Camp Mug</x:v>
      </x:c>
      <x:c r="G413" t="str">
        <x:v>One-time purchase</x:v>
      </x:c>
      <x:c r="H413" t="str">
        <x:v>Winter peak</x:v>
      </x:c>
      <x:c r="I413" t="str">
        <x:v>Active</x:v>
      </x:c>
      <x:c r="J413" t="str">
        <x:v>Shopify DTC</x:v>
      </x:c>
      <x:c r="K413" t="str">
        <x:v>Consumer</x:v>
      </x:c>
      <x:c r="L413" t="str">
        <x:v>All Geographies</x:v>
      </x:c>
      <x:c r="M413" s="34" t="n">
        <x:v>2883</x:v>
      </x:c>
      <x:c r="N413" s="28" t="n">
        <x:v>0.0324</x:v>
      </x:c>
      <x:c r="O413" s="34" t="n">
        <x:v>93</x:v>
      </x:c>
      <x:c r="P413" s="34" t="n">
        <x:v>1</x:v>
      </x:c>
      <x:c r="Q413" s="34" t="n">
        <x:v>93</x:v>
      </x:c>
      <x:c r="R413" s="33" t="n">
        <x:v>34</x:v>
      </x:c>
      <x:c r="S413" s="38" t="n">
        <x:v>3.162</x:v>
      </x:c>
      <x:c r="T413" s="38" t="n">
        <x:v>0.25296</x:v>
      </x:c>
      <x:c r="U413" s="38" t="n">
        <x:v>0.1599972</x:v>
      </x:c>
      <x:c r="V413" s="38" t="n">
        <x:v>2.7490428000000002</x:v>
      </x:c>
      <x:c r="W413" s="38" t="n">
        <x:v>1.27131</x:v>
      </x:c>
      <x:c r="X413" s="38" t="n">
        <x:v>0.07972224120000002</x:v>
      </x:c>
      <x:c r="Y413" s="38" t="n">
        <x:v>0</x:v>
      </x:c>
      <x:c r="Z413" s="38" t="n">
        <x:v>0.38595000000000007</x:v>
      </x:c>
      <x:c r="AA413" s="38" t="n">
        <x:v>0.15344999999999998</x:v>
      </x:c>
      <x:c r="AB413" s="38" t="n">
        <x:v>0.005208</x:v>
      </x:c>
      <x:c r="AC413" s="38" t="n">
        <x:v>0.8534025588000003</x:v>
      </x:c>
      <x:c r="AD413" s="28" t="n">
        <x:v>0.31043625759482546</x:v>
      </x:c>
    </x:row>
    <x:row r="414">
      <x:c r="A414" s="32" t="n">
        <x:v>45803</x:v>
      </x:c>
      <x:c r="B414" s="32" t="n">
        <x:v>45778</x:v>
      </x:c>
      <x:c r="C414" t="str">
        <x:v>May 2025</x:v>
      </x:c>
      <x:c r="D414" t="str">
        <x:v>Actual</x:v>
      </x:c>
      <x:c r="E414" t="str">
        <x:v>DB-103</x:v>
      </x:c>
      <x:c r="F414" t="str">
        <x:v>EmberTrail Camp Mug</x:v>
      </x:c>
      <x:c r="G414" t="str">
        <x:v>One-time purchase</x:v>
      </x:c>
      <x:c r="H414" t="str">
        <x:v>Winter peak</x:v>
      </x:c>
      <x:c r="I414" t="str">
        <x:v>Active</x:v>
      </x:c>
      <x:c r="J414" t="str">
        <x:v>Amazon Marketplace</x:v>
      </x:c>
      <x:c r="K414" t="str">
        <x:v>Marketplace Consumer</x:v>
      </x:c>
      <x:c r="L414" t="str">
        <x:v>All Geographies</x:v>
      </x:c>
      <x:c r="M414" s="34" t="n">
        <x:v>1441</x:v>
      </x:c>
      <x:c r="N414" s="28" t="n">
        <x:v>0.038231999999999995</x:v>
      </x:c>
      <x:c r="O414" s="34" t="n">
        <x:v>55</x:v>
      </x:c>
      <x:c r="P414" s="34" t="n">
        <x:v>1</x:v>
      </x:c>
      <x:c r="Q414" s="34" t="n">
        <x:v>55</x:v>
      </x:c>
      <x:c r="R414" s="33" t="n">
        <x:v>34</x:v>
      </x:c>
      <x:c r="S414" s="38" t="n">
        <x:v>1.87</x:v>
      </x:c>
      <x:c r="T414" s="38" t="n">
        <x:v>0.09350000000000001</x:v>
      </x:c>
      <x:c r="U414" s="38" t="n">
        <x:v>0.09770750000000002</x:v>
      </x:c>
      <x:c r="V414" s="38" t="n">
        <x:v>1.6787925000000001</x:v>
      </x:c>
      <x:c r="W414" s="38" t="n">
        <x:v>0.75185</x:v>
      </x:c>
      <x:c r="X414" s="38" t="n">
        <x:v>0</x:v>
      </x:c>
      <x:c r="Y414" s="38" t="n">
        <x:v>0.251818875</x:v>
      </x:c>
      <x:c r="Z414" s="38" t="n">
        <x:v>0.286</x:v>
      </x:c>
      <x:c r="AA414" s="38" t="n">
        <x:v>0.11825</x:v>
      </x:c>
      <x:c r="AB414" s="38" t="n">
        <x:v>0.0030800000000000003</x:v>
      </x:c>
      <x:c r="AC414" s="38" t="n">
        <x:v>0.2677936250000001</x:v>
      </x:c>
      <x:c r="AD414" s="28" t="n">
        <x:v>0.15951561911314238</x:v>
      </x:c>
    </x:row>
    <x:row r="415">
      <x:c r="A415" s="32" t="n">
        <x:v>45803</x:v>
      </x:c>
      <x:c r="B415" s="32" t="n">
        <x:v>45778</x:v>
      </x:c>
      <x:c r="C415" t="str">
        <x:v>May 2025</x:v>
      </x:c>
      <x:c r="D415" t="str">
        <x:v>Actual</x:v>
      </x:c>
      <x:c r="E415" t="str">
        <x:v>DB-103</x:v>
      </x:c>
      <x:c r="F415" t="str">
        <x:v>EmberTrail Camp Mug</x:v>
      </x:c>
      <x:c r="G415" t="str">
        <x:v>One-time purchase</x:v>
      </x:c>
      <x:c r="H415" t="str">
        <x:v>Winter peak</x:v>
      </x:c>
      <x:c r="I415" t="str">
        <x:v>Active</x:v>
      </x:c>
      <x:c r="J415" t="str">
        <x:v>Wholesale</x:v>
      </x:c>
      <x:c r="K415" t="str">
        <x:v>Retailer</x:v>
      </x:c>
      <x:c r="L415" t="str">
        <x:v>All Geographies</x:v>
      </x:c>
      <x:c r="M415" s="34" t="n">
        <x:v>865</x:v>
      </x:c>
      <x:c r="N415" s="28" t="n">
        <x:v>0.017820000000000003</x:v>
      </x:c>
      <x:c r="O415" s="34" t="n">
        <x:v>15</x:v>
      </x:c>
      <x:c r="P415" s="34" t="n">
        <x:v>1</x:v>
      </x:c>
      <x:c r="Q415" s="34" t="n">
        <x:v>15</x:v>
      </x:c>
      <x:c r="R415" s="33" t="n">
        <x:v>34</x:v>
      </x:c>
      <x:c r="S415" s="38" t="n">
        <x:v>0.51</x:v>
      </x:c>
      <x:c r="T415" s="38" t="n">
        <x:v>0.1785</x:v>
      </x:c>
      <x:c r="U415" s="38" t="n">
        <x:v>0.018232500000000002</x:v>
      </x:c>
      <x:c r="V415" s="38" t="n">
        <x:v>0.31326750000000003</x:v>
      </x:c>
      <x:c r="W415" s="38" t="n">
        <x:v>0.20505</x:v>
      </x:c>
      <x:c r="X415" s="38" t="n">
        <x:v>0</x:v>
      </x:c>
      <x:c r="Y415" s="38" t="n">
        <x:v>0</x:v>
      </x:c>
      <x:c r="Z415" s="38" t="n">
        <x:v>0.0345</x:v>
      </x:c>
      <x:c r="AA415" s="38" t="n">
        <x:v>0.01275</x:v>
      </x:c>
      <x:c r="AB415" s="38" t="n">
        <x:v>0.0008399999999999999</x:v>
      </x:c>
      <x:c r="AC415" s="38" t="n">
        <x:v>0.06012750000000002</x:v>
      </x:c>
      <x:c r="AD415" s="28" t="n">
        <x:v>0.19193660370130963</x:v>
      </x:c>
    </x:row>
    <x:row r="416">
      <x:c r="A416" s="32" t="n">
        <x:v>45803</x:v>
      </x:c>
      <x:c r="B416" s="32" t="n">
        <x:v>45778</x:v>
      </x:c>
      <x:c r="C416" t="str">
        <x:v>May 2025</x:v>
      </x:c>
      <x:c r="D416" t="str">
        <x:v>Actual</x:v>
      </x:c>
      <x:c r="E416" t="str">
        <x:v>DB-103</x:v>
      </x:c>
      <x:c r="F416" t="str">
        <x:v>EmberTrail Camp Mug</x:v>
      </x:c>
      <x:c r="G416" t="str">
        <x:v>One-time purchase</x:v>
      </x:c>
      <x:c r="H416" t="str">
        <x:v>Winter peak</x:v>
      </x:c>
      <x:c r="I416" t="str">
        <x:v>Active</x:v>
      </x:c>
      <x:c r="J416" t="str">
        <x:v>TikTok Shop</x:v>
      </x:c>
      <x:c r="K416" t="str">
        <x:v>Social Commerce</x:v>
      </x:c>
      <x:c r="L416" t="str">
        <x:v>All Geographies</x:v>
      </x:c>
      <x:c r="M416" s="34" t="n">
        <x:v>577</x:v>
      </x:c>
      <x:c r="N416" s="28" t="n">
        <x:v>0.040824</x:v>
      </x:c>
      <x:c r="O416" s="34" t="n">
        <x:v>24</x:v>
      </x:c>
      <x:c r="P416" s="34" t="n">
        <x:v>1</x:v>
      </x:c>
      <x:c r="Q416" s="34" t="n">
        <x:v>24</x:v>
      </x:c>
      <x:c r="R416" s="33" t="n">
        <x:v>34</x:v>
      </x:c>
      <x:c r="S416" s="38" t="n">
        <x:v>0.816</x:v>
      </x:c>
      <x:c r="T416" s="38" t="n">
        <x:v>0.09792</x:v>
      </x:c>
      <x:c r="U416" s="38" t="n">
        <x:v>0.0394944</x:v>
      </x:c>
      <x:c r="V416" s="38" t="n">
        <x:v>0.6785855999999999</x:v>
      </x:c>
      <x:c r="W416" s="38" t="n">
        <x:v>0.32808</x:v>
      </x:c>
      <x:c r="X416" s="38" t="n">
        <x:v>0.0196789824</x:v>
      </x:c>
      <x:c r="Y416" s="38" t="n">
        <x:v>0.04071513599999999</x:v>
      </x:c>
      <x:c r="Z416" s="38" t="n">
        <x:v>0.1224</x:v>
      </x:c>
      <x:c r="AA416" s="38" t="n">
        <x:v>0.042</x:v>
      </x:c>
      <x:c r="AB416" s="38" t="n">
        <x:v>0.0013440000000000001</x:v>
      </x:c>
      <x:c r="AC416" s="38" t="n">
        <x:v>0.12436748159999993</x:v>
      </x:c>
      <x:c r="AD416" s="28" t="n">
        <x:v>0.18327456639221337</x:v>
      </x:c>
    </x:row>
    <x:row r="417">
      <x:c r="A417" s="32" t="n">
        <x:v>45803</x:v>
      </x:c>
      <x:c r="B417" s="32" t="n">
        <x:v>45778</x:v>
      </x:c>
      <x:c r="C417" t="str">
        <x:v>May 2025</x:v>
      </x:c>
      <x:c r="D417" t="str">
        <x:v>Actual</x:v>
      </x:c>
      <x:c r="E417" t="str">
        <x:v>DB-104</x:v>
      </x:c>
      <x:c r="F417" t="str">
        <x:v>SunNest Cooling Towel</x:v>
      </x:c>
      <x:c r="G417" t="str">
        <x:v>Consumable repeat</x:v>
      </x:c>
      <x:c r="H417" t="str">
        <x:v>Summer peak</x:v>
      </x:c>
      <x:c r="I417" t="str">
        <x:v>Active</x:v>
      </x:c>
      <x:c r="J417" t="str">
        <x:v>Shopify DTC</x:v>
      </x:c>
      <x:c r="K417" t="str">
        <x:v>Consumer</x:v>
      </x:c>
      <x:c r="L417" t="str">
        <x:v>All Geographies</x:v>
      </x:c>
      <x:c r="M417" s="34" t="n">
        <x:v>4468</x:v>
      </x:c>
      <x:c r="N417" s="28" t="n">
        <x:v>0.03312</x:v>
      </x:c>
      <x:c r="O417" s="34" t="n">
        <x:v>148</x:v>
      </x:c>
      <x:c r="P417" s="34" t="n">
        <x:v>1</x:v>
      </x:c>
      <x:c r="Q417" s="34" t="n">
        <x:v>148</x:v>
      </x:c>
      <x:c r="R417" s="33" t="n">
        <x:v>42</x:v>
      </x:c>
      <x:c r="S417" s="38" t="n">
        <x:v>6.216</x:v>
      </x:c>
      <x:c r="T417" s="38" t="n">
        <x:v>0.49728</x:v>
      </x:c>
      <x:c r="U417" s="38" t="n">
        <x:v>0.285936</x:v>
      </x:c>
      <x:c r="V417" s="38" t="n">
        <x:v>5.432784</x:v>
      </x:c>
      <x:c r="W417" s="38" t="n">
        <x:v>2.2274000000000003</x:v>
      </x:c>
      <x:c r="X417" s="38" t="n">
        <x:v>0.157550736</x:v>
      </x:c>
      <x:c r="Y417" s="38" t="n">
        <x:v>0</x:v>
      </x:c>
      <x:c r="Z417" s="38" t="n">
        <x:v>0.6142000000000001</x:v>
      </x:c>
      <x:c r="AA417" s="38" t="n">
        <x:v>0.2442</x:v>
      </x:c>
      <x:c r="AB417" s="38" t="n">
        <x:v>0.004144</x:v>
      </x:c>
      <x:c r="AC417" s="38" t="n">
        <x:v>2.185289263999999</x:v>
      </x:c>
      <x:c r="AD417" s="28" t="n">
        <x:v>0.40224114634412095</x:v>
      </x:c>
    </x:row>
    <x:row r="418">
      <x:c r="A418" s="32" t="n">
        <x:v>45803</x:v>
      </x:c>
      <x:c r="B418" s="32" t="n">
        <x:v>45778</x:v>
      </x:c>
      <x:c r="C418" t="str">
        <x:v>May 2025</x:v>
      </x:c>
      <x:c r="D418" t="str">
        <x:v>Actual</x:v>
      </x:c>
      <x:c r="E418" t="str">
        <x:v>DB-104</x:v>
      </x:c>
      <x:c r="F418" t="str">
        <x:v>SunNest Cooling Towel</x:v>
      </x:c>
      <x:c r="G418" t="str">
        <x:v>Consumable repeat</x:v>
      </x:c>
      <x:c r="H418" t="str">
        <x:v>Summer peak</x:v>
      </x:c>
      <x:c r="I418" t="str">
        <x:v>Active</x:v>
      </x:c>
      <x:c r="J418" t="str">
        <x:v>Amazon Marketplace</x:v>
      </x:c>
      <x:c r="K418" t="str">
        <x:v>Marketplace Consumer</x:v>
      </x:c>
      <x:c r="L418" t="str">
        <x:v>All Geographies</x:v>
      </x:c>
      <x:c r="M418" s="34" t="n">
        <x:v>2234</x:v>
      </x:c>
      <x:c r="N418" s="28" t="n">
        <x:v>0.0390816</x:v>
      </x:c>
      <x:c r="O418" s="34" t="n">
        <x:v>87</x:v>
      </x:c>
      <x:c r="P418" s="34" t="n">
        <x:v>1</x:v>
      </x:c>
      <x:c r="Q418" s="34" t="n">
        <x:v>87</x:v>
      </x:c>
      <x:c r="R418" s="33" t="n">
        <x:v>42</x:v>
      </x:c>
      <x:c r="S418" s="38" t="n">
        <x:v>3.654</x:v>
      </x:c>
      <x:c r="T418" s="38" t="n">
        <x:v>0.1827</x:v>
      </x:c>
      <x:c r="U418" s="38" t="n">
        <x:v>0.173565</x:v>
      </x:c>
      <x:c r="V418" s="38" t="n">
        <x:v>3.297735</x:v>
      </x:c>
      <x:c r="W418" s="38" t="n">
        <x:v>1.3093500000000002</x:v>
      </x:c>
      <x:c r="X418" s="38" t="n">
        <x:v>0</x:v>
      </x:c>
      <x:c r="Y418" s="38" t="n">
        <x:v>0.49466024999999997</x:v>
      </x:c>
      <x:c r="Z418" s="38" t="n">
        <x:v>0.4524</x:v>
      </x:c>
      <x:c r="AA418" s="38" t="n">
        <x:v>0.18705</x:v>
      </x:c>
      <x:c r="AB418" s="38" t="n">
        <x:v>0.002436</x:v>
      </x:c>
      <x:c r="AC418" s="38" t="n">
        <x:v>0.8518387499999999</x:v>
      </x:c>
      <x:c r="AD418" s="28" t="n">
        <x:v>0.2583102493074792</x:v>
      </x:c>
    </x:row>
    <x:row r="419">
      <x:c r="A419" s="32" t="n">
        <x:v>45803</x:v>
      </x:c>
      <x:c r="B419" s="32" t="n">
        <x:v>45778</x:v>
      </x:c>
      <x:c r="C419" t="str">
        <x:v>May 2025</x:v>
      </x:c>
      <x:c r="D419" t="str">
        <x:v>Actual</x:v>
      </x:c>
      <x:c r="E419" t="str">
        <x:v>DB-104</x:v>
      </x:c>
      <x:c r="F419" t="str">
        <x:v>SunNest Cooling Towel</x:v>
      </x:c>
      <x:c r="G419" t="str">
        <x:v>Consumable repeat</x:v>
      </x:c>
      <x:c r="H419" t="str">
        <x:v>Summer peak</x:v>
      </x:c>
      <x:c r="I419" t="str">
        <x:v>Active</x:v>
      </x:c>
      <x:c r="J419" t="str">
        <x:v>Wholesale</x:v>
      </x:c>
      <x:c r="K419" t="str">
        <x:v>Retailer</x:v>
      </x:c>
      <x:c r="L419" t="str">
        <x:v>All Geographies</x:v>
      </x:c>
      <x:c r="M419" s="34" t="n">
        <x:v>1340</x:v>
      </x:c>
      <x:c r="N419" s="28" t="n">
        <x:v>0.018216000000000003</x:v>
      </x:c>
      <x:c r="O419" s="34" t="n">
        <x:v>24</x:v>
      </x:c>
      <x:c r="P419" s="34" t="n">
        <x:v>1</x:v>
      </x:c>
      <x:c r="Q419" s="34" t="n">
        <x:v>24</x:v>
      </x:c>
      <x:c r="R419" s="33" t="n">
        <x:v>42</x:v>
      </x:c>
      <x:c r="S419" s="38" t="n">
        <x:v>1.008</x:v>
      </x:c>
      <x:c r="T419" s="38" t="n">
        <x:v>0.3528</x:v>
      </x:c>
      <x:c r="U419" s="38" t="n">
        <x:v>0.032760000000000004</x:v>
      </x:c>
      <x:c r="V419" s="38" t="n">
        <x:v>0.62244</x:v>
      </x:c>
      <x:c r="W419" s="38" t="n">
        <x:v>0.3612</x:v>
      </x:c>
      <x:c r="X419" s="38" t="n">
        <x:v>0</x:v>
      </x:c>
      <x:c r="Y419" s="38" t="n">
        <x:v>0</x:v>
      </x:c>
      <x:c r="Z419" s="38" t="n">
        <x:v>0.0552</x:v>
      </x:c>
      <x:c r="AA419" s="38" t="n">
        <x:v>0.020399999999999998</x:v>
      </x:c>
      <x:c r="AB419" s="38" t="n">
        <x:v>0.000672</x:v>
      </x:c>
      <x:c r="AC419" s="38" t="n">
        <x:v>0.18496799999999997</x:v>
      </x:c>
      <x:c r="AD419" s="28" t="n">
        <x:v>0.29716599190283394</x:v>
      </x:c>
    </x:row>
    <x:row r="420">
      <x:c r="A420" s="32" t="n">
        <x:v>45803</x:v>
      </x:c>
      <x:c r="B420" s="32" t="n">
        <x:v>45778</x:v>
      </x:c>
      <x:c r="C420" t="str">
        <x:v>May 2025</x:v>
      </x:c>
      <x:c r="D420" t="str">
        <x:v>Actual</x:v>
      </x:c>
      <x:c r="E420" t="str">
        <x:v>DB-104</x:v>
      </x:c>
      <x:c r="F420" t="str">
        <x:v>SunNest Cooling Towel</x:v>
      </x:c>
      <x:c r="G420" t="str">
        <x:v>Consumable repeat</x:v>
      </x:c>
      <x:c r="H420" t="str">
        <x:v>Summer peak</x:v>
      </x:c>
      <x:c r="I420" t="str">
        <x:v>Active</x:v>
      </x:c>
      <x:c r="J420" t="str">
        <x:v>TikTok Shop</x:v>
      </x:c>
      <x:c r="K420" t="str">
        <x:v>Social Commerce</x:v>
      </x:c>
      <x:c r="L420" t="str">
        <x:v>All Geographies</x:v>
      </x:c>
      <x:c r="M420" s="34" t="n">
        <x:v>894</x:v>
      </x:c>
      <x:c r="N420" s="28" t="n">
        <x:v>0.0417312</x:v>
      </x:c>
      <x:c r="O420" s="34" t="n">
        <x:v>37</x:v>
      </x:c>
      <x:c r="P420" s="34" t="n">
        <x:v>1</x:v>
      </x:c>
      <x:c r="Q420" s="34" t="n">
        <x:v>37</x:v>
      </x:c>
      <x:c r="R420" s="33" t="n">
        <x:v>42</x:v>
      </x:c>
      <x:c r="S420" s="38" t="n">
        <x:v>1.554</x:v>
      </x:c>
      <x:c r="T420" s="38" t="n">
        <x:v>0.18648</x:v>
      </x:c>
      <x:c r="U420" s="38" t="n">
        <x:v>0.068376</x:v>
      </x:c>
      <x:c r="V420" s="38" t="n">
        <x:v>1.299144</x:v>
      </x:c>
      <x:c r="W420" s="38" t="n">
        <x:v>0.5568500000000001</x:v>
      </x:c>
      <x:c r="X420" s="38" t="n">
        <x:v>0.037675176000000005</x:v>
      </x:c>
      <x:c r="Y420" s="38" t="n">
        <x:v>0.07794864</x:v>
      </x:c>
      <x:c r="Z420" s="38" t="n">
        <x:v>0.18869999999999998</x:v>
      </x:c>
      <x:c r="AA420" s="38" t="n">
        <x:v>0.06475</x:v>
      </x:c>
      <x:c r="AB420" s="38" t="n">
        <x:v>0.001036</x:v>
      </x:c>
      <x:c r="AC420" s="38" t="n">
        <x:v>0.37218418400000003</x:v>
      </x:c>
      <x:c r="AD420" s="28" t="n">
        <x:v>0.2864841649578492</x:v>
      </x:c>
    </x:row>
    <x:row r="421">
      <x:c r="A421" s="32" t="n">
        <x:v>45803</x:v>
      </x:c>
      <x:c r="B421" s="32" t="n">
        <x:v>45778</x:v>
      </x:c>
      <x:c r="C421" t="str">
        <x:v>May 2025</x:v>
      </x:c>
      <x:c r="D421" t="str">
        <x:v>Actual</x:v>
      </x:c>
      <x:c r="E421" t="str">
        <x:v>DB-105</x:v>
      </x:c>
      <x:c r="F421" t="str">
        <x:v>DreamFuel Refill Pack</x:v>
      </x:c>
      <x:c r="G421" t="str">
        <x:v>Subscription</x:v>
      </x:c>
      <x:c r="H421" t="str">
        <x:v>None</x:v>
      </x:c>
      <x:c r="I421" t="str">
        <x:v>Active</x:v>
      </x:c>
      <x:c r="J421" t="str">
        <x:v>Shopify DTC</x:v>
      </x:c>
      <x:c r="K421" t="str">
        <x:v>Consumer</x:v>
      </x:c>
      <x:c r="L421" t="str">
        <x:v>All Geographies</x:v>
      </x:c>
      <x:c r="M421" s="34" t="n">
        <x:v>3696</x:v>
      </x:c>
      <x:c r="N421" s="28" t="n">
        <x:v>0.03888</x:v>
      </x:c>
      <x:c r="O421" s="34" t="n">
        <x:v>144</x:v>
      </x:c>
      <x:c r="P421" s="34" t="n">
        <x:v>1</x:v>
      </x:c>
      <x:c r="Q421" s="34" t="n">
        <x:v>144</x:v>
      </x:c>
      <x:c r="R421" s="33" t="n">
        <x:v>56</x:v>
      </x:c>
      <x:c r="S421" s="38" t="n">
        <x:v>8.064</x:v>
      </x:c>
      <x:c r="T421" s="38" t="n">
        <x:v>0.64512</x:v>
      </x:c>
      <x:c r="U421" s="38" t="n">
        <x:v>0.1483776</x:v>
      </x:c>
      <x:c r="V421" s="38" t="n">
        <x:v>7.2705024</x:v>
      </x:c>
      <x:c r="W421" s="38" t="n">
        <x:v>2.68128</x:v>
      </x:c>
      <x:c r="X421" s="38" t="n">
        <x:v>0.2108445696</x:v>
      </x:c>
      <x:c r="Y421" s="38" t="n">
        <x:v>0</x:v>
      </x:c>
      <x:c r="Z421" s="38" t="n">
        <x:v>0.5976</x:v>
      </x:c>
      <x:c r="AA421" s="38" t="n">
        <x:v>0.2376</x:v>
      </x:c>
      <x:c r="AB421" s="38" t="n">
        <x:v>0.0005184</x:v>
      </x:c>
      <x:c r="AC421" s="38" t="n">
        <x:v>3.5426594304</x:v>
      </x:c>
      <x:c r="AD421" s="28" t="n">
        <x:v>0.4872647357079478</x:v>
      </x:c>
    </x:row>
    <x:row r="422">
      <x:c r="A422" s="32" t="n">
        <x:v>45803</x:v>
      </x:c>
      <x:c r="B422" s="32" t="n">
        <x:v>45778</x:v>
      </x:c>
      <x:c r="C422" t="str">
        <x:v>May 2025</x:v>
      </x:c>
      <x:c r="D422" t="str">
        <x:v>Actual</x:v>
      </x:c>
      <x:c r="E422" t="str">
        <x:v>DB-105</x:v>
      </x:c>
      <x:c r="F422" t="str">
        <x:v>DreamFuel Refill Pack</x:v>
      </x:c>
      <x:c r="G422" t="str">
        <x:v>Subscription</x:v>
      </x:c>
      <x:c r="H422" t="str">
        <x:v>None</x:v>
      </x:c>
      <x:c r="I422" t="str">
        <x:v>Active</x:v>
      </x:c>
      <x:c r="J422" t="str">
        <x:v>Amazon Marketplace</x:v>
      </x:c>
      <x:c r="K422" t="str">
        <x:v>Marketplace Consumer</x:v>
      </x:c>
      <x:c r="L422" t="str">
        <x:v>All Geographies</x:v>
      </x:c>
      <x:c r="M422" s="34" t="n">
        <x:v>1848</x:v>
      </x:c>
      <x:c r="N422" s="28" t="n">
        <x:v>0.0458784</x:v>
      </x:c>
      <x:c r="O422" s="34" t="n">
        <x:v>85</x:v>
      </x:c>
      <x:c r="P422" s="34" t="n">
        <x:v>1</x:v>
      </x:c>
      <x:c r="Q422" s="34" t="n">
        <x:v>85</x:v>
      </x:c>
      <x:c r="R422" s="33" t="n">
        <x:v>56</x:v>
      </x:c>
      <x:c r="S422" s="38" t="n">
        <x:v>4.76</x:v>
      </x:c>
      <x:c r="T422" s="38" t="n">
        <x:v>0.238</x:v>
      </x:c>
      <x:c r="U422" s="38" t="n">
        <x:v>0.09044</x:v>
      </x:c>
      <x:c r="V422" s="38" t="n">
        <x:v>4.43156</x:v>
      </x:c>
      <x:c r="W422" s="38" t="n">
        <x:v>1.5827</x:v>
      </x:c>
      <x:c r="X422" s="38" t="n">
        <x:v>0</x:v>
      </x:c>
      <x:c r="Y422" s="38" t="n">
        <x:v>0.664734</x:v>
      </x:c>
      <x:c r="Z422" s="38" t="n">
        <x:v>0.442</x:v>
      </x:c>
      <x:c r="AA422" s="38" t="n">
        <x:v>0.18275</x:v>
      </x:c>
      <x:c r="AB422" s="38" t="n">
        <x:v>0.000306</x:v>
      </x:c>
      <x:c r="AC422" s="38" t="n">
        <x:v>1.5590700000000002</x:v>
      </x:c>
      <x:c r="AD422" s="28" t="n">
        <x:v>0.35181064907165877</x:v>
      </x:c>
    </x:row>
    <x:row r="423">
      <x:c r="A423" s="32" t="n">
        <x:v>45803</x:v>
      </x:c>
      <x:c r="B423" s="32" t="n">
        <x:v>45778</x:v>
      </x:c>
      <x:c r="C423" t="str">
        <x:v>May 2025</x:v>
      </x:c>
      <x:c r="D423" t="str">
        <x:v>Actual</x:v>
      </x:c>
      <x:c r="E423" t="str">
        <x:v>DB-105</x:v>
      </x:c>
      <x:c r="F423" t="str">
        <x:v>DreamFuel Refill Pack</x:v>
      </x:c>
      <x:c r="G423" t="str">
        <x:v>Subscription</x:v>
      </x:c>
      <x:c r="H423" t="str">
        <x:v>None</x:v>
      </x:c>
      <x:c r="I423" t="str">
        <x:v>Active</x:v>
      </x:c>
      <x:c r="J423" t="str">
        <x:v>Wholesale</x:v>
      </x:c>
      <x:c r="K423" t="str">
        <x:v>Retailer</x:v>
      </x:c>
      <x:c r="L423" t="str">
        <x:v>All Geographies</x:v>
      </x:c>
      <x:c r="M423" s="34" t="n">
        <x:v>1109</x:v>
      </x:c>
      <x:c r="N423" s="28" t="n">
        <x:v>0.021384000000000004</x:v>
      </x:c>
      <x:c r="O423" s="34" t="n">
        <x:v>24</x:v>
      </x:c>
      <x:c r="P423" s="34" t="n">
        <x:v>1</x:v>
      </x:c>
      <x:c r="Q423" s="34" t="n">
        <x:v>24</x:v>
      </x:c>
      <x:c r="R423" s="33" t="n">
        <x:v>56</x:v>
      </x:c>
      <x:c r="S423" s="38" t="n">
        <x:v>1.344</x:v>
      </x:c>
      <x:c r="T423" s="38" t="n">
        <x:v>0.4704</x:v>
      </x:c>
      <x:c r="U423" s="38" t="n">
        <x:v>0.017472000000000005</x:v>
      </x:c>
      <x:c r="V423" s="38" t="n">
        <x:v>0.8561280000000001</x:v>
      </x:c>
      <x:c r="W423" s="38" t="n">
        <x:v>0.44688</x:v>
      </x:c>
      <x:c r="X423" s="38" t="n">
        <x:v>0</x:v>
      </x:c>
      <x:c r="Y423" s="38" t="n">
        <x:v>0</x:v>
      </x:c>
      <x:c r="Z423" s="38" t="n">
        <x:v>0.0552</x:v>
      </x:c>
      <x:c r="AA423" s="38" t="n">
        <x:v>0.020399999999999998</x:v>
      </x:c>
      <x:c r="AB423" s="38" t="n">
        <x:v>0.0000864</x:v>
      </x:c>
      <x:c r="AC423" s="38" t="n">
        <x:v>0.3335616000000002</x:v>
      </x:c>
      <x:c r="AD423" s="28" t="n">
        <x:v>0.3896165059430367</x:v>
      </x:c>
    </x:row>
    <x:row r="424">
      <x:c r="A424" s="32" t="n">
        <x:v>45803</x:v>
      </x:c>
      <x:c r="B424" s="32" t="n">
        <x:v>45778</x:v>
      </x:c>
      <x:c r="C424" t="str">
        <x:v>May 2025</x:v>
      </x:c>
      <x:c r="D424" t="str">
        <x:v>Actual</x:v>
      </x:c>
      <x:c r="E424" t="str">
        <x:v>DB-105</x:v>
      </x:c>
      <x:c r="F424" t="str">
        <x:v>DreamFuel Refill Pack</x:v>
      </x:c>
      <x:c r="G424" t="str">
        <x:v>Subscription</x:v>
      </x:c>
      <x:c r="H424" t="str">
        <x:v>None</x:v>
      </x:c>
      <x:c r="I424" t="str">
        <x:v>Active</x:v>
      </x:c>
      <x:c r="J424" t="str">
        <x:v>TikTok Shop</x:v>
      </x:c>
      <x:c r="K424" t="str">
        <x:v>Social Commerce</x:v>
      </x:c>
      <x:c r="L424" t="str">
        <x:v>All Geographies</x:v>
      </x:c>
      <x:c r="M424" s="34" t="n">
        <x:v>739</x:v>
      </x:c>
      <x:c r="N424" s="28" t="n">
        <x:v>0.0489888</x:v>
      </x:c>
      <x:c r="O424" s="34" t="n">
        <x:v>36</x:v>
      </x:c>
      <x:c r="P424" s="34" t="n">
        <x:v>1</x:v>
      </x:c>
      <x:c r="Q424" s="34" t="n">
        <x:v>36</x:v>
      </x:c>
      <x:c r="R424" s="33" t="n">
        <x:v>56</x:v>
      </x:c>
      <x:c r="S424" s="38" t="n">
        <x:v>2.016</x:v>
      </x:c>
      <x:c r="T424" s="38" t="n">
        <x:v>0.24192</x:v>
      </x:c>
      <x:c r="U424" s="38" t="n">
        <x:v>0.0354816</x:v>
      </x:c>
      <x:c r="V424" s="38" t="n">
        <x:v>1.7385984</x:v>
      </x:c>
      <x:c r="W424" s="38" t="n">
        <x:v>0.67032</x:v>
      </x:c>
      <x:c r="X424" s="38" t="n">
        <x:v>0.05041935360000001</x:v>
      </x:c>
      <x:c r="Y424" s="38" t="n">
        <x:v>0.104315904</x:v>
      </x:c>
      <x:c r="Z424" s="38" t="n">
        <x:v>0.18359999999999999</x:v>
      </x:c>
      <x:c r="AA424" s="38" t="n">
        <x:v>0.063</x:v>
      </x:c>
      <x:c r="AB424" s="38" t="n">
        <x:v>0.0001296</x:v>
      </x:c>
      <x:c r="AC424" s="38" t="n">
        <x:v>0.6668135424000001</x:v>
      </x:c>
      <x:c r="AD424" s="28" t="n">
        <x:v>0.38353511794328127</x:v>
      </x:c>
    </x:row>
    <x:row r="425">
      <x:c r="A425" s="32" t="n">
        <x:v>45810</x:v>
      </x:c>
      <x:c r="B425" s="32" t="n">
        <x:v>45809</x:v>
      </x:c>
      <x:c r="C425" t="str">
        <x:v>Jun 2025</x:v>
      </x:c>
      <x:c r="D425" t="str">
        <x:v>Actual</x:v>
      </x:c>
      <x:c r="E425" t="str">
        <x:v>DB-101</x:v>
      </x:c>
      <x:c r="F425" t="str">
        <x:v>AeroSip Bottle</x:v>
      </x:c>
      <x:c r="G425" t="str">
        <x:v>One-time purchase</x:v>
      </x:c>
      <x:c r="H425" t="str">
        <x:v>None</x:v>
      </x:c>
      <x:c r="I425" t="str">
        <x:v>Active</x:v>
      </x:c>
      <x:c r="J425" t="str">
        <x:v>Shopify DTC</x:v>
      </x:c>
      <x:c r="K425" t="str">
        <x:v>Consumer</x:v>
      </x:c>
      <x:c r="L425" t="str">
        <x:v>All Geographies</x:v>
      </x:c>
      <x:c r="M425" s="34" t="n">
        <x:v>5359</x:v>
      </x:c>
      <x:c r="N425" s="28" t="n">
        <x:v>0.034199999999999994</x:v>
      </x:c>
      <x:c r="O425" s="34" t="n">
        <x:v>183</x:v>
      </x:c>
      <x:c r="P425" s="34" t="n">
        <x:v>1</x:v>
      </x:c>
      <x:c r="Q425" s="34" t="n">
        <x:v>183</x:v>
      </x:c>
      <x:c r="R425" s="33" t="n">
        <x:v>29</x:v>
      </x:c>
      <x:c r="S425" s="38" t="n">
        <x:v>5.307</x:v>
      </x:c>
      <x:c r="T425" s="38" t="n">
        <x:v>0.42456000000000005</x:v>
      </x:c>
      <x:c r="U425" s="38" t="n">
        <x:v>0.21970980000000004</x:v>
      </x:c>
      <x:c r="V425" s="38" t="n">
        <x:v>4.6627302</x:v>
      </x:c>
      <x:c r="W425" s="38" t="n">
        <x:v>1.9764000000000002</x:v>
      </x:c>
      <x:c r="X425" s="38" t="n">
        <x:v>0.1352191758</x:v>
      </x:c>
      <x:c r="Y425" s="38" t="n">
        <x:v>0</x:v>
      </x:c>
      <x:c r="Z425" s="38" t="n">
        <x:v>0.7594500000000001</x:v>
      </x:c>
      <x:c r="AA425" s="38" t="n">
        <x:v>0.30195</x:v>
      </x:c>
      <x:c r="AB425" s="38" t="n">
        <x:v>0.006588000000000001</x:v>
      </x:c>
      <x:c r="AC425" s="38" t="n">
        <x:v>1.4831230242000002</x:v>
      </x:c>
      <x:c r="AD425" s="28" t="n">
        <x:v>0.31808038650831655</x:v>
      </x:c>
    </x:row>
    <x:row r="426">
      <x:c r="A426" s="32" t="n">
        <x:v>45810</x:v>
      </x:c>
      <x:c r="B426" s="32" t="n">
        <x:v>45809</x:v>
      </x:c>
      <x:c r="C426" t="str">
        <x:v>Jun 2025</x:v>
      </x:c>
      <x:c r="D426" t="str">
        <x:v>Actual</x:v>
      </x:c>
      <x:c r="E426" t="str">
        <x:v>DB-101</x:v>
      </x:c>
      <x:c r="F426" t="str">
        <x:v>AeroSip Bottle</x:v>
      </x:c>
      <x:c r="G426" t="str">
        <x:v>One-time purchase</x:v>
      </x:c>
      <x:c r="H426" t="str">
        <x:v>None</x:v>
      </x:c>
      <x:c r="I426" t="str">
        <x:v>Active</x:v>
      </x:c>
      <x:c r="J426" t="str">
        <x:v>Amazon Marketplace</x:v>
      </x:c>
      <x:c r="K426" t="str">
        <x:v>Marketplace Consumer</x:v>
      </x:c>
      <x:c r="L426" t="str">
        <x:v>All Geographies</x:v>
      </x:c>
      <x:c r="M426" s="34" t="n">
        <x:v>2680</x:v>
      </x:c>
      <x:c r="N426" s="28" t="n">
        <x:v>0.040355999999999996</x:v>
      </x:c>
      <x:c r="O426" s="34" t="n">
        <x:v>108</x:v>
      </x:c>
      <x:c r="P426" s="34" t="n">
        <x:v>1</x:v>
      </x:c>
      <x:c r="Q426" s="34" t="n">
        <x:v>108</x:v>
      </x:c>
      <x:c r="R426" s="33" t="n">
        <x:v>29</x:v>
      </x:c>
      <x:c r="S426" s="38" t="n">
        <x:v>3.132</x:v>
      </x:c>
      <x:c r="T426" s="38" t="n">
        <x:v>0.15660000000000002</x:v>
      </x:c>
      <x:c r="U426" s="38" t="n">
        <x:v>0.13389299999999998</x:v>
      </x:c>
      <x:c r="V426" s="38" t="n">
        <x:v>2.841507</x:v>
      </x:c>
      <x:c r="W426" s="38" t="n">
        <x:v>1.1664</x:v>
      </x:c>
      <x:c r="X426" s="38" t="n">
        <x:v>0</x:v>
      </x:c>
      <x:c r="Y426" s="38" t="n">
        <x:v>0.42622604999999997</x:v>
      </x:c>
      <x:c r="Z426" s="38" t="n">
        <x:v>0.5616</x:v>
      </x:c>
      <x:c r="AA426" s="38" t="n">
        <x:v>0.2322</x:v>
      </x:c>
      <x:c r="AB426" s="38" t="n">
        <x:v>0.003888</x:v>
      </x:c>
      <x:c r="AC426" s="38" t="n">
        <x:v>0.45119295000000004</x:v>
      </x:c>
      <x:c r="AD426" s="28" t="n">
        <x:v>0.15878649955815702</x:v>
      </x:c>
    </x:row>
    <x:row r="427">
      <x:c r="A427" s="32" t="n">
        <x:v>45810</x:v>
      </x:c>
      <x:c r="B427" s="32" t="n">
        <x:v>45809</x:v>
      </x:c>
      <x:c r="C427" t="str">
        <x:v>Jun 2025</x:v>
      </x:c>
      <x:c r="D427" t="str">
        <x:v>Actual</x:v>
      </x:c>
      <x:c r="E427" t="str">
        <x:v>DB-101</x:v>
      </x:c>
      <x:c r="F427" t="str">
        <x:v>AeroSip Bottle</x:v>
      </x:c>
      <x:c r="G427" t="str">
        <x:v>One-time purchase</x:v>
      </x:c>
      <x:c r="H427" t="str">
        <x:v>None</x:v>
      </x:c>
      <x:c r="I427" t="str">
        <x:v>Active</x:v>
      </x:c>
      <x:c r="J427" t="str">
        <x:v>Wholesale</x:v>
      </x:c>
      <x:c r="K427" t="str">
        <x:v>Retailer</x:v>
      </x:c>
      <x:c r="L427" t="str">
        <x:v>All Geographies</x:v>
      </x:c>
      <x:c r="M427" s="34" t="n">
        <x:v>1608</x:v>
      </x:c>
      <x:c r="N427" s="28" t="n">
        <x:v>0.01881</x:v>
      </x:c>
      <x:c r="O427" s="34" t="n">
        <x:v>30</x:v>
      </x:c>
      <x:c r="P427" s="34" t="n">
        <x:v>1</x:v>
      </x:c>
      <x:c r="Q427" s="34" t="n">
        <x:v>30</x:v>
      </x:c>
      <x:c r="R427" s="33" t="n">
        <x:v>29</x:v>
      </x:c>
      <x:c r="S427" s="38" t="n">
        <x:v>0.87</x:v>
      </x:c>
      <x:c r="T427" s="38" t="n">
        <x:v>0.3045</x:v>
      </x:c>
      <x:c r="U427" s="38" t="n">
        <x:v>0.025447499999999998</x:v>
      </x:c>
      <x:c r="V427" s="38" t="n">
        <x:v>0.5400525</x:v>
      </x:c>
      <x:c r="W427" s="38" t="n">
        <x:v>0.324</x:v>
      </x:c>
      <x:c r="X427" s="38" t="n">
        <x:v>0</x:v>
      </x:c>
      <x:c r="Y427" s="38" t="n">
        <x:v>0</x:v>
      </x:c>
      <x:c r="Z427" s="38" t="n">
        <x:v>0.069</x:v>
      </x:c>
      <x:c r="AA427" s="38" t="n">
        <x:v>0.0255</x:v>
      </x:c>
      <x:c r="AB427" s="38" t="n">
        <x:v>0.00108</x:v>
      </x:c>
      <x:c r="AC427" s="38" t="n">
        <x:v>0.12047250000000004</x:v>
      </x:c>
      <x:c r="AD427" s="28" t="n">
        <x:v>0.22307553432305197</x:v>
      </x:c>
    </x:row>
    <x:row r="428">
      <x:c r="A428" s="32" t="n">
        <x:v>45810</x:v>
      </x:c>
      <x:c r="B428" s="32" t="n">
        <x:v>45809</x:v>
      </x:c>
      <x:c r="C428" t="str">
        <x:v>Jun 2025</x:v>
      </x:c>
      <x:c r="D428" t="str">
        <x:v>Actual</x:v>
      </x:c>
      <x:c r="E428" t="str">
        <x:v>DB-101</x:v>
      </x:c>
      <x:c r="F428" t="str">
        <x:v>AeroSip Bottle</x:v>
      </x:c>
      <x:c r="G428" t="str">
        <x:v>One-time purchase</x:v>
      </x:c>
      <x:c r="H428" t="str">
        <x:v>None</x:v>
      </x:c>
      <x:c r="I428" t="str">
        <x:v>Active</x:v>
      </x:c>
      <x:c r="J428" t="str">
        <x:v>TikTok Shop</x:v>
      </x:c>
      <x:c r="K428" t="str">
        <x:v>Social Commerce</x:v>
      </x:c>
      <x:c r="L428" t="str">
        <x:v>All Geographies</x:v>
      </x:c>
      <x:c r="M428" s="34" t="n">
        <x:v>1072</x:v>
      </x:c>
      <x:c r="N428" s="28" t="n">
        <x:v>0.043092</x:v>
      </x:c>
      <x:c r="O428" s="34" t="n">
        <x:v>46</x:v>
      </x:c>
      <x:c r="P428" s="34" t="n">
        <x:v>1</x:v>
      </x:c>
      <x:c r="Q428" s="34" t="n">
        <x:v>46</x:v>
      </x:c>
      <x:c r="R428" s="33" t="n">
        <x:v>29</x:v>
      </x:c>
      <x:c r="S428" s="38" t="n">
        <x:v>1.334</x:v>
      </x:c>
      <x:c r="T428" s="38" t="n">
        <x:v>0.16008</x:v>
      </x:c>
      <x:c r="U428" s="38" t="n">
        <x:v>0.0528264</x:v>
      </x:c>
      <x:c r="V428" s="38" t="n">
        <x:v>1.1210936</x:v>
      </x:c>
      <x:c r="W428" s="38" t="n">
        <x:v>0.4968</x:v>
      </x:c>
      <x:c r="X428" s="38" t="n">
        <x:v>0.0325117144</x:v>
      </x:c>
      <x:c r="Y428" s="38" t="n">
        <x:v>0.067265616</x:v>
      </x:c>
      <x:c r="Z428" s="38" t="n">
        <x:v>0.2346</x:v>
      </x:c>
      <x:c r="AA428" s="38" t="n">
        <x:v>0.0805</x:v>
      </x:c>
      <x:c r="AB428" s="38" t="n">
        <x:v>0.0016560000000000001</x:v>
      </x:c>
      <x:c r="AC428" s="38" t="n">
        <x:v>0.20776026959999994</x:v>
      </x:c>
      <x:c r="AD428" s="28" t="n">
        <x:v>0.18531928966501987</x:v>
      </x:c>
    </x:row>
    <x:row r="429">
      <x:c r="A429" s="32" t="n">
        <x:v>45810</x:v>
      </x:c>
      <x:c r="B429" s="32" t="n">
        <x:v>45809</x:v>
      </x:c>
      <x:c r="C429" t="str">
        <x:v>Jun 2025</x:v>
      </x:c>
      <x:c r="D429" t="str">
        <x:v>Actual</x:v>
      </x:c>
      <x:c r="E429" t="str">
        <x:v>DB-102</x:v>
      </x:c>
      <x:c r="F429" t="str">
        <x:v>GlowPatch Balm</x:v>
      </x:c>
      <x:c r="G429" t="str">
        <x:v>Consumable repeat</x:v>
      </x:c>
      <x:c r="H429" t="str">
        <x:v>None</x:v>
      </x:c>
      <x:c r="I429" t="str">
        <x:v>Active</x:v>
      </x:c>
      <x:c r="J429" t="str">
        <x:v>Shopify DTC</x:v>
      </x:c>
      <x:c r="K429" t="str">
        <x:v>Consumer</x:v>
      </x:c>
      <x:c r="L429" t="str">
        <x:v>All Geographies</x:v>
      </x:c>
      <x:c r="M429" s="34" t="n">
        <x:v>4328</x:v>
      </x:c>
      <x:c r="N429" s="28" t="n">
        <x:v>0.04248</x:v>
      </x:c>
      <x:c r="O429" s="34" t="n">
        <x:v>184</x:v>
      </x:c>
      <x:c r="P429" s="34" t="n">
        <x:v>1</x:v>
      </x:c>
      <x:c r="Q429" s="34" t="n">
        <x:v>184</x:v>
      </x:c>
      <x:c r="R429" s="33" t="n">
        <x:v>18</x:v>
      </x:c>
      <x:c r="S429" s="38" t="n">
        <x:v>3.312</x:v>
      </x:c>
      <x:c r="T429" s="38" t="n">
        <x:v>0.26496</x:v>
      </x:c>
      <x:c r="U429" s="38" t="n">
        <x:v>0.07617600000000001</x:v>
      </x:c>
      <x:c r="V429" s="38" t="n">
        <x:v>2.970864</x:v>
      </x:c>
      <x:c r="W429" s="38" t="n">
        <x:v>0.9954400000000001</x:v>
      </x:c>
      <x:c r="X429" s="38" t="n">
        <x:v>0.08615505600000001</x:v>
      </x:c>
      <x:c r="Y429" s="38" t="n">
        <x:v>0</x:v>
      </x:c>
      <x:c r="Z429" s="38" t="n">
        <x:v>0.7636000000000001</x:v>
      </x:c>
      <x:c r="AA429" s="38" t="n">
        <x:v>0.3036</x:v>
      </x:c>
      <x:c r="AB429" s="38" t="n">
        <x:v>0.0011040000000000002</x:v>
      </x:c>
      <x:c r="AC429" s="38" t="n">
        <x:v>0.8209649440000001</x:v>
      </x:c>
      <x:c r="AD429" s="28" t="n">
        <x:v>0.2763387835996532</x:v>
      </x:c>
    </x:row>
    <x:row r="430">
      <x:c r="A430" s="32" t="n">
        <x:v>45810</x:v>
      </x:c>
      <x:c r="B430" s="32" t="n">
        <x:v>45809</x:v>
      </x:c>
      <x:c r="C430" t="str">
        <x:v>Jun 2025</x:v>
      </x:c>
      <x:c r="D430" t="str">
        <x:v>Actual</x:v>
      </x:c>
      <x:c r="E430" t="str">
        <x:v>DB-102</x:v>
      </x:c>
      <x:c r="F430" t="str">
        <x:v>GlowPatch Balm</x:v>
      </x:c>
      <x:c r="G430" t="str">
        <x:v>Consumable repeat</x:v>
      </x:c>
      <x:c r="H430" t="str">
        <x:v>None</x:v>
      </x:c>
      <x:c r="I430" t="str">
        <x:v>Active</x:v>
      </x:c>
      <x:c r="J430" t="str">
        <x:v>Amazon Marketplace</x:v>
      </x:c>
      <x:c r="K430" t="str">
        <x:v>Marketplace Consumer</x:v>
      </x:c>
      <x:c r="L430" t="str">
        <x:v>All Geographies</x:v>
      </x:c>
      <x:c r="M430" s="34" t="n">
        <x:v>2164</x:v>
      </x:c>
      <x:c r="N430" s="28" t="n">
        <x:v>0.050126399999999995</x:v>
      </x:c>
      <x:c r="O430" s="34" t="n">
        <x:v>108</x:v>
      </x:c>
      <x:c r="P430" s="34" t="n">
        <x:v>1</x:v>
      </x:c>
      <x:c r="Q430" s="34" t="n">
        <x:v>108</x:v>
      </x:c>
      <x:c r="R430" s="33" t="n">
        <x:v>18</x:v>
      </x:c>
      <x:c r="S430" s="38" t="n">
        <x:v>1.944</x:v>
      </x:c>
      <x:c r="T430" s="38" t="n">
        <x:v>0.09720000000000001</x:v>
      </x:c>
      <x:c r="U430" s="38" t="n">
        <x:v>0.04617</x:v>
      </x:c>
      <x:c r="V430" s="38" t="n">
        <x:v>1.80063</x:v>
      </x:c>
      <x:c r="W430" s="38" t="n">
        <x:v>0.58428</x:v>
      </x:c>
      <x:c r="X430" s="38" t="n">
        <x:v>0</x:v>
      </x:c>
      <x:c r="Y430" s="38" t="n">
        <x:v>0.27009449999999996</x:v>
      </x:c>
      <x:c r="Z430" s="38" t="n">
        <x:v>0.5616</x:v>
      </x:c>
      <x:c r="AA430" s="38" t="n">
        <x:v>0.2322</x:v>
      </x:c>
      <x:c r="AB430" s="38" t="n">
        <x:v>0.000648</x:v>
      </x:c>
      <x:c r="AC430" s="38" t="n">
        <x:v>0.15180749999999993</x:v>
      </x:c>
      <x:c r="AD430" s="28" t="n">
        <x:v>0.08430799220272901</x:v>
      </x:c>
    </x:row>
    <x:row r="431">
      <x:c r="A431" s="32" t="n">
        <x:v>45810</x:v>
      </x:c>
      <x:c r="B431" s="32" t="n">
        <x:v>45809</x:v>
      </x:c>
      <x:c r="C431" t="str">
        <x:v>Jun 2025</x:v>
      </x:c>
      <x:c r="D431" t="str">
        <x:v>Actual</x:v>
      </x:c>
      <x:c r="E431" t="str">
        <x:v>DB-102</x:v>
      </x:c>
      <x:c r="F431" t="str">
        <x:v>GlowPatch Balm</x:v>
      </x:c>
      <x:c r="G431" t="str">
        <x:v>Consumable repeat</x:v>
      </x:c>
      <x:c r="H431" t="str">
        <x:v>None</x:v>
      </x:c>
      <x:c r="I431" t="str">
        <x:v>Active</x:v>
      </x:c>
      <x:c r="J431" t="str">
        <x:v>Wholesale</x:v>
      </x:c>
      <x:c r="K431" t="str">
        <x:v>Retailer</x:v>
      </x:c>
      <x:c r="L431" t="str">
        <x:v>All Geographies</x:v>
      </x:c>
      <x:c r="M431" s="34" t="n">
        <x:v>1299</x:v>
      </x:c>
      <x:c r="N431" s="28" t="n">
        <x:v>0.023364</x:v>
      </x:c>
      <x:c r="O431" s="34" t="n">
        <x:v>30</x:v>
      </x:c>
      <x:c r="P431" s="34" t="n">
        <x:v>1</x:v>
      </x:c>
      <x:c r="Q431" s="34" t="n">
        <x:v>30</x:v>
      </x:c>
      <x:c r="R431" s="33" t="n">
        <x:v>18</x:v>
      </x:c>
      <x:c r="S431" s="38" t="n">
        <x:v>0.54</x:v>
      </x:c>
      <x:c r="T431" s="38" t="n">
        <x:v>0.189</x:v>
      </x:c>
      <x:c r="U431" s="38" t="n">
        <x:v>0.008775000000000002</x:v>
      </x:c>
      <x:c r="V431" s="38" t="n">
        <x:v>0.34222500000000006</x:v>
      </x:c>
      <x:c r="W431" s="38" t="n">
        <x:v>0.1623</x:v>
      </x:c>
      <x:c r="X431" s="38" t="n">
        <x:v>0</x:v>
      </x:c>
      <x:c r="Y431" s="38" t="n">
        <x:v>0</x:v>
      </x:c>
      <x:c r="Z431" s="38" t="n">
        <x:v>0.069</x:v>
      </x:c>
      <x:c r="AA431" s="38" t="n">
        <x:v>0.0255</x:v>
      </x:c>
      <x:c r="AB431" s="38" t="n">
        <x:v>0.00017999999999999998</x:v>
      </x:c>
      <x:c r="AC431" s="38" t="n">
        <x:v>0.08524500000000006</x:v>
      </x:c>
      <x:c r="AD431" s="28" t="n">
        <x:v>0.2490905106289723</x:v>
      </x:c>
    </x:row>
    <x:row r="432">
      <x:c r="A432" s="32" t="n">
        <x:v>45810</x:v>
      </x:c>
      <x:c r="B432" s="32" t="n">
        <x:v>45809</x:v>
      </x:c>
      <x:c r="C432" t="str">
        <x:v>Jun 2025</x:v>
      </x:c>
      <x:c r="D432" t="str">
        <x:v>Actual</x:v>
      </x:c>
      <x:c r="E432" t="str">
        <x:v>DB-102</x:v>
      </x:c>
      <x:c r="F432" t="str">
        <x:v>GlowPatch Balm</x:v>
      </x:c>
      <x:c r="G432" t="str">
        <x:v>Consumable repeat</x:v>
      </x:c>
      <x:c r="H432" t="str">
        <x:v>None</x:v>
      </x:c>
      <x:c r="I432" t="str">
        <x:v>Active</x:v>
      </x:c>
      <x:c r="J432" t="str">
        <x:v>TikTok Shop</x:v>
      </x:c>
      <x:c r="K432" t="str">
        <x:v>Social Commerce</x:v>
      </x:c>
      <x:c r="L432" t="str">
        <x:v>All Geographies</x:v>
      </x:c>
      <x:c r="M432" s="34" t="n">
        <x:v>866</x:v>
      </x:c>
      <x:c r="N432" s="28" t="n">
        <x:v>0.0535248</x:v>
      </x:c>
      <x:c r="O432" s="34" t="n">
        <x:v>46</x:v>
      </x:c>
      <x:c r="P432" s="34" t="n">
        <x:v>1</x:v>
      </x:c>
      <x:c r="Q432" s="34" t="n">
        <x:v>46</x:v>
      </x:c>
      <x:c r="R432" s="33" t="n">
        <x:v>18</x:v>
      </x:c>
      <x:c r="S432" s="38" t="n">
        <x:v>0.828</x:v>
      </x:c>
      <x:c r="T432" s="38" t="n">
        <x:v>0.09935999999999999</x:v>
      </x:c>
      <x:c r="U432" s="38" t="n">
        <x:v>0.018216</x:v>
      </x:c>
      <x:c r="V432" s="38" t="n">
        <x:v>0.7104239999999999</x:v>
      </x:c>
      <x:c r="W432" s="38" t="n">
        <x:v>0.24886000000000003</x:v>
      </x:c>
      <x:c r="X432" s="38" t="n">
        <x:v>0.020602296</x:v>
      </x:c>
      <x:c r="Y432" s="38" t="n">
        <x:v>0.042625439999999994</x:v>
      </x:c>
      <x:c r="Z432" s="38" t="n">
        <x:v>0.2346</x:v>
      </x:c>
      <x:c r="AA432" s="38" t="n">
        <x:v>0.0805</x:v>
      </x:c>
      <x:c r="AB432" s="38" t="n">
        <x:v>0.00027600000000000004</x:v>
      </x:c>
      <x:c r="AC432" s="38" t="n">
        <x:v>0.08296026399999988</x:v>
      </x:c>
      <x:c r="AD432" s="28" t="n">
        <x:v>0.11677570577570562</x:v>
      </x:c>
    </x:row>
    <x:row r="433">
      <x:c r="A433" s="32" t="n">
        <x:v>45810</x:v>
      </x:c>
      <x:c r="B433" s="32" t="n">
        <x:v>45809</x:v>
      </x:c>
      <x:c r="C433" t="str">
        <x:v>Jun 2025</x:v>
      </x:c>
      <x:c r="D433" t="str">
        <x:v>Actual</x:v>
      </x:c>
      <x:c r="E433" t="str">
        <x:v>DB-103</x:v>
      </x:c>
      <x:c r="F433" t="str">
        <x:v>EmberTrail Camp Mug</x:v>
      </x:c>
      <x:c r="G433" t="str">
        <x:v>One-time purchase</x:v>
      </x:c>
      <x:c r="H433" t="str">
        <x:v>Winter peak</x:v>
      </x:c>
      <x:c r="I433" t="str">
        <x:v>Active</x:v>
      </x:c>
      <x:c r="J433" t="str">
        <x:v>Shopify DTC</x:v>
      </x:c>
      <x:c r="K433" t="str">
        <x:v>Consumer</x:v>
      </x:c>
      <x:c r="L433" t="str">
        <x:v>All Geographies</x:v>
      </x:c>
      <x:c r="M433" s="34" t="n">
        <x:v>2783</x:v>
      </x:c>
      <x:c r="N433" s="28" t="n">
        <x:v>0.0324</x:v>
      </x:c>
      <x:c r="O433" s="34" t="n">
        <x:v>90</x:v>
      </x:c>
      <x:c r="P433" s="34" t="n">
        <x:v>1</x:v>
      </x:c>
      <x:c r="Q433" s="34" t="n">
        <x:v>90</x:v>
      </x:c>
      <x:c r="R433" s="33" t="n">
        <x:v>34</x:v>
      </x:c>
      <x:c r="S433" s="38" t="n">
        <x:v>3.06</x:v>
      </x:c>
      <x:c r="T433" s="38" t="n">
        <x:v>0.24480000000000002</x:v>
      </x:c>
      <x:c r="U433" s="38" t="n">
        <x:v>0.154836</x:v>
      </x:c>
      <x:c r="V433" s="38" t="n">
        <x:v>2.660364</x:v>
      </x:c>
      <x:c r="W433" s="38" t="n">
        <x:v>1.2303</x:v>
      </x:c>
      <x:c r="X433" s="38" t="n">
        <x:v>0.07715055600000001</x:v>
      </x:c>
      <x:c r="Y433" s="38" t="n">
        <x:v>0</x:v>
      </x:c>
      <x:c r="Z433" s="38" t="n">
        <x:v>0.37350000000000005</x:v>
      </x:c>
      <x:c r="AA433" s="38" t="n">
        <x:v>0.1485</x:v>
      </x:c>
      <x:c r="AB433" s="38" t="n">
        <x:v>0.00504</x:v>
      </x:c>
      <x:c r="AC433" s="38" t="n">
        <x:v>0.8258734439999998</x:v>
      </x:c>
      <x:c r="AD433" s="28" t="n">
        <x:v>0.3104362575948253</x:v>
      </x:c>
    </x:row>
    <x:row r="434">
      <x:c r="A434" s="32" t="n">
        <x:v>45810</x:v>
      </x:c>
      <x:c r="B434" s="32" t="n">
        <x:v>45809</x:v>
      </x:c>
      <x:c r="C434" t="str">
        <x:v>Jun 2025</x:v>
      </x:c>
      <x:c r="D434" t="str">
        <x:v>Actual</x:v>
      </x:c>
      <x:c r="E434" t="str">
        <x:v>DB-103</x:v>
      </x:c>
      <x:c r="F434" t="str">
        <x:v>EmberTrail Camp Mug</x:v>
      </x:c>
      <x:c r="G434" t="str">
        <x:v>One-time purchase</x:v>
      </x:c>
      <x:c r="H434" t="str">
        <x:v>Winter peak</x:v>
      </x:c>
      <x:c r="I434" t="str">
        <x:v>Active</x:v>
      </x:c>
      <x:c r="J434" t="str">
        <x:v>Amazon Marketplace</x:v>
      </x:c>
      <x:c r="K434" t="str">
        <x:v>Marketplace Consumer</x:v>
      </x:c>
      <x:c r="L434" t="str">
        <x:v>All Geographies</x:v>
      </x:c>
      <x:c r="M434" s="34" t="n">
        <x:v>1391</x:v>
      </x:c>
      <x:c r="N434" s="28" t="n">
        <x:v>0.038231999999999995</x:v>
      </x:c>
      <x:c r="O434" s="34" t="n">
        <x:v>53</x:v>
      </x:c>
      <x:c r="P434" s="34" t="n">
        <x:v>1</x:v>
      </x:c>
      <x:c r="Q434" s="34" t="n">
        <x:v>53</x:v>
      </x:c>
      <x:c r="R434" s="33" t="n">
        <x:v>34</x:v>
      </x:c>
      <x:c r="S434" s="38" t="n">
        <x:v>1.802</x:v>
      </x:c>
      <x:c r="T434" s="38" t="n">
        <x:v>0.09010000000000001</x:v>
      </x:c>
      <x:c r="U434" s="38" t="n">
        <x:v>0.0941545</x:v>
      </x:c>
      <x:c r="V434" s="38" t="n">
        <x:v>1.6177455</x:v>
      </x:c>
      <x:c r="W434" s="38" t="n">
        <x:v>0.72451</x:v>
      </x:c>
      <x:c r="X434" s="38" t="n">
        <x:v>0</x:v>
      </x:c>
      <x:c r="Y434" s="38" t="n">
        <x:v>0.242661825</x:v>
      </x:c>
      <x:c r="Z434" s="38" t="n">
        <x:v>0.2756</x:v>
      </x:c>
      <x:c r="AA434" s="38" t="n">
        <x:v>0.11394999999999998</x:v>
      </x:c>
      <x:c r="AB434" s="38" t="n">
        <x:v>0.002968</x:v>
      </x:c>
      <x:c r="AC434" s="38" t="n">
        <x:v>0.25805567500000004</x:v>
      </x:c>
      <x:c r="AD434" s="28" t="n">
        <x:v>0.15951561911314235</x:v>
      </x:c>
    </x:row>
    <x:row r="435">
      <x:c r="A435" s="32" t="n">
        <x:v>45810</x:v>
      </x:c>
      <x:c r="B435" s="32" t="n">
        <x:v>45809</x:v>
      </x:c>
      <x:c r="C435" t="str">
        <x:v>Jun 2025</x:v>
      </x:c>
      <x:c r="D435" t="str">
        <x:v>Actual</x:v>
      </x:c>
      <x:c r="E435" t="str">
        <x:v>DB-103</x:v>
      </x:c>
      <x:c r="F435" t="str">
        <x:v>EmberTrail Camp Mug</x:v>
      </x:c>
      <x:c r="G435" t="str">
        <x:v>One-time purchase</x:v>
      </x:c>
      <x:c r="H435" t="str">
        <x:v>Winter peak</x:v>
      </x:c>
      <x:c r="I435" t="str">
        <x:v>Active</x:v>
      </x:c>
      <x:c r="J435" t="str">
        <x:v>Wholesale</x:v>
      </x:c>
      <x:c r="K435" t="str">
        <x:v>Retailer</x:v>
      </x:c>
      <x:c r="L435" t="str">
        <x:v>All Geographies</x:v>
      </x:c>
      <x:c r="M435" s="34" t="n">
        <x:v>835</x:v>
      </x:c>
      <x:c r="N435" s="28" t="n">
        <x:v>0.017820000000000003</x:v>
      </x:c>
      <x:c r="O435" s="34" t="n">
        <x:v>15</x:v>
      </x:c>
      <x:c r="P435" s="34" t="n">
        <x:v>1</x:v>
      </x:c>
      <x:c r="Q435" s="34" t="n">
        <x:v>15</x:v>
      </x:c>
      <x:c r="R435" s="33" t="n">
        <x:v>34</x:v>
      </x:c>
      <x:c r="S435" s="38" t="n">
        <x:v>0.51</x:v>
      </x:c>
      <x:c r="T435" s="38" t="n">
        <x:v>0.1785</x:v>
      </x:c>
      <x:c r="U435" s="38" t="n">
        <x:v>0.018232500000000002</x:v>
      </x:c>
      <x:c r="V435" s="38" t="n">
        <x:v>0.31326750000000003</x:v>
      </x:c>
      <x:c r="W435" s="38" t="n">
        <x:v>0.20505</x:v>
      </x:c>
      <x:c r="X435" s="38" t="n">
        <x:v>0</x:v>
      </x:c>
      <x:c r="Y435" s="38" t="n">
        <x:v>0</x:v>
      </x:c>
      <x:c r="Z435" s="38" t="n">
        <x:v>0.0345</x:v>
      </x:c>
      <x:c r="AA435" s="38" t="n">
        <x:v>0.01275</x:v>
      </x:c>
      <x:c r="AB435" s="38" t="n">
        <x:v>0.0008399999999999999</x:v>
      </x:c>
      <x:c r="AC435" s="38" t="n">
        <x:v>0.06012750000000002</x:v>
      </x:c>
      <x:c r="AD435" s="28" t="n">
        <x:v>0.19193660370130963</x:v>
      </x:c>
    </x:row>
    <x:row r="436">
      <x:c r="A436" s="32" t="n">
        <x:v>45810</x:v>
      </x:c>
      <x:c r="B436" s="32" t="n">
        <x:v>45809</x:v>
      </x:c>
      <x:c r="C436" t="str">
        <x:v>Jun 2025</x:v>
      </x:c>
      <x:c r="D436" t="str">
        <x:v>Actual</x:v>
      </x:c>
      <x:c r="E436" t="str">
        <x:v>DB-103</x:v>
      </x:c>
      <x:c r="F436" t="str">
        <x:v>EmberTrail Camp Mug</x:v>
      </x:c>
      <x:c r="G436" t="str">
        <x:v>One-time purchase</x:v>
      </x:c>
      <x:c r="H436" t="str">
        <x:v>Winter peak</x:v>
      </x:c>
      <x:c r="I436" t="str">
        <x:v>Active</x:v>
      </x:c>
      <x:c r="J436" t="str">
        <x:v>TikTok Shop</x:v>
      </x:c>
      <x:c r="K436" t="str">
        <x:v>Social Commerce</x:v>
      </x:c>
      <x:c r="L436" t="str">
        <x:v>All Geographies</x:v>
      </x:c>
      <x:c r="M436" s="34" t="n">
        <x:v>557</x:v>
      </x:c>
      <x:c r="N436" s="28" t="n">
        <x:v>0.040824</x:v>
      </x:c>
      <x:c r="O436" s="34" t="n">
        <x:v>23</x:v>
      </x:c>
      <x:c r="P436" s="34" t="n">
        <x:v>1</x:v>
      </x:c>
      <x:c r="Q436" s="34" t="n">
        <x:v>23</x:v>
      </x:c>
      <x:c r="R436" s="33" t="n">
        <x:v>34</x:v>
      </x:c>
      <x:c r="S436" s="38" t="n">
        <x:v>0.782</x:v>
      </x:c>
      <x:c r="T436" s="38" t="n">
        <x:v>0.09384</x:v>
      </x:c>
      <x:c r="U436" s="38" t="n">
        <x:v>0.0378488</x:v>
      </x:c>
      <x:c r="V436" s="38" t="n">
        <x:v>0.6503112</x:v>
      </x:c>
      <x:c r="W436" s="38" t="n">
        <x:v>0.31441</x:v>
      </x:c>
      <x:c r="X436" s="38" t="n">
        <x:v>0.0188590248</x:v>
      </x:c>
      <x:c r="Y436" s="38" t="n">
        <x:v>0.039018672</x:v>
      </x:c>
      <x:c r="Z436" s="38" t="n">
        <x:v>0.1173</x:v>
      </x:c>
      <x:c r="AA436" s="38" t="n">
        <x:v>0.04025</x:v>
      </x:c>
      <x:c r="AB436" s="38" t="n">
        <x:v>0.001288</x:v>
      </x:c>
      <x:c r="AC436" s="38" t="n">
        <x:v>0.11918550319999995</x:v>
      </x:c>
      <x:c r="AD436" s="28" t="n">
        <x:v>0.18327456639221337</x:v>
      </x:c>
    </x:row>
    <x:row r="437">
      <x:c r="A437" s="32" t="n">
        <x:v>45810</x:v>
      </x:c>
      <x:c r="B437" s="32" t="n">
        <x:v>45809</x:v>
      </x:c>
      <x:c r="C437" t="str">
        <x:v>Jun 2025</x:v>
      </x:c>
      <x:c r="D437" t="str">
        <x:v>Actual</x:v>
      </x:c>
      <x:c r="E437" t="str">
        <x:v>DB-104</x:v>
      </x:c>
      <x:c r="F437" t="str">
        <x:v>SunNest Cooling Towel</x:v>
      </x:c>
      <x:c r="G437" t="str">
        <x:v>Consumable repeat</x:v>
      </x:c>
      <x:c r="H437" t="str">
        <x:v>Summer peak</x:v>
      </x:c>
      <x:c r="I437" t="str">
        <x:v>Active</x:v>
      </x:c>
      <x:c r="J437" t="str">
        <x:v>Shopify DTC</x:v>
      </x:c>
      <x:c r="K437" t="str">
        <x:v>Consumer</x:v>
      </x:c>
      <x:c r="L437" t="str">
        <x:v>All Geographies</x:v>
      </x:c>
      <x:c r="M437" s="34" t="n">
        <x:v>5081</x:v>
      </x:c>
      <x:c r="N437" s="28" t="n">
        <x:v>0.03312</x:v>
      </x:c>
      <x:c r="O437" s="34" t="n">
        <x:v>168</x:v>
      </x:c>
      <x:c r="P437" s="34" t="n">
        <x:v>1</x:v>
      </x:c>
      <x:c r="Q437" s="34" t="n">
        <x:v>168</x:v>
      </x:c>
      <x:c r="R437" s="33" t="n">
        <x:v>42</x:v>
      </x:c>
      <x:c r="S437" s="38" t="n">
        <x:v>7.056</x:v>
      </x:c>
      <x:c r="T437" s="38" t="n">
        <x:v>0.56448</x:v>
      </x:c>
      <x:c r="U437" s="38" t="n">
        <x:v>0.32457600000000003</x:v>
      </x:c>
      <x:c r="V437" s="38" t="n">
        <x:v>6.166944</x:v>
      </x:c>
      <x:c r="W437" s="38" t="n">
        <x:v>2.5284</x:v>
      </x:c>
      <x:c r="X437" s="38" t="n">
        <x:v>0.178841376</x:v>
      </x:c>
      <x:c r="Y437" s="38" t="n">
        <x:v>0</x:v>
      </x:c>
      <x:c r="Z437" s="38" t="n">
        <x:v>0.6972</x:v>
      </x:c>
      <x:c r="AA437" s="38" t="n">
        <x:v>0.2772</x:v>
      </x:c>
      <x:c r="AB437" s="38" t="n">
        <x:v>0.004704</x:v>
      </x:c>
      <x:c r="AC437" s="38" t="n">
        <x:v>2.480598624</x:v>
      </x:c>
      <x:c r="AD437" s="28" t="n">
        <x:v>0.4022411463441212</x:v>
      </x:c>
    </x:row>
    <x:row r="438">
      <x:c r="A438" s="32" t="n">
        <x:v>45810</x:v>
      </x:c>
      <x:c r="B438" s="32" t="n">
        <x:v>45809</x:v>
      </x:c>
      <x:c r="C438" t="str">
        <x:v>Jun 2025</x:v>
      </x:c>
      <x:c r="D438" t="str">
        <x:v>Actual</x:v>
      </x:c>
      <x:c r="E438" t="str">
        <x:v>DB-104</x:v>
      </x:c>
      <x:c r="F438" t="str">
        <x:v>SunNest Cooling Towel</x:v>
      </x:c>
      <x:c r="G438" t="str">
        <x:v>Consumable repeat</x:v>
      </x:c>
      <x:c r="H438" t="str">
        <x:v>Summer peak</x:v>
      </x:c>
      <x:c r="I438" t="str">
        <x:v>Active</x:v>
      </x:c>
      <x:c r="J438" t="str">
        <x:v>Amazon Marketplace</x:v>
      </x:c>
      <x:c r="K438" t="str">
        <x:v>Marketplace Consumer</x:v>
      </x:c>
      <x:c r="L438" t="str">
        <x:v>All Geographies</x:v>
      </x:c>
      <x:c r="M438" s="34" t="n">
        <x:v>2540</x:v>
      </x:c>
      <x:c r="N438" s="28" t="n">
        <x:v>0.0390816</x:v>
      </x:c>
      <x:c r="O438" s="34" t="n">
        <x:v>99</x:v>
      </x:c>
      <x:c r="P438" s="34" t="n">
        <x:v>1</x:v>
      </x:c>
      <x:c r="Q438" s="34" t="n">
        <x:v>99</x:v>
      </x:c>
      <x:c r="R438" s="33" t="n">
        <x:v>42</x:v>
      </x:c>
      <x:c r="S438" s="38" t="n">
        <x:v>4.158</x:v>
      </x:c>
      <x:c r="T438" s="38" t="n">
        <x:v>0.20790000000000003</x:v>
      </x:c>
      <x:c r="U438" s="38" t="n">
        <x:v>0.19750500000000004</x:v>
      </x:c>
      <x:c r="V438" s="38" t="n">
        <x:v>3.7525950000000003</x:v>
      </x:c>
      <x:c r="W438" s="38" t="n">
        <x:v>1.48995</x:v>
      </x:c>
      <x:c r="X438" s="38" t="n">
        <x:v>0</x:v>
      </x:c>
      <x:c r="Y438" s="38" t="n">
        <x:v>0.56288925</x:v>
      </x:c>
      <x:c r="Z438" s="38" t="n">
        <x:v>0.5148</x:v>
      </x:c>
      <x:c r="AA438" s="38" t="n">
        <x:v>0.21284999999999998</x:v>
      </x:c>
      <x:c r="AB438" s="38" t="n">
        <x:v>0.0027719999999999997</x:v>
      </x:c>
      <x:c r="AC438" s="38" t="n">
        <x:v>0.9693337499999999</x:v>
      </x:c>
      <x:c r="AD438" s="28" t="n">
        <x:v>0.25831024930747915</x:v>
      </x:c>
    </x:row>
    <x:row r="439">
      <x:c r="A439" s="32" t="n">
        <x:v>45810</x:v>
      </x:c>
      <x:c r="B439" s="32" t="n">
        <x:v>45809</x:v>
      </x:c>
      <x:c r="C439" t="str">
        <x:v>Jun 2025</x:v>
      </x:c>
      <x:c r="D439" t="str">
        <x:v>Actual</x:v>
      </x:c>
      <x:c r="E439" t="str">
        <x:v>DB-104</x:v>
      </x:c>
      <x:c r="F439" t="str">
        <x:v>SunNest Cooling Towel</x:v>
      </x:c>
      <x:c r="G439" t="str">
        <x:v>Consumable repeat</x:v>
      </x:c>
      <x:c r="H439" t="str">
        <x:v>Summer peak</x:v>
      </x:c>
      <x:c r="I439" t="str">
        <x:v>Active</x:v>
      </x:c>
      <x:c r="J439" t="str">
        <x:v>Wholesale</x:v>
      </x:c>
      <x:c r="K439" t="str">
        <x:v>Retailer</x:v>
      </x:c>
      <x:c r="L439" t="str">
        <x:v>All Geographies</x:v>
      </x:c>
      <x:c r="M439" s="34" t="n">
        <x:v>1524</x:v>
      </x:c>
      <x:c r="N439" s="28" t="n">
        <x:v>0.018216000000000003</x:v>
      </x:c>
      <x:c r="O439" s="34" t="n">
        <x:v>28</x:v>
      </x:c>
      <x:c r="P439" s="34" t="n">
        <x:v>1</x:v>
      </x:c>
      <x:c r="Q439" s="34" t="n">
        <x:v>28</x:v>
      </x:c>
      <x:c r="R439" s="33" t="n">
        <x:v>42</x:v>
      </x:c>
      <x:c r="S439" s="38" t="n">
        <x:v>1.176</x:v>
      </x:c>
      <x:c r="T439" s="38" t="n">
        <x:v>0.41159999999999997</x:v>
      </x:c>
      <x:c r="U439" s="38" t="n">
        <x:v>0.038220000000000004</x:v>
      </x:c>
      <x:c r="V439" s="38" t="n">
        <x:v>0.7261799999999999</x:v>
      </x:c>
      <x:c r="W439" s="38" t="n">
        <x:v>0.42140000000000005</x:v>
      </x:c>
      <x:c r="X439" s="38" t="n">
        <x:v>0</x:v>
      </x:c>
      <x:c r="Y439" s="38" t="n">
        <x:v>0</x:v>
      </x:c>
      <x:c r="Z439" s="38" t="n">
        <x:v>0.06439999999999999</x:v>
      </x:c>
      <x:c r="AA439" s="38" t="n">
        <x:v>0.0238</x:v>
      </x:c>
      <x:c r="AB439" s="38" t="n">
        <x:v>0.0007840000000000001</x:v>
      </x:c>
      <x:c r="AC439" s="38" t="n">
        <x:v>0.21579599999999988</x:v>
      </x:c>
      <x:c r="AD439" s="28" t="n">
        <x:v>0.2971659919028339</x:v>
      </x:c>
    </x:row>
    <x:row r="440">
      <x:c r="A440" s="32" t="n">
        <x:v>45810</x:v>
      </x:c>
      <x:c r="B440" s="32" t="n">
        <x:v>45809</x:v>
      </x:c>
      <x:c r="C440" t="str">
        <x:v>Jun 2025</x:v>
      </x:c>
      <x:c r="D440" t="str">
        <x:v>Actual</x:v>
      </x:c>
      <x:c r="E440" t="str">
        <x:v>DB-104</x:v>
      </x:c>
      <x:c r="F440" t="str">
        <x:v>SunNest Cooling Towel</x:v>
      </x:c>
      <x:c r="G440" t="str">
        <x:v>Consumable repeat</x:v>
      </x:c>
      <x:c r="H440" t="str">
        <x:v>Summer peak</x:v>
      </x:c>
      <x:c r="I440" t="str">
        <x:v>Active</x:v>
      </x:c>
      <x:c r="J440" t="str">
        <x:v>TikTok Shop</x:v>
      </x:c>
      <x:c r="K440" t="str">
        <x:v>Social Commerce</x:v>
      </x:c>
      <x:c r="L440" t="str">
        <x:v>All Geographies</x:v>
      </x:c>
      <x:c r="M440" s="34" t="n">
        <x:v>1016</x:v>
      </x:c>
      <x:c r="N440" s="28" t="n">
        <x:v>0.0417312</x:v>
      </x:c>
      <x:c r="O440" s="34" t="n">
        <x:v>42</x:v>
      </x:c>
      <x:c r="P440" s="34" t="n">
        <x:v>1</x:v>
      </x:c>
      <x:c r="Q440" s="34" t="n">
        <x:v>42</x:v>
      </x:c>
      <x:c r="R440" s="33" t="n">
        <x:v>42</x:v>
      </x:c>
      <x:c r="S440" s="38" t="n">
        <x:v>1.764</x:v>
      </x:c>
      <x:c r="T440" s="38" t="n">
        <x:v>0.21168</x:v>
      </x:c>
      <x:c r="U440" s="38" t="n">
        <x:v>0.077616</x:v>
      </x:c>
      <x:c r="V440" s="38" t="n">
        <x:v>1.474704</x:v>
      </x:c>
      <x:c r="W440" s="38" t="n">
        <x:v>0.6321</x:v>
      </x:c>
      <x:c r="X440" s="38" t="n">
        <x:v>0.042766416</x:v>
      </x:c>
      <x:c r="Y440" s="38" t="n">
        <x:v>0.08848224</x:v>
      </x:c>
      <x:c r="Z440" s="38" t="n">
        <x:v>0.2142</x:v>
      </x:c>
      <x:c r="AA440" s="38" t="n">
        <x:v>0.0735</x:v>
      </x:c>
      <x:c r="AB440" s="38" t="n">
        <x:v>0.001176</x:v>
      </x:c>
      <x:c r="AC440" s="38" t="n">
        <x:v>0.422479344</x:v>
      </x:c>
      <x:c r="AD440" s="28" t="n">
        <x:v>0.2864841649578492</x:v>
      </x:c>
    </x:row>
    <x:row r="441">
      <x:c r="A441" s="32" t="n">
        <x:v>45810</x:v>
      </x:c>
      <x:c r="B441" s="32" t="n">
        <x:v>45809</x:v>
      </x:c>
      <x:c r="C441" t="str">
        <x:v>Jun 2025</x:v>
      </x:c>
      <x:c r="D441" t="str">
        <x:v>Actual</x:v>
      </x:c>
      <x:c r="E441" t="str">
        <x:v>DB-105</x:v>
      </x:c>
      <x:c r="F441" t="str">
        <x:v>DreamFuel Refill Pack</x:v>
      </x:c>
      <x:c r="G441" t="str">
        <x:v>Subscription</x:v>
      </x:c>
      <x:c r="H441" t="str">
        <x:v>None</x:v>
      </x:c>
      <x:c r="I441" t="str">
        <x:v>Active</x:v>
      </x:c>
      <x:c r="J441" t="str">
        <x:v>Shopify DTC</x:v>
      </x:c>
      <x:c r="K441" t="str">
        <x:v>Consumer</x:v>
      </x:c>
      <x:c r="L441" t="str">
        <x:v>All Geographies</x:v>
      </x:c>
      <x:c r="M441" s="34" t="n">
        <x:v>3710</x:v>
      </x:c>
      <x:c r="N441" s="28" t="n">
        <x:v>0.03888</x:v>
      </x:c>
      <x:c r="O441" s="34" t="n">
        <x:v>144</x:v>
      </x:c>
      <x:c r="P441" s="34" t="n">
        <x:v>1</x:v>
      </x:c>
      <x:c r="Q441" s="34" t="n">
        <x:v>144</x:v>
      </x:c>
      <x:c r="R441" s="33" t="n">
        <x:v>56</x:v>
      </x:c>
      <x:c r="S441" s="38" t="n">
        <x:v>8.064</x:v>
      </x:c>
      <x:c r="T441" s="38" t="n">
        <x:v>0.64512</x:v>
      </x:c>
      <x:c r="U441" s="38" t="n">
        <x:v>0.1483776</x:v>
      </x:c>
      <x:c r="V441" s="38" t="n">
        <x:v>7.2705024</x:v>
      </x:c>
      <x:c r="W441" s="38" t="n">
        <x:v>2.68128</x:v>
      </x:c>
      <x:c r="X441" s="38" t="n">
        <x:v>0.2108445696</x:v>
      </x:c>
      <x:c r="Y441" s="38" t="n">
        <x:v>0</x:v>
      </x:c>
      <x:c r="Z441" s="38" t="n">
        <x:v>0.5976</x:v>
      </x:c>
      <x:c r="AA441" s="38" t="n">
        <x:v>0.2376</x:v>
      </x:c>
      <x:c r="AB441" s="38" t="n">
        <x:v>0.0005184</x:v>
      </x:c>
      <x:c r="AC441" s="38" t="n">
        <x:v>3.5426594304</x:v>
      </x:c>
      <x:c r="AD441" s="28" t="n">
        <x:v>0.4872647357079478</x:v>
      </x:c>
    </x:row>
    <x:row r="442">
      <x:c r="A442" s="32" t="n">
        <x:v>45810</x:v>
      </x:c>
      <x:c r="B442" s="32" t="n">
        <x:v>45809</x:v>
      </x:c>
      <x:c r="C442" t="str">
        <x:v>Jun 2025</x:v>
      </x:c>
      <x:c r="D442" t="str">
        <x:v>Actual</x:v>
      </x:c>
      <x:c r="E442" t="str">
        <x:v>DB-105</x:v>
      </x:c>
      <x:c r="F442" t="str">
        <x:v>DreamFuel Refill Pack</x:v>
      </x:c>
      <x:c r="G442" t="str">
        <x:v>Subscription</x:v>
      </x:c>
      <x:c r="H442" t="str">
        <x:v>None</x:v>
      </x:c>
      <x:c r="I442" t="str">
        <x:v>Active</x:v>
      </x:c>
      <x:c r="J442" t="str">
        <x:v>Amazon Marketplace</x:v>
      </x:c>
      <x:c r="K442" t="str">
        <x:v>Marketplace Consumer</x:v>
      </x:c>
      <x:c r="L442" t="str">
        <x:v>All Geographies</x:v>
      </x:c>
      <x:c r="M442" s="34" t="n">
        <x:v>1855</x:v>
      </x:c>
      <x:c r="N442" s="28" t="n">
        <x:v>0.0458784</x:v>
      </x:c>
      <x:c r="O442" s="34" t="n">
        <x:v>85</x:v>
      </x:c>
      <x:c r="P442" s="34" t="n">
        <x:v>1</x:v>
      </x:c>
      <x:c r="Q442" s="34" t="n">
        <x:v>85</x:v>
      </x:c>
      <x:c r="R442" s="33" t="n">
        <x:v>56</x:v>
      </x:c>
      <x:c r="S442" s="38" t="n">
        <x:v>4.76</x:v>
      </x:c>
      <x:c r="T442" s="38" t="n">
        <x:v>0.238</x:v>
      </x:c>
      <x:c r="U442" s="38" t="n">
        <x:v>0.09044</x:v>
      </x:c>
      <x:c r="V442" s="38" t="n">
        <x:v>4.43156</x:v>
      </x:c>
      <x:c r="W442" s="38" t="n">
        <x:v>1.5827</x:v>
      </x:c>
      <x:c r="X442" s="38" t="n">
        <x:v>0</x:v>
      </x:c>
      <x:c r="Y442" s="38" t="n">
        <x:v>0.664734</x:v>
      </x:c>
      <x:c r="Z442" s="38" t="n">
        <x:v>0.442</x:v>
      </x:c>
      <x:c r="AA442" s="38" t="n">
        <x:v>0.18275</x:v>
      </x:c>
      <x:c r="AB442" s="38" t="n">
        <x:v>0.000306</x:v>
      </x:c>
      <x:c r="AC442" s="38" t="n">
        <x:v>1.5590700000000002</x:v>
      </x:c>
      <x:c r="AD442" s="28" t="n">
        <x:v>0.35181064907165877</x:v>
      </x:c>
    </x:row>
    <x:row r="443">
      <x:c r="A443" s="32" t="n">
        <x:v>45810</x:v>
      </x:c>
      <x:c r="B443" s="32" t="n">
        <x:v>45809</x:v>
      </x:c>
      <x:c r="C443" t="str">
        <x:v>Jun 2025</x:v>
      </x:c>
      <x:c r="D443" t="str">
        <x:v>Actual</x:v>
      </x:c>
      <x:c r="E443" t="str">
        <x:v>DB-105</x:v>
      </x:c>
      <x:c r="F443" t="str">
        <x:v>DreamFuel Refill Pack</x:v>
      </x:c>
      <x:c r="G443" t="str">
        <x:v>Subscription</x:v>
      </x:c>
      <x:c r="H443" t="str">
        <x:v>None</x:v>
      </x:c>
      <x:c r="I443" t="str">
        <x:v>Active</x:v>
      </x:c>
      <x:c r="J443" t="str">
        <x:v>Wholesale</x:v>
      </x:c>
      <x:c r="K443" t="str">
        <x:v>Retailer</x:v>
      </x:c>
      <x:c r="L443" t="str">
        <x:v>All Geographies</x:v>
      </x:c>
      <x:c r="M443" s="34" t="n">
        <x:v>1113</x:v>
      </x:c>
      <x:c r="N443" s="28" t="n">
        <x:v>0.021384000000000004</x:v>
      </x:c>
      <x:c r="O443" s="34" t="n">
        <x:v>24</x:v>
      </x:c>
      <x:c r="P443" s="34" t="n">
        <x:v>1</x:v>
      </x:c>
      <x:c r="Q443" s="34" t="n">
        <x:v>24</x:v>
      </x:c>
      <x:c r="R443" s="33" t="n">
        <x:v>56</x:v>
      </x:c>
      <x:c r="S443" s="38" t="n">
        <x:v>1.344</x:v>
      </x:c>
      <x:c r="T443" s="38" t="n">
        <x:v>0.4704</x:v>
      </x:c>
      <x:c r="U443" s="38" t="n">
        <x:v>0.017472000000000005</x:v>
      </x:c>
      <x:c r="V443" s="38" t="n">
        <x:v>0.8561280000000001</x:v>
      </x:c>
      <x:c r="W443" s="38" t="n">
        <x:v>0.44688</x:v>
      </x:c>
      <x:c r="X443" s="38" t="n">
        <x:v>0</x:v>
      </x:c>
      <x:c r="Y443" s="38" t="n">
        <x:v>0</x:v>
      </x:c>
      <x:c r="Z443" s="38" t="n">
        <x:v>0.0552</x:v>
      </x:c>
      <x:c r="AA443" s="38" t="n">
        <x:v>0.020399999999999998</x:v>
      </x:c>
      <x:c r="AB443" s="38" t="n">
        <x:v>0.0000864</x:v>
      </x:c>
      <x:c r="AC443" s="38" t="n">
        <x:v>0.3335616000000002</x:v>
      </x:c>
      <x:c r="AD443" s="28" t="n">
        <x:v>0.3896165059430367</x:v>
      </x:c>
    </x:row>
    <x:row r="444">
      <x:c r="A444" s="32" t="n">
        <x:v>45810</x:v>
      </x:c>
      <x:c r="B444" s="32" t="n">
        <x:v>45809</x:v>
      </x:c>
      <x:c r="C444" t="str">
        <x:v>Jun 2025</x:v>
      </x:c>
      <x:c r="D444" t="str">
        <x:v>Actual</x:v>
      </x:c>
      <x:c r="E444" t="str">
        <x:v>DB-105</x:v>
      </x:c>
      <x:c r="F444" t="str">
        <x:v>DreamFuel Refill Pack</x:v>
      </x:c>
      <x:c r="G444" t="str">
        <x:v>Subscription</x:v>
      </x:c>
      <x:c r="H444" t="str">
        <x:v>None</x:v>
      </x:c>
      <x:c r="I444" t="str">
        <x:v>Active</x:v>
      </x:c>
      <x:c r="J444" t="str">
        <x:v>TikTok Shop</x:v>
      </x:c>
      <x:c r="K444" t="str">
        <x:v>Social Commerce</x:v>
      </x:c>
      <x:c r="L444" t="str">
        <x:v>All Geographies</x:v>
      </x:c>
      <x:c r="M444" s="34" t="n">
        <x:v>742</x:v>
      </x:c>
      <x:c r="N444" s="28" t="n">
        <x:v>0.0489888</x:v>
      </x:c>
      <x:c r="O444" s="34" t="n">
        <x:v>36</x:v>
      </x:c>
      <x:c r="P444" s="34" t="n">
        <x:v>1</x:v>
      </x:c>
      <x:c r="Q444" s="34" t="n">
        <x:v>36</x:v>
      </x:c>
      <x:c r="R444" s="33" t="n">
        <x:v>56</x:v>
      </x:c>
      <x:c r="S444" s="38" t="n">
        <x:v>2.016</x:v>
      </x:c>
      <x:c r="T444" s="38" t="n">
        <x:v>0.24192</x:v>
      </x:c>
      <x:c r="U444" s="38" t="n">
        <x:v>0.0354816</x:v>
      </x:c>
      <x:c r="V444" s="38" t="n">
        <x:v>1.7385984</x:v>
      </x:c>
      <x:c r="W444" s="38" t="n">
        <x:v>0.67032</x:v>
      </x:c>
      <x:c r="X444" s="38" t="n">
        <x:v>0.05041935360000001</x:v>
      </x:c>
      <x:c r="Y444" s="38" t="n">
        <x:v>0.104315904</x:v>
      </x:c>
      <x:c r="Z444" s="38" t="n">
        <x:v>0.18359999999999999</x:v>
      </x:c>
      <x:c r="AA444" s="38" t="n">
        <x:v>0.063</x:v>
      </x:c>
      <x:c r="AB444" s="38" t="n">
        <x:v>0.0001296</x:v>
      </x:c>
      <x:c r="AC444" s="38" t="n">
        <x:v>0.6668135424000001</x:v>
      </x:c>
      <x:c r="AD444" s="28" t="n">
        <x:v>0.38353511794328127</x:v>
      </x:c>
    </x:row>
    <x:row r="445">
      <x:c r="A445" s="32" t="n">
        <x:v>45817</x:v>
      </x:c>
      <x:c r="B445" s="32" t="n">
        <x:v>45809</x:v>
      </x:c>
      <x:c r="C445" t="str">
        <x:v>Jun 2025</x:v>
      </x:c>
      <x:c r="D445" t="str">
        <x:v>Actual</x:v>
      </x:c>
      <x:c r="E445" t="str">
        <x:v>DB-101</x:v>
      </x:c>
      <x:c r="F445" t="str">
        <x:v>AeroSip Bottle</x:v>
      </x:c>
      <x:c r="G445" t="str">
        <x:v>One-time purchase</x:v>
      </x:c>
      <x:c r="H445" t="str">
        <x:v>None</x:v>
      </x:c>
      <x:c r="I445" t="str">
        <x:v>Active</x:v>
      </x:c>
      <x:c r="J445" t="str">
        <x:v>Shopify DTC</x:v>
      </x:c>
      <x:c r="K445" t="str">
        <x:v>Consumer</x:v>
      </x:c>
      <x:c r="L445" t="str">
        <x:v>All Geographies</x:v>
      </x:c>
      <x:c r="M445" s="34" t="n">
        <x:v>5380</x:v>
      </x:c>
      <x:c r="N445" s="28" t="n">
        <x:v>0.034199999999999994</x:v>
      </x:c>
      <x:c r="O445" s="34" t="n">
        <x:v>184</x:v>
      </x:c>
      <x:c r="P445" s="34" t="n">
        <x:v>1</x:v>
      </x:c>
      <x:c r="Q445" s="34" t="n">
        <x:v>184</x:v>
      </x:c>
      <x:c r="R445" s="33" t="n">
        <x:v>29</x:v>
      </x:c>
      <x:c r="S445" s="38" t="n">
        <x:v>5.336</x:v>
      </x:c>
      <x:c r="T445" s="38" t="n">
        <x:v>0.42688000000000004</x:v>
      </x:c>
      <x:c r="U445" s="38" t="n">
        <x:v>0.2209104</x:v>
      </x:c>
      <x:c r="V445" s="38" t="n">
        <x:v>4.6882096</x:v>
      </x:c>
      <x:c r="W445" s="38" t="n">
        <x:v>1.9872</x:v>
      </x:c>
      <x:c r="X445" s="38" t="n">
        <x:v>0.13595807840000002</x:v>
      </x:c>
      <x:c r="Y445" s="38" t="n">
        <x:v>0</x:v>
      </x:c>
      <x:c r="Z445" s="38" t="n">
        <x:v>0.7636000000000001</x:v>
      </x:c>
      <x:c r="AA445" s="38" t="n">
        <x:v>0.3036</x:v>
      </x:c>
      <x:c r="AB445" s="38" t="n">
        <x:v>0.0066240000000000005</x:v>
      </x:c>
      <x:c r="AC445" s="38" t="n">
        <x:v>1.4912275216000004</x:v>
      </x:c>
      <x:c r="AD445" s="28" t="n">
        <x:v>0.31808038650831655</x:v>
      </x:c>
    </x:row>
    <x:row r="446">
      <x:c r="A446" s="32" t="n">
        <x:v>45817</x:v>
      </x:c>
      <x:c r="B446" s="32" t="n">
        <x:v>45809</x:v>
      </x:c>
      <x:c r="C446" t="str">
        <x:v>Jun 2025</x:v>
      </x:c>
      <x:c r="D446" t="str">
        <x:v>Actual</x:v>
      </x:c>
      <x:c r="E446" t="str">
        <x:v>DB-101</x:v>
      </x:c>
      <x:c r="F446" t="str">
        <x:v>AeroSip Bottle</x:v>
      </x:c>
      <x:c r="G446" t="str">
        <x:v>One-time purchase</x:v>
      </x:c>
      <x:c r="H446" t="str">
        <x:v>None</x:v>
      </x:c>
      <x:c r="I446" t="str">
        <x:v>Active</x:v>
      </x:c>
      <x:c r="J446" t="str">
        <x:v>Amazon Marketplace</x:v>
      </x:c>
      <x:c r="K446" t="str">
        <x:v>Marketplace Consumer</x:v>
      </x:c>
      <x:c r="L446" t="str">
        <x:v>All Geographies</x:v>
      </x:c>
      <x:c r="M446" s="34" t="n">
        <x:v>2690</x:v>
      </x:c>
      <x:c r="N446" s="28" t="n">
        <x:v>0.040355999999999996</x:v>
      </x:c>
      <x:c r="O446" s="34" t="n">
        <x:v>109</x:v>
      </x:c>
      <x:c r="P446" s="34" t="n">
        <x:v>1</x:v>
      </x:c>
      <x:c r="Q446" s="34" t="n">
        <x:v>109</x:v>
      </x:c>
      <x:c r="R446" s="33" t="n">
        <x:v>29</x:v>
      </x:c>
      <x:c r="S446" s="38" t="n">
        <x:v>3.161</x:v>
      </x:c>
      <x:c r="T446" s="38" t="n">
        <x:v>0.15805000000000002</x:v>
      </x:c>
      <x:c r="U446" s="38" t="n">
        <x:v>0.13513275</x:v>
      </x:c>
      <x:c r="V446" s="38" t="n">
        <x:v>2.8678172500000003</x:v>
      </x:c>
      <x:c r="W446" s="38" t="n">
        <x:v>1.1772</x:v>
      </x:c>
      <x:c r="X446" s="38" t="n">
        <x:v>0</x:v>
      </x:c>
      <x:c r="Y446" s="38" t="n">
        <x:v>0.43017258750000004</x:v>
      </x:c>
      <x:c r="Z446" s="38" t="n">
        <x:v>0.5668000000000001</x:v>
      </x:c>
      <x:c r="AA446" s="38" t="n">
        <x:v>0.23435</x:v>
      </x:c>
      <x:c r="AB446" s="38" t="n">
        <x:v>0.003924</x:v>
      </x:c>
      <x:c r="AC446" s="38" t="n">
        <x:v>0.45537066250000025</x:v>
      </x:c>
      <x:c r="AD446" s="28" t="n">
        <x:v>0.15878649955815707</x:v>
      </x:c>
    </x:row>
    <x:row r="447">
      <x:c r="A447" s="32" t="n">
        <x:v>45817</x:v>
      </x:c>
      <x:c r="B447" s="32" t="n">
        <x:v>45809</x:v>
      </x:c>
      <x:c r="C447" t="str">
        <x:v>Jun 2025</x:v>
      </x:c>
      <x:c r="D447" t="str">
        <x:v>Actual</x:v>
      </x:c>
      <x:c r="E447" t="str">
        <x:v>DB-101</x:v>
      </x:c>
      <x:c r="F447" t="str">
        <x:v>AeroSip Bottle</x:v>
      </x:c>
      <x:c r="G447" t="str">
        <x:v>One-time purchase</x:v>
      </x:c>
      <x:c r="H447" t="str">
        <x:v>None</x:v>
      </x:c>
      <x:c r="I447" t="str">
        <x:v>Active</x:v>
      </x:c>
      <x:c r="J447" t="str">
        <x:v>Wholesale</x:v>
      </x:c>
      <x:c r="K447" t="str">
        <x:v>Retailer</x:v>
      </x:c>
      <x:c r="L447" t="str">
        <x:v>All Geographies</x:v>
      </x:c>
      <x:c r="M447" s="34" t="n">
        <x:v>1614</x:v>
      </x:c>
      <x:c r="N447" s="28" t="n">
        <x:v>0.01881</x:v>
      </x:c>
      <x:c r="O447" s="34" t="n">
        <x:v>30</x:v>
      </x:c>
      <x:c r="P447" s="34" t="n">
        <x:v>1</x:v>
      </x:c>
      <x:c r="Q447" s="34" t="n">
        <x:v>30</x:v>
      </x:c>
      <x:c r="R447" s="33" t="n">
        <x:v>29</x:v>
      </x:c>
      <x:c r="S447" s="38" t="n">
        <x:v>0.87</x:v>
      </x:c>
      <x:c r="T447" s="38" t="n">
        <x:v>0.3045</x:v>
      </x:c>
      <x:c r="U447" s="38" t="n">
        <x:v>0.025447499999999998</x:v>
      </x:c>
      <x:c r="V447" s="38" t="n">
        <x:v>0.5400525</x:v>
      </x:c>
      <x:c r="W447" s="38" t="n">
        <x:v>0.324</x:v>
      </x:c>
      <x:c r="X447" s="38" t="n">
        <x:v>0</x:v>
      </x:c>
      <x:c r="Y447" s="38" t="n">
        <x:v>0</x:v>
      </x:c>
      <x:c r="Z447" s="38" t="n">
        <x:v>0.069</x:v>
      </x:c>
      <x:c r="AA447" s="38" t="n">
        <x:v>0.0255</x:v>
      </x:c>
      <x:c r="AB447" s="38" t="n">
        <x:v>0.00108</x:v>
      </x:c>
      <x:c r="AC447" s="38" t="n">
        <x:v>0.12047250000000004</x:v>
      </x:c>
      <x:c r="AD447" s="28" t="n">
        <x:v>0.22307553432305197</x:v>
      </x:c>
    </x:row>
    <x:row r="448">
      <x:c r="A448" s="32" t="n">
        <x:v>45817</x:v>
      </x:c>
      <x:c r="B448" s="32" t="n">
        <x:v>45809</x:v>
      </x:c>
      <x:c r="C448" t="str">
        <x:v>Jun 2025</x:v>
      </x:c>
      <x:c r="D448" t="str">
        <x:v>Actual</x:v>
      </x:c>
      <x:c r="E448" t="str">
        <x:v>DB-101</x:v>
      </x:c>
      <x:c r="F448" t="str">
        <x:v>AeroSip Bottle</x:v>
      </x:c>
      <x:c r="G448" t="str">
        <x:v>One-time purchase</x:v>
      </x:c>
      <x:c r="H448" t="str">
        <x:v>None</x:v>
      </x:c>
      <x:c r="I448" t="str">
        <x:v>Active</x:v>
      </x:c>
      <x:c r="J448" t="str">
        <x:v>TikTok Shop</x:v>
      </x:c>
      <x:c r="K448" t="str">
        <x:v>Social Commerce</x:v>
      </x:c>
      <x:c r="L448" t="str">
        <x:v>All Geographies</x:v>
      </x:c>
      <x:c r="M448" s="34" t="n">
        <x:v>1076</x:v>
      </x:c>
      <x:c r="N448" s="28" t="n">
        <x:v>0.043092</x:v>
      </x:c>
      <x:c r="O448" s="34" t="n">
        <x:v>46</x:v>
      </x:c>
      <x:c r="P448" s="34" t="n">
        <x:v>1</x:v>
      </x:c>
      <x:c r="Q448" s="34" t="n">
        <x:v>46</x:v>
      </x:c>
      <x:c r="R448" s="33" t="n">
        <x:v>29</x:v>
      </x:c>
      <x:c r="S448" s="38" t="n">
        <x:v>1.334</x:v>
      </x:c>
      <x:c r="T448" s="38" t="n">
        <x:v>0.16008</x:v>
      </x:c>
      <x:c r="U448" s="38" t="n">
        <x:v>0.0528264</x:v>
      </x:c>
      <x:c r="V448" s="38" t="n">
        <x:v>1.1210936</x:v>
      </x:c>
      <x:c r="W448" s="38" t="n">
        <x:v>0.4968</x:v>
      </x:c>
      <x:c r="X448" s="38" t="n">
        <x:v>0.0325117144</x:v>
      </x:c>
      <x:c r="Y448" s="38" t="n">
        <x:v>0.067265616</x:v>
      </x:c>
      <x:c r="Z448" s="38" t="n">
        <x:v>0.2346</x:v>
      </x:c>
      <x:c r="AA448" s="38" t="n">
        <x:v>0.0805</x:v>
      </x:c>
      <x:c r="AB448" s="38" t="n">
        <x:v>0.0016560000000000001</x:v>
      </x:c>
      <x:c r="AC448" s="38" t="n">
        <x:v>0.20776026959999994</x:v>
      </x:c>
      <x:c r="AD448" s="28" t="n">
        <x:v>0.18531928966501987</x:v>
      </x:c>
    </x:row>
    <x:row r="449">
      <x:c r="A449" s="32" t="n">
        <x:v>45817</x:v>
      </x:c>
      <x:c r="B449" s="32" t="n">
        <x:v>45809</x:v>
      </x:c>
      <x:c r="C449" t="str">
        <x:v>Jun 2025</x:v>
      </x:c>
      <x:c r="D449" t="str">
        <x:v>Actual</x:v>
      </x:c>
      <x:c r="E449" t="str">
        <x:v>DB-102</x:v>
      </x:c>
      <x:c r="F449" t="str">
        <x:v>GlowPatch Balm</x:v>
      </x:c>
      <x:c r="G449" t="str">
        <x:v>Consumable repeat</x:v>
      </x:c>
      <x:c r="H449" t="str">
        <x:v>None</x:v>
      </x:c>
      <x:c r="I449" t="str">
        <x:v>Active</x:v>
      </x:c>
      <x:c r="J449" t="str">
        <x:v>Shopify DTC</x:v>
      </x:c>
      <x:c r="K449" t="str">
        <x:v>Consumer</x:v>
      </x:c>
      <x:c r="L449" t="str">
        <x:v>All Geographies</x:v>
      </x:c>
      <x:c r="M449" s="34" t="n">
        <x:v>4345</x:v>
      </x:c>
      <x:c r="N449" s="28" t="n">
        <x:v>0.04248</x:v>
      </x:c>
      <x:c r="O449" s="34" t="n">
        <x:v>185</x:v>
      </x:c>
      <x:c r="P449" s="34" t="n">
        <x:v>1</x:v>
      </x:c>
      <x:c r="Q449" s="34" t="n">
        <x:v>185</x:v>
      </x:c>
      <x:c r="R449" s="33" t="n">
        <x:v>18</x:v>
      </x:c>
      <x:c r="S449" s="38" t="n">
        <x:v>3.33</x:v>
      </x:c>
      <x:c r="T449" s="38" t="n">
        <x:v>0.2664</x:v>
      </x:c>
      <x:c r="U449" s="38" t="n">
        <x:v>0.07659</x:v>
      </x:c>
      <x:c r="V449" s="38" t="n">
        <x:v>2.98701</x:v>
      </x:c>
      <x:c r="W449" s="38" t="n">
        <x:v>1.00085</x:v>
      </x:c>
      <x:c r="X449" s="38" t="n">
        <x:v>0.08662329</x:v>
      </x:c>
      <x:c r="Y449" s="38" t="n">
        <x:v>0</x:v>
      </x:c>
      <x:c r="Z449" s="38" t="n">
        <x:v>0.7677500000000002</x:v>
      </x:c>
      <x:c r="AA449" s="38" t="n">
        <x:v>0.30525</x:v>
      </x:c>
      <x:c r="AB449" s="38" t="n">
        <x:v>0.0011099999999999999</x:v>
      </x:c>
      <x:c r="AC449" s="38" t="n">
        <x:v>0.8254267100000001</x:v>
      </x:c>
      <x:c r="AD449" s="28" t="n">
        <x:v>0.2763387835996532</x:v>
      </x:c>
    </x:row>
    <x:row r="450">
      <x:c r="A450" s="32" t="n">
        <x:v>45817</x:v>
      </x:c>
      <x:c r="B450" s="32" t="n">
        <x:v>45809</x:v>
      </x:c>
      <x:c r="C450" t="str">
        <x:v>Jun 2025</x:v>
      </x:c>
      <x:c r="D450" t="str">
        <x:v>Actual</x:v>
      </x:c>
      <x:c r="E450" t="str">
        <x:v>DB-102</x:v>
      </x:c>
      <x:c r="F450" t="str">
        <x:v>GlowPatch Balm</x:v>
      </x:c>
      <x:c r="G450" t="str">
        <x:v>Consumable repeat</x:v>
      </x:c>
      <x:c r="H450" t="str">
        <x:v>None</x:v>
      </x:c>
      <x:c r="I450" t="str">
        <x:v>Active</x:v>
      </x:c>
      <x:c r="J450" t="str">
        <x:v>Amazon Marketplace</x:v>
      </x:c>
      <x:c r="K450" t="str">
        <x:v>Marketplace Consumer</x:v>
      </x:c>
      <x:c r="L450" t="str">
        <x:v>All Geographies</x:v>
      </x:c>
      <x:c r="M450" s="34" t="n">
        <x:v>2173</x:v>
      </x:c>
      <x:c r="N450" s="28" t="n">
        <x:v>0.050126399999999995</x:v>
      </x:c>
      <x:c r="O450" s="34" t="n">
        <x:v>109</x:v>
      </x:c>
      <x:c r="P450" s="34" t="n">
        <x:v>1</x:v>
      </x:c>
      <x:c r="Q450" s="34" t="n">
        <x:v>109</x:v>
      </x:c>
      <x:c r="R450" s="33" t="n">
        <x:v>18</x:v>
      </x:c>
      <x:c r="S450" s="38" t="n">
        <x:v>1.962</x:v>
      </x:c>
      <x:c r="T450" s="38" t="n">
        <x:v>0.0981</x:v>
      </x:c>
      <x:c r="U450" s="38" t="n">
        <x:v>0.0465975</x:v>
      </x:c>
      <x:c r="V450" s="38" t="n">
        <x:v>1.8173024999999998</x:v>
      </x:c>
      <x:c r="W450" s="38" t="n">
        <x:v>0.58969</x:v>
      </x:c>
      <x:c r="X450" s="38" t="n">
        <x:v>0</x:v>
      </x:c>
      <x:c r="Y450" s="38" t="n">
        <x:v>0.272595375</x:v>
      </x:c>
      <x:c r="Z450" s="38" t="n">
        <x:v>0.5668000000000001</x:v>
      </x:c>
      <x:c r="AA450" s="38" t="n">
        <x:v>0.23435</x:v>
      </x:c>
      <x:c r="AB450" s="38" t="n">
        <x:v>0.0006540000000000001</x:v>
      </x:c>
      <x:c r="AC450" s="38" t="n">
        <x:v>0.15321312499999973</x:v>
      </x:c>
      <x:c r="AD450" s="28" t="n">
        <x:v>0.0843079922027289</x:v>
      </x:c>
    </x:row>
    <x:row r="451">
      <x:c r="A451" s="32" t="n">
        <x:v>45817</x:v>
      </x:c>
      <x:c r="B451" s="32" t="n">
        <x:v>45809</x:v>
      </x:c>
      <x:c r="C451" t="str">
        <x:v>Jun 2025</x:v>
      </x:c>
      <x:c r="D451" t="str">
        <x:v>Actual</x:v>
      </x:c>
      <x:c r="E451" t="str">
        <x:v>DB-102</x:v>
      </x:c>
      <x:c r="F451" t="str">
        <x:v>GlowPatch Balm</x:v>
      </x:c>
      <x:c r="G451" t="str">
        <x:v>Consumable repeat</x:v>
      </x:c>
      <x:c r="H451" t="str">
        <x:v>None</x:v>
      </x:c>
      <x:c r="I451" t="str">
        <x:v>Active</x:v>
      </x:c>
      <x:c r="J451" t="str">
        <x:v>Wholesale</x:v>
      </x:c>
      <x:c r="K451" t="str">
        <x:v>Retailer</x:v>
      </x:c>
      <x:c r="L451" t="str">
        <x:v>All Geographies</x:v>
      </x:c>
      <x:c r="M451" s="34" t="n">
        <x:v>1304</x:v>
      </x:c>
      <x:c r="N451" s="28" t="n">
        <x:v>0.023364</x:v>
      </x:c>
      <x:c r="O451" s="34" t="n">
        <x:v>30</x:v>
      </x:c>
      <x:c r="P451" s="34" t="n">
        <x:v>1</x:v>
      </x:c>
      <x:c r="Q451" s="34" t="n">
        <x:v>30</x:v>
      </x:c>
      <x:c r="R451" s="33" t="n">
        <x:v>18</x:v>
      </x:c>
      <x:c r="S451" s="38" t="n">
        <x:v>0.54</x:v>
      </x:c>
      <x:c r="T451" s="38" t="n">
        <x:v>0.189</x:v>
      </x:c>
      <x:c r="U451" s="38" t="n">
        <x:v>0.008775000000000002</x:v>
      </x:c>
      <x:c r="V451" s="38" t="n">
        <x:v>0.34222500000000006</x:v>
      </x:c>
      <x:c r="W451" s="38" t="n">
        <x:v>0.1623</x:v>
      </x:c>
      <x:c r="X451" s="38" t="n">
        <x:v>0</x:v>
      </x:c>
      <x:c r="Y451" s="38" t="n">
        <x:v>0</x:v>
      </x:c>
      <x:c r="Z451" s="38" t="n">
        <x:v>0.069</x:v>
      </x:c>
      <x:c r="AA451" s="38" t="n">
        <x:v>0.0255</x:v>
      </x:c>
      <x:c r="AB451" s="38" t="n">
        <x:v>0.00017999999999999998</x:v>
      </x:c>
      <x:c r="AC451" s="38" t="n">
        <x:v>0.08524500000000006</x:v>
      </x:c>
      <x:c r="AD451" s="28" t="n">
        <x:v>0.2490905106289723</x:v>
      </x:c>
    </x:row>
    <x:row r="452">
      <x:c r="A452" s="32" t="n">
        <x:v>45817</x:v>
      </x:c>
      <x:c r="B452" s="32" t="n">
        <x:v>45809</x:v>
      </x:c>
      <x:c r="C452" t="str">
        <x:v>Jun 2025</x:v>
      </x:c>
      <x:c r="D452" t="str">
        <x:v>Actual</x:v>
      </x:c>
      <x:c r="E452" t="str">
        <x:v>DB-102</x:v>
      </x:c>
      <x:c r="F452" t="str">
        <x:v>GlowPatch Balm</x:v>
      </x:c>
      <x:c r="G452" t="str">
        <x:v>Consumable repeat</x:v>
      </x:c>
      <x:c r="H452" t="str">
        <x:v>None</x:v>
      </x:c>
      <x:c r="I452" t="str">
        <x:v>Active</x:v>
      </x:c>
      <x:c r="J452" t="str">
        <x:v>TikTok Shop</x:v>
      </x:c>
      <x:c r="K452" t="str">
        <x:v>Social Commerce</x:v>
      </x:c>
      <x:c r="L452" t="str">
        <x:v>All Geographies</x:v>
      </x:c>
      <x:c r="M452" s="34" t="n">
        <x:v>869</x:v>
      </x:c>
      <x:c r="N452" s="28" t="n">
        <x:v>0.0535248</x:v>
      </x:c>
      <x:c r="O452" s="34" t="n">
        <x:v>47</x:v>
      </x:c>
      <x:c r="P452" s="34" t="n">
        <x:v>1</x:v>
      </x:c>
      <x:c r="Q452" s="34" t="n">
        <x:v>47</x:v>
      </x:c>
      <x:c r="R452" s="33" t="n">
        <x:v>18</x:v>
      </x:c>
      <x:c r="S452" s="38" t="n">
        <x:v>0.846</x:v>
      </x:c>
      <x:c r="T452" s="38" t="n">
        <x:v>0.10152</x:v>
      </x:c>
      <x:c r="U452" s="38" t="n">
        <x:v>0.018612</x:v>
      </x:c>
      <x:c r="V452" s="38" t="n">
        <x:v>0.7258680000000001</x:v>
      </x:c>
      <x:c r="W452" s="38" t="n">
        <x:v>0.25427</x:v>
      </x:c>
      <x:c r="X452" s="38" t="n">
        <x:v>0.021050172000000002</x:v>
      </x:c>
      <x:c r="Y452" s="38" t="n">
        <x:v>0.04355208</x:v>
      </x:c>
      <x:c r="Z452" s="38" t="n">
        <x:v>0.2397</x:v>
      </x:c>
      <x:c r="AA452" s="38" t="n">
        <x:v>0.08225</x:v>
      </x:c>
      <x:c r="AB452" s="38" t="n">
        <x:v>0.000282</x:v>
      </x:c>
      <x:c r="AC452" s="38" t="n">
        <x:v>0.0847637480000001</x:v>
      </x:c>
      <x:c r="AD452" s="28" t="n">
        <x:v>0.1167757057757059</x:v>
      </x:c>
    </x:row>
    <x:row r="453">
      <x:c r="A453" s="32" t="n">
        <x:v>45817</x:v>
      </x:c>
      <x:c r="B453" s="32" t="n">
        <x:v>45809</x:v>
      </x:c>
      <x:c r="C453" t="str">
        <x:v>Jun 2025</x:v>
      </x:c>
      <x:c r="D453" t="str">
        <x:v>Actual</x:v>
      </x:c>
      <x:c r="E453" t="str">
        <x:v>DB-103</x:v>
      </x:c>
      <x:c r="F453" t="str">
        <x:v>EmberTrail Camp Mug</x:v>
      </x:c>
      <x:c r="G453" t="str">
        <x:v>One-time purchase</x:v>
      </x:c>
      <x:c r="H453" t="str">
        <x:v>Winter peak</x:v>
      </x:c>
      <x:c r="I453" t="str">
        <x:v>Active</x:v>
      </x:c>
      <x:c r="J453" t="str">
        <x:v>Shopify DTC</x:v>
      </x:c>
      <x:c r="K453" t="str">
        <x:v>Consumer</x:v>
      </x:c>
      <x:c r="L453" t="str">
        <x:v>All Geographies</x:v>
      </x:c>
      <x:c r="M453" s="34" t="n">
        <x:v>2793</x:v>
      </x:c>
      <x:c r="N453" s="28" t="n">
        <x:v>0.0324</x:v>
      </x:c>
      <x:c r="O453" s="34" t="n">
        <x:v>90</x:v>
      </x:c>
      <x:c r="P453" s="34" t="n">
        <x:v>1</x:v>
      </x:c>
      <x:c r="Q453" s="34" t="n">
        <x:v>90</x:v>
      </x:c>
      <x:c r="R453" s="33" t="n">
        <x:v>34</x:v>
      </x:c>
      <x:c r="S453" s="38" t="n">
        <x:v>3.06</x:v>
      </x:c>
      <x:c r="T453" s="38" t="n">
        <x:v>0.24480000000000002</x:v>
      </x:c>
      <x:c r="U453" s="38" t="n">
        <x:v>0.154836</x:v>
      </x:c>
      <x:c r="V453" s="38" t="n">
        <x:v>2.660364</x:v>
      </x:c>
      <x:c r="W453" s="38" t="n">
        <x:v>1.2303</x:v>
      </x:c>
      <x:c r="X453" s="38" t="n">
        <x:v>0.07715055600000001</x:v>
      </x:c>
      <x:c r="Y453" s="38" t="n">
        <x:v>0</x:v>
      </x:c>
      <x:c r="Z453" s="38" t="n">
        <x:v>0.37350000000000005</x:v>
      </x:c>
      <x:c r="AA453" s="38" t="n">
        <x:v>0.1485</x:v>
      </x:c>
      <x:c r="AB453" s="38" t="n">
        <x:v>0.00504</x:v>
      </x:c>
      <x:c r="AC453" s="38" t="n">
        <x:v>0.8258734439999998</x:v>
      </x:c>
      <x:c r="AD453" s="28" t="n">
        <x:v>0.3104362575948253</x:v>
      </x:c>
    </x:row>
    <x:row r="454">
      <x:c r="A454" s="32" t="n">
        <x:v>45817</x:v>
      </x:c>
      <x:c r="B454" s="32" t="n">
        <x:v>45809</x:v>
      </x:c>
      <x:c r="C454" t="str">
        <x:v>Jun 2025</x:v>
      </x:c>
      <x:c r="D454" t="str">
        <x:v>Actual</x:v>
      </x:c>
      <x:c r="E454" t="str">
        <x:v>DB-103</x:v>
      </x:c>
      <x:c r="F454" t="str">
        <x:v>EmberTrail Camp Mug</x:v>
      </x:c>
      <x:c r="G454" t="str">
        <x:v>One-time purchase</x:v>
      </x:c>
      <x:c r="H454" t="str">
        <x:v>Winter peak</x:v>
      </x:c>
      <x:c r="I454" t="str">
        <x:v>Active</x:v>
      </x:c>
      <x:c r="J454" t="str">
        <x:v>Amazon Marketplace</x:v>
      </x:c>
      <x:c r="K454" t="str">
        <x:v>Marketplace Consumer</x:v>
      </x:c>
      <x:c r="L454" t="str">
        <x:v>All Geographies</x:v>
      </x:c>
      <x:c r="M454" s="34" t="n">
        <x:v>1397</x:v>
      </x:c>
      <x:c r="N454" s="28" t="n">
        <x:v>0.038231999999999995</x:v>
      </x:c>
      <x:c r="O454" s="34" t="n">
        <x:v>53</x:v>
      </x:c>
      <x:c r="P454" s="34" t="n">
        <x:v>1</x:v>
      </x:c>
      <x:c r="Q454" s="34" t="n">
        <x:v>53</x:v>
      </x:c>
      <x:c r="R454" s="33" t="n">
        <x:v>34</x:v>
      </x:c>
      <x:c r="S454" s="38" t="n">
        <x:v>1.802</x:v>
      </x:c>
      <x:c r="T454" s="38" t="n">
        <x:v>0.09010000000000001</x:v>
      </x:c>
      <x:c r="U454" s="38" t="n">
        <x:v>0.0941545</x:v>
      </x:c>
      <x:c r="V454" s="38" t="n">
        <x:v>1.6177455</x:v>
      </x:c>
      <x:c r="W454" s="38" t="n">
        <x:v>0.72451</x:v>
      </x:c>
      <x:c r="X454" s="38" t="n">
        <x:v>0</x:v>
      </x:c>
      <x:c r="Y454" s="38" t="n">
        <x:v>0.242661825</x:v>
      </x:c>
      <x:c r="Z454" s="38" t="n">
        <x:v>0.2756</x:v>
      </x:c>
      <x:c r="AA454" s="38" t="n">
        <x:v>0.11394999999999998</x:v>
      </x:c>
      <x:c r="AB454" s="38" t="n">
        <x:v>0.002968</x:v>
      </x:c>
      <x:c r="AC454" s="38" t="n">
        <x:v>0.25805567500000004</x:v>
      </x:c>
      <x:c r="AD454" s="28" t="n">
        <x:v>0.15951561911314235</x:v>
      </x:c>
    </x:row>
    <x:row r="455">
      <x:c r="A455" s="32" t="n">
        <x:v>45817</x:v>
      </x:c>
      <x:c r="B455" s="32" t="n">
        <x:v>45809</x:v>
      </x:c>
      <x:c r="C455" t="str">
        <x:v>Jun 2025</x:v>
      </x:c>
      <x:c r="D455" t="str">
        <x:v>Actual</x:v>
      </x:c>
      <x:c r="E455" t="str">
        <x:v>DB-103</x:v>
      </x:c>
      <x:c r="F455" t="str">
        <x:v>EmberTrail Camp Mug</x:v>
      </x:c>
      <x:c r="G455" t="str">
        <x:v>One-time purchase</x:v>
      </x:c>
      <x:c r="H455" t="str">
        <x:v>Winter peak</x:v>
      </x:c>
      <x:c r="I455" t="str">
        <x:v>Active</x:v>
      </x:c>
      <x:c r="J455" t="str">
        <x:v>Wholesale</x:v>
      </x:c>
      <x:c r="K455" t="str">
        <x:v>Retailer</x:v>
      </x:c>
      <x:c r="L455" t="str">
        <x:v>All Geographies</x:v>
      </x:c>
      <x:c r="M455" s="34" t="n">
        <x:v>838</x:v>
      </x:c>
      <x:c r="N455" s="28" t="n">
        <x:v>0.017820000000000003</x:v>
      </x:c>
      <x:c r="O455" s="34" t="n">
        <x:v>15</x:v>
      </x:c>
      <x:c r="P455" s="34" t="n">
        <x:v>1</x:v>
      </x:c>
      <x:c r="Q455" s="34" t="n">
        <x:v>15</x:v>
      </x:c>
      <x:c r="R455" s="33" t="n">
        <x:v>34</x:v>
      </x:c>
      <x:c r="S455" s="38" t="n">
        <x:v>0.51</x:v>
      </x:c>
      <x:c r="T455" s="38" t="n">
        <x:v>0.1785</x:v>
      </x:c>
      <x:c r="U455" s="38" t="n">
        <x:v>0.018232500000000002</x:v>
      </x:c>
      <x:c r="V455" s="38" t="n">
        <x:v>0.31326750000000003</x:v>
      </x:c>
      <x:c r="W455" s="38" t="n">
        <x:v>0.20505</x:v>
      </x:c>
      <x:c r="X455" s="38" t="n">
        <x:v>0</x:v>
      </x:c>
      <x:c r="Y455" s="38" t="n">
        <x:v>0</x:v>
      </x:c>
      <x:c r="Z455" s="38" t="n">
        <x:v>0.0345</x:v>
      </x:c>
      <x:c r="AA455" s="38" t="n">
        <x:v>0.01275</x:v>
      </x:c>
      <x:c r="AB455" s="38" t="n">
        <x:v>0.0008399999999999999</x:v>
      </x:c>
      <x:c r="AC455" s="38" t="n">
        <x:v>0.06012750000000002</x:v>
      </x:c>
      <x:c r="AD455" s="28" t="n">
        <x:v>0.19193660370130963</x:v>
      </x:c>
    </x:row>
    <x:row r="456">
      <x:c r="A456" s="32" t="n">
        <x:v>45817</x:v>
      </x:c>
      <x:c r="B456" s="32" t="n">
        <x:v>45809</x:v>
      </x:c>
      <x:c r="C456" t="str">
        <x:v>Jun 2025</x:v>
      </x:c>
      <x:c r="D456" t="str">
        <x:v>Actual</x:v>
      </x:c>
      <x:c r="E456" t="str">
        <x:v>DB-103</x:v>
      </x:c>
      <x:c r="F456" t="str">
        <x:v>EmberTrail Camp Mug</x:v>
      </x:c>
      <x:c r="G456" t="str">
        <x:v>One-time purchase</x:v>
      </x:c>
      <x:c r="H456" t="str">
        <x:v>Winter peak</x:v>
      </x:c>
      <x:c r="I456" t="str">
        <x:v>Active</x:v>
      </x:c>
      <x:c r="J456" t="str">
        <x:v>TikTok Shop</x:v>
      </x:c>
      <x:c r="K456" t="str">
        <x:v>Social Commerce</x:v>
      </x:c>
      <x:c r="L456" t="str">
        <x:v>All Geographies</x:v>
      </x:c>
      <x:c r="M456" s="34" t="n">
        <x:v>559</x:v>
      </x:c>
      <x:c r="N456" s="28" t="n">
        <x:v>0.040824</x:v>
      </x:c>
      <x:c r="O456" s="34" t="n">
        <x:v>23</x:v>
      </x:c>
      <x:c r="P456" s="34" t="n">
        <x:v>1</x:v>
      </x:c>
      <x:c r="Q456" s="34" t="n">
        <x:v>23</x:v>
      </x:c>
      <x:c r="R456" s="33" t="n">
        <x:v>34</x:v>
      </x:c>
      <x:c r="S456" s="38" t="n">
        <x:v>0.782</x:v>
      </x:c>
      <x:c r="T456" s="38" t="n">
        <x:v>0.09384</x:v>
      </x:c>
      <x:c r="U456" s="38" t="n">
        <x:v>0.0378488</x:v>
      </x:c>
      <x:c r="V456" s="38" t="n">
        <x:v>0.6503112</x:v>
      </x:c>
      <x:c r="W456" s="38" t="n">
        <x:v>0.31441</x:v>
      </x:c>
      <x:c r="X456" s="38" t="n">
        <x:v>0.0188590248</x:v>
      </x:c>
      <x:c r="Y456" s="38" t="n">
        <x:v>0.039018672</x:v>
      </x:c>
      <x:c r="Z456" s="38" t="n">
        <x:v>0.1173</x:v>
      </x:c>
      <x:c r="AA456" s="38" t="n">
        <x:v>0.04025</x:v>
      </x:c>
      <x:c r="AB456" s="38" t="n">
        <x:v>0.001288</x:v>
      </x:c>
      <x:c r="AC456" s="38" t="n">
        <x:v>0.11918550319999995</x:v>
      </x:c>
      <x:c r="AD456" s="28" t="n">
        <x:v>0.18327456639221337</x:v>
      </x:c>
    </x:row>
    <x:row r="457">
      <x:c r="A457" s="32" t="n">
        <x:v>45817</x:v>
      </x:c>
      <x:c r="B457" s="32" t="n">
        <x:v>45809</x:v>
      </x:c>
      <x:c r="C457" t="str">
        <x:v>Jun 2025</x:v>
      </x:c>
      <x:c r="D457" t="str">
        <x:v>Actual</x:v>
      </x:c>
      <x:c r="E457" t="str">
        <x:v>DB-104</x:v>
      </x:c>
      <x:c r="F457" t="str">
        <x:v>SunNest Cooling Towel</x:v>
      </x:c>
      <x:c r="G457" t="str">
        <x:v>Consumable repeat</x:v>
      </x:c>
      <x:c r="H457" t="str">
        <x:v>Summer peak</x:v>
      </x:c>
      <x:c r="I457" t="str">
        <x:v>Active</x:v>
      </x:c>
      <x:c r="J457" t="str">
        <x:v>Shopify DTC</x:v>
      </x:c>
      <x:c r="K457" t="str">
        <x:v>Consumer</x:v>
      </x:c>
      <x:c r="L457" t="str">
        <x:v>All Geographies</x:v>
      </x:c>
      <x:c r="M457" s="34" t="n">
        <x:v>5100</x:v>
      </x:c>
      <x:c r="N457" s="28" t="n">
        <x:v>0.03312</x:v>
      </x:c>
      <x:c r="O457" s="34" t="n">
        <x:v>169</x:v>
      </x:c>
      <x:c r="P457" s="34" t="n">
        <x:v>1</x:v>
      </x:c>
      <x:c r="Q457" s="34" t="n">
        <x:v>169</x:v>
      </x:c>
      <x:c r="R457" s="33" t="n">
        <x:v>42</x:v>
      </x:c>
      <x:c r="S457" s="38" t="n">
        <x:v>7.098</x:v>
      </x:c>
      <x:c r="T457" s="38" t="n">
        <x:v>0.56784</x:v>
      </x:c>
      <x:c r="U457" s="38" t="n">
        <x:v>0.326508</x:v>
      </x:c>
      <x:c r="V457" s="38" t="n">
        <x:v>6.203652</x:v>
      </x:c>
      <x:c r="W457" s="38" t="n">
        <x:v>2.5434500000000004</x:v>
      </x:c>
      <x:c r="X457" s="38" t="n">
        <x:v>0.179905908</x:v>
      </x:c>
      <x:c r="Y457" s="38" t="n">
        <x:v>0</x:v>
      </x:c>
      <x:c r="Z457" s="38" t="n">
        <x:v>0.70135</x:v>
      </x:c>
      <x:c r="AA457" s="38" t="n">
        <x:v>0.27885</x:v>
      </x:c>
      <x:c r="AB457" s="38" t="n">
        <x:v>0.004731999999999999</x:v>
      </x:c>
      <x:c r="AC457" s="38" t="n">
        <x:v>2.4953640919999995</x:v>
      </x:c>
      <x:c r="AD457" s="28" t="n">
        <x:v>0.4022411463441211</x:v>
      </x:c>
    </x:row>
    <x:row r="458">
      <x:c r="A458" s="32" t="n">
        <x:v>45817</x:v>
      </x:c>
      <x:c r="B458" s="32" t="n">
        <x:v>45809</x:v>
      </x:c>
      <x:c r="C458" t="str">
        <x:v>Jun 2025</x:v>
      </x:c>
      <x:c r="D458" t="str">
        <x:v>Actual</x:v>
      </x:c>
      <x:c r="E458" t="str">
        <x:v>DB-104</x:v>
      </x:c>
      <x:c r="F458" t="str">
        <x:v>SunNest Cooling Towel</x:v>
      </x:c>
      <x:c r="G458" t="str">
        <x:v>Consumable repeat</x:v>
      </x:c>
      <x:c r="H458" t="str">
        <x:v>Summer peak</x:v>
      </x:c>
      <x:c r="I458" t="str">
        <x:v>Active</x:v>
      </x:c>
      <x:c r="J458" t="str">
        <x:v>Amazon Marketplace</x:v>
      </x:c>
      <x:c r="K458" t="str">
        <x:v>Marketplace Consumer</x:v>
      </x:c>
      <x:c r="L458" t="str">
        <x:v>All Geographies</x:v>
      </x:c>
      <x:c r="M458" s="34" t="n">
        <x:v>2550</x:v>
      </x:c>
      <x:c r="N458" s="28" t="n">
        <x:v>0.0390816</x:v>
      </x:c>
      <x:c r="O458" s="34" t="n">
        <x:v>100</x:v>
      </x:c>
      <x:c r="P458" s="34" t="n">
        <x:v>1</x:v>
      </x:c>
      <x:c r="Q458" s="34" t="n">
        <x:v>100</x:v>
      </x:c>
      <x:c r="R458" s="33" t="n">
        <x:v>42</x:v>
      </x:c>
      <x:c r="S458" s="38" t="n">
        <x:v>4.2</x:v>
      </x:c>
      <x:c r="T458" s="38" t="n">
        <x:v>0.21000000000000002</x:v>
      </x:c>
      <x:c r="U458" s="38" t="n">
        <x:v>0.1995</x:v>
      </x:c>
      <x:c r="V458" s="38" t="n">
        <x:v>3.7905</x:v>
      </x:c>
      <x:c r="W458" s="38" t="n">
        <x:v>1.505</x:v>
      </x:c>
      <x:c r="X458" s="38" t="n">
        <x:v>0</x:v>
      </x:c>
      <x:c r="Y458" s="38" t="n">
        <x:v>0.568575</x:v>
      </x:c>
      <x:c r="Z458" s="38" t="n">
        <x:v>0.52</x:v>
      </x:c>
      <x:c r="AA458" s="38" t="n">
        <x:v>0.215</x:v>
      </x:c>
      <x:c r="AB458" s="38" t="n">
        <x:v>0.0028</x:v>
      </x:c>
      <x:c r="AC458" s="38" t="n">
        <x:v>0.9791250000000002</x:v>
      </x:c>
      <x:c r="AD458" s="28" t="n">
        <x:v>0.25831024930747926</x:v>
      </x:c>
    </x:row>
    <x:row r="459">
      <x:c r="A459" s="32" t="n">
        <x:v>45817</x:v>
      </x:c>
      <x:c r="B459" s="32" t="n">
        <x:v>45809</x:v>
      </x:c>
      <x:c r="C459" t="str">
        <x:v>Jun 2025</x:v>
      </x:c>
      <x:c r="D459" t="str">
        <x:v>Actual</x:v>
      </x:c>
      <x:c r="E459" t="str">
        <x:v>DB-104</x:v>
      </x:c>
      <x:c r="F459" t="str">
        <x:v>SunNest Cooling Towel</x:v>
      </x:c>
      <x:c r="G459" t="str">
        <x:v>Consumable repeat</x:v>
      </x:c>
      <x:c r="H459" t="str">
        <x:v>Summer peak</x:v>
      </x:c>
      <x:c r="I459" t="str">
        <x:v>Active</x:v>
      </x:c>
      <x:c r="J459" t="str">
        <x:v>Wholesale</x:v>
      </x:c>
      <x:c r="K459" t="str">
        <x:v>Retailer</x:v>
      </x:c>
      <x:c r="L459" t="str">
        <x:v>All Geographies</x:v>
      </x:c>
      <x:c r="M459" s="34" t="n">
        <x:v>1530</x:v>
      </x:c>
      <x:c r="N459" s="28" t="n">
        <x:v>0.018216000000000003</x:v>
      </x:c>
      <x:c r="O459" s="34" t="n">
        <x:v>28</x:v>
      </x:c>
      <x:c r="P459" s="34" t="n">
        <x:v>1</x:v>
      </x:c>
      <x:c r="Q459" s="34" t="n">
        <x:v>28</x:v>
      </x:c>
      <x:c r="R459" s="33" t="n">
        <x:v>42</x:v>
      </x:c>
      <x:c r="S459" s="38" t="n">
        <x:v>1.176</x:v>
      </x:c>
      <x:c r="T459" s="38" t="n">
        <x:v>0.41159999999999997</x:v>
      </x:c>
      <x:c r="U459" s="38" t="n">
        <x:v>0.038220000000000004</x:v>
      </x:c>
      <x:c r="V459" s="38" t="n">
        <x:v>0.7261799999999999</x:v>
      </x:c>
      <x:c r="W459" s="38" t="n">
        <x:v>0.42140000000000005</x:v>
      </x:c>
      <x:c r="X459" s="38" t="n">
        <x:v>0</x:v>
      </x:c>
      <x:c r="Y459" s="38" t="n">
        <x:v>0</x:v>
      </x:c>
      <x:c r="Z459" s="38" t="n">
        <x:v>0.06439999999999999</x:v>
      </x:c>
      <x:c r="AA459" s="38" t="n">
        <x:v>0.0238</x:v>
      </x:c>
      <x:c r="AB459" s="38" t="n">
        <x:v>0.0007840000000000001</x:v>
      </x:c>
      <x:c r="AC459" s="38" t="n">
        <x:v>0.21579599999999988</x:v>
      </x:c>
      <x:c r="AD459" s="28" t="n">
        <x:v>0.2971659919028339</x:v>
      </x:c>
    </x:row>
    <x:row r="460">
      <x:c r="A460" s="32" t="n">
        <x:v>45817</x:v>
      </x:c>
      <x:c r="B460" s="32" t="n">
        <x:v>45809</x:v>
      </x:c>
      <x:c r="C460" t="str">
        <x:v>Jun 2025</x:v>
      </x:c>
      <x:c r="D460" t="str">
        <x:v>Actual</x:v>
      </x:c>
      <x:c r="E460" t="str">
        <x:v>DB-104</x:v>
      </x:c>
      <x:c r="F460" t="str">
        <x:v>SunNest Cooling Towel</x:v>
      </x:c>
      <x:c r="G460" t="str">
        <x:v>Consumable repeat</x:v>
      </x:c>
      <x:c r="H460" t="str">
        <x:v>Summer peak</x:v>
      </x:c>
      <x:c r="I460" t="str">
        <x:v>Active</x:v>
      </x:c>
      <x:c r="J460" t="str">
        <x:v>TikTok Shop</x:v>
      </x:c>
      <x:c r="K460" t="str">
        <x:v>Social Commerce</x:v>
      </x:c>
      <x:c r="L460" t="str">
        <x:v>All Geographies</x:v>
      </x:c>
      <x:c r="M460" s="34" t="n">
        <x:v>1020</x:v>
      </x:c>
      <x:c r="N460" s="28" t="n">
        <x:v>0.0417312</x:v>
      </x:c>
      <x:c r="O460" s="34" t="n">
        <x:v>43</x:v>
      </x:c>
      <x:c r="P460" s="34" t="n">
        <x:v>1</x:v>
      </x:c>
      <x:c r="Q460" s="34" t="n">
        <x:v>43</x:v>
      </x:c>
      <x:c r="R460" s="33" t="n">
        <x:v>42</x:v>
      </x:c>
      <x:c r="S460" s="38" t="n">
        <x:v>1.806</x:v>
      </x:c>
      <x:c r="T460" s="38" t="n">
        <x:v>0.21672</x:v>
      </x:c>
      <x:c r="U460" s="38" t="n">
        <x:v>0.079464</x:v>
      </x:c>
      <x:c r="V460" s="38" t="n">
        <x:v>1.509816</x:v>
      </x:c>
      <x:c r="W460" s="38" t="n">
        <x:v>0.64715</x:v>
      </x:c>
      <x:c r="X460" s="38" t="n">
        <x:v>0.043784664</x:v>
      </x:c>
      <x:c r="Y460" s="38" t="n">
        <x:v>0.09058896</x:v>
      </x:c>
      <x:c r="Z460" s="38" t="n">
        <x:v>0.2193</x:v>
      </x:c>
      <x:c r="AA460" s="38" t="n">
        <x:v>0.07525</x:v>
      </x:c>
      <x:c r="AB460" s="38" t="n">
        <x:v>0.001204</x:v>
      </x:c>
      <x:c r="AC460" s="38" t="n">
        <x:v>0.43253837599999995</x:v>
      </x:c>
      <x:c r="AD460" s="28" t="n">
        <x:v>0.2864841649578491</x:v>
      </x:c>
    </x:row>
    <x:row r="461">
      <x:c r="A461" s="32" t="n">
        <x:v>45817</x:v>
      </x:c>
      <x:c r="B461" s="32" t="n">
        <x:v>45809</x:v>
      </x:c>
      <x:c r="C461" t="str">
        <x:v>Jun 2025</x:v>
      </x:c>
      <x:c r="D461" t="str">
        <x:v>Actual</x:v>
      </x:c>
      <x:c r="E461" t="str">
        <x:v>DB-105</x:v>
      </x:c>
      <x:c r="F461" t="str">
        <x:v>DreamFuel Refill Pack</x:v>
      </x:c>
      <x:c r="G461" t="str">
        <x:v>Subscription</x:v>
      </x:c>
      <x:c r="H461" t="str">
        <x:v>None</x:v>
      </x:c>
      <x:c r="I461" t="str">
        <x:v>Active</x:v>
      </x:c>
      <x:c r="J461" t="str">
        <x:v>Shopify DTC</x:v>
      </x:c>
      <x:c r="K461" t="str">
        <x:v>Consumer</x:v>
      </x:c>
      <x:c r="L461" t="str">
        <x:v>All Geographies</x:v>
      </x:c>
      <x:c r="M461" s="34" t="n">
        <x:v>3724</x:v>
      </x:c>
      <x:c r="N461" s="28" t="n">
        <x:v>0.03888</x:v>
      </x:c>
      <x:c r="O461" s="34" t="n">
        <x:v>145</x:v>
      </x:c>
      <x:c r="P461" s="34" t="n">
        <x:v>1</x:v>
      </x:c>
      <x:c r="Q461" s="34" t="n">
        <x:v>145</x:v>
      </x:c>
      <x:c r="R461" s="33" t="n">
        <x:v>56</x:v>
      </x:c>
      <x:c r="S461" s="38" t="n">
        <x:v>8.12</x:v>
      </x:c>
      <x:c r="T461" s="38" t="n">
        <x:v>0.6496</x:v>
      </x:c>
      <x:c r="U461" s="38" t="n">
        <x:v>0.14940799999999999</x:v>
      </x:c>
      <x:c r="V461" s="38" t="n">
        <x:v>7.3209919999999995</x:v>
      </x:c>
      <x:c r="W461" s="38" t="n">
        <x:v>2.6999</x:v>
      </x:c>
      <x:c r="X461" s="38" t="n">
        <x:v>0.212308768</x:v>
      </x:c>
      <x:c r="Y461" s="38" t="n">
        <x:v>0</x:v>
      </x:c>
      <x:c r="Z461" s="38" t="n">
        <x:v>0.60175</x:v>
      </x:c>
      <x:c r="AA461" s="38" t="n">
        <x:v>0.23925</x:v>
      </x:c>
      <x:c r="AB461" s="38" t="n">
        <x:v>0.000522</x:v>
      </x:c>
      <x:c r="AC461" s="38" t="n">
        <x:v>3.567261231999999</x:v>
      </x:c>
      <x:c r="AD461" s="28" t="n">
        <x:v>0.48726473570794765</x:v>
      </x:c>
    </x:row>
    <x:row r="462">
      <x:c r="A462" s="32" t="n">
        <x:v>45817</x:v>
      </x:c>
      <x:c r="B462" s="32" t="n">
        <x:v>45809</x:v>
      </x:c>
      <x:c r="C462" t="str">
        <x:v>Jun 2025</x:v>
      </x:c>
      <x:c r="D462" t="str">
        <x:v>Actual</x:v>
      </x:c>
      <x:c r="E462" t="str">
        <x:v>DB-105</x:v>
      </x:c>
      <x:c r="F462" t="str">
        <x:v>DreamFuel Refill Pack</x:v>
      </x:c>
      <x:c r="G462" t="str">
        <x:v>Subscription</x:v>
      </x:c>
      <x:c r="H462" t="str">
        <x:v>None</x:v>
      </x:c>
      <x:c r="I462" t="str">
        <x:v>Active</x:v>
      </x:c>
      <x:c r="J462" t="str">
        <x:v>Amazon Marketplace</x:v>
      </x:c>
      <x:c r="K462" t="str">
        <x:v>Marketplace Consumer</x:v>
      </x:c>
      <x:c r="L462" t="str">
        <x:v>All Geographies</x:v>
      </x:c>
      <x:c r="M462" s="34" t="n">
        <x:v>1862</x:v>
      </x:c>
      <x:c r="N462" s="28" t="n">
        <x:v>0.0458784</x:v>
      </x:c>
      <x:c r="O462" s="34" t="n">
        <x:v>85</x:v>
      </x:c>
      <x:c r="P462" s="34" t="n">
        <x:v>1</x:v>
      </x:c>
      <x:c r="Q462" s="34" t="n">
        <x:v>85</x:v>
      </x:c>
      <x:c r="R462" s="33" t="n">
        <x:v>56</x:v>
      </x:c>
      <x:c r="S462" s="38" t="n">
        <x:v>4.76</x:v>
      </x:c>
      <x:c r="T462" s="38" t="n">
        <x:v>0.238</x:v>
      </x:c>
      <x:c r="U462" s="38" t="n">
        <x:v>0.09044</x:v>
      </x:c>
      <x:c r="V462" s="38" t="n">
        <x:v>4.43156</x:v>
      </x:c>
      <x:c r="W462" s="38" t="n">
        <x:v>1.5827</x:v>
      </x:c>
      <x:c r="X462" s="38" t="n">
        <x:v>0</x:v>
      </x:c>
      <x:c r="Y462" s="38" t="n">
        <x:v>0.664734</x:v>
      </x:c>
      <x:c r="Z462" s="38" t="n">
        <x:v>0.442</x:v>
      </x:c>
      <x:c r="AA462" s="38" t="n">
        <x:v>0.18275</x:v>
      </x:c>
      <x:c r="AB462" s="38" t="n">
        <x:v>0.000306</x:v>
      </x:c>
      <x:c r="AC462" s="38" t="n">
        <x:v>1.5590700000000002</x:v>
      </x:c>
      <x:c r="AD462" s="28" t="n">
        <x:v>0.35181064907165877</x:v>
      </x:c>
    </x:row>
    <x:row r="463">
      <x:c r="A463" s="32" t="n">
        <x:v>45817</x:v>
      </x:c>
      <x:c r="B463" s="32" t="n">
        <x:v>45809</x:v>
      </x:c>
      <x:c r="C463" t="str">
        <x:v>Jun 2025</x:v>
      </x:c>
      <x:c r="D463" t="str">
        <x:v>Actual</x:v>
      </x:c>
      <x:c r="E463" t="str">
        <x:v>DB-105</x:v>
      </x:c>
      <x:c r="F463" t="str">
        <x:v>DreamFuel Refill Pack</x:v>
      </x:c>
      <x:c r="G463" t="str">
        <x:v>Subscription</x:v>
      </x:c>
      <x:c r="H463" t="str">
        <x:v>None</x:v>
      </x:c>
      <x:c r="I463" t="str">
        <x:v>Active</x:v>
      </x:c>
      <x:c r="J463" t="str">
        <x:v>Wholesale</x:v>
      </x:c>
      <x:c r="K463" t="str">
        <x:v>Retailer</x:v>
      </x:c>
      <x:c r="L463" t="str">
        <x:v>All Geographies</x:v>
      </x:c>
      <x:c r="M463" s="34" t="n">
        <x:v>1117</x:v>
      </x:c>
      <x:c r="N463" s="28" t="n">
        <x:v>0.021384000000000004</x:v>
      </x:c>
      <x:c r="O463" s="34" t="n">
        <x:v>24</x:v>
      </x:c>
      <x:c r="P463" s="34" t="n">
        <x:v>1</x:v>
      </x:c>
      <x:c r="Q463" s="34" t="n">
        <x:v>24</x:v>
      </x:c>
      <x:c r="R463" s="33" t="n">
        <x:v>56</x:v>
      </x:c>
      <x:c r="S463" s="38" t="n">
        <x:v>1.344</x:v>
      </x:c>
      <x:c r="T463" s="38" t="n">
        <x:v>0.4704</x:v>
      </x:c>
      <x:c r="U463" s="38" t="n">
        <x:v>0.017472000000000005</x:v>
      </x:c>
      <x:c r="V463" s="38" t="n">
        <x:v>0.8561280000000001</x:v>
      </x:c>
      <x:c r="W463" s="38" t="n">
        <x:v>0.44688</x:v>
      </x:c>
      <x:c r="X463" s="38" t="n">
        <x:v>0</x:v>
      </x:c>
      <x:c r="Y463" s="38" t="n">
        <x:v>0</x:v>
      </x:c>
      <x:c r="Z463" s="38" t="n">
        <x:v>0.0552</x:v>
      </x:c>
      <x:c r="AA463" s="38" t="n">
        <x:v>0.020399999999999998</x:v>
      </x:c>
      <x:c r="AB463" s="38" t="n">
        <x:v>0.0000864</x:v>
      </x:c>
      <x:c r="AC463" s="38" t="n">
        <x:v>0.3335616000000002</x:v>
      </x:c>
      <x:c r="AD463" s="28" t="n">
        <x:v>0.3896165059430367</x:v>
      </x:c>
    </x:row>
    <x:row r="464">
      <x:c r="A464" s="32" t="n">
        <x:v>45817</x:v>
      </x:c>
      <x:c r="B464" s="32" t="n">
        <x:v>45809</x:v>
      </x:c>
      <x:c r="C464" t="str">
        <x:v>Jun 2025</x:v>
      </x:c>
      <x:c r="D464" t="str">
        <x:v>Actual</x:v>
      </x:c>
      <x:c r="E464" t="str">
        <x:v>DB-105</x:v>
      </x:c>
      <x:c r="F464" t="str">
        <x:v>DreamFuel Refill Pack</x:v>
      </x:c>
      <x:c r="G464" t="str">
        <x:v>Subscription</x:v>
      </x:c>
      <x:c r="H464" t="str">
        <x:v>None</x:v>
      </x:c>
      <x:c r="I464" t="str">
        <x:v>Active</x:v>
      </x:c>
      <x:c r="J464" t="str">
        <x:v>TikTok Shop</x:v>
      </x:c>
      <x:c r="K464" t="str">
        <x:v>Social Commerce</x:v>
      </x:c>
      <x:c r="L464" t="str">
        <x:v>All Geographies</x:v>
      </x:c>
      <x:c r="M464" s="34" t="n">
        <x:v>745</x:v>
      </x:c>
      <x:c r="N464" s="28" t="n">
        <x:v>0.0489888</x:v>
      </x:c>
      <x:c r="O464" s="34" t="n">
        <x:v>36</x:v>
      </x:c>
      <x:c r="P464" s="34" t="n">
        <x:v>1</x:v>
      </x:c>
      <x:c r="Q464" s="34" t="n">
        <x:v>36</x:v>
      </x:c>
      <x:c r="R464" s="33" t="n">
        <x:v>56</x:v>
      </x:c>
      <x:c r="S464" s="38" t="n">
        <x:v>2.016</x:v>
      </x:c>
      <x:c r="T464" s="38" t="n">
        <x:v>0.24192</x:v>
      </x:c>
      <x:c r="U464" s="38" t="n">
        <x:v>0.0354816</x:v>
      </x:c>
      <x:c r="V464" s="38" t="n">
        <x:v>1.7385984</x:v>
      </x:c>
      <x:c r="W464" s="38" t="n">
        <x:v>0.67032</x:v>
      </x:c>
      <x:c r="X464" s="38" t="n">
        <x:v>0.05041935360000001</x:v>
      </x:c>
      <x:c r="Y464" s="38" t="n">
        <x:v>0.104315904</x:v>
      </x:c>
      <x:c r="Z464" s="38" t="n">
        <x:v>0.18359999999999999</x:v>
      </x:c>
      <x:c r="AA464" s="38" t="n">
        <x:v>0.063</x:v>
      </x:c>
      <x:c r="AB464" s="38" t="n">
        <x:v>0.0001296</x:v>
      </x:c>
      <x:c r="AC464" s="38" t="n">
        <x:v>0.6668135424000001</x:v>
      </x:c>
      <x:c r="AD464" s="28" t="n">
        <x:v>0.38353511794328127</x:v>
      </x:c>
    </x:row>
    <x:row r="465">
      <x:c r="A465" s="32" t="n">
        <x:v>45824</x:v>
      </x:c>
      <x:c r="B465" s="32" t="n">
        <x:v>45809</x:v>
      </x:c>
      <x:c r="C465" t="str">
        <x:v>Jun 2025</x:v>
      </x:c>
      <x:c r="D465" t="str">
        <x:v>Actual</x:v>
      </x:c>
      <x:c r="E465" t="str">
        <x:v>DB-101</x:v>
      </x:c>
      <x:c r="F465" t="str">
        <x:v>AeroSip Bottle</x:v>
      </x:c>
      <x:c r="G465" t="str">
        <x:v>One-time purchase</x:v>
      </x:c>
      <x:c r="H465" t="str">
        <x:v>None</x:v>
      </x:c>
      <x:c r="I465" t="str">
        <x:v>Active</x:v>
      </x:c>
      <x:c r="J465" t="str">
        <x:v>Shopify DTC</x:v>
      </x:c>
      <x:c r="K465" t="str">
        <x:v>Consumer</x:v>
      </x:c>
      <x:c r="L465" t="str">
        <x:v>All Geographies</x:v>
      </x:c>
      <x:c r="M465" s="34" t="n">
        <x:v>5400</x:v>
      </x:c>
      <x:c r="N465" s="28" t="n">
        <x:v>0.034199999999999994</x:v>
      </x:c>
      <x:c r="O465" s="34" t="n">
        <x:v>185</x:v>
      </x:c>
      <x:c r="P465" s="34" t="n">
        <x:v>1</x:v>
      </x:c>
      <x:c r="Q465" s="34" t="n">
        <x:v>185</x:v>
      </x:c>
      <x:c r="R465" s="33" t="n">
        <x:v>29</x:v>
      </x:c>
      <x:c r="S465" s="38" t="n">
        <x:v>5.365</x:v>
      </x:c>
      <x:c r="T465" s="38" t="n">
        <x:v>0.4292</x:v>
      </x:c>
      <x:c r="U465" s="38" t="n">
        <x:v>0.222111</x:v>
      </x:c>
      <x:c r="V465" s="38" t="n">
        <x:v>4.7136890000000005</x:v>
      </x:c>
      <x:c r="W465" s="38" t="n">
        <x:v>1.9980000000000002</x:v>
      </x:c>
      <x:c r="X465" s="38" t="n">
        <x:v>0.13669698100000002</x:v>
      </x:c>
      <x:c r="Y465" s="38" t="n">
        <x:v>0</x:v>
      </x:c>
      <x:c r="Z465" s="38" t="n">
        <x:v>0.7677500000000002</x:v>
      </x:c>
      <x:c r="AA465" s="38" t="n">
        <x:v>0.30525</x:v>
      </x:c>
      <x:c r="AB465" s="38" t="n">
        <x:v>0.00666</x:v>
      </x:c>
      <x:c r="AC465" s="38" t="n">
        <x:v>1.499332019</x:v>
      </x:c>
      <x:c r="AD465" s="28" t="n">
        <x:v>0.3180803865083165</x:v>
      </x:c>
    </x:row>
    <x:row r="466">
      <x:c r="A466" s="32" t="n">
        <x:v>45824</x:v>
      </x:c>
      <x:c r="B466" s="32" t="n">
        <x:v>45809</x:v>
      </x:c>
      <x:c r="C466" t="str">
        <x:v>Jun 2025</x:v>
      </x:c>
      <x:c r="D466" t="str">
        <x:v>Actual</x:v>
      </x:c>
      <x:c r="E466" t="str">
        <x:v>DB-101</x:v>
      </x:c>
      <x:c r="F466" t="str">
        <x:v>AeroSip Bottle</x:v>
      </x:c>
      <x:c r="G466" t="str">
        <x:v>One-time purchase</x:v>
      </x:c>
      <x:c r="H466" t="str">
        <x:v>None</x:v>
      </x:c>
      <x:c r="I466" t="str">
        <x:v>Active</x:v>
      </x:c>
      <x:c r="J466" t="str">
        <x:v>Amazon Marketplace</x:v>
      </x:c>
      <x:c r="K466" t="str">
        <x:v>Marketplace Consumer</x:v>
      </x:c>
      <x:c r="L466" t="str">
        <x:v>All Geographies</x:v>
      </x:c>
      <x:c r="M466" s="34" t="n">
        <x:v>2700</x:v>
      </x:c>
      <x:c r="N466" s="28" t="n">
        <x:v>0.040355999999999996</x:v>
      </x:c>
      <x:c r="O466" s="34" t="n">
        <x:v>109</x:v>
      </x:c>
      <x:c r="P466" s="34" t="n">
        <x:v>1</x:v>
      </x:c>
      <x:c r="Q466" s="34" t="n">
        <x:v>109</x:v>
      </x:c>
      <x:c r="R466" s="33" t="n">
        <x:v>29</x:v>
      </x:c>
      <x:c r="S466" s="38" t="n">
        <x:v>3.161</x:v>
      </x:c>
      <x:c r="T466" s="38" t="n">
        <x:v>0.15805000000000002</x:v>
      </x:c>
      <x:c r="U466" s="38" t="n">
        <x:v>0.13513275</x:v>
      </x:c>
      <x:c r="V466" s="38" t="n">
        <x:v>2.8678172500000003</x:v>
      </x:c>
      <x:c r="W466" s="38" t="n">
        <x:v>1.1772</x:v>
      </x:c>
      <x:c r="X466" s="38" t="n">
        <x:v>0</x:v>
      </x:c>
      <x:c r="Y466" s="38" t="n">
        <x:v>0.43017258750000004</x:v>
      </x:c>
      <x:c r="Z466" s="38" t="n">
        <x:v>0.5668000000000001</x:v>
      </x:c>
      <x:c r="AA466" s="38" t="n">
        <x:v>0.23435</x:v>
      </x:c>
      <x:c r="AB466" s="38" t="n">
        <x:v>0.003924</x:v>
      </x:c>
      <x:c r="AC466" s="38" t="n">
        <x:v>0.45537066250000025</x:v>
      </x:c>
      <x:c r="AD466" s="28" t="n">
        <x:v>0.15878649955815707</x:v>
      </x:c>
    </x:row>
    <x:row r="467">
      <x:c r="A467" s="32" t="n">
        <x:v>45824</x:v>
      </x:c>
      <x:c r="B467" s="32" t="n">
        <x:v>45809</x:v>
      </x:c>
      <x:c r="C467" t="str">
        <x:v>Jun 2025</x:v>
      </x:c>
      <x:c r="D467" t="str">
        <x:v>Actual</x:v>
      </x:c>
      <x:c r="E467" t="str">
        <x:v>DB-101</x:v>
      </x:c>
      <x:c r="F467" t="str">
        <x:v>AeroSip Bottle</x:v>
      </x:c>
      <x:c r="G467" t="str">
        <x:v>One-time purchase</x:v>
      </x:c>
      <x:c r="H467" t="str">
        <x:v>None</x:v>
      </x:c>
      <x:c r="I467" t="str">
        <x:v>Active</x:v>
      </x:c>
      <x:c r="J467" t="str">
        <x:v>Wholesale</x:v>
      </x:c>
      <x:c r="K467" t="str">
        <x:v>Retailer</x:v>
      </x:c>
      <x:c r="L467" t="str">
        <x:v>All Geographies</x:v>
      </x:c>
      <x:c r="M467" s="34" t="n">
        <x:v>1620</x:v>
      </x:c>
      <x:c r="N467" s="28" t="n">
        <x:v>0.01881</x:v>
      </x:c>
      <x:c r="O467" s="34" t="n">
        <x:v>30</x:v>
      </x:c>
      <x:c r="P467" s="34" t="n">
        <x:v>1</x:v>
      </x:c>
      <x:c r="Q467" s="34" t="n">
        <x:v>30</x:v>
      </x:c>
      <x:c r="R467" s="33" t="n">
        <x:v>29</x:v>
      </x:c>
      <x:c r="S467" s="38" t="n">
        <x:v>0.87</x:v>
      </x:c>
      <x:c r="T467" s="38" t="n">
        <x:v>0.3045</x:v>
      </x:c>
      <x:c r="U467" s="38" t="n">
        <x:v>0.025447499999999998</x:v>
      </x:c>
      <x:c r="V467" s="38" t="n">
        <x:v>0.5400525</x:v>
      </x:c>
      <x:c r="W467" s="38" t="n">
        <x:v>0.324</x:v>
      </x:c>
      <x:c r="X467" s="38" t="n">
        <x:v>0</x:v>
      </x:c>
      <x:c r="Y467" s="38" t="n">
        <x:v>0</x:v>
      </x:c>
      <x:c r="Z467" s="38" t="n">
        <x:v>0.069</x:v>
      </x:c>
      <x:c r="AA467" s="38" t="n">
        <x:v>0.0255</x:v>
      </x:c>
      <x:c r="AB467" s="38" t="n">
        <x:v>0.00108</x:v>
      </x:c>
      <x:c r="AC467" s="38" t="n">
        <x:v>0.12047250000000004</x:v>
      </x:c>
      <x:c r="AD467" s="28" t="n">
        <x:v>0.22307553432305197</x:v>
      </x:c>
    </x:row>
    <x:row r="468">
      <x:c r="A468" s="32" t="n">
        <x:v>45824</x:v>
      </x:c>
      <x:c r="B468" s="32" t="n">
        <x:v>45809</x:v>
      </x:c>
      <x:c r="C468" t="str">
        <x:v>Jun 2025</x:v>
      </x:c>
      <x:c r="D468" t="str">
        <x:v>Actual</x:v>
      </x:c>
      <x:c r="E468" t="str">
        <x:v>DB-101</x:v>
      </x:c>
      <x:c r="F468" t="str">
        <x:v>AeroSip Bottle</x:v>
      </x:c>
      <x:c r="G468" t="str">
        <x:v>One-time purchase</x:v>
      </x:c>
      <x:c r="H468" t="str">
        <x:v>None</x:v>
      </x:c>
      <x:c r="I468" t="str">
        <x:v>Active</x:v>
      </x:c>
      <x:c r="J468" t="str">
        <x:v>TikTok Shop</x:v>
      </x:c>
      <x:c r="K468" t="str">
        <x:v>Social Commerce</x:v>
      </x:c>
      <x:c r="L468" t="str">
        <x:v>All Geographies</x:v>
      </x:c>
      <x:c r="M468" s="34" t="n">
        <x:v>1080</x:v>
      </x:c>
      <x:c r="N468" s="28" t="n">
        <x:v>0.043092</x:v>
      </x:c>
      <x:c r="O468" s="34" t="n">
        <x:v>47</x:v>
      </x:c>
      <x:c r="P468" s="34" t="n">
        <x:v>1</x:v>
      </x:c>
      <x:c r="Q468" s="34" t="n">
        <x:v>47</x:v>
      </x:c>
      <x:c r="R468" s="33" t="n">
        <x:v>29</x:v>
      </x:c>
      <x:c r="S468" s="38" t="n">
        <x:v>1.363</x:v>
      </x:c>
      <x:c r="T468" s="38" t="n">
        <x:v>0.16355999999999998</x:v>
      </x:c>
      <x:c r="U468" s="38" t="n">
        <x:v>0.0539748</x:v>
      </x:c>
      <x:c r="V468" s="38" t="n">
        <x:v>1.1454652</x:v>
      </x:c>
      <x:c r="W468" s="38" t="n">
        <x:v>0.5076</x:v>
      </x:c>
      <x:c r="X468" s="38" t="n">
        <x:v>0.03321849080000001</x:v>
      </x:c>
      <x:c r="Y468" s="38" t="n">
        <x:v>0.068727912</x:v>
      </x:c>
      <x:c r="Z468" s="38" t="n">
        <x:v>0.2397</x:v>
      </x:c>
      <x:c r="AA468" s="38" t="n">
        <x:v>0.08225</x:v>
      </x:c>
      <x:c r="AB468" s="38" t="n">
        <x:v>0.0016920000000000001</x:v>
      </x:c>
      <x:c r="AC468" s="38" t="n">
        <x:v>0.2122767971999999</x:v>
      </x:c>
      <x:c r="AD468" s="28" t="n">
        <x:v>0.18531928966501984</x:v>
      </x:c>
    </x:row>
    <x:row r="469">
      <x:c r="A469" s="32" t="n">
        <x:v>45824</x:v>
      </x:c>
      <x:c r="B469" s="32" t="n">
        <x:v>45809</x:v>
      </x:c>
      <x:c r="C469" t="str">
        <x:v>Jun 2025</x:v>
      </x:c>
      <x:c r="D469" t="str">
        <x:v>Actual</x:v>
      </x:c>
      <x:c r="E469" t="str">
        <x:v>DB-102</x:v>
      </x:c>
      <x:c r="F469" t="str">
        <x:v>GlowPatch Balm</x:v>
      </x:c>
      <x:c r="G469" t="str">
        <x:v>Consumable repeat</x:v>
      </x:c>
      <x:c r="H469" t="str">
        <x:v>None</x:v>
      </x:c>
      <x:c r="I469" t="str">
        <x:v>Active</x:v>
      </x:c>
      <x:c r="J469" t="str">
        <x:v>Shopify DTC</x:v>
      </x:c>
      <x:c r="K469" t="str">
        <x:v>Consumer</x:v>
      </x:c>
      <x:c r="L469" t="str">
        <x:v>All Geographies</x:v>
      </x:c>
      <x:c r="M469" s="34" t="n">
        <x:v>4362</x:v>
      </x:c>
      <x:c r="N469" s="28" t="n">
        <x:v>0.04248</x:v>
      </x:c>
      <x:c r="O469" s="34" t="n">
        <x:v>185</x:v>
      </x:c>
      <x:c r="P469" s="34" t="n">
        <x:v>1</x:v>
      </x:c>
      <x:c r="Q469" s="34" t="n">
        <x:v>185</x:v>
      </x:c>
      <x:c r="R469" s="33" t="n">
        <x:v>18</x:v>
      </x:c>
      <x:c r="S469" s="38" t="n">
        <x:v>3.33</x:v>
      </x:c>
      <x:c r="T469" s="38" t="n">
        <x:v>0.2664</x:v>
      </x:c>
      <x:c r="U469" s="38" t="n">
        <x:v>0.07659</x:v>
      </x:c>
      <x:c r="V469" s="38" t="n">
        <x:v>2.98701</x:v>
      </x:c>
      <x:c r="W469" s="38" t="n">
        <x:v>1.00085</x:v>
      </x:c>
      <x:c r="X469" s="38" t="n">
        <x:v>0.08662329</x:v>
      </x:c>
      <x:c r="Y469" s="38" t="n">
        <x:v>0</x:v>
      </x:c>
      <x:c r="Z469" s="38" t="n">
        <x:v>0.7677500000000002</x:v>
      </x:c>
      <x:c r="AA469" s="38" t="n">
        <x:v>0.30525</x:v>
      </x:c>
      <x:c r="AB469" s="38" t="n">
        <x:v>0.0011099999999999999</x:v>
      </x:c>
      <x:c r="AC469" s="38" t="n">
        <x:v>0.8254267100000001</x:v>
      </x:c>
      <x:c r="AD469" s="28" t="n">
        <x:v>0.2763387835996532</x:v>
      </x:c>
    </x:row>
    <x:row r="470">
      <x:c r="A470" s="32" t="n">
        <x:v>45824</x:v>
      </x:c>
      <x:c r="B470" s="32" t="n">
        <x:v>45809</x:v>
      </x:c>
      <x:c r="C470" t="str">
        <x:v>Jun 2025</x:v>
      </x:c>
      <x:c r="D470" t="str">
        <x:v>Actual</x:v>
      </x:c>
      <x:c r="E470" t="str">
        <x:v>DB-102</x:v>
      </x:c>
      <x:c r="F470" t="str">
        <x:v>GlowPatch Balm</x:v>
      </x:c>
      <x:c r="G470" t="str">
        <x:v>Consumable repeat</x:v>
      </x:c>
      <x:c r="H470" t="str">
        <x:v>None</x:v>
      </x:c>
      <x:c r="I470" t="str">
        <x:v>Active</x:v>
      </x:c>
      <x:c r="J470" t="str">
        <x:v>Amazon Marketplace</x:v>
      </x:c>
      <x:c r="K470" t="str">
        <x:v>Marketplace Consumer</x:v>
      </x:c>
      <x:c r="L470" t="str">
        <x:v>All Geographies</x:v>
      </x:c>
      <x:c r="M470" s="34" t="n">
        <x:v>2181</x:v>
      </x:c>
      <x:c r="N470" s="28" t="n">
        <x:v>0.050126399999999995</x:v>
      </x:c>
      <x:c r="O470" s="34" t="n">
        <x:v>109</x:v>
      </x:c>
      <x:c r="P470" s="34" t="n">
        <x:v>1</x:v>
      </x:c>
      <x:c r="Q470" s="34" t="n">
        <x:v>109</x:v>
      </x:c>
      <x:c r="R470" s="33" t="n">
        <x:v>18</x:v>
      </x:c>
      <x:c r="S470" s="38" t="n">
        <x:v>1.962</x:v>
      </x:c>
      <x:c r="T470" s="38" t="n">
        <x:v>0.0981</x:v>
      </x:c>
      <x:c r="U470" s="38" t="n">
        <x:v>0.0465975</x:v>
      </x:c>
      <x:c r="V470" s="38" t="n">
        <x:v>1.8173024999999998</x:v>
      </x:c>
      <x:c r="W470" s="38" t="n">
        <x:v>0.58969</x:v>
      </x:c>
      <x:c r="X470" s="38" t="n">
        <x:v>0</x:v>
      </x:c>
      <x:c r="Y470" s="38" t="n">
        <x:v>0.272595375</x:v>
      </x:c>
      <x:c r="Z470" s="38" t="n">
        <x:v>0.5668000000000001</x:v>
      </x:c>
      <x:c r="AA470" s="38" t="n">
        <x:v>0.23435</x:v>
      </x:c>
      <x:c r="AB470" s="38" t="n">
        <x:v>0.0006540000000000001</x:v>
      </x:c>
      <x:c r="AC470" s="38" t="n">
        <x:v>0.15321312499999973</x:v>
      </x:c>
      <x:c r="AD470" s="28" t="n">
        <x:v>0.0843079922027289</x:v>
      </x:c>
    </x:row>
    <x:row r="471">
      <x:c r="A471" s="32" t="n">
        <x:v>45824</x:v>
      </x:c>
      <x:c r="B471" s="32" t="n">
        <x:v>45809</x:v>
      </x:c>
      <x:c r="C471" t="str">
        <x:v>Jun 2025</x:v>
      </x:c>
      <x:c r="D471" t="str">
        <x:v>Actual</x:v>
      </x:c>
      <x:c r="E471" t="str">
        <x:v>DB-102</x:v>
      </x:c>
      <x:c r="F471" t="str">
        <x:v>GlowPatch Balm</x:v>
      </x:c>
      <x:c r="G471" t="str">
        <x:v>Consumable repeat</x:v>
      </x:c>
      <x:c r="H471" t="str">
        <x:v>None</x:v>
      </x:c>
      <x:c r="I471" t="str">
        <x:v>Active</x:v>
      </x:c>
      <x:c r="J471" t="str">
        <x:v>Wholesale</x:v>
      </x:c>
      <x:c r="K471" t="str">
        <x:v>Retailer</x:v>
      </x:c>
      <x:c r="L471" t="str">
        <x:v>All Geographies</x:v>
      </x:c>
      <x:c r="M471" s="34" t="n">
        <x:v>1309</x:v>
      </x:c>
      <x:c r="N471" s="28" t="n">
        <x:v>0.023364</x:v>
      </x:c>
      <x:c r="O471" s="34" t="n">
        <x:v>31</x:v>
      </x:c>
      <x:c r="P471" s="34" t="n">
        <x:v>1</x:v>
      </x:c>
      <x:c r="Q471" s="34" t="n">
        <x:v>31</x:v>
      </x:c>
      <x:c r="R471" s="33" t="n">
        <x:v>18</x:v>
      </x:c>
      <x:c r="S471" s="38" t="n">
        <x:v>0.558</x:v>
      </x:c>
      <x:c r="T471" s="38" t="n">
        <x:v>0.1953</x:v>
      </x:c>
      <x:c r="U471" s="38" t="n">
        <x:v>0.009067500000000001</x:v>
      </x:c>
      <x:c r="V471" s="38" t="n">
        <x:v>0.3536325</x:v>
      </x:c>
      <x:c r="W471" s="38" t="n">
        <x:v>0.16771</x:v>
      </x:c>
      <x:c r="X471" s="38" t="n">
        <x:v>0</x:v>
      </x:c>
      <x:c r="Y471" s="38" t="n">
        <x:v>0</x:v>
      </x:c>
      <x:c r="Z471" s="38" t="n">
        <x:v>0.0713</x:v>
      </x:c>
      <x:c r="AA471" s="38" t="n">
        <x:v>0.02635</x:v>
      </x:c>
      <x:c r="AB471" s="38" t="n">
        <x:v>0.000186</x:v>
      </x:c>
      <x:c r="AC471" s="38" t="n">
        <x:v>0.08808650000000001</x:v>
      </x:c>
      <x:c r="AD471" s="28" t="n">
        <x:v>0.2490905106289722</x:v>
      </x:c>
    </x:row>
    <x:row r="472">
      <x:c r="A472" s="32" t="n">
        <x:v>45824</x:v>
      </x:c>
      <x:c r="B472" s="32" t="n">
        <x:v>45809</x:v>
      </x:c>
      <x:c r="C472" t="str">
        <x:v>Jun 2025</x:v>
      </x:c>
      <x:c r="D472" t="str">
        <x:v>Actual</x:v>
      </x:c>
      <x:c r="E472" t="str">
        <x:v>DB-102</x:v>
      </x:c>
      <x:c r="F472" t="str">
        <x:v>GlowPatch Balm</x:v>
      </x:c>
      <x:c r="G472" t="str">
        <x:v>Consumable repeat</x:v>
      </x:c>
      <x:c r="H472" t="str">
        <x:v>None</x:v>
      </x:c>
      <x:c r="I472" t="str">
        <x:v>Active</x:v>
      </x:c>
      <x:c r="J472" t="str">
        <x:v>TikTok Shop</x:v>
      </x:c>
      <x:c r="K472" t="str">
        <x:v>Social Commerce</x:v>
      </x:c>
      <x:c r="L472" t="str">
        <x:v>All Geographies</x:v>
      </x:c>
      <x:c r="M472" s="34" t="n">
        <x:v>872</x:v>
      </x:c>
      <x:c r="N472" s="28" t="n">
        <x:v>0.0535248</x:v>
      </x:c>
      <x:c r="O472" s="34" t="n">
        <x:v>47</x:v>
      </x:c>
      <x:c r="P472" s="34" t="n">
        <x:v>1</x:v>
      </x:c>
      <x:c r="Q472" s="34" t="n">
        <x:v>47</x:v>
      </x:c>
      <x:c r="R472" s="33" t="n">
        <x:v>18</x:v>
      </x:c>
      <x:c r="S472" s="38" t="n">
        <x:v>0.846</x:v>
      </x:c>
      <x:c r="T472" s="38" t="n">
        <x:v>0.10152</x:v>
      </x:c>
      <x:c r="U472" s="38" t="n">
        <x:v>0.018612</x:v>
      </x:c>
      <x:c r="V472" s="38" t="n">
        <x:v>0.7258680000000001</x:v>
      </x:c>
      <x:c r="W472" s="38" t="n">
        <x:v>0.25427</x:v>
      </x:c>
      <x:c r="X472" s="38" t="n">
        <x:v>0.021050172000000002</x:v>
      </x:c>
      <x:c r="Y472" s="38" t="n">
        <x:v>0.04355208</x:v>
      </x:c>
      <x:c r="Z472" s="38" t="n">
        <x:v>0.2397</x:v>
      </x:c>
      <x:c r="AA472" s="38" t="n">
        <x:v>0.08225</x:v>
      </x:c>
      <x:c r="AB472" s="38" t="n">
        <x:v>0.000282</x:v>
      </x:c>
      <x:c r="AC472" s="38" t="n">
        <x:v>0.0847637480000001</x:v>
      </x:c>
      <x:c r="AD472" s="28" t="n">
        <x:v>0.1167757057757059</x:v>
      </x:c>
    </x:row>
    <x:row r="473">
      <x:c r="A473" s="32" t="n">
        <x:v>45824</x:v>
      </x:c>
      <x:c r="B473" s="32" t="n">
        <x:v>45809</x:v>
      </x:c>
      <x:c r="C473" t="str">
        <x:v>Jun 2025</x:v>
      </x:c>
      <x:c r="D473" t="str">
        <x:v>Actual</x:v>
      </x:c>
      <x:c r="E473" t="str">
        <x:v>DB-103</x:v>
      </x:c>
      <x:c r="F473" t="str">
        <x:v>EmberTrail Camp Mug</x:v>
      </x:c>
      <x:c r="G473" t="str">
        <x:v>One-time purchase</x:v>
      </x:c>
      <x:c r="H473" t="str">
        <x:v>Winter peak</x:v>
      </x:c>
      <x:c r="I473" t="str">
        <x:v>Active</x:v>
      </x:c>
      <x:c r="J473" t="str">
        <x:v>Shopify DTC</x:v>
      </x:c>
      <x:c r="K473" t="str">
        <x:v>Consumer</x:v>
      </x:c>
      <x:c r="L473" t="str">
        <x:v>All Geographies</x:v>
      </x:c>
      <x:c r="M473" s="34" t="n">
        <x:v>2804</x:v>
      </x:c>
      <x:c r="N473" s="28" t="n">
        <x:v>0.0324</x:v>
      </x:c>
      <x:c r="O473" s="34" t="n">
        <x:v>91</x:v>
      </x:c>
      <x:c r="P473" s="34" t="n">
        <x:v>1</x:v>
      </x:c>
      <x:c r="Q473" s="34" t="n">
        <x:v>91</x:v>
      </x:c>
      <x:c r="R473" s="33" t="n">
        <x:v>34</x:v>
      </x:c>
      <x:c r="S473" s="38" t="n">
        <x:v>3.094</x:v>
      </x:c>
      <x:c r="T473" s="38" t="n">
        <x:v>0.24752</x:v>
      </x:c>
      <x:c r="U473" s="38" t="n">
        <x:v>0.15655639999999998</x:v>
      </x:c>
      <x:c r="V473" s="38" t="n">
        <x:v>2.6899235999999997</x:v>
      </x:c>
      <x:c r="W473" s="38" t="n">
        <x:v>1.24397</x:v>
      </x:c>
      <x:c r="X473" s="38" t="n">
        <x:v>0.0780077844</x:v>
      </x:c>
      <x:c r="Y473" s="38" t="n">
        <x:v>0</x:v>
      </x:c>
      <x:c r="Z473" s="38" t="n">
        <x:v>0.37765000000000004</x:v>
      </x:c>
      <x:c r="AA473" s="38" t="n">
        <x:v>0.15015</x:v>
      </x:c>
      <x:c r="AB473" s="38" t="n">
        <x:v>0.005096</x:v>
      </x:c>
      <x:c r="AC473" s="38" t="n">
        <x:v>0.8350498155999997</x:v>
      </x:c>
      <x:c r="AD473" s="28" t="n">
        <x:v>0.3104362575948253</x:v>
      </x:c>
    </x:row>
    <x:row r="474">
      <x:c r="A474" s="32" t="n">
        <x:v>45824</x:v>
      </x:c>
      <x:c r="B474" s="32" t="n">
        <x:v>45809</x:v>
      </x:c>
      <x:c r="C474" t="str">
        <x:v>Jun 2025</x:v>
      </x:c>
      <x:c r="D474" t="str">
        <x:v>Actual</x:v>
      </x:c>
      <x:c r="E474" t="str">
        <x:v>DB-103</x:v>
      </x:c>
      <x:c r="F474" t="str">
        <x:v>EmberTrail Camp Mug</x:v>
      </x:c>
      <x:c r="G474" t="str">
        <x:v>One-time purchase</x:v>
      </x:c>
      <x:c r="H474" t="str">
        <x:v>Winter peak</x:v>
      </x:c>
      <x:c r="I474" t="str">
        <x:v>Active</x:v>
      </x:c>
      <x:c r="J474" t="str">
        <x:v>Amazon Marketplace</x:v>
      </x:c>
      <x:c r="K474" t="str">
        <x:v>Marketplace Consumer</x:v>
      </x:c>
      <x:c r="L474" t="str">
        <x:v>All Geographies</x:v>
      </x:c>
      <x:c r="M474" s="34" t="n">
        <x:v>1402</x:v>
      </x:c>
      <x:c r="N474" s="28" t="n">
        <x:v>0.038231999999999995</x:v>
      </x:c>
      <x:c r="O474" s="34" t="n">
        <x:v>54</x:v>
      </x:c>
      <x:c r="P474" s="34" t="n">
        <x:v>1</x:v>
      </x:c>
      <x:c r="Q474" s="34" t="n">
        <x:v>54</x:v>
      </x:c>
      <x:c r="R474" s="33" t="n">
        <x:v>34</x:v>
      </x:c>
      <x:c r="S474" s="38" t="n">
        <x:v>1.836</x:v>
      </x:c>
      <x:c r="T474" s="38" t="n">
        <x:v>0.0918</x:v>
      </x:c>
      <x:c r="U474" s="38" t="n">
        <x:v>0.095931</x:v>
      </x:c>
      <x:c r="V474" s="38" t="n">
        <x:v>1.648269</x:v>
      </x:c>
      <x:c r="W474" s="38" t="n">
        <x:v>0.73818</x:v>
      </x:c>
      <x:c r="X474" s="38" t="n">
        <x:v>0</x:v>
      </x:c>
      <x:c r="Y474" s="38" t="n">
        <x:v>0.24724035</x:v>
      </x:c>
      <x:c r="Z474" s="38" t="n">
        <x:v>0.2808</x:v>
      </x:c>
      <x:c r="AA474" s="38" t="n">
        <x:v>0.1161</x:v>
      </x:c>
      <x:c r="AB474" s="38" t="n">
        <x:v>0.003024</x:v>
      </x:c>
      <x:c r="AC474" s="38" t="n">
        <x:v>0.26292465000000004</x:v>
      </x:c>
      <x:c r="AD474" s="28" t="n">
        <x:v>0.15951561911314235</x:v>
      </x:c>
    </x:row>
    <x:row r="475">
      <x:c r="A475" s="32" t="n">
        <x:v>45824</x:v>
      </x:c>
      <x:c r="B475" s="32" t="n">
        <x:v>45809</x:v>
      </x:c>
      <x:c r="C475" t="str">
        <x:v>Jun 2025</x:v>
      </x:c>
      <x:c r="D475" t="str">
        <x:v>Actual</x:v>
      </x:c>
      <x:c r="E475" t="str">
        <x:v>DB-103</x:v>
      </x:c>
      <x:c r="F475" t="str">
        <x:v>EmberTrail Camp Mug</x:v>
      </x:c>
      <x:c r="G475" t="str">
        <x:v>One-time purchase</x:v>
      </x:c>
      <x:c r="H475" t="str">
        <x:v>Winter peak</x:v>
      </x:c>
      <x:c r="I475" t="str">
        <x:v>Active</x:v>
      </x:c>
      <x:c r="J475" t="str">
        <x:v>Wholesale</x:v>
      </x:c>
      <x:c r="K475" t="str">
        <x:v>Retailer</x:v>
      </x:c>
      <x:c r="L475" t="str">
        <x:v>All Geographies</x:v>
      </x:c>
      <x:c r="M475" s="34" t="n">
        <x:v>841</x:v>
      </x:c>
      <x:c r="N475" s="28" t="n">
        <x:v>0.017820000000000003</x:v>
      </x:c>
      <x:c r="O475" s="34" t="n">
        <x:v>15</x:v>
      </x:c>
      <x:c r="P475" s="34" t="n">
        <x:v>1</x:v>
      </x:c>
      <x:c r="Q475" s="34" t="n">
        <x:v>15</x:v>
      </x:c>
      <x:c r="R475" s="33" t="n">
        <x:v>34</x:v>
      </x:c>
      <x:c r="S475" s="38" t="n">
        <x:v>0.51</x:v>
      </x:c>
      <x:c r="T475" s="38" t="n">
        <x:v>0.1785</x:v>
      </x:c>
      <x:c r="U475" s="38" t="n">
        <x:v>0.018232500000000002</x:v>
      </x:c>
      <x:c r="V475" s="38" t="n">
        <x:v>0.31326750000000003</x:v>
      </x:c>
      <x:c r="W475" s="38" t="n">
        <x:v>0.20505</x:v>
      </x:c>
      <x:c r="X475" s="38" t="n">
        <x:v>0</x:v>
      </x:c>
      <x:c r="Y475" s="38" t="n">
        <x:v>0</x:v>
      </x:c>
      <x:c r="Z475" s="38" t="n">
        <x:v>0.0345</x:v>
      </x:c>
      <x:c r="AA475" s="38" t="n">
        <x:v>0.01275</x:v>
      </x:c>
      <x:c r="AB475" s="38" t="n">
        <x:v>0.0008399999999999999</x:v>
      </x:c>
      <x:c r="AC475" s="38" t="n">
        <x:v>0.06012750000000002</x:v>
      </x:c>
      <x:c r="AD475" s="28" t="n">
        <x:v>0.19193660370130963</x:v>
      </x:c>
    </x:row>
    <x:row r="476">
      <x:c r="A476" s="32" t="n">
        <x:v>45824</x:v>
      </x:c>
      <x:c r="B476" s="32" t="n">
        <x:v>45809</x:v>
      </x:c>
      <x:c r="C476" t="str">
        <x:v>Jun 2025</x:v>
      </x:c>
      <x:c r="D476" t="str">
        <x:v>Actual</x:v>
      </x:c>
      <x:c r="E476" t="str">
        <x:v>DB-103</x:v>
      </x:c>
      <x:c r="F476" t="str">
        <x:v>EmberTrail Camp Mug</x:v>
      </x:c>
      <x:c r="G476" t="str">
        <x:v>One-time purchase</x:v>
      </x:c>
      <x:c r="H476" t="str">
        <x:v>Winter peak</x:v>
      </x:c>
      <x:c r="I476" t="str">
        <x:v>Active</x:v>
      </x:c>
      <x:c r="J476" t="str">
        <x:v>TikTok Shop</x:v>
      </x:c>
      <x:c r="K476" t="str">
        <x:v>Social Commerce</x:v>
      </x:c>
      <x:c r="L476" t="str">
        <x:v>All Geographies</x:v>
      </x:c>
      <x:c r="M476" s="34" t="n">
        <x:v>561</x:v>
      </x:c>
      <x:c r="N476" s="28" t="n">
        <x:v>0.040824</x:v>
      </x:c>
      <x:c r="O476" s="34" t="n">
        <x:v>23</x:v>
      </x:c>
      <x:c r="P476" s="34" t="n">
        <x:v>1</x:v>
      </x:c>
      <x:c r="Q476" s="34" t="n">
        <x:v>23</x:v>
      </x:c>
      <x:c r="R476" s="33" t="n">
        <x:v>34</x:v>
      </x:c>
      <x:c r="S476" s="38" t="n">
        <x:v>0.782</x:v>
      </x:c>
      <x:c r="T476" s="38" t="n">
        <x:v>0.09384</x:v>
      </x:c>
      <x:c r="U476" s="38" t="n">
        <x:v>0.0378488</x:v>
      </x:c>
      <x:c r="V476" s="38" t="n">
        <x:v>0.6503112</x:v>
      </x:c>
      <x:c r="W476" s="38" t="n">
        <x:v>0.31441</x:v>
      </x:c>
      <x:c r="X476" s="38" t="n">
        <x:v>0.0188590248</x:v>
      </x:c>
      <x:c r="Y476" s="38" t="n">
        <x:v>0.039018672</x:v>
      </x:c>
      <x:c r="Z476" s="38" t="n">
        <x:v>0.1173</x:v>
      </x:c>
      <x:c r="AA476" s="38" t="n">
        <x:v>0.04025</x:v>
      </x:c>
      <x:c r="AB476" s="38" t="n">
        <x:v>0.001288</x:v>
      </x:c>
      <x:c r="AC476" s="38" t="n">
        <x:v>0.11918550319999995</x:v>
      </x:c>
      <x:c r="AD476" s="28" t="n">
        <x:v>0.18327456639221337</x:v>
      </x:c>
    </x:row>
    <x:row r="477">
      <x:c r="A477" s="32" t="n">
        <x:v>45824</x:v>
      </x:c>
      <x:c r="B477" s="32" t="n">
        <x:v>45809</x:v>
      </x:c>
      <x:c r="C477" t="str">
        <x:v>Jun 2025</x:v>
      </x:c>
      <x:c r="D477" t="str">
        <x:v>Actual</x:v>
      </x:c>
      <x:c r="E477" t="str">
        <x:v>DB-104</x:v>
      </x:c>
      <x:c r="F477" t="str">
        <x:v>SunNest Cooling Towel</x:v>
      </x:c>
      <x:c r="G477" t="str">
        <x:v>Consumable repeat</x:v>
      </x:c>
      <x:c r="H477" t="str">
        <x:v>Summer peak</x:v>
      </x:c>
      <x:c r="I477" t="str">
        <x:v>Active</x:v>
      </x:c>
      <x:c r="J477" t="str">
        <x:v>Shopify DTC</x:v>
      </x:c>
      <x:c r="K477" t="str">
        <x:v>Consumer</x:v>
      </x:c>
      <x:c r="L477" t="str">
        <x:v>All Geographies</x:v>
      </x:c>
      <x:c r="M477" s="34" t="n">
        <x:v>5120</x:v>
      </x:c>
      <x:c r="N477" s="28" t="n">
        <x:v>0.03312</x:v>
      </x:c>
      <x:c r="O477" s="34" t="n">
        <x:v>170</x:v>
      </x:c>
      <x:c r="P477" s="34" t="n">
        <x:v>1</x:v>
      </x:c>
      <x:c r="Q477" s="34" t="n">
        <x:v>170</x:v>
      </x:c>
      <x:c r="R477" s="33" t="n">
        <x:v>42</x:v>
      </x:c>
      <x:c r="S477" s="38" t="n">
        <x:v>7.14</x:v>
      </x:c>
      <x:c r="T477" s="38" t="n">
        <x:v>0.5712</x:v>
      </x:c>
      <x:c r="U477" s="38" t="n">
        <x:v>0.32844</x:v>
      </x:c>
      <x:c r="V477" s="38" t="n">
        <x:v>6.24036</x:v>
      </x:c>
      <x:c r="W477" s="38" t="n">
        <x:v>2.5585</x:v>
      </x:c>
      <x:c r="X477" s="38" t="n">
        <x:v>0.18097044</x:v>
      </x:c>
      <x:c r="Y477" s="38" t="n">
        <x:v>0</x:v>
      </x:c>
      <x:c r="Z477" s="38" t="n">
        <x:v>0.7055000000000001</x:v>
      </x:c>
      <x:c r="AA477" s="38" t="n">
        <x:v>0.2805</x:v>
      </x:c>
      <x:c r="AB477" s="38" t="n">
        <x:v>0.0047599999999999995</x:v>
      </x:c>
      <x:c r="AC477" s="38" t="n">
        <x:v>2.5101295599999998</x:v>
      </x:c>
      <x:c r="AD477" s="28" t="n">
        <x:v>0.4022411463441211</x:v>
      </x:c>
    </x:row>
    <x:row r="478">
      <x:c r="A478" s="32" t="n">
        <x:v>45824</x:v>
      </x:c>
      <x:c r="B478" s="32" t="n">
        <x:v>45809</x:v>
      </x:c>
      <x:c r="C478" t="str">
        <x:v>Jun 2025</x:v>
      </x:c>
      <x:c r="D478" t="str">
        <x:v>Actual</x:v>
      </x:c>
      <x:c r="E478" t="str">
        <x:v>DB-104</x:v>
      </x:c>
      <x:c r="F478" t="str">
        <x:v>SunNest Cooling Towel</x:v>
      </x:c>
      <x:c r="G478" t="str">
        <x:v>Consumable repeat</x:v>
      </x:c>
      <x:c r="H478" t="str">
        <x:v>Summer peak</x:v>
      </x:c>
      <x:c r="I478" t="str">
        <x:v>Active</x:v>
      </x:c>
      <x:c r="J478" t="str">
        <x:v>Amazon Marketplace</x:v>
      </x:c>
      <x:c r="K478" t="str">
        <x:v>Marketplace Consumer</x:v>
      </x:c>
      <x:c r="L478" t="str">
        <x:v>All Geographies</x:v>
      </x:c>
      <x:c r="M478" s="34" t="n">
        <x:v>2560</x:v>
      </x:c>
      <x:c r="N478" s="28" t="n">
        <x:v>0.0390816</x:v>
      </x:c>
      <x:c r="O478" s="34" t="n">
        <x:v>100</x:v>
      </x:c>
      <x:c r="P478" s="34" t="n">
        <x:v>1</x:v>
      </x:c>
      <x:c r="Q478" s="34" t="n">
        <x:v>100</x:v>
      </x:c>
      <x:c r="R478" s="33" t="n">
        <x:v>42</x:v>
      </x:c>
      <x:c r="S478" s="38" t="n">
        <x:v>4.2</x:v>
      </x:c>
      <x:c r="T478" s="38" t="n">
        <x:v>0.21000000000000002</x:v>
      </x:c>
      <x:c r="U478" s="38" t="n">
        <x:v>0.1995</x:v>
      </x:c>
      <x:c r="V478" s="38" t="n">
        <x:v>3.7905</x:v>
      </x:c>
      <x:c r="W478" s="38" t="n">
        <x:v>1.505</x:v>
      </x:c>
      <x:c r="X478" s="38" t="n">
        <x:v>0</x:v>
      </x:c>
      <x:c r="Y478" s="38" t="n">
        <x:v>0.568575</x:v>
      </x:c>
      <x:c r="Z478" s="38" t="n">
        <x:v>0.52</x:v>
      </x:c>
      <x:c r="AA478" s="38" t="n">
        <x:v>0.215</x:v>
      </x:c>
      <x:c r="AB478" s="38" t="n">
        <x:v>0.0028</x:v>
      </x:c>
      <x:c r="AC478" s="38" t="n">
        <x:v>0.9791250000000002</x:v>
      </x:c>
      <x:c r="AD478" s="28" t="n">
        <x:v>0.25831024930747926</x:v>
      </x:c>
    </x:row>
    <x:row r="479">
      <x:c r="A479" s="32" t="n">
        <x:v>45824</x:v>
      </x:c>
      <x:c r="B479" s="32" t="n">
        <x:v>45809</x:v>
      </x:c>
      <x:c r="C479" t="str">
        <x:v>Jun 2025</x:v>
      </x:c>
      <x:c r="D479" t="str">
        <x:v>Actual</x:v>
      </x:c>
      <x:c r="E479" t="str">
        <x:v>DB-104</x:v>
      </x:c>
      <x:c r="F479" t="str">
        <x:v>SunNest Cooling Towel</x:v>
      </x:c>
      <x:c r="G479" t="str">
        <x:v>Consumable repeat</x:v>
      </x:c>
      <x:c r="H479" t="str">
        <x:v>Summer peak</x:v>
      </x:c>
      <x:c r="I479" t="str">
        <x:v>Active</x:v>
      </x:c>
      <x:c r="J479" t="str">
        <x:v>Wholesale</x:v>
      </x:c>
      <x:c r="K479" t="str">
        <x:v>Retailer</x:v>
      </x:c>
      <x:c r="L479" t="str">
        <x:v>All Geographies</x:v>
      </x:c>
      <x:c r="M479" s="34" t="n">
        <x:v>1536</x:v>
      </x:c>
      <x:c r="N479" s="28" t="n">
        <x:v>0.018216000000000003</x:v>
      </x:c>
      <x:c r="O479" s="34" t="n">
        <x:v>28</x:v>
      </x:c>
      <x:c r="P479" s="34" t="n">
        <x:v>1</x:v>
      </x:c>
      <x:c r="Q479" s="34" t="n">
        <x:v>28</x:v>
      </x:c>
      <x:c r="R479" s="33" t="n">
        <x:v>42</x:v>
      </x:c>
      <x:c r="S479" s="38" t="n">
        <x:v>1.176</x:v>
      </x:c>
      <x:c r="T479" s="38" t="n">
        <x:v>0.41159999999999997</x:v>
      </x:c>
      <x:c r="U479" s="38" t="n">
        <x:v>0.038220000000000004</x:v>
      </x:c>
      <x:c r="V479" s="38" t="n">
        <x:v>0.7261799999999999</x:v>
      </x:c>
      <x:c r="W479" s="38" t="n">
        <x:v>0.42140000000000005</x:v>
      </x:c>
      <x:c r="X479" s="38" t="n">
        <x:v>0</x:v>
      </x:c>
      <x:c r="Y479" s="38" t="n">
        <x:v>0</x:v>
      </x:c>
      <x:c r="Z479" s="38" t="n">
        <x:v>0.06439999999999999</x:v>
      </x:c>
      <x:c r="AA479" s="38" t="n">
        <x:v>0.0238</x:v>
      </x:c>
      <x:c r="AB479" s="38" t="n">
        <x:v>0.0007840000000000001</x:v>
      </x:c>
      <x:c r="AC479" s="38" t="n">
        <x:v>0.21579599999999988</x:v>
      </x:c>
      <x:c r="AD479" s="28" t="n">
        <x:v>0.2971659919028339</x:v>
      </x:c>
    </x:row>
    <x:row r="480">
      <x:c r="A480" s="32" t="n">
        <x:v>45824</x:v>
      </x:c>
      <x:c r="B480" s="32" t="n">
        <x:v>45809</x:v>
      </x:c>
      <x:c r="C480" t="str">
        <x:v>Jun 2025</x:v>
      </x:c>
      <x:c r="D480" t="str">
        <x:v>Actual</x:v>
      </x:c>
      <x:c r="E480" t="str">
        <x:v>DB-104</x:v>
      </x:c>
      <x:c r="F480" t="str">
        <x:v>SunNest Cooling Towel</x:v>
      </x:c>
      <x:c r="G480" t="str">
        <x:v>Consumable repeat</x:v>
      </x:c>
      <x:c r="H480" t="str">
        <x:v>Summer peak</x:v>
      </x:c>
      <x:c r="I480" t="str">
        <x:v>Active</x:v>
      </x:c>
      <x:c r="J480" t="str">
        <x:v>TikTok Shop</x:v>
      </x:c>
      <x:c r="K480" t="str">
        <x:v>Social Commerce</x:v>
      </x:c>
      <x:c r="L480" t="str">
        <x:v>All Geographies</x:v>
      </x:c>
      <x:c r="M480" s="34" t="n">
        <x:v>1024</x:v>
      </x:c>
      <x:c r="N480" s="28" t="n">
        <x:v>0.0417312</x:v>
      </x:c>
      <x:c r="O480" s="34" t="n">
        <x:v>43</x:v>
      </x:c>
      <x:c r="P480" s="34" t="n">
        <x:v>1</x:v>
      </x:c>
      <x:c r="Q480" s="34" t="n">
        <x:v>43</x:v>
      </x:c>
      <x:c r="R480" s="33" t="n">
        <x:v>42</x:v>
      </x:c>
      <x:c r="S480" s="38" t="n">
        <x:v>1.806</x:v>
      </x:c>
      <x:c r="T480" s="38" t="n">
        <x:v>0.21672</x:v>
      </x:c>
      <x:c r="U480" s="38" t="n">
        <x:v>0.079464</x:v>
      </x:c>
      <x:c r="V480" s="38" t="n">
        <x:v>1.509816</x:v>
      </x:c>
      <x:c r="W480" s="38" t="n">
        <x:v>0.64715</x:v>
      </x:c>
      <x:c r="X480" s="38" t="n">
        <x:v>0.043784664</x:v>
      </x:c>
      <x:c r="Y480" s="38" t="n">
        <x:v>0.09058896</x:v>
      </x:c>
      <x:c r="Z480" s="38" t="n">
        <x:v>0.2193</x:v>
      </x:c>
      <x:c r="AA480" s="38" t="n">
        <x:v>0.07525</x:v>
      </x:c>
      <x:c r="AB480" s="38" t="n">
        <x:v>0.001204</x:v>
      </x:c>
      <x:c r="AC480" s="38" t="n">
        <x:v>0.43253837599999995</x:v>
      </x:c>
      <x:c r="AD480" s="28" t="n">
        <x:v>0.2864841649578491</x:v>
      </x:c>
    </x:row>
    <x:row r="481">
      <x:c r="A481" s="32" t="n">
        <x:v>45824</x:v>
      </x:c>
      <x:c r="B481" s="32" t="n">
        <x:v>45809</x:v>
      </x:c>
      <x:c r="C481" t="str">
        <x:v>Jun 2025</x:v>
      </x:c>
      <x:c r="D481" t="str">
        <x:v>Actual</x:v>
      </x:c>
      <x:c r="E481" t="str">
        <x:v>DB-105</x:v>
      </x:c>
      <x:c r="F481" t="str">
        <x:v>DreamFuel Refill Pack</x:v>
      </x:c>
      <x:c r="G481" t="str">
        <x:v>Subscription</x:v>
      </x:c>
      <x:c r="H481" t="str">
        <x:v>None</x:v>
      </x:c>
      <x:c r="I481" t="str">
        <x:v>Active</x:v>
      </x:c>
      <x:c r="J481" t="str">
        <x:v>Shopify DTC</x:v>
      </x:c>
      <x:c r="K481" t="str">
        <x:v>Consumer</x:v>
      </x:c>
      <x:c r="L481" t="str">
        <x:v>All Geographies</x:v>
      </x:c>
      <x:c r="M481" s="34" t="n">
        <x:v>3739</x:v>
      </x:c>
      <x:c r="N481" s="28" t="n">
        <x:v>0.03888</x:v>
      </x:c>
      <x:c r="O481" s="34" t="n">
        <x:v>145</x:v>
      </x:c>
      <x:c r="P481" s="34" t="n">
        <x:v>1</x:v>
      </x:c>
      <x:c r="Q481" s="34" t="n">
        <x:v>145</x:v>
      </x:c>
      <x:c r="R481" s="33" t="n">
        <x:v>56</x:v>
      </x:c>
      <x:c r="S481" s="38" t="n">
        <x:v>8.12</x:v>
      </x:c>
      <x:c r="T481" s="38" t="n">
        <x:v>0.6496</x:v>
      </x:c>
      <x:c r="U481" s="38" t="n">
        <x:v>0.14940799999999999</x:v>
      </x:c>
      <x:c r="V481" s="38" t="n">
        <x:v>7.3209919999999995</x:v>
      </x:c>
      <x:c r="W481" s="38" t="n">
        <x:v>2.6999</x:v>
      </x:c>
      <x:c r="X481" s="38" t="n">
        <x:v>0.212308768</x:v>
      </x:c>
      <x:c r="Y481" s="38" t="n">
        <x:v>0</x:v>
      </x:c>
      <x:c r="Z481" s="38" t="n">
        <x:v>0.60175</x:v>
      </x:c>
      <x:c r="AA481" s="38" t="n">
        <x:v>0.23925</x:v>
      </x:c>
      <x:c r="AB481" s="38" t="n">
        <x:v>0.000522</x:v>
      </x:c>
      <x:c r="AC481" s="38" t="n">
        <x:v>3.567261231999999</x:v>
      </x:c>
      <x:c r="AD481" s="28" t="n">
        <x:v>0.48726473570794765</x:v>
      </x:c>
    </x:row>
    <x:row r="482">
      <x:c r="A482" s="32" t="n">
        <x:v>45824</x:v>
      </x:c>
      <x:c r="B482" s="32" t="n">
        <x:v>45809</x:v>
      </x:c>
      <x:c r="C482" t="str">
        <x:v>Jun 2025</x:v>
      </x:c>
      <x:c r="D482" t="str">
        <x:v>Actual</x:v>
      </x:c>
      <x:c r="E482" t="str">
        <x:v>DB-105</x:v>
      </x:c>
      <x:c r="F482" t="str">
        <x:v>DreamFuel Refill Pack</x:v>
      </x:c>
      <x:c r="G482" t="str">
        <x:v>Subscription</x:v>
      </x:c>
      <x:c r="H482" t="str">
        <x:v>None</x:v>
      </x:c>
      <x:c r="I482" t="str">
        <x:v>Active</x:v>
      </x:c>
      <x:c r="J482" t="str">
        <x:v>Amazon Marketplace</x:v>
      </x:c>
      <x:c r="K482" t="str">
        <x:v>Marketplace Consumer</x:v>
      </x:c>
      <x:c r="L482" t="str">
        <x:v>All Geographies</x:v>
      </x:c>
      <x:c r="M482" s="34" t="n">
        <x:v>1869</x:v>
      </x:c>
      <x:c r="N482" s="28" t="n">
        <x:v>0.0458784</x:v>
      </x:c>
      <x:c r="O482" s="34" t="n">
        <x:v>86</x:v>
      </x:c>
      <x:c r="P482" s="34" t="n">
        <x:v>1</x:v>
      </x:c>
      <x:c r="Q482" s="34" t="n">
        <x:v>86</x:v>
      </x:c>
      <x:c r="R482" s="33" t="n">
        <x:v>56</x:v>
      </x:c>
      <x:c r="S482" s="38" t="n">
        <x:v>4.816</x:v>
      </x:c>
      <x:c r="T482" s="38" t="n">
        <x:v>0.24080000000000001</x:v>
      </x:c>
      <x:c r="U482" s="38" t="n">
        <x:v>0.091504</x:v>
      </x:c>
      <x:c r="V482" s="38" t="n">
        <x:v>4.483696</x:v>
      </x:c>
      <x:c r="W482" s="38" t="n">
        <x:v>1.60132</x:v>
      </x:c>
      <x:c r="X482" s="38" t="n">
        <x:v>0</x:v>
      </x:c>
      <x:c r="Y482" s="38" t="n">
        <x:v>0.6725544</x:v>
      </x:c>
      <x:c r="Z482" s="38" t="n">
        <x:v>0.4472</x:v>
      </x:c>
      <x:c r="AA482" s="38" t="n">
        <x:v>0.1849</x:v>
      </x:c>
      <x:c r="AB482" s="38" t="n">
        <x:v>0.0003096</x:v>
      </x:c>
      <x:c r="AC482" s="38" t="n">
        <x:v>1.5774119999999996</x:v>
      </x:c>
      <x:c r="AD482" s="28" t="n">
        <x:v>0.35181064907165865</x:v>
      </x:c>
    </x:row>
    <x:row r="483">
      <x:c r="A483" s="32" t="n">
        <x:v>45824</x:v>
      </x:c>
      <x:c r="B483" s="32" t="n">
        <x:v>45809</x:v>
      </x:c>
      <x:c r="C483" t="str">
        <x:v>Jun 2025</x:v>
      </x:c>
      <x:c r="D483" t="str">
        <x:v>Actual</x:v>
      </x:c>
      <x:c r="E483" t="str">
        <x:v>DB-105</x:v>
      </x:c>
      <x:c r="F483" t="str">
        <x:v>DreamFuel Refill Pack</x:v>
      </x:c>
      <x:c r="G483" t="str">
        <x:v>Subscription</x:v>
      </x:c>
      <x:c r="H483" t="str">
        <x:v>None</x:v>
      </x:c>
      <x:c r="I483" t="str">
        <x:v>Active</x:v>
      </x:c>
      <x:c r="J483" t="str">
        <x:v>Wholesale</x:v>
      </x:c>
      <x:c r="K483" t="str">
        <x:v>Retailer</x:v>
      </x:c>
      <x:c r="L483" t="str">
        <x:v>All Geographies</x:v>
      </x:c>
      <x:c r="M483" s="34" t="n">
        <x:v>1122</x:v>
      </x:c>
      <x:c r="N483" s="28" t="n">
        <x:v>0.021384000000000004</x:v>
      </x:c>
      <x:c r="O483" s="34" t="n">
        <x:v>24</x:v>
      </x:c>
      <x:c r="P483" s="34" t="n">
        <x:v>1</x:v>
      </x:c>
      <x:c r="Q483" s="34" t="n">
        <x:v>24</x:v>
      </x:c>
      <x:c r="R483" s="33" t="n">
        <x:v>56</x:v>
      </x:c>
      <x:c r="S483" s="38" t="n">
        <x:v>1.344</x:v>
      </x:c>
      <x:c r="T483" s="38" t="n">
        <x:v>0.4704</x:v>
      </x:c>
      <x:c r="U483" s="38" t="n">
        <x:v>0.017472000000000005</x:v>
      </x:c>
      <x:c r="V483" s="38" t="n">
        <x:v>0.8561280000000001</x:v>
      </x:c>
      <x:c r="W483" s="38" t="n">
        <x:v>0.44688</x:v>
      </x:c>
      <x:c r="X483" s="38" t="n">
        <x:v>0</x:v>
      </x:c>
      <x:c r="Y483" s="38" t="n">
        <x:v>0</x:v>
      </x:c>
      <x:c r="Z483" s="38" t="n">
        <x:v>0.0552</x:v>
      </x:c>
      <x:c r="AA483" s="38" t="n">
        <x:v>0.020399999999999998</x:v>
      </x:c>
      <x:c r="AB483" s="38" t="n">
        <x:v>0.0000864</x:v>
      </x:c>
      <x:c r="AC483" s="38" t="n">
        <x:v>0.3335616000000002</x:v>
      </x:c>
      <x:c r="AD483" s="28" t="n">
        <x:v>0.3896165059430367</x:v>
      </x:c>
    </x:row>
    <x:row r="484">
      <x:c r="A484" s="32" t="n">
        <x:v>45824</x:v>
      </x:c>
      <x:c r="B484" s="32" t="n">
        <x:v>45809</x:v>
      </x:c>
      <x:c r="C484" t="str">
        <x:v>Jun 2025</x:v>
      </x:c>
      <x:c r="D484" t="str">
        <x:v>Actual</x:v>
      </x:c>
      <x:c r="E484" t="str">
        <x:v>DB-105</x:v>
      </x:c>
      <x:c r="F484" t="str">
        <x:v>DreamFuel Refill Pack</x:v>
      </x:c>
      <x:c r="G484" t="str">
        <x:v>Subscription</x:v>
      </x:c>
      <x:c r="H484" t="str">
        <x:v>None</x:v>
      </x:c>
      <x:c r="I484" t="str">
        <x:v>Active</x:v>
      </x:c>
      <x:c r="J484" t="str">
        <x:v>TikTok Shop</x:v>
      </x:c>
      <x:c r="K484" t="str">
        <x:v>Social Commerce</x:v>
      </x:c>
      <x:c r="L484" t="str">
        <x:v>All Geographies</x:v>
      </x:c>
      <x:c r="M484" s="34" t="n">
        <x:v>748</x:v>
      </x:c>
      <x:c r="N484" s="28" t="n">
        <x:v>0.0489888</x:v>
      </x:c>
      <x:c r="O484" s="34" t="n">
        <x:v>37</x:v>
      </x:c>
      <x:c r="P484" s="34" t="n">
        <x:v>1</x:v>
      </x:c>
      <x:c r="Q484" s="34" t="n">
        <x:v>37</x:v>
      </x:c>
      <x:c r="R484" s="33" t="n">
        <x:v>56</x:v>
      </x:c>
      <x:c r="S484" s="38" t="n">
        <x:v>2.072</x:v>
      </x:c>
      <x:c r="T484" s="38" t="n">
        <x:v>0.24864</x:v>
      </x:c>
      <x:c r="U484" s="38" t="n">
        <x:v>0.036467200000000005</x:v>
      </x:c>
      <x:c r="V484" s="38" t="n">
        <x:v>1.7868928000000002</x:v>
      </x:c>
      <x:c r="W484" s="38" t="n">
        <x:v>0.6889400000000001</x:v>
      </x:c>
      <x:c r="X484" s="38" t="n">
        <x:v>0.05181989120000001</x:v>
      </x:c>
      <x:c r="Y484" s="38" t="n">
        <x:v>0.10721356800000001</x:v>
      </x:c>
      <x:c r="Z484" s="38" t="n">
        <x:v>0.18869999999999998</x:v>
      </x:c>
      <x:c r="AA484" s="38" t="n">
        <x:v>0.06475</x:v>
      </x:c>
      <x:c r="AB484" s="38" t="n">
        <x:v>0.00013319999999999999</x:v>
      </x:c>
      <x:c r="AC484" s="38" t="n">
        <x:v>0.6853361408</x:v>
      </x:c>
      <x:c r="AD484" s="28" t="n">
        <x:v>0.3835351179432812</x:v>
      </x:c>
    </x:row>
    <x:row r="485">
      <x:c r="A485" s="32" t="n">
        <x:v>45831</x:v>
      </x:c>
      <x:c r="B485" s="32" t="n">
        <x:v>45809</x:v>
      </x:c>
      <x:c r="C485" t="str">
        <x:v>Jun 2025</x:v>
      </x:c>
      <x:c r="D485" t="str">
        <x:v>Actual</x:v>
      </x:c>
      <x:c r="E485" t="str">
        <x:v>DB-101</x:v>
      </x:c>
      <x:c r="F485" t="str">
        <x:v>AeroSip Bottle</x:v>
      </x:c>
      <x:c r="G485" t="str">
        <x:v>One-time purchase</x:v>
      </x:c>
      <x:c r="H485" t="str">
        <x:v>None</x:v>
      </x:c>
      <x:c r="I485" t="str">
        <x:v>Active</x:v>
      </x:c>
      <x:c r="J485" t="str">
        <x:v>Shopify DTC</x:v>
      </x:c>
      <x:c r="K485" t="str">
        <x:v>Consumer</x:v>
      </x:c>
      <x:c r="L485" t="str">
        <x:v>All Geographies</x:v>
      </x:c>
      <x:c r="M485" s="34" t="n">
        <x:v>5421</x:v>
      </x:c>
      <x:c r="N485" s="28" t="n">
        <x:v>0.034199999999999994</x:v>
      </x:c>
      <x:c r="O485" s="34" t="n">
        <x:v>185</x:v>
      </x:c>
      <x:c r="P485" s="34" t="n">
        <x:v>1</x:v>
      </x:c>
      <x:c r="Q485" s="34" t="n">
        <x:v>185</x:v>
      </x:c>
      <x:c r="R485" s="33" t="n">
        <x:v>29</x:v>
      </x:c>
      <x:c r="S485" s="38" t="n">
        <x:v>5.365</x:v>
      </x:c>
      <x:c r="T485" s="38" t="n">
        <x:v>0.4292</x:v>
      </x:c>
      <x:c r="U485" s="38" t="n">
        <x:v>0.222111</x:v>
      </x:c>
      <x:c r="V485" s="38" t="n">
        <x:v>4.7136890000000005</x:v>
      </x:c>
      <x:c r="W485" s="38" t="n">
        <x:v>1.9980000000000002</x:v>
      </x:c>
      <x:c r="X485" s="38" t="n">
        <x:v>0.13669698100000002</x:v>
      </x:c>
      <x:c r="Y485" s="38" t="n">
        <x:v>0</x:v>
      </x:c>
      <x:c r="Z485" s="38" t="n">
        <x:v>0.7677500000000002</x:v>
      </x:c>
      <x:c r="AA485" s="38" t="n">
        <x:v>0.30525</x:v>
      </x:c>
      <x:c r="AB485" s="38" t="n">
        <x:v>0.00666</x:v>
      </x:c>
      <x:c r="AC485" s="38" t="n">
        <x:v>1.499332019</x:v>
      </x:c>
      <x:c r="AD485" s="28" t="n">
        <x:v>0.3180803865083165</x:v>
      </x:c>
    </x:row>
    <x:row r="486">
      <x:c r="A486" s="32" t="n">
        <x:v>45831</x:v>
      </x:c>
      <x:c r="B486" s="32" t="n">
        <x:v>45809</x:v>
      </x:c>
      <x:c r="C486" t="str">
        <x:v>Jun 2025</x:v>
      </x:c>
      <x:c r="D486" t="str">
        <x:v>Actual</x:v>
      </x:c>
      <x:c r="E486" t="str">
        <x:v>DB-101</x:v>
      </x:c>
      <x:c r="F486" t="str">
        <x:v>AeroSip Bottle</x:v>
      </x:c>
      <x:c r="G486" t="str">
        <x:v>One-time purchase</x:v>
      </x:c>
      <x:c r="H486" t="str">
        <x:v>None</x:v>
      </x:c>
      <x:c r="I486" t="str">
        <x:v>Active</x:v>
      </x:c>
      <x:c r="J486" t="str">
        <x:v>Amazon Marketplace</x:v>
      </x:c>
      <x:c r="K486" t="str">
        <x:v>Marketplace Consumer</x:v>
      </x:c>
      <x:c r="L486" t="str">
        <x:v>All Geographies</x:v>
      </x:c>
      <x:c r="M486" s="34" t="n">
        <x:v>2711</x:v>
      </x:c>
      <x:c r="N486" s="28" t="n">
        <x:v>0.040355999999999996</x:v>
      </x:c>
      <x:c r="O486" s="34" t="n">
        <x:v>109</x:v>
      </x:c>
      <x:c r="P486" s="34" t="n">
        <x:v>1</x:v>
      </x:c>
      <x:c r="Q486" s="34" t="n">
        <x:v>109</x:v>
      </x:c>
      <x:c r="R486" s="33" t="n">
        <x:v>29</x:v>
      </x:c>
      <x:c r="S486" s="38" t="n">
        <x:v>3.161</x:v>
      </x:c>
      <x:c r="T486" s="38" t="n">
        <x:v>0.15805000000000002</x:v>
      </x:c>
      <x:c r="U486" s="38" t="n">
        <x:v>0.13513275</x:v>
      </x:c>
      <x:c r="V486" s="38" t="n">
        <x:v>2.8678172500000003</x:v>
      </x:c>
      <x:c r="W486" s="38" t="n">
        <x:v>1.1772</x:v>
      </x:c>
      <x:c r="X486" s="38" t="n">
        <x:v>0</x:v>
      </x:c>
      <x:c r="Y486" s="38" t="n">
        <x:v>0.43017258750000004</x:v>
      </x:c>
      <x:c r="Z486" s="38" t="n">
        <x:v>0.5668000000000001</x:v>
      </x:c>
      <x:c r="AA486" s="38" t="n">
        <x:v>0.23435</x:v>
      </x:c>
      <x:c r="AB486" s="38" t="n">
        <x:v>0.003924</x:v>
      </x:c>
      <x:c r="AC486" s="38" t="n">
        <x:v>0.45537066250000025</x:v>
      </x:c>
      <x:c r="AD486" s="28" t="n">
        <x:v>0.15878649955815707</x:v>
      </x:c>
    </x:row>
    <x:row r="487">
      <x:c r="A487" s="32" t="n">
        <x:v>45831</x:v>
      </x:c>
      <x:c r="B487" s="32" t="n">
        <x:v>45809</x:v>
      </x:c>
      <x:c r="C487" t="str">
        <x:v>Jun 2025</x:v>
      </x:c>
      <x:c r="D487" t="str">
        <x:v>Actual</x:v>
      </x:c>
      <x:c r="E487" t="str">
        <x:v>DB-101</x:v>
      </x:c>
      <x:c r="F487" t="str">
        <x:v>AeroSip Bottle</x:v>
      </x:c>
      <x:c r="G487" t="str">
        <x:v>One-time purchase</x:v>
      </x:c>
      <x:c r="H487" t="str">
        <x:v>None</x:v>
      </x:c>
      <x:c r="I487" t="str">
        <x:v>Active</x:v>
      </x:c>
      <x:c r="J487" t="str">
        <x:v>Wholesale</x:v>
      </x:c>
      <x:c r="K487" t="str">
        <x:v>Retailer</x:v>
      </x:c>
      <x:c r="L487" t="str">
        <x:v>All Geographies</x:v>
      </x:c>
      <x:c r="M487" s="34" t="n">
        <x:v>1626</x:v>
      </x:c>
      <x:c r="N487" s="28" t="n">
        <x:v>0.01881</x:v>
      </x:c>
      <x:c r="O487" s="34" t="n">
        <x:v>31</x:v>
      </x:c>
      <x:c r="P487" s="34" t="n">
        <x:v>1</x:v>
      </x:c>
      <x:c r="Q487" s="34" t="n">
        <x:v>31</x:v>
      </x:c>
      <x:c r="R487" s="33" t="n">
        <x:v>29</x:v>
      </x:c>
      <x:c r="S487" s="38" t="n">
        <x:v>0.899</x:v>
      </x:c>
      <x:c r="T487" s="38" t="n">
        <x:v>0.31465</x:v>
      </x:c>
      <x:c r="U487" s="38" t="n">
        <x:v>0.02629575</x:v>
      </x:c>
      <x:c r="V487" s="38" t="n">
        <x:v>0.5580542500000001</x:v>
      </x:c>
      <x:c r="W487" s="38" t="n">
        <x:v>0.3348</x:v>
      </x:c>
      <x:c r="X487" s="38" t="n">
        <x:v>0</x:v>
      </x:c>
      <x:c r="Y487" s="38" t="n">
        <x:v>0</x:v>
      </x:c>
      <x:c r="Z487" s="38" t="n">
        <x:v>0.0713</x:v>
      </x:c>
      <x:c r="AA487" s="38" t="n">
        <x:v>0.02635</x:v>
      </x:c>
      <x:c r="AB487" s="38" t="n">
        <x:v>0.001116</x:v>
      </x:c>
      <x:c r="AC487" s="38" t="n">
        <x:v>0.12448825000000008</x:v>
      </x:c>
      <x:c r="AD487" s="28" t="n">
        <x:v>0.22307553432305202</x:v>
      </x:c>
    </x:row>
    <x:row r="488">
      <x:c r="A488" s="32" t="n">
        <x:v>45831</x:v>
      </x:c>
      <x:c r="B488" s="32" t="n">
        <x:v>45809</x:v>
      </x:c>
      <x:c r="C488" t="str">
        <x:v>Jun 2025</x:v>
      </x:c>
      <x:c r="D488" t="str">
        <x:v>Actual</x:v>
      </x:c>
      <x:c r="E488" t="str">
        <x:v>DB-101</x:v>
      </x:c>
      <x:c r="F488" t="str">
        <x:v>AeroSip Bottle</x:v>
      </x:c>
      <x:c r="G488" t="str">
        <x:v>One-time purchase</x:v>
      </x:c>
      <x:c r="H488" t="str">
        <x:v>None</x:v>
      </x:c>
      <x:c r="I488" t="str">
        <x:v>Active</x:v>
      </x:c>
      <x:c r="J488" t="str">
        <x:v>TikTok Shop</x:v>
      </x:c>
      <x:c r="K488" t="str">
        <x:v>Social Commerce</x:v>
      </x:c>
      <x:c r="L488" t="str">
        <x:v>All Geographies</x:v>
      </x:c>
      <x:c r="M488" s="34" t="n">
        <x:v>1084</x:v>
      </x:c>
      <x:c r="N488" s="28" t="n">
        <x:v>0.043092</x:v>
      </x:c>
      <x:c r="O488" s="34" t="n">
        <x:v>47</x:v>
      </x:c>
      <x:c r="P488" s="34" t="n">
        <x:v>1</x:v>
      </x:c>
      <x:c r="Q488" s="34" t="n">
        <x:v>47</x:v>
      </x:c>
      <x:c r="R488" s="33" t="n">
        <x:v>29</x:v>
      </x:c>
      <x:c r="S488" s="38" t="n">
        <x:v>1.363</x:v>
      </x:c>
      <x:c r="T488" s="38" t="n">
        <x:v>0.16355999999999998</x:v>
      </x:c>
      <x:c r="U488" s="38" t="n">
        <x:v>0.0539748</x:v>
      </x:c>
      <x:c r="V488" s="38" t="n">
        <x:v>1.1454652</x:v>
      </x:c>
      <x:c r="W488" s="38" t="n">
        <x:v>0.5076</x:v>
      </x:c>
      <x:c r="X488" s="38" t="n">
        <x:v>0.03321849080000001</x:v>
      </x:c>
      <x:c r="Y488" s="38" t="n">
        <x:v>0.068727912</x:v>
      </x:c>
      <x:c r="Z488" s="38" t="n">
        <x:v>0.2397</x:v>
      </x:c>
      <x:c r="AA488" s="38" t="n">
        <x:v>0.08225</x:v>
      </x:c>
      <x:c r="AB488" s="38" t="n">
        <x:v>0.0016920000000000001</x:v>
      </x:c>
      <x:c r="AC488" s="38" t="n">
        <x:v>0.2122767971999999</x:v>
      </x:c>
      <x:c r="AD488" s="28" t="n">
        <x:v>0.18531928966501984</x:v>
      </x:c>
    </x:row>
    <x:row r="489">
      <x:c r="A489" s="32" t="n">
        <x:v>45831</x:v>
      </x:c>
      <x:c r="B489" s="32" t="n">
        <x:v>45809</x:v>
      </x:c>
      <x:c r="C489" t="str">
        <x:v>Jun 2025</x:v>
      </x:c>
      <x:c r="D489" t="str">
        <x:v>Actual</x:v>
      </x:c>
      <x:c r="E489" t="str">
        <x:v>DB-102</x:v>
      </x:c>
      <x:c r="F489" t="str">
        <x:v>GlowPatch Balm</x:v>
      </x:c>
      <x:c r="G489" t="str">
        <x:v>Consumable repeat</x:v>
      </x:c>
      <x:c r="H489" t="str">
        <x:v>None</x:v>
      </x:c>
      <x:c r="I489" t="str">
        <x:v>Active</x:v>
      </x:c>
      <x:c r="J489" t="str">
        <x:v>Shopify DTC</x:v>
      </x:c>
      <x:c r="K489" t="str">
        <x:v>Consumer</x:v>
      </x:c>
      <x:c r="L489" t="str">
        <x:v>All Geographies</x:v>
      </x:c>
      <x:c r="M489" s="34" t="n">
        <x:v>4379</x:v>
      </x:c>
      <x:c r="N489" s="28" t="n">
        <x:v>0.04248</x:v>
      </x:c>
      <x:c r="O489" s="34" t="n">
        <x:v>186</x:v>
      </x:c>
      <x:c r="P489" s="34" t="n">
        <x:v>1</x:v>
      </x:c>
      <x:c r="Q489" s="34" t="n">
        <x:v>186</x:v>
      </x:c>
      <x:c r="R489" s="33" t="n">
        <x:v>18</x:v>
      </x:c>
      <x:c r="S489" s="38" t="n">
        <x:v>3.348</x:v>
      </x:c>
      <x:c r="T489" s="38" t="n">
        <x:v>0.26784</x:v>
      </x:c>
      <x:c r="U489" s="38" t="n">
        <x:v>0.077004</x:v>
      </x:c>
      <x:c r="V489" s="38" t="n">
        <x:v>3.0031559999999997</x:v>
      </x:c>
      <x:c r="W489" s="38" t="n">
        <x:v>1.00626</x:v>
      </x:c>
      <x:c r="X489" s="38" t="n">
        <x:v>0.08709152399999999</x:v>
      </x:c>
      <x:c r="Y489" s="38" t="n">
        <x:v>0</x:v>
      </x:c>
      <x:c r="Z489" s="38" t="n">
        <x:v>0.7719000000000001</x:v>
      </x:c>
      <x:c r="AA489" s="38" t="n">
        <x:v>0.30689999999999995</x:v>
      </x:c>
      <x:c r="AB489" s="38" t="n">
        <x:v>0.001116</x:v>
      </x:c>
      <x:c r="AC489" s="38" t="n">
        <x:v>0.8298884759999997</x:v>
      </x:c>
      <x:c r="AD489" s="28" t="n">
        <x:v>0.2763387835996531</x:v>
      </x:c>
    </x:row>
    <x:row r="490">
      <x:c r="A490" s="32" t="n">
        <x:v>45831</x:v>
      </x:c>
      <x:c r="B490" s="32" t="n">
        <x:v>45809</x:v>
      </x:c>
      <x:c r="C490" t="str">
        <x:v>Jun 2025</x:v>
      </x:c>
      <x:c r="D490" t="str">
        <x:v>Actual</x:v>
      </x:c>
      <x:c r="E490" t="str">
        <x:v>DB-102</x:v>
      </x:c>
      <x:c r="F490" t="str">
        <x:v>GlowPatch Balm</x:v>
      </x:c>
      <x:c r="G490" t="str">
        <x:v>Consumable repeat</x:v>
      </x:c>
      <x:c r="H490" t="str">
        <x:v>None</x:v>
      </x:c>
      <x:c r="I490" t="str">
        <x:v>Active</x:v>
      </x:c>
      <x:c r="J490" t="str">
        <x:v>Amazon Marketplace</x:v>
      </x:c>
      <x:c r="K490" t="str">
        <x:v>Marketplace Consumer</x:v>
      </x:c>
      <x:c r="L490" t="str">
        <x:v>All Geographies</x:v>
      </x:c>
      <x:c r="M490" s="34" t="n">
        <x:v>2189</x:v>
      </x:c>
      <x:c r="N490" s="28" t="n">
        <x:v>0.050126399999999995</x:v>
      </x:c>
      <x:c r="O490" s="34" t="n">
        <x:v>110</x:v>
      </x:c>
      <x:c r="P490" s="34" t="n">
        <x:v>1</x:v>
      </x:c>
      <x:c r="Q490" s="34" t="n">
        <x:v>110</x:v>
      </x:c>
      <x:c r="R490" s="33" t="n">
        <x:v>18</x:v>
      </x:c>
      <x:c r="S490" s="38" t="n">
        <x:v>1.98</x:v>
      </x:c>
      <x:c r="T490" s="38" t="n">
        <x:v>0.099</x:v>
      </x:c>
      <x:c r="U490" s="38" t="n">
        <x:v>0.047025000000000004</x:v>
      </x:c>
      <x:c r="V490" s="38" t="n">
        <x:v>1.833975</x:v>
      </x:c>
      <x:c r="W490" s="38" t="n">
        <x:v>0.5951000000000001</x:v>
      </x:c>
      <x:c r="X490" s="38" t="n">
        <x:v>0</x:v>
      </x:c>
      <x:c r="Y490" s="38" t="n">
        <x:v>0.27509625</x:v>
      </x:c>
      <x:c r="Z490" s="38" t="n">
        <x:v>0.572</x:v>
      </x:c>
      <x:c r="AA490" s="38" t="n">
        <x:v>0.2365</x:v>
      </x:c>
      <x:c r="AB490" s="38" t="n">
        <x:v>0.00066</x:v>
      </x:c>
      <x:c r="AC490" s="38" t="n">
        <x:v>0.15461874999999975</x:v>
      </x:c>
      <x:c r="AD490" s="28" t="n">
        <x:v>0.08430799220272892</x:v>
      </x:c>
    </x:row>
    <x:row r="491">
      <x:c r="A491" s="32" t="n">
        <x:v>45831</x:v>
      </x:c>
      <x:c r="B491" s="32" t="n">
        <x:v>45809</x:v>
      </x:c>
      <x:c r="C491" t="str">
        <x:v>Jun 2025</x:v>
      </x:c>
      <x:c r="D491" t="str">
        <x:v>Actual</x:v>
      </x:c>
      <x:c r="E491" t="str">
        <x:v>DB-102</x:v>
      </x:c>
      <x:c r="F491" t="str">
        <x:v>GlowPatch Balm</x:v>
      </x:c>
      <x:c r="G491" t="str">
        <x:v>Consumable repeat</x:v>
      </x:c>
      <x:c r="H491" t="str">
        <x:v>None</x:v>
      </x:c>
      <x:c r="I491" t="str">
        <x:v>Active</x:v>
      </x:c>
      <x:c r="J491" t="str">
        <x:v>Wholesale</x:v>
      </x:c>
      <x:c r="K491" t="str">
        <x:v>Retailer</x:v>
      </x:c>
      <x:c r="L491" t="str">
        <x:v>All Geographies</x:v>
      </x:c>
      <x:c r="M491" s="34" t="n">
        <x:v>1314</x:v>
      </x:c>
      <x:c r="N491" s="28" t="n">
        <x:v>0.023364</x:v>
      </x:c>
      <x:c r="O491" s="34" t="n">
        <x:v>31</x:v>
      </x:c>
      <x:c r="P491" s="34" t="n">
        <x:v>1</x:v>
      </x:c>
      <x:c r="Q491" s="34" t="n">
        <x:v>31</x:v>
      </x:c>
      <x:c r="R491" s="33" t="n">
        <x:v>18</x:v>
      </x:c>
      <x:c r="S491" s="38" t="n">
        <x:v>0.558</x:v>
      </x:c>
      <x:c r="T491" s="38" t="n">
        <x:v>0.1953</x:v>
      </x:c>
      <x:c r="U491" s="38" t="n">
        <x:v>0.009067500000000001</x:v>
      </x:c>
      <x:c r="V491" s="38" t="n">
        <x:v>0.3536325</x:v>
      </x:c>
      <x:c r="W491" s="38" t="n">
        <x:v>0.16771</x:v>
      </x:c>
      <x:c r="X491" s="38" t="n">
        <x:v>0</x:v>
      </x:c>
      <x:c r="Y491" s="38" t="n">
        <x:v>0</x:v>
      </x:c>
      <x:c r="Z491" s="38" t="n">
        <x:v>0.0713</x:v>
      </x:c>
      <x:c r="AA491" s="38" t="n">
        <x:v>0.02635</x:v>
      </x:c>
      <x:c r="AB491" s="38" t="n">
        <x:v>0.000186</x:v>
      </x:c>
      <x:c r="AC491" s="38" t="n">
        <x:v>0.08808650000000001</x:v>
      </x:c>
      <x:c r="AD491" s="28" t="n">
        <x:v>0.2490905106289722</x:v>
      </x:c>
    </x:row>
    <x:row r="492">
      <x:c r="A492" s="32" t="n">
        <x:v>45831</x:v>
      </x:c>
      <x:c r="B492" s="32" t="n">
        <x:v>45809</x:v>
      </x:c>
      <x:c r="C492" t="str">
        <x:v>Jun 2025</x:v>
      </x:c>
      <x:c r="D492" t="str">
        <x:v>Actual</x:v>
      </x:c>
      <x:c r="E492" t="str">
        <x:v>DB-102</x:v>
      </x:c>
      <x:c r="F492" t="str">
        <x:v>GlowPatch Balm</x:v>
      </x:c>
      <x:c r="G492" t="str">
        <x:v>Consumable repeat</x:v>
      </x:c>
      <x:c r="H492" t="str">
        <x:v>None</x:v>
      </x:c>
      <x:c r="I492" t="str">
        <x:v>Active</x:v>
      </x:c>
      <x:c r="J492" t="str">
        <x:v>TikTok Shop</x:v>
      </x:c>
      <x:c r="K492" t="str">
        <x:v>Social Commerce</x:v>
      </x:c>
      <x:c r="L492" t="str">
        <x:v>All Geographies</x:v>
      </x:c>
      <x:c r="M492" s="34" t="n">
        <x:v>876</x:v>
      </x:c>
      <x:c r="N492" s="28" t="n">
        <x:v>0.0535248</x:v>
      </x:c>
      <x:c r="O492" s="34" t="n">
        <x:v>47</x:v>
      </x:c>
      <x:c r="P492" s="34" t="n">
        <x:v>1</x:v>
      </x:c>
      <x:c r="Q492" s="34" t="n">
        <x:v>47</x:v>
      </x:c>
      <x:c r="R492" s="33" t="n">
        <x:v>18</x:v>
      </x:c>
      <x:c r="S492" s="38" t="n">
        <x:v>0.846</x:v>
      </x:c>
      <x:c r="T492" s="38" t="n">
        <x:v>0.10152</x:v>
      </x:c>
      <x:c r="U492" s="38" t="n">
        <x:v>0.018612</x:v>
      </x:c>
      <x:c r="V492" s="38" t="n">
        <x:v>0.7258680000000001</x:v>
      </x:c>
      <x:c r="W492" s="38" t="n">
        <x:v>0.25427</x:v>
      </x:c>
      <x:c r="X492" s="38" t="n">
        <x:v>0.021050172000000002</x:v>
      </x:c>
      <x:c r="Y492" s="38" t="n">
        <x:v>0.04355208</x:v>
      </x:c>
      <x:c r="Z492" s="38" t="n">
        <x:v>0.2397</x:v>
      </x:c>
      <x:c r="AA492" s="38" t="n">
        <x:v>0.08225</x:v>
      </x:c>
      <x:c r="AB492" s="38" t="n">
        <x:v>0.000282</x:v>
      </x:c>
      <x:c r="AC492" s="38" t="n">
        <x:v>0.0847637480000001</x:v>
      </x:c>
      <x:c r="AD492" s="28" t="n">
        <x:v>0.1167757057757059</x:v>
      </x:c>
    </x:row>
    <x:row r="493">
      <x:c r="A493" s="32" t="n">
        <x:v>45831</x:v>
      </x:c>
      <x:c r="B493" s="32" t="n">
        <x:v>45809</x:v>
      </x:c>
      <x:c r="C493" t="str">
        <x:v>Jun 2025</x:v>
      </x:c>
      <x:c r="D493" t="str">
        <x:v>Actual</x:v>
      </x:c>
      <x:c r="E493" t="str">
        <x:v>DB-103</x:v>
      </x:c>
      <x:c r="F493" t="str">
        <x:v>EmberTrail Camp Mug</x:v>
      </x:c>
      <x:c r="G493" t="str">
        <x:v>One-time purchase</x:v>
      </x:c>
      <x:c r="H493" t="str">
        <x:v>Winter peak</x:v>
      </x:c>
      <x:c r="I493" t="str">
        <x:v>Active</x:v>
      </x:c>
      <x:c r="J493" t="str">
        <x:v>Shopify DTC</x:v>
      </x:c>
      <x:c r="K493" t="str">
        <x:v>Consumer</x:v>
      </x:c>
      <x:c r="L493" t="str">
        <x:v>All Geographies</x:v>
      </x:c>
      <x:c r="M493" s="34" t="n">
        <x:v>2815</x:v>
      </x:c>
      <x:c r="N493" s="28" t="n">
        <x:v>0.0324</x:v>
      </x:c>
      <x:c r="O493" s="34" t="n">
        <x:v>91</x:v>
      </x:c>
      <x:c r="P493" s="34" t="n">
        <x:v>1</x:v>
      </x:c>
      <x:c r="Q493" s="34" t="n">
        <x:v>91</x:v>
      </x:c>
      <x:c r="R493" s="33" t="n">
        <x:v>34</x:v>
      </x:c>
      <x:c r="S493" s="38" t="n">
        <x:v>3.094</x:v>
      </x:c>
      <x:c r="T493" s="38" t="n">
        <x:v>0.24752</x:v>
      </x:c>
      <x:c r="U493" s="38" t="n">
        <x:v>0.15655639999999998</x:v>
      </x:c>
      <x:c r="V493" s="38" t="n">
        <x:v>2.6899235999999997</x:v>
      </x:c>
      <x:c r="W493" s="38" t="n">
        <x:v>1.24397</x:v>
      </x:c>
      <x:c r="X493" s="38" t="n">
        <x:v>0.0780077844</x:v>
      </x:c>
      <x:c r="Y493" s="38" t="n">
        <x:v>0</x:v>
      </x:c>
      <x:c r="Z493" s="38" t="n">
        <x:v>0.37765000000000004</x:v>
      </x:c>
      <x:c r="AA493" s="38" t="n">
        <x:v>0.15015</x:v>
      </x:c>
      <x:c r="AB493" s="38" t="n">
        <x:v>0.005096</x:v>
      </x:c>
      <x:c r="AC493" s="38" t="n">
        <x:v>0.8350498155999997</x:v>
      </x:c>
      <x:c r="AD493" s="28" t="n">
        <x:v>0.3104362575948253</x:v>
      </x:c>
    </x:row>
    <x:row r="494">
      <x:c r="A494" s="32" t="n">
        <x:v>45831</x:v>
      </x:c>
      <x:c r="B494" s="32" t="n">
        <x:v>45809</x:v>
      </x:c>
      <x:c r="C494" t="str">
        <x:v>Jun 2025</x:v>
      </x:c>
      <x:c r="D494" t="str">
        <x:v>Actual</x:v>
      </x:c>
      <x:c r="E494" t="str">
        <x:v>DB-103</x:v>
      </x:c>
      <x:c r="F494" t="str">
        <x:v>EmberTrail Camp Mug</x:v>
      </x:c>
      <x:c r="G494" t="str">
        <x:v>One-time purchase</x:v>
      </x:c>
      <x:c r="H494" t="str">
        <x:v>Winter peak</x:v>
      </x:c>
      <x:c r="I494" t="str">
        <x:v>Active</x:v>
      </x:c>
      <x:c r="J494" t="str">
        <x:v>Amazon Marketplace</x:v>
      </x:c>
      <x:c r="K494" t="str">
        <x:v>Marketplace Consumer</x:v>
      </x:c>
      <x:c r="L494" t="str">
        <x:v>All Geographies</x:v>
      </x:c>
      <x:c r="M494" s="34" t="n">
        <x:v>1407</x:v>
      </x:c>
      <x:c r="N494" s="28" t="n">
        <x:v>0.038231999999999995</x:v>
      </x:c>
      <x:c r="O494" s="34" t="n">
        <x:v>54</x:v>
      </x:c>
      <x:c r="P494" s="34" t="n">
        <x:v>1</x:v>
      </x:c>
      <x:c r="Q494" s="34" t="n">
        <x:v>54</x:v>
      </x:c>
      <x:c r="R494" s="33" t="n">
        <x:v>34</x:v>
      </x:c>
      <x:c r="S494" s="38" t="n">
        <x:v>1.836</x:v>
      </x:c>
      <x:c r="T494" s="38" t="n">
        <x:v>0.0918</x:v>
      </x:c>
      <x:c r="U494" s="38" t="n">
        <x:v>0.095931</x:v>
      </x:c>
      <x:c r="V494" s="38" t="n">
        <x:v>1.648269</x:v>
      </x:c>
      <x:c r="W494" s="38" t="n">
        <x:v>0.73818</x:v>
      </x:c>
      <x:c r="X494" s="38" t="n">
        <x:v>0</x:v>
      </x:c>
      <x:c r="Y494" s="38" t="n">
        <x:v>0.24724035</x:v>
      </x:c>
      <x:c r="Z494" s="38" t="n">
        <x:v>0.2808</x:v>
      </x:c>
      <x:c r="AA494" s="38" t="n">
        <x:v>0.1161</x:v>
      </x:c>
      <x:c r="AB494" s="38" t="n">
        <x:v>0.003024</x:v>
      </x:c>
      <x:c r="AC494" s="38" t="n">
        <x:v>0.26292465000000004</x:v>
      </x:c>
      <x:c r="AD494" s="28" t="n">
        <x:v>0.15951561911314235</x:v>
      </x:c>
    </x:row>
    <x:row r="495">
      <x:c r="A495" s="32" t="n">
        <x:v>45831</x:v>
      </x:c>
      <x:c r="B495" s="32" t="n">
        <x:v>45809</x:v>
      </x:c>
      <x:c r="C495" t="str">
        <x:v>Jun 2025</x:v>
      </x:c>
      <x:c r="D495" t="str">
        <x:v>Actual</x:v>
      </x:c>
      <x:c r="E495" t="str">
        <x:v>DB-103</x:v>
      </x:c>
      <x:c r="F495" t="str">
        <x:v>EmberTrail Camp Mug</x:v>
      </x:c>
      <x:c r="G495" t="str">
        <x:v>One-time purchase</x:v>
      </x:c>
      <x:c r="H495" t="str">
        <x:v>Winter peak</x:v>
      </x:c>
      <x:c r="I495" t="str">
        <x:v>Active</x:v>
      </x:c>
      <x:c r="J495" t="str">
        <x:v>Wholesale</x:v>
      </x:c>
      <x:c r="K495" t="str">
        <x:v>Retailer</x:v>
      </x:c>
      <x:c r="L495" t="str">
        <x:v>All Geographies</x:v>
      </x:c>
      <x:c r="M495" s="34" t="n">
        <x:v>844</x:v>
      </x:c>
      <x:c r="N495" s="28" t="n">
        <x:v>0.017820000000000003</x:v>
      </x:c>
      <x:c r="O495" s="34" t="n">
        <x:v>15</x:v>
      </x:c>
      <x:c r="P495" s="34" t="n">
        <x:v>1</x:v>
      </x:c>
      <x:c r="Q495" s="34" t="n">
        <x:v>15</x:v>
      </x:c>
      <x:c r="R495" s="33" t="n">
        <x:v>34</x:v>
      </x:c>
      <x:c r="S495" s="38" t="n">
        <x:v>0.51</x:v>
      </x:c>
      <x:c r="T495" s="38" t="n">
        <x:v>0.1785</x:v>
      </x:c>
      <x:c r="U495" s="38" t="n">
        <x:v>0.018232500000000002</x:v>
      </x:c>
      <x:c r="V495" s="38" t="n">
        <x:v>0.31326750000000003</x:v>
      </x:c>
      <x:c r="W495" s="38" t="n">
        <x:v>0.20505</x:v>
      </x:c>
      <x:c r="X495" s="38" t="n">
        <x:v>0</x:v>
      </x:c>
      <x:c r="Y495" s="38" t="n">
        <x:v>0</x:v>
      </x:c>
      <x:c r="Z495" s="38" t="n">
        <x:v>0.0345</x:v>
      </x:c>
      <x:c r="AA495" s="38" t="n">
        <x:v>0.01275</x:v>
      </x:c>
      <x:c r="AB495" s="38" t="n">
        <x:v>0.0008399999999999999</x:v>
      </x:c>
      <x:c r="AC495" s="38" t="n">
        <x:v>0.06012750000000002</x:v>
      </x:c>
      <x:c r="AD495" s="28" t="n">
        <x:v>0.19193660370130963</x:v>
      </x:c>
    </x:row>
    <x:row r="496">
      <x:c r="A496" s="32" t="n">
        <x:v>45831</x:v>
      </x:c>
      <x:c r="B496" s="32" t="n">
        <x:v>45809</x:v>
      </x:c>
      <x:c r="C496" t="str">
        <x:v>Jun 2025</x:v>
      </x:c>
      <x:c r="D496" t="str">
        <x:v>Actual</x:v>
      </x:c>
      <x:c r="E496" t="str">
        <x:v>DB-103</x:v>
      </x:c>
      <x:c r="F496" t="str">
        <x:v>EmberTrail Camp Mug</x:v>
      </x:c>
      <x:c r="G496" t="str">
        <x:v>One-time purchase</x:v>
      </x:c>
      <x:c r="H496" t="str">
        <x:v>Winter peak</x:v>
      </x:c>
      <x:c r="I496" t="str">
        <x:v>Active</x:v>
      </x:c>
      <x:c r="J496" t="str">
        <x:v>TikTok Shop</x:v>
      </x:c>
      <x:c r="K496" t="str">
        <x:v>Social Commerce</x:v>
      </x:c>
      <x:c r="L496" t="str">
        <x:v>All Geographies</x:v>
      </x:c>
      <x:c r="M496" s="34" t="n">
        <x:v>563</x:v>
      </x:c>
      <x:c r="N496" s="28" t="n">
        <x:v>0.040824</x:v>
      </x:c>
      <x:c r="O496" s="34" t="n">
        <x:v>23</x:v>
      </x:c>
      <x:c r="P496" s="34" t="n">
        <x:v>1</x:v>
      </x:c>
      <x:c r="Q496" s="34" t="n">
        <x:v>23</x:v>
      </x:c>
      <x:c r="R496" s="33" t="n">
        <x:v>34</x:v>
      </x:c>
      <x:c r="S496" s="38" t="n">
        <x:v>0.782</x:v>
      </x:c>
      <x:c r="T496" s="38" t="n">
        <x:v>0.09384</x:v>
      </x:c>
      <x:c r="U496" s="38" t="n">
        <x:v>0.0378488</x:v>
      </x:c>
      <x:c r="V496" s="38" t="n">
        <x:v>0.6503112</x:v>
      </x:c>
      <x:c r="W496" s="38" t="n">
        <x:v>0.31441</x:v>
      </x:c>
      <x:c r="X496" s="38" t="n">
        <x:v>0.0188590248</x:v>
      </x:c>
      <x:c r="Y496" s="38" t="n">
        <x:v>0.039018672</x:v>
      </x:c>
      <x:c r="Z496" s="38" t="n">
        <x:v>0.1173</x:v>
      </x:c>
      <x:c r="AA496" s="38" t="n">
        <x:v>0.04025</x:v>
      </x:c>
      <x:c r="AB496" s="38" t="n">
        <x:v>0.001288</x:v>
      </x:c>
      <x:c r="AC496" s="38" t="n">
        <x:v>0.11918550319999995</x:v>
      </x:c>
      <x:c r="AD496" s="28" t="n">
        <x:v>0.18327456639221337</x:v>
      </x:c>
    </x:row>
    <x:row r="497">
      <x:c r="A497" s="32" t="n">
        <x:v>45831</x:v>
      </x:c>
      <x:c r="B497" s="32" t="n">
        <x:v>45809</x:v>
      </x:c>
      <x:c r="C497" t="str">
        <x:v>Jun 2025</x:v>
      </x:c>
      <x:c r="D497" t="str">
        <x:v>Actual</x:v>
      </x:c>
      <x:c r="E497" t="str">
        <x:v>DB-104</x:v>
      </x:c>
      <x:c r="F497" t="str">
        <x:v>SunNest Cooling Towel</x:v>
      </x:c>
      <x:c r="G497" t="str">
        <x:v>Consumable repeat</x:v>
      </x:c>
      <x:c r="H497" t="str">
        <x:v>Summer peak</x:v>
      </x:c>
      <x:c r="I497" t="str">
        <x:v>Active</x:v>
      </x:c>
      <x:c r="J497" t="str">
        <x:v>Shopify DTC</x:v>
      </x:c>
      <x:c r="K497" t="str">
        <x:v>Consumer</x:v>
      </x:c>
      <x:c r="L497" t="str">
        <x:v>All Geographies</x:v>
      </x:c>
      <x:c r="M497" s="34" t="n">
        <x:v>5140</x:v>
      </x:c>
      <x:c r="N497" s="28" t="n">
        <x:v>0.03312</x:v>
      </x:c>
      <x:c r="O497" s="34" t="n">
        <x:v>170</x:v>
      </x:c>
      <x:c r="P497" s="34" t="n">
        <x:v>1</x:v>
      </x:c>
      <x:c r="Q497" s="34" t="n">
        <x:v>170</x:v>
      </x:c>
      <x:c r="R497" s="33" t="n">
        <x:v>42</x:v>
      </x:c>
      <x:c r="S497" s="38" t="n">
        <x:v>7.14</x:v>
      </x:c>
      <x:c r="T497" s="38" t="n">
        <x:v>0.5712</x:v>
      </x:c>
      <x:c r="U497" s="38" t="n">
        <x:v>0.32844</x:v>
      </x:c>
      <x:c r="V497" s="38" t="n">
        <x:v>6.24036</x:v>
      </x:c>
      <x:c r="W497" s="38" t="n">
        <x:v>2.5585</x:v>
      </x:c>
      <x:c r="X497" s="38" t="n">
        <x:v>0.18097044</x:v>
      </x:c>
      <x:c r="Y497" s="38" t="n">
        <x:v>0</x:v>
      </x:c>
      <x:c r="Z497" s="38" t="n">
        <x:v>0.7055000000000001</x:v>
      </x:c>
      <x:c r="AA497" s="38" t="n">
        <x:v>0.2805</x:v>
      </x:c>
      <x:c r="AB497" s="38" t="n">
        <x:v>0.0047599999999999995</x:v>
      </x:c>
      <x:c r="AC497" s="38" t="n">
        <x:v>2.5101295599999998</x:v>
      </x:c>
      <x:c r="AD497" s="28" t="n">
        <x:v>0.4022411463441211</x:v>
      </x:c>
    </x:row>
    <x:row r="498">
      <x:c r="A498" s="32" t="n">
        <x:v>45831</x:v>
      </x:c>
      <x:c r="B498" s="32" t="n">
        <x:v>45809</x:v>
      </x:c>
      <x:c r="C498" t="str">
        <x:v>Jun 2025</x:v>
      </x:c>
      <x:c r="D498" t="str">
        <x:v>Actual</x:v>
      </x:c>
      <x:c r="E498" t="str">
        <x:v>DB-104</x:v>
      </x:c>
      <x:c r="F498" t="str">
        <x:v>SunNest Cooling Towel</x:v>
      </x:c>
      <x:c r="G498" t="str">
        <x:v>Consumable repeat</x:v>
      </x:c>
      <x:c r="H498" t="str">
        <x:v>Summer peak</x:v>
      </x:c>
      <x:c r="I498" t="str">
        <x:v>Active</x:v>
      </x:c>
      <x:c r="J498" t="str">
        <x:v>Amazon Marketplace</x:v>
      </x:c>
      <x:c r="K498" t="str">
        <x:v>Marketplace Consumer</x:v>
      </x:c>
      <x:c r="L498" t="str">
        <x:v>All Geographies</x:v>
      </x:c>
      <x:c r="M498" s="34" t="n">
        <x:v>2570</x:v>
      </x:c>
      <x:c r="N498" s="28" t="n">
        <x:v>0.0390816</x:v>
      </x:c>
      <x:c r="O498" s="34" t="n">
        <x:v>100</x:v>
      </x:c>
      <x:c r="P498" s="34" t="n">
        <x:v>1</x:v>
      </x:c>
      <x:c r="Q498" s="34" t="n">
        <x:v>100</x:v>
      </x:c>
      <x:c r="R498" s="33" t="n">
        <x:v>42</x:v>
      </x:c>
      <x:c r="S498" s="38" t="n">
        <x:v>4.2</x:v>
      </x:c>
      <x:c r="T498" s="38" t="n">
        <x:v>0.21000000000000002</x:v>
      </x:c>
      <x:c r="U498" s="38" t="n">
        <x:v>0.1995</x:v>
      </x:c>
      <x:c r="V498" s="38" t="n">
        <x:v>3.7905</x:v>
      </x:c>
      <x:c r="W498" s="38" t="n">
        <x:v>1.505</x:v>
      </x:c>
      <x:c r="X498" s="38" t="n">
        <x:v>0</x:v>
      </x:c>
      <x:c r="Y498" s="38" t="n">
        <x:v>0.568575</x:v>
      </x:c>
      <x:c r="Z498" s="38" t="n">
        <x:v>0.52</x:v>
      </x:c>
      <x:c r="AA498" s="38" t="n">
        <x:v>0.215</x:v>
      </x:c>
      <x:c r="AB498" s="38" t="n">
        <x:v>0.0028</x:v>
      </x:c>
      <x:c r="AC498" s="38" t="n">
        <x:v>0.9791250000000002</x:v>
      </x:c>
      <x:c r="AD498" s="28" t="n">
        <x:v>0.25831024930747926</x:v>
      </x:c>
    </x:row>
    <x:row r="499">
      <x:c r="A499" s="32" t="n">
        <x:v>45831</x:v>
      </x:c>
      <x:c r="B499" s="32" t="n">
        <x:v>45809</x:v>
      </x:c>
      <x:c r="C499" t="str">
        <x:v>Jun 2025</x:v>
      </x:c>
      <x:c r="D499" t="str">
        <x:v>Actual</x:v>
      </x:c>
      <x:c r="E499" t="str">
        <x:v>DB-104</x:v>
      </x:c>
      <x:c r="F499" t="str">
        <x:v>SunNest Cooling Towel</x:v>
      </x:c>
      <x:c r="G499" t="str">
        <x:v>Consumable repeat</x:v>
      </x:c>
      <x:c r="H499" t="str">
        <x:v>Summer peak</x:v>
      </x:c>
      <x:c r="I499" t="str">
        <x:v>Active</x:v>
      </x:c>
      <x:c r="J499" t="str">
        <x:v>Wholesale</x:v>
      </x:c>
      <x:c r="K499" t="str">
        <x:v>Retailer</x:v>
      </x:c>
      <x:c r="L499" t="str">
        <x:v>All Geographies</x:v>
      </x:c>
      <x:c r="M499" s="34" t="n">
        <x:v>1542</x:v>
      </x:c>
      <x:c r="N499" s="28" t="n">
        <x:v>0.018216000000000003</x:v>
      </x:c>
      <x:c r="O499" s="34" t="n">
        <x:v>28</x:v>
      </x:c>
      <x:c r="P499" s="34" t="n">
        <x:v>1</x:v>
      </x:c>
      <x:c r="Q499" s="34" t="n">
        <x:v>28</x:v>
      </x:c>
      <x:c r="R499" s="33" t="n">
        <x:v>42</x:v>
      </x:c>
      <x:c r="S499" s="38" t="n">
        <x:v>1.176</x:v>
      </x:c>
      <x:c r="T499" s="38" t="n">
        <x:v>0.41159999999999997</x:v>
      </x:c>
      <x:c r="U499" s="38" t="n">
        <x:v>0.038220000000000004</x:v>
      </x:c>
      <x:c r="V499" s="38" t="n">
        <x:v>0.7261799999999999</x:v>
      </x:c>
      <x:c r="W499" s="38" t="n">
        <x:v>0.42140000000000005</x:v>
      </x:c>
      <x:c r="X499" s="38" t="n">
        <x:v>0</x:v>
      </x:c>
      <x:c r="Y499" s="38" t="n">
        <x:v>0</x:v>
      </x:c>
      <x:c r="Z499" s="38" t="n">
        <x:v>0.06439999999999999</x:v>
      </x:c>
      <x:c r="AA499" s="38" t="n">
        <x:v>0.0238</x:v>
      </x:c>
      <x:c r="AB499" s="38" t="n">
        <x:v>0.0007840000000000001</x:v>
      </x:c>
      <x:c r="AC499" s="38" t="n">
        <x:v>0.21579599999999988</x:v>
      </x:c>
      <x:c r="AD499" s="28" t="n">
        <x:v>0.2971659919028339</x:v>
      </x:c>
    </x:row>
    <x:row r="500">
      <x:c r="A500" s="32" t="n">
        <x:v>45831</x:v>
      </x:c>
      <x:c r="B500" s="32" t="n">
        <x:v>45809</x:v>
      </x:c>
      <x:c r="C500" t="str">
        <x:v>Jun 2025</x:v>
      </x:c>
      <x:c r="D500" t="str">
        <x:v>Actual</x:v>
      </x:c>
      <x:c r="E500" t="str">
        <x:v>DB-104</x:v>
      </x:c>
      <x:c r="F500" t="str">
        <x:v>SunNest Cooling Towel</x:v>
      </x:c>
      <x:c r="G500" t="str">
        <x:v>Consumable repeat</x:v>
      </x:c>
      <x:c r="H500" t="str">
        <x:v>Summer peak</x:v>
      </x:c>
      <x:c r="I500" t="str">
        <x:v>Active</x:v>
      </x:c>
      <x:c r="J500" t="str">
        <x:v>TikTok Shop</x:v>
      </x:c>
      <x:c r="K500" t="str">
        <x:v>Social Commerce</x:v>
      </x:c>
      <x:c r="L500" t="str">
        <x:v>All Geographies</x:v>
      </x:c>
      <x:c r="M500" s="34" t="n">
        <x:v>1028</x:v>
      </x:c>
      <x:c r="N500" s="28" t="n">
        <x:v>0.0417312</x:v>
      </x:c>
      <x:c r="O500" s="34" t="n">
        <x:v>43</x:v>
      </x:c>
      <x:c r="P500" s="34" t="n">
        <x:v>1</x:v>
      </x:c>
      <x:c r="Q500" s="34" t="n">
        <x:v>43</x:v>
      </x:c>
      <x:c r="R500" s="33" t="n">
        <x:v>42</x:v>
      </x:c>
      <x:c r="S500" s="38" t="n">
        <x:v>1.806</x:v>
      </x:c>
      <x:c r="T500" s="38" t="n">
        <x:v>0.21672</x:v>
      </x:c>
      <x:c r="U500" s="38" t="n">
        <x:v>0.079464</x:v>
      </x:c>
      <x:c r="V500" s="38" t="n">
        <x:v>1.509816</x:v>
      </x:c>
      <x:c r="W500" s="38" t="n">
        <x:v>0.64715</x:v>
      </x:c>
      <x:c r="X500" s="38" t="n">
        <x:v>0.043784664</x:v>
      </x:c>
      <x:c r="Y500" s="38" t="n">
        <x:v>0.09058896</x:v>
      </x:c>
      <x:c r="Z500" s="38" t="n">
        <x:v>0.2193</x:v>
      </x:c>
      <x:c r="AA500" s="38" t="n">
        <x:v>0.07525</x:v>
      </x:c>
      <x:c r="AB500" s="38" t="n">
        <x:v>0.001204</x:v>
      </x:c>
      <x:c r="AC500" s="38" t="n">
        <x:v>0.43253837599999995</x:v>
      </x:c>
      <x:c r="AD500" s="28" t="n">
        <x:v>0.2864841649578491</x:v>
      </x:c>
    </x:row>
    <x:row r="501">
      <x:c r="A501" s="32" t="n">
        <x:v>45831</x:v>
      </x:c>
      <x:c r="B501" s="32" t="n">
        <x:v>45809</x:v>
      </x:c>
      <x:c r="C501" t="str">
        <x:v>Jun 2025</x:v>
      </x:c>
      <x:c r="D501" t="str">
        <x:v>Actual</x:v>
      </x:c>
      <x:c r="E501" t="str">
        <x:v>DB-105</x:v>
      </x:c>
      <x:c r="F501" t="str">
        <x:v>DreamFuel Refill Pack</x:v>
      </x:c>
      <x:c r="G501" t="str">
        <x:v>Subscription</x:v>
      </x:c>
      <x:c r="H501" t="str">
        <x:v>None</x:v>
      </x:c>
      <x:c r="I501" t="str">
        <x:v>Active</x:v>
      </x:c>
      <x:c r="J501" t="str">
        <x:v>Shopify DTC</x:v>
      </x:c>
      <x:c r="K501" t="str">
        <x:v>Consumer</x:v>
      </x:c>
      <x:c r="L501" t="str">
        <x:v>All Geographies</x:v>
      </x:c>
      <x:c r="M501" s="34" t="n">
        <x:v>3753</x:v>
      </x:c>
      <x:c r="N501" s="28" t="n">
        <x:v>0.03888</x:v>
      </x:c>
      <x:c r="O501" s="34" t="n">
        <x:v>146</x:v>
      </x:c>
      <x:c r="P501" s="34" t="n">
        <x:v>1</x:v>
      </x:c>
      <x:c r="Q501" s="34" t="n">
        <x:v>146</x:v>
      </x:c>
      <x:c r="R501" s="33" t="n">
        <x:v>56</x:v>
      </x:c>
      <x:c r="S501" s="38" t="n">
        <x:v>8.176</x:v>
      </x:c>
      <x:c r="T501" s="38" t="n">
        <x:v>0.65408</x:v>
      </x:c>
      <x:c r="U501" s="38" t="n">
        <x:v>0.1504384</x:v>
      </x:c>
      <x:c r="V501" s="38" t="n">
        <x:v>7.3714816</x:v>
      </x:c>
      <x:c r="W501" s="38" t="n">
        <x:v>2.71852</x:v>
      </x:c>
      <x:c r="X501" s="38" t="n">
        <x:v>0.21377296640000001</x:v>
      </x:c>
      <x:c r="Y501" s="38" t="n">
        <x:v>0</x:v>
      </x:c>
      <x:c r="Z501" s="38" t="n">
        <x:v>0.6059000000000001</x:v>
      </x:c>
      <x:c r="AA501" s="38" t="n">
        <x:v>0.24089999999999998</x:v>
      </x:c>
      <x:c r="AB501" s="38" t="n">
        <x:v>0.0005256</x:v>
      </x:c>
      <x:c r="AC501" s="38" t="n">
        <x:v>3.5918630336000006</x:v>
      </x:c>
      <x:c r="AD501" s="28" t="n">
        <x:v>0.48726473570794787</x:v>
      </x:c>
    </x:row>
    <x:row r="502">
      <x:c r="A502" s="32" t="n">
        <x:v>45831</x:v>
      </x:c>
      <x:c r="B502" s="32" t="n">
        <x:v>45809</x:v>
      </x:c>
      <x:c r="C502" t="str">
        <x:v>Jun 2025</x:v>
      </x:c>
      <x:c r="D502" t="str">
        <x:v>Actual</x:v>
      </x:c>
      <x:c r="E502" t="str">
        <x:v>DB-105</x:v>
      </x:c>
      <x:c r="F502" t="str">
        <x:v>DreamFuel Refill Pack</x:v>
      </x:c>
      <x:c r="G502" t="str">
        <x:v>Subscription</x:v>
      </x:c>
      <x:c r="H502" t="str">
        <x:v>None</x:v>
      </x:c>
      <x:c r="I502" t="str">
        <x:v>Active</x:v>
      </x:c>
      <x:c r="J502" t="str">
        <x:v>Amazon Marketplace</x:v>
      </x:c>
      <x:c r="K502" t="str">
        <x:v>Marketplace Consumer</x:v>
      </x:c>
      <x:c r="L502" t="str">
        <x:v>All Geographies</x:v>
      </x:c>
      <x:c r="M502" s="34" t="n">
        <x:v>1877</x:v>
      </x:c>
      <x:c r="N502" s="28" t="n">
        <x:v>0.0458784</x:v>
      </x:c>
      <x:c r="O502" s="34" t="n">
        <x:v>86</x:v>
      </x:c>
      <x:c r="P502" s="34" t="n">
        <x:v>1</x:v>
      </x:c>
      <x:c r="Q502" s="34" t="n">
        <x:v>86</x:v>
      </x:c>
      <x:c r="R502" s="33" t="n">
        <x:v>56</x:v>
      </x:c>
      <x:c r="S502" s="38" t="n">
        <x:v>4.816</x:v>
      </x:c>
      <x:c r="T502" s="38" t="n">
        <x:v>0.24080000000000001</x:v>
      </x:c>
      <x:c r="U502" s="38" t="n">
        <x:v>0.091504</x:v>
      </x:c>
      <x:c r="V502" s="38" t="n">
        <x:v>4.483696</x:v>
      </x:c>
      <x:c r="W502" s="38" t="n">
        <x:v>1.60132</x:v>
      </x:c>
      <x:c r="X502" s="38" t="n">
        <x:v>0</x:v>
      </x:c>
      <x:c r="Y502" s="38" t="n">
        <x:v>0.6725544</x:v>
      </x:c>
      <x:c r="Z502" s="38" t="n">
        <x:v>0.4472</x:v>
      </x:c>
      <x:c r="AA502" s="38" t="n">
        <x:v>0.1849</x:v>
      </x:c>
      <x:c r="AB502" s="38" t="n">
        <x:v>0.0003096</x:v>
      </x:c>
      <x:c r="AC502" s="38" t="n">
        <x:v>1.5774119999999996</x:v>
      </x:c>
      <x:c r="AD502" s="28" t="n">
        <x:v>0.35181064907165865</x:v>
      </x:c>
    </x:row>
    <x:row r="503">
      <x:c r="A503" s="32" t="n">
        <x:v>45831</x:v>
      </x:c>
      <x:c r="B503" s="32" t="n">
        <x:v>45809</x:v>
      </x:c>
      <x:c r="C503" t="str">
        <x:v>Jun 2025</x:v>
      </x:c>
      <x:c r="D503" t="str">
        <x:v>Actual</x:v>
      </x:c>
      <x:c r="E503" t="str">
        <x:v>DB-105</x:v>
      </x:c>
      <x:c r="F503" t="str">
        <x:v>DreamFuel Refill Pack</x:v>
      </x:c>
      <x:c r="G503" t="str">
        <x:v>Subscription</x:v>
      </x:c>
      <x:c r="H503" t="str">
        <x:v>None</x:v>
      </x:c>
      <x:c r="I503" t="str">
        <x:v>Active</x:v>
      </x:c>
      <x:c r="J503" t="str">
        <x:v>Wholesale</x:v>
      </x:c>
      <x:c r="K503" t="str">
        <x:v>Retailer</x:v>
      </x:c>
      <x:c r="L503" t="str">
        <x:v>All Geographies</x:v>
      </x:c>
      <x:c r="M503" s="34" t="n">
        <x:v>1126</x:v>
      </x:c>
      <x:c r="N503" s="28" t="n">
        <x:v>0.021384000000000004</x:v>
      </x:c>
      <x:c r="O503" s="34" t="n">
        <x:v>24</x:v>
      </x:c>
      <x:c r="P503" s="34" t="n">
        <x:v>1</x:v>
      </x:c>
      <x:c r="Q503" s="34" t="n">
        <x:v>24</x:v>
      </x:c>
      <x:c r="R503" s="33" t="n">
        <x:v>56</x:v>
      </x:c>
      <x:c r="S503" s="38" t="n">
        <x:v>1.344</x:v>
      </x:c>
      <x:c r="T503" s="38" t="n">
        <x:v>0.4704</x:v>
      </x:c>
      <x:c r="U503" s="38" t="n">
        <x:v>0.017472000000000005</x:v>
      </x:c>
      <x:c r="V503" s="38" t="n">
        <x:v>0.8561280000000001</x:v>
      </x:c>
      <x:c r="W503" s="38" t="n">
        <x:v>0.44688</x:v>
      </x:c>
      <x:c r="X503" s="38" t="n">
        <x:v>0</x:v>
      </x:c>
      <x:c r="Y503" s="38" t="n">
        <x:v>0</x:v>
      </x:c>
      <x:c r="Z503" s="38" t="n">
        <x:v>0.0552</x:v>
      </x:c>
      <x:c r="AA503" s="38" t="n">
        <x:v>0.020399999999999998</x:v>
      </x:c>
      <x:c r="AB503" s="38" t="n">
        <x:v>0.0000864</x:v>
      </x:c>
      <x:c r="AC503" s="38" t="n">
        <x:v>0.3335616000000002</x:v>
      </x:c>
      <x:c r="AD503" s="28" t="n">
        <x:v>0.3896165059430367</x:v>
      </x:c>
    </x:row>
    <x:row r="504">
      <x:c r="A504" s="32" t="n">
        <x:v>45831</x:v>
      </x:c>
      <x:c r="B504" s="32" t="n">
        <x:v>45809</x:v>
      </x:c>
      <x:c r="C504" t="str">
        <x:v>Jun 2025</x:v>
      </x:c>
      <x:c r="D504" t="str">
        <x:v>Actual</x:v>
      </x:c>
      <x:c r="E504" t="str">
        <x:v>DB-105</x:v>
      </x:c>
      <x:c r="F504" t="str">
        <x:v>DreamFuel Refill Pack</x:v>
      </x:c>
      <x:c r="G504" t="str">
        <x:v>Subscription</x:v>
      </x:c>
      <x:c r="H504" t="str">
        <x:v>None</x:v>
      </x:c>
      <x:c r="I504" t="str">
        <x:v>Active</x:v>
      </x:c>
      <x:c r="J504" t="str">
        <x:v>TikTok Shop</x:v>
      </x:c>
      <x:c r="K504" t="str">
        <x:v>Social Commerce</x:v>
      </x:c>
      <x:c r="L504" t="str">
        <x:v>All Geographies</x:v>
      </x:c>
      <x:c r="M504" s="34" t="n">
        <x:v>751</x:v>
      </x:c>
      <x:c r="N504" s="28" t="n">
        <x:v>0.0489888</x:v>
      </x:c>
      <x:c r="O504" s="34" t="n">
        <x:v>37</x:v>
      </x:c>
      <x:c r="P504" s="34" t="n">
        <x:v>1</x:v>
      </x:c>
      <x:c r="Q504" s="34" t="n">
        <x:v>37</x:v>
      </x:c>
      <x:c r="R504" s="33" t="n">
        <x:v>56</x:v>
      </x:c>
      <x:c r="S504" s="38" t="n">
        <x:v>2.072</x:v>
      </x:c>
      <x:c r="T504" s="38" t="n">
        <x:v>0.24864</x:v>
      </x:c>
      <x:c r="U504" s="38" t="n">
        <x:v>0.036467200000000005</x:v>
      </x:c>
      <x:c r="V504" s="38" t="n">
        <x:v>1.7868928000000002</x:v>
      </x:c>
      <x:c r="W504" s="38" t="n">
        <x:v>0.6889400000000001</x:v>
      </x:c>
      <x:c r="X504" s="38" t="n">
        <x:v>0.05181989120000001</x:v>
      </x:c>
      <x:c r="Y504" s="38" t="n">
        <x:v>0.10721356800000001</x:v>
      </x:c>
      <x:c r="Z504" s="38" t="n">
        <x:v>0.18869999999999998</x:v>
      </x:c>
      <x:c r="AA504" s="38" t="n">
        <x:v>0.06475</x:v>
      </x:c>
      <x:c r="AB504" s="38" t="n">
        <x:v>0.00013319999999999999</x:v>
      </x:c>
      <x:c r="AC504" s="38" t="n">
        <x:v>0.6853361408</x:v>
      </x:c>
      <x:c r="AD504" s="28" t="n">
        <x:v>0.3835351179432812</x:v>
      </x:c>
    </x:row>
    <x:row r="505">
      <x:c r="A505" s="32" t="n">
        <x:v>45838</x:v>
      </x:c>
      <x:c r="B505" s="32" t="n">
        <x:v>45809</x:v>
      </x:c>
      <x:c r="C505" t="str">
        <x:v>Jun 2025</x:v>
      </x:c>
      <x:c r="D505" t="str">
        <x:v>Actual</x:v>
      </x:c>
      <x:c r="E505" t="str">
        <x:v>DB-101</x:v>
      </x:c>
      <x:c r="F505" t="str">
        <x:v>AeroSip Bottle</x:v>
      </x:c>
      <x:c r="G505" t="str">
        <x:v>One-time purchase</x:v>
      </x:c>
      <x:c r="H505" t="str">
        <x:v>None</x:v>
      </x:c>
      <x:c r="I505" t="str">
        <x:v>Active</x:v>
      </x:c>
      <x:c r="J505" t="str">
        <x:v>Shopify DTC</x:v>
      </x:c>
      <x:c r="K505" t="str">
        <x:v>Consumer</x:v>
      </x:c>
      <x:c r="L505" t="str">
        <x:v>All Geographies</x:v>
      </x:c>
      <x:c r="M505" s="34" t="n">
        <x:v>5442</x:v>
      </x:c>
      <x:c r="N505" s="28" t="n">
        <x:v>0.034199999999999994</x:v>
      </x:c>
      <x:c r="O505" s="34" t="n">
        <x:v>186</x:v>
      </x:c>
      <x:c r="P505" s="34" t="n">
        <x:v>1</x:v>
      </x:c>
      <x:c r="Q505" s="34" t="n">
        <x:v>186</x:v>
      </x:c>
      <x:c r="R505" s="33" t="n">
        <x:v>29</x:v>
      </x:c>
      <x:c r="S505" s="38" t="n">
        <x:v>5.394</x:v>
      </x:c>
      <x:c r="T505" s="38" t="n">
        <x:v>0.43152</x:v>
      </x:c>
      <x:c r="U505" s="38" t="n">
        <x:v>0.2233116</x:v>
      </x:c>
      <x:c r="V505" s="38" t="n">
        <x:v>4.7391684000000005</x:v>
      </x:c>
      <x:c r="W505" s="38" t="n">
        <x:v>2.0088000000000004</x:v>
      </x:c>
      <x:c r="X505" s="38" t="n">
        <x:v>0.13743588360000003</x:v>
      </x:c>
      <x:c r="Y505" s="38" t="n">
        <x:v>0</x:v>
      </x:c>
      <x:c r="Z505" s="38" t="n">
        <x:v>0.7719000000000001</x:v>
      </x:c>
      <x:c r="AA505" s="38" t="n">
        <x:v>0.30689999999999995</x:v>
      </x:c>
      <x:c r="AB505" s="38" t="n">
        <x:v>0.0066960000000000006</x:v>
      </x:c>
      <x:c r="AC505" s="38" t="n">
        <x:v>1.5074365164000003</x:v>
      </x:c>
      <x:c r="AD505" s="28" t="n">
        <x:v>0.31808038650831655</x:v>
      </x:c>
    </x:row>
    <x:row r="506">
      <x:c r="A506" s="32" t="n">
        <x:v>45838</x:v>
      </x:c>
      <x:c r="B506" s="32" t="n">
        <x:v>45809</x:v>
      </x:c>
      <x:c r="C506" t="str">
        <x:v>Jun 2025</x:v>
      </x:c>
      <x:c r="D506" t="str">
        <x:v>Actual</x:v>
      </x:c>
      <x:c r="E506" t="str">
        <x:v>DB-101</x:v>
      </x:c>
      <x:c r="F506" t="str">
        <x:v>AeroSip Bottle</x:v>
      </x:c>
      <x:c r="G506" t="str">
        <x:v>One-time purchase</x:v>
      </x:c>
      <x:c r="H506" t="str">
        <x:v>None</x:v>
      </x:c>
      <x:c r="I506" t="str">
        <x:v>Active</x:v>
      </x:c>
      <x:c r="J506" t="str">
        <x:v>Amazon Marketplace</x:v>
      </x:c>
      <x:c r="K506" t="str">
        <x:v>Marketplace Consumer</x:v>
      </x:c>
      <x:c r="L506" t="str">
        <x:v>All Geographies</x:v>
      </x:c>
      <x:c r="M506" s="34" t="n">
        <x:v>2721</x:v>
      </x:c>
      <x:c r="N506" s="28" t="n">
        <x:v>0.040355999999999996</x:v>
      </x:c>
      <x:c r="O506" s="34" t="n">
        <x:v>110</x:v>
      </x:c>
      <x:c r="P506" s="34" t="n">
        <x:v>1</x:v>
      </x:c>
      <x:c r="Q506" s="34" t="n">
        <x:v>110</x:v>
      </x:c>
      <x:c r="R506" s="33" t="n">
        <x:v>29</x:v>
      </x:c>
      <x:c r="S506" s="38" t="n">
        <x:v>3.19</x:v>
      </x:c>
      <x:c r="T506" s="38" t="n">
        <x:v>0.1595</x:v>
      </x:c>
      <x:c r="U506" s="38" t="n">
        <x:v>0.13637249999999998</x:v>
      </x:c>
      <x:c r="V506" s="38" t="n">
        <x:v>2.8941275</x:v>
      </x:c>
      <x:c r="W506" s="38" t="n">
        <x:v>1.188</x:v>
      </x:c>
      <x:c r="X506" s="38" t="n">
        <x:v>0</x:v>
      </x:c>
      <x:c r="Y506" s="38" t="n">
        <x:v>0.434119125</x:v>
      </x:c>
      <x:c r="Z506" s="38" t="n">
        <x:v>0.572</x:v>
      </x:c>
      <x:c r="AA506" s="38" t="n">
        <x:v>0.2365</x:v>
      </x:c>
      <x:c r="AB506" s="38" t="n">
        <x:v>0.00396</x:v>
      </x:c>
      <x:c r="AC506" s="38" t="n">
        <x:v>0.45954837500000023</x:v>
      </x:c>
      <x:c r="AD506" s="28" t="n">
        <x:v>0.15878649955815707</x:v>
      </x:c>
    </x:row>
    <x:row r="507">
      <x:c r="A507" s="32" t="n">
        <x:v>45838</x:v>
      </x:c>
      <x:c r="B507" s="32" t="n">
        <x:v>45809</x:v>
      </x:c>
      <x:c r="C507" t="str">
        <x:v>Jun 2025</x:v>
      </x:c>
      <x:c r="D507" t="str">
        <x:v>Actual</x:v>
      </x:c>
      <x:c r="E507" t="str">
        <x:v>DB-101</x:v>
      </x:c>
      <x:c r="F507" t="str">
        <x:v>AeroSip Bottle</x:v>
      </x:c>
      <x:c r="G507" t="str">
        <x:v>One-time purchase</x:v>
      </x:c>
      <x:c r="H507" t="str">
        <x:v>None</x:v>
      </x:c>
      <x:c r="I507" t="str">
        <x:v>Active</x:v>
      </x:c>
      <x:c r="J507" t="str">
        <x:v>Wholesale</x:v>
      </x:c>
      <x:c r="K507" t="str">
        <x:v>Retailer</x:v>
      </x:c>
      <x:c r="L507" t="str">
        <x:v>All Geographies</x:v>
      </x:c>
      <x:c r="M507" s="34" t="n">
        <x:v>1633</x:v>
      </x:c>
      <x:c r="N507" s="28" t="n">
        <x:v>0.01881</x:v>
      </x:c>
      <x:c r="O507" s="34" t="n">
        <x:v>31</x:v>
      </x:c>
      <x:c r="P507" s="34" t="n">
        <x:v>1</x:v>
      </x:c>
      <x:c r="Q507" s="34" t="n">
        <x:v>31</x:v>
      </x:c>
      <x:c r="R507" s="33" t="n">
        <x:v>29</x:v>
      </x:c>
      <x:c r="S507" s="38" t="n">
        <x:v>0.899</x:v>
      </x:c>
      <x:c r="T507" s="38" t="n">
        <x:v>0.31465</x:v>
      </x:c>
      <x:c r="U507" s="38" t="n">
        <x:v>0.02629575</x:v>
      </x:c>
      <x:c r="V507" s="38" t="n">
        <x:v>0.5580542500000001</x:v>
      </x:c>
      <x:c r="W507" s="38" t="n">
        <x:v>0.3348</x:v>
      </x:c>
      <x:c r="X507" s="38" t="n">
        <x:v>0</x:v>
      </x:c>
      <x:c r="Y507" s="38" t="n">
        <x:v>0</x:v>
      </x:c>
      <x:c r="Z507" s="38" t="n">
        <x:v>0.0713</x:v>
      </x:c>
      <x:c r="AA507" s="38" t="n">
        <x:v>0.02635</x:v>
      </x:c>
      <x:c r="AB507" s="38" t="n">
        <x:v>0.001116</x:v>
      </x:c>
      <x:c r="AC507" s="38" t="n">
        <x:v>0.12448825000000008</x:v>
      </x:c>
      <x:c r="AD507" s="28" t="n">
        <x:v>0.22307553432305202</x:v>
      </x:c>
    </x:row>
    <x:row r="508">
      <x:c r="A508" s="32" t="n">
        <x:v>45838</x:v>
      </x:c>
      <x:c r="B508" s="32" t="n">
        <x:v>45809</x:v>
      </x:c>
      <x:c r="C508" t="str">
        <x:v>Jun 2025</x:v>
      </x:c>
      <x:c r="D508" t="str">
        <x:v>Actual</x:v>
      </x:c>
      <x:c r="E508" t="str">
        <x:v>DB-101</x:v>
      </x:c>
      <x:c r="F508" t="str">
        <x:v>AeroSip Bottle</x:v>
      </x:c>
      <x:c r="G508" t="str">
        <x:v>One-time purchase</x:v>
      </x:c>
      <x:c r="H508" t="str">
        <x:v>None</x:v>
      </x:c>
      <x:c r="I508" t="str">
        <x:v>Active</x:v>
      </x:c>
      <x:c r="J508" t="str">
        <x:v>TikTok Shop</x:v>
      </x:c>
      <x:c r="K508" t="str">
        <x:v>Social Commerce</x:v>
      </x:c>
      <x:c r="L508" t="str">
        <x:v>All Geographies</x:v>
      </x:c>
      <x:c r="M508" s="34" t="n">
        <x:v>1088</x:v>
      </x:c>
      <x:c r="N508" s="28" t="n">
        <x:v>0.043092</x:v>
      </x:c>
      <x:c r="O508" s="34" t="n">
        <x:v>47</x:v>
      </x:c>
      <x:c r="P508" s="34" t="n">
        <x:v>1</x:v>
      </x:c>
      <x:c r="Q508" s="34" t="n">
        <x:v>47</x:v>
      </x:c>
      <x:c r="R508" s="33" t="n">
        <x:v>29</x:v>
      </x:c>
      <x:c r="S508" s="38" t="n">
        <x:v>1.363</x:v>
      </x:c>
      <x:c r="T508" s="38" t="n">
        <x:v>0.16355999999999998</x:v>
      </x:c>
      <x:c r="U508" s="38" t="n">
        <x:v>0.0539748</x:v>
      </x:c>
      <x:c r="V508" s="38" t="n">
        <x:v>1.1454652</x:v>
      </x:c>
      <x:c r="W508" s="38" t="n">
        <x:v>0.5076</x:v>
      </x:c>
      <x:c r="X508" s="38" t="n">
        <x:v>0.03321849080000001</x:v>
      </x:c>
      <x:c r="Y508" s="38" t="n">
        <x:v>0.068727912</x:v>
      </x:c>
      <x:c r="Z508" s="38" t="n">
        <x:v>0.2397</x:v>
      </x:c>
      <x:c r="AA508" s="38" t="n">
        <x:v>0.08225</x:v>
      </x:c>
      <x:c r="AB508" s="38" t="n">
        <x:v>0.0016920000000000001</x:v>
      </x:c>
      <x:c r="AC508" s="38" t="n">
        <x:v>0.2122767971999999</x:v>
      </x:c>
      <x:c r="AD508" s="28" t="n">
        <x:v>0.18531928966501984</x:v>
      </x:c>
    </x:row>
    <x:row r="509">
      <x:c r="A509" s="32" t="n">
        <x:v>45838</x:v>
      </x:c>
      <x:c r="B509" s="32" t="n">
        <x:v>45809</x:v>
      </x:c>
      <x:c r="C509" t="str">
        <x:v>Jun 2025</x:v>
      </x:c>
      <x:c r="D509" t="str">
        <x:v>Actual</x:v>
      </x:c>
      <x:c r="E509" t="str">
        <x:v>DB-102</x:v>
      </x:c>
      <x:c r="F509" t="str">
        <x:v>GlowPatch Balm</x:v>
      </x:c>
      <x:c r="G509" t="str">
        <x:v>Consumable repeat</x:v>
      </x:c>
      <x:c r="H509" t="str">
        <x:v>None</x:v>
      </x:c>
      <x:c r="I509" t="str">
        <x:v>Active</x:v>
      </x:c>
      <x:c r="J509" t="str">
        <x:v>Shopify DTC</x:v>
      </x:c>
      <x:c r="K509" t="str">
        <x:v>Consumer</x:v>
      </x:c>
      <x:c r="L509" t="str">
        <x:v>All Geographies</x:v>
      </x:c>
      <x:c r="M509" s="34" t="n">
        <x:v>4395</x:v>
      </x:c>
      <x:c r="N509" s="28" t="n">
        <x:v>0.04248</x:v>
      </x:c>
      <x:c r="O509" s="34" t="n">
        <x:v>187</x:v>
      </x:c>
      <x:c r="P509" s="34" t="n">
        <x:v>1</x:v>
      </x:c>
      <x:c r="Q509" s="34" t="n">
        <x:v>187</x:v>
      </x:c>
      <x:c r="R509" s="33" t="n">
        <x:v>18</x:v>
      </x:c>
      <x:c r="S509" s="38" t="n">
        <x:v>3.366</x:v>
      </x:c>
      <x:c r="T509" s="38" t="n">
        <x:v>0.26928</x:v>
      </x:c>
      <x:c r="U509" s="38" t="n">
        <x:v>0.077418</x:v>
      </x:c>
      <x:c r="V509" s="38" t="n">
        <x:v>3.0193019999999997</x:v>
      </x:c>
      <x:c r="W509" s="38" t="n">
        <x:v>1.01167</x:v>
      </x:c>
      <x:c r="X509" s="38" t="n">
        <x:v>0.087559758</x:v>
      </x:c>
      <x:c r="Y509" s="38" t="n">
        <x:v>0</x:v>
      </x:c>
      <x:c r="Z509" s="38" t="n">
        <x:v>0.77605</x:v>
      </x:c>
      <x:c r="AA509" s="38" t="n">
        <x:v>0.30855</x:v>
      </x:c>
      <x:c r="AB509" s="38" t="n">
        <x:v>0.001122</x:v>
      </x:c>
      <x:c r="AC509" s="38" t="n">
        <x:v>0.8343502419999997</x:v>
      </x:c>
      <x:c r="AD509" s="28" t="n">
        <x:v>0.2763387835996531</x:v>
      </x:c>
    </x:row>
    <x:row r="510">
      <x:c r="A510" s="32" t="n">
        <x:v>45838</x:v>
      </x:c>
      <x:c r="B510" s="32" t="n">
        <x:v>45809</x:v>
      </x:c>
      <x:c r="C510" t="str">
        <x:v>Jun 2025</x:v>
      </x:c>
      <x:c r="D510" t="str">
        <x:v>Actual</x:v>
      </x:c>
      <x:c r="E510" t="str">
        <x:v>DB-102</x:v>
      </x:c>
      <x:c r="F510" t="str">
        <x:v>GlowPatch Balm</x:v>
      </x:c>
      <x:c r="G510" t="str">
        <x:v>Consumable repeat</x:v>
      </x:c>
      <x:c r="H510" t="str">
        <x:v>None</x:v>
      </x:c>
      <x:c r="I510" t="str">
        <x:v>Active</x:v>
      </x:c>
      <x:c r="J510" t="str">
        <x:v>Amazon Marketplace</x:v>
      </x:c>
      <x:c r="K510" t="str">
        <x:v>Marketplace Consumer</x:v>
      </x:c>
      <x:c r="L510" t="str">
        <x:v>All Geographies</x:v>
      </x:c>
      <x:c r="M510" s="34" t="n">
        <x:v>2198</x:v>
      </x:c>
      <x:c r="N510" s="28" t="n">
        <x:v>0.050126399999999995</x:v>
      </x:c>
      <x:c r="O510" s="34" t="n">
        <x:v>110</x:v>
      </x:c>
      <x:c r="P510" s="34" t="n">
        <x:v>1</x:v>
      </x:c>
      <x:c r="Q510" s="34" t="n">
        <x:v>110</x:v>
      </x:c>
      <x:c r="R510" s="33" t="n">
        <x:v>18</x:v>
      </x:c>
      <x:c r="S510" s="38" t="n">
        <x:v>1.98</x:v>
      </x:c>
      <x:c r="T510" s="38" t="n">
        <x:v>0.099</x:v>
      </x:c>
      <x:c r="U510" s="38" t="n">
        <x:v>0.047025000000000004</x:v>
      </x:c>
      <x:c r="V510" s="38" t="n">
        <x:v>1.833975</x:v>
      </x:c>
      <x:c r="W510" s="38" t="n">
        <x:v>0.5951000000000001</x:v>
      </x:c>
      <x:c r="X510" s="38" t="n">
        <x:v>0</x:v>
      </x:c>
      <x:c r="Y510" s="38" t="n">
        <x:v>0.27509625</x:v>
      </x:c>
      <x:c r="Z510" s="38" t="n">
        <x:v>0.572</x:v>
      </x:c>
      <x:c r="AA510" s="38" t="n">
        <x:v>0.2365</x:v>
      </x:c>
      <x:c r="AB510" s="38" t="n">
        <x:v>0.00066</x:v>
      </x:c>
      <x:c r="AC510" s="38" t="n">
        <x:v>0.15461874999999975</x:v>
      </x:c>
      <x:c r="AD510" s="28" t="n">
        <x:v>0.08430799220272892</x:v>
      </x:c>
    </x:row>
    <x:row r="511">
      <x:c r="A511" s="32" t="n">
        <x:v>45838</x:v>
      </x:c>
      <x:c r="B511" s="32" t="n">
        <x:v>45809</x:v>
      </x:c>
      <x:c r="C511" t="str">
        <x:v>Jun 2025</x:v>
      </x:c>
      <x:c r="D511" t="str">
        <x:v>Actual</x:v>
      </x:c>
      <x:c r="E511" t="str">
        <x:v>DB-102</x:v>
      </x:c>
      <x:c r="F511" t="str">
        <x:v>GlowPatch Balm</x:v>
      </x:c>
      <x:c r="G511" t="str">
        <x:v>Consumable repeat</x:v>
      </x:c>
      <x:c r="H511" t="str">
        <x:v>None</x:v>
      </x:c>
      <x:c r="I511" t="str">
        <x:v>Active</x:v>
      </x:c>
      <x:c r="J511" t="str">
        <x:v>Wholesale</x:v>
      </x:c>
      <x:c r="K511" t="str">
        <x:v>Retailer</x:v>
      </x:c>
      <x:c r="L511" t="str">
        <x:v>All Geographies</x:v>
      </x:c>
      <x:c r="M511" s="34" t="n">
        <x:v>1319</x:v>
      </x:c>
      <x:c r="N511" s="28" t="n">
        <x:v>0.023364</x:v>
      </x:c>
      <x:c r="O511" s="34" t="n">
        <x:v>31</x:v>
      </x:c>
      <x:c r="P511" s="34" t="n">
        <x:v>1</x:v>
      </x:c>
      <x:c r="Q511" s="34" t="n">
        <x:v>31</x:v>
      </x:c>
      <x:c r="R511" s="33" t="n">
        <x:v>18</x:v>
      </x:c>
      <x:c r="S511" s="38" t="n">
        <x:v>0.558</x:v>
      </x:c>
      <x:c r="T511" s="38" t="n">
        <x:v>0.1953</x:v>
      </x:c>
      <x:c r="U511" s="38" t="n">
        <x:v>0.009067500000000001</x:v>
      </x:c>
      <x:c r="V511" s="38" t="n">
        <x:v>0.3536325</x:v>
      </x:c>
      <x:c r="W511" s="38" t="n">
        <x:v>0.16771</x:v>
      </x:c>
      <x:c r="X511" s="38" t="n">
        <x:v>0</x:v>
      </x:c>
      <x:c r="Y511" s="38" t="n">
        <x:v>0</x:v>
      </x:c>
      <x:c r="Z511" s="38" t="n">
        <x:v>0.0713</x:v>
      </x:c>
      <x:c r="AA511" s="38" t="n">
        <x:v>0.02635</x:v>
      </x:c>
      <x:c r="AB511" s="38" t="n">
        <x:v>0.000186</x:v>
      </x:c>
      <x:c r="AC511" s="38" t="n">
        <x:v>0.08808650000000001</x:v>
      </x:c>
      <x:c r="AD511" s="28" t="n">
        <x:v>0.2490905106289722</x:v>
      </x:c>
    </x:row>
    <x:row r="512">
      <x:c r="A512" s="32" t="n">
        <x:v>45838</x:v>
      </x:c>
      <x:c r="B512" s="32" t="n">
        <x:v>45809</x:v>
      </x:c>
      <x:c r="C512" t="str">
        <x:v>Jun 2025</x:v>
      </x:c>
      <x:c r="D512" t="str">
        <x:v>Actual</x:v>
      </x:c>
      <x:c r="E512" t="str">
        <x:v>DB-102</x:v>
      </x:c>
      <x:c r="F512" t="str">
        <x:v>GlowPatch Balm</x:v>
      </x:c>
      <x:c r="G512" t="str">
        <x:v>Consumable repeat</x:v>
      </x:c>
      <x:c r="H512" t="str">
        <x:v>None</x:v>
      </x:c>
      <x:c r="I512" t="str">
        <x:v>Active</x:v>
      </x:c>
      <x:c r="J512" t="str">
        <x:v>TikTok Shop</x:v>
      </x:c>
      <x:c r="K512" t="str">
        <x:v>Social Commerce</x:v>
      </x:c>
      <x:c r="L512" t="str">
        <x:v>All Geographies</x:v>
      </x:c>
      <x:c r="M512" s="34" t="n">
        <x:v>879</x:v>
      </x:c>
      <x:c r="N512" s="28" t="n">
        <x:v>0.0535248</x:v>
      </x:c>
      <x:c r="O512" s="34" t="n">
        <x:v>47</x:v>
      </x:c>
      <x:c r="P512" s="34" t="n">
        <x:v>1</x:v>
      </x:c>
      <x:c r="Q512" s="34" t="n">
        <x:v>47</x:v>
      </x:c>
      <x:c r="R512" s="33" t="n">
        <x:v>18</x:v>
      </x:c>
      <x:c r="S512" s="38" t="n">
        <x:v>0.846</x:v>
      </x:c>
      <x:c r="T512" s="38" t="n">
        <x:v>0.10152</x:v>
      </x:c>
      <x:c r="U512" s="38" t="n">
        <x:v>0.018612</x:v>
      </x:c>
      <x:c r="V512" s="38" t="n">
        <x:v>0.7258680000000001</x:v>
      </x:c>
      <x:c r="W512" s="38" t="n">
        <x:v>0.25427</x:v>
      </x:c>
      <x:c r="X512" s="38" t="n">
        <x:v>0.021050172000000002</x:v>
      </x:c>
      <x:c r="Y512" s="38" t="n">
        <x:v>0.04355208</x:v>
      </x:c>
      <x:c r="Z512" s="38" t="n">
        <x:v>0.2397</x:v>
      </x:c>
      <x:c r="AA512" s="38" t="n">
        <x:v>0.08225</x:v>
      </x:c>
      <x:c r="AB512" s="38" t="n">
        <x:v>0.000282</x:v>
      </x:c>
      <x:c r="AC512" s="38" t="n">
        <x:v>0.0847637480000001</x:v>
      </x:c>
      <x:c r="AD512" s="28" t="n">
        <x:v>0.1167757057757059</x:v>
      </x:c>
    </x:row>
    <x:row r="513">
      <x:c r="A513" s="32" t="n">
        <x:v>45838</x:v>
      </x:c>
      <x:c r="B513" s="32" t="n">
        <x:v>45809</x:v>
      </x:c>
      <x:c r="C513" t="str">
        <x:v>Jun 2025</x:v>
      </x:c>
      <x:c r="D513" t="str">
        <x:v>Actual</x:v>
      </x:c>
      <x:c r="E513" t="str">
        <x:v>DB-103</x:v>
      </x:c>
      <x:c r="F513" t="str">
        <x:v>EmberTrail Camp Mug</x:v>
      </x:c>
      <x:c r="G513" t="str">
        <x:v>One-time purchase</x:v>
      </x:c>
      <x:c r="H513" t="str">
        <x:v>Winter peak</x:v>
      </x:c>
      <x:c r="I513" t="str">
        <x:v>Active</x:v>
      </x:c>
      <x:c r="J513" t="str">
        <x:v>Shopify DTC</x:v>
      </x:c>
      <x:c r="K513" t="str">
        <x:v>Consumer</x:v>
      </x:c>
      <x:c r="L513" t="str">
        <x:v>All Geographies</x:v>
      </x:c>
      <x:c r="M513" s="34" t="n">
        <x:v>2826</x:v>
      </x:c>
      <x:c r="N513" s="28" t="n">
        <x:v>0.0324</x:v>
      </x:c>
      <x:c r="O513" s="34" t="n">
        <x:v>92</x:v>
      </x:c>
      <x:c r="P513" s="34" t="n">
        <x:v>1</x:v>
      </x:c>
      <x:c r="Q513" s="34" t="n">
        <x:v>92</x:v>
      </x:c>
      <x:c r="R513" s="33" t="n">
        <x:v>34</x:v>
      </x:c>
      <x:c r="S513" s="38" t="n">
        <x:v>3.128</x:v>
      </x:c>
      <x:c r="T513" s="38" t="n">
        <x:v>0.25024</x:v>
      </x:c>
      <x:c r="U513" s="38" t="n">
        <x:v>0.15827680000000002</x:v>
      </x:c>
      <x:c r="V513" s="38" t="n">
        <x:v>2.7194832000000004</x:v>
      </x:c>
      <x:c r="W513" s="38" t="n">
        <x:v>1.25764</x:v>
      </x:c>
      <x:c r="X513" s="38" t="n">
        <x:v>0.07886501280000002</x:v>
      </x:c>
      <x:c r="Y513" s="38" t="n">
        <x:v>0</x:v>
      </x:c>
      <x:c r="Z513" s="38" t="n">
        <x:v>0.38180000000000003</x:v>
      </x:c>
      <x:c r="AA513" s="38" t="n">
        <x:v>0.1518</x:v>
      </x:c>
      <x:c r="AB513" s="38" t="n">
        <x:v>0.005152</x:v>
      </x:c>
      <x:c r="AC513" s="38" t="n">
        <x:v>0.8442261872000003</x:v>
      </x:c>
      <x:c r="AD513" s="28" t="n">
        <x:v>0.31043625759482546</x:v>
      </x:c>
    </x:row>
    <x:row r="514">
      <x:c r="A514" s="32" t="n">
        <x:v>45838</x:v>
      </x:c>
      <x:c r="B514" s="32" t="n">
        <x:v>45809</x:v>
      </x:c>
      <x:c r="C514" t="str">
        <x:v>Jun 2025</x:v>
      </x:c>
      <x:c r="D514" t="str">
        <x:v>Actual</x:v>
      </x:c>
      <x:c r="E514" t="str">
        <x:v>DB-103</x:v>
      </x:c>
      <x:c r="F514" t="str">
        <x:v>EmberTrail Camp Mug</x:v>
      </x:c>
      <x:c r="G514" t="str">
        <x:v>One-time purchase</x:v>
      </x:c>
      <x:c r="H514" t="str">
        <x:v>Winter peak</x:v>
      </x:c>
      <x:c r="I514" t="str">
        <x:v>Active</x:v>
      </x:c>
      <x:c r="J514" t="str">
        <x:v>Amazon Marketplace</x:v>
      </x:c>
      <x:c r="K514" t="str">
        <x:v>Marketplace Consumer</x:v>
      </x:c>
      <x:c r="L514" t="str">
        <x:v>All Geographies</x:v>
      </x:c>
      <x:c r="M514" s="34" t="n">
        <x:v>1413</x:v>
      </x:c>
      <x:c r="N514" s="28" t="n">
        <x:v>0.038231999999999995</x:v>
      </x:c>
      <x:c r="O514" s="34" t="n">
        <x:v>54</x:v>
      </x:c>
      <x:c r="P514" s="34" t="n">
        <x:v>1</x:v>
      </x:c>
      <x:c r="Q514" s="34" t="n">
        <x:v>54</x:v>
      </x:c>
      <x:c r="R514" s="33" t="n">
        <x:v>34</x:v>
      </x:c>
      <x:c r="S514" s="38" t="n">
        <x:v>1.836</x:v>
      </x:c>
      <x:c r="T514" s="38" t="n">
        <x:v>0.0918</x:v>
      </x:c>
      <x:c r="U514" s="38" t="n">
        <x:v>0.095931</x:v>
      </x:c>
      <x:c r="V514" s="38" t="n">
        <x:v>1.648269</x:v>
      </x:c>
      <x:c r="W514" s="38" t="n">
        <x:v>0.73818</x:v>
      </x:c>
      <x:c r="X514" s="38" t="n">
        <x:v>0</x:v>
      </x:c>
      <x:c r="Y514" s="38" t="n">
        <x:v>0.24724035</x:v>
      </x:c>
      <x:c r="Z514" s="38" t="n">
        <x:v>0.2808</x:v>
      </x:c>
      <x:c r="AA514" s="38" t="n">
        <x:v>0.1161</x:v>
      </x:c>
      <x:c r="AB514" s="38" t="n">
        <x:v>0.003024</x:v>
      </x:c>
      <x:c r="AC514" s="38" t="n">
        <x:v>0.26292465000000004</x:v>
      </x:c>
      <x:c r="AD514" s="28" t="n">
        <x:v>0.15951561911314235</x:v>
      </x:c>
    </x:row>
    <x:row r="515">
      <x:c r="A515" s="32" t="n">
        <x:v>45838</x:v>
      </x:c>
      <x:c r="B515" s="32" t="n">
        <x:v>45809</x:v>
      </x:c>
      <x:c r="C515" t="str">
        <x:v>Jun 2025</x:v>
      </x:c>
      <x:c r="D515" t="str">
        <x:v>Actual</x:v>
      </x:c>
      <x:c r="E515" t="str">
        <x:v>DB-103</x:v>
      </x:c>
      <x:c r="F515" t="str">
        <x:v>EmberTrail Camp Mug</x:v>
      </x:c>
      <x:c r="G515" t="str">
        <x:v>One-time purchase</x:v>
      </x:c>
      <x:c r="H515" t="str">
        <x:v>Winter peak</x:v>
      </x:c>
      <x:c r="I515" t="str">
        <x:v>Active</x:v>
      </x:c>
      <x:c r="J515" t="str">
        <x:v>Wholesale</x:v>
      </x:c>
      <x:c r="K515" t="str">
        <x:v>Retailer</x:v>
      </x:c>
      <x:c r="L515" t="str">
        <x:v>All Geographies</x:v>
      </x:c>
      <x:c r="M515" s="34" t="n">
        <x:v>848</x:v>
      </x:c>
      <x:c r="N515" s="28" t="n">
        <x:v>0.017820000000000003</x:v>
      </x:c>
      <x:c r="O515" s="34" t="n">
        <x:v>15</x:v>
      </x:c>
      <x:c r="P515" s="34" t="n">
        <x:v>1</x:v>
      </x:c>
      <x:c r="Q515" s="34" t="n">
        <x:v>15</x:v>
      </x:c>
      <x:c r="R515" s="33" t="n">
        <x:v>34</x:v>
      </x:c>
      <x:c r="S515" s="38" t="n">
        <x:v>0.51</x:v>
      </x:c>
      <x:c r="T515" s="38" t="n">
        <x:v>0.1785</x:v>
      </x:c>
      <x:c r="U515" s="38" t="n">
        <x:v>0.018232500000000002</x:v>
      </x:c>
      <x:c r="V515" s="38" t="n">
        <x:v>0.31326750000000003</x:v>
      </x:c>
      <x:c r="W515" s="38" t="n">
        <x:v>0.20505</x:v>
      </x:c>
      <x:c r="X515" s="38" t="n">
        <x:v>0</x:v>
      </x:c>
      <x:c r="Y515" s="38" t="n">
        <x:v>0</x:v>
      </x:c>
      <x:c r="Z515" s="38" t="n">
        <x:v>0.0345</x:v>
      </x:c>
      <x:c r="AA515" s="38" t="n">
        <x:v>0.01275</x:v>
      </x:c>
      <x:c r="AB515" s="38" t="n">
        <x:v>0.0008399999999999999</x:v>
      </x:c>
      <x:c r="AC515" s="38" t="n">
        <x:v>0.06012750000000002</x:v>
      </x:c>
      <x:c r="AD515" s="28" t="n">
        <x:v>0.19193660370130963</x:v>
      </x:c>
    </x:row>
    <x:row r="516">
      <x:c r="A516" s="32" t="n">
        <x:v>45838</x:v>
      </x:c>
      <x:c r="B516" s="32" t="n">
        <x:v>45809</x:v>
      </x:c>
      <x:c r="C516" t="str">
        <x:v>Jun 2025</x:v>
      </x:c>
      <x:c r="D516" t="str">
        <x:v>Actual</x:v>
      </x:c>
      <x:c r="E516" t="str">
        <x:v>DB-103</x:v>
      </x:c>
      <x:c r="F516" t="str">
        <x:v>EmberTrail Camp Mug</x:v>
      </x:c>
      <x:c r="G516" t="str">
        <x:v>One-time purchase</x:v>
      </x:c>
      <x:c r="H516" t="str">
        <x:v>Winter peak</x:v>
      </x:c>
      <x:c r="I516" t="str">
        <x:v>Active</x:v>
      </x:c>
      <x:c r="J516" t="str">
        <x:v>TikTok Shop</x:v>
      </x:c>
      <x:c r="K516" t="str">
        <x:v>Social Commerce</x:v>
      </x:c>
      <x:c r="L516" t="str">
        <x:v>All Geographies</x:v>
      </x:c>
      <x:c r="M516" s="34" t="n">
        <x:v>565</x:v>
      </x:c>
      <x:c r="N516" s="28" t="n">
        <x:v>0.040824</x:v>
      </x:c>
      <x:c r="O516" s="34" t="n">
        <x:v>23</x:v>
      </x:c>
      <x:c r="P516" s="34" t="n">
        <x:v>1</x:v>
      </x:c>
      <x:c r="Q516" s="34" t="n">
        <x:v>23</x:v>
      </x:c>
      <x:c r="R516" s="33" t="n">
        <x:v>34</x:v>
      </x:c>
      <x:c r="S516" s="38" t="n">
        <x:v>0.782</x:v>
      </x:c>
      <x:c r="T516" s="38" t="n">
        <x:v>0.09384</x:v>
      </x:c>
      <x:c r="U516" s="38" t="n">
        <x:v>0.0378488</x:v>
      </x:c>
      <x:c r="V516" s="38" t="n">
        <x:v>0.6503112</x:v>
      </x:c>
      <x:c r="W516" s="38" t="n">
        <x:v>0.31441</x:v>
      </x:c>
      <x:c r="X516" s="38" t="n">
        <x:v>0.0188590248</x:v>
      </x:c>
      <x:c r="Y516" s="38" t="n">
        <x:v>0.039018672</x:v>
      </x:c>
      <x:c r="Z516" s="38" t="n">
        <x:v>0.1173</x:v>
      </x:c>
      <x:c r="AA516" s="38" t="n">
        <x:v>0.04025</x:v>
      </x:c>
      <x:c r="AB516" s="38" t="n">
        <x:v>0.001288</x:v>
      </x:c>
      <x:c r="AC516" s="38" t="n">
        <x:v>0.11918550319999995</x:v>
      </x:c>
      <x:c r="AD516" s="28" t="n">
        <x:v>0.18327456639221337</x:v>
      </x:c>
    </x:row>
    <x:row r="517">
      <x:c r="A517" s="32" t="n">
        <x:v>45838</x:v>
      </x:c>
      <x:c r="B517" s="32" t="n">
        <x:v>45809</x:v>
      </x:c>
      <x:c r="C517" t="str">
        <x:v>Jun 2025</x:v>
      </x:c>
      <x:c r="D517" t="str">
        <x:v>Actual</x:v>
      </x:c>
      <x:c r="E517" t="str">
        <x:v>DB-104</x:v>
      </x:c>
      <x:c r="F517" t="str">
        <x:v>SunNest Cooling Towel</x:v>
      </x:c>
      <x:c r="G517" t="str">
        <x:v>Consumable repeat</x:v>
      </x:c>
      <x:c r="H517" t="str">
        <x:v>Summer peak</x:v>
      </x:c>
      <x:c r="I517" t="str">
        <x:v>Active</x:v>
      </x:c>
      <x:c r="J517" t="str">
        <x:v>Shopify DTC</x:v>
      </x:c>
      <x:c r="K517" t="str">
        <x:v>Consumer</x:v>
      </x:c>
      <x:c r="L517" t="str">
        <x:v>All Geographies</x:v>
      </x:c>
      <x:c r="M517" s="34" t="n">
        <x:v>5159</x:v>
      </x:c>
      <x:c r="N517" s="28" t="n">
        <x:v>0.03312</x:v>
      </x:c>
      <x:c r="O517" s="34" t="n">
        <x:v>171</x:v>
      </x:c>
      <x:c r="P517" s="34" t="n">
        <x:v>1</x:v>
      </x:c>
      <x:c r="Q517" s="34" t="n">
        <x:v>171</x:v>
      </x:c>
      <x:c r="R517" s="33" t="n">
        <x:v>42</x:v>
      </x:c>
      <x:c r="S517" s="38" t="n">
        <x:v>7.182</x:v>
      </x:c>
      <x:c r="T517" s="38" t="n">
        <x:v>0.5745600000000001</x:v>
      </x:c>
      <x:c r="U517" s="38" t="n">
        <x:v>0.33037200000000005</x:v>
      </x:c>
      <x:c r="V517" s="38" t="n">
        <x:v>6.277068000000001</x:v>
      </x:c>
      <x:c r="W517" s="38" t="n">
        <x:v>2.57355</x:v>
      </x:c>
      <x:c r="X517" s="38" t="n">
        <x:v>0.18203497200000004</x:v>
      </x:c>
      <x:c r="Y517" s="38" t="n">
        <x:v>0</x:v>
      </x:c>
      <x:c r="Z517" s="38" t="n">
        <x:v>0.7096500000000001</x:v>
      </x:c>
      <x:c r="AA517" s="38" t="n">
        <x:v>0.28214999999999996</x:v>
      </x:c>
      <x:c r="AB517" s="38" t="n">
        <x:v>0.004788</x:v>
      </x:c>
      <x:c r="AC517" s="38" t="n">
        <x:v>2.5248950280000004</x:v>
      </x:c>
      <x:c r="AD517" s="28" t="n">
        <x:v>0.40224114634412117</x:v>
      </x:c>
    </x:row>
    <x:row r="518">
      <x:c r="A518" s="32" t="n">
        <x:v>45838</x:v>
      </x:c>
      <x:c r="B518" s="32" t="n">
        <x:v>45809</x:v>
      </x:c>
      <x:c r="C518" t="str">
        <x:v>Jun 2025</x:v>
      </x:c>
      <x:c r="D518" t="str">
        <x:v>Actual</x:v>
      </x:c>
      <x:c r="E518" t="str">
        <x:v>DB-104</x:v>
      </x:c>
      <x:c r="F518" t="str">
        <x:v>SunNest Cooling Towel</x:v>
      </x:c>
      <x:c r="G518" t="str">
        <x:v>Consumable repeat</x:v>
      </x:c>
      <x:c r="H518" t="str">
        <x:v>Summer peak</x:v>
      </x:c>
      <x:c r="I518" t="str">
        <x:v>Active</x:v>
      </x:c>
      <x:c r="J518" t="str">
        <x:v>Amazon Marketplace</x:v>
      </x:c>
      <x:c r="K518" t="str">
        <x:v>Marketplace Consumer</x:v>
      </x:c>
      <x:c r="L518" t="str">
        <x:v>All Geographies</x:v>
      </x:c>
      <x:c r="M518" s="34" t="n">
        <x:v>2580</x:v>
      </x:c>
      <x:c r="N518" s="28" t="n">
        <x:v>0.0390816</x:v>
      </x:c>
      <x:c r="O518" s="34" t="n">
        <x:v>101</x:v>
      </x:c>
      <x:c r="P518" s="34" t="n">
        <x:v>1</x:v>
      </x:c>
      <x:c r="Q518" s="34" t="n">
        <x:v>101</x:v>
      </x:c>
      <x:c r="R518" s="33" t="n">
        <x:v>42</x:v>
      </x:c>
      <x:c r="S518" s="38" t="n">
        <x:v>4.242</x:v>
      </x:c>
      <x:c r="T518" s="38" t="n">
        <x:v>0.2121</x:v>
      </x:c>
      <x:c r="U518" s="38" t="n">
        <x:v>0.20149499999999998</x:v>
      </x:c>
      <x:c r="V518" s="38" t="n">
        <x:v>3.8284049999999996</x:v>
      </x:c>
      <x:c r="W518" s="38" t="n">
        <x:v>1.5200500000000001</x:v>
      </x:c>
      <x:c r="X518" s="38" t="n">
        <x:v>0</x:v>
      </x:c>
      <x:c r="Y518" s="38" t="n">
        <x:v>0.5742607499999999</x:v>
      </x:c>
      <x:c r="Z518" s="38" t="n">
        <x:v>0.5252</x:v>
      </x:c>
      <x:c r="AA518" s="38" t="n">
        <x:v>0.21714999999999998</x:v>
      </x:c>
      <x:c r="AB518" s="38" t="n">
        <x:v>0.002828</x:v>
      </x:c>
      <x:c r="AC518" s="38" t="n">
        <x:v>0.9889162499999997</x:v>
      </x:c>
      <x:c r="AD518" s="28" t="n">
        <x:v>0.2583102493074792</x:v>
      </x:c>
    </x:row>
    <x:row r="519">
      <x:c r="A519" s="32" t="n">
        <x:v>45838</x:v>
      </x:c>
      <x:c r="B519" s="32" t="n">
        <x:v>45809</x:v>
      </x:c>
      <x:c r="C519" t="str">
        <x:v>Jun 2025</x:v>
      </x:c>
      <x:c r="D519" t="str">
        <x:v>Actual</x:v>
      </x:c>
      <x:c r="E519" t="str">
        <x:v>DB-104</x:v>
      </x:c>
      <x:c r="F519" t="str">
        <x:v>SunNest Cooling Towel</x:v>
      </x:c>
      <x:c r="G519" t="str">
        <x:v>Consumable repeat</x:v>
      </x:c>
      <x:c r="H519" t="str">
        <x:v>Summer peak</x:v>
      </x:c>
      <x:c r="I519" t="str">
        <x:v>Active</x:v>
      </x:c>
      <x:c r="J519" t="str">
        <x:v>Wholesale</x:v>
      </x:c>
      <x:c r="K519" t="str">
        <x:v>Retailer</x:v>
      </x:c>
      <x:c r="L519" t="str">
        <x:v>All Geographies</x:v>
      </x:c>
      <x:c r="M519" s="34" t="n">
        <x:v>1548</x:v>
      </x:c>
      <x:c r="N519" s="28" t="n">
        <x:v>0.018216000000000003</x:v>
      </x:c>
      <x:c r="O519" s="34" t="n">
        <x:v>28</x:v>
      </x:c>
      <x:c r="P519" s="34" t="n">
        <x:v>1</x:v>
      </x:c>
      <x:c r="Q519" s="34" t="n">
        <x:v>28</x:v>
      </x:c>
      <x:c r="R519" s="33" t="n">
        <x:v>42</x:v>
      </x:c>
      <x:c r="S519" s="38" t="n">
        <x:v>1.176</x:v>
      </x:c>
      <x:c r="T519" s="38" t="n">
        <x:v>0.41159999999999997</x:v>
      </x:c>
      <x:c r="U519" s="38" t="n">
        <x:v>0.038220000000000004</x:v>
      </x:c>
      <x:c r="V519" s="38" t="n">
        <x:v>0.7261799999999999</x:v>
      </x:c>
      <x:c r="W519" s="38" t="n">
        <x:v>0.42140000000000005</x:v>
      </x:c>
      <x:c r="X519" s="38" t="n">
        <x:v>0</x:v>
      </x:c>
      <x:c r="Y519" s="38" t="n">
        <x:v>0</x:v>
      </x:c>
      <x:c r="Z519" s="38" t="n">
        <x:v>0.06439999999999999</x:v>
      </x:c>
      <x:c r="AA519" s="38" t="n">
        <x:v>0.0238</x:v>
      </x:c>
      <x:c r="AB519" s="38" t="n">
        <x:v>0.0007840000000000001</x:v>
      </x:c>
      <x:c r="AC519" s="38" t="n">
        <x:v>0.21579599999999988</x:v>
      </x:c>
      <x:c r="AD519" s="28" t="n">
        <x:v>0.2971659919028339</x:v>
      </x:c>
    </x:row>
    <x:row r="520">
      <x:c r="A520" s="32" t="n">
        <x:v>45838</x:v>
      </x:c>
      <x:c r="B520" s="32" t="n">
        <x:v>45809</x:v>
      </x:c>
      <x:c r="C520" t="str">
        <x:v>Jun 2025</x:v>
      </x:c>
      <x:c r="D520" t="str">
        <x:v>Actual</x:v>
      </x:c>
      <x:c r="E520" t="str">
        <x:v>DB-104</x:v>
      </x:c>
      <x:c r="F520" t="str">
        <x:v>SunNest Cooling Towel</x:v>
      </x:c>
      <x:c r="G520" t="str">
        <x:v>Consumable repeat</x:v>
      </x:c>
      <x:c r="H520" t="str">
        <x:v>Summer peak</x:v>
      </x:c>
      <x:c r="I520" t="str">
        <x:v>Active</x:v>
      </x:c>
      <x:c r="J520" t="str">
        <x:v>TikTok Shop</x:v>
      </x:c>
      <x:c r="K520" t="str">
        <x:v>Social Commerce</x:v>
      </x:c>
      <x:c r="L520" t="str">
        <x:v>All Geographies</x:v>
      </x:c>
      <x:c r="M520" s="34" t="n">
        <x:v>1032</x:v>
      </x:c>
      <x:c r="N520" s="28" t="n">
        <x:v>0.0417312</x:v>
      </x:c>
      <x:c r="O520" s="34" t="n">
        <x:v>43</x:v>
      </x:c>
      <x:c r="P520" s="34" t="n">
        <x:v>1</x:v>
      </x:c>
      <x:c r="Q520" s="34" t="n">
        <x:v>43</x:v>
      </x:c>
      <x:c r="R520" s="33" t="n">
        <x:v>42</x:v>
      </x:c>
      <x:c r="S520" s="38" t="n">
        <x:v>1.806</x:v>
      </x:c>
      <x:c r="T520" s="38" t="n">
        <x:v>0.21672</x:v>
      </x:c>
      <x:c r="U520" s="38" t="n">
        <x:v>0.079464</x:v>
      </x:c>
      <x:c r="V520" s="38" t="n">
        <x:v>1.509816</x:v>
      </x:c>
      <x:c r="W520" s="38" t="n">
        <x:v>0.64715</x:v>
      </x:c>
      <x:c r="X520" s="38" t="n">
        <x:v>0.043784664</x:v>
      </x:c>
      <x:c r="Y520" s="38" t="n">
        <x:v>0.09058896</x:v>
      </x:c>
      <x:c r="Z520" s="38" t="n">
        <x:v>0.2193</x:v>
      </x:c>
      <x:c r="AA520" s="38" t="n">
        <x:v>0.07525</x:v>
      </x:c>
      <x:c r="AB520" s="38" t="n">
        <x:v>0.001204</x:v>
      </x:c>
      <x:c r="AC520" s="38" t="n">
        <x:v>0.43253837599999995</x:v>
      </x:c>
      <x:c r="AD520" s="28" t="n">
        <x:v>0.2864841649578491</x:v>
      </x:c>
    </x:row>
    <x:row r="521">
      <x:c r="A521" s="32" t="n">
        <x:v>45838</x:v>
      </x:c>
      <x:c r="B521" s="32" t="n">
        <x:v>45809</x:v>
      </x:c>
      <x:c r="C521" t="str">
        <x:v>Jun 2025</x:v>
      </x:c>
      <x:c r="D521" t="str">
        <x:v>Actual</x:v>
      </x:c>
      <x:c r="E521" t="str">
        <x:v>DB-105</x:v>
      </x:c>
      <x:c r="F521" t="str">
        <x:v>DreamFuel Refill Pack</x:v>
      </x:c>
      <x:c r="G521" t="str">
        <x:v>Subscription</x:v>
      </x:c>
      <x:c r="H521" t="str">
        <x:v>None</x:v>
      </x:c>
      <x:c r="I521" t="str">
        <x:v>Active</x:v>
      </x:c>
      <x:c r="J521" t="str">
        <x:v>Shopify DTC</x:v>
      </x:c>
      <x:c r="K521" t="str">
        <x:v>Consumer</x:v>
      </x:c>
      <x:c r="L521" t="str">
        <x:v>All Geographies</x:v>
      </x:c>
      <x:c r="M521" s="34" t="n">
        <x:v>3767</x:v>
      </x:c>
      <x:c r="N521" s="28" t="n">
        <x:v>0.03888</x:v>
      </x:c>
      <x:c r="O521" s="34" t="n">
        <x:v>146</x:v>
      </x:c>
      <x:c r="P521" s="34" t="n">
        <x:v>1</x:v>
      </x:c>
      <x:c r="Q521" s="34" t="n">
        <x:v>146</x:v>
      </x:c>
      <x:c r="R521" s="33" t="n">
        <x:v>56</x:v>
      </x:c>
      <x:c r="S521" s="38" t="n">
        <x:v>8.176</x:v>
      </x:c>
      <x:c r="T521" s="38" t="n">
        <x:v>0.65408</x:v>
      </x:c>
      <x:c r="U521" s="38" t="n">
        <x:v>0.1504384</x:v>
      </x:c>
      <x:c r="V521" s="38" t="n">
        <x:v>7.3714816</x:v>
      </x:c>
      <x:c r="W521" s="38" t="n">
        <x:v>2.71852</x:v>
      </x:c>
      <x:c r="X521" s="38" t="n">
        <x:v>0.21377296640000001</x:v>
      </x:c>
      <x:c r="Y521" s="38" t="n">
        <x:v>0</x:v>
      </x:c>
      <x:c r="Z521" s="38" t="n">
        <x:v>0.6059000000000001</x:v>
      </x:c>
      <x:c r="AA521" s="38" t="n">
        <x:v>0.24089999999999998</x:v>
      </x:c>
      <x:c r="AB521" s="38" t="n">
        <x:v>0.0005256</x:v>
      </x:c>
      <x:c r="AC521" s="38" t="n">
        <x:v>3.5918630336000006</x:v>
      </x:c>
      <x:c r="AD521" s="28" t="n">
        <x:v>0.48726473570794787</x:v>
      </x:c>
    </x:row>
    <x:row r="522">
      <x:c r="A522" s="32" t="n">
        <x:v>45838</x:v>
      </x:c>
      <x:c r="B522" s="32" t="n">
        <x:v>45809</x:v>
      </x:c>
      <x:c r="C522" t="str">
        <x:v>Jun 2025</x:v>
      </x:c>
      <x:c r="D522" t="str">
        <x:v>Actual</x:v>
      </x:c>
      <x:c r="E522" t="str">
        <x:v>DB-105</x:v>
      </x:c>
      <x:c r="F522" t="str">
        <x:v>DreamFuel Refill Pack</x:v>
      </x:c>
      <x:c r="G522" t="str">
        <x:v>Subscription</x:v>
      </x:c>
      <x:c r="H522" t="str">
        <x:v>None</x:v>
      </x:c>
      <x:c r="I522" t="str">
        <x:v>Active</x:v>
      </x:c>
      <x:c r="J522" t="str">
        <x:v>Amazon Marketplace</x:v>
      </x:c>
      <x:c r="K522" t="str">
        <x:v>Marketplace Consumer</x:v>
      </x:c>
      <x:c r="L522" t="str">
        <x:v>All Geographies</x:v>
      </x:c>
      <x:c r="M522" s="34" t="n">
        <x:v>1884</x:v>
      </x:c>
      <x:c r="N522" s="28" t="n">
        <x:v>0.0458784</x:v>
      </x:c>
      <x:c r="O522" s="34" t="n">
        <x:v>86</x:v>
      </x:c>
      <x:c r="P522" s="34" t="n">
        <x:v>1</x:v>
      </x:c>
      <x:c r="Q522" s="34" t="n">
        <x:v>86</x:v>
      </x:c>
      <x:c r="R522" s="33" t="n">
        <x:v>56</x:v>
      </x:c>
      <x:c r="S522" s="38" t="n">
        <x:v>4.816</x:v>
      </x:c>
      <x:c r="T522" s="38" t="n">
        <x:v>0.24080000000000001</x:v>
      </x:c>
      <x:c r="U522" s="38" t="n">
        <x:v>0.091504</x:v>
      </x:c>
      <x:c r="V522" s="38" t="n">
        <x:v>4.483696</x:v>
      </x:c>
      <x:c r="W522" s="38" t="n">
        <x:v>1.60132</x:v>
      </x:c>
      <x:c r="X522" s="38" t="n">
        <x:v>0</x:v>
      </x:c>
      <x:c r="Y522" s="38" t="n">
        <x:v>0.6725544</x:v>
      </x:c>
      <x:c r="Z522" s="38" t="n">
        <x:v>0.4472</x:v>
      </x:c>
      <x:c r="AA522" s="38" t="n">
        <x:v>0.1849</x:v>
      </x:c>
      <x:c r="AB522" s="38" t="n">
        <x:v>0.0003096</x:v>
      </x:c>
      <x:c r="AC522" s="38" t="n">
        <x:v>1.5774119999999996</x:v>
      </x:c>
      <x:c r="AD522" s="28" t="n">
        <x:v>0.35181064907165865</x:v>
      </x:c>
    </x:row>
    <x:row r="523">
      <x:c r="A523" s="32" t="n">
        <x:v>45838</x:v>
      </x:c>
      <x:c r="B523" s="32" t="n">
        <x:v>45809</x:v>
      </x:c>
      <x:c r="C523" t="str">
        <x:v>Jun 2025</x:v>
      </x:c>
      <x:c r="D523" t="str">
        <x:v>Actual</x:v>
      </x:c>
      <x:c r="E523" t="str">
        <x:v>DB-105</x:v>
      </x:c>
      <x:c r="F523" t="str">
        <x:v>DreamFuel Refill Pack</x:v>
      </x:c>
      <x:c r="G523" t="str">
        <x:v>Subscription</x:v>
      </x:c>
      <x:c r="H523" t="str">
        <x:v>None</x:v>
      </x:c>
      <x:c r="I523" t="str">
        <x:v>Active</x:v>
      </x:c>
      <x:c r="J523" t="str">
        <x:v>Wholesale</x:v>
      </x:c>
      <x:c r="K523" t="str">
        <x:v>Retailer</x:v>
      </x:c>
      <x:c r="L523" t="str">
        <x:v>All Geographies</x:v>
      </x:c>
      <x:c r="M523" s="34" t="n">
        <x:v>1130</x:v>
      </x:c>
      <x:c r="N523" s="28" t="n">
        <x:v>0.021384000000000004</x:v>
      </x:c>
      <x:c r="O523" s="34" t="n">
        <x:v>24</x:v>
      </x:c>
      <x:c r="P523" s="34" t="n">
        <x:v>1</x:v>
      </x:c>
      <x:c r="Q523" s="34" t="n">
        <x:v>24</x:v>
      </x:c>
      <x:c r="R523" s="33" t="n">
        <x:v>56</x:v>
      </x:c>
      <x:c r="S523" s="38" t="n">
        <x:v>1.344</x:v>
      </x:c>
      <x:c r="T523" s="38" t="n">
        <x:v>0.4704</x:v>
      </x:c>
      <x:c r="U523" s="38" t="n">
        <x:v>0.017472000000000005</x:v>
      </x:c>
      <x:c r="V523" s="38" t="n">
        <x:v>0.8561280000000001</x:v>
      </x:c>
      <x:c r="W523" s="38" t="n">
        <x:v>0.44688</x:v>
      </x:c>
      <x:c r="X523" s="38" t="n">
        <x:v>0</x:v>
      </x:c>
      <x:c r="Y523" s="38" t="n">
        <x:v>0</x:v>
      </x:c>
      <x:c r="Z523" s="38" t="n">
        <x:v>0.0552</x:v>
      </x:c>
      <x:c r="AA523" s="38" t="n">
        <x:v>0.020399999999999998</x:v>
      </x:c>
      <x:c r="AB523" s="38" t="n">
        <x:v>0.0000864</x:v>
      </x:c>
      <x:c r="AC523" s="38" t="n">
        <x:v>0.3335616000000002</x:v>
      </x:c>
      <x:c r="AD523" s="28" t="n">
        <x:v>0.3896165059430367</x:v>
      </x:c>
    </x:row>
    <x:row r="524">
      <x:c r="A524" s="32" t="n">
        <x:v>45838</x:v>
      </x:c>
      <x:c r="B524" s="32" t="n">
        <x:v>45809</x:v>
      </x:c>
      <x:c r="C524" t="str">
        <x:v>Jun 2025</x:v>
      </x:c>
      <x:c r="D524" t="str">
        <x:v>Actual</x:v>
      </x:c>
      <x:c r="E524" t="str">
        <x:v>DB-105</x:v>
      </x:c>
      <x:c r="F524" t="str">
        <x:v>DreamFuel Refill Pack</x:v>
      </x:c>
      <x:c r="G524" t="str">
        <x:v>Subscription</x:v>
      </x:c>
      <x:c r="H524" t="str">
        <x:v>None</x:v>
      </x:c>
      <x:c r="I524" t="str">
        <x:v>Active</x:v>
      </x:c>
      <x:c r="J524" t="str">
        <x:v>TikTok Shop</x:v>
      </x:c>
      <x:c r="K524" t="str">
        <x:v>Social Commerce</x:v>
      </x:c>
      <x:c r="L524" t="str">
        <x:v>All Geographies</x:v>
      </x:c>
      <x:c r="M524" s="34" t="n">
        <x:v>753</x:v>
      </x:c>
      <x:c r="N524" s="28" t="n">
        <x:v>0.0489888</x:v>
      </x:c>
      <x:c r="O524" s="34" t="n">
        <x:v>37</x:v>
      </x:c>
      <x:c r="P524" s="34" t="n">
        <x:v>1</x:v>
      </x:c>
      <x:c r="Q524" s="34" t="n">
        <x:v>37</x:v>
      </x:c>
      <x:c r="R524" s="33" t="n">
        <x:v>56</x:v>
      </x:c>
      <x:c r="S524" s="38" t="n">
        <x:v>2.072</x:v>
      </x:c>
      <x:c r="T524" s="38" t="n">
        <x:v>0.24864</x:v>
      </x:c>
      <x:c r="U524" s="38" t="n">
        <x:v>0.036467200000000005</x:v>
      </x:c>
      <x:c r="V524" s="38" t="n">
        <x:v>1.7868928000000002</x:v>
      </x:c>
      <x:c r="W524" s="38" t="n">
        <x:v>0.6889400000000001</x:v>
      </x:c>
      <x:c r="X524" s="38" t="n">
        <x:v>0.05181989120000001</x:v>
      </x:c>
      <x:c r="Y524" s="38" t="n">
        <x:v>0.10721356800000001</x:v>
      </x:c>
      <x:c r="Z524" s="38" t="n">
        <x:v>0.18869999999999998</x:v>
      </x:c>
      <x:c r="AA524" s="38" t="n">
        <x:v>0.06475</x:v>
      </x:c>
      <x:c r="AB524" s="38" t="n">
        <x:v>0.00013319999999999999</x:v>
      </x:c>
      <x:c r="AC524" s="38" t="n">
        <x:v>0.6853361408</x:v>
      </x:c>
      <x:c r="AD524" s="28" t="n">
        <x:v>0.3835351179432812</x:v>
      </x:c>
    </x:row>
    <x:row r="525">
      <x:c r="A525" s="32" t="n">
        <x:v>45845</x:v>
      </x:c>
      <x:c r="B525" s="32" t="n">
        <x:v>45839</x:v>
      </x:c>
      <x:c r="C525" t="str">
        <x:v>Jul 2025</x:v>
      </x:c>
      <x:c r="D525" t="str">
        <x:v>Actual</x:v>
      </x:c>
      <x:c r="E525" t="str">
        <x:v>DB-101</x:v>
      </x:c>
      <x:c r="F525" t="str">
        <x:v>AeroSip Bottle</x:v>
      </x:c>
      <x:c r="G525" t="str">
        <x:v>One-time purchase</x:v>
      </x:c>
      <x:c r="H525" t="str">
        <x:v>None</x:v>
      </x:c>
      <x:c r="I525" t="str">
        <x:v>Active</x:v>
      </x:c>
      <x:c r="J525" t="str">
        <x:v>Shopify DTC</x:v>
      </x:c>
      <x:c r="K525" t="str">
        <x:v>Consumer</x:v>
      </x:c>
      <x:c r="L525" t="str">
        <x:v>All Geographies</x:v>
      </x:c>
      <x:c r="M525" s="34" t="n">
        <x:v>5463</x:v>
      </x:c>
      <x:c r="N525" s="28" t="n">
        <x:v>0.034199999999999994</x:v>
      </x:c>
      <x:c r="O525" s="34" t="n">
        <x:v>187</x:v>
      </x:c>
      <x:c r="P525" s="34" t="n">
        <x:v>1</x:v>
      </x:c>
      <x:c r="Q525" s="34" t="n">
        <x:v>187</x:v>
      </x:c>
      <x:c r="R525" s="33" t="n">
        <x:v>29</x:v>
      </x:c>
      <x:c r="S525" s="38" t="n">
        <x:v>5.423</x:v>
      </x:c>
      <x:c r="T525" s="38" t="n">
        <x:v>0.43384</x:v>
      </x:c>
      <x:c r="U525" s="38" t="n">
        <x:v>0.2245122</x:v>
      </x:c>
      <x:c r="V525" s="38" t="n">
        <x:v>4.7646478</x:v>
      </x:c>
      <x:c r="W525" s="38" t="n">
        <x:v>2.0196</x:v>
      </x:c>
      <x:c r="X525" s="38" t="n">
        <x:v>0.1381747862</x:v>
      </x:c>
      <x:c r="Y525" s="38" t="n">
        <x:v>0</x:v>
      </x:c>
      <x:c r="Z525" s="38" t="n">
        <x:v>0.77605</x:v>
      </x:c>
      <x:c r="AA525" s="38" t="n">
        <x:v>0.30855</x:v>
      </x:c>
      <x:c r="AB525" s="38" t="n">
        <x:v>0.006732000000000001</x:v>
      </x:c>
      <x:c r="AC525" s="38" t="n">
        <x:v>1.5155410137999996</x:v>
      </x:c>
      <x:c r="AD525" s="28" t="n">
        <x:v>0.31808038650831644</x:v>
      </x:c>
    </x:row>
    <x:row r="526">
      <x:c r="A526" s="32" t="n">
        <x:v>45845</x:v>
      </x:c>
      <x:c r="B526" s="32" t="n">
        <x:v>45839</x:v>
      </x:c>
      <x:c r="C526" t="str">
        <x:v>Jul 2025</x:v>
      </x:c>
      <x:c r="D526" t="str">
        <x:v>Actual</x:v>
      </x:c>
      <x:c r="E526" t="str">
        <x:v>DB-101</x:v>
      </x:c>
      <x:c r="F526" t="str">
        <x:v>AeroSip Bottle</x:v>
      </x:c>
      <x:c r="G526" t="str">
        <x:v>One-time purchase</x:v>
      </x:c>
      <x:c r="H526" t="str">
        <x:v>None</x:v>
      </x:c>
      <x:c r="I526" t="str">
        <x:v>Active</x:v>
      </x:c>
      <x:c r="J526" t="str">
        <x:v>Amazon Marketplace</x:v>
      </x:c>
      <x:c r="K526" t="str">
        <x:v>Marketplace Consumer</x:v>
      </x:c>
      <x:c r="L526" t="str">
        <x:v>All Geographies</x:v>
      </x:c>
      <x:c r="M526" s="34" t="n">
        <x:v>2731</x:v>
      </x:c>
      <x:c r="N526" s="28" t="n">
        <x:v>0.040355999999999996</x:v>
      </x:c>
      <x:c r="O526" s="34" t="n">
        <x:v>110</x:v>
      </x:c>
      <x:c r="P526" s="34" t="n">
        <x:v>1</x:v>
      </x:c>
      <x:c r="Q526" s="34" t="n">
        <x:v>110</x:v>
      </x:c>
      <x:c r="R526" s="33" t="n">
        <x:v>29</x:v>
      </x:c>
      <x:c r="S526" s="38" t="n">
        <x:v>3.19</x:v>
      </x:c>
      <x:c r="T526" s="38" t="n">
        <x:v>0.1595</x:v>
      </x:c>
      <x:c r="U526" s="38" t="n">
        <x:v>0.13637249999999998</x:v>
      </x:c>
      <x:c r="V526" s="38" t="n">
        <x:v>2.8941275</x:v>
      </x:c>
      <x:c r="W526" s="38" t="n">
        <x:v>1.188</x:v>
      </x:c>
      <x:c r="X526" s="38" t="n">
        <x:v>0</x:v>
      </x:c>
      <x:c r="Y526" s="38" t="n">
        <x:v>0.434119125</x:v>
      </x:c>
      <x:c r="Z526" s="38" t="n">
        <x:v>0.572</x:v>
      </x:c>
      <x:c r="AA526" s="38" t="n">
        <x:v>0.2365</x:v>
      </x:c>
      <x:c r="AB526" s="38" t="n">
        <x:v>0.00396</x:v>
      </x:c>
      <x:c r="AC526" s="38" t="n">
        <x:v>0.45954837500000023</x:v>
      </x:c>
      <x:c r="AD526" s="28" t="n">
        <x:v>0.15878649955815707</x:v>
      </x:c>
    </x:row>
    <x:row r="527">
      <x:c r="A527" s="32" t="n">
        <x:v>45845</x:v>
      </x:c>
      <x:c r="B527" s="32" t="n">
        <x:v>45839</x:v>
      </x:c>
      <x:c r="C527" t="str">
        <x:v>Jul 2025</x:v>
      </x:c>
      <x:c r="D527" t="str">
        <x:v>Actual</x:v>
      </x:c>
      <x:c r="E527" t="str">
        <x:v>DB-101</x:v>
      </x:c>
      <x:c r="F527" t="str">
        <x:v>AeroSip Bottle</x:v>
      </x:c>
      <x:c r="G527" t="str">
        <x:v>One-time purchase</x:v>
      </x:c>
      <x:c r="H527" t="str">
        <x:v>None</x:v>
      </x:c>
      <x:c r="I527" t="str">
        <x:v>Active</x:v>
      </x:c>
      <x:c r="J527" t="str">
        <x:v>Wholesale</x:v>
      </x:c>
      <x:c r="K527" t="str">
        <x:v>Retailer</x:v>
      </x:c>
      <x:c r="L527" t="str">
        <x:v>All Geographies</x:v>
      </x:c>
      <x:c r="M527" s="34" t="n">
        <x:v>1639</x:v>
      </x:c>
      <x:c r="N527" s="28" t="n">
        <x:v>0.01881</x:v>
      </x:c>
      <x:c r="O527" s="34" t="n">
        <x:v>31</x:v>
      </x:c>
      <x:c r="P527" s="34" t="n">
        <x:v>1</x:v>
      </x:c>
      <x:c r="Q527" s="34" t="n">
        <x:v>31</x:v>
      </x:c>
      <x:c r="R527" s="33" t="n">
        <x:v>29</x:v>
      </x:c>
      <x:c r="S527" s="38" t="n">
        <x:v>0.899</x:v>
      </x:c>
      <x:c r="T527" s="38" t="n">
        <x:v>0.31465</x:v>
      </x:c>
      <x:c r="U527" s="38" t="n">
        <x:v>0.02629575</x:v>
      </x:c>
      <x:c r="V527" s="38" t="n">
        <x:v>0.5580542500000001</x:v>
      </x:c>
      <x:c r="W527" s="38" t="n">
        <x:v>0.3348</x:v>
      </x:c>
      <x:c r="X527" s="38" t="n">
        <x:v>0</x:v>
      </x:c>
      <x:c r="Y527" s="38" t="n">
        <x:v>0</x:v>
      </x:c>
      <x:c r="Z527" s="38" t="n">
        <x:v>0.0713</x:v>
      </x:c>
      <x:c r="AA527" s="38" t="n">
        <x:v>0.02635</x:v>
      </x:c>
      <x:c r="AB527" s="38" t="n">
        <x:v>0.001116</x:v>
      </x:c>
      <x:c r="AC527" s="38" t="n">
        <x:v>0.12448825000000008</x:v>
      </x:c>
      <x:c r="AD527" s="28" t="n">
        <x:v>0.22307553432305202</x:v>
      </x:c>
    </x:row>
    <x:row r="528">
      <x:c r="A528" s="32" t="n">
        <x:v>45845</x:v>
      </x:c>
      <x:c r="B528" s="32" t="n">
        <x:v>45839</x:v>
      </x:c>
      <x:c r="C528" t="str">
        <x:v>Jul 2025</x:v>
      </x:c>
      <x:c r="D528" t="str">
        <x:v>Actual</x:v>
      </x:c>
      <x:c r="E528" t="str">
        <x:v>DB-101</x:v>
      </x:c>
      <x:c r="F528" t="str">
        <x:v>AeroSip Bottle</x:v>
      </x:c>
      <x:c r="G528" t="str">
        <x:v>One-time purchase</x:v>
      </x:c>
      <x:c r="H528" t="str">
        <x:v>None</x:v>
      </x:c>
      <x:c r="I528" t="str">
        <x:v>Active</x:v>
      </x:c>
      <x:c r="J528" t="str">
        <x:v>TikTok Shop</x:v>
      </x:c>
      <x:c r="K528" t="str">
        <x:v>Social Commerce</x:v>
      </x:c>
      <x:c r="L528" t="str">
        <x:v>All Geographies</x:v>
      </x:c>
      <x:c r="M528" s="34" t="n">
        <x:v>1093</x:v>
      </x:c>
      <x:c r="N528" s="28" t="n">
        <x:v>0.043092</x:v>
      </x:c>
      <x:c r="O528" s="34" t="n">
        <x:v>47</x:v>
      </x:c>
      <x:c r="P528" s="34" t="n">
        <x:v>1</x:v>
      </x:c>
      <x:c r="Q528" s="34" t="n">
        <x:v>47</x:v>
      </x:c>
      <x:c r="R528" s="33" t="n">
        <x:v>29</x:v>
      </x:c>
      <x:c r="S528" s="38" t="n">
        <x:v>1.363</x:v>
      </x:c>
      <x:c r="T528" s="38" t="n">
        <x:v>0.16355999999999998</x:v>
      </x:c>
      <x:c r="U528" s="38" t="n">
        <x:v>0.0539748</x:v>
      </x:c>
      <x:c r="V528" s="38" t="n">
        <x:v>1.1454652</x:v>
      </x:c>
      <x:c r="W528" s="38" t="n">
        <x:v>0.5076</x:v>
      </x:c>
      <x:c r="X528" s="38" t="n">
        <x:v>0.03321849080000001</x:v>
      </x:c>
      <x:c r="Y528" s="38" t="n">
        <x:v>0.068727912</x:v>
      </x:c>
      <x:c r="Z528" s="38" t="n">
        <x:v>0.2397</x:v>
      </x:c>
      <x:c r="AA528" s="38" t="n">
        <x:v>0.08225</x:v>
      </x:c>
      <x:c r="AB528" s="38" t="n">
        <x:v>0.0016920000000000001</x:v>
      </x:c>
      <x:c r="AC528" s="38" t="n">
        <x:v>0.2122767971999999</x:v>
      </x:c>
      <x:c r="AD528" s="28" t="n">
        <x:v>0.18531928966501984</x:v>
      </x:c>
    </x:row>
    <x:row r="529">
      <x:c r="A529" s="32" t="n">
        <x:v>45845</x:v>
      </x:c>
      <x:c r="B529" s="32" t="n">
        <x:v>45839</x:v>
      </x:c>
      <x:c r="C529" t="str">
        <x:v>Jul 2025</x:v>
      </x:c>
      <x:c r="D529" t="str">
        <x:v>Actual</x:v>
      </x:c>
      <x:c r="E529" t="str">
        <x:v>DB-102</x:v>
      </x:c>
      <x:c r="F529" t="str">
        <x:v>GlowPatch Balm</x:v>
      </x:c>
      <x:c r="G529" t="str">
        <x:v>Consumable repeat</x:v>
      </x:c>
      <x:c r="H529" t="str">
        <x:v>None</x:v>
      </x:c>
      <x:c r="I529" t="str">
        <x:v>Active</x:v>
      </x:c>
      <x:c r="J529" t="str">
        <x:v>Shopify DTC</x:v>
      </x:c>
      <x:c r="K529" t="str">
        <x:v>Consumer</x:v>
      </x:c>
      <x:c r="L529" t="str">
        <x:v>All Geographies</x:v>
      </x:c>
      <x:c r="M529" s="34" t="n">
        <x:v>4412</x:v>
      </x:c>
      <x:c r="N529" s="28" t="n">
        <x:v>0.04248</x:v>
      </x:c>
      <x:c r="O529" s="34" t="n">
        <x:v>187</x:v>
      </x:c>
      <x:c r="P529" s="34" t="n">
        <x:v>1</x:v>
      </x:c>
      <x:c r="Q529" s="34" t="n">
        <x:v>187</x:v>
      </x:c>
      <x:c r="R529" s="33" t="n">
        <x:v>18</x:v>
      </x:c>
      <x:c r="S529" s="38" t="n">
        <x:v>3.366</x:v>
      </x:c>
      <x:c r="T529" s="38" t="n">
        <x:v>0.26928</x:v>
      </x:c>
      <x:c r="U529" s="38" t="n">
        <x:v>0.077418</x:v>
      </x:c>
      <x:c r="V529" s="38" t="n">
        <x:v>3.0193019999999997</x:v>
      </x:c>
      <x:c r="W529" s="38" t="n">
        <x:v>1.01167</x:v>
      </x:c>
      <x:c r="X529" s="38" t="n">
        <x:v>0.087559758</x:v>
      </x:c>
      <x:c r="Y529" s="38" t="n">
        <x:v>0</x:v>
      </x:c>
      <x:c r="Z529" s="38" t="n">
        <x:v>0.77605</x:v>
      </x:c>
      <x:c r="AA529" s="38" t="n">
        <x:v>0.30855</x:v>
      </x:c>
      <x:c r="AB529" s="38" t="n">
        <x:v>0.001122</x:v>
      </x:c>
      <x:c r="AC529" s="38" t="n">
        <x:v>0.8343502419999997</x:v>
      </x:c>
      <x:c r="AD529" s="28" t="n">
        <x:v>0.2763387835996531</x:v>
      </x:c>
    </x:row>
    <x:row r="530">
      <x:c r="A530" s="32" t="n">
        <x:v>45845</x:v>
      </x:c>
      <x:c r="B530" s="32" t="n">
        <x:v>45839</x:v>
      </x:c>
      <x:c r="C530" t="str">
        <x:v>Jul 2025</x:v>
      </x:c>
      <x:c r="D530" t="str">
        <x:v>Actual</x:v>
      </x:c>
      <x:c r="E530" t="str">
        <x:v>DB-102</x:v>
      </x:c>
      <x:c r="F530" t="str">
        <x:v>GlowPatch Balm</x:v>
      </x:c>
      <x:c r="G530" t="str">
        <x:v>Consumable repeat</x:v>
      </x:c>
      <x:c r="H530" t="str">
        <x:v>None</x:v>
      </x:c>
      <x:c r="I530" t="str">
        <x:v>Active</x:v>
      </x:c>
      <x:c r="J530" t="str">
        <x:v>Amazon Marketplace</x:v>
      </x:c>
      <x:c r="K530" t="str">
        <x:v>Marketplace Consumer</x:v>
      </x:c>
      <x:c r="L530" t="str">
        <x:v>All Geographies</x:v>
      </x:c>
      <x:c r="M530" s="34" t="n">
        <x:v>2206</x:v>
      </x:c>
      <x:c r="N530" s="28" t="n">
        <x:v>0.050126399999999995</x:v>
      </x:c>
      <x:c r="O530" s="34" t="n">
        <x:v>111</x:v>
      </x:c>
      <x:c r="P530" s="34" t="n">
        <x:v>1</x:v>
      </x:c>
      <x:c r="Q530" s="34" t="n">
        <x:v>111</x:v>
      </x:c>
      <x:c r="R530" s="33" t="n">
        <x:v>18</x:v>
      </x:c>
      <x:c r="S530" s="38" t="n">
        <x:v>1.998</x:v>
      </x:c>
      <x:c r="T530" s="38" t="n">
        <x:v>0.0999</x:v>
      </x:c>
      <x:c r="U530" s="38" t="n">
        <x:v>0.0474525</x:v>
      </x:c>
      <x:c r="V530" s="38" t="n">
        <x:v>1.8506475</x:v>
      </x:c>
      <x:c r="W530" s="38" t="n">
        <x:v>0.60051</x:v>
      </x:c>
      <x:c r="X530" s="38" t="n">
        <x:v>0</x:v>
      </x:c>
      <x:c r="Y530" s="38" t="n">
        <x:v>0.277597125</x:v>
      </x:c>
      <x:c r="Z530" s="38" t="n">
        <x:v>0.5772</x:v>
      </x:c>
      <x:c r="AA530" s="38" t="n">
        <x:v>0.23864999999999997</x:v>
      </x:c>
      <x:c r="AB530" s="38" t="n">
        <x:v>0.000666</x:v>
      </x:c>
      <x:c r="AC530" s="38" t="n">
        <x:v>0.1560243750000001</x:v>
      </x:c>
      <x:c r="AD530" s="28" t="n">
        <x:v>0.0843079922027291</x:v>
      </x:c>
    </x:row>
    <x:row r="531">
      <x:c r="A531" s="32" t="n">
        <x:v>45845</x:v>
      </x:c>
      <x:c r="B531" s="32" t="n">
        <x:v>45839</x:v>
      </x:c>
      <x:c r="C531" t="str">
        <x:v>Jul 2025</x:v>
      </x:c>
      <x:c r="D531" t="str">
        <x:v>Actual</x:v>
      </x:c>
      <x:c r="E531" t="str">
        <x:v>DB-102</x:v>
      </x:c>
      <x:c r="F531" t="str">
        <x:v>GlowPatch Balm</x:v>
      </x:c>
      <x:c r="G531" t="str">
        <x:v>Consumable repeat</x:v>
      </x:c>
      <x:c r="H531" t="str">
        <x:v>None</x:v>
      </x:c>
      <x:c r="I531" t="str">
        <x:v>Active</x:v>
      </x:c>
      <x:c r="J531" t="str">
        <x:v>Wholesale</x:v>
      </x:c>
      <x:c r="K531" t="str">
        <x:v>Retailer</x:v>
      </x:c>
      <x:c r="L531" t="str">
        <x:v>All Geographies</x:v>
      </x:c>
      <x:c r="M531" s="34" t="n">
        <x:v>1324</x:v>
      </x:c>
      <x:c r="N531" s="28" t="n">
        <x:v>0.023364</x:v>
      </x:c>
      <x:c r="O531" s="34" t="n">
        <x:v>31</x:v>
      </x:c>
      <x:c r="P531" s="34" t="n">
        <x:v>1</x:v>
      </x:c>
      <x:c r="Q531" s="34" t="n">
        <x:v>31</x:v>
      </x:c>
      <x:c r="R531" s="33" t="n">
        <x:v>18</x:v>
      </x:c>
      <x:c r="S531" s="38" t="n">
        <x:v>0.558</x:v>
      </x:c>
      <x:c r="T531" s="38" t="n">
        <x:v>0.1953</x:v>
      </x:c>
      <x:c r="U531" s="38" t="n">
        <x:v>0.009067500000000001</x:v>
      </x:c>
      <x:c r="V531" s="38" t="n">
        <x:v>0.3536325</x:v>
      </x:c>
      <x:c r="W531" s="38" t="n">
        <x:v>0.16771</x:v>
      </x:c>
      <x:c r="X531" s="38" t="n">
        <x:v>0</x:v>
      </x:c>
      <x:c r="Y531" s="38" t="n">
        <x:v>0</x:v>
      </x:c>
      <x:c r="Z531" s="38" t="n">
        <x:v>0.0713</x:v>
      </x:c>
      <x:c r="AA531" s="38" t="n">
        <x:v>0.02635</x:v>
      </x:c>
      <x:c r="AB531" s="38" t="n">
        <x:v>0.000186</x:v>
      </x:c>
      <x:c r="AC531" s="38" t="n">
        <x:v>0.08808650000000001</x:v>
      </x:c>
      <x:c r="AD531" s="28" t="n">
        <x:v>0.2490905106289722</x:v>
      </x:c>
    </x:row>
    <x:row r="532">
      <x:c r="A532" s="32" t="n">
        <x:v>45845</x:v>
      </x:c>
      <x:c r="B532" s="32" t="n">
        <x:v>45839</x:v>
      </x:c>
      <x:c r="C532" t="str">
        <x:v>Jul 2025</x:v>
      </x:c>
      <x:c r="D532" t="str">
        <x:v>Actual</x:v>
      </x:c>
      <x:c r="E532" t="str">
        <x:v>DB-102</x:v>
      </x:c>
      <x:c r="F532" t="str">
        <x:v>GlowPatch Balm</x:v>
      </x:c>
      <x:c r="G532" t="str">
        <x:v>Consumable repeat</x:v>
      </x:c>
      <x:c r="H532" t="str">
        <x:v>None</x:v>
      </x:c>
      <x:c r="I532" t="str">
        <x:v>Active</x:v>
      </x:c>
      <x:c r="J532" t="str">
        <x:v>TikTok Shop</x:v>
      </x:c>
      <x:c r="K532" t="str">
        <x:v>Social Commerce</x:v>
      </x:c>
      <x:c r="L532" t="str">
        <x:v>All Geographies</x:v>
      </x:c>
      <x:c r="M532" s="34" t="n">
        <x:v>882</x:v>
      </x:c>
      <x:c r="N532" s="28" t="n">
        <x:v>0.0535248</x:v>
      </x:c>
      <x:c r="O532" s="34" t="n">
        <x:v>47</x:v>
      </x:c>
      <x:c r="P532" s="34" t="n">
        <x:v>1</x:v>
      </x:c>
      <x:c r="Q532" s="34" t="n">
        <x:v>47</x:v>
      </x:c>
      <x:c r="R532" s="33" t="n">
        <x:v>18</x:v>
      </x:c>
      <x:c r="S532" s="38" t="n">
        <x:v>0.846</x:v>
      </x:c>
      <x:c r="T532" s="38" t="n">
        <x:v>0.10152</x:v>
      </x:c>
      <x:c r="U532" s="38" t="n">
        <x:v>0.018612</x:v>
      </x:c>
      <x:c r="V532" s="38" t="n">
        <x:v>0.7258680000000001</x:v>
      </x:c>
      <x:c r="W532" s="38" t="n">
        <x:v>0.25427</x:v>
      </x:c>
      <x:c r="X532" s="38" t="n">
        <x:v>0.021050172000000002</x:v>
      </x:c>
      <x:c r="Y532" s="38" t="n">
        <x:v>0.04355208</x:v>
      </x:c>
      <x:c r="Z532" s="38" t="n">
        <x:v>0.2397</x:v>
      </x:c>
      <x:c r="AA532" s="38" t="n">
        <x:v>0.08225</x:v>
      </x:c>
      <x:c r="AB532" s="38" t="n">
        <x:v>0.000282</x:v>
      </x:c>
      <x:c r="AC532" s="38" t="n">
        <x:v>0.0847637480000001</x:v>
      </x:c>
      <x:c r="AD532" s="28" t="n">
        <x:v>0.1167757057757059</x:v>
      </x:c>
    </x:row>
    <x:row r="533">
      <x:c r="A533" s="32" t="n">
        <x:v>45845</x:v>
      </x:c>
      <x:c r="B533" s="32" t="n">
        <x:v>45839</x:v>
      </x:c>
      <x:c r="C533" t="str">
        <x:v>Jul 2025</x:v>
      </x:c>
      <x:c r="D533" t="str">
        <x:v>Actual</x:v>
      </x:c>
      <x:c r="E533" t="str">
        <x:v>DB-103</x:v>
      </x:c>
      <x:c r="F533" t="str">
        <x:v>EmberTrail Camp Mug</x:v>
      </x:c>
      <x:c r="G533" t="str">
        <x:v>One-time purchase</x:v>
      </x:c>
      <x:c r="H533" t="str">
        <x:v>Winter peak</x:v>
      </x:c>
      <x:c r="I533" t="str">
        <x:v>Active</x:v>
      </x:c>
      <x:c r="J533" t="str">
        <x:v>Shopify DTC</x:v>
      </x:c>
      <x:c r="K533" t="str">
        <x:v>Consumer</x:v>
      </x:c>
      <x:c r="L533" t="str">
        <x:v>All Geographies</x:v>
      </x:c>
      <x:c r="M533" s="34" t="n">
        <x:v>2950</x:v>
      </x:c>
      <x:c r="N533" s="28" t="n">
        <x:v>0.0324</x:v>
      </x:c>
      <x:c r="O533" s="34" t="n">
        <x:v>96</x:v>
      </x:c>
      <x:c r="P533" s="34" t="n">
        <x:v>1</x:v>
      </x:c>
      <x:c r="Q533" s="34" t="n">
        <x:v>96</x:v>
      </x:c>
      <x:c r="R533" s="33" t="n">
        <x:v>34</x:v>
      </x:c>
      <x:c r="S533" s="38" t="n">
        <x:v>3.264</x:v>
      </x:c>
      <x:c r="T533" s="38" t="n">
        <x:v>0.26111999999999996</x:v>
      </x:c>
      <x:c r="U533" s="38" t="n">
        <x:v>0.16515839999999998</x:v>
      </x:c>
      <x:c r="V533" s="38" t="n">
        <x:v>2.8377215999999996</x:v>
      </x:c>
      <x:c r="W533" s="38" t="n">
        <x:v>1.31232</x:v>
      </x:c>
      <x:c r="X533" s="38" t="n">
        <x:v>0.0822939264</x:v>
      </x:c>
      <x:c r="Y533" s="38" t="n">
        <x:v>0</x:v>
      </x:c>
      <x:c r="Z533" s="38" t="n">
        <x:v>0.39840000000000003</x:v>
      </x:c>
      <x:c r="AA533" s="38" t="n">
        <x:v>0.15839999999999999</x:v>
      </x:c>
      <x:c r="AB533" s="38" t="n">
        <x:v>0.005376000000000001</x:v>
      </x:c>
      <x:c r="AC533" s="38" t="n">
        <x:v>0.8809316735999996</x:v>
      </x:c>
      <x:c r="AD533" s="28" t="n">
        <x:v>0.31043625759482524</x:v>
      </x:c>
    </x:row>
    <x:row r="534">
      <x:c r="A534" s="32" t="n">
        <x:v>45845</x:v>
      </x:c>
      <x:c r="B534" s="32" t="n">
        <x:v>45839</x:v>
      </x:c>
      <x:c r="C534" t="str">
        <x:v>Jul 2025</x:v>
      </x:c>
      <x:c r="D534" t="str">
        <x:v>Actual</x:v>
      </x:c>
      <x:c r="E534" t="str">
        <x:v>DB-103</x:v>
      </x:c>
      <x:c r="F534" t="str">
        <x:v>EmberTrail Camp Mug</x:v>
      </x:c>
      <x:c r="G534" t="str">
        <x:v>One-time purchase</x:v>
      </x:c>
      <x:c r="H534" t="str">
        <x:v>Winter peak</x:v>
      </x:c>
      <x:c r="I534" t="str">
        <x:v>Active</x:v>
      </x:c>
      <x:c r="J534" t="str">
        <x:v>Amazon Marketplace</x:v>
      </x:c>
      <x:c r="K534" t="str">
        <x:v>Marketplace Consumer</x:v>
      </x:c>
      <x:c r="L534" t="str">
        <x:v>All Geographies</x:v>
      </x:c>
      <x:c r="M534" s="34" t="n">
        <x:v>1475</x:v>
      </x:c>
      <x:c r="N534" s="28" t="n">
        <x:v>0.038231999999999995</x:v>
      </x:c>
      <x:c r="O534" s="34" t="n">
        <x:v>56</x:v>
      </x:c>
      <x:c r="P534" s="34" t="n">
        <x:v>1</x:v>
      </x:c>
      <x:c r="Q534" s="34" t="n">
        <x:v>56</x:v>
      </x:c>
      <x:c r="R534" s="33" t="n">
        <x:v>34</x:v>
      </x:c>
      <x:c r="S534" s="38" t="n">
        <x:v>1.904</x:v>
      </x:c>
      <x:c r="T534" s="38" t="n">
        <x:v>0.0952</x:v>
      </x:c>
      <x:c r="U534" s="38" t="n">
        <x:v>0.099484</x:v>
      </x:c>
      <x:c r="V534" s="38" t="n">
        <x:v>1.709316</x:v>
      </x:c>
      <x:c r="W534" s="38" t="n">
        <x:v>0.76552</x:v>
      </x:c>
      <x:c r="X534" s="38" t="n">
        <x:v>0</x:v>
      </x:c>
      <x:c r="Y534" s="38" t="n">
        <x:v>0.2563974</x:v>
      </x:c>
      <x:c r="Z534" s="38" t="n">
        <x:v>0.2912</x:v>
      </x:c>
      <x:c r="AA534" s="38" t="n">
        <x:v>0.1204</x:v>
      </x:c>
      <x:c r="AB534" s="38" t="n">
        <x:v>0.0031360000000000003</x:v>
      </x:c>
      <x:c r="AC534" s="38" t="n">
        <x:v>0.27266260000000003</x:v>
      </x:c>
      <x:c r="AD534" s="28" t="n">
        <x:v>0.15951561911314235</x:v>
      </x:c>
    </x:row>
    <x:row r="535">
      <x:c r="A535" s="32" t="n">
        <x:v>45845</x:v>
      </x:c>
      <x:c r="B535" s="32" t="n">
        <x:v>45839</x:v>
      </x:c>
      <x:c r="C535" t="str">
        <x:v>Jul 2025</x:v>
      </x:c>
      <x:c r="D535" t="str">
        <x:v>Actual</x:v>
      </x:c>
      <x:c r="E535" t="str">
        <x:v>DB-103</x:v>
      </x:c>
      <x:c r="F535" t="str">
        <x:v>EmberTrail Camp Mug</x:v>
      </x:c>
      <x:c r="G535" t="str">
        <x:v>One-time purchase</x:v>
      </x:c>
      <x:c r="H535" t="str">
        <x:v>Winter peak</x:v>
      </x:c>
      <x:c r="I535" t="str">
        <x:v>Active</x:v>
      </x:c>
      <x:c r="J535" t="str">
        <x:v>Wholesale</x:v>
      </x:c>
      <x:c r="K535" t="str">
        <x:v>Retailer</x:v>
      </x:c>
      <x:c r="L535" t="str">
        <x:v>All Geographies</x:v>
      </x:c>
      <x:c r="M535" s="34" t="n">
        <x:v>885</x:v>
      </x:c>
      <x:c r="N535" s="28" t="n">
        <x:v>0.017820000000000003</x:v>
      </x:c>
      <x:c r="O535" s="34" t="n">
        <x:v>16</x:v>
      </x:c>
      <x:c r="P535" s="34" t="n">
        <x:v>1</x:v>
      </x:c>
      <x:c r="Q535" s="34" t="n">
        <x:v>16</x:v>
      </x:c>
      <x:c r="R535" s="33" t="n">
        <x:v>34</x:v>
      </x:c>
      <x:c r="S535" s="38" t="n">
        <x:v>0.544</x:v>
      </x:c>
      <x:c r="T535" s="38" t="n">
        <x:v>0.1904</x:v>
      </x:c>
      <x:c r="U535" s="38" t="n">
        <x:v>0.019448</x:v>
      </x:c>
      <x:c r="V535" s="38" t="n">
        <x:v>0.334152</x:v>
      </x:c>
      <x:c r="W535" s="38" t="n">
        <x:v>0.21872</x:v>
      </x:c>
      <x:c r="X535" s="38" t="n">
        <x:v>0</x:v>
      </x:c>
      <x:c r="Y535" s="38" t="n">
        <x:v>0</x:v>
      </x:c>
      <x:c r="Z535" s="38" t="n">
        <x:v>0.0368</x:v>
      </x:c>
      <x:c r="AA535" s="38" t="n">
        <x:v>0.0136</x:v>
      </x:c>
      <x:c r="AB535" s="38" t="n">
        <x:v>0.000896</x:v>
      </x:c>
      <x:c r="AC535" s="38" t="n">
        <x:v>0.06413600000000001</x:v>
      </x:c>
      <x:c r="AD535" s="28" t="n">
        <x:v>0.1919366037013096</x:v>
      </x:c>
    </x:row>
    <x:row r="536">
      <x:c r="A536" s="32" t="n">
        <x:v>45845</x:v>
      </x:c>
      <x:c r="B536" s="32" t="n">
        <x:v>45839</x:v>
      </x:c>
      <x:c r="C536" t="str">
        <x:v>Jul 2025</x:v>
      </x:c>
      <x:c r="D536" t="str">
        <x:v>Actual</x:v>
      </x:c>
      <x:c r="E536" t="str">
        <x:v>DB-103</x:v>
      </x:c>
      <x:c r="F536" t="str">
        <x:v>EmberTrail Camp Mug</x:v>
      </x:c>
      <x:c r="G536" t="str">
        <x:v>One-time purchase</x:v>
      </x:c>
      <x:c r="H536" t="str">
        <x:v>Winter peak</x:v>
      </x:c>
      <x:c r="I536" t="str">
        <x:v>Active</x:v>
      </x:c>
      <x:c r="J536" t="str">
        <x:v>TikTok Shop</x:v>
      </x:c>
      <x:c r="K536" t="str">
        <x:v>Social Commerce</x:v>
      </x:c>
      <x:c r="L536" t="str">
        <x:v>All Geographies</x:v>
      </x:c>
      <x:c r="M536" s="34" t="n">
        <x:v>590</x:v>
      </x:c>
      <x:c r="N536" s="28" t="n">
        <x:v>0.040824</x:v>
      </x:c>
      <x:c r="O536" s="34" t="n">
        <x:v>24</x:v>
      </x:c>
      <x:c r="P536" s="34" t="n">
        <x:v>1</x:v>
      </x:c>
      <x:c r="Q536" s="34" t="n">
        <x:v>24</x:v>
      </x:c>
      <x:c r="R536" s="33" t="n">
        <x:v>34</x:v>
      </x:c>
      <x:c r="S536" s="38" t="n">
        <x:v>0.816</x:v>
      </x:c>
      <x:c r="T536" s="38" t="n">
        <x:v>0.09792</x:v>
      </x:c>
      <x:c r="U536" s="38" t="n">
        <x:v>0.0394944</x:v>
      </x:c>
      <x:c r="V536" s="38" t="n">
        <x:v>0.6785855999999999</x:v>
      </x:c>
      <x:c r="W536" s="38" t="n">
        <x:v>0.32808</x:v>
      </x:c>
      <x:c r="X536" s="38" t="n">
        <x:v>0.0196789824</x:v>
      </x:c>
      <x:c r="Y536" s="38" t="n">
        <x:v>0.04071513599999999</x:v>
      </x:c>
      <x:c r="Z536" s="38" t="n">
        <x:v>0.1224</x:v>
      </x:c>
      <x:c r="AA536" s="38" t="n">
        <x:v>0.042</x:v>
      </x:c>
      <x:c r="AB536" s="38" t="n">
        <x:v>0.0013440000000000001</x:v>
      </x:c>
      <x:c r="AC536" s="38" t="n">
        <x:v>0.12436748159999993</x:v>
      </x:c>
      <x:c r="AD536" s="28" t="n">
        <x:v>0.18327456639221337</x:v>
      </x:c>
    </x:row>
    <x:row r="537">
      <x:c r="A537" s="32" t="n">
        <x:v>45845</x:v>
      </x:c>
      <x:c r="B537" s="32" t="n">
        <x:v>45839</x:v>
      </x:c>
      <x:c r="C537" t="str">
        <x:v>Jul 2025</x:v>
      </x:c>
      <x:c r="D537" t="str">
        <x:v>Actual</x:v>
      </x:c>
      <x:c r="E537" t="str">
        <x:v>DB-104</x:v>
      </x:c>
      <x:c r="F537" t="str">
        <x:v>SunNest Cooling Towel</x:v>
      </x:c>
      <x:c r="G537" t="str">
        <x:v>Consumable repeat</x:v>
      </x:c>
      <x:c r="H537" t="str">
        <x:v>Summer peak</x:v>
      </x:c>
      <x:c r="I537" t="str">
        <x:v>Active</x:v>
      </x:c>
      <x:c r="J537" t="str">
        <x:v>Shopify DTC</x:v>
      </x:c>
      <x:c r="K537" t="str">
        <x:v>Consumer</x:v>
      </x:c>
      <x:c r="L537" t="str">
        <x:v>All Geographies</x:v>
      </x:c>
      <x:c r="M537" s="34" t="n">
        <x:v>5072</x:v>
      </x:c>
      <x:c r="N537" s="28" t="n">
        <x:v>0.03312</x:v>
      </x:c>
      <x:c r="O537" s="34" t="n">
        <x:v>168</x:v>
      </x:c>
      <x:c r="P537" s="34" t="n">
        <x:v>1</x:v>
      </x:c>
      <x:c r="Q537" s="34" t="n">
        <x:v>168</x:v>
      </x:c>
      <x:c r="R537" s="33" t="n">
        <x:v>42</x:v>
      </x:c>
      <x:c r="S537" s="38" t="n">
        <x:v>7.056</x:v>
      </x:c>
      <x:c r="T537" s="38" t="n">
        <x:v>0.56448</x:v>
      </x:c>
      <x:c r="U537" s="38" t="n">
        <x:v>0.32457600000000003</x:v>
      </x:c>
      <x:c r="V537" s="38" t="n">
        <x:v>6.166944</x:v>
      </x:c>
      <x:c r="W537" s="38" t="n">
        <x:v>2.5284</x:v>
      </x:c>
      <x:c r="X537" s="38" t="n">
        <x:v>0.178841376</x:v>
      </x:c>
      <x:c r="Y537" s="38" t="n">
        <x:v>0</x:v>
      </x:c>
      <x:c r="Z537" s="38" t="n">
        <x:v>0.6972</x:v>
      </x:c>
      <x:c r="AA537" s="38" t="n">
        <x:v>0.2772</x:v>
      </x:c>
      <x:c r="AB537" s="38" t="n">
        <x:v>0.004704</x:v>
      </x:c>
      <x:c r="AC537" s="38" t="n">
        <x:v>2.480598624</x:v>
      </x:c>
      <x:c r="AD537" s="28" t="n">
        <x:v>0.4022411463441212</x:v>
      </x:c>
    </x:row>
    <x:row r="538">
      <x:c r="A538" s="32" t="n">
        <x:v>45845</x:v>
      </x:c>
      <x:c r="B538" s="32" t="n">
        <x:v>45839</x:v>
      </x:c>
      <x:c r="C538" t="str">
        <x:v>Jul 2025</x:v>
      </x:c>
      <x:c r="D538" t="str">
        <x:v>Actual</x:v>
      </x:c>
      <x:c r="E538" t="str">
        <x:v>DB-104</x:v>
      </x:c>
      <x:c r="F538" t="str">
        <x:v>SunNest Cooling Towel</x:v>
      </x:c>
      <x:c r="G538" t="str">
        <x:v>Consumable repeat</x:v>
      </x:c>
      <x:c r="H538" t="str">
        <x:v>Summer peak</x:v>
      </x:c>
      <x:c r="I538" t="str">
        <x:v>Active</x:v>
      </x:c>
      <x:c r="J538" t="str">
        <x:v>Amazon Marketplace</x:v>
      </x:c>
      <x:c r="K538" t="str">
        <x:v>Marketplace Consumer</x:v>
      </x:c>
      <x:c r="L538" t="str">
        <x:v>All Geographies</x:v>
      </x:c>
      <x:c r="M538" s="34" t="n">
        <x:v>2536</x:v>
      </x:c>
      <x:c r="N538" s="28" t="n">
        <x:v>0.0390816</x:v>
      </x:c>
      <x:c r="O538" s="34" t="n">
        <x:v>99</x:v>
      </x:c>
      <x:c r="P538" s="34" t="n">
        <x:v>1</x:v>
      </x:c>
      <x:c r="Q538" s="34" t="n">
        <x:v>99</x:v>
      </x:c>
      <x:c r="R538" s="33" t="n">
        <x:v>42</x:v>
      </x:c>
      <x:c r="S538" s="38" t="n">
        <x:v>4.158</x:v>
      </x:c>
      <x:c r="T538" s="38" t="n">
        <x:v>0.20790000000000003</x:v>
      </x:c>
      <x:c r="U538" s="38" t="n">
        <x:v>0.19750500000000004</x:v>
      </x:c>
      <x:c r="V538" s="38" t="n">
        <x:v>3.7525950000000003</x:v>
      </x:c>
      <x:c r="W538" s="38" t="n">
        <x:v>1.48995</x:v>
      </x:c>
      <x:c r="X538" s="38" t="n">
        <x:v>0</x:v>
      </x:c>
      <x:c r="Y538" s="38" t="n">
        <x:v>0.56288925</x:v>
      </x:c>
      <x:c r="Z538" s="38" t="n">
        <x:v>0.5148</x:v>
      </x:c>
      <x:c r="AA538" s="38" t="n">
        <x:v>0.21284999999999998</x:v>
      </x:c>
      <x:c r="AB538" s="38" t="n">
        <x:v>0.0027719999999999997</x:v>
      </x:c>
      <x:c r="AC538" s="38" t="n">
        <x:v>0.9693337499999999</x:v>
      </x:c>
      <x:c r="AD538" s="28" t="n">
        <x:v>0.25831024930747915</x:v>
      </x:c>
    </x:row>
    <x:row r="539">
      <x:c r="A539" s="32" t="n">
        <x:v>45845</x:v>
      </x:c>
      <x:c r="B539" s="32" t="n">
        <x:v>45839</x:v>
      </x:c>
      <x:c r="C539" t="str">
        <x:v>Jul 2025</x:v>
      </x:c>
      <x:c r="D539" t="str">
        <x:v>Actual</x:v>
      </x:c>
      <x:c r="E539" t="str">
        <x:v>DB-104</x:v>
      </x:c>
      <x:c r="F539" t="str">
        <x:v>SunNest Cooling Towel</x:v>
      </x:c>
      <x:c r="G539" t="str">
        <x:v>Consumable repeat</x:v>
      </x:c>
      <x:c r="H539" t="str">
        <x:v>Summer peak</x:v>
      </x:c>
      <x:c r="I539" t="str">
        <x:v>Active</x:v>
      </x:c>
      <x:c r="J539" t="str">
        <x:v>Wholesale</x:v>
      </x:c>
      <x:c r="K539" t="str">
        <x:v>Retailer</x:v>
      </x:c>
      <x:c r="L539" t="str">
        <x:v>All Geographies</x:v>
      </x:c>
      <x:c r="M539" s="34" t="n">
        <x:v>1522</x:v>
      </x:c>
      <x:c r="N539" s="28" t="n">
        <x:v>0.018216000000000003</x:v>
      </x:c>
      <x:c r="O539" s="34" t="n">
        <x:v>28</x:v>
      </x:c>
      <x:c r="P539" s="34" t="n">
        <x:v>1</x:v>
      </x:c>
      <x:c r="Q539" s="34" t="n">
        <x:v>28</x:v>
      </x:c>
      <x:c r="R539" s="33" t="n">
        <x:v>42</x:v>
      </x:c>
      <x:c r="S539" s="38" t="n">
        <x:v>1.176</x:v>
      </x:c>
      <x:c r="T539" s="38" t="n">
        <x:v>0.41159999999999997</x:v>
      </x:c>
      <x:c r="U539" s="38" t="n">
        <x:v>0.038220000000000004</x:v>
      </x:c>
      <x:c r="V539" s="38" t="n">
        <x:v>0.7261799999999999</x:v>
      </x:c>
      <x:c r="W539" s="38" t="n">
        <x:v>0.42140000000000005</x:v>
      </x:c>
      <x:c r="X539" s="38" t="n">
        <x:v>0</x:v>
      </x:c>
      <x:c r="Y539" s="38" t="n">
        <x:v>0</x:v>
      </x:c>
      <x:c r="Z539" s="38" t="n">
        <x:v>0.06439999999999999</x:v>
      </x:c>
      <x:c r="AA539" s="38" t="n">
        <x:v>0.0238</x:v>
      </x:c>
      <x:c r="AB539" s="38" t="n">
        <x:v>0.0007840000000000001</x:v>
      </x:c>
      <x:c r="AC539" s="38" t="n">
        <x:v>0.21579599999999988</x:v>
      </x:c>
      <x:c r="AD539" s="28" t="n">
        <x:v>0.2971659919028339</x:v>
      </x:c>
    </x:row>
    <x:row r="540">
      <x:c r="A540" s="32" t="n">
        <x:v>45845</x:v>
      </x:c>
      <x:c r="B540" s="32" t="n">
        <x:v>45839</x:v>
      </x:c>
      <x:c r="C540" t="str">
        <x:v>Jul 2025</x:v>
      </x:c>
      <x:c r="D540" t="str">
        <x:v>Actual</x:v>
      </x:c>
      <x:c r="E540" t="str">
        <x:v>DB-104</x:v>
      </x:c>
      <x:c r="F540" t="str">
        <x:v>SunNest Cooling Towel</x:v>
      </x:c>
      <x:c r="G540" t="str">
        <x:v>Consumable repeat</x:v>
      </x:c>
      <x:c r="H540" t="str">
        <x:v>Summer peak</x:v>
      </x:c>
      <x:c r="I540" t="str">
        <x:v>Active</x:v>
      </x:c>
      <x:c r="J540" t="str">
        <x:v>TikTok Shop</x:v>
      </x:c>
      <x:c r="K540" t="str">
        <x:v>Social Commerce</x:v>
      </x:c>
      <x:c r="L540" t="str">
        <x:v>All Geographies</x:v>
      </x:c>
      <x:c r="M540" s="34" t="n">
        <x:v>1014</x:v>
      </x:c>
      <x:c r="N540" s="28" t="n">
        <x:v>0.0417312</x:v>
      </x:c>
      <x:c r="O540" s="34" t="n">
        <x:v>42</x:v>
      </x:c>
      <x:c r="P540" s="34" t="n">
        <x:v>1</x:v>
      </x:c>
      <x:c r="Q540" s="34" t="n">
        <x:v>42</x:v>
      </x:c>
      <x:c r="R540" s="33" t="n">
        <x:v>42</x:v>
      </x:c>
      <x:c r="S540" s="38" t="n">
        <x:v>1.764</x:v>
      </x:c>
      <x:c r="T540" s="38" t="n">
        <x:v>0.21168</x:v>
      </x:c>
      <x:c r="U540" s="38" t="n">
        <x:v>0.077616</x:v>
      </x:c>
      <x:c r="V540" s="38" t="n">
        <x:v>1.474704</x:v>
      </x:c>
      <x:c r="W540" s="38" t="n">
        <x:v>0.6321</x:v>
      </x:c>
      <x:c r="X540" s="38" t="n">
        <x:v>0.042766416</x:v>
      </x:c>
      <x:c r="Y540" s="38" t="n">
        <x:v>0.08848224</x:v>
      </x:c>
      <x:c r="Z540" s="38" t="n">
        <x:v>0.2142</x:v>
      </x:c>
      <x:c r="AA540" s="38" t="n">
        <x:v>0.0735</x:v>
      </x:c>
      <x:c r="AB540" s="38" t="n">
        <x:v>0.001176</x:v>
      </x:c>
      <x:c r="AC540" s="38" t="n">
        <x:v>0.422479344</x:v>
      </x:c>
      <x:c r="AD540" s="28" t="n">
        <x:v>0.2864841649578492</x:v>
      </x:c>
    </x:row>
    <x:row r="541">
      <x:c r="A541" s="32" t="n">
        <x:v>45845</x:v>
      </x:c>
      <x:c r="B541" s="32" t="n">
        <x:v>45839</x:v>
      </x:c>
      <x:c r="C541" t="str">
        <x:v>Jul 2025</x:v>
      </x:c>
      <x:c r="D541" t="str">
        <x:v>Actual</x:v>
      </x:c>
      <x:c r="E541" t="str">
        <x:v>DB-105</x:v>
      </x:c>
      <x:c r="F541" t="str">
        <x:v>DreamFuel Refill Pack</x:v>
      </x:c>
      <x:c r="G541" t="str">
        <x:v>Subscription</x:v>
      </x:c>
      <x:c r="H541" t="str">
        <x:v>None</x:v>
      </x:c>
      <x:c r="I541" t="str">
        <x:v>Active</x:v>
      </x:c>
      <x:c r="J541" t="str">
        <x:v>Shopify DTC</x:v>
      </x:c>
      <x:c r="K541" t="str">
        <x:v>Consumer</x:v>
      </x:c>
      <x:c r="L541" t="str">
        <x:v>All Geographies</x:v>
      </x:c>
      <x:c r="M541" s="34" t="n">
        <x:v>3782</x:v>
      </x:c>
      <x:c r="N541" s="28" t="n">
        <x:v>0.03888</x:v>
      </x:c>
      <x:c r="O541" s="34" t="n">
        <x:v>147</x:v>
      </x:c>
      <x:c r="P541" s="34" t="n">
        <x:v>1</x:v>
      </x:c>
      <x:c r="Q541" s="34" t="n">
        <x:v>147</x:v>
      </x:c>
      <x:c r="R541" s="33" t="n">
        <x:v>56</x:v>
      </x:c>
      <x:c r="S541" s="38" t="n">
        <x:v>8.232</x:v>
      </x:c>
      <x:c r="T541" s="38" t="n">
        <x:v>0.6585599999999999</x:v>
      </x:c>
      <x:c r="U541" s="38" t="n">
        <x:v>0.1514688</x:v>
      </x:c>
      <x:c r="V541" s="38" t="n">
        <x:v>7.4219712</x:v>
      </x:c>
      <x:c r="W541" s="38" t="n">
        <x:v>2.73714</x:v>
      </x:c>
      <x:c r="X541" s="38" t="n">
        <x:v>0.2152371648</x:v>
      </x:c>
      <x:c r="Y541" s="38" t="n">
        <x:v>0</x:v>
      </x:c>
      <x:c r="Z541" s="38" t="n">
        <x:v>0.6100500000000001</x:v>
      </x:c>
      <x:c r="AA541" s="38" t="n">
        <x:v>0.24255</x:v>
      </x:c>
      <x:c r="AB541" s="38" t="n">
        <x:v>0.0005292</x:v>
      </x:c>
      <x:c r="AC541" s="38" t="n">
        <x:v>3.6164648352</x:v>
      </x:c>
      <x:c r="AD541" s="28" t="n">
        <x:v>0.48726473570794776</x:v>
      </x:c>
    </x:row>
    <x:row r="542">
      <x:c r="A542" s="32" t="n">
        <x:v>45845</x:v>
      </x:c>
      <x:c r="B542" s="32" t="n">
        <x:v>45839</x:v>
      </x:c>
      <x:c r="C542" t="str">
        <x:v>Jul 2025</x:v>
      </x:c>
      <x:c r="D542" t="str">
        <x:v>Actual</x:v>
      </x:c>
      <x:c r="E542" t="str">
        <x:v>DB-105</x:v>
      </x:c>
      <x:c r="F542" t="str">
        <x:v>DreamFuel Refill Pack</x:v>
      </x:c>
      <x:c r="G542" t="str">
        <x:v>Subscription</x:v>
      </x:c>
      <x:c r="H542" t="str">
        <x:v>None</x:v>
      </x:c>
      <x:c r="I542" t="str">
        <x:v>Active</x:v>
      </x:c>
      <x:c r="J542" t="str">
        <x:v>Amazon Marketplace</x:v>
      </x:c>
      <x:c r="K542" t="str">
        <x:v>Marketplace Consumer</x:v>
      </x:c>
      <x:c r="L542" t="str">
        <x:v>All Geographies</x:v>
      </x:c>
      <x:c r="M542" s="34" t="n">
        <x:v>1891</x:v>
      </x:c>
      <x:c r="N542" s="28" t="n">
        <x:v>0.0458784</x:v>
      </x:c>
      <x:c r="O542" s="34" t="n">
        <x:v>87</x:v>
      </x:c>
      <x:c r="P542" s="34" t="n">
        <x:v>1</x:v>
      </x:c>
      <x:c r="Q542" s="34" t="n">
        <x:v>87</x:v>
      </x:c>
      <x:c r="R542" s="33" t="n">
        <x:v>56</x:v>
      </x:c>
      <x:c r="S542" s="38" t="n">
        <x:v>4.872</x:v>
      </x:c>
      <x:c r="T542" s="38" t="n">
        <x:v>0.2436</x:v>
      </x:c>
      <x:c r="U542" s="38" t="n">
        <x:v>0.092568</x:v>
      </x:c>
      <x:c r="V542" s="38" t="n">
        <x:v>4.535832</x:v>
      </x:c>
      <x:c r="W542" s="38" t="n">
        <x:v>1.6199400000000002</x:v>
      </x:c>
      <x:c r="X542" s="38" t="n">
        <x:v>0</x:v>
      </x:c>
      <x:c r="Y542" s="38" t="n">
        <x:v>0.6803748</x:v>
      </x:c>
      <x:c r="Z542" s="38" t="n">
        <x:v>0.4524</x:v>
      </x:c>
      <x:c r="AA542" s="38" t="n">
        <x:v>0.18705</x:v>
      </x:c>
      <x:c r="AB542" s="38" t="n">
        <x:v>0.00031319999999999997</x:v>
      </x:c>
      <x:c r="AC542" s="38" t="n">
        <x:v>1.5957540000000001</x:v>
      </x:c>
      <x:c r="AD542" s="28" t="n">
        <x:v>0.35181064907165877</x:v>
      </x:c>
    </x:row>
    <x:row r="543">
      <x:c r="A543" s="32" t="n">
        <x:v>45845</x:v>
      </x:c>
      <x:c r="B543" s="32" t="n">
        <x:v>45839</x:v>
      </x:c>
      <x:c r="C543" t="str">
        <x:v>Jul 2025</x:v>
      </x:c>
      <x:c r="D543" t="str">
        <x:v>Actual</x:v>
      </x:c>
      <x:c r="E543" t="str">
        <x:v>DB-105</x:v>
      </x:c>
      <x:c r="F543" t="str">
        <x:v>DreamFuel Refill Pack</x:v>
      </x:c>
      <x:c r="G543" t="str">
        <x:v>Subscription</x:v>
      </x:c>
      <x:c r="H543" t="str">
        <x:v>None</x:v>
      </x:c>
      <x:c r="I543" t="str">
        <x:v>Active</x:v>
      </x:c>
      <x:c r="J543" t="str">
        <x:v>Wholesale</x:v>
      </x:c>
      <x:c r="K543" t="str">
        <x:v>Retailer</x:v>
      </x:c>
      <x:c r="L543" t="str">
        <x:v>All Geographies</x:v>
      </x:c>
      <x:c r="M543" s="34" t="n">
        <x:v>1135</x:v>
      </x:c>
      <x:c r="N543" s="28" t="n">
        <x:v>0.021384000000000004</x:v>
      </x:c>
      <x:c r="O543" s="34" t="n">
        <x:v>24</x:v>
      </x:c>
      <x:c r="P543" s="34" t="n">
        <x:v>1</x:v>
      </x:c>
      <x:c r="Q543" s="34" t="n">
        <x:v>24</x:v>
      </x:c>
      <x:c r="R543" s="33" t="n">
        <x:v>56</x:v>
      </x:c>
      <x:c r="S543" s="38" t="n">
        <x:v>1.344</x:v>
      </x:c>
      <x:c r="T543" s="38" t="n">
        <x:v>0.4704</x:v>
      </x:c>
      <x:c r="U543" s="38" t="n">
        <x:v>0.017472000000000005</x:v>
      </x:c>
      <x:c r="V543" s="38" t="n">
        <x:v>0.8561280000000001</x:v>
      </x:c>
      <x:c r="W543" s="38" t="n">
        <x:v>0.44688</x:v>
      </x:c>
      <x:c r="X543" s="38" t="n">
        <x:v>0</x:v>
      </x:c>
      <x:c r="Y543" s="38" t="n">
        <x:v>0</x:v>
      </x:c>
      <x:c r="Z543" s="38" t="n">
        <x:v>0.0552</x:v>
      </x:c>
      <x:c r="AA543" s="38" t="n">
        <x:v>0.020399999999999998</x:v>
      </x:c>
      <x:c r="AB543" s="38" t="n">
        <x:v>0.0000864</x:v>
      </x:c>
      <x:c r="AC543" s="38" t="n">
        <x:v>0.3335616000000002</x:v>
      </x:c>
      <x:c r="AD543" s="28" t="n">
        <x:v>0.3896165059430367</x:v>
      </x:c>
    </x:row>
    <x:row r="544">
      <x:c r="A544" s="32" t="n">
        <x:v>45845</x:v>
      </x:c>
      <x:c r="B544" s="32" t="n">
        <x:v>45839</x:v>
      </x:c>
      <x:c r="C544" t="str">
        <x:v>Jul 2025</x:v>
      </x:c>
      <x:c r="D544" t="str">
        <x:v>Actual</x:v>
      </x:c>
      <x:c r="E544" t="str">
        <x:v>DB-105</x:v>
      </x:c>
      <x:c r="F544" t="str">
        <x:v>DreamFuel Refill Pack</x:v>
      </x:c>
      <x:c r="G544" t="str">
        <x:v>Subscription</x:v>
      </x:c>
      <x:c r="H544" t="str">
        <x:v>None</x:v>
      </x:c>
      <x:c r="I544" t="str">
        <x:v>Active</x:v>
      </x:c>
      <x:c r="J544" t="str">
        <x:v>TikTok Shop</x:v>
      </x:c>
      <x:c r="K544" t="str">
        <x:v>Social Commerce</x:v>
      </x:c>
      <x:c r="L544" t="str">
        <x:v>All Geographies</x:v>
      </x:c>
      <x:c r="M544" s="34" t="n">
        <x:v>756</x:v>
      </x:c>
      <x:c r="N544" s="28" t="n">
        <x:v>0.0489888</x:v>
      </x:c>
      <x:c r="O544" s="34" t="n">
        <x:v>37</x:v>
      </x:c>
      <x:c r="P544" s="34" t="n">
        <x:v>1</x:v>
      </x:c>
      <x:c r="Q544" s="34" t="n">
        <x:v>37</x:v>
      </x:c>
      <x:c r="R544" s="33" t="n">
        <x:v>56</x:v>
      </x:c>
      <x:c r="S544" s="38" t="n">
        <x:v>2.072</x:v>
      </x:c>
      <x:c r="T544" s="38" t="n">
        <x:v>0.24864</x:v>
      </x:c>
      <x:c r="U544" s="38" t="n">
        <x:v>0.036467200000000005</x:v>
      </x:c>
      <x:c r="V544" s="38" t="n">
        <x:v>1.7868928000000002</x:v>
      </x:c>
      <x:c r="W544" s="38" t="n">
        <x:v>0.6889400000000001</x:v>
      </x:c>
      <x:c r="X544" s="38" t="n">
        <x:v>0.05181989120000001</x:v>
      </x:c>
      <x:c r="Y544" s="38" t="n">
        <x:v>0.10721356800000001</x:v>
      </x:c>
      <x:c r="Z544" s="38" t="n">
        <x:v>0.18869999999999998</x:v>
      </x:c>
      <x:c r="AA544" s="38" t="n">
        <x:v>0.06475</x:v>
      </x:c>
      <x:c r="AB544" s="38" t="n">
        <x:v>0.00013319999999999999</x:v>
      </x:c>
      <x:c r="AC544" s="38" t="n">
        <x:v>0.6853361408</x:v>
      </x:c>
      <x:c r="AD544" s="28" t="n">
        <x:v>0.3835351179432812</x:v>
      </x:c>
    </x:row>
    <x:row r="545">
      <x:c r="A545" s="32" t="n">
        <x:v>45852</x:v>
      </x:c>
      <x:c r="B545" s="32" t="n">
        <x:v>45839</x:v>
      </x:c>
      <x:c r="C545" t="str">
        <x:v>Jul 2025</x:v>
      </x:c>
      <x:c r="D545" t="str">
        <x:v>Actual</x:v>
      </x:c>
      <x:c r="E545" t="str">
        <x:v>DB-101</x:v>
      </x:c>
      <x:c r="F545" t="str">
        <x:v>AeroSip Bottle</x:v>
      </x:c>
      <x:c r="G545" t="str">
        <x:v>One-time purchase</x:v>
      </x:c>
      <x:c r="H545" t="str">
        <x:v>None</x:v>
      </x:c>
      <x:c r="I545" t="str">
        <x:v>Active</x:v>
      </x:c>
      <x:c r="J545" t="str">
        <x:v>Shopify DTC</x:v>
      </x:c>
      <x:c r="K545" t="str">
        <x:v>Consumer</x:v>
      </x:c>
      <x:c r="L545" t="str">
        <x:v>All Geographies</x:v>
      </x:c>
      <x:c r="M545" s="34" t="n">
        <x:v>5483</x:v>
      </x:c>
      <x:c r="N545" s="28" t="n">
        <x:v>0.034199999999999994</x:v>
      </x:c>
      <x:c r="O545" s="34" t="n">
        <x:v>188</x:v>
      </x:c>
      <x:c r="P545" s="34" t="n">
        <x:v>1</x:v>
      </x:c>
      <x:c r="Q545" s="34" t="n">
        <x:v>188</x:v>
      </x:c>
      <x:c r="R545" s="33" t="n">
        <x:v>29</x:v>
      </x:c>
      <x:c r="S545" s="38" t="n">
        <x:v>5.452</x:v>
      </x:c>
      <x:c r="T545" s="38" t="n">
        <x:v>0.43616</x:v>
      </x:c>
      <x:c r="U545" s="38" t="n">
        <x:v>0.2257128</x:v>
      </x:c>
      <x:c r="V545" s="38" t="n">
        <x:v>4.7901272</x:v>
      </x:c>
      <x:c r="W545" s="38" t="n">
        <x:v>2.0304</x:v>
      </x:c>
      <x:c r="X545" s="38" t="n">
        <x:v>0.1389136888</x:v>
      </x:c>
      <x:c r="Y545" s="38" t="n">
        <x:v>0</x:v>
      </x:c>
      <x:c r="Z545" s="38" t="n">
        <x:v>0.7802</x:v>
      </x:c>
      <x:c r="AA545" s="38" t="n">
        <x:v>0.3102</x:v>
      </x:c>
      <x:c r="AB545" s="38" t="n">
        <x:v>0.006768000000000001</x:v>
      </x:c>
      <x:c r="AC545" s="38" t="n">
        <x:v>1.5236455111999996</x:v>
      </x:c>
      <x:c r="AD545" s="28" t="n">
        <x:v>0.31808038650831644</x:v>
      </x:c>
    </x:row>
    <x:row r="546">
      <x:c r="A546" s="32" t="n">
        <x:v>45852</x:v>
      </x:c>
      <x:c r="B546" s="32" t="n">
        <x:v>45839</x:v>
      </x:c>
      <x:c r="C546" t="str">
        <x:v>Jul 2025</x:v>
      </x:c>
      <x:c r="D546" t="str">
        <x:v>Actual</x:v>
      </x:c>
      <x:c r="E546" t="str">
        <x:v>DB-101</x:v>
      </x:c>
      <x:c r="F546" t="str">
        <x:v>AeroSip Bottle</x:v>
      </x:c>
      <x:c r="G546" t="str">
        <x:v>One-time purchase</x:v>
      </x:c>
      <x:c r="H546" t="str">
        <x:v>None</x:v>
      </x:c>
      <x:c r="I546" t="str">
        <x:v>Active</x:v>
      </x:c>
      <x:c r="J546" t="str">
        <x:v>Amazon Marketplace</x:v>
      </x:c>
      <x:c r="K546" t="str">
        <x:v>Marketplace Consumer</x:v>
      </x:c>
      <x:c r="L546" t="str">
        <x:v>All Geographies</x:v>
      </x:c>
      <x:c r="M546" s="34" t="n">
        <x:v>2742</x:v>
      </x:c>
      <x:c r="N546" s="28" t="n">
        <x:v>0.040355999999999996</x:v>
      </x:c>
      <x:c r="O546" s="34" t="n">
        <x:v>111</x:v>
      </x:c>
      <x:c r="P546" s="34" t="n">
        <x:v>1</x:v>
      </x:c>
      <x:c r="Q546" s="34" t="n">
        <x:v>111</x:v>
      </x:c>
      <x:c r="R546" s="33" t="n">
        <x:v>29</x:v>
      </x:c>
      <x:c r="S546" s="38" t="n">
        <x:v>3.219</x:v>
      </x:c>
      <x:c r="T546" s="38" t="n">
        <x:v>0.16095</x:v>
      </x:c>
      <x:c r="U546" s="38" t="n">
        <x:v>0.13761225</x:v>
      </x:c>
      <x:c r="V546" s="38" t="n">
        <x:v>2.9204377499999996</x:v>
      </x:c>
      <x:c r="W546" s="38" t="n">
        <x:v>1.1988</x:v>
      </x:c>
      <x:c r="X546" s="38" t="n">
        <x:v>0</x:v>
      </x:c>
      <x:c r="Y546" s="38" t="n">
        <x:v>0.43806566249999995</x:v>
      </x:c>
      <x:c r="Z546" s="38" t="n">
        <x:v>0.5772</x:v>
      </x:c>
      <x:c r="AA546" s="38" t="n">
        <x:v>0.23864999999999997</x:v>
      </x:c>
      <x:c r="AB546" s="38" t="n">
        <x:v>0.003996</x:v>
      </x:c>
      <x:c r="AC546" s="38" t="n">
        <x:v>0.4637260874999996</x:v>
      </x:c>
      <x:c r="AD546" s="28" t="n">
        <x:v>0.15878649955815688</x:v>
      </x:c>
    </x:row>
    <x:row r="547">
      <x:c r="A547" s="32" t="n">
        <x:v>45852</x:v>
      </x:c>
      <x:c r="B547" s="32" t="n">
        <x:v>45839</x:v>
      </x:c>
      <x:c r="C547" t="str">
        <x:v>Jul 2025</x:v>
      </x:c>
      <x:c r="D547" t="str">
        <x:v>Actual</x:v>
      </x:c>
      <x:c r="E547" t="str">
        <x:v>DB-101</x:v>
      </x:c>
      <x:c r="F547" t="str">
        <x:v>AeroSip Bottle</x:v>
      </x:c>
      <x:c r="G547" t="str">
        <x:v>One-time purchase</x:v>
      </x:c>
      <x:c r="H547" t="str">
        <x:v>None</x:v>
      </x:c>
      <x:c r="I547" t="str">
        <x:v>Active</x:v>
      </x:c>
      <x:c r="J547" t="str">
        <x:v>Wholesale</x:v>
      </x:c>
      <x:c r="K547" t="str">
        <x:v>Retailer</x:v>
      </x:c>
      <x:c r="L547" t="str">
        <x:v>All Geographies</x:v>
      </x:c>
      <x:c r="M547" s="34" t="n">
        <x:v>1645</x:v>
      </x:c>
      <x:c r="N547" s="28" t="n">
        <x:v>0.01881</x:v>
      </x:c>
      <x:c r="O547" s="34" t="n">
        <x:v>31</x:v>
      </x:c>
      <x:c r="P547" s="34" t="n">
        <x:v>1</x:v>
      </x:c>
      <x:c r="Q547" s="34" t="n">
        <x:v>31</x:v>
      </x:c>
      <x:c r="R547" s="33" t="n">
        <x:v>29</x:v>
      </x:c>
      <x:c r="S547" s="38" t="n">
        <x:v>0.899</x:v>
      </x:c>
      <x:c r="T547" s="38" t="n">
        <x:v>0.31465</x:v>
      </x:c>
      <x:c r="U547" s="38" t="n">
        <x:v>0.02629575</x:v>
      </x:c>
      <x:c r="V547" s="38" t="n">
        <x:v>0.5580542500000001</x:v>
      </x:c>
      <x:c r="W547" s="38" t="n">
        <x:v>0.3348</x:v>
      </x:c>
      <x:c r="X547" s="38" t="n">
        <x:v>0</x:v>
      </x:c>
      <x:c r="Y547" s="38" t="n">
        <x:v>0</x:v>
      </x:c>
      <x:c r="Z547" s="38" t="n">
        <x:v>0.0713</x:v>
      </x:c>
      <x:c r="AA547" s="38" t="n">
        <x:v>0.02635</x:v>
      </x:c>
      <x:c r="AB547" s="38" t="n">
        <x:v>0.001116</x:v>
      </x:c>
      <x:c r="AC547" s="38" t="n">
        <x:v>0.12448825000000008</x:v>
      </x:c>
      <x:c r="AD547" s="28" t="n">
        <x:v>0.22307553432305202</x:v>
      </x:c>
    </x:row>
    <x:row r="548">
      <x:c r="A548" s="32" t="n">
        <x:v>45852</x:v>
      </x:c>
      <x:c r="B548" s="32" t="n">
        <x:v>45839</x:v>
      </x:c>
      <x:c r="C548" t="str">
        <x:v>Jul 2025</x:v>
      </x:c>
      <x:c r="D548" t="str">
        <x:v>Actual</x:v>
      </x:c>
      <x:c r="E548" t="str">
        <x:v>DB-101</x:v>
      </x:c>
      <x:c r="F548" t="str">
        <x:v>AeroSip Bottle</x:v>
      </x:c>
      <x:c r="G548" t="str">
        <x:v>One-time purchase</x:v>
      </x:c>
      <x:c r="H548" t="str">
        <x:v>None</x:v>
      </x:c>
      <x:c r="I548" t="str">
        <x:v>Active</x:v>
      </x:c>
      <x:c r="J548" t="str">
        <x:v>TikTok Shop</x:v>
      </x:c>
      <x:c r="K548" t="str">
        <x:v>Social Commerce</x:v>
      </x:c>
      <x:c r="L548" t="str">
        <x:v>All Geographies</x:v>
      </x:c>
      <x:c r="M548" s="34" t="n">
        <x:v>1097</x:v>
      </x:c>
      <x:c r="N548" s="28" t="n">
        <x:v>0.043092</x:v>
      </x:c>
      <x:c r="O548" s="34" t="n">
        <x:v>47</x:v>
      </x:c>
      <x:c r="P548" s="34" t="n">
        <x:v>1</x:v>
      </x:c>
      <x:c r="Q548" s="34" t="n">
        <x:v>47</x:v>
      </x:c>
      <x:c r="R548" s="33" t="n">
        <x:v>29</x:v>
      </x:c>
      <x:c r="S548" s="38" t="n">
        <x:v>1.363</x:v>
      </x:c>
      <x:c r="T548" s="38" t="n">
        <x:v>0.16355999999999998</x:v>
      </x:c>
      <x:c r="U548" s="38" t="n">
        <x:v>0.0539748</x:v>
      </x:c>
      <x:c r="V548" s="38" t="n">
        <x:v>1.1454652</x:v>
      </x:c>
      <x:c r="W548" s="38" t="n">
        <x:v>0.5076</x:v>
      </x:c>
      <x:c r="X548" s="38" t="n">
        <x:v>0.03321849080000001</x:v>
      </x:c>
      <x:c r="Y548" s="38" t="n">
        <x:v>0.068727912</x:v>
      </x:c>
      <x:c r="Z548" s="38" t="n">
        <x:v>0.2397</x:v>
      </x:c>
      <x:c r="AA548" s="38" t="n">
        <x:v>0.08225</x:v>
      </x:c>
      <x:c r="AB548" s="38" t="n">
        <x:v>0.0016920000000000001</x:v>
      </x:c>
      <x:c r="AC548" s="38" t="n">
        <x:v>0.2122767971999999</x:v>
      </x:c>
      <x:c r="AD548" s="28" t="n">
        <x:v>0.18531928966501984</x:v>
      </x:c>
    </x:row>
    <x:row r="549">
      <x:c r="A549" s="32" t="n">
        <x:v>45852</x:v>
      </x:c>
      <x:c r="B549" s="32" t="n">
        <x:v>45839</x:v>
      </x:c>
      <x:c r="C549" t="str">
        <x:v>Jul 2025</x:v>
      </x:c>
      <x:c r="D549" t="str">
        <x:v>Actual</x:v>
      </x:c>
      <x:c r="E549" t="str">
        <x:v>DB-102</x:v>
      </x:c>
      <x:c r="F549" t="str">
        <x:v>GlowPatch Balm</x:v>
      </x:c>
      <x:c r="G549" t="str">
        <x:v>Consumable repeat</x:v>
      </x:c>
      <x:c r="H549" t="str">
        <x:v>None</x:v>
      </x:c>
      <x:c r="I549" t="str">
        <x:v>Active</x:v>
      </x:c>
      <x:c r="J549" t="str">
        <x:v>Shopify DTC</x:v>
      </x:c>
      <x:c r="K549" t="str">
        <x:v>Consumer</x:v>
      </x:c>
      <x:c r="L549" t="str">
        <x:v>All Geographies</x:v>
      </x:c>
      <x:c r="M549" s="34" t="n">
        <x:v>4429</x:v>
      </x:c>
      <x:c r="N549" s="28" t="n">
        <x:v>0.04248</x:v>
      </x:c>
      <x:c r="O549" s="34" t="n">
        <x:v>188</x:v>
      </x:c>
      <x:c r="P549" s="34" t="n">
        <x:v>1</x:v>
      </x:c>
      <x:c r="Q549" s="34" t="n">
        <x:v>188</x:v>
      </x:c>
      <x:c r="R549" s="33" t="n">
        <x:v>18</x:v>
      </x:c>
      <x:c r="S549" s="38" t="n">
        <x:v>3.384</x:v>
      </x:c>
      <x:c r="T549" s="38" t="n">
        <x:v>0.27072</x:v>
      </x:c>
      <x:c r="U549" s="38" t="n">
        <x:v>0.07783200000000001</x:v>
      </x:c>
      <x:c r="V549" s="38" t="n">
        <x:v>3.035448</x:v>
      </x:c>
      <x:c r="W549" s="38" t="n">
        <x:v>1.01708</x:v>
      </x:c>
      <x:c r="X549" s="38" t="n">
        <x:v>0.08802799200000001</x:v>
      </x:c>
      <x:c r="Y549" s="38" t="n">
        <x:v>0</x:v>
      </x:c>
      <x:c r="Z549" s="38" t="n">
        <x:v>0.7802</x:v>
      </x:c>
      <x:c r="AA549" s="38" t="n">
        <x:v>0.3102</x:v>
      </x:c>
      <x:c r="AB549" s="38" t="n">
        <x:v>0.001128</x:v>
      </x:c>
      <x:c r="AC549" s="38" t="n">
        <x:v>0.8388120080000001</x:v>
      </x:c>
      <x:c r="AD549" s="28" t="n">
        <x:v>0.2763387835996532</x:v>
      </x:c>
    </x:row>
    <x:row r="550">
      <x:c r="A550" s="32" t="n">
        <x:v>45852</x:v>
      </x:c>
      <x:c r="B550" s="32" t="n">
        <x:v>45839</x:v>
      </x:c>
      <x:c r="C550" t="str">
        <x:v>Jul 2025</x:v>
      </x:c>
      <x:c r="D550" t="str">
        <x:v>Actual</x:v>
      </x:c>
      <x:c r="E550" t="str">
        <x:v>DB-102</x:v>
      </x:c>
      <x:c r="F550" t="str">
        <x:v>GlowPatch Balm</x:v>
      </x:c>
      <x:c r="G550" t="str">
        <x:v>Consumable repeat</x:v>
      </x:c>
      <x:c r="H550" t="str">
        <x:v>None</x:v>
      </x:c>
      <x:c r="I550" t="str">
        <x:v>Active</x:v>
      </x:c>
      <x:c r="J550" t="str">
        <x:v>Amazon Marketplace</x:v>
      </x:c>
      <x:c r="K550" t="str">
        <x:v>Marketplace Consumer</x:v>
      </x:c>
      <x:c r="L550" t="str">
        <x:v>All Geographies</x:v>
      </x:c>
      <x:c r="M550" s="34" t="n">
        <x:v>2214</x:v>
      </x:c>
      <x:c r="N550" s="28" t="n">
        <x:v>0.050126399999999995</x:v>
      </x:c>
      <x:c r="O550" s="34" t="n">
        <x:v>111</x:v>
      </x:c>
      <x:c r="P550" s="34" t="n">
        <x:v>1</x:v>
      </x:c>
      <x:c r="Q550" s="34" t="n">
        <x:v>111</x:v>
      </x:c>
      <x:c r="R550" s="33" t="n">
        <x:v>18</x:v>
      </x:c>
      <x:c r="S550" s="38" t="n">
        <x:v>1.998</x:v>
      </x:c>
      <x:c r="T550" s="38" t="n">
        <x:v>0.0999</x:v>
      </x:c>
      <x:c r="U550" s="38" t="n">
        <x:v>0.0474525</x:v>
      </x:c>
      <x:c r="V550" s="38" t="n">
        <x:v>1.8506475</x:v>
      </x:c>
      <x:c r="W550" s="38" t="n">
        <x:v>0.60051</x:v>
      </x:c>
      <x:c r="X550" s="38" t="n">
        <x:v>0</x:v>
      </x:c>
      <x:c r="Y550" s="38" t="n">
        <x:v>0.277597125</x:v>
      </x:c>
      <x:c r="Z550" s="38" t="n">
        <x:v>0.5772</x:v>
      </x:c>
      <x:c r="AA550" s="38" t="n">
        <x:v>0.23864999999999997</x:v>
      </x:c>
      <x:c r="AB550" s="38" t="n">
        <x:v>0.000666</x:v>
      </x:c>
      <x:c r="AC550" s="38" t="n">
        <x:v>0.1560243750000001</x:v>
      </x:c>
      <x:c r="AD550" s="28" t="n">
        <x:v>0.0843079922027291</x:v>
      </x:c>
    </x:row>
    <x:row r="551">
      <x:c r="A551" s="32" t="n">
        <x:v>45852</x:v>
      </x:c>
      <x:c r="B551" s="32" t="n">
        <x:v>45839</x:v>
      </x:c>
      <x:c r="C551" t="str">
        <x:v>Jul 2025</x:v>
      </x:c>
      <x:c r="D551" t="str">
        <x:v>Actual</x:v>
      </x:c>
      <x:c r="E551" t="str">
        <x:v>DB-102</x:v>
      </x:c>
      <x:c r="F551" t="str">
        <x:v>GlowPatch Balm</x:v>
      </x:c>
      <x:c r="G551" t="str">
        <x:v>Consumable repeat</x:v>
      </x:c>
      <x:c r="H551" t="str">
        <x:v>None</x:v>
      </x:c>
      <x:c r="I551" t="str">
        <x:v>Active</x:v>
      </x:c>
      <x:c r="J551" t="str">
        <x:v>Wholesale</x:v>
      </x:c>
      <x:c r="K551" t="str">
        <x:v>Retailer</x:v>
      </x:c>
      <x:c r="L551" t="str">
        <x:v>All Geographies</x:v>
      </x:c>
      <x:c r="M551" s="34" t="n">
        <x:v>1329</x:v>
      </x:c>
      <x:c r="N551" s="28" t="n">
        <x:v>0.023364</x:v>
      </x:c>
      <x:c r="O551" s="34" t="n">
        <x:v>31</x:v>
      </x:c>
      <x:c r="P551" s="34" t="n">
        <x:v>1</x:v>
      </x:c>
      <x:c r="Q551" s="34" t="n">
        <x:v>31</x:v>
      </x:c>
      <x:c r="R551" s="33" t="n">
        <x:v>18</x:v>
      </x:c>
      <x:c r="S551" s="38" t="n">
        <x:v>0.558</x:v>
      </x:c>
      <x:c r="T551" s="38" t="n">
        <x:v>0.1953</x:v>
      </x:c>
      <x:c r="U551" s="38" t="n">
        <x:v>0.009067500000000001</x:v>
      </x:c>
      <x:c r="V551" s="38" t="n">
        <x:v>0.3536325</x:v>
      </x:c>
      <x:c r="W551" s="38" t="n">
        <x:v>0.16771</x:v>
      </x:c>
      <x:c r="X551" s="38" t="n">
        <x:v>0</x:v>
      </x:c>
      <x:c r="Y551" s="38" t="n">
        <x:v>0</x:v>
      </x:c>
      <x:c r="Z551" s="38" t="n">
        <x:v>0.0713</x:v>
      </x:c>
      <x:c r="AA551" s="38" t="n">
        <x:v>0.02635</x:v>
      </x:c>
      <x:c r="AB551" s="38" t="n">
        <x:v>0.000186</x:v>
      </x:c>
      <x:c r="AC551" s="38" t="n">
        <x:v>0.08808650000000001</x:v>
      </x:c>
      <x:c r="AD551" s="28" t="n">
        <x:v>0.2490905106289722</x:v>
      </x:c>
    </x:row>
    <x:row r="552">
      <x:c r="A552" s="32" t="n">
        <x:v>45852</x:v>
      </x:c>
      <x:c r="B552" s="32" t="n">
        <x:v>45839</x:v>
      </x:c>
      <x:c r="C552" t="str">
        <x:v>Jul 2025</x:v>
      </x:c>
      <x:c r="D552" t="str">
        <x:v>Actual</x:v>
      </x:c>
      <x:c r="E552" t="str">
        <x:v>DB-102</x:v>
      </x:c>
      <x:c r="F552" t="str">
        <x:v>GlowPatch Balm</x:v>
      </x:c>
      <x:c r="G552" t="str">
        <x:v>Consumable repeat</x:v>
      </x:c>
      <x:c r="H552" t="str">
        <x:v>None</x:v>
      </x:c>
      <x:c r="I552" t="str">
        <x:v>Active</x:v>
      </x:c>
      <x:c r="J552" t="str">
        <x:v>TikTok Shop</x:v>
      </x:c>
      <x:c r="K552" t="str">
        <x:v>Social Commerce</x:v>
      </x:c>
      <x:c r="L552" t="str">
        <x:v>All Geographies</x:v>
      </x:c>
      <x:c r="M552" s="34" t="n">
        <x:v>886</x:v>
      </x:c>
      <x:c r="N552" s="28" t="n">
        <x:v>0.0535248</x:v>
      </x:c>
      <x:c r="O552" s="34" t="n">
        <x:v>47</x:v>
      </x:c>
      <x:c r="P552" s="34" t="n">
        <x:v>1</x:v>
      </x:c>
      <x:c r="Q552" s="34" t="n">
        <x:v>47</x:v>
      </x:c>
      <x:c r="R552" s="33" t="n">
        <x:v>18</x:v>
      </x:c>
      <x:c r="S552" s="38" t="n">
        <x:v>0.846</x:v>
      </x:c>
      <x:c r="T552" s="38" t="n">
        <x:v>0.10152</x:v>
      </x:c>
      <x:c r="U552" s="38" t="n">
        <x:v>0.018612</x:v>
      </x:c>
      <x:c r="V552" s="38" t="n">
        <x:v>0.7258680000000001</x:v>
      </x:c>
      <x:c r="W552" s="38" t="n">
        <x:v>0.25427</x:v>
      </x:c>
      <x:c r="X552" s="38" t="n">
        <x:v>0.021050172000000002</x:v>
      </x:c>
      <x:c r="Y552" s="38" t="n">
        <x:v>0.04355208</x:v>
      </x:c>
      <x:c r="Z552" s="38" t="n">
        <x:v>0.2397</x:v>
      </x:c>
      <x:c r="AA552" s="38" t="n">
        <x:v>0.08225</x:v>
      </x:c>
      <x:c r="AB552" s="38" t="n">
        <x:v>0.000282</x:v>
      </x:c>
      <x:c r="AC552" s="38" t="n">
        <x:v>0.0847637480000001</x:v>
      </x:c>
      <x:c r="AD552" s="28" t="n">
        <x:v>0.1167757057757059</x:v>
      </x:c>
    </x:row>
    <x:row r="553">
      <x:c r="A553" s="32" t="n">
        <x:v>45852</x:v>
      </x:c>
      <x:c r="B553" s="32" t="n">
        <x:v>45839</x:v>
      </x:c>
      <x:c r="C553" t="str">
        <x:v>Jul 2025</x:v>
      </x:c>
      <x:c r="D553" t="str">
        <x:v>Actual</x:v>
      </x:c>
      <x:c r="E553" t="str">
        <x:v>DB-103</x:v>
      </x:c>
      <x:c r="F553" t="str">
        <x:v>EmberTrail Camp Mug</x:v>
      </x:c>
      <x:c r="G553" t="str">
        <x:v>One-time purchase</x:v>
      </x:c>
      <x:c r="H553" t="str">
        <x:v>Winter peak</x:v>
      </x:c>
      <x:c r="I553" t="str">
        <x:v>Active</x:v>
      </x:c>
      <x:c r="J553" t="str">
        <x:v>Shopify DTC</x:v>
      </x:c>
      <x:c r="K553" t="str">
        <x:v>Consumer</x:v>
      </x:c>
      <x:c r="L553" t="str">
        <x:v>All Geographies</x:v>
      </x:c>
      <x:c r="M553" s="34" t="n">
        <x:v>2961</x:v>
      </x:c>
      <x:c r="N553" s="28" t="n">
        <x:v>0.0324</x:v>
      </x:c>
      <x:c r="O553" s="34" t="n">
        <x:v>96</x:v>
      </x:c>
      <x:c r="P553" s="34" t="n">
        <x:v>1</x:v>
      </x:c>
      <x:c r="Q553" s="34" t="n">
        <x:v>96</x:v>
      </x:c>
      <x:c r="R553" s="33" t="n">
        <x:v>34</x:v>
      </x:c>
      <x:c r="S553" s="38" t="n">
        <x:v>3.264</x:v>
      </x:c>
      <x:c r="T553" s="38" t="n">
        <x:v>0.26111999999999996</x:v>
      </x:c>
      <x:c r="U553" s="38" t="n">
        <x:v>0.16515839999999998</x:v>
      </x:c>
      <x:c r="V553" s="38" t="n">
        <x:v>2.8377215999999996</x:v>
      </x:c>
      <x:c r="W553" s="38" t="n">
        <x:v>1.31232</x:v>
      </x:c>
      <x:c r="X553" s="38" t="n">
        <x:v>0.0822939264</x:v>
      </x:c>
      <x:c r="Y553" s="38" t="n">
        <x:v>0</x:v>
      </x:c>
      <x:c r="Z553" s="38" t="n">
        <x:v>0.39840000000000003</x:v>
      </x:c>
      <x:c r="AA553" s="38" t="n">
        <x:v>0.15839999999999999</x:v>
      </x:c>
      <x:c r="AB553" s="38" t="n">
        <x:v>0.005376000000000001</x:v>
      </x:c>
      <x:c r="AC553" s="38" t="n">
        <x:v>0.8809316735999996</x:v>
      </x:c>
      <x:c r="AD553" s="28" t="n">
        <x:v>0.31043625759482524</x:v>
      </x:c>
    </x:row>
    <x:row r="554">
      <x:c r="A554" s="32" t="n">
        <x:v>45852</x:v>
      </x:c>
      <x:c r="B554" s="32" t="n">
        <x:v>45839</x:v>
      </x:c>
      <x:c r="C554" t="str">
        <x:v>Jul 2025</x:v>
      </x:c>
      <x:c r="D554" t="str">
        <x:v>Actual</x:v>
      </x:c>
      <x:c r="E554" t="str">
        <x:v>DB-103</x:v>
      </x:c>
      <x:c r="F554" t="str">
        <x:v>EmberTrail Camp Mug</x:v>
      </x:c>
      <x:c r="G554" t="str">
        <x:v>One-time purchase</x:v>
      </x:c>
      <x:c r="H554" t="str">
        <x:v>Winter peak</x:v>
      </x:c>
      <x:c r="I554" t="str">
        <x:v>Active</x:v>
      </x:c>
      <x:c r="J554" t="str">
        <x:v>Amazon Marketplace</x:v>
      </x:c>
      <x:c r="K554" t="str">
        <x:v>Marketplace Consumer</x:v>
      </x:c>
      <x:c r="L554" t="str">
        <x:v>All Geographies</x:v>
      </x:c>
      <x:c r="M554" s="34" t="n">
        <x:v>1480</x:v>
      </x:c>
      <x:c r="N554" s="28" t="n">
        <x:v>0.038231999999999995</x:v>
      </x:c>
      <x:c r="O554" s="34" t="n">
        <x:v>57</x:v>
      </x:c>
      <x:c r="P554" s="34" t="n">
        <x:v>1</x:v>
      </x:c>
      <x:c r="Q554" s="34" t="n">
        <x:v>57</x:v>
      </x:c>
      <x:c r="R554" s="33" t="n">
        <x:v>34</x:v>
      </x:c>
      <x:c r="S554" s="38" t="n">
        <x:v>1.938</x:v>
      </x:c>
      <x:c r="T554" s="38" t="n">
        <x:v>0.0969</x:v>
      </x:c>
      <x:c r="U554" s="38" t="n">
        <x:v>0.1012605</x:v>
      </x:c>
      <x:c r="V554" s="38" t="n">
        <x:v>1.7398395</x:v>
      </x:c>
      <x:c r="W554" s="38" t="n">
        <x:v>0.7791899999999999</x:v>
      </x:c>
      <x:c r="X554" s="38" t="n">
        <x:v>0</x:v>
      </x:c>
      <x:c r="Y554" s="38" t="n">
        <x:v>0.260975925</x:v>
      </x:c>
      <x:c r="Z554" s="38" t="n">
        <x:v>0.29640000000000005</x:v>
      </x:c>
      <x:c r="AA554" s="38" t="n">
        <x:v>0.12254999999999999</x:v>
      </x:c>
      <x:c r="AB554" s="38" t="n">
        <x:v>0.003192</x:v>
      </x:c>
      <x:c r="AC554" s="38" t="n">
        <x:v>0.27753157500000003</x:v>
      </x:c>
      <x:c r="AD554" s="28" t="n">
        <x:v>0.15951561911314235</x:v>
      </x:c>
    </x:row>
    <x:row r="555">
      <x:c r="A555" s="32" t="n">
        <x:v>45852</x:v>
      </x:c>
      <x:c r="B555" s="32" t="n">
        <x:v>45839</x:v>
      </x:c>
      <x:c r="C555" t="str">
        <x:v>Jul 2025</x:v>
      </x:c>
      <x:c r="D555" t="str">
        <x:v>Actual</x:v>
      </x:c>
      <x:c r="E555" t="str">
        <x:v>DB-103</x:v>
      </x:c>
      <x:c r="F555" t="str">
        <x:v>EmberTrail Camp Mug</x:v>
      </x:c>
      <x:c r="G555" t="str">
        <x:v>One-time purchase</x:v>
      </x:c>
      <x:c r="H555" t="str">
        <x:v>Winter peak</x:v>
      </x:c>
      <x:c r="I555" t="str">
        <x:v>Active</x:v>
      </x:c>
      <x:c r="J555" t="str">
        <x:v>Wholesale</x:v>
      </x:c>
      <x:c r="K555" t="str">
        <x:v>Retailer</x:v>
      </x:c>
      <x:c r="L555" t="str">
        <x:v>All Geographies</x:v>
      </x:c>
      <x:c r="M555" s="34" t="n">
        <x:v>888</x:v>
      </x:c>
      <x:c r="N555" s="28" t="n">
        <x:v>0.017820000000000003</x:v>
      </x:c>
      <x:c r="O555" s="34" t="n">
        <x:v>16</x:v>
      </x:c>
      <x:c r="P555" s="34" t="n">
        <x:v>1</x:v>
      </x:c>
      <x:c r="Q555" s="34" t="n">
        <x:v>16</x:v>
      </x:c>
      <x:c r="R555" s="33" t="n">
        <x:v>34</x:v>
      </x:c>
      <x:c r="S555" s="38" t="n">
        <x:v>0.544</x:v>
      </x:c>
      <x:c r="T555" s="38" t="n">
        <x:v>0.1904</x:v>
      </x:c>
      <x:c r="U555" s="38" t="n">
        <x:v>0.019448</x:v>
      </x:c>
      <x:c r="V555" s="38" t="n">
        <x:v>0.334152</x:v>
      </x:c>
      <x:c r="W555" s="38" t="n">
        <x:v>0.21872</x:v>
      </x:c>
      <x:c r="X555" s="38" t="n">
        <x:v>0</x:v>
      </x:c>
      <x:c r="Y555" s="38" t="n">
        <x:v>0</x:v>
      </x:c>
      <x:c r="Z555" s="38" t="n">
        <x:v>0.0368</x:v>
      </x:c>
      <x:c r="AA555" s="38" t="n">
        <x:v>0.0136</x:v>
      </x:c>
      <x:c r="AB555" s="38" t="n">
        <x:v>0.000896</x:v>
      </x:c>
      <x:c r="AC555" s="38" t="n">
        <x:v>0.06413600000000001</x:v>
      </x:c>
      <x:c r="AD555" s="28" t="n">
        <x:v>0.1919366037013096</x:v>
      </x:c>
    </x:row>
    <x:row r="556">
      <x:c r="A556" s="32" t="n">
        <x:v>45852</x:v>
      </x:c>
      <x:c r="B556" s="32" t="n">
        <x:v>45839</x:v>
      </x:c>
      <x:c r="C556" t="str">
        <x:v>Jul 2025</x:v>
      </x:c>
      <x:c r="D556" t="str">
        <x:v>Actual</x:v>
      </x:c>
      <x:c r="E556" t="str">
        <x:v>DB-103</x:v>
      </x:c>
      <x:c r="F556" t="str">
        <x:v>EmberTrail Camp Mug</x:v>
      </x:c>
      <x:c r="G556" t="str">
        <x:v>One-time purchase</x:v>
      </x:c>
      <x:c r="H556" t="str">
        <x:v>Winter peak</x:v>
      </x:c>
      <x:c r="I556" t="str">
        <x:v>Active</x:v>
      </x:c>
      <x:c r="J556" t="str">
        <x:v>TikTok Shop</x:v>
      </x:c>
      <x:c r="K556" t="str">
        <x:v>Social Commerce</x:v>
      </x:c>
      <x:c r="L556" t="str">
        <x:v>All Geographies</x:v>
      </x:c>
      <x:c r="M556" s="34" t="n">
        <x:v>592</x:v>
      </x:c>
      <x:c r="N556" s="28" t="n">
        <x:v>0.040824</x:v>
      </x:c>
      <x:c r="O556" s="34" t="n">
        <x:v>24</x:v>
      </x:c>
      <x:c r="P556" s="34" t="n">
        <x:v>1</x:v>
      </x:c>
      <x:c r="Q556" s="34" t="n">
        <x:v>24</x:v>
      </x:c>
      <x:c r="R556" s="33" t="n">
        <x:v>34</x:v>
      </x:c>
      <x:c r="S556" s="38" t="n">
        <x:v>0.816</x:v>
      </x:c>
      <x:c r="T556" s="38" t="n">
        <x:v>0.09792</x:v>
      </x:c>
      <x:c r="U556" s="38" t="n">
        <x:v>0.0394944</x:v>
      </x:c>
      <x:c r="V556" s="38" t="n">
        <x:v>0.6785855999999999</x:v>
      </x:c>
      <x:c r="W556" s="38" t="n">
        <x:v>0.32808</x:v>
      </x:c>
      <x:c r="X556" s="38" t="n">
        <x:v>0.0196789824</x:v>
      </x:c>
      <x:c r="Y556" s="38" t="n">
        <x:v>0.04071513599999999</x:v>
      </x:c>
      <x:c r="Z556" s="38" t="n">
        <x:v>0.1224</x:v>
      </x:c>
      <x:c r="AA556" s="38" t="n">
        <x:v>0.042</x:v>
      </x:c>
      <x:c r="AB556" s="38" t="n">
        <x:v>0.0013440000000000001</x:v>
      </x:c>
      <x:c r="AC556" s="38" t="n">
        <x:v>0.12436748159999993</x:v>
      </x:c>
      <x:c r="AD556" s="28" t="n">
        <x:v>0.18327456639221337</x:v>
      </x:c>
    </x:row>
    <x:row r="557">
      <x:c r="A557" s="32" t="n">
        <x:v>45852</x:v>
      </x:c>
      <x:c r="B557" s="32" t="n">
        <x:v>45839</x:v>
      </x:c>
      <x:c r="C557" t="str">
        <x:v>Jul 2025</x:v>
      </x:c>
      <x:c r="D557" t="str">
        <x:v>Actual</x:v>
      </x:c>
      <x:c r="E557" t="str">
        <x:v>DB-104</x:v>
      </x:c>
      <x:c r="F557" t="str">
        <x:v>SunNest Cooling Towel</x:v>
      </x:c>
      <x:c r="G557" t="str">
        <x:v>Consumable repeat</x:v>
      </x:c>
      <x:c r="H557" t="str">
        <x:v>Summer peak</x:v>
      </x:c>
      <x:c r="I557" t="str">
        <x:v>Active</x:v>
      </x:c>
      <x:c r="J557" t="str">
        <x:v>Shopify DTC</x:v>
      </x:c>
      <x:c r="K557" t="str">
        <x:v>Consumer</x:v>
      </x:c>
      <x:c r="L557" t="str">
        <x:v>All Geographies</x:v>
      </x:c>
      <x:c r="M557" s="34" t="n">
        <x:v>5091</x:v>
      </x:c>
      <x:c r="N557" s="28" t="n">
        <x:v>0.03312</x:v>
      </x:c>
      <x:c r="O557" s="34" t="n">
        <x:v>169</x:v>
      </x:c>
      <x:c r="P557" s="34" t="n">
        <x:v>1</x:v>
      </x:c>
      <x:c r="Q557" s="34" t="n">
        <x:v>169</x:v>
      </x:c>
      <x:c r="R557" s="33" t="n">
        <x:v>42</x:v>
      </x:c>
      <x:c r="S557" s="38" t="n">
        <x:v>7.098</x:v>
      </x:c>
      <x:c r="T557" s="38" t="n">
        <x:v>0.56784</x:v>
      </x:c>
      <x:c r="U557" s="38" t="n">
        <x:v>0.326508</x:v>
      </x:c>
      <x:c r="V557" s="38" t="n">
        <x:v>6.203652</x:v>
      </x:c>
      <x:c r="W557" s="38" t="n">
        <x:v>2.5434500000000004</x:v>
      </x:c>
      <x:c r="X557" s="38" t="n">
        <x:v>0.179905908</x:v>
      </x:c>
      <x:c r="Y557" s="38" t="n">
        <x:v>0</x:v>
      </x:c>
      <x:c r="Z557" s="38" t="n">
        <x:v>0.70135</x:v>
      </x:c>
      <x:c r="AA557" s="38" t="n">
        <x:v>0.27885</x:v>
      </x:c>
      <x:c r="AB557" s="38" t="n">
        <x:v>0.004731999999999999</x:v>
      </x:c>
      <x:c r="AC557" s="38" t="n">
        <x:v>2.4953640919999995</x:v>
      </x:c>
      <x:c r="AD557" s="28" t="n">
        <x:v>0.4022411463441211</x:v>
      </x:c>
    </x:row>
    <x:row r="558">
      <x:c r="A558" s="32" t="n">
        <x:v>45852</x:v>
      </x:c>
      <x:c r="B558" s="32" t="n">
        <x:v>45839</x:v>
      </x:c>
      <x:c r="C558" t="str">
        <x:v>Jul 2025</x:v>
      </x:c>
      <x:c r="D558" t="str">
        <x:v>Actual</x:v>
      </x:c>
      <x:c r="E558" t="str">
        <x:v>DB-104</x:v>
      </x:c>
      <x:c r="F558" t="str">
        <x:v>SunNest Cooling Towel</x:v>
      </x:c>
      <x:c r="G558" t="str">
        <x:v>Consumable repeat</x:v>
      </x:c>
      <x:c r="H558" t="str">
        <x:v>Summer peak</x:v>
      </x:c>
      <x:c r="I558" t="str">
        <x:v>Active</x:v>
      </x:c>
      <x:c r="J558" t="str">
        <x:v>Amazon Marketplace</x:v>
      </x:c>
      <x:c r="K558" t="str">
        <x:v>Marketplace Consumer</x:v>
      </x:c>
      <x:c r="L558" t="str">
        <x:v>All Geographies</x:v>
      </x:c>
      <x:c r="M558" s="34" t="n">
        <x:v>2545</x:v>
      </x:c>
      <x:c r="N558" s="28" t="n">
        <x:v>0.0390816</x:v>
      </x:c>
      <x:c r="O558" s="34" t="n">
        <x:v>99</x:v>
      </x:c>
      <x:c r="P558" s="34" t="n">
        <x:v>1</x:v>
      </x:c>
      <x:c r="Q558" s="34" t="n">
        <x:v>99</x:v>
      </x:c>
      <x:c r="R558" s="33" t="n">
        <x:v>42</x:v>
      </x:c>
      <x:c r="S558" s="38" t="n">
        <x:v>4.158</x:v>
      </x:c>
      <x:c r="T558" s="38" t="n">
        <x:v>0.20790000000000003</x:v>
      </x:c>
      <x:c r="U558" s="38" t="n">
        <x:v>0.19750500000000004</x:v>
      </x:c>
      <x:c r="V558" s="38" t="n">
        <x:v>3.7525950000000003</x:v>
      </x:c>
      <x:c r="W558" s="38" t="n">
        <x:v>1.48995</x:v>
      </x:c>
      <x:c r="X558" s="38" t="n">
        <x:v>0</x:v>
      </x:c>
      <x:c r="Y558" s="38" t="n">
        <x:v>0.56288925</x:v>
      </x:c>
      <x:c r="Z558" s="38" t="n">
        <x:v>0.5148</x:v>
      </x:c>
      <x:c r="AA558" s="38" t="n">
        <x:v>0.21284999999999998</x:v>
      </x:c>
      <x:c r="AB558" s="38" t="n">
        <x:v>0.0027719999999999997</x:v>
      </x:c>
      <x:c r="AC558" s="38" t="n">
        <x:v>0.9693337499999999</x:v>
      </x:c>
      <x:c r="AD558" s="28" t="n">
        <x:v>0.25831024930747915</x:v>
      </x:c>
    </x:row>
    <x:row r="559">
      <x:c r="A559" s="32" t="n">
        <x:v>45852</x:v>
      </x:c>
      <x:c r="B559" s="32" t="n">
        <x:v>45839</x:v>
      </x:c>
      <x:c r="C559" t="str">
        <x:v>Jul 2025</x:v>
      </x:c>
      <x:c r="D559" t="str">
        <x:v>Actual</x:v>
      </x:c>
      <x:c r="E559" t="str">
        <x:v>DB-104</x:v>
      </x:c>
      <x:c r="F559" t="str">
        <x:v>SunNest Cooling Towel</x:v>
      </x:c>
      <x:c r="G559" t="str">
        <x:v>Consumable repeat</x:v>
      </x:c>
      <x:c r="H559" t="str">
        <x:v>Summer peak</x:v>
      </x:c>
      <x:c r="I559" t="str">
        <x:v>Active</x:v>
      </x:c>
      <x:c r="J559" t="str">
        <x:v>Wholesale</x:v>
      </x:c>
      <x:c r="K559" t="str">
        <x:v>Retailer</x:v>
      </x:c>
      <x:c r="L559" t="str">
        <x:v>All Geographies</x:v>
      </x:c>
      <x:c r="M559" s="34" t="n">
        <x:v>1527</x:v>
      </x:c>
      <x:c r="N559" s="28" t="n">
        <x:v>0.018216000000000003</x:v>
      </x:c>
      <x:c r="O559" s="34" t="n">
        <x:v>28</x:v>
      </x:c>
      <x:c r="P559" s="34" t="n">
        <x:v>1</x:v>
      </x:c>
      <x:c r="Q559" s="34" t="n">
        <x:v>28</x:v>
      </x:c>
      <x:c r="R559" s="33" t="n">
        <x:v>42</x:v>
      </x:c>
      <x:c r="S559" s="38" t="n">
        <x:v>1.176</x:v>
      </x:c>
      <x:c r="T559" s="38" t="n">
        <x:v>0.41159999999999997</x:v>
      </x:c>
      <x:c r="U559" s="38" t="n">
        <x:v>0.038220000000000004</x:v>
      </x:c>
      <x:c r="V559" s="38" t="n">
        <x:v>0.7261799999999999</x:v>
      </x:c>
      <x:c r="W559" s="38" t="n">
        <x:v>0.42140000000000005</x:v>
      </x:c>
      <x:c r="X559" s="38" t="n">
        <x:v>0</x:v>
      </x:c>
      <x:c r="Y559" s="38" t="n">
        <x:v>0</x:v>
      </x:c>
      <x:c r="Z559" s="38" t="n">
        <x:v>0.06439999999999999</x:v>
      </x:c>
      <x:c r="AA559" s="38" t="n">
        <x:v>0.0238</x:v>
      </x:c>
      <x:c r="AB559" s="38" t="n">
        <x:v>0.0007840000000000001</x:v>
      </x:c>
      <x:c r="AC559" s="38" t="n">
        <x:v>0.21579599999999988</x:v>
      </x:c>
      <x:c r="AD559" s="28" t="n">
        <x:v>0.2971659919028339</x:v>
      </x:c>
    </x:row>
    <x:row r="560">
      <x:c r="A560" s="32" t="n">
        <x:v>45852</x:v>
      </x:c>
      <x:c r="B560" s="32" t="n">
        <x:v>45839</x:v>
      </x:c>
      <x:c r="C560" t="str">
        <x:v>Jul 2025</x:v>
      </x:c>
      <x:c r="D560" t="str">
        <x:v>Actual</x:v>
      </x:c>
      <x:c r="E560" t="str">
        <x:v>DB-104</x:v>
      </x:c>
      <x:c r="F560" t="str">
        <x:v>SunNest Cooling Towel</x:v>
      </x:c>
      <x:c r="G560" t="str">
        <x:v>Consumable repeat</x:v>
      </x:c>
      <x:c r="H560" t="str">
        <x:v>Summer peak</x:v>
      </x:c>
      <x:c r="I560" t="str">
        <x:v>Active</x:v>
      </x:c>
      <x:c r="J560" t="str">
        <x:v>TikTok Shop</x:v>
      </x:c>
      <x:c r="K560" t="str">
        <x:v>Social Commerce</x:v>
      </x:c>
      <x:c r="L560" t="str">
        <x:v>All Geographies</x:v>
      </x:c>
      <x:c r="M560" s="34" t="n">
        <x:v>1018</x:v>
      </x:c>
      <x:c r="N560" s="28" t="n">
        <x:v>0.0417312</x:v>
      </x:c>
      <x:c r="O560" s="34" t="n">
        <x:v>42</x:v>
      </x:c>
      <x:c r="P560" s="34" t="n">
        <x:v>1</x:v>
      </x:c>
      <x:c r="Q560" s="34" t="n">
        <x:v>42</x:v>
      </x:c>
      <x:c r="R560" s="33" t="n">
        <x:v>42</x:v>
      </x:c>
      <x:c r="S560" s="38" t="n">
        <x:v>1.764</x:v>
      </x:c>
      <x:c r="T560" s="38" t="n">
        <x:v>0.21168</x:v>
      </x:c>
      <x:c r="U560" s="38" t="n">
        <x:v>0.077616</x:v>
      </x:c>
      <x:c r="V560" s="38" t="n">
        <x:v>1.474704</x:v>
      </x:c>
      <x:c r="W560" s="38" t="n">
        <x:v>0.6321</x:v>
      </x:c>
      <x:c r="X560" s="38" t="n">
        <x:v>0.042766416</x:v>
      </x:c>
      <x:c r="Y560" s="38" t="n">
        <x:v>0.08848224</x:v>
      </x:c>
      <x:c r="Z560" s="38" t="n">
        <x:v>0.2142</x:v>
      </x:c>
      <x:c r="AA560" s="38" t="n">
        <x:v>0.0735</x:v>
      </x:c>
      <x:c r="AB560" s="38" t="n">
        <x:v>0.001176</x:v>
      </x:c>
      <x:c r="AC560" s="38" t="n">
        <x:v>0.422479344</x:v>
      </x:c>
      <x:c r="AD560" s="28" t="n">
        <x:v>0.2864841649578492</x:v>
      </x:c>
    </x:row>
    <x:row r="561">
      <x:c r="A561" s="32" t="n">
        <x:v>45852</x:v>
      </x:c>
      <x:c r="B561" s="32" t="n">
        <x:v>45839</x:v>
      </x:c>
      <x:c r="C561" t="str">
        <x:v>Jul 2025</x:v>
      </x:c>
      <x:c r="D561" t="str">
        <x:v>Actual</x:v>
      </x:c>
      <x:c r="E561" t="str">
        <x:v>DB-105</x:v>
      </x:c>
      <x:c r="F561" t="str">
        <x:v>DreamFuel Refill Pack</x:v>
      </x:c>
      <x:c r="G561" t="str">
        <x:v>Subscription</x:v>
      </x:c>
      <x:c r="H561" t="str">
        <x:v>None</x:v>
      </x:c>
      <x:c r="I561" t="str">
        <x:v>Active</x:v>
      </x:c>
      <x:c r="J561" t="str">
        <x:v>Shopify DTC</x:v>
      </x:c>
      <x:c r="K561" t="str">
        <x:v>Consumer</x:v>
      </x:c>
      <x:c r="L561" t="str">
        <x:v>All Geographies</x:v>
      </x:c>
      <x:c r="M561" s="34" t="n">
        <x:v>3796</x:v>
      </x:c>
      <x:c r="N561" s="28" t="n">
        <x:v>0.03888</x:v>
      </x:c>
      <x:c r="O561" s="34" t="n">
        <x:v>148</x:v>
      </x:c>
      <x:c r="P561" s="34" t="n">
        <x:v>1</x:v>
      </x:c>
      <x:c r="Q561" s="34" t="n">
        <x:v>148</x:v>
      </x:c>
      <x:c r="R561" s="33" t="n">
        <x:v>56</x:v>
      </x:c>
      <x:c r="S561" s="38" t="n">
        <x:v>8.288</x:v>
      </x:c>
      <x:c r="T561" s="38" t="n">
        <x:v>0.6630400000000001</x:v>
      </x:c>
      <x:c r="U561" s="38" t="n">
        <x:v>0.1524992</x:v>
      </x:c>
      <x:c r="V561" s="38" t="n">
        <x:v>7.4724607999999995</x:v>
      </x:c>
      <x:c r="W561" s="38" t="n">
        <x:v>2.7557600000000004</x:v>
      </x:c>
      <x:c r="X561" s="38" t="n">
        <x:v>0.2167013632</x:v>
      </x:c>
      <x:c r="Y561" s="38" t="n">
        <x:v>0</x:v>
      </x:c>
      <x:c r="Z561" s="38" t="n">
        <x:v>0.6142000000000001</x:v>
      </x:c>
      <x:c r="AA561" s="38" t="n">
        <x:v>0.2442</x:v>
      </x:c>
      <x:c r="AB561" s="38" t="n">
        <x:v>0.0005327999999999999</x:v>
      </x:c>
      <x:c r="AC561" s="38" t="n">
        <x:v>3.641066636799998</x:v>
      </x:c>
      <x:c r="AD561" s="28" t="n">
        <x:v>0.48726473570794754</x:v>
      </x:c>
    </x:row>
    <x:row r="562">
      <x:c r="A562" s="32" t="n">
        <x:v>45852</x:v>
      </x:c>
      <x:c r="B562" s="32" t="n">
        <x:v>45839</x:v>
      </x:c>
      <x:c r="C562" t="str">
        <x:v>Jul 2025</x:v>
      </x:c>
      <x:c r="D562" t="str">
        <x:v>Actual</x:v>
      </x:c>
      <x:c r="E562" t="str">
        <x:v>DB-105</x:v>
      </x:c>
      <x:c r="F562" t="str">
        <x:v>DreamFuel Refill Pack</x:v>
      </x:c>
      <x:c r="G562" t="str">
        <x:v>Subscription</x:v>
      </x:c>
      <x:c r="H562" t="str">
        <x:v>None</x:v>
      </x:c>
      <x:c r="I562" t="str">
        <x:v>Active</x:v>
      </x:c>
      <x:c r="J562" t="str">
        <x:v>Amazon Marketplace</x:v>
      </x:c>
      <x:c r="K562" t="str">
        <x:v>Marketplace Consumer</x:v>
      </x:c>
      <x:c r="L562" t="str">
        <x:v>All Geographies</x:v>
      </x:c>
      <x:c r="M562" s="34" t="n">
        <x:v>1898</x:v>
      </x:c>
      <x:c r="N562" s="28" t="n">
        <x:v>0.0458784</x:v>
      </x:c>
      <x:c r="O562" s="34" t="n">
        <x:v>87</x:v>
      </x:c>
      <x:c r="P562" s="34" t="n">
        <x:v>1</x:v>
      </x:c>
      <x:c r="Q562" s="34" t="n">
        <x:v>87</x:v>
      </x:c>
      <x:c r="R562" s="33" t="n">
        <x:v>56</x:v>
      </x:c>
      <x:c r="S562" s="38" t="n">
        <x:v>4.872</x:v>
      </x:c>
      <x:c r="T562" s="38" t="n">
        <x:v>0.2436</x:v>
      </x:c>
      <x:c r="U562" s="38" t="n">
        <x:v>0.092568</x:v>
      </x:c>
      <x:c r="V562" s="38" t="n">
        <x:v>4.535832</x:v>
      </x:c>
      <x:c r="W562" s="38" t="n">
        <x:v>1.6199400000000002</x:v>
      </x:c>
      <x:c r="X562" s="38" t="n">
        <x:v>0</x:v>
      </x:c>
      <x:c r="Y562" s="38" t="n">
        <x:v>0.6803748</x:v>
      </x:c>
      <x:c r="Z562" s="38" t="n">
        <x:v>0.4524</x:v>
      </x:c>
      <x:c r="AA562" s="38" t="n">
        <x:v>0.18705</x:v>
      </x:c>
      <x:c r="AB562" s="38" t="n">
        <x:v>0.00031319999999999997</x:v>
      </x:c>
      <x:c r="AC562" s="38" t="n">
        <x:v>1.5957540000000001</x:v>
      </x:c>
      <x:c r="AD562" s="28" t="n">
        <x:v>0.35181064907165877</x:v>
      </x:c>
    </x:row>
    <x:row r="563">
      <x:c r="A563" s="32" t="n">
        <x:v>45852</x:v>
      </x:c>
      <x:c r="B563" s="32" t="n">
        <x:v>45839</x:v>
      </x:c>
      <x:c r="C563" t="str">
        <x:v>Jul 2025</x:v>
      </x:c>
      <x:c r="D563" t="str">
        <x:v>Actual</x:v>
      </x:c>
      <x:c r="E563" t="str">
        <x:v>DB-105</x:v>
      </x:c>
      <x:c r="F563" t="str">
        <x:v>DreamFuel Refill Pack</x:v>
      </x:c>
      <x:c r="G563" t="str">
        <x:v>Subscription</x:v>
      </x:c>
      <x:c r="H563" t="str">
        <x:v>None</x:v>
      </x:c>
      <x:c r="I563" t="str">
        <x:v>Active</x:v>
      </x:c>
      <x:c r="J563" t="str">
        <x:v>Wholesale</x:v>
      </x:c>
      <x:c r="K563" t="str">
        <x:v>Retailer</x:v>
      </x:c>
      <x:c r="L563" t="str">
        <x:v>All Geographies</x:v>
      </x:c>
      <x:c r="M563" s="34" t="n">
        <x:v>1139</x:v>
      </x:c>
      <x:c r="N563" s="28" t="n">
        <x:v>0.021384000000000004</x:v>
      </x:c>
      <x:c r="O563" s="34" t="n">
        <x:v>24</x:v>
      </x:c>
      <x:c r="P563" s="34" t="n">
        <x:v>1</x:v>
      </x:c>
      <x:c r="Q563" s="34" t="n">
        <x:v>24</x:v>
      </x:c>
      <x:c r="R563" s="33" t="n">
        <x:v>56</x:v>
      </x:c>
      <x:c r="S563" s="38" t="n">
        <x:v>1.344</x:v>
      </x:c>
      <x:c r="T563" s="38" t="n">
        <x:v>0.4704</x:v>
      </x:c>
      <x:c r="U563" s="38" t="n">
        <x:v>0.017472000000000005</x:v>
      </x:c>
      <x:c r="V563" s="38" t="n">
        <x:v>0.8561280000000001</x:v>
      </x:c>
      <x:c r="W563" s="38" t="n">
        <x:v>0.44688</x:v>
      </x:c>
      <x:c r="X563" s="38" t="n">
        <x:v>0</x:v>
      </x:c>
      <x:c r="Y563" s="38" t="n">
        <x:v>0</x:v>
      </x:c>
      <x:c r="Z563" s="38" t="n">
        <x:v>0.0552</x:v>
      </x:c>
      <x:c r="AA563" s="38" t="n">
        <x:v>0.020399999999999998</x:v>
      </x:c>
      <x:c r="AB563" s="38" t="n">
        <x:v>0.0000864</x:v>
      </x:c>
      <x:c r="AC563" s="38" t="n">
        <x:v>0.3335616000000002</x:v>
      </x:c>
      <x:c r="AD563" s="28" t="n">
        <x:v>0.3896165059430367</x:v>
      </x:c>
    </x:row>
    <x:row r="564">
      <x:c r="A564" s="32" t="n">
        <x:v>45852</x:v>
      </x:c>
      <x:c r="B564" s="32" t="n">
        <x:v>45839</x:v>
      </x:c>
      <x:c r="C564" t="str">
        <x:v>Jul 2025</x:v>
      </x:c>
      <x:c r="D564" t="str">
        <x:v>Actual</x:v>
      </x:c>
      <x:c r="E564" t="str">
        <x:v>DB-105</x:v>
      </x:c>
      <x:c r="F564" t="str">
        <x:v>DreamFuel Refill Pack</x:v>
      </x:c>
      <x:c r="G564" t="str">
        <x:v>Subscription</x:v>
      </x:c>
      <x:c r="H564" t="str">
        <x:v>None</x:v>
      </x:c>
      <x:c r="I564" t="str">
        <x:v>Active</x:v>
      </x:c>
      <x:c r="J564" t="str">
        <x:v>TikTok Shop</x:v>
      </x:c>
      <x:c r="K564" t="str">
        <x:v>Social Commerce</x:v>
      </x:c>
      <x:c r="L564" t="str">
        <x:v>All Geographies</x:v>
      </x:c>
      <x:c r="M564" s="34" t="n">
        <x:v>759</x:v>
      </x:c>
      <x:c r="N564" s="28" t="n">
        <x:v>0.0489888</x:v>
      </x:c>
      <x:c r="O564" s="34" t="n">
        <x:v>37</x:v>
      </x:c>
      <x:c r="P564" s="34" t="n">
        <x:v>1</x:v>
      </x:c>
      <x:c r="Q564" s="34" t="n">
        <x:v>37</x:v>
      </x:c>
      <x:c r="R564" s="33" t="n">
        <x:v>56</x:v>
      </x:c>
      <x:c r="S564" s="38" t="n">
        <x:v>2.072</x:v>
      </x:c>
      <x:c r="T564" s="38" t="n">
        <x:v>0.24864</x:v>
      </x:c>
      <x:c r="U564" s="38" t="n">
        <x:v>0.036467200000000005</x:v>
      </x:c>
      <x:c r="V564" s="38" t="n">
        <x:v>1.7868928000000002</x:v>
      </x:c>
      <x:c r="W564" s="38" t="n">
        <x:v>0.6889400000000001</x:v>
      </x:c>
      <x:c r="X564" s="38" t="n">
        <x:v>0.05181989120000001</x:v>
      </x:c>
      <x:c r="Y564" s="38" t="n">
        <x:v>0.10721356800000001</x:v>
      </x:c>
      <x:c r="Z564" s="38" t="n">
        <x:v>0.18869999999999998</x:v>
      </x:c>
      <x:c r="AA564" s="38" t="n">
        <x:v>0.06475</x:v>
      </x:c>
      <x:c r="AB564" s="38" t="n">
        <x:v>0.00013319999999999999</x:v>
      </x:c>
      <x:c r="AC564" s="38" t="n">
        <x:v>0.6853361408</x:v>
      </x:c>
      <x:c r="AD564" s="28" t="n">
        <x:v>0.3835351179432812</x:v>
      </x:c>
    </x:row>
    <x:row r="565">
      <x:c r="A565" s="32" t="n">
        <x:v>45859</x:v>
      </x:c>
      <x:c r="B565" s="32" t="n">
        <x:v>45839</x:v>
      </x:c>
      <x:c r="C565" t="str">
        <x:v>Jul 2025</x:v>
      </x:c>
      <x:c r="D565" t="str">
        <x:v>Actual</x:v>
      </x:c>
      <x:c r="E565" t="str">
        <x:v>DB-101</x:v>
      </x:c>
      <x:c r="F565" t="str">
        <x:v>AeroSip Bottle</x:v>
      </x:c>
      <x:c r="G565" t="str">
        <x:v>One-time purchase</x:v>
      </x:c>
      <x:c r="H565" t="str">
        <x:v>None</x:v>
      </x:c>
      <x:c r="I565" t="str">
        <x:v>Active</x:v>
      </x:c>
      <x:c r="J565" t="str">
        <x:v>Shopify DTC</x:v>
      </x:c>
      <x:c r="K565" t="str">
        <x:v>Consumer</x:v>
      </x:c>
      <x:c r="L565" t="str">
        <x:v>All Geographies</x:v>
      </x:c>
      <x:c r="M565" s="34" t="n">
        <x:v>5504</x:v>
      </x:c>
      <x:c r="N565" s="28" t="n">
        <x:v>0.034199999999999994</x:v>
      </x:c>
      <x:c r="O565" s="34" t="n">
        <x:v>188</x:v>
      </x:c>
      <x:c r="P565" s="34" t="n">
        <x:v>1</x:v>
      </x:c>
      <x:c r="Q565" s="34" t="n">
        <x:v>188</x:v>
      </x:c>
      <x:c r="R565" s="33" t="n">
        <x:v>29</x:v>
      </x:c>
      <x:c r="S565" s="38" t="n">
        <x:v>5.452</x:v>
      </x:c>
      <x:c r="T565" s="38" t="n">
        <x:v>0.43616</x:v>
      </x:c>
      <x:c r="U565" s="38" t="n">
        <x:v>0.2257128</x:v>
      </x:c>
      <x:c r="V565" s="38" t="n">
        <x:v>4.7901272</x:v>
      </x:c>
      <x:c r="W565" s="38" t="n">
        <x:v>2.0304</x:v>
      </x:c>
      <x:c r="X565" s="38" t="n">
        <x:v>0.1389136888</x:v>
      </x:c>
      <x:c r="Y565" s="38" t="n">
        <x:v>0</x:v>
      </x:c>
      <x:c r="Z565" s="38" t="n">
        <x:v>0.7802</x:v>
      </x:c>
      <x:c r="AA565" s="38" t="n">
        <x:v>0.3102</x:v>
      </x:c>
      <x:c r="AB565" s="38" t="n">
        <x:v>0.006768000000000001</x:v>
      </x:c>
      <x:c r="AC565" s="38" t="n">
        <x:v>1.5236455111999996</x:v>
      </x:c>
      <x:c r="AD565" s="28" t="n">
        <x:v>0.31808038650831644</x:v>
      </x:c>
    </x:row>
    <x:row r="566">
      <x:c r="A566" s="32" t="n">
        <x:v>45859</x:v>
      </x:c>
      <x:c r="B566" s="32" t="n">
        <x:v>45839</x:v>
      </x:c>
      <x:c r="C566" t="str">
        <x:v>Jul 2025</x:v>
      </x:c>
      <x:c r="D566" t="str">
        <x:v>Actual</x:v>
      </x:c>
      <x:c r="E566" t="str">
        <x:v>DB-101</x:v>
      </x:c>
      <x:c r="F566" t="str">
        <x:v>AeroSip Bottle</x:v>
      </x:c>
      <x:c r="G566" t="str">
        <x:v>One-time purchase</x:v>
      </x:c>
      <x:c r="H566" t="str">
        <x:v>None</x:v>
      </x:c>
      <x:c r="I566" t="str">
        <x:v>Active</x:v>
      </x:c>
      <x:c r="J566" t="str">
        <x:v>Amazon Marketplace</x:v>
      </x:c>
      <x:c r="K566" t="str">
        <x:v>Marketplace Consumer</x:v>
      </x:c>
      <x:c r="L566" t="str">
        <x:v>All Geographies</x:v>
      </x:c>
      <x:c r="M566" s="34" t="n">
        <x:v>2752</x:v>
      </x:c>
      <x:c r="N566" s="28" t="n">
        <x:v>0.040355999999999996</x:v>
      </x:c>
      <x:c r="O566" s="34" t="n">
        <x:v>111</x:v>
      </x:c>
      <x:c r="P566" s="34" t="n">
        <x:v>1</x:v>
      </x:c>
      <x:c r="Q566" s="34" t="n">
        <x:v>111</x:v>
      </x:c>
      <x:c r="R566" s="33" t="n">
        <x:v>29</x:v>
      </x:c>
      <x:c r="S566" s="38" t="n">
        <x:v>3.219</x:v>
      </x:c>
      <x:c r="T566" s="38" t="n">
        <x:v>0.16095</x:v>
      </x:c>
      <x:c r="U566" s="38" t="n">
        <x:v>0.13761225</x:v>
      </x:c>
      <x:c r="V566" s="38" t="n">
        <x:v>2.9204377499999996</x:v>
      </x:c>
      <x:c r="W566" s="38" t="n">
        <x:v>1.1988</x:v>
      </x:c>
      <x:c r="X566" s="38" t="n">
        <x:v>0</x:v>
      </x:c>
      <x:c r="Y566" s="38" t="n">
        <x:v>0.43806566249999995</x:v>
      </x:c>
      <x:c r="Z566" s="38" t="n">
        <x:v>0.5772</x:v>
      </x:c>
      <x:c r="AA566" s="38" t="n">
        <x:v>0.23864999999999997</x:v>
      </x:c>
      <x:c r="AB566" s="38" t="n">
        <x:v>0.003996</x:v>
      </x:c>
      <x:c r="AC566" s="38" t="n">
        <x:v>0.4637260874999996</x:v>
      </x:c>
      <x:c r="AD566" s="28" t="n">
        <x:v>0.15878649955815688</x:v>
      </x:c>
    </x:row>
    <x:row r="567">
      <x:c r="A567" s="32" t="n">
        <x:v>45859</x:v>
      </x:c>
      <x:c r="B567" s="32" t="n">
        <x:v>45839</x:v>
      </x:c>
      <x:c r="C567" t="str">
        <x:v>Jul 2025</x:v>
      </x:c>
      <x:c r="D567" t="str">
        <x:v>Actual</x:v>
      </x:c>
      <x:c r="E567" t="str">
        <x:v>DB-101</x:v>
      </x:c>
      <x:c r="F567" t="str">
        <x:v>AeroSip Bottle</x:v>
      </x:c>
      <x:c r="G567" t="str">
        <x:v>One-time purchase</x:v>
      </x:c>
      <x:c r="H567" t="str">
        <x:v>None</x:v>
      </x:c>
      <x:c r="I567" t="str">
        <x:v>Active</x:v>
      </x:c>
      <x:c r="J567" t="str">
        <x:v>Wholesale</x:v>
      </x:c>
      <x:c r="K567" t="str">
        <x:v>Retailer</x:v>
      </x:c>
      <x:c r="L567" t="str">
        <x:v>All Geographies</x:v>
      </x:c>
      <x:c r="M567" s="34" t="n">
        <x:v>1651</x:v>
      </x:c>
      <x:c r="N567" s="28" t="n">
        <x:v>0.01881</x:v>
      </x:c>
      <x:c r="O567" s="34" t="n">
        <x:v>31</x:v>
      </x:c>
      <x:c r="P567" s="34" t="n">
        <x:v>1</x:v>
      </x:c>
      <x:c r="Q567" s="34" t="n">
        <x:v>31</x:v>
      </x:c>
      <x:c r="R567" s="33" t="n">
        <x:v>29</x:v>
      </x:c>
      <x:c r="S567" s="38" t="n">
        <x:v>0.899</x:v>
      </x:c>
      <x:c r="T567" s="38" t="n">
        <x:v>0.31465</x:v>
      </x:c>
      <x:c r="U567" s="38" t="n">
        <x:v>0.02629575</x:v>
      </x:c>
      <x:c r="V567" s="38" t="n">
        <x:v>0.5580542500000001</x:v>
      </x:c>
      <x:c r="W567" s="38" t="n">
        <x:v>0.3348</x:v>
      </x:c>
      <x:c r="X567" s="38" t="n">
        <x:v>0</x:v>
      </x:c>
      <x:c r="Y567" s="38" t="n">
        <x:v>0</x:v>
      </x:c>
      <x:c r="Z567" s="38" t="n">
        <x:v>0.0713</x:v>
      </x:c>
      <x:c r="AA567" s="38" t="n">
        <x:v>0.02635</x:v>
      </x:c>
      <x:c r="AB567" s="38" t="n">
        <x:v>0.001116</x:v>
      </x:c>
      <x:c r="AC567" s="38" t="n">
        <x:v>0.12448825000000008</x:v>
      </x:c>
      <x:c r="AD567" s="28" t="n">
        <x:v>0.22307553432305202</x:v>
      </x:c>
    </x:row>
    <x:row r="568">
      <x:c r="A568" s="32" t="n">
        <x:v>45859</x:v>
      </x:c>
      <x:c r="B568" s="32" t="n">
        <x:v>45839</x:v>
      </x:c>
      <x:c r="C568" t="str">
        <x:v>Jul 2025</x:v>
      </x:c>
      <x:c r="D568" t="str">
        <x:v>Actual</x:v>
      </x:c>
      <x:c r="E568" t="str">
        <x:v>DB-101</x:v>
      </x:c>
      <x:c r="F568" t="str">
        <x:v>AeroSip Bottle</x:v>
      </x:c>
      <x:c r="G568" t="str">
        <x:v>One-time purchase</x:v>
      </x:c>
      <x:c r="H568" t="str">
        <x:v>None</x:v>
      </x:c>
      <x:c r="I568" t="str">
        <x:v>Active</x:v>
      </x:c>
      <x:c r="J568" t="str">
        <x:v>TikTok Shop</x:v>
      </x:c>
      <x:c r="K568" t="str">
        <x:v>Social Commerce</x:v>
      </x:c>
      <x:c r="L568" t="str">
        <x:v>All Geographies</x:v>
      </x:c>
      <x:c r="M568" s="34" t="n">
        <x:v>1101</x:v>
      </x:c>
      <x:c r="N568" s="28" t="n">
        <x:v>0.043092</x:v>
      </x:c>
      <x:c r="O568" s="34" t="n">
        <x:v>47</x:v>
      </x:c>
      <x:c r="P568" s="34" t="n">
        <x:v>1</x:v>
      </x:c>
      <x:c r="Q568" s="34" t="n">
        <x:v>47</x:v>
      </x:c>
      <x:c r="R568" s="33" t="n">
        <x:v>29</x:v>
      </x:c>
      <x:c r="S568" s="38" t="n">
        <x:v>1.363</x:v>
      </x:c>
      <x:c r="T568" s="38" t="n">
        <x:v>0.16355999999999998</x:v>
      </x:c>
      <x:c r="U568" s="38" t="n">
        <x:v>0.0539748</x:v>
      </x:c>
      <x:c r="V568" s="38" t="n">
        <x:v>1.1454652</x:v>
      </x:c>
      <x:c r="W568" s="38" t="n">
        <x:v>0.5076</x:v>
      </x:c>
      <x:c r="X568" s="38" t="n">
        <x:v>0.03321849080000001</x:v>
      </x:c>
      <x:c r="Y568" s="38" t="n">
        <x:v>0.068727912</x:v>
      </x:c>
      <x:c r="Z568" s="38" t="n">
        <x:v>0.2397</x:v>
      </x:c>
      <x:c r="AA568" s="38" t="n">
        <x:v>0.08225</x:v>
      </x:c>
      <x:c r="AB568" s="38" t="n">
        <x:v>0.0016920000000000001</x:v>
      </x:c>
      <x:c r="AC568" s="38" t="n">
        <x:v>0.2122767971999999</x:v>
      </x:c>
      <x:c r="AD568" s="28" t="n">
        <x:v>0.18531928966501984</x:v>
      </x:c>
    </x:row>
    <x:row r="569">
      <x:c r="A569" s="32" t="n">
        <x:v>45859</x:v>
      </x:c>
      <x:c r="B569" s="32" t="n">
        <x:v>45839</x:v>
      </x:c>
      <x:c r="C569" t="str">
        <x:v>Jul 2025</x:v>
      </x:c>
      <x:c r="D569" t="str">
        <x:v>Actual</x:v>
      </x:c>
      <x:c r="E569" t="str">
        <x:v>DB-102</x:v>
      </x:c>
      <x:c r="F569" t="str">
        <x:v>GlowPatch Balm</x:v>
      </x:c>
      <x:c r="G569" t="str">
        <x:v>Consumable repeat</x:v>
      </x:c>
      <x:c r="H569" t="str">
        <x:v>None</x:v>
      </x:c>
      <x:c r="I569" t="str">
        <x:v>Active</x:v>
      </x:c>
      <x:c r="J569" t="str">
        <x:v>Shopify DTC</x:v>
      </x:c>
      <x:c r="K569" t="str">
        <x:v>Consumer</x:v>
      </x:c>
      <x:c r="L569" t="str">
        <x:v>All Geographies</x:v>
      </x:c>
      <x:c r="M569" s="34" t="n">
        <x:v>4445</x:v>
      </x:c>
      <x:c r="N569" s="28" t="n">
        <x:v>0.04248</x:v>
      </x:c>
      <x:c r="O569" s="34" t="n">
        <x:v>189</x:v>
      </x:c>
      <x:c r="P569" s="34" t="n">
        <x:v>1</x:v>
      </x:c>
      <x:c r="Q569" s="34" t="n">
        <x:v>189</x:v>
      </x:c>
      <x:c r="R569" s="33" t="n">
        <x:v>18</x:v>
      </x:c>
      <x:c r="S569" s="38" t="n">
        <x:v>3.402</x:v>
      </x:c>
      <x:c r="T569" s="38" t="n">
        <x:v>0.27216</x:v>
      </x:c>
      <x:c r="U569" s="38" t="n">
        <x:v>0.07824600000000001</x:v>
      </x:c>
      <x:c r="V569" s="38" t="n">
        <x:v>3.051594</x:v>
      </x:c>
      <x:c r="W569" s="38" t="n">
        <x:v>1.02249</x:v>
      </x:c>
      <x:c r="X569" s="38" t="n">
        <x:v>0.08849622600000001</x:v>
      </x:c>
      <x:c r="Y569" s="38" t="n">
        <x:v>0</x:v>
      </x:c>
      <x:c r="Z569" s="38" t="n">
        <x:v>0.78435</x:v>
      </x:c>
      <x:c r="AA569" s="38" t="n">
        <x:v>0.31184999999999996</x:v>
      </x:c>
      <x:c r="AB569" s="38" t="n">
        <x:v>0.0011339999999999998</x:v>
      </x:c>
      <x:c r="AC569" s="38" t="n">
        <x:v>0.8432737740000003</x:v>
      </x:c>
      <x:c r="AD569" s="28" t="n">
        <x:v>0.27633878359965325</x:v>
      </x:c>
    </x:row>
    <x:row r="570">
      <x:c r="A570" s="32" t="n">
        <x:v>45859</x:v>
      </x:c>
      <x:c r="B570" s="32" t="n">
        <x:v>45839</x:v>
      </x:c>
      <x:c r="C570" t="str">
        <x:v>Jul 2025</x:v>
      </x:c>
      <x:c r="D570" t="str">
        <x:v>Actual</x:v>
      </x:c>
      <x:c r="E570" t="str">
        <x:v>DB-102</x:v>
      </x:c>
      <x:c r="F570" t="str">
        <x:v>GlowPatch Balm</x:v>
      </x:c>
      <x:c r="G570" t="str">
        <x:v>Consumable repeat</x:v>
      </x:c>
      <x:c r="H570" t="str">
        <x:v>None</x:v>
      </x:c>
      <x:c r="I570" t="str">
        <x:v>Active</x:v>
      </x:c>
      <x:c r="J570" t="str">
        <x:v>Amazon Marketplace</x:v>
      </x:c>
      <x:c r="K570" t="str">
        <x:v>Marketplace Consumer</x:v>
      </x:c>
      <x:c r="L570" t="str">
        <x:v>All Geographies</x:v>
      </x:c>
      <x:c r="M570" s="34" t="n">
        <x:v>2223</x:v>
      </x:c>
      <x:c r="N570" s="28" t="n">
        <x:v>0.050126399999999995</x:v>
      </x:c>
      <x:c r="O570" s="34" t="n">
        <x:v>111</x:v>
      </x:c>
      <x:c r="P570" s="34" t="n">
        <x:v>1</x:v>
      </x:c>
      <x:c r="Q570" s="34" t="n">
        <x:v>111</x:v>
      </x:c>
      <x:c r="R570" s="33" t="n">
        <x:v>18</x:v>
      </x:c>
      <x:c r="S570" s="38" t="n">
        <x:v>1.998</x:v>
      </x:c>
      <x:c r="T570" s="38" t="n">
        <x:v>0.0999</x:v>
      </x:c>
      <x:c r="U570" s="38" t="n">
        <x:v>0.0474525</x:v>
      </x:c>
      <x:c r="V570" s="38" t="n">
        <x:v>1.8506475</x:v>
      </x:c>
      <x:c r="W570" s="38" t="n">
        <x:v>0.60051</x:v>
      </x:c>
      <x:c r="X570" s="38" t="n">
        <x:v>0</x:v>
      </x:c>
      <x:c r="Y570" s="38" t="n">
        <x:v>0.277597125</x:v>
      </x:c>
      <x:c r="Z570" s="38" t="n">
        <x:v>0.5772</x:v>
      </x:c>
      <x:c r="AA570" s="38" t="n">
        <x:v>0.23864999999999997</x:v>
      </x:c>
      <x:c r="AB570" s="38" t="n">
        <x:v>0.000666</x:v>
      </x:c>
      <x:c r="AC570" s="38" t="n">
        <x:v>0.1560243750000001</x:v>
      </x:c>
      <x:c r="AD570" s="28" t="n">
        <x:v>0.0843079922027291</x:v>
      </x:c>
    </x:row>
    <x:row r="571">
      <x:c r="A571" s="32" t="n">
        <x:v>45859</x:v>
      </x:c>
      <x:c r="B571" s="32" t="n">
        <x:v>45839</x:v>
      </x:c>
      <x:c r="C571" t="str">
        <x:v>Jul 2025</x:v>
      </x:c>
      <x:c r="D571" t="str">
        <x:v>Actual</x:v>
      </x:c>
      <x:c r="E571" t="str">
        <x:v>DB-102</x:v>
      </x:c>
      <x:c r="F571" t="str">
        <x:v>GlowPatch Balm</x:v>
      </x:c>
      <x:c r="G571" t="str">
        <x:v>Consumable repeat</x:v>
      </x:c>
      <x:c r="H571" t="str">
        <x:v>None</x:v>
      </x:c>
      <x:c r="I571" t="str">
        <x:v>Active</x:v>
      </x:c>
      <x:c r="J571" t="str">
        <x:v>Wholesale</x:v>
      </x:c>
      <x:c r="K571" t="str">
        <x:v>Retailer</x:v>
      </x:c>
      <x:c r="L571" t="str">
        <x:v>All Geographies</x:v>
      </x:c>
      <x:c r="M571" s="34" t="n">
        <x:v>1334</x:v>
      </x:c>
      <x:c r="N571" s="28" t="n">
        <x:v>0.023364</x:v>
      </x:c>
      <x:c r="O571" s="34" t="n">
        <x:v>31</x:v>
      </x:c>
      <x:c r="P571" s="34" t="n">
        <x:v>1</x:v>
      </x:c>
      <x:c r="Q571" s="34" t="n">
        <x:v>31</x:v>
      </x:c>
      <x:c r="R571" s="33" t="n">
        <x:v>18</x:v>
      </x:c>
      <x:c r="S571" s="38" t="n">
        <x:v>0.558</x:v>
      </x:c>
      <x:c r="T571" s="38" t="n">
        <x:v>0.1953</x:v>
      </x:c>
      <x:c r="U571" s="38" t="n">
        <x:v>0.009067500000000001</x:v>
      </x:c>
      <x:c r="V571" s="38" t="n">
        <x:v>0.3536325</x:v>
      </x:c>
      <x:c r="W571" s="38" t="n">
        <x:v>0.16771</x:v>
      </x:c>
      <x:c r="X571" s="38" t="n">
        <x:v>0</x:v>
      </x:c>
      <x:c r="Y571" s="38" t="n">
        <x:v>0</x:v>
      </x:c>
      <x:c r="Z571" s="38" t="n">
        <x:v>0.0713</x:v>
      </x:c>
      <x:c r="AA571" s="38" t="n">
        <x:v>0.02635</x:v>
      </x:c>
      <x:c r="AB571" s="38" t="n">
        <x:v>0.000186</x:v>
      </x:c>
      <x:c r="AC571" s="38" t="n">
        <x:v>0.08808650000000001</x:v>
      </x:c>
      <x:c r="AD571" s="28" t="n">
        <x:v>0.2490905106289722</x:v>
      </x:c>
    </x:row>
    <x:row r="572">
      <x:c r="A572" s="32" t="n">
        <x:v>45859</x:v>
      </x:c>
      <x:c r="B572" s="32" t="n">
        <x:v>45839</x:v>
      </x:c>
      <x:c r="C572" t="str">
        <x:v>Jul 2025</x:v>
      </x:c>
      <x:c r="D572" t="str">
        <x:v>Actual</x:v>
      </x:c>
      <x:c r="E572" t="str">
        <x:v>DB-102</x:v>
      </x:c>
      <x:c r="F572" t="str">
        <x:v>GlowPatch Balm</x:v>
      </x:c>
      <x:c r="G572" t="str">
        <x:v>Consumable repeat</x:v>
      </x:c>
      <x:c r="H572" t="str">
        <x:v>None</x:v>
      </x:c>
      <x:c r="I572" t="str">
        <x:v>Active</x:v>
      </x:c>
      <x:c r="J572" t="str">
        <x:v>TikTok Shop</x:v>
      </x:c>
      <x:c r="K572" t="str">
        <x:v>Social Commerce</x:v>
      </x:c>
      <x:c r="L572" t="str">
        <x:v>All Geographies</x:v>
      </x:c>
      <x:c r="M572" s="34" t="n">
        <x:v>889</x:v>
      </x:c>
      <x:c r="N572" s="28" t="n">
        <x:v>0.0535248</x:v>
      </x:c>
      <x:c r="O572" s="34" t="n">
        <x:v>48</x:v>
      </x:c>
      <x:c r="P572" s="34" t="n">
        <x:v>1</x:v>
      </x:c>
      <x:c r="Q572" s="34" t="n">
        <x:v>48</x:v>
      </x:c>
      <x:c r="R572" s="33" t="n">
        <x:v>18</x:v>
      </x:c>
      <x:c r="S572" s="38" t="n">
        <x:v>0.864</x:v>
      </x:c>
      <x:c r="T572" s="38" t="n">
        <x:v>0.10368</x:v>
      </x:c>
      <x:c r="U572" s="38" t="n">
        <x:v>0.019008</x:v>
      </x:c>
      <x:c r="V572" s="38" t="n">
        <x:v>0.741312</x:v>
      </x:c>
      <x:c r="W572" s="38" t="n">
        <x:v>0.25968</x:v>
      </x:c>
      <x:c r="X572" s="38" t="n">
        <x:v>0.021498048</x:v>
      </x:c>
      <x:c r="Y572" s="38" t="n">
        <x:v>0.04447872</x:v>
      </x:c>
      <x:c r="Z572" s="38" t="n">
        <x:v>0.2448</x:v>
      </x:c>
      <x:c r="AA572" s="38" t="n">
        <x:v>0.084</x:v>
      </x:c>
      <x:c r="AB572" s="38" t="n">
        <x:v>0.000288</x:v>
      </x:c>
      <x:c r="AC572" s="38" t="n">
        <x:v>0.086567232</x:v>
      </x:c>
      <x:c r="AD572" s="28" t="n">
        <x:v>0.11677570577570577</x:v>
      </x:c>
    </x:row>
    <x:row r="573">
      <x:c r="A573" s="32" t="n">
        <x:v>45859</x:v>
      </x:c>
      <x:c r="B573" s="32" t="n">
        <x:v>45839</x:v>
      </x:c>
      <x:c r="C573" t="str">
        <x:v>Jul 2025</x:v>
      </x:c>
      <x:c r="D573" t="str">
        <x:v>Actual</x:v>
      </x:c>
      <x:c r="E573" t="str">
        <x:v>DB-103</x:v>
      </x:c>
      <x:c r="F573" t="str">
        <x:v>EmberTrail Camp Mug</x:v>
      </x:c>
      <x:c r="G573" t="str">
        <x:v>One-time purchase</x:v>
      </x:c>
      <x:c r="H573" t="str">
        <x:v>Winter peak</x:v>
      </x:c>
      <x:c r="I573" t="str">
        <x:v>Active</x:v>
      </x:c>
      <x:c r="J573" t="str">
        <x:v>Shopify DTC</x:v>
      </x:c>
      <x:c r="K573" t="str">
        <x:v>Consumer</x:v>
      </x:c>
      <x:c r="L573" t="str">
        <x:v>All Geographies</x:v>
      </x:c>
      <x:c r="M573" s="34" t="n">
        <x:v>2972</x:v>
      </x:c>
      <x:c r="N573" s="28" t="n">
        <x:v>0.0324</x:v>
      </x:c>
      <x:c r="O573" s="34" t="n">
        <x:v>96</x:v>
      </x:c>
      <x:c r="P573" s="34" t="n">
        <x:v>1</x:v>
      </x:c>
      <x:c r="Q573" s="34" t="n">
        <x:v>96</x:v>
      </x:c>
      <x:c r="R573" s="33" t="n">
        <x:v>34</x:v>
      </x:c>
      <x:c r="S573" s="38" t="n">
        <x:v>3.264</x:v>
      </x:c>
      <x:c r="T573" s="38" t="n">
        <x:v>0.26111999999999996</x:v>
      </x:c>
      <x:c r="U573" s="38" t="n">
        <x:v>0.16515839999999998</x:v>
      </x:c>
      <x:c r="V573" s="38" t="n">
        <x:v>2.8377215999999996</x:v>
      </x:c>
      <x:c r="W573" s="38" t="n">
        <x:v>1.31232</x:v>
      </x:c>
      <x:c r="X573" s="38" t="n">
        <x:v>0.0822939264</x:v>
      </x:c>
      <x:c r="Y573" s="38" t="n">
        <x:v>0</x:v>
      </x:c>
      <x:c r="Z573" s="38" t="n">
        <x:v>0.39840000000000003</x:v>
      </x:c>
      <x:c r="AA573" s="38" t="n">
        <x:v>0.15839999999999999</x:v>
      </x:c>
      <x:c r="AB573" s="38" t="n">
        <x:v>0.005376000000000001</x:v>
      </x:c>
      <x:c r="AC573" s="38" t="n">
        <x:v>0.8809316735999996</x:v>
      </x:c>
      <x:c r="AD573" s="28" t="n">
        <x:v>0.31043625759482524</x:v>
      </x:c>
    </x:row>
    <x:row r="574">
      <x:c r="A574" s="32" t="n">
        <x:v>45859</x:v>
      </x:c>
      <x:c r="B574" s="32" t="n">
        <x:v>45839</x:v>
      </x:c>
      <x:c r="C574" t="str">
        <x:v>Jul 2025</x:v>
      </x:c>
      <x:c r="D574" t="str">
        <x:v>Actual</x:v>
      </x:c>
      <x:c r="E574" t="str">
        <x:v>DB-103</x:v>
      </x:c>
      <x:c r="F574" t="str">
        <x:v>EmberTrail Camp Mug</x:v>
      </x:c>
      <x:c r="G574" t="str">
        <x:v>One-time purchase</x:v>
      </x:c>
      <x:c r="H574" t="str">
        <x:v>Winter peak</x:v>
      </x:c>
      <x:c r="I574" t="str">
        <x:v>Active</x:v>
      </x:c>
      <x:c r="J574" t="str">
        <x:v>Amazon Marketplace</x:v>
      </x:c>
      <x:c r="K574" t="str">
        <x:v>Marketplace Consumer</x:v>
      </x:c>
      <x:c r="L574" t="str">
        <x:v>All Geographies</x:v>
      </x:c>
      <x:c r="M574" s="34" t="n">
        <x:v>1486</x:v>
      </x:c>
      <x:c r="N574" s="28" t="n">
        <x:v>0.038231999999999995</x:v>
      </x:c>
      <x:c r="O574" s="34" t="n">
        <x:v>57</x:v>
      </x:c>
      <x:c r="P574" s="34" t="n">
        <x:v>1</x:v>
      </x:c>
      <x:c r="Q574" s="34" t="n">
        <x:v>57</x:v>
      </x:c>
      <x:c r="R574" s="33" t="n">
        <x:v>34</x:v>
      </x:c>
      <x:c r="S574" s="38" t="n">
        <x:v>1.938</x:v>
      </x:c>
      <x:c r="T574" s="38" t="n">
        <x:v>0.0969</x:v>
      </x:c>
      <x:c r="U574" s="38" t="n">
        <x:v>0.1012605</x:v>
      </x:c>
      <x:c r="V574" s="38" t="n">
        <x:v>1.7398395</x:v>
      </x:c>
      <x:c r="W574" s="38" t="n">
        <x:v>0.7791899999999999</x:v>
      </x:c>
      <x:c r="X574" s="38" t="n">
        <x:v>0</x:v>
      </x:c>
      <x:c r="Y574" s="38" t="n">
        <x:v>0.260975925</x:v>
      </x:c>
      <x:c r="Z574" s="38" t="n">
        <x:v>0.29640000000000005</x:v>
      </x:c>
      <x:c r="AA574" s="38" t="n">
        <x:v>0.12254999999999999</x:v>
      </x:c>
      <x:c r="AB574" s="38" t="n">
        <x:v>0.003192</x:v>
      </x:c>
      <x:c r="AC574" s="38" t="n">
        <x:v>0.27753157500000003</x:v>
      </x:c>
      <x:c r="AD574" s="28" t="n">
        <x:v>0.15951561911314235</x:v>
      </x:c>
    </x:row>
    <x:row r="575">
      <x:c r="A575" s="32" t="n">
        <x:v>45859</x:v>
      </x:c>
      <x:c r="B575" s="32" t="n">
        <x:v>45839</x:v>
      </x:c>
      <x:c r="C575" t="str">
        <x:v>Jul 2025</x:v>
      </x:c>
      <x:c r="D575" t="str">
        <x:v>Actual</x:v>
      </x:c>
      <x:c r="E575" t="str">
        <x:v>DB-103</x:v>
      </x:c>
      <x:c r="F575" t="str">
        <x:v>EmberTrail Camp Mug</x:v>
      </x:c>
      <x:c r="G575" t="str">
        <x:v>One-time purchase</x:v>
      </x:c>
      <x:c r="H575" t="str">
        <x:v>Winter peak</x:v>
      </x:c>
      <x:c r="I575" t="str">
        <x:v>Active</x:v>
      </x:c>
      <x:c r="J575" t="str">
        <x:v>Wholesale</x:v>
      </x:c>
      <x:c r="K575" t="str">
        <x:v>Retailer</x:v>
      </x:c>
      <x:c r="L575" t="str">
        <x:v>All Geographies</x:v>
      </x:c>
      <x:c r="M575" s="34" t="n">
        <x:v>892</x:v>
      </x:c>
      <x:c r="N575" s="28" t="n">
        <x:v>0.017820000000000003</x:v>
      </x:c>
      <x:c r="O575" s="34" t="n">
        <x:v>16</x:v>
      </x:c>
      <x:c r="P575" s="34" t="n">
        <x:v>1</x:v>
      </x:c>
      <x:c r="Q575" s="34" t="n">
        <x:v>16</x:v>
      </x:c>
      <x:c r="R575" s="33" t="n">
        <x:v>34</x:v>
      </x:c>
      <x:c r="S575" s="38" t="n">
        <x:v>0.544</x:v>
      </x:c>
      <x:c r="T575" s="38" t="n">
        <x:v>0.1904</x:v>
      </x:c>
      <x:c r="U575" s="38" t="n">
        <x:v>0.019448</x:v>
      </x:c>
      <x:c r="V575" s="38" t="n">
        <x:v>0.334152</x:v>
      </x:c>
      <x:c r="W575" s="38" t="n">
        <x:v>0.21872</x:v>
      </x:c>
      <x:c r="X575" s="38" t="n">
        <x:v>0</x:v>
      </x:c>
      <x:c r="Y575" s="38" t="n">
        <x:v>0</x:v>
      </x:c>
      <x:c r="Z575" s="38" t="n">
        <x:v>0.0368</x:v>
      </x:c>
      <x:c r="AA575" s="38" t="n">
        <x:v>0.0136</x:v>
      </x:c>
      <x:c r="AB575" s="38" t="n">
        <x:v>0.000896</x:v>
      </x:c>
      <x:c r="AC575" s="38" t="n">
        <x:v>0.06413600000000001</x:v>
      </x:c>
      <x:c r="AD575" s="28" t="n">
        <x:v>0.1919366037013096</x:v>
      </x:c>
    </x:row>
    <x:row r="576">
      <x:c r="A576" s="32" t="n">
        <x:v>45859</x:v>
      </x:c>
      <x:c r="B576" s="32" t="n">
        <x:v>45839</x:v>
      </x:c>
      <x:c r="C576" t="str">
        <x:v>Jul 2025</x:v>
      </x:c>
      <x:c r="D576" t="str">
        <x:v>Actual</x:v>
      </x:c>
      <x:c r="E576" t="str">
        <x:v>DB-103</x:v>
      </x:c>
      <x:c r="F576" t="str">
        <x:v>EmberTrail Camp Mug</x:v>
      </x:c>
      <x:c r="G576" t="str">
        <x:v>One-time purchase</x:v>
      </x:c>
      <x:c r="H576" t="str">
        <x:v>Winter peak</x:v>
      </x:c>
      <x:c r="I576" t="str">
        <x:v>Active</x:v>
      </x:c>
      <x:c r="J576" t="str">
        <x:v>TikTok Shop</x:v>
      </x:c>
      <x:c r="K576" t="str">
        <x:v>Social Commerce</x:v>
      </x:c>
      <x:c r="L576" t="str">
        <x:v>All Geographies</x:v>
      </x:c>
      <x:c r="M576" s="34" t="n">
        <x:v>594</x:v>
      </x:c>
      <x:c r="N576" s="28" t="n">
        <x:v>0.040824</x:v>
      </x:c>
      <x:c r="O576" s="34" t="n">
        <x:v>24</x:v>
      </x:c>
      <x:c r="P576" s="34" t="n">
        <x:v>1</x:v>
      </x:c>
      <x:c r="Q576" s="34" t="n">
        <x:v>24</x:v>
      </x:c>
      <x:c r="R576" s="33" t="n">
        <x:v>34</x:v>
      </x:c>
      <x:c r="S576" s="38" t="n">
        <x:v>0.816</x:v>
      </x:c>
      <x:c r="T576" s="38" t="n">
        <x:v>0.09792</x:v>
      </x:c>
      <x:c r="U576" s="38" t="n">
        <x:v>0.0394944</x:v>
      </x:c>
      <x:c r="V576" s="38" t="n">
        <x:v>0.6785855999999999</x:v>
      </x:c>
      <x:c r="W576" s="38" t="n">
        <x:v>0.32808</x:v>
      </x:c>
      <x:c r="X576" s="38" t="n">
        <x:v>0.0196789824</x:v>
      </x:c>
      <x:c r="Y576" s="38" t="n">
        <x:v>0.04071513599999999</x:v>
      </x:c>
      <x:c r="Z576" s="38" t="n">
        <x:v>0.1224</x:v>
      </x:c>
      <x:c r="AA576" s="38" t="n">
        <x:v>0.042</x:v>
      </x:c>
      <x:c r="AB576" s="38" t="n">
        <x:v>0.0013440000000000001</x:v>
      </x:c>
      <x:c r="AC576" s="38" t="n">
        <x:v>0.12436748159999993</x:v>
      </x:c>
      <x:c r="AD576" s="28" t="n">
        <x:v>0.18327456639221337</x:v>
      </x:c>
    </x:row>
    <x:row r="577">
      <x:c r="A577" s="32" t="n">
        <x:v>45859</x:v>
      </x:c>
      <x:c r="B577" s="32" t="n">
        <x:v>45839</x:v>
      </x:c>
      <x:c r="C577" t="str">
        <x:v>Jul 2025</x:v>
      </x:c>
      <x:c r="D577" t="str">
        <x:v>Actual</x:v>
      </x:c>
      <x:c r="E577" t="str">
        <x:v>DB-104</x:v>
      </x:c>
      <x:c r="F577" t="str">
        <x:v>SunNest Cooling Towel</x:v>
      </x:c>
      <x:c r="G577" t="str">
        <x:v>Consumable repeat</x:v>
      </x:c>
      <x:c r="H577" t="str">
        <x:v>Summer peak</x:v>
      </x:c>
      <x:c r="I577" t="str">
        <x:v>Active</x:v>
      </x:c>
      <x:c r="J577" t="str">
        <x:v>Shopify DTC</x:v>
      </x:c>
      <x:c r="K577" t="str">
        <x:v>Consumer</x:v>
      </x:c>
      <x:c r="L577" t="str">
        <x:v>All Geographies</x:v>
      </x:c>
      <x:c r="M577" s="34" t="n">
        <x:v>5110</x:v>
      </x:c>
      <x:c r="N577" s="28" t="n">
        <x:v>0.03312</x:v>
      </x:c>
      <x:c r="O577" s="34" t="n">
        <x:v>169</x:v>
      </x:c>
      <x:c r="P577" s="34" t="n">
        <x:v>1</x:v>
      </x:c>
      <x:c r="Q577" s="34" t="n">
        <x:v>169</x:v>
      </x:c>
      <x:c r="R577" s="33" t="n">
        <x:v>42</x:v>
      </x:c>
      <x:c r="S577" s="38" t="n">
        <x:v>7.098</x:v>
      </x:c>
      <x:c r="T577" s="38" t="n">
        <x:v>0.56784</x:v>
      </x:c>
      <x:c r="U577" s="38" t="n">
        <x:v>0.326508</x:v>
      </x:c>
      <x:c r="V577" s="38" t="n">
        <x:v>6.203652</x:v>
      </x:c>
      <x:c r="W577" s="38" t="n">
        <x:v>2.5434500000000004</x:v>
      </x:c>
      <x:c r="X577" s="38" t="n">
        <x:v>0.179905908</x:v>
      </x:c>
      <x:c r="Y577" s="38" t="n">
        <x:v>0</x:v>
      </x:c>
      <x:c r="Z577" s="38" t="n">
        <x:v>0.70135</x:v>
      </x:c>
      <x:c r="AA577" s="38" t="n">
        <x:v>0.27885</x:v>
      </x:c>
      <x:c r="AB577" s="38" t="n">
        <x:v>0.004731999999999999</x:v>
      </x:c>
      <x:c r="AC577" s="38" t="n">
        <x:v>2.4953640919999995</x:v>
      </x:c>
      <x:c r="AD577" s="28" t="n">
        <x:v>0.4022411463441211</x:v>
      </x:c>
    </x:row>
    <x:row r="578">
      <x:c r="A578" s="32" t="n">
        <x:v>45859</x:v>
      </x:c>
      <x:c r="B578" s="32" t="n">
        <x:v>45839</x:v>
      </x:c>
      <x:c r="C578" t="str">
        <x:v>Jul 2025</x:v>
      </x:c>
      <x:c r="D578" t="str">
        <x:v>Actual</x:v>
      </x:c>
      <x:c r="E578" t="str">
        <x:v>DB-104</x:v>
      </x:c>
      <x:c r="F578" t="str">
        <x:v>SunNest Cooling Towel</x:v>
      </x:c>
      <x:c r="G578" t="str">
        <x:v>Consumable repeat</x:v>
      </x:c>
      <x:c r="H578" t="str">
        <x:v>Summer peak</x:v>
      </x:c>
      <x:c r="I578" t="str">
        <x:v>Active</x:v>
      </x:c>
      <x:c r="J578" t="str">
        <x:v>Amazon Marketplace</x:v>
      </x:c>
      <x:c r="K578" t="str">
        <x:v>Marketplace Consumer</x:v>
      </x:c>
      <x:c r="L578" t="str">
        <x:v>All Geographies</x:v>
      </x:c>
      <x:c r="M578" s="34" t="n">
        <x:v>2555</x:v>
      </x:c>
      <x:c r="N578" s="28" t="n">
        <x:v>0.0390816</x:v>
      </x:c>
      <x:c r="O578" s="34" t="n">
        <x:v>100</x:v>
      </x:c>
      <x:c r="P578" s="34" t="n">
        <x:v>1</x:v>
      </x:c>
      <x:c r="Q578" s="34" t="n">
        <x:v>100</x:v>
      </x:c>
      <x:c r="R578" s="33" t="n">
        <x:v>42</x:v>
      </x:c>
      <x:c r="S578" s="38" t="n">
        <x:v>4.2</x:v>
      </x:c>
      <x:c r="T578" s="38" t="n">
        <x:v>0.21000000000000002</x:v>
      </x:c>
      <x:c r="U578" s="38" t="n">
        <x:v>0.1995</x:v>
      </x:c>
      <x:c r="V578" s="38" t="n">
        <x:v>3.7905</x:v>
      </x:c>
      <x:c r="W578" s="38" t="n">
        <x:v>1.505</x:v>
      </x:c>
      <x:c r="X578" s="38" t="n">
        <x:v>0</x:v>
      </x:c>
      <x:c r="Y578" s="38" t="n">
        <x:v>0.568575</x:v>
      </x:c>
      <x:c r="Z578" s="38" t="n">
        <x:v>0.52</x:v>
      </x:c>
      <x:c r="AA578" s="38" t="n">
        <x:v>0.215</x:v>
      </x:c>
      <x:c r="AB578" s="38" t="n">
        <x:v>0.0028</x:v>
      </x:c>
      <x:c r="AC578" s="38" t="n">
        <x:v>0.9791250000000002</x:v>
      </x:c>
      <x:c r="AD578" s="28" t="n">
        <x:v>0.25831024930747926</x:v>
      </x:c>
    </x:row>
    <x:row r="579">
      <x:c r="A579" s="32" t="n">
        <x:v>45859</x:v>
      </x:c>
      <x:c r="B579" s="32" t="n">
        <x:v>45839</x:v>
      </x:c>
      <x:c r="C579" t="str">
        <x:v>Jul 2025</x:v>
      </x:c>
      <x:c r="D579" t="str">
        <x:v>Actual</x:v>
      </x:c>
      <x:c r="E579" t="str">
        <x:v>DB-104</x:v>
      </x:c>
      <x:c r="F579" t="str">
        <x:v>SunNest Cooling Towel</x:v>
      </x:c>
      <x:c r="G579" t="str">
        <x:v>Consumable repeat</x:v>
      </x:c>
      <x:c r="H579" t="str">
        <x:v>Summer peak</x:v>
      </x:c>
      <x:c r="I579" t="str">
        <x:v>Active</x:v>
      </x:c>
      <x:c r="J579" t="str">
        <x:v>Wholesale</x:v>
      </x:c>
      <x:c r="K579" t="str">
        <x:v>Retailer</x:v>
      </x:c>
      <x:c r="L579" t="str">
        <x:v>All Geographies</x:v>
      </x:c>
      <x:c r="M579" s="34" t="n">
        <x:v>1533</x:v>
      </x:c>
      <x:c r="N579" s="28" t="n">
        <x:v>0.018216000000000003</x:v>
      </x:c>
      <x:c r="O579" s="34" t="n">
        <x:v>28</x:v>
      </x:c>
      <x:c r="P579" s="34" t="n">
        <x:v>1</x:v>
      </x:c>
      <x:c r="Q579" s="34" t="n">
        <x:v>28</x:v>
      </x:c>
      <x:c r="R579" s="33" t="n">
        <x:v>42</x:v>
      </x:c>
      <x:c r="S579" s="38" t="n">
        <x:v>1.176</x:v>
      </x:c>
      <x:c r="T579" s="38" t="n">
        <x:v>0.41159999999999997</x:v>
      </x:c>
      <x:c r="U579" s="38" t="n">
        <x:v>0.038220000000000004</x:v>
      </x:c>
      <x:c r="V579" s="38" t="n">
        <x:v>0.7261799999999999</x:v>
      </x:c>
      <x:c r="W579" s="38" t="n">
        <x:v>0.42140000000000005</x:v>
      </x:c>
      <x:c r="X579" s="38" t="n">
        <x:v>0</x:v>
      </x:c>
      <x:c r="Y579" s="38" t="n">
        <x:v>0</x:v>
      </x:c>
      <x:c r="Z579" s="38" t="n">
        <x:v>0.06439999999999999</x:v>
      </x:c>
      <x:c r="AA579" s="38" t="n">
        <x:v>0.0238</x:v>
      </x:c>
      <x:c r="AB579" s="38" t="n">
        <x:v>0.0007840000000000001</x:v>
      </x:c>
      <x:c r="AC579" s="38" t="n">
        <x:v>0.21579599999999988</x:v>
      </x:c>
      <x:c r="AD579" s="28" t="n">
        <x:v>0.2971659919028339</x:v>
      </x:c>
    </x:row>
    <x:row r="580">
      <x:c r="A580" s="32" t="n">
        <x:v>45859</x:v>
      </x:c>
      <x:c r="B580" s="32" t="n">
        <x:v>45839</x:v>
      </x:c>
      <x:c r="C580" t="str">
        <x:v>Jul 2025</x:v>
      </x:c>
      <x:c r="D580" t="str">
        <x:v>Actual</x:v>
      </x:c>
      <x:c r="E580" t="str">
        <x:v>DB-104</x:v>
      </x:c>
      <x:c r="F580" t="str">
        <x:v>SunNest Cooling Towel</x:v>
      </x:c>
      <x:c r="G580" t="str">
        <x:v>Consumable repeat</x:v>
      </x:c>
      <x:c r="H580" t="str">
        <x:v>Summer peak</x:v>
      </x:c>
      <x:c r="I580" t="str">
        <x:v>Active</x:v>
      </x:c>
      <x:c r="J580" t="str">
        <x:v>TikTok Shop</x:v>
      </x:c>
      <x:c r="K580" t="str">
        <x:v>Social Commerce</x:v>
      </x:c>
      <x:c r="L580" t="str">
        <x:v>All Geographies</x:v>
      </x:c>
      <x:c r="M580" s="34" t="n">
        <x:v>1022</x:v>
      </x:c>
      <x:c r="N580" s="28" t="n">
        <x:v>0.0417312</x:v>
      </x:c>
      <x:c r="O580" s="34" t="n">
        <x:v>43</x:v>
      </x:c>
      <x:c r="P580" s="34" t="n">
        <x:v>1</x:v>
      </x:c>
      <x:c r="Q580" s="34" t="n">
        <x:v>43</x:v>
      </x:c>
      <x:c r="R580" s="33" t="n">
        <x:v>42</x:v>
      </x:c>
      <x:c r="S580" s="38" t="n">
        <x:v>1.806</x:v>
      </x:c>
      <x:c r="T580" s="38" t="n">
        <x:v>0.21672</x:v>
      </x:c>
      <x:c r="U580" s="38" t="n">
        <x:v>0.079464</x:v>
      </x:c>
      <x:c r="V580" s="38" t="n">
        <x:v>1.509816</x:v>
      </x:c>
      <x:c r="W580" s="38" t="n">
        <x:v>0.64715</x:v>
      </x:c>
      <x:c r="X580" s="38" t="n">
        <x:v>0.043784664</x:v>
      </x:c>
      <x:c r="Y580" s="38" t="n">
        <x:v>0.09058896</x:v>
      </x:c>
      <x:c r="Z580" s="38" t="n">
        <x:v>0.2193</x:v>
      </x:c>
      <x:c r="AA580" s="38" t="n">
        <x:v>0.07525</x:v>
      </x:c>
      <x:c r="AB580" s="38" t="n">
        <x:v>0.001204</x:v>
      </x:c>
      <x:c r="AC580" s="38" t="n">
        <x:v>0.43253837599999995</x:v>
      </x:c>
      <x:c r="AD580" s="28" t="n">
        <x:v>0.2864841649578491</x:v>
      </x:c>
    </x:row>
    <x:row r="581">
      <x:c r="A581" s="32" t="n">
        <x:v>45859</x:v>
      </x:c>
      <x:c r="B581" s="32" t="n">
        <x:v>45839</x:v>
      </x:c>
      <x:c r="C581" t="str">
        <x:v>Jul 2025</x:v>
      </x:c>
      <x:c r="D581" t="str">
        <x:v>Actual</x:v>
      </x:c>
      <x:c r="E581" t="str">
        <x:v>DB-105</x:v>
      </x:c>
      <x:c r="F581" t="str">
        <x:v>DreamFuel Refill Pack</x:v>
      </x:c>
      <x:c r="G581" t="str">
        <x:v>Subscription</x:v>
      </x:c>
      <x:c r="H581" t="str">
        <x:v>None</x:v>
      </x:c>
      <x:c r="I581" t="str">
        <x:v>Active</x:v>
      </x:c>
      <x:c r="J581" t="str">
        <x:v>Shopify DTC</x:v>
      </x:c>
      <x:c r="K581" t="str">
        <x:v>Consumer</x:v>
      </x:c>
      <x:c r="L581" t="str">
        <x:v>All Geographies</x:v>
      </x:c>
      <x:c r="M581" s="34" t="n">
        <x:v>3810</x:v>
      </x:c>
      <x:c r="N581" s="28" t="n">
        <x:v>0.03888</x:v>
      </x:c>
      <x:c r="O581" s="34" t="n">
        <x:v>148</x:v>
      </x:c>
      <x:c r="P581" s="34" t="n">
        <x:v>1</x:v>
      </x:c>
      <x:c r="Q581" s="34" t="n">
        <x:v>148</x:v>
      </x:c>
      <x:c r="R581" s="33" t="n">
        <x:v>56</x:v>
      </x:c>
      <x:c r="S581" s="38" t="n">
        <x:v>8.288</x:v>
      </x:c>
      <x:c r="T581" s="38" t="n">
        <x:v>0.6630400000000001</x:v>
      </x:c>
      <x:c r="U581" s="38" t="n">
        <x:v>0.1524992</x:v>
      </x:c>
      <x:c r="V581" s="38" t="n">
        <x:v>7.4724607999999995</x:v>
      </x:c>
      <x:c r="W581" s="38" t="n">
        <x:v>2.7557600000000004</x:v>
      </x:c>
      <x:c r="X581" s="38" t="n">
        <x:v>0.2167013632</x:v>
      </x:c>
      <x:c r="Y581" s="38" t="n">
        <x:v>0</x:v>
      </x:c>
      <x:c r="Z581" s="38" t="n">
        <x:v>0.6142000000000001</x:v>
      </x:c>
      <x:c r="AA581" s="38" t="n">
        <x:v>0.2442</x:v>
      </x:c>
      <x:c r="AB581" s="38" t="n">
        <x:v>0.0005327999999999999</x:v>
      </x:c>
      <x:c r="AC581" s="38" t="n">
        <x:v>3.641066636799998</x:v>
      </x:c>
      <x:c r="AD581" s="28" t="n">
        <x:v>0.48726473570794754</x:v>
      </x:c>
    </x:row>
    <x:row r="582">
      <x:c r="A582" s="32" t="n">
        <x:v>45859</x:v>
      </x:c>
      <x:c r="B582" s="32" t="n">
        <x:v>45839</x:v>
      </x:c>
      <x:c r="C582" t="str">
        <x:v>Jul 2025</x:v>
      </x:c>
      <x:c r="D582" t="str">
        <x:v>Actual</x:v>
      </x:c>
      <x:c r="E582" t="str">
        <x:v>DB-105</x:v>
      </x:c>
      <x:c r="F582" t="str">
        <x:v>DreamFuel Refill Pack</x:v>
      </x:c>
      <x:c r="G582" t="str">
        <x:v>Subscription</x:v>
      </x:c>
      <x:c r="H582" t="str">
        <x:v>None</x:v>
      </x:c>
      <x:c r="I582" t="str">
        <x:v>Active</x:v>
      </x:c>
      <x:c r="J582" t="str">
        <x:v>Amazon Marketplace</x:v>
      </x:c>
      <x:c r="K582" t="str">
        <x:v>Marketplace Consumer</x:v>
      </x:c>
      <x:c r="L582" t="str">
        <x:v>All Geographies</x:v>
      </x:c>
      <x:c r="M582" s="34" t="n">
        <x:v>1905</x:v>
      </x:c>
      <x:c r="N582" s="28" t="n">
        <x:v>0.0458784</x:v>
      </x:c>
      <x:c r="O582" s="34" t="n">
        <x:v>87</x:v>
      </x:c>
      <x:c r="P582" s="34" t="n">
        <x:v>1</x:v>
      </x:c>
      <x:c r="Q582" s="34" t="n">
        <x:v>87</x:v>
      </x:c>
      <x:c r="R582" s="33" t="n">
        <x:v>56</x:v>
      </x:c>
      <x:c r="S582" s="38" t="n">
        <x:v>4.872</x:v>
      </x:c>
      <x:c r="T582" s="38" t="n">
        <x:v>0.2436</x:v>
      </x:c>
      <x:c r="U582" s="38" t="n">
        <x:v>0.092568</x:v>
      </x:c>
      <x:c r="V582" s="38" t="n">
        <x:v>4.535832</x:v>
      </x:c>
      <x:c r="W582" s="38" t="n">
        <x:v>1.6199400000000002</x:v>
      </x:c>
      <x:c r="X582" s="38" t="n">
        <x:v>0</x:v>
      </x:c>
      <x:c r="Y582" s="38" t="n">
        <x:v>0.6803748</x:v>
      </x:c>
      <x:c r="Z582" s="38" t="n">
        <x:v>0.4524</x:v>
      </x:c>
      <x:c r="AA582" s="38" t="n">
        <x:v>0.18705</x:v>
      </x:c>
      <x:c r="AB582" s="38" t="n">
        <x:v>0.00031319999999999997</x:v>
      </x:c>
      <x:c r="AC582" s="38" t="n">
        <x:v>1.5957540000000001</x:v>
      </x:c>
      <x:c r="AD582" s="28" t="n">
        <x:v>0.35181064907165877</x:v>
      </x:c>
    </x:row>
    <x:row r="583">
      <x:c r="A583" s="32" t="n">
        <x:v>45859</x:v>
      </x:c>
      <x:c r="B583" s="32" t="n">
        <x:v>45839</x:v>
      </x:c>
      <x:c r="C583" t="str">
        <x:v>Jul 2025</x:v>
      </x:c>
      <x:c r="D583" t="str">
        <x:v>Actual</x:v>
      </x:c>
      <x:c r="E583" t="str">
        <x:v>DB-105</x:v>
      </x:c>
      <x:c r="F583" t="str">
        <x:v>DreamFuel Refill Pack</x:v>
      </x:c>
      <x:c r="G583" t="str">
        <x:v>Subscription</x:v>
      </x:c>
      <x:c r="H583" t="str">
        <x:v>None</x:v>
      </x:c>
      <x:c r="I583" t="str">
        <x:v>Active</x:v>
      </x:c>
      <x:c r="J583" t="str">
        <x:v>Wholesale</x:v>
      </x:c>
      <x:c r="K583" t="str">
        <x:v>Retailer</x:v>
      </x:c>
      <x:c r="L583" t="str">
        <x:v>All Geographies</x:v>
      </x:c>
      <x:c r="M583" s="34" t="n">
        <x:v>1143</x:v>
      </x:c>
      <x:c r="N583" s="28" t="n">
        <x:v>0.021384000000000004</x:v>
      </x:c>
      <x:c r="O583" s="34" t="n">
        <x:v>24</x:v>
      </x:c>
      <x:c r="P583" s="34" t="n">
        <x:v>1</x:v>
      </x:c>
      <x:c r="Q583" s="34" t="n">
        <x:v>24</x:v>
      </x:c>
      <x:c r="R583" s="33" t="n">
        <x:v>56</x:v>
      </x:c>
      <x:c r="S583" s="38" t="n">
        <x:v>1.344</x:v>
      </x:c>
      <x:c r="T583" s="38" t="n">
        <x:v>0.4704</x:v>
      </x:c>
      <x:c r="U583" s="38" t="n">
        <x:v>0.017472000000000005</x:v>
      </x:c>
      <x:c r="V583" s="38" t="n">
        <x:v>0.8561280000000001</x:v>
      </x:c>
      <x:c r="W583" s="38" t="n">
        <x:v>0.44688</x:v>
      </x:c>
      <x:c r="X583" s="38" t="n">
        <x:v>0</x:v>
      </x:c>
      <x:c r="Y583" s="38" t="n">
        <x:v>0</x:v>
      </x:c>
      <x:c r="Z583" s="38" t="n">
        <x:v>0.0552</x:v>
      </x:c>
      <x:c r="AA583" s="38" t="n">
        <x:v>0.020399999999999998</x:v>
      </x:c>
      <x:c r="AB583" s="38" t="n">
        <x:v>0.0000864</x:v>
      </x:c>
      <x:c r="AC583" s="38" t="n">
        <x:v>0.3335616000000002</x:v>
      </x:c>
      <x:c r="AD583" s="28" t="n">
        <x:v>0.3896165059430367</x:v>
      </x:c>
    </x:row>
    <x:row r="584">
      <x:c r="A584" s="32" t="n">
        <x:v>45859</x:v>
      </x:c>
      <x:c r="B584" s="32" t="n">
        <x:v>45839</x:v>
      </x:c>
      <x:c r="C584" t="str">
        <x:v>Jul 2025</x:v>
      </x:c>
      <x:c r="D584" t="str">
        <x:v>Actual</x:v>
      </x:c>
      <x:c r="E584" t="str">
        <x:v>DB-105</x:v>
      </x:c>
      <x:c r="F584" t="str">
        <x:v>DreamFuel Refill Pack</x:v>
      </x:c>
      <x:c r="G584" t="str">
        <x:v>Subscription</x:v>
      </x:c>
      <x:c r="H584" t="str">
        <x:v>None</x:v>
      </x:c>
      <x:c r="I584" t="str">
        <x:v>Active</x:v>
      </x:c>
      <x:c r="J584" t="str">
        <x:v>TikTok Shop</x:v>
      </x:c>
      <x:c r="K584" t="str">
        <x:v>Social Commerce</x:v>
      </x:c>
      <x:c r="L584" t="str">
        <x:v>All Geographies</x:v>
      </x:c>
      <x:c r="M584" s="34" t="n">
        <x:v>762</x:v>
      </x:c>
      <x:c r="N584" s="28" t="n">
        <x:v>0.0489888</x:v>
      </x:c>
      <x:c r="O584" s="34" t="n">
        <x:v>37</x:v>
      </x:c>
      <x:c r="P584" s="34" t="n">
        <x:v>1</x:v>
      </x:c>
      <x:c r="Q584" s="34" t="n">
        <x:v>37</x:v>
      </x:c>
      <x:c r="R584" s="33" t="n">
        <x:v>56</x:v>
      </x:c>
      <x:c r="S584" s="38" t="n">
        <x:v>2.072</x:v>
      </x:c>
      <x:c r="T584" s="38" t="n">
        <x:v>0.24864</x:v>
      </x:c>
      <x:c r="U584" s="38" t="n">
        <x:v>0.036467200000000005</x:v>
      </x:c>
      <x:c r="V584" s="38" t="n">
        <x:v>1.7868928000000002</x:v>
      </x:c>
      <x:c r="W584" s="38" t="n">
        <x:v>0.6889400000000001</x:v>
      </x:c>
      <x:c r="X584" s="38" t="n">
        <x:v>0.05181989120000001</x:v>
      </x:c>
      <x:c r="Y584" s="38" t="n">
        <x:v>0.10721356800000001</x:v>
      </x:c>
      <x:c r="Z584" s="38" t="n">
        <x:v>0.18869999999999998</x:v>
      </x:c>
      <x:c r="AA584" s="38" t="n">
        <x:v>0.06475</x:v>
      </x:c>
      <x:c r="AB584" s="38" t="n">
        <x:v>0.00013319999999999999</x:v>
      </x:c>
      <x:c r="AC584" s="38" t="n">
        <x:v>0.6853361408</x:v>
      </x:c>
      <x:c r="AD584" s="28" t="n">
        <x:v>0.3835351179432812</x:v>
      </x:c>
    </x:row>
    <x:row r="585">
      <x:c r="A585" s="32" t="n">
        <x:v>45866</x:v>
      </x:c>
      <x:c r="B585" s="32" t="n">
        <x:v>45839</x:v>
      </x:c>
      <x:c r="C585" t="str">
        <x:v>Jul 2025</x:v>
      </x:c>
      <x:c r="D585" t="str">
        <x:v>Actual</x:v>
      </x:c>
      <x:c r="E585" t="str">
        <x:v>DB-101</x:v>
      </x:c>
      <x:c r="F585" t="str">
        <x:v>AeroSip Bottle</x:v>
      </x:c>
      <x:c r="G585" t="str">
        <x:v>One-time purchase</x:v>
      </x:c>
      <x:c r="H585" t="str">
        <x:v>None</x:v>
      </x:c>
      <x:c r="I585" t="str">
        <x:v>Active</x:v>
      </x:c>
      <x:c r="J585" t="str">
        <x:v>Shopify DTC</x:v>
      </x:c>
      <x:c r="K585" t="str">
        <x:v>Consumer</x:v>
      </x:c>
      <x:c r="L585" t="str">
        <x:v>All Geographies</x:v>
      </x:c>
      <x:c r="M585" s="34" t="n">
        <x:v>5525</x:v>
      </x:c>
      <x:c r="N585" s="28" t="n">
        <x:v>0.034199999999999994</x:v>
      </x:c>
      <x:c r="O585" s="34" t="n">
        <x:v>189</x:v>
      </x:c>
      <x:c r="P585" s="34" t="n">
        <x:v>1</x:v>
      </x:c>
      <x:c r="Q585" s="34" t="n">
        <x:v>189</x:v>
      </x:c>
      <x:c r="R585" s="33" t="n">
        <x:v>29</x:v>
      </x:c>
      <x:c r="S585" s="38" t="n">
        <x:v>5.481</x:v>
      </x:c>
      <x:c r="T585" s="38" t="n">
        <x:v>0.43848</x:v>
      </x:c>
      <x:c r="U585" s="38" t="n">
        <x:v>0.2269134</x:v>
      </x:c>
      <x:c r="V585" s="38" t="n">
        <x:v>4.8156066</x:v>
      </x:c>
      <x:c r="W585" s="38" t="n">
        <x:v>2.0412</x:v>
      </x:c>
      <x:c r="X585" s="38" t="n">
        <x:v>0.1396525914</x:v>
      </x:c>
      <x:c r="Y585" s="38" t="n">
        <x:v>0</x:v>
      </x:c>
      <x:c r="Z585" s="38" t="n">
        <x:v>0.78435</x:v>
      </x:c>
      <x:c r="AA585" s="38" t="n">
        <x:v>0.31184999999999996</x:v>
      </x:c>
      <x:c r="AB585" s="38" t="n">
        <x:v>0.006804</x:v>
      </x:c>
      <x:c r="AC585" s="38" t="n">
        <x:v>1.5317500086</x:v>
      </x:c>
      <x:c r="AD585" s="28" t="n">
        <x:v>0.31808038650831655</x:v>
      </x:c>
    </x:row>
    <x:row r="586">
      <x:c r="A586" s="32" t="n">
        <x:v>45866</x:v>
      </x:c>
      <x:c r="B586" s="32" t="n">
        <x:v>45839</x:v>
      </x:c>
      <x:c r="C586" t="str">
        <x:v>Jul 2025</x:v>
      </x:c>
      <x:c r="D586" t="str">
        <x:v>Actual</x:v>
      </x:c>
      <x:c r="E586" t="str">
        <x:v>DB-101</x:v>
      </x:c>
      <x:c r="F586" t="str">
        <x:v>AeroSip Bottle</x:v>
      </x:c>
      <x:c r="G586" t="str">
        <x:v>One-time purchase</x:v>
      </x:c>
      <x:c r="H586" t="str">
        <x:v>None</x:v>
      </x:c>
      <x:c r="I586" t="str">
        <x:v>Active</x:v>
      </x:c>
      <x:c r="J586" t="str">
        <x:v>Amazon Marketplace</x:v>
      </x:c>
      <x:c r="K586" t="str">
        <x:v>Marketplace Consumer</x:v>
      </x:c>
      <x:c r="L586" t="str">
        <x:v>All Geographies</x:v>
      </x:c>
      <x:c r="M586" s="34" t="n">
        <x:v>2762</x:v>
      </x:c>
      <x:c r="N586" s="28" t="n">
        <x:v>0.040355999999999996</x:v>
      </x:c>
      <x:c r="O586" s="34" t="n">
        <x:v>111</x:v>
      </x:c>
      <x:c r="P586" s="34" t="n">
        <x:v>1</x:v>
      </x:c>
      <x:c r="Q586" s="34" t="n">
        <x:v>111</x:v>
      </x:c>
      <x:c r="R586" s="33" t="n">
        <x:v>29</x:v>
      </x:c>
      <x:c r="S586" s="38" t="n">
        <x:v>3.219</x:v>
      </x:c>
      <x:c r="T586" s="38" t="n">
        <x:v>0.16095</x:v>
      </x:c>
      <x:c r="U586" s="38" t="n">
        <x:v>0.13761225</x:v>
      </x:c>
      <x:c r="V586" s="38" t="n">
        <x:v>2.9204377499999996</x:v>
      </x:c>
      <x:c r="W586" s="38" t="n">
        <x:v>1.1988</x:v>
      </x:c>
      <x:c r="X586" s="38" t="n">
        <x:v>0</x:v>
      </x:c>
      <x:c r="Y586" s="38" t="n">
        <x:v>0.43806566249999995</x:v>
      </x:c>
      <x:c r="Z586" s="38" t="n">
        <x:v>0.5772</x:v>
      </x:c>
      <x:c r="AA586" s="38" t="n">
        <x:v>0.23864999999999997</x:v>
      </x:c>
      <x:c r="AB586" s="38" t="n">
        <x:v>0.003996</x:v>
      </x:c>
      <x:c r="AC586" s="38" t="n">
        <x:v>0.4637260874999996</x:v>
      </x:c>
      <x:c r="AD586" s="28" t="n">
        <x:v>0.15878649955815688</x:v>
      </x:c>
    </x:row>
    <x:row r="587">
      <x:c r="A587" s="32" t="n">
        <x:v>45866</x:v>
      </x:c>
      <x:c r="B587" s="32" t="n">
        <x:v>45839</x:v>
      </x:c>
      <x:c r="C587" t="str">
        <x:v>Jul 2025</x:v>
      </x:c>
      <x:c r="D587" t="str">
        <x:v>Actual</x:v>
      </x:c>
      <x:c r="E587" t="str">
        <x:v>DB-101</x:v>
      </x:c>
      <x:c r="F587" t="str">
        <x:v>AeroSip Bottle</x:v>
      </x:c>
      <x:c r="G587" t="str">
        <x:v>One-time purchase</x:v>
      </x:c>
      <x:c r="H587" t="str">
        <x:v>None</x:v>
      </x:c>
      <x:c r="I587" t="str">
        <x:v>Active</x:v>
      </x:c>
      <x:c r="J587" t="str">
        <x:v>Wholesale</x:v>
      </x:c>
      <x:c r="K587" t="str">
        <x:v>Retailer</x:v>
      </x:c>
      <x:c r="L587" t="str">
        <x:v>All Geographies</x:v>
      </x:c>
      <x:c r="M587" s="34" t="n">
        <x:v>1657</x:v>
      </x:c>
      <x:c r="N587" s="28" t="n">
        <x:v>0.01881</x:v>
      </x:c>
      <x:c r="O587" s="34" t="n">
        <x:v>31</x:v>
      </x:c>
      <x:c r="P587" s="34" t="n">
        <x:v>1</x:v>
      </x:c>
      <x:c r="Q587" s="34" t="n">
        <x:v>31</x:v>
      </x:c>
      <x:c r="R587" s="33" t="n">
        <x:v>29</x:v>
      </x:c>
      <x:c r="S587" s="38" t="n">
        <x:v>0.899</x:v>
      </x:c>
      <x:c r="T587" s="38" t="n">
        <x:v>0.31465</x:v>
      </x:c>
      <x:c r="U587" s="38" t="n">
        <x:v>0.02629575</x:v>
      </x:c>
      <x:c r="V587" s="38" t="n">
        <x:v>0.5580542500000001</x:v>
      </x:c>
      <x:c r="W587" s="38" t="n">
        <x:v>0.3348</x:v>
      </x:c>
      <x:c r="X587" s="38" t="n">
        <x:v>0</x:v>
      </x:c>
      <x:c r="Y587" s="38" t="n">
        <x:v>0</x:v>
      </x:c>
      <x:c r="Z587" s="38" t="n">
        <x:v>0.0713</x:v>
      </x:c>
      <x:c r="AA587" s="38" t="n">
        <x:v>0.02635</x:v>
      </x:c>
      <x:c r="AB587" s="38" t="n">
        <x:v>0.001116</x:v>
      </x:c>
      <x:c r="AC587" s="38" t="n">
        <x:v>0.12448825000000008</x:v>
      </x:c>
      <x:c r="AD587" s="28" t="n">
        <x:v>0.22307553432305202</x:v>
      </x:c>
    </x:row>
    <x:row r="588">
      <x:c r="A588" s="32" t="n">
        <x:v>45866</x:v>
      </x:c>
      <x:c r="B588" s="32" t="n">
        <x:v>45839</x:v>
      </x:c>
      <x:c r="C588" t="str">
        <x:v>Jul 2025</x:v>
      </x:c>
      <x:c r="D588" t="str">
        <x:v>Actual</x:v>
      </x:c>
      <x:c r="E588" t="str">
        <x:v>DB-101</x:v>
      </x:c>
      <x:c r="F588" t="str">
        <x:v>AeroSip Bottle</x:v>
      </x:c>
      <x:c r="G588" t="str">
        <x:v>One-time purchase</x:v>
      </x:c>
      <x:c r="H588" t="str">
        <x:v>None</x:v>
      </x:c>
      <x:c r="I588" t="str">
        <x:v>Active</x:v>
      </x:c>
      <x:c r="J588" t="str">
        <x:v>TikTok Shop</x:v>
      </x:c>
      <x:c r="K588" t="str">
        <x:v>Social Commerce</x:v>
      </x:c>
      <x:c r="L588" t="str">
        <x:v>All Geographies</x:v>
      </x:c>
      <x:c r="M588" s="34" t="n">
        <x:v>1105</x:v>
      </x:c>
      <x:c r="N588" s="28" t="n">
        <x:v>0.043092</x:v>
      </x:c>
      <x:c r="O588" s="34" t="n">
        <x:v>48</x:v>
      </x:c>
      <x:c r="P588" s="34" t="n">
        <x:v>1</x:v>
      </x:c>
      <x:c r="Q588" s="34" t="n">
        <x:v>48</x:v>
      </x:c>
      <x:c r="R588" s="33" t="n">
        <x:v>29</x:v>
      </x:c>
      <x:c r="S588" s="38" t="n">
        <x:v>1.392</x:v>
      </x:c>
      <x:c r="T588" s="38" t="n">
        <x:v>0.16704</x:v>
      </x:c>
      <x:c r="U588" s="38" t="n">
        <x:v>0.05512319999999999</x:v>
      </x:c>
      <x:c r="V588" s="38" t="n">
        <x:v>1.1698368</x:v>
      </x:c>
      <x:c r="W588" s="38" t="n">
        <x:v>0.5184000000000001</x:v>
      </x:c>
      <x:c r="X588" s="38" t="n">
        <x:v>0.0339252672</x:v>
      </x:c>
      <x:c r="Y588" s="38" t="n">
        <x:v>0.07019020799999999</x:v>
      </x:c>
      <x:c r="Z588" s="38" t="n">
        <x:v>0.2448</x:v>
      </x:c>
      <x:c r="AA588" s="38" t="n">
        <x:v>0.084</x:v>
      </x:c>
      <x:c r="AB588" s="38" t="n">
        <x:v>0.0017280000000000002</x:v>
      </x:c>
      <x:c r="AC588" s="38" t="n">
        <x:v>0.2167933247999998</x:v>
      </x:c>
      <x:c r="AD588" s="28" t="n">
        <x:v>0.1853192896650198</x:v>
      </x:c>
    </x:row>
    <x:row r="589">
      <x:c r="A589" s="32" t="n">
        <x:v>45866</x:v>
      </x:c>
      <x:c r="B589" s="32" t="n">
        <x:v>45839</x:v>
      </x:c>
      <x:c r="C589" t="str">
        <x:v>Jul 2025</x:v>
      </x:c>
      <x:c r="D589" t="str">
        <x:v>Actual</x:v>
      </x:c>
      <x:c r="E589" t="str">
        <x:v>DB-102</x:v>
      </x:c>
      <x:c r="F589" t="str">
        <x:v>GlowPatch Balm</x:v>
      </x:c>
      <x:c r="G589" t="str">
        <x:v>Consumable repeat</x:v>
      </x:c>
      <x:c r="H589" t="str">
        <x:v>None</x:v>
      </x:c>
      <x:c r="I589" t="str">
        <x:v>Active</x:v>
      </x:c>
      <x:c r="J589" t="str">
        <x:v>Shopify DTC</x:v>
      </x:c>
      <x:c r="K589" t="str">
        <x:v>Consumer</x:v>
      </x:c>
      <x:c r="L589" t="str">
        <x:v>All Geographies</x:v>
      </x:c>
      <x:c r="M589" s="34" t="n">
        <x:v>4462</x:v>
      </x:c>
      <x:c r="N589" s="28" t="n">
        <x:v>0.04248</x:v>
      </x:c>
      <x:c r="O589" s="34" t="n">
        <x:v>190</x:v>
      </x:c>
      <x:c r="P589" s="34" t="n">
        <x:v>1</x:v>
      </x:c>
      <x:c r="Q589" s="34" t="n">
        <x:v>190</x:v>
      </x:c>
      <x:c r="R589" s="33" t="n">
        <x:v>18</x:v>
      </x:c>
      <x:c r="S589" s="38" t="n">
        <x:v>3.42</x:v>
      </x:c>
      <x:c r="T589" s="38" t="n">
        <x:v>0.2736</x:v>
      </x:c>
      <x:c r="U589" s="38" t="n">
        <x:v>0.07866000000000001</x:v>
      </x:c>
      <x:c r="V589" s="38" t="n">
        <x:v>3.0677399999999997</x:v>
      </x:c>
      <x:c r="W589" s="38" t="n">
        <x:v>1.0279</x:v>
      </x:c>
      <x:c r="X589" s="38" t="n">
        <x:v>0.08896446</x:v>
      </x:c>
      <x:c r="Y589" s="38" t="n">
        <x:v>0</x:v>
      </x:c>
      <x:c r="Z589" s="38" t="n">
        <x:v>0.7885000000000001</x:v>
      </x:c>
      <x:c r="AA589" s="38" t="n">
        <x:v>0.3135</x:v>
      </x:c>
      <x:c r="AB589" s="38" t="n">
        <x:v>0.0011400000000000002</x:v>
      </x:c>
      <x:c r="AC589" s="38" t="n">
        <x:v>0.8477355399999997</x:v>
      </x:c>
      <x:c r="AD589" s="28" t="n">
        <x:v>0.2763387835996531</x:v>
      </x:c>
    </x:row>
    <x:row r="590">
      <x:c r="A590" s="32" t="n">
        <x:v>45866</x:v>
      </x:c>
      <x:c r="B590" s="32" t="n">
        <x:v>45839</x:v>
      </x:c>
      <x:c r="C590" t="str">
        <x:v>Jul 2025</x:v>
      </x:c>
      <x:c r="D590" t="str">
        <x:v>Actual</x:v>
      </x:c>
      <x:c r="E590" t="str">
        <x:v>DB-102</x:v>
      </x:c>
      <x:c r="F590" t="str">
        <x:v>GlowPatch Balm</x:v>
      </x:c>
      <x:c r="G590" t="str">
        <x:v>Consumable repeat</x:v>
      </x:c>
      <x:c r="H590" t="str">
        <x:v>None</x:v>
      </x:c>
      <x:c r="I590" t="str">
        <x:v>Active</x:v>
      </x:c>
      <x:c r="J590" t="str">
        <x:v>Amazon Marketplace</x:v>
      </x:c>
      <x:c r="K590" t="str">
        <x:v>Marketplace Consumer</x:v>
      </x:c>
      <x:c r="L590" t="str">
        <x:v>All Geographies</x:v>
      </x:c>
      <x:c r="M590" s="34" t="n">
        <x:v>2231</x:v>
      </x:c>
      <x:c r="N590" s="28" t="n">
        <x:v>0.050126399999999995</x:v>
      </x:c>
      <x:c r="O590" s="34" t="n">
        <x:v>112</x:v>
      </x:c>
      <x:c r="P590" s="34" t="n">
        <x:v>1</x:v>
      </x:c>
      <x:c r="Q590" s="34" t="n">
        <x:v>112</x:v>
      </x:c>
      <x:c r="R590" s="33" t="n">
        <x:v>18</x:v>
      </x:c>
      <x:c r="S590" s="38" t="n">
        <x:v>2.016</x:v>
      </x:c>
      <x:c r="T590" s="38" t="n">
        <x:v>0.1008</x:v>
      </x:c>
      <x:c r="U590" s="38" t="n">
        <x:v>0.047880000000000006</x:v>
      </x:c>
      <x:c r="V590" s="38" t="n">
        <x:v>1.86732</x:v>
      </x:c>
      <x:c r="W590" s="38" t="n">
        <x:v>0.6059200000000001</x:v>
      </x:c>
      <x:c r="X590" s="38" t="n">
        <x:v>0</x:v>
      </x:c>
      <x:c r="Y590" s="38" t="n">
        <x:v>0.280098</x:v>
      </x:c>
      <x:c r="Z590" s="38" t="n">
        <x:v>0.5824</x:v>
      </x:c>
      <x:c r="AA590" s="38" t="n">
        <x:v>0.2408</x:v>
      </x:c>
      <x:c r="AB590" s="38" t="n">
        <x:v>0.0006720000000000001</x:v>
      </x:c>
      <x:c r="AC590" s="38" t="n">
        <x:v>0.1574300000000001</x:v>
      </x:c>
      <x:c r="AD590" s="28" t="n">
        <x:v>0.0843079922027291</x:v>
      </x:c>
    </x:row>
    <x:row r="591">
      <x:c r="A591" s="32" t="n">
        <x:v>45866</x:v>
      </x:c>
      <x:c r="B591" s="32" t="n">
        <x:v>45839</x:v>
      </x:c>
      <x:c r="C591" t="str">
        <x:v>Jul 2025</x:v>
      </x:c>
      <x:c r="D591" t="str">
        <x:v>Actual</x:v>
      </x:c>
      <x:c r="E591" t="str">
        <x:v>DB-102</x:v>
      </x:c>
      <x:c r="F591" t="str">
        <x:v>GlowPatch Balm</x:v>
      </x:c>
      <x:c r="G591" t="str">
        <x:v>Consumable repeat</x:v>
      </x:c>
      <x:c r="H591" t="str">
        <x:v>None</x:v>
      </x:c>
      <x:c r="I591" t="str">
        <x:v>Active</x:v>
      </x:c>
      <x:c r="J591" t="str">
        <x:v>Wholesale</x:v>
      </x:c>
      <x:c r="K591" t="str">
        <x:v>Retailer</x:v>
      </x:c>
      <x:c r="L591" t="str">
        <x:v>All Geographies</x:v>
      </x:c>
      <x:c r="M591" s="34" t="n">
        <x:v>1339</x:v>
      </x:c>
      <x:c r="N591" s="28" t="n">
        <x:v>0.023364</x:v>
      </x:c>
      <x:c r="O591" s="34" t="n">
        <x:v>31</x:v>
      </x:c>
      <x:c r="P591" s="34" t="n">
        <x:v>1</x:v>
      </x:c>
      <x:c r="Q591" s="34" t="n">
        <x:v>31</x:v>
      </x:c>
      <x:c r="R591" s="33" t="n">
        <x:v>18</x:v>
      </x:c>
      <x:c r="S591" s="38" t="n">
        <x:v>0.558</x:v>
      </x:c>
      <x:c r="T591" s="38" t="n">
        <x:v>0.1953</x:v>
      </x:c>
      <x:c r="U591" s="38" t="n">
        <x:v>0.009067500000000001</x:v>
      </x:c>
      <x:c r="V591" s="38" t="n">
        <x:v>0.3536325</x:v>
      </x:c>
      <x:c r="W591" s="38" t="n">
        <x:v>0.16771</x:v>
      </x:c>
      <x:c r="X591" s="38" t="n">
        <x:v>0</x:v>
      </x:c>
      <x:c r="Y591" s="38" t="n">
        <x:v>0</x:v>
      </x:c>
      <x:c r="Z591" s="38" t="n">
        <x:v>0.0713</x:v>
      </x:c>
      <x:c r="AA591" s="38" t="n">
        <x:v>0.02635</x:v>
      </x:c>
      <x:c r="AB591" s="38" t="n">
        <x:v>0.000186</x:v>
      </x:c>
      <x:c r="AC591" s="38" t="n">
        <x:v>0.08808650000000001</x:v>
      </x:c>
      <x:c r="AD591" s="28" t="n">
        <x:v>0.2490905106289722</x:v>
      </x:c>
    </x:row>
    <x:row r="592">
      <x:c r="A592" s="32" t="n">
        <x:v>45866</x:v>
      </x:c>
      <x:c r="B592" s="32" t="n">
        <x:v>45839</x:v>
      </x:c>
      <x:c r="C592" t="str">
        <x:v>Jul 2025</x:v>
      </x:c>
      <x:c r="D592" t="str">
        <x:v>Actual</x:v>
      </x:c>
      <x:c r="E592" t="str">
        <x:v>DB-102</x:v>
      </x:c>
      <x:c r="F592" t="str">
        <x:v>GlowPatch Balm</x:v>
      </x:c>
      <x:c r="G592" t="str">
        <x:v>Consumable repeat</x:v>
      </x:c>
      <x:c r="H592" t="str">
        <x:v>None</x:v>
      </x:c>
      <x:c r="I592" t="str">
        <x:v>Active</x:v>
      </x:c>
      <x:c r="J592" t="str">
        <x:v>TikTok Shop</x:v>
      </x:c>
      <x:c r="K592" t="str">
        <x:v>Social Commerce</x:v>
      </x:c>
      <x:c r="L592" t="str">
        <x:v>All Geographies</x:v>
      </x:c>
      <x:c r="M592" s="34" t="n">
        <x:v>892</x:v>
      </x:c>
      <x:c r="N592" s="28" t="n">
        <x:v>0.0535248</x:v>
      </x:c>
      <x:c r="O592" s="34" t="n">
        <x:v>48</x:v>
      </x:c>
      <x:c r="P592" s="34" t="n">
        <x:v>1</x:v>
      </x:c>
      <x:c r="Q592" s="34" t="n">
        <x:v>48</x:v>
      </x:c>
      <x:c r="R592" s="33" t="n">
        <x:v>18</x:v>
      </x:c>
      <x:c r="S592" s="38" t="n">
        <x:v>0.864</x:v>
      </x:c>
      <x:c r="T592" s="38" t="n">
        <x:v>0.10368</x:v>
      </x:c>
      <x:c r="U592" s="38" t="n">
        <x:v>0.019008</x:v>
      </x:c>
      <x:c r="V592" s="38" t="n">
        <x:v>0.741312</x:v>
      </x:c>
      <x:c r="W592" s="38" t="n">
        <x:v>0.25968</x:v>
      </x:c>
      <x:c r="X592" s="38" t="n">
        <x:v>0.021498048</x:v>
      </x:c>
      <x:c r="Y592" s="38" t="n">
        <x:v>0.04447872</x:v>
      </x:c>
      <x:c r="Z592" s="38" t="n">
        <x:v>0.2448</x:v>
      </x:c>
      <x:c r="AA592" s="38" t="n">
        <x:v>0.084</x:v>
      </x:c>
      <x:c r="AB592" s="38" t="n">
        <x:v>0.000288</x:v>
      </x:c>
      <x:c r="AC592" s="38" t="n">
        <x:v>0.086567232</x:v>
      </x:c>
      <x:c r="AD592" s="28" t="n">
        <x:v>0.11677570577570577</x:v>
      </x:c>
    </x:row>
    <x:row r="593">
      <x:c r="A593" s="32" t="n">
        <x:v>45866</x:v>
      </x:c>
      <x:c r="B593" s="32" t="n">
        <x:v>45839</x:v>
      </x:c>
      <x:c r="C593" t="str">
        <x:v>Jul 2025</x:v>
      </x:c>
      <x:c r="D593" t="str">
        <x:v>Actual</x:v>
      </x:c>
      <x:c r="E593" t="str">
        <x:v>DB-103</x:v>
      </x:c>
      <x:c r="F593" t="str">
        <x:v>EmberTrail Camp Mug</x:v>
      </x:c>
      <x:c r="G593" t="str">
        <x:v>One-time purchase</x:v>
      </x:c>
      <x:c r="H593" t="str">
        <x:v>Winter peak</x:v>
      </x:c>
      <x:c r="I593" t="str">
        <x:v>Active</x:v>
      </x:c>
      <x:c r="J593" t="str">
        <x:v>Shopify DTC</x:v>
      </x:c>
      <x:c r="K593" t="str">
        <x:v>Consumer</x:v>
      </x:c>
      <x:c r="L593" t="str">
        <x:v>All Geographies</x:v>
      </x:c>
      <x:c r="M593" s="34" t="n">
        <x:v>2983</x:v>
      </x:c>
      <x:c r="N593" s="28" t="n">
        <x:v>0.0324</x:v>
      </x:c>
      <x:c r="O593" s="34" t="n">
        <x:v>97</x:v>
      </x:c>
      <x:c r="P593" s="34" t="n">
        <x:v>1</x:v>
      </x:c>
      <x:c r="Q593" s="34" t="n">
        <x:v>97</x:v>
      </x:c>
      <x:c r="R593" s="33" t="n">
        <x:v>34</x:v>
      </x:c>
      <x:c r="S593" s="38" t="n">
        <x:v>3.298</x:v>
      </x:c>
      <x:c r="T593" s="38" t="n">
        <x:v>0.26384</x:v>
      </x:c>
      <x:c r="U593" s="38" t="n">
        <x:v>0.1668788</x:v>
      </x:c>
      <x:c r="V593" s="38" t="n">
        <x:v>2.8672812</x:v>
      </x:c>
      <x:c r="W593" s="38" t="n">
        <x:v>1.32599</x:v>
      </x:c>
      <x:c r="X593" s="38" t="n">
        <x:v>0.0831511548</x:v>
      </x:c>
      <x:c r="Y593" s="38" t="n">
        <x:v>0</x:v>
      </x:c>
      <x:c r="Z593" s="38" t="n">
        <x:v>0.40255</x:v>
      </x:c>
      <x:c r="AA593" s="38" t="n">
        <x:v>0.16004999999999997</x:v>
      </x:c>
      <x:c r="AB593" s="38" t="n">
        <x:v>0.005432</x:v>
      </x:c>
      <x:c r="AC593" s="38" t="n">
        <x:v>0.8901080452</x:v>
      </x:c>
      <x:c r="AD593" s="28" t="n">
        <x:v>0.31043625759482535</x:v>
      </x:c>
    </x:row>
    <x:row r="594">
      <x:c r="A594" s="32" t="n">
        <x:v>45866</x:v>
      </x:c>
      <x:c r="B594" s="32" t="n">
        <x:v>45839</x:v>
      </x:c>
      <x:c r="C594" t="str">
        <x:v>Jul 2025</x:v>
      </x:c>
      <x:c r="D594" t="str">
        <x:v>Actual</x:v>
      </x:c>
      <x:c r="E594" t="str">
        <x:v>DB-103</x:v>
      </x:c>
      <x:c r="F594" t="str">
        <x:v>EmberTrail Camp Mug</x:v>
      </x:c>
      <x:c r="G594" t="str">
        <x:v>One-time purchase</x:v>
      </x:c>
      <x:c r="H594" t="str">
        <x:v>Winter peak</x:v>
      </x:c>
      <x:c r="I594" t="str">
        <x:v>Active</x:v>
      </x:c>
      <x:c r="J594" t="str">
        <x:v>Amazon Marketplace</x:v>
      </x:c>
      <x:c r="K594" t="str">
        <x:v>Marketplace Consumer</x:v>
      </x:c>
      <x:c r="L594" t="str">
        <x:v>All Geographies</x:v>
      </x:c>
      <x:c r="M594" s="34" t="n">
        <x:v>1492</x:v>
      </x:c>
      <x:c r="N594" s="28" t="n">
        <x:v>0.038231999999999995</x:v>
      </x:c>
      <x:c r="O594" s="34" t="n">
        <x:v>57</x:v>
      </x:c>
      <x:c r="P594" s="34" t="n">
        <x:v>1</x:v>
      </x:c>
      <x:c r="Q594" s="34" t="n">
        <x:v>57</x:v>
      </x:c>
      <x:c r="R594" s="33" t="n">
        <x:v>34</x:v>
      </x:c>
      <x:c r="S594" s="38" t="n">
        <x:v>1.938</x:v>
      </x:c>
      <x:c r="T594" s="38" t="n">
        <x:v>0.0969</x:v>
      </x:c>
      <x:c r="U594" s="38" t="n">
        <x:v>0.1012605</x:v>
      </x:c>
      <x:c r="V594" s="38" t="n">
        <x:v>1.7398395</x:v>
      </x:c>
      <x:c r="W594" s="38" t="n">
        <x:v>0.7791899999999999</x:v>
      </x:c>
      <x:c r="X594" s="38" t="n">
        <x:v>0</x:v>
      </x:c>
      <x:c r="Y594" s="38" t="n">
        <x:v>0.260975925</x:v>
      </x:c>
      <x:c r="Z594" s="38" t="n">
        <x:v>0.29640000000000005</x:v>
      </x:c>
      <x:c r="AA594" s="38" t="n">
        <x:v>0.12254999999999999</x:v>
      </x:c>
      <x:c r="AB594" s="38" t="n">
        <x:v>0.003192</x:v>
      </x:c>
      <x:c r="AC594" s="38" t="n">
        <x:v>0.27753157500000003</x:v>
      </x:c>
      <x:c r="AD594" s="28" t="n">
        <x:v>0.15951561911314235</x:v>
      </x:c>
    </x:row>
    <x:row r="595">
      <x:c r="A595" s="32" t="n">
        <x:v>45866</x:v>
      </x:c>
      <x:c r="B595" s="32" t="n">
        <x:v>45839</x:v>
      </x:c>
      <x:c r="C595" t="str">
        <x:v>Jul 2025</x:v>
      </x:c>
      <x:c r="D595" t="str">
        <x:v>Actual</x:v>
      </x:c>
      <x:c r="E595" t="str">
        <x:v>DB-103</x:v>
      </x:c>
      <x:c r="F595" t="str">
        <x:v>EmberTrail Camp Mug</x:v>
      </x:c>
      <x:c r="G595" t="str">
        <x:v>One-time purchase</x:v>
      </x:c>
      <x:c r="H595" t="str">
        <x:v>Winter peak</x:v>
      </x:c>
      <x:c r="I595" t="str">
        <x:v>Active</x:v>
      </x:c>
      <x:c r="J595" t="str">
        <x:v>Wholesale</x:v>
      </x:c>
      <x:c r="K595" t="str">
        <x:v>Retailer</x:v>
      </x:c>
      <x:c r="L595" t="str">
        <x:v>All Geographies</x:v>
      </x:c>
      <x:c r="M595" s="34" t="n">
        <x:v>895</x:v>
      </x:c>
      <x:c r="N595" s="28" t="n">
        <x:v>0.017820000000000003</x:v>
      </x:c>
      <x:c r="O595" s="34" t="n">
        <x:v>16</x:v>
      </x:c>
      <x:c r="P595" s="34" t="n">
        <x:v>1</x:v>
      </x:c>
      <x:c r="Q595" s="34" t="n">
        <x:v>16</x:v>
      </x:c>
      <x:c r="R595" s="33" t="n">
        <x:v>34</x:v>
      </x:c>
      <x:c r="S595" s="38" t="n">
        <x:v>0.544</x:v>
      </x:c>
      <x:c r="T595" s="38" t="n">
        <x:v>0.1904</x:v>
      </x:c>
      <x:c r="U595" s="38" t="n">
        <x:v>0.019448</x:v>
      </x:c>
      <x:c r="V595" s="38" t="n">
        <x:v>0.334152</x:v>
      </x:c>
      <x:c r="W595" s="38" t="n">
        <x:v>0.21872</x:v>
      </x:c>
      <x:c r="X595" s="38" t="n">
        <x:v>0</x:v>
      </x:c>
      <x:c r="Y595" s="38" t="n">
        <x:v>0</x:v>
      </x:c>
      <x:c r="Z595" s="38" t="n">
        <x:v>0.0368</x:v>
      </x:c>
      <x:c r="AA595" s="38" t="n">
        <x:v>0.0136</x:v>
      </x:c>
      <x:c r="AB595" s="38" t="n">
        <x:v>0.000896</x:v>
      </x:c>
      <x:c r="AC595" s="38" t="n">
        <x:v>0.06413600000000001</x:v>
      </x:c>
      <x:c r="AD595" s="28" t="n">
        <x:v>0.1919366037013096</x:v>
      </x:c>
    </x:row>
    <x:row r="596">
      <x:c r="A596" s="32" t="n">
        <x:v>45866</x:v>
      </x:c>
      <x:c r="B596" s="32" t="n">
        <x:v>45839</x:v>
      </x:c>
      <x:c r="C596" t="str">
        <x:v>Jul 2025</x:v>
      </x:c>
      <x:c r="D596" t="str">
        <x:v>Actual</x:v>
      </x:c>
      <x:c r="E596" t="str">
        <x:v>DB-103</x:v>
      </x:c>
      <x:c r="F596" t="str">
        <x:v>EmberTrail Camp Mug</x:v>
      </x:c>
      <x:c r="G596" t="str">
        <x:v>One-time purchase</x:v>
      </x:c>
      <x:c r="H596" t="str">
        <x:v>Winter peak</x:v>
      </x:c>
      <x:c r="I596" t="str">
        <x:v>Active</x:v>
      </x:c>
      <x:c r="J596" t="str">
        <x:v>TikTok Shop</x:v>
      </x:c>
      <x:c r="K596" t="str">
        <x:v>Social Commerce</x:v>
      </x:c>
      <x:c r="L596" t="str">
        <x:v>All Geographies</x:v>
      </x:c>
      <x:c r="M596" s="34" t="n">
        <x:v>597</x:v>
      </x:c>
      <x:c r="N596" s="28" t="n">
        <x:v>0.040824</x:v>
      </x:c>
      <x:c r="O596" s="34" t="n">
        <x:v>24</x:v>
      </x:c>
      <x:c r="P596" s="34" t="n">
        <x:v>1</x:v>
      </x:c>
      <x:c r="Q596" s="34" t="n">
        <x:v>24</x:v>
      </x:c>
      <x:c r="R596" s="33" t="n">
        <x:v>34</x:v>
      </x:c>
      <x:c r="S596" s="38" t="n">
        <x:v>0.816</x:v>
      </x:c>
      <x:c r="T596" s="38" t="n">
        <x:v>0.09792</x:v>
      </x:c>
      <x:c r="U596" s="38" t="n">
        <x:v>0.0394944</x:v>
      </x:c>
      <x:c r="V596" s="38" t="n">
        <x:v>0.6785855999999999</x:v>
      </x:c>
      <x:c r="W596" s="38" t="n">
        <x:v>0.32808</x:v>
      </x:c>
      <x:c r="X596" s="38" t="n">
        <x:v>0.0196789824</x:v>
      </x:c>
      <x:c r="Y596" s="38" t="n">
        <x:v>0.04071513599999999</x:v>
      </x:c>
      <x:c r="Z596" s="38" t="n">
        <x:v>0.1224</x:v>
      </x:c>
      <x:c r="AA596" s="38" t="n">
        <x:v>0.042</x:v>
      </x:c>
      <x:c r="AB596" s="38" t="n">
        <x:v>0.0013440000000000001</x:v>
      </x:c>
      <x:c r="AC596" s="38" t="n">
        <x:v>0.12436748159999993</x:v>
      </x:c>
      <x:c r="AD596" s="28" t="n">
        <x:v>0.18327456639221337</x:v>
      </x:c>
    </x:row>
    <x:row r="597">
      <x:c r="A597" s="32" t="n">
        <x:v>45866</x:v>
      </x:c>
      <x:c r="B597" s="32" t="n">
        <x:v>45839</x:v>
      </x:c>
      <x:c r="C597" t="str">
        <x:v>Jul 2025</x:v>
      </x:c>
      <x:c r="D597" t="str">
        <x:v>Actual</x:v>
      </x:c>
      <x:c r="E597" t="str">
        <x:v>DB-104</x:v>
      </x:c>
      <x:c r="F597" t="str">
        <x:v>SunNest Cooling Towel</x:v>
      </x:c>
      <x:c r="G597" t="str">
        <x:v>Consumable repeat</x:v>
      </x:c>
      <x:c r="H597" t="str">
        <x:v>Summer peak</x:v>
      </x:c>
      <x:c r="I597" t="str">
        <x:v>Active</x:v>
      </x:c>
      <x:c r="J597" t="str">
        <x:v>Shopify DTC</x:v>
      </x:c>
      <x:c r="K597" t="str">
        <x:v>Consumer</x:v>
      </x:c>
      <x:c r="L597" t="str">
        <x:v>All Geographies</x:v>
      </x:c>
      <x:c r="M597" s="34" t="n">
        <x:v>5129</x:v>
      </x:c>
      <x:c r="N597" s="28" t="n">
        <x:v>0.03312</x:v>
      </x:c>
      <x:c r="O597" s="34" t="n">
        <x:v>170</x:v>
      </x:c>
      <x:c r="P597" s="34" t="n">
        <x:v>1</x:v>
      </x:c>
      <x:c r="Q597" s="34" t="n">
        <x:v>170</x:v>
      </x:c>
      <x:c r="R597" s="33" t="n">
        <x:v>42</x:v>
      </x:c>
      <x:c r="S597" s="38" t="n">
        <x:v>7.14</x:v>
      </x:c>
      <x:c r="T597" s="38" t="n">
        <x:v>0.5712</x:v>
      </x:c>
      <x:c r="U597" s="38" t="n">
        <x:v>0.32844</x:v>
      </x:c>
      <x:c r="V597" s="38" t="n">
        <x:v>6.24036</x:v>
      </x:c>
      <x:c r="W597" s="38" t="n">
        <x:v>2.5585</x:v>
      </x:c>
      <x:c r="X597" s="38" t="n">
        <x:v>0.18097044</x:v>
      </x:c>
      <x:c r="Y597" s="38" t="n">
        <x:v>0</x:v>
      </x:c>
      <x:c r="Z597" s="38" t="n">
        <x:v>0.7055000000000001</x:v>
      </x:c>
      <x:c r="AA597" s="38" t="n">
        <x:v>0.2805</x:v>
      </x:c>
      <x:c r="AB597" s="38" t="n">
        <x:v>0.0047599999999999995</x:v>
      </x:c>
      <x:c r="AC597" s="38" t="n">
        <x:v>2.5101295599999998</x:v>
      </x:c>
      <x:c r="AD597" s="28" t="n">
        <x:v>0.4022411463441211</x:v>
      </x:c>
    </x:row>
    <x:row r="598">
      <x:c r="A598" s="32" t="n">
        <x:v>45866</x:v>
      </x:c>
      <x:c r="B598" s="32" t="n">
        <x:v>45839</x:v>
      </x:c>
      <x:c r="C598" t="str">
        <x:v>Jul 2025</x:v>
      </x:c>
      <x:c r="D598" t="str">
        <x:v>Actual</x:v>
      </x:c>
      <x:c r="E598" t="str">
        <x:v>DB-104</x:v>
      </x:c>
      <x:c r="F598" t="str">
        <x:v>SunNest Cooling Towel</x:v>
      </x:c>
      <x:c r="G598" t="str">
        <x:v>Consumable repeat</x:v>
      </x:c>
      <x:c r="H598" t="str">
        <x:v>Summer peak</x:v>
      </x:c>
      <x:c r="I598" t="str">
        <x:v>Active</x:v>
      </x:c>
      <x:c r="J598" t="str">
        <x:v>Amazon Marketplace</x:v>
      </x:c>
      <x:c r="K598" t="str">
        <x:v>Marketplace Consumer</x:v>
      </x:c>
      <x:c r="L598" t="str">
        <x:v>All Geographies</x:v>
      </x:c>
      <x:c r="M598" s="34" t="n">
        <x:v>2565</x:v>
      </x:c>
      <x:c r="N598" s="28" t="n">
        <x:v>0.0390816</x:v>
      </x:c>
      <x:c r="O598" s="34" t="n">
        <x:v>100</x:v>
      </x:c>
      <x:c r="P598" s="34" t="n">
        <x:v>1</x:v>
      </x:c>
      <x:c r="Q598" s="34" t="n">
        <x:v>100</x:v>
      </x:c>
      <x:c r="R598" s="33" t="n">
        <x:v>42</x:v>
      </x:c>
      <x:c r="S598" s="38" t="n">
        <x:v>4.2</x:v>
      </x:c>
      <x:c r="T598" s="38" t="n">
        <x:v>0.21000000000000002</x:v>
      </x:c>
      <x:c r="U598" s="38" t="n">
        <x:v>0.1995</x:v>
      </x:c>
      <x:c r="V598" s="38" t="n">
        <x:v>3.7905</x:v>
      </x:c>
      <x:c r="W598" s="38" t="n">
        <x:v>1.505</x:v>
      </x:c>
      <x:c r="X598" s="38" t="n">
        <x:v>0</x:v>
      </x:c>
      <x:c r="Y598" s="38" t="n">
        <x:v>0.568575</x:v>
      </x:c>
      <x:c r="Z598" s="38" t="n">
        <x:v>0.52</x:v>
      </x:c>
      <x:c r="AA598" s="38" t="n">
        <x:v>0.215</x:v>
      </x:c>
      <x:c r="AB598" s="38" t="n">
        <x:v>0.0028</x:v>
      </x:c>
      <x:c r="AC598" s="38" t="n">
        <x:v>0.9791250000000002</x:v>
      </x:c>
      <x:c r="AD598" s="28" t="n">
        <x:v>0.25831024930747926</x:v>
      </x:c>
    </x:row>
    <x:row r="599">
      <x:c r="A599" s="32" t="n">
        <x:v>45866</x:v>
      </x:c>
      <x:c r="B599" s="32" t="n">
        <x:v>45839</x:v>
      </x:c>
      <x:c r="C599" t="str">
        <x:v>Jul 2025</x:v>
      </x:c>
      <x:c r="D599" t="str">
        <x:v>Actual</x:v>
      </x:c>
      <x:c r="E599" t="str">
        <x:v>DB-104</x:v>
      </x:c>
      <x:c r="F599" t="str">
        <x:v>SunNest Cooling Towel</x:v>
      </x:c>
      <x:c r="G599" t="str">
        <x:v>Consumable repeat</x:v>
      </x:c>
      <x:c r="H599" t="str">
        <x:v>Summer peak</x:v>
      </x:c>
      <x:c r="I599" t="str">
        <x:v>Active</x:v>
      </x:c>
      <x:c r="J599" t="str">
        <x:v>Wholesale</x:v>
      </x:c>
      <x:c r="K599" t="str">
        <x:v>Retailer</x:v>
      </x:c>
      <x:c r="L599" t="str">
        <x:v>All Geographies</x:v>
      </x:c>
      <x:c r="M599" s="34" t="n">
        <x:v>1539</x:v>
      </x:c>
      <x:c r="N599" s="28" t="n">
        <x:v>0.018216000000000003</x:v>
      </x:c>
      <x:c r="O599" s="34" t="n">
        <x:v>28</x:v>
      </x:c>
      <x:c r="P599" s="34" t="n">
        <x:v>1</x:v>
      </x:c>
      <x:c r="Q599" s="34" t="n">
        <x:v>28</x:v>
      </x:c>
      <x:c r="R599" s="33" t="n">
        <x:v>42</x:v>
      </x:c>
      <x:c r="S599" s="38" t="n">
        <x:v>1.176</x:v>
      </x:c>
      <x:c r="T599" s="38" t="n">
        <x:v>0.41159999999999997</x:v>
      </x:c>
      <x:c r="U599" s="38" t="n">
        <x:v>0.038220000000000004</x:v>
      </x:c>
      <x:c r="V599" s="38" t="n">
        <x:v>0.7261799999999999</x:v>
      </x:c>
      <x:c r="W599" s="38" t="n">
        <x:v>0.42140000000000005</x:v>
      </x:c>
      <x:c r="X599" s="38" t="n">
        <x:v>0</x:v>
      </x:c>
      <x:c r="Y599" s="38" t="n">
        <x:v>0</x:v>
      </x:c>
      <x:c r="Z599" s="38" t="n">
        <x:v>0.06439999999999999</x:v>
      </x:c>
      <x:c r="AA599" s="38" t="n">
        <x:v>0.0238</x:v>
      </x:c>
      <x:c r="AB599" s="38" t="n">
        <x:v>0.0007840000000000001</x:v>
      </x:c>
      <x:c r="AC599" s="38" t="n">
        <x:v>0.21579599999999988</x:v>
      </x:c>
      <x:c r="AD599" s="28" t="n">
        <x:v>0.2971659919028339</x:v>
      </x:c>
    </x:row>
    <x:row r="600">
      <x:c r="A600" s="32" t="n">
        <x:v>45866</x:v>
      </x:c>
      <x:c r="B600" s="32" t="n">
        <x:v>45839</x:v>
      </x:c>
      <x:c r="C600" t="str">
        <x:v>Jul 2025</x:v>
      </x:c>
      <x:c r="D600" t="str">
        <x:v>Actual</x:v>
      </x:c>
      <x:c r="E600" t="str">
        <x:v>DB-104</x:v>
      </x:c>
      <x:c r="F600" t="str">
        <x:v>SunNest Cooling Towel</x:v>
      </x:c>
      <x:c r="G600" t="str">
        <x:v>Consumable repeat</x:v>
      </x:c>
      <x:c r="H600" t="str">
        <x:v>Summer peak</x:v>
      </x:c>
      <x:c r="I600" t="str">
        <x:v>Active</x:v>
      </x:c>
      <x:c r="J600" t="str">
        <x:v>TikTok Shop</x:v>
      </x:c>
      <x:c r="K600" t="str">
        <x:v>Social Commerce</x:v>
      </x:c>
      <x:c r="L600" t="str">
        <x:v>All Geographies</x:v>
      </x:c>
      <x:c r="M600" s="34" t="n">
        <x:v>1026</x:v>
      </x:c>
      <x:c r="N600" s="28" t="n">
        <x:v>0.0417312</x:v>
      </x:c>
      <x:c r="O600" s="34" t="n">
        <x:v>43</x:v>
      </x:c>
      <x:c r="P600" s="34" t="n">
        <x:v>1</x:v>
      </x:c>
      <x:c r="Q600" s="34" t="n">
        <x:v>43</x:v>
      </x:c>
      <x:c r="R600" s="33" t="n">
        <x:v>42</x:v>
      </x:c>
      <x:c r="S600" s="38" t="n">
        <x:v>1.806</x:v>
      </x:c>
      <x:c r="T600" s="38" t="n">
        <x:v>0.21672</x:v>
      </x:c>
      <x:c r="U600" s="38" t="n">
        <x:v>0.079464</x:v>
      </x:c>
      <x:c r="V600" s="38" t="n">
        <x:v>1.509816</x:v>
      </x:c>
      <x:c r="W600" s="38" t="n">
        <x:v>0.64715</x:v>
      </x:c>
      <x:c r="X600" s="38" t="n">
        <x:v>0.043784664</x:v>
      </x:c>
      <x:c r="Y600" s="38" t="n">
        <x:v>0.09058896</x:v>
      </x:c>
      <x:c r="Z600" s="38" t="n">
        <x:v>0.2193</x:v>
      </x:c>
      <x:c r="AA600" s="38" t="n">
        <x:v>0.07525</x:v>
      </x:c>
      <x:c r="AB600" s="38" t="n">
        <x:v>0.001204</x:v>
      </x:c>
      <x:c r="AC600" s="38" t="n">
        <x:v>0.43253837599999995</x:v>
      </x:c>
      <x:c r="AD600" s="28" t="n">
        <x:v>0.2864841649578491</x:v>
      </x:c>
    </x:row>
    <x:row r="601">
      <x:c r="A601" s="32" t="n">
        <x:v>45866</x:v>
      </x:c>
      <x:c r="B601" s="32" t="n">
        <x:v>45839</x:v>
      </x:c>
      <x:c r="C601" t="str">
        <x:v>Jul 2025</x:v>
      </x:c>
      <x:c r="D601" t="str">
        <x:v>Actual</x:v>
      </x:c>
      <x:c r="E601" t="str">
        <x:v>DB-105</x:v>
      </x:c>
      <x:c r="F601" t="str">
        <x:v>DreamFuel Refill Pack</x:v>
      </x:c>
      <x:c r="G601" t="str">
        <x:v>Subscription</x:v>
      </x:c>
      <x:c r="H601" t="str">
        <x:v>None</x:v>
      </x:c>
      <x:c r="I601" t="str">
        <x:v>Active</x:v>
      </x:c>
      <x:c r="J601" t="str">
        <x:v>Shopify DTC</x:v>
      </x:c>
      <x:c r="K601" t="str">
        <x:v>Consumer</x:v>
      </x:c>
      <x:c r="L601" t="str">
        <x:v>All Geographies</x:v>
      </x:c>
      <x:c r="M601" s="34" t="n">
        <x:v>3825</x:v>
      </x:c>
      <x:c r="N601" s="28" t="n">
        <x:v>0.03888</x:v>
      </x:c>
      <x:c r="O601" s="34" t="n">
        <x:v>149</x:v>
      </x:c>
      <x:c r="P601" s="34" t="n">
        <x:v>1</x:v>
      </x:c>
      <x:c r="Q601" s="34" t="n">
        <x:v>149</x:v>
      </x:c>
      <x:c r="R601" s="33" t="n">
        <x:v>56</x:v>
      </x:c>
      <x:c r="S601" s="38" t="n">
        <x:v>8.344</x:v>
      </x:c>
      <x:c r="T601" s="38" t="n">
        <x:v>0.66752</x:v>
      </x:c>
      <x:c r="U601" s="38" t="n">
        <x:v>0.1535296</x:v>
      </x:c>
      <x:c r="V601" s="38" t="n">
        <x:v>7.5229504</x:v>
      </x:c>
      <x:c r="W601" s="38" t="n">
        <x:v>2.7743800000000003</x:v>
      </x:c>
      <x:c r="X601" s="38" t="n">
        <x:v>0.2181655616</x:v>
      </x:c>
      <x:c r="Y601" s="38" t="n">
        <x:v>0</x:v>
      </x:c>
      <x:c r="Z601" s="38" t="n">
        <x:v>0.6183500000000001</x:v>
      </x:c>
      <x:c r="AA601" s="38" t="n">
        <x:v>0.24584999999999999</x:v>
      </x:c>
      <x:c r="AB601" s="38" t="n">
        <x:v>0.0005364</x:v>
      </x:c>
      <x:c r="AC601" s="38" t="n">
        <x:v>3.6656684384</x:v>
      </x:c>
      <x:c r="AD601" s="28" t="n">
        <x:v>0.48726473570794776</x:v>
      </x:c>
    </x:row>
    <x:row r="602">
      <x:c r="A602" s="32" t="n">
        <x:v>45866</x:v>
      </x:c>
      <x:c r="B602" s="32" t="n">
        <x:v>45839</x:v>
      </x:c>
      <x:c r="C602" t="str">
        <x:v>Jul 2025</x:v>
      </x:c>
      <x:c r="D602" t="str">
        <x:v>Actual</x:v>
      </x:c>
      <x:c r="E602" t="str">
        <x:v>DB-105</x:v>
      </x:c>
      <x:c r="F602" t="str">
        <x:v>DreamFuel Refill Pack</x:v>
      </x:c>
      <x:c r="G602" t="str">
        <x:v>Subscription</x:v>
      </x:c>
      <x:c r="H602" t="str">
        <x:v>None</x:v>
      </x:c>
      <x:c r="I602" t="str">
        <x:v>Active</x:v>
      </x:c>
      <x:c r="J602" t="str">
        <x:v>Amazon Marketplace</x:v>
      </x:c>
      <x:c r="K602" t="str">
        <x:v>Marketplace Consumer</x:v>
      </x:c>
      <x:c r="L602" t="str">
        <x:v>All Geographies</x:v>
      </x:c>
      <x:c r="M602" s="34" t="n">
        <x:v>1912</x:v>
      </x:c>
      <x:c r="N602" s="28" t="n">
        <x:v>0.0458784</x:v>
      </x:c>
      <x:c r="O602" s="34" t="n">
        <x:v>88</x:v>
      </x:c>
      <x:c r="P602" s="34" t="n">
        <x:v>1</x:v>
      </x:c>
      <x:c r="Q602" s="34" t="n">
        <x:v>88</x:v>
      </x:c>
      <x:c r="R602" s="33" t="n">
        <x:v>56</x:v>
      </x:c>
      <x:c r="S602" s="38" t="n">
        <x:v>4.928</x:v>
      </x:c>
      <x:c r="T602" s="38" t="n">
        <x:v>0.2464</x:v>
      </x:c>
      <x:c r="U602" s="38" t="n">
        <x:v>0.09363199999999999</x:v>
      </x:c>
      <x:c r="V602" s="38" t="n">
        <x:v>4.587967999999999</x:v>
      </x:c>
      <x:c r="W602" s="38" t="n">
        <x:v>1.6385600000000002</x:v>
      </x:c>
      <x:c r="X602" s="38" t="n">
        <x:v>0</x:v>
      </x:c>
      <x:c r="Y602" s="38" t="n">
        <x:v>0.6881951999999999</x:v>
      </x:c>
      <x:c r="Z602" s="38" t="n">
        <x:v>0.4576</x:v>
      </x:c>
      <x:c r="AA602" s="38" t="n">
        <x:v>0.18919999999999998</x:v>
      </x:c>
      <x:c r="AB602" s="38" t="n">
        <x:v>0.0003168</x:v>
      </x:c>
      <x:c r="AC602" s="38" t="n">
        <x:v>1.614095999999999</x:v>
      </x:c>
      <x:c r="AD602" s="28" t="n">
        <x:v>0.3518106490716586</x:v>
      </x:c>
    </x:row>
    <x:row r="603">
      <x:c r="A603" s="32" t="n">
        <x:v>45866</x:v>
      </x:c>
      <x:c r="B603" s="32" t="n">
        <x:v>45839</x:v>
      </x:c>
      <x:c r="C603" t="str">
        <x:v>Jul 2025</x:v>
      </x:c>
      <x:c r="D603" t="str">
        <x:v>Actual</x:v>
      </x:c>
      <x:c r="E603" t="str">
        <x:v>DB-105</x:v>
      </x:c>
      <x:c r="F603" t="str">
        <x:v>DreamFuel Refill Pack</x:v>
      </x:c>
      <x:c r="G603" t="str">
        <x:v>Subscription</x:v>
      </x:c>
      <x:c r="H603" t="str">
        <x:v>None</x:v>
      </x:c>
      <x:c r="I603" t="str">
        <x:v>Active</x:v>
      </x:c>
      <x:c r="J603" t="str">
        <x:v>Wholesale</x:v>
      </x:c>
      <x:c r="K603" t="str">
        <x:v>Retailer</x:v>
      </x:c>
      <x:c r="L603" t="str">
        <x:v>All Geographies</x:v>
      </x:c>
      <x:c r="M603" s="34" t="n">
        <x:v>1147</x:v>
      </x:c>
      <x:c r="N603" s="28" t="n">
        <x:v>0.021384000000000004</x:v>
      </x:c>
      <x:c r="O603" s="34" t="n">
        <x:v>25</x:v>
      </x:c>
      <x:c r="P603" s="34" t="n">
        <x:v>1</x:v>
      </x:c>
      <x:c r="Q603" s="34" t="n">
        <x:v>25</x:v>
      </x:c>
      <x:c r="R603" s="33" t="n">
        <x:v>56</x:v>
      </x:c>
      <x:c r="S603" s="38" t="n">
        <x:v>1.4</x:v>
      </x:c>
      <x:c r="T603" s="38" t="n">
        <x:v>0.48999999999999994</x:v>
      </x:c>
      <x:c r="U603" s="38" t="n">
        <x:v>0.018199999999999997</x:v>
      </x:c>
      <x:c r="V603" s="38" t="n">
        <x:v>0.8917999999999999</x:v>
      </x:c>
      <x:c r="W603" s="38" t="n">
        <x:v>0.4655</x:v>
      </x:c>
      <x:c r="X603" s="38" t="n">
        <x:v>0</x:v>
      </x:c>
      <x:c r="Y603" s="38" t="n">
        <x:v>0</x:v>
      </x:c>
      <x:c r="Z603" s="38" t="n">
        <x:v>0.057499999999999996</x:v>
      </x:c>
      <x:c r="AA603" s="38" t="n">
        <x:v>0.02125</x:v>
      </x:c>
      <x:c r="AB603" s="38" t="n">
        <x:v>0.00008999999999999999</x:v>
      </x:c>
      <x:c r="AC603" s="38" t="n">
        <x:v>0.34745999999999994</x:v>
      </x:c>
      <x:c r="AD603" s="28" t="n">
        <x:v>0.38961650594303654</x:v>
      </x:c>
    </x:row>
    <x:row r="604">
      <x:c r="A604" s="32" t="n">
        <x:v>45866</x:v>
      </x:c>
      <x:c r="B604" s="32" t="n">
        <x:v>45839</x:v>
      </x:c>
      <x:c r="C604" t="str">
        <x:v>Jul 2025</x:v>
      </x:c>
      <x:c r="D604" t="str">
        <x:v>Actual</x:v>
      </x:c>
      <x:c r="E604" t="str">
        <x:v>DB-105</x:v>
      </x:c>
      <x:c r="F604" t="str">
        <x:v>DreamFuel Refill Pack</x:v>
      </x:c>
      <x:c r="G604" t="str">
        <x:v>Subscription</x:v>
      </x:c>
      <x:c r="H604" t="str">
        <x:v>None</x:v>
      </x:c>
      <x:c r="I604" t="str">
        <x:v>Active</x:v>
      </x:c>
      <x:c r="J604" t="str">
        <x:v>TikTok Shop</x:v>
      </x:c>
      <x:c r="K604" t="str">
        <x:v>Social Commerce</x:v>
      </x:c>
      <x:c r="L604" t="str">
        <x:v>All Geographies</x:v>
      </x:c>
      <x:c r="M604" s="34" t="n">
        <x:v>765</x:v>
      </x:c>
      <x:c r="N604" s="28" t="n">
        <x:v>0.0489888</x:v>
      </x:c>
      <x:c r="O604" s="34" t="n">
        <x:v>37</x:v>
      </x:c>
      <x:c r="P604" s="34" t="n">
        <x:v>1</x:v>
      </x:c>
      <x:c r="Q604" s="34" t="n">
        <x:v>37</x:v>
      </x:c>
      <x:c r="R604" s="33" t="n">
        <x:v>56</x:v>
      </x:c>
      <x:c r="S604" s="38" t="n">
        <x:v>2.072</x:v>
      </x:c>
      <x:c r="T604" s="38" t="n">
        <x:v>0.24864</x:v>
      </x:c>
      <x:c r="U604" s="38" t="n">
        <x:v>0.036467200000000005</x:v>
      </x:c>
      <x:c r="V604" s="38" t="n">
        <x:v>1.7868928000000002</x:v>
      </x:c>
      <x:c r="W604" s="38" t="n">
        <x:v>0.6889400000000001</x:v>
      </x:c>
      <x:c r="X604" s="38" t="n">
        <x:v>0.05181989120000001</x:v>
      </x:c>
      <x:c r="Y604" s="38" t="n">
        <x:v>0.10721356800000001</x:v>
      </x:c>
      <x:c r="Z604" s="38" t="n">
        <x:v>0.18869999999999998</x:v>
      </x:c>
      <x:c r="AA604" s="38" t="n">
        <x:v>0.06475</x:v>
      </x:c>
      <x:c r="AB604" s="38" t="n">
        <x:v>0.00013319999999999999</x:v>
      </x:c>
      <x:c r="AC604" s="38" t="n">
        <x:v>0.6853361408</x:v>
      </x:c>
      <x:c r="AD604" s="28" t="n">
        <x:v>0.3835351179432812</x:v>
      </x:c>
    </x:row>
    <x:row r="605">
      <x:c r="A605" s="32" t="n">
        <x:v>45873</x:v>
      </x:c>
      <x:c r="B605" s="32" t="n">
        <x:v>45870</x:v>
      </x:c>
      <x:c r="C605" t="str">
        <x:v>Aug 2025</x:v>
      </x:c>
      <x:c r="D605" t="str">
        <x:v>Actual</x:v>
      </x:c>
      <x:c r="E605" t="str">
        <x:v>DB-101</x:v>
      </x:c>
      <x:c r="F605" t="str">
        <x:v>AeroSip Bottle</x:v>
      </x:c>
      <x:c r="G605" t="str">
        <x:v>One-time purchase</x:v>
      </x:c>
      <x:c r="H605" t="str">
        <x:v>None</x:v>
      </x:c>
      <x:c r="I605" t="str">
        <x:v>Active</x:v>
      </x:c>
      <x:c r="J605" t="str">
        <x:v>Shopify DTC</x:v>
      </x:c>
      <x:c r="K605" t="str">
        <x:v>Consumer</x:v>
      </x:c>
      <x:c r="L605" t="str">
        <x:v>All Geographies</x:v>
      </x:c>
      <x:c r="M605" s="34" t="n">
        <x:v>5545</x:v>
      </x:c>
      <x:c r="N605" s="28" t="n">
        <x:v>0.034199999999999994</x:v>
      </x:c>
      <x:c r="O605" s="34" t="n">
        <x:v>190</x:v>
      </x:c>
      <x:c r="P605" s="34" t="n">
        <x:v>1</x:v>
      </x:c>
      <x:c r="Q605" s="34" t="n">
        <x:v>190</x:v>
      </x:c>
      <x:c r="R605" s="33" t="n">
        <x:v>29</x:v>
      </x:c>
      <x:c r="S605" s="38" t="n">
        <x:v>5.51</x:v>
      </x:c>
      <x:c r="T605" s="38" t="n">
        <x:v>0.44079999999999997</x:v>
      </x:c>
      <x:c r="U605" s="38" t="n">
        <x:v>0.22811399999999996</x:v>
      </x:c>
      <x:c r="V605" s="38" t="n">
        <x:v>4.841086</x:v>
      </x:c>
      <x:c r="W605" s="38" t="n">
        <x:v>2.052</x:v>
      </x:c>
      <x:c r="X605" s="38" t="n">
        <x:v>0.140391494</x:v>
      </x:c>
      <x:c r="Y605" s="38" t="n">
        <x:v>0</x:v>
      </x:c>
      <x:c r="Z605" s="38" t="n">
        <x:v>0.7885000000000001</x:v>
      </x:c>
      <x:c r="AA605" s="38" t="n">
        <x:v>0.3135</x:v>
      </x:c>
      <x:c r="AB605" s="38" t="n">
        <x:v>0.006840000000000001</x:v>
      </x:c>
      <x:c r="AC605" s="38" t="n">
        <x:v>1.5398545059999997</x:v>
      </x:c>
      <x:c r="AD605" s="28" t="n">
        <x:v>0.3180803865083165</x:v>
      </x:c>
    </x:row>
    <x:row r="606">
      <x:c r="A606" s="32" t="n">
        <x:v>45873</x:v>
      </x:c>
      <x:c r="B606" s="32" t="n">
        <x:v>45870</x:v>
      </x:c>
      <x:c r="C606" t="str">
        <x:v>Aug 2025</x:v>
      </x:c>
      <x:c r="D606" t="str">
        <x:v>Actual</x:v>
      </x:c>
      <x:c r="E606" t="str">
        <x:v>DB-101</x:v>
      </x:c>
      <x:c r="F606" t="str">
        <x:v>AeroSip Bottle</x:v>
      </x:c>
      <x:c r="G606" t="str">
        <x:v>One-time purchase</x:v>
      </x:c>
      <x:c r="H606" t="str">
        <x:v>None</x:v>
      </x:c>
      <x:c r="I606" t="str">
        <x:v>Active</x:v>
      </x:c>
      <x:c r="J606" t="str">
        <x:v>Amazon Marketplace</x:v>
      </x:c>
      <x:c r="K606" t="str">
        <x:v>Marketplace Consumer</x:v>
      </x:c>
      <x:c r="L606" t="str">
        <x:v>All Geographies</x:v>
      </x:c>
      <x:c r="M606" s="34" t="n">
        <x:v>2773</x:v>
      </x:c>
      <x:c r="N606" s="28" t="n">
        <x:v>0.040355999999999996</x:v>
      </x:c>
      <x:c r="O606" s="34" t="n">
        <x:v>112</x:v>
      </x:c>
      <x:c r="P606" s="34" t="n">
        <x:v>1</x:v>
      </x:c>
      <x:c r="Q606" s="34" t="n">
        <x:v>112</x:v>
      </x:c>
      <x:c r="R606" s="33" t="n">
        <x:v>29</x:v>
      </x:c>
      <x:c r="S606" s="38" t="n">
        <x:v>3.248</x:v>
      </x:c>
      <x:c r="T606" s="38" t="n">
        <x:v>0.16240000000000002</x:v>
      </x:c>
      <x:c r="U606" s="38" t="n">
        <x:v>0.138852</x:v>
      </x:c>
      <x:c r="V606" s="38" t="n">
        <x:v>2.9467480000000004</x:v>
      </x:c>
      <x:c r="W606" s="38" t="n">
        <x:v>1.2096000000000002</x:v>
      </x:c>
      <x:c r="X606" s="38" t="n">
        <x:v>0</x:v>
      </x:c>
      <x:c r="Y606" s="38" t="n">
        <x:v>0.4420122</x:v>
      </x:c>
      <x:c r="Z606" s="38" t="n">
        <x:v>0.5824</x:v>
      </x:c>
      <x:c r="AA606" s="38" t="n">
        <x:v>0.2408</x:v>
      </x:c>
      <x:c r="AB606" s="38" t="n">
        <x:v>0.004032</x:v>
      </x:c>
      <x:c r="AC606" s="38" t="n">
        <x:v>0.46790380000000015</x:v>
      </x:c>
      <x:c r="AD606" s="28" t="n">
        <x:v>0.15878649955815702</x:v>
      </x:c>
    </x:row>
    <x:row r="607">
      <x:c r="A607" s="32" t="n">
        <x:v>45873</x:v>
      </x:c>
      <x:c r="B607" s="32" t="n">
        <x:v>45870</x:v>
      </x:c>
      <x:c r="C607" t="str">
        <x:v>Aug 2025</x:v>
      </x:c>
      <x:c r="D607" t="str">
        <x:v>Actual</x:v>
      </x:c>
      <x:c r="E607" t="str">
        <x:v>DB-101</x:v>
      </x:c>
      <x:c r="F607" t="str">
        <x:v>AeroSip Bottle</x:v>
      </x:c>
      <x:c r="G607" t="str">
        <x:v>One-time purchase</x:v>
      </x:c>
      <x:c r="H607" t="str">
        <x:v>None</x:v>
      </x:c>
      <x:c r="I607" t="str">
        <x:v>Active</x:v>
      </x:c>
      <x:c r="J607" t="str">
        <x:v>Wholesale</x:v>
      </x:c>
      <x:c r="K607" t="str">
        <x:v>Retailer</x:v>
      </x:c>
      <x:c r="L607" t="str">
        <x:v>All Geographies</x:v>
      </x:c>
      <x:c r="M607" s="34" t="n">
        <x:v>1664</x:v>
      </x:c>
      <x:c r="N607" s="28" t="n">
        <x:v>0.01881</x:v>
      </x:c>
      <x:c r="O607" s="34" t="n">
        <x:v>31</x:v>
      </x:c>
      <x:c r="P607" s="34" t="n">
        <x:v>1</x:v>
      </x:c>
      <x:c r="Q607" s="34" t="n">
        <x:v>31</x:v>
      </x:c>
      <x:c r="R607" s="33" t="n">
        <x:v>29</x:v>
      </x:c>
      <x:c r="S607" s="38" t="n">
        <x:v>0.899</x:v>
      </x:c>
      <x:c r="T607" s="38" t="n">
        <x:v>0.31465</x:v>
      </x:c>
      <x:c r="U607" s="38" t="n">
        <x:v>0.02629575</x:v>
      </x:c>
      <x:c r="V607" s="38" t="n">
        <x:v>0.5580542500000001</x:v>
      </x:c>
      <x:c r="W607" s="38" t="n">
        <x:v>0.3348</x:v>
      </x:c>
      <x:c r="X607" s="38" t="n">
        <x:v>0</x:v>
      </x:c>
      <x:c r="Y607" s="38" t="n">
        <x:v>0</x:v>
      </x:c>
      <x:c r="Z607" s="38" t="n">
        <x:v>0.0713</x:v>
      </x:c>
      <x:c r="AA607" s="38" t="n">
        <x:v>0.02635</x:v>
      </x:c>
      <x:c r="AB607" s="38" t="n">
        <x:v>0.001116</x:v>
      </x:c>
      <x:c r="AC607" s="38" t="n">
        <x:v>0.12448825000000008</x:v>
      </x:c>
      <x:c r="AD607" s="28" t="n">
        <x:v>0.22307553432305202</x:v>
      </x:c>
    </x:row>
    <x:row r="608">
      <x:c r="A608" s="32" t="n">
        <x:v>45873</x:v>
      </x:c>
      <x:c r="B608" s="32" t="n">
        <x:v>45870</x:v>
      </x:c>
      <x:c r="C608" t="str">
        <x:v>Aug 2025</x:v>
      </x:c>
      <x:c r="D608" t="str">
        <x:v>Actual</x:v>
      </x:c>
      <x:c r="E608" t="str">
        <x:v>DB-101</x:v>
      </x:c>
      <x:c r="F608" t="str">
        <x:v>AeroSip Bottle</x:v>
      </x:c>
      <x:c r="G608" t="str">
        <x:v>One-time purchase</x:v>
      </x:c>
      <x:c r="H608" t="str">
        <x:v>None</x:v>
      </x:c>
      <x:c r="I608" t="str">
        <x:v>Active</x:v>
      </x:c>
      <x:c r="J608" t="str">
        <x:v>TikTok Shop</x:v>
      </x:c>
      <x:c r="K608" t="str">
        <x:v>Social Commerce</x:v>
      </x:c>
      <x:c r="L608" t="str">
        <x:v>All Geographies</x:v>
      </x:c>
      <x:c r="M608" s="34" t="n">
        <x:v>1109</x:v>
      </x:c>
      <x:c r="N608" s="28" t="n">
        <x:v>0.043092</x:v>
      </x:c>
      <x:c r="O608" s="34" t="n">
        <x:v>48</x:v>
      </x:c>
      <x:c r="P608" s="34" t="n">
        <x:v>1</x:v>
      </x:c>
      <x:c r="Q608" s="34" t="n">
        <x:v>48</x:v>
      </x:c>
      <x:c r="R608" s="33" t="n">
        <x:v>29</x:v>
      </x:c>
      <x:c r="S608" s="38" t="n">
        <x:v>1.392</x:v>
      </x:c>
      <x:c r="T608" s="38" t="n">
        <x:v>0.16704</x:v>
      </x:c>
      <x:c r="U608" s="38" t="n">
        <x:v>0.05512319999999999</x:v>
      </x:c>
      <x:c r="V608" s="38" t="n">
        <x:v>1.1698368</x:v>
      </x:c>
      <x:c r="W608" s="38" t="n">
        <x:v>0.5184000000000001</x:v>
      </x:c>
      <x:c r="X608" s="38" t="n">
        <x:v>0.0339252672</x:v>
      </x:c>
      <x:c r="Y608" s="38" t="n">
        <x:v>0.07019020799999999</x:v>
      </x:c>
      <x:c r="Z608" s="38" t="n">
        <x:v>0.2448</x:v>
      </x:c>
      <x:c r="AA608" s="38" t="n">
        <x:v>0.084</x:v>
      </x:c>
      <x:c r="AB608" s="38" t="n">
        <x:v>0.0017280000000000002</x:v>
      </x:c>
      <x:c r="AC608" s="38" t="n">
        <x:v>0.2167933247999998</x:v>
      </x:c>
      <x:c r="AD608" s="28" t="n">
        <x:v>0.1853192896650198</x:v>
      </x:c>
    </x:row>
    <x:row r="609">
      <x:c r="A609" s="32" t="n">
        <x:v>45873</x:v>
      </x:c>
      <x:c r="B609" s="32" t="n">
        <x:v>45870</x:v>
      </x:c>
      <x:c r="C609" t="str">
        <x:v>Aug 2025</x:v>
      </x:c>
      <x:c r="D609" t="str">
        <x:v>Actual</x:v>
      </x:c>
      <x:c r="E609" t="str">
        <x:v>DB-102</x:v>
      </x:c>
      <x:c r="F609" t="str">
        <x:v>GlowPatch Balm</x:v>
      </x:c>
      <x:c r="G609" t="str">
        <x:v>Consumable repeat</x:v>
      </x:c>
      <x:c r="H609" t="str">
        <x:v>None</x:v>
      </x:c>
      <x:c r="I609" t="str">
        <x:v>Active</x:v>
      </x:c>
      <x:c r="J609" t="str">
        <x:v>Shopify DTC</x:v>
      </x:c>
      <x:c r="K609" t="str">
        <x:v>Consumer</x:v>
      </x:c>
      <x:c r="L609" t="str">
        <x:v>All Geographies</x:v>
      </x:c>
      <x:c r="M609" s="34" t="n">
        <x:v>4479</x:v>
      </x:c>
      <x:c r="N609" s="28" t="n">
        <x:v>0.04248</x:v>
      </x:c>
      <x:c r="O609" s="34" t="n">
        <x:v>190</x:v>
      </x:c>
      <x:c r="P609" s="34" t="n">
        <x:v>1</x:v>
      </x:c>
      <x:c r="Q609" s="34" t="n">
        <x:v>190</x:v>
      </x:c>
      <x:c r="R609" s="33" t="n">
        <x:v>18</x:v>
      </x:c>
      <x:c r="S609" s="38" t="n">
        <x:v>3.42</x:v>
      </x:c>
      <x:c r="T609" s="38" t="n">
        <x:v>0.2736</x:v>
      </x:c>
      <x:c r="U609" s="38" t="n">
        <x:v>0.07866000000000001</x:v>
      </x:c>
      <x:c r="V609" s="38" t="n">
        <x:v>3.0677399999999997</x:v>
      </x:c>
      <x:c r="W609" s="38" t="n">
        <x:v>1.0279</x:v>
      </x:c>
      <x:c r="X609" s="38" t="n">
        <x:v>0.08896446</x:v>
      </x:c>
      <x:c r="Y609" s="38" t="n">
        <x:v>0</x:v>
      </x:c>
      <x:c r="Z609" s="38" t="n">
        <x:v>0.7885000000000001</x:v>
      </x:c>
      <x:c r="AA609" s="38" t="n">
        <x:v>0.3135</x:v>
      </x:c>
      <x:c r="AB609" s="38" t="n">
        <x:v>0.0011400000000000002</x:v>
      </x:c>
      <x:c r="AC609" s="38" t="n">
        <x:v>0.8477355399999997</x:v>
      </x:c>
      <x:c r="AD609" s="28" t="n">
        <x:v>0.2763387835996531</x:v>
      </x:c>
    </x:row>
    <x:row r="610">
      <x:c r="A610" s="32" t="n">
        <x:v>45873</x:v>
      </x:c>
      <x:c r="B610" s="32" t="n">
        <x:v>45870</x:v>
      </x:c>
      <x:c r="C610" t="str">
        <x:v>Aug 2025</x:v>
      </x:c>
      <x:c r="D610" t="str">
        <x:v>Actual</x:v>
      </x:c>
      <x:c r="E610" t="str">
        <x:v>DB-102</x:v>
      </x:c>
      <x:c r="F610" t="str">
        <x:v>GlowPatch Balm</x:v>
      </x:c>
      <x:c r="G610" t="str">
        <x:v>Consumable repeat</x:v>
      </x:c>
      <x:c r="H610" t="str">
        <x:v>None</x:v>
      </x:c>
      <x:c r="I610" t="str">
        <x:v>Active</x:v>
      </x:c>
      <x:c r="J610" t="str">
        <x:v>Amazon Marketplace</x:v>
      </x:c>
      <x:c r="K610" t="str">
        <x:v>Marketplace Consumer</x:v>
      </x:c>
      <x:c r="L610" t="str">
        <x:v>All Geographies</x:v>
      </x:c>
      <x:c r="M610" s="34" t="n">
        <x:v>2239</x:v>
      </x:c>
      <x:c r="N610" s="28" t="n">
        <x:v>0.050126399999999995</x:v>
      </x:c>
      <x:c r="O610" s="34" t="n">
        <x:v>112</x:v>
      </x:c>
      <x:c r="P610" s="34" t="n">
        <x:v>1</x:v>
      </x:c>
      <x:c r="Q610" s="34" t="n">
        <x:v>112</x:v>
      </x:c>
      <x:c r="R610" s="33" t="n">
        <x:v>18</x:v>
      </x:c>
      <x:c r="S610" s="38" t="n">
        <x:v>2.016</x:v>
      </x:c>
      <x:c r="T610" s="38" t="n">
        <x:v>0.1008</x:v>
      </x:c>
      <x:c r="U610" s="38" t="n">
        <x:v>0.047880000000000006</x:v>
      </x:c>
      <x:c r="V610" s="38" t="n">
        <x:v>1.86732</x:v>
      </x:c>
      <x:c r="W610" s="38" t="n">
        <x:v>0.6059200000000001</x:v>
      </x:c>
      <x:c r="X610" s="38" t="n">
        <x:v>0</x:v>
      </x:c>
      <x:c r="Y610" s="38" t="n">
        <x:v>0.280098</x:v>
      </x:c>
      <x:c r="Z610" s="38" t="n">
        <x:v>0.5824</x:v>
      </x:c>
      <x:c r="AA610" s="38" t="n">
        <x:v>0.2408</x:v>
      </x:c>
      <x:c r="AB610" s="38" t="n">
        <x:v>0.0006720000000000001</x:v>
      </x:c>
      <x:c r="AC610" s="38" t="n">
        <x:v>0.1574300000000001</x:v>
      </x:c>
      <x:c r="AD610" s="28" t="n">
        <x:v>0.0843079922027291</x:v>
      </x:c>
    </x:row>
    <x:row r="611">
      <x:c r="A611" s="32" t="n">
        <x:v>45873</x:v>
      </x:c>
      <x:c r="B611" s="32" t="n">
        <x:v>45870</x:v>
      </x:c>
      <x:c r="C611" t="str">
        <x:v>Aug 2025</x:v>
      </x:c>
      <x:c r="D611" t="str">
        <x:v>Actual</x:v>
      </x:c>
      <x:c r="E611" t="str">
        <x:v>DB-102</x:v>
      </x:c>
      <x:c r="F611" t="str">
        <x:v>GlowPatch Balm</x:v>
      </x:c>
      <x:c r="G611" t="str">
        <x:v>Consumable repeat</x:v>
      </x:c>
      <x:c r="H611" t="str">
        <x:v>None</x:v>
      </x:c>
      <x:c r="I611" t="str">
        <x:v>Active</x:v>
      </x:c>
      <x:c r="J611" t="str">
        <x:v>Wholesale</x:v>
      </x:c>
      <x:c r="K611" t="str">
        <x:v>Retailer</x:v>
      </x:c>
      <x:c r="L611" t="str">
        <x:v>All Geographies</x:v>
      </x:c>
      <x:c r="M611" s="34" t="n">
        <x:v>1344</x:v>
      </x:c>
      <x:c r="N611" s="28" t="n">
        <x:v>0.023364</x:v>
      </x:c>
      <x:c r="O611" s="34" t="n">
        <x:v>31</x:v>
      </x:c>
      <x:c r="P611" s="34" t="n">
        <x:v>1</x:v>
      </x:c>
      <x:c r="Q611" s="34" t="n">
        <x:v>31</x:v>
      </x:c>
      <x:c r="R611" s="33" t="n">
        <x:v>18</x:v>
      </x:c>
      <x:c r="S611" s="38" t="n">
        <x:v>0.558</x:v>
      </x:c>
      <x:c r="T611" s="38" t="n">
        <x:v>0.1953</x:v>
      </x:c>
      <x:c r="U611" s="38" t="n">
        <x:v>0.009067500000000001</x:v>
      </x:c>
      <x:c r="V611" s="38" t="n">
        <x:v>0.3536325</x:v>
      </x:c>
      <x:c r="W611" s="38" t="n">
        <x:v>0.16771</x:v>
      </x:c>
      <x:c r="X611" s="38" t="n">
        <x:v>0</x:v>
      </x:c>
      <x:c r="Y611" s="38" t="n">
        <x:v>0</x:v>
      </x:c>
      <x:c r="Z611" s="38" t="n">
        <x:v>0.0713</x:v>
      </x:c>
      <x:c r="AA611" s="38" t="n">
        <x:v>0.02635</x:v>
      </x:c>
      <x:c r="AB611" s="38" t="n">
        <x:v>0.000186</x:v>
      </x:c>
      <x:c r="AC611" s="38" t="n">
        <x:v>0.08808650000000001</x:v>
      </x:c>
      <x:c r="AD611" s="28" t="n">
        <x:v>0.2490905106289722</x:v>
      </x:c>
    </x:row>
    <x:row r="612">
      <x:c r="A612" s="32" t="n">
        <x:v>45873</x:v>
      </x:c>
      <x:c r="B612" s="32" t="n">
        <x:v>45870</x:v>
      </x:c>
      <x:c r="C612" t="str">
        <x:v>Aug 2025</x:v>
      </x:c>
      <x:c r="D612" t="str">
        <x:v>Actual</x:v>
      </x:c>
      <x:c r="E612" t="str">
        <x:v>DB-102</x:v>
      </x:c>
      <x:c r="F612" t="str">
        <x:v>GlowPatch Balm</x:v>
      </x:c>
      <x:c r="G612" t="str">
        <x:v>Consumable repeat</x:v>
      </x:c>
      <x:c r="H612" t="str">
        <x:v>None</x:v>
      </x:c>
      <x:c r="I612" t="str">
        <x:v>Active</x:v>
      </x:c>
      <x:c r="J612" t="str">
        <x:v>TikTok Shop</x:v>
      </x:c>
      <x:c r="K612" t="str">
        <x:v>Social Commerce</x:v>
      </x:c>
      <x:c r="L612" t="str">
        <x:v>All Geographies</x:v>
      </x:c>
      <x:c r="M612" s="34" t="n">
        <x:v>896</x:v>
      </x:c>
      <x:c r="N612" s="28" t="n">
        <x:v>0.0535248</x:v>
      </x:c>
      <x:c r="O612" s="34" t="n">
        <x:v>48</x:v>
      </x:c>
      <x:c r="P612" s="34" t="n">
        <x:v>1</x:v>
      </x:c>
      <x:c r="Q612" s="34" t="n">
        <x:v>48</x:v>
      </x:c>
      <x:c r="R612" s="33" t="n">
        <x:v>18</x:v>
      </x:c>
      <x:c r="S612" s="38" t="n">
        <x:v>0.864</x:v>
      </x:c>
      <x:c r="T612" s="38" t="n">
        <x:v>0.10368</x:v>
      </x:c>
      <x:c r="U612" s="38" t="n">
        <x:v>0.019008</x:v>
      </x:c>
      <x:c r="V612" s="38" t="n">
        <x:v>0.741312</x:v>
      </x:c>
      <x:c r="W612" s="38" t="n">
        <x:v>0.25968</x:v>
      </x:c>
      <x:c r="X612" s="38" t="n">
        <x:v>0.021498048</x:v>
      </x:c>
      <x:c r="Y612" s="38" t="n">
        <x:v>0.04447872</x:v>
      </x:c>
      <x:c r="Z612" s="38" t="n">
        <x:v>0.2448</x:v>
      </x:c>
      <x:c r="AA612" s="38" t="n">
        <x:v>0.084</x:v>
      </x:c>
      <x:c r="AB612" s="38" t="n">
        <x:v>0.000288</x:v>
      </x:c>
      <x:c r="AC612" s="38" t="n">
        <x:v>0.086567232</x:v>
      </x:c>
      <x:c r="AD612" s="28" t="n">
        <x:v>0.11677570577570577</x:v>
      </x:c>
    </x:row>
    <x:row r="613">
      <x:c r="A613" s="32" t="n">
        <x:v>45873</x:v>
      </x:c>
      <x:c r="B613" s="32" t="n">
        <x:v>45870</x:v>
      </x:c>
      <x:c r="C613" t="str">
        <x:v>Aug 2025</x:v>
      </x:c>
      <x:c r="D613" t="str">
        <x:v>Actual</x:v>
      </x:c>
      <x:c r="E613" t="str">
        <x:v>DB-103</x:v>
      </x:c>
      <x:c r="F613" t="str">
        <x:v>EmberTrail Camp Mug</x:v>
      </x:c>
      <x:c r="G613" t="str">
        <x:v>One-time purchase</x:v>
      </x:c>
      <x:c r="H613" t="str">
        <x:v>Winter peak</x:v>
      </x:c>
      <x:c r="I613" t="str">
        <x:v>Active</x:v>
      </x:c>
      <x:c r="J613" t="str">
        <x:v>Shopify DTC</x:v>
      </x:c>
      <x:c r="K613" t="str">
        <x:v>Consumer</x:v>
      </x:c>
      <x:c r="L613" t="str">
        <x:v>All Geographies</x:v>
      </x:c>
      <x:c r="M613" s="34" t="n">
        <x:v>3302</x:v>
      </x:c>
      <x:c r="N613" s="28" t="n">
        <x:v>0.0324</x:v>
      </x:c>
      <x:c r="O613" s="34" t="n">
        <x:v>107</x:v>
      </x:c>
      <x:c r="P613" s="34" t="n">
        <x:v>1</x:v>
      </x:c>
      <x:c r="Q613" s="34" t="n">
        <x:v>107</x:v>
      </x:c>
      <x:c r="R613" s="33" t="n">
        <x:v>34</x:v>
      </x:c>
      <x:c r="S613" s="38" t="n">
        <x:v>3.638</x:v>
      </x:c>
      <x:c r="T613" s="38" t="n">
        <x:v>0.29104</x:v>
      </x:c>
      <x:c r="U613" s="38" t="n">
        <x:v>0.1840828</x:v>
      </x:c>
      <x:c r="V613" s="38" t="n">
        <x:v>3.1628771999999996</x:v>
      </x:c>
      <x:c r="W613" s="38" t="n">
        <x:v>1.46269</x:v>
      </x:c>
      <x:c r="X613" s="38" t="n">
        <x:v>0.09172343879999999</x:v>
      </x:c>
      <x:c r="Y613" s="38" t="n">
        <x:v>0</x:v>
      </x:c>
      <x:c r="Z613" s="38" t="n">
        <x:v>0.44405</x:v>
      </x:c>
      <x:c r="AA613" s="38" t="n">
        <x:v>0.17654999999999998</x:v>
      </x:c>
      <x:c r="AB613" s="38" t="n">
        <x:v>0.005992</x:v>
      </x:c>
      <x:c r="AC613" s="38" t="n">
        <x:v>0.9818717611999996</x:v>
      </x:c>
      <x:c r="AD613" s="28" t="n">
        <x:v>0.3104362575948253</x:v>
      </x:c>
    </x:row>
    <x:row r="614">
      <x:c r="A614" s="32" t="n">
        <x:v>45873</x:v>
      </x:c>
      <x:c r="B614" s="32" t="n">
        <x:v>45870</x:v>
      </x:c>
      <x:c r="C614" t="str">
        <x:v>Aug 2025</x:v>
      </x:c>
      <x:c r="D614" t="str">
        <x:v>Actual</x:v>
      </x:c>
      <x:c r="E614" t="str">
        <x:v>DB-103</x:v>
      </x:c>
      <x:c r="F614" t="str">
        <x:v>EmberTrail Camp Mug</x:v>
      </x:c>
      <x:c r="G614" t="str">
        <x:v>One-time purchase</x:v>
      </x:c>
      <x:c r="H614" t="str">
        <x:v>Winter peak</x:v>
      </x:c>
      <x:c r="I614" t="str">
        <x:v>Active</x:v>
      </x:c>
      <x:c r="J614" t="str">
        <x:v>Amazon Marketplace</x:v>
      </x:c>
      <x:c r="K614" t="str">
        <x:v>Marketplace Consumer</x:v>
      </x:c>
      <x:c r="L614" t="str">
        <x:v>All Geographies</x:v>
      </x:c>
      <x:c r="M614" s="34" t="n">
        <x:v>1651</x:v>
      </x:c>
      <x:c r="N614" s="28" t="n">
        <x:v>0.038231999999999995</x:v>
      </x:c>
      <x:c r="O614" s="34" t="n">
        <x:v>63</x:v>
      </x:c>
      <x:c r="P614" s="34" t="n">
        <x:v>1</x:v>
      </x:c>
      <x:c r="Q614" s="34" t="n">
        <x:v>63</x:v>
      </x:c>
      <x:c r="R614" s="33" t="n">
        <x:v>34</x:v>
      </x:c>
      <x:c r="S614" s="38" t="n">
        <x:v>2.142</x:v>
      </x:c>
      <x:c r="T614" s="38" t="n">
        <x:v>0.1071</x:v>
      </x:c>
      <x:c r="U614" s="38" t="n">
        <x:v>0.11191949999999999</x:v>
      </x:c>
      <x:c r="V614" s="38" t="n">
        <x:v>1.9229805</x:v>
      </x:c>
      <x:c r="W614" s="38" t="n">
        <x:v>0.86121</x:v>
      </x:c>
      <x:c r="X614" s="38" t="n">
        <x:v>0</x:v>
      </x:c>
      <x:c r="Y614" s="38" t="n">
        <x:v>0.288447075</x:v>
      </x:c>
      <x:c r="Z614" s="38" t="n">
        <x:v>0.3276</x:v>
      </x:c>
      <x:c r="AA614" s="38" t="n">
        <x:v>0.13545</x:v>
      </x:c>
      <x:c r="AB614" s="38" t="n">
        <x:v>0.003528</x:v>
      </x:c>
      <x:c r="AC614" s="38" t="n">
        <x:v>0.306745425</x:v>
      </x:c>
      <x:c r="AD614" s="28" t="n">
        <x:v>0.15951561911314235</x:v>
      </x:c>
    </x:row>
    <x:row r="615">
      <x:c r="A615" s="32" t="n">
        <x:v>45873</x:v>
      </x:c>
      <x:c r="B615" s="32" t="n">
        <x:v>45870</x:v>
      </x:c>
      <x:c r="C615" t="str">
        <x:v>Aug 2025</x:v>
      </x:c>
      <x:c r="D615" t="str">
        <x:v>Actual</x:v>
      </x:c>
      <x:c r="E615" t="str">
        <x:v>DB-103</x:v>
      </x:c>
      <x:c r="F615" t="str">
        <x:v>EmberTrail Camp Mug</x:v>
      </x:c>
      <x:c r="G615" t="str">
        <x:v>One-time purchase</x:v>
      </x:c>
      <x:c r="H615" t="str">
        <x:v>Winter peak</x:v>
      </x:c>
      <x:c r="I615" t="str">
        <x:v>Active</x:v>
      </x:c>
      <x:c r="J615" t="str">
        <x:v>Wholesale</x:v>
      </x:c>
      <x:c r="K615" t="str">
        <x:v>Retailer</x:v>
      </x:c>
      <x:c r="L615" t="str">
        <x:v>All Geographies</x:v>
      </x:c>
      <x:c r="M615" s="34" t="n">
        <x:v>990</x:v>
      </x:c>
      <x:c r="N615" s="28" t="n">
        <x:v>0.017820000000000003</x:v>
      </x:c>
      <x:c r="O615" s="34" t="n">
        <x:v>18</x:v>
      </x:c>
      <x:c r="P615" s="34" t="n">
        <x:v>1</x:v>
      </x:c>
      <x:c r="Q615" s="34" t="n">
        <x:v>18</x:v>
      </x:c>
      <x:c r="R615" s="33" t="n">
        <x:v>34</x:v>
      </x:c>
      <x:c r="S615" s="38" t="n">
        <x:v>0.612</x:v>
      </x:c>
      <x:c r="T615" s="38" t="n">
        <x:v>0.21419999999999997</x:v>
      </x:c>
      <x:c r="U615" s="38" t="n">
        <x:v>0.021879000000000003</x:v>
      </x:c>
      <x:c r="V615" s="38" t="n">
        <x:v>0.37592100000000006</x:v>
      </x:c>
      <x:c r="W615" s="38" t="n">
        <x:v>0.24606</x:v>
      </x:c>
      <x:c r="X615" s="38" t="n">
        <x:v>0</x:v>
      </x:c>
      <x:c r="Y615" s="38" t="n">
        <x:v>0</x:v>
      </x:c>
      <x:c r="Z615" s="38" t="n">
        <x:v>0.0414</x:v>
      </x:c>
      <x:c r="AA615" s="38" t="n">
        <x:v>0.0153</x:v>
      </x:c>
      <x:c r="AB615" s="38" t="n">
        <x:v>0.001008</x:v>
      </x:c>
      <x:c r="AC615" s="38" t="n">
        <x:v>0.07215300000000008</x:v>
      </x:c>
      <x:c r="AD615" s="28" t="n">
        <x:v>0.19193660370130977</x:v>
      </x:c>
    </x:row>
    <x:row r="616">
      <x:c r="A616" s="32" t="n">
        <x:v>45873</x:v>
      </x:c>
      <x:c r="B616" s="32" t="n">
        <x:v>45870</x:v>
      </x:c>
      <x:c r="C616" t="str">
        <x:v>Aug 2025</x:v>
      </x:c>
      <x:c r="D616" t="str">
        <x:v>Actual</x:v>
      </x:c>
      <x:c r="E616" t="str">
        <x:v>DB-103</x:v>
      </x:c>
      <x:c r="F616" t="str">
        <x:v>EmberTrail Camp Mug</x:v>
      </x:c>
      <x:c r="G616" t="str">
        <x:v>One-time purchase</x:v>
      </x:c>
      <x:c r="H616" t="str">
        <x:v>Winter peak</x:v>
      </x:c>
      <x:c r="I616" t="str">
        <x:v>Active</x:v>
      </x:c>
      <x:c r="J616" t="str">
        <x:v>TikTok Shop</x:v>
      </x:c>
      <x:c r="K616" t="str">
        <x:v>Social Commerce</x:v>
      </x:c>
      <x:c r="L616" t="str">
        <x:v>All Geographies</x:v>
      </x:c>
      <x:c r="M616" s="34" t="n">
        <x:v>660</x:v>
      </x:c>
      <x:c r="N616" s="28" t="n">
        <x:v>0.040824</x:v>
      </x:c>
      <x:c r="O616" s="34" t="n">
        <x:v>27</x:v>
      </x:c>
      <x:c r="P616" s="34" t="n">
        <x:v>1</x:v>
      </x:c>
      <x:c r="Q616" s="34" t="n">
        <x:v>27</x:v>
      </x:c>
      <x:c r="R616" s="33" t="n">
        <x:v>34</x:v>
      </x:c>
      <x:c r="S616" s="38" t="n">
        <x:v>0.918</x:v>
      </x:c>
      <x:c r="T616" s="38" t="n">
        <x:v>0.11016</x:v>
      </x:c>
      <x:c r="U616" s="38" t="n">
        <x:v>0.0444312</x:v>
      </x:c>
      <x:c r="V616" s="38" t="n">
        <x:v>0.7634088</x:v>
      </x:c>
      <x:c r="W616" s="38" t="n">
        <x:v>0.36909</x:v>
      </x:c>
      <x:c r="X616" s="38" t="n">
        <x:v>0.0221388552</x:v>
      </x:c>
      <x:c r="Y616" s="38" t="n">
        <x:v>0.045804528</x:v>
      </x:c>
      <x:c r="Z616" s="38" t="n">
        <x:v>0.1377</x:v>
      </x:c>
      <x:c r="AA616" s="38" t="n">
        <x:v>0.04725</x:v>
      </x:c>
      <x:c r="AB616" s="38" t="n">
        <x:v>0.001512</x:v>
      </x:c>
      <x:c r="AC616" s="38" t="n">
        <x:v>0.13991341680000002</x:v>
      </x:c>
      <x:c r="AD616" s="28" t="n">
        <x:v>0.18327456639221348</x:v>
      </x:c>
    </x:row>
    <x:row r="617">
      <x:c r="A617" s="32" t="n">
        <x:v>45873</x:v>
      </x:c>
      <x:c r="B617" s="32" t="n">
        <x:v>45870</x:v>
      </x:c>
      <x:c r="C617" t="str">
        <x:v>Aug 2025</x:v>
      </x:c>
      <x:c r="D617" t="str">
        <x:v>Actual</x:v>
      </x:c>
      <x:c r="E617" t="str">
        <x:v>DB-104</x:v>
      </x:c>
      <x:c r="F617" t="str">
        <x:v>SunNest Cooling Towel</x:v>
      </x:c>
      <x:c r="G617" t="str">
        <x:v>Consumable repeat</x:v>
      </x:c>
      <x:c r="H617" t="str">
        <x:v>Summer peak</x:v>
      </x:c>
      <x:c r="I617" t="str">
        <x:v>Active</x:v>
      </x:c>
      <x:c r="J617" t="str">
        <x:v>Shopify DTC</x:v>
      </x:c>
      <x:c r="K617" t="str">
        <x:v>Consumer</x:v>
      </x:c>
      <x:c r="L617" t="str">
        <x:v>All Geographies</x:v>
      </x:c>
      <x:c r="M617" s="34" t="n">
        <x:v>4278</x:v>
      </x:c>
      <x:c r="N617" s="28" t="n">
        <x:v>0.03312</x:v>
      </x:c>
      <x:c r="O617" s="34" t="n">
        <x:v>142</x:v>
      </x:c>
      <x:c r="P617" s="34" t="n">
        <x:v>1</x:v>
      </x:c>
      <x:c r="Q617" s="34" t="n">
        <x:v>142</x:v>
      </x:c>
      <x:c r="R617" s="33" t="n">
        <x:v>42</x:v>
      </x:c>
      <x:c r="S617" s="38" t="n">
        <x:v>5.964</x:v>
      </x:c>
      <x:c r="T617" s="38" t="n">
        <x:v>0.47712000000000004</x:v>
      </x:c>
      <x:c r="U617" s="38" t="n">
        <x:v>0.27434400000000003</x:v>
      </x:c>
      <x:c r="V617" s="38" t="n">
        <x:v>5.212536</x:v>
      </x:c>
      <x:c r="W617" s="38" t="n">
        <x:v>2.1370999999999998</x:v>
      </x:c>
      <x:c r="X617" s="38" t="n">
        <x:v>0.151163544</x:v>
      </x:c>
      <x:c r="Y617" s="38" t="n">
        <x:v>0</x:v>
      </x:c>
      <x:c r="Z617" s="38" t="n">
        <x:v>0.5893</x:v>
      </x:c>
      <x:c r="AA617" s="38" t="n">
        <x:v>0.23429999999999998</x:v>
      </x:c>
      <x:c r="AB617" s="38" t="n">
        <x:v>0.0039759999999999995</x:v>
      </x:c>
      <x:c r="AC617" s="38" t="n">
        <x:v>2.0966964559999997</x:v>
      </x:c>
      <x:c r="AD617" s="28" t="n">
        <x:v>0.4022411463441211</x:v>
      </x:c>
    </x:row>
    <x:row r="618">
      <x:c r="A618" s="32" t="n">
        <x:v>45873</x:v>
      </x:c>
      <x:c r="B618" s="32" t="n">
        <x:v>45870</x:v>
      </x:c>
      <x:c r="C618" t="str">
        <x:v>Aug 2025</x:v>
      </x:c>
      <x:c r="D618" t="str">
        <x:v>Actual</x:v>
      </x:c>
      <x:c r="E618" t="str">
        <x:v>DB-104</x:v>
      </x:c>
      <x:c r="F618" t="str">
        <x:v>SunNest Cooling Towel</x:v>
      </x:c>
      <x:c r="G618" t="str">
        <x:v>Consumable repeat</x:v>
      </x:c>
      <x:c r="H618" t="str">
        <x:v>Summer peak</x:v>
      </x:c>
      <x:c r="I618" t="str">
        <x:v>Active</x:v>
      </x:c>
      <x:c r="J618" t="str">
        <x:v>Amazon Marketplace</x:v>
      </x:c>
      <x:c r="K618" t="str">
        <x:v>Marketplace Consumer</x:v>
      </x:c>
      <x:c r="L618" t="str">
        <x:v>All Geographies</x:v>
      </x:c>
      <x:c r="M618" s="34" t="n">
        <x:v>2139</x:v>
      </x:c>
      <x:c r="N618" s="28" t="n">
        <x:v>0.0390816</x:v>
      </x:c>
      <x:c r="O618" s="34" t="n">
        <x:v>84</x:v>
      </x:c>
      <x:c r="P618" s="34" t="n">
        <x:v>1</x:v>
      </x:c>
      <x:c r="Q618" s="34" t="n">
        <x:v>84</x:v>
      </x:c>
      <x:c r="R618" s="33" t="n">
        <x:v>42</x:v>
      </x:c>
      <x:c r="S618" s="38" t="n">
        <x:v>3.528</x:v>
      </x:c>
      <x:c r="T618" s="38" t="n">
        <x:v>0.1764</x:v>
      </x:c>
      <x:c r="U618" s="38" t="n">
        <x:v>0.16758</x:v>
      </x:c>
      <x:c r="V618" s="38" t="n">
        <x:v>3.18402</x:v>
      </x:c>
      <x:c r="W618" s="38" t="n">
        <x:v>1.2642</x:v>
      </x:c>
      <x:c r="X618" s="38" t="n">
        <x:v>0</x:v>
      </x:c>
      <x:c r="Y618" s="38" t="n">
        <x:v>0.47760299999999994</x:v>
      </x:c>
      <x:c r="Z618" s="38" t="n">
        <x:v>0.4368</x:v>
      </x:c>
      <x:c r="AA618" s="38" t="n">
        <x:v>0.18059999999999998</x:v>
      </x:c>
      <x:c r="AB618" s="38" t="n">
        <x:v>0.002352</x:v>
      </x:c>
      <x:c r="AC618" s="38" t="n">
        <x:v>0.8224649999999998</x:v>
      </x:c>
      <x:c r="AD618" s="28" t="n">
        <x:v>0.25831024930747915</x:v>
      </x:c>
    </x:row>
    <x:row r="619">
      <x:c r="A619" s="32" t="n">
        <x:v>45873</x:v>
      </x:c>
      <x:c r="B619" s="32" t="n">
        <x:v>45870</x:v>
      </x:c>
      <x:c r="C619" t="str">
        <x:v>Aug 2025</x:v>
      </x:c>
      <x:c r="D619" t="str">
        <x:v>Actual</x:v>
      </x:c>
      <x:c r="E619" t="str">
        <x:v>DB-104</x:v>
      </x:c>
      <x:c r="F619" t="str">
        <x:v>SunNest Cooling Towel</x:v>
      </x:c>
      <x:c r="G619" t="str">
        <x:v>Consumable repeat</x:v>
      </x:c>
      <x:c r="H619" t="str">
        <x:v>Summer peak</x:v>
      </x:c>
      <x:c r="I619" t="str">
        <x:v>Active</x:v>
      </x:c>
      <x:c r="J619" t="str">
        <x:v>Wholesale</x:v>
      </x:c>
      <x:c r="K619" t="str">
        <x:v>Retailer</x:v>
      </x:c>
      <x:c r="L619" t="str">
        <x:v>All Geographies</x:v>
      </x:c>
      <x:c r="M619" s="34" t="n">
        <x:v>1284</x:v>
      </x:c>
      <x:c r="N619" s="28" t="n">
        <x:v>0.018216000000000003</x:v>
      </x:c>
      <x:c r="O619" s="34" t="n">
        <x:v>23</x:v>
      </x:c>
      <x:c r="P619" s="34" t="n">
        <x:v>1</x:v>
      </x:c>
      <x:c r="Q619" s="34" t="n">
        <x:v>23</x:v>
      </x:c>
      <x:c r="R619" s="33" t="n">
        <x:v>42</x:v>
      </x:c>
      <x:c r="S619" s="38" t="n">
        <x:v>0.966</x:v>
      </x:c>
      <x:c r="T619" s="38" t="n">
        <x:v>0.33809999999999996</x:v>
      </x:c>
      <x:c r="U619" s="38" t="n">
        <x:v>0.031395</x:v>
      </x:c>
      <x:c r="V619" s="38" t="n">
        <x:v>0.5965050000000001</x:v>
      </x:c>
      <x:c r="W619" s="38" t="n">
        <x:v>0.34615</x:v>
      </x:c>
      <x:c r="X619" s="38" t="n">
        <x:v>0</x:v>
      </x:c>
      <x:c r="Y619" s="38" t="n">
        <x:v>0</x:v>
      </x:c>
      <x:c r="Z619" s="38" t="n">
        <x:v>0.052899999999999996</x:v>
      </x:c>
      <x:c r="AA619" s="38" t="n">
        <x:v>0.01955</x:v>
      </x:c>
      <x:c r="AB619" s="38" t="n">
        <x:v>0.000644</x:v>
      </x:c>
      <x:c r="AC619" s="38" t="n">
        <x:v>0.17726100000000003</x:v>
      </x:c>
      <x:c r="AD619" s="28" t="n">
        <x:v>0.29716599190283405</x:v>
      </x:c>
    </x:row>
    <x:row r="620">
      <x:c r="A620" s="32" t="n">
        <x:v>45873</x:v>
      </x:c>
      <x:c r="B620" s="32" t="n">
        <x:v>45870</x:v>
      </x:c>
      <x:c r="C620" t="str">
        <x:v>Aug 2025</x:v>
      </x:c>
      <x:c r="D620" t="str">
        <x:v>Actual</x:v>
      </x:c>
      <x:c r="E620" t="str">
        <x:v>DB-104</x:v>
      </x:c>
      <x:c r="F620" t="str">
        <x:v>SunNest Cooling Towel</x:v>
      </x:c>
      <x:c r="G620" t="str">
        <x:v>Consumable repeat</x:v>
      </x:c>
      <x:c r="H620" t="str">
        <x:v>Summer peak</x:v>
      </x:c>
      <x:c r="I620" t="str">
        <x:v>Active</x:v>
      </x:c>
      <x:c r="J620" t="str">
        <x:v>TikTok Shop</x:v>
      </x:c>
      <x:c r="K620" t="str">
        <x:v>Social Commerce</x:v>
      </x:c>
      <x:c r="L620" t="str">
        <x:v>All Geographies</x:v>
      </x:c>
      <x:c r="M620" s="34" t="n">
        <x:v>856</x:v>
      </x:c>
      <x:c r="N620" s="28" t="n">
        <x:v>0.0417312</x:v>
      </x:c>
      <x:c r="O620" s="34" t="n">
        <x:v>36</x:v>
      </x:c>
      <x:c r="P620" s="34" t="n">
        <x:v>1</x:v>
      </x:c>
      <x:c r="Q620" s="34" t="n">
        <x:v>36</x:v>
      </x:c>
      <x:c r="R620" s="33" t="n">
        <x:v>42</x:v>
      </x:c>
      <x:c r="S620" s="38" t="n">
        <x:v>1.512</x:v>
      </x:c>
      <x:c r="T620" s="38" t="n">
        <x:v>0.18144</x:v>
      </x:c>
      <x:c r="U620" s="38" t="n">
        <x:v>0.066528</x:v>
      </x:c>
      <x:c r="V620" s="38" t="n">
        <x:v>1.264032</x:v>
      </x:c>
      <x:c r="W620" s="38" t="n">
        <x:v>0.5418000000000001</x:v>
      </x:c>
      <x:c r="X620" s="38" t="n">
        <x:v>0.036656928000000005</x:v>
      </x:c>
      <x:c r="Y620" s="38" t="n">
        <x:v>0.07584192</x:v>
      </x:c>
      <x:c r="Z620" s="38" t="n">
        <x:v>0.18359999999999999</x:v>
      </x:c>
      <x:c r="AA620" s="38" t="n">
        <x:v>0.063</x:v>
      </x:c>
      <x:c r="AB620" s="38" t="n">
        <x:v>0.001008</x:v>
      </x:c>
      <x:c r="AC620" s="38" t="n">
        <x:v>0.362125152</x:v>
      </x:c>
      <x:c r="AD620" s="28" t="n">
        <x:v>0.2864841649578492</x:v>
      </x:c>
    </x:row>
    <x:row r="621">
      <x:c r="A621" s="32" t="n">
        <x:v>45873</x:v>
      </x:c>
      <x:c r="B621" s="32" t="n">
        <x:v>45870</x:v>
      </x:c>
      <x:c r="C621" t="str">
        <x:v>Aug 2025</x:v>
      </x:c>
      <x:c r="D621" t="str">
        <x:v>Actual</x:v>
      </x:c>
      <x:c r="E621" t="str">
        <x:v>DB-105</x:v>
      </x:c>
      <x:c r="F621" t="str">
        <x:v>DreamFuel Refill Pack</x:v>
      </x:c>
      <x:c r="G621" t="str">
        <x:v>Subscription</x:v>
      </x:c>
      <x:c r="H621" t="str">
        <x:v>None</x:v>
      </x:c>
      <x:c r="I621" t="str">
        <x:v>Active</x:v>
      </x:c>
      <x:c r="J621" t="str">
        <x:v>Shopify DTC</x:v>
      </x:c>
      <x:c r="K621" t="str">
        <x:v>Consumer</x:v>
      </x:c>
      <x:c r="L621" t="str">
        <x:v>All Geographies</x:v>
      </x:c>
      <x:c r="M621" s="34" t="n">
        <x:v>3839</x:v>
      </x:c>
      <x:c r="N621" s="28" t="n">
        <x:v>0.03888</x:v>
      </x:c>
      <x:c r="O621" s="34" t="n">
        <x:v>149</x:v>
      </x:c>
      <x:c r="P621" s="34" t="n">
        <x:v>1</x:v>
      </x:c>
      <x:c r="Q621" s="34" t="n">
        <x:v>149</x:v>
      </x:c>
      <x:c r="R621" s="33" t="n">
        <x:v>56</x:v>
      </x:c>
      <x:c r="S621" s="38" t="n">
        <x:v>8.344</x:v>
      </x:c>
      <x:c r="T621" s="38" t="n">
        <x:v>0.66752</x:v>
      </x:c>
      <x:c r="U621" s="38" t="n">
        <x:v>0.1535296</x:v>
      </x:c>
      <x:c r="V621" s="38" t="n">
        <x:v>7.5229504</x:v>
      </x:c>
      <x:c r="W621" s="38" t="n">
        <x:v>2.7743800000000003</x:v>
      </x:c>
      <x:c r="X621" s="38" t="n">
        <x:v>0.2181655616</x:v>
      </x:c>
      <x:c r="Y621" s="38" t="n">
        <x:v>0</x:v>
      </x:c>
      <x:c r="Z621" s="38" t="n">
        <x:v>0.6183500000000001</x:v>
      </x:c>
      <x:c r="AA621" s="38" t="n">
        <x:v>0.24584999999999999</x:v>
      </x:c>
      <x:c r="AB621" s="38" t="n">
        <x:v>0.0005364</x:v>
      </x:c>
      <x:c r="AC621" s="38" t="n">
        <x:v>3.6656684384</x:v>
      </x:c>
      <x:c r="AD621" s="28" t="n">
        <x:v>0.48726473570794776</x:v>
      </x:c>
    </x:row>
    <x:row r="622">
      <x:c r="A622" s="32" t="n">
        <x:v>45873</x:v>
      </x:c>
      <x:c r="B622" s="32" t="n">
        <x:v>45870</x:v>
      </x:c>
      <x:c r="C622" t="str">
        <x:v>Aug 2025</x:v>
      </x:c>
      <x:c r="D622" t="str">
        <x:v>Actual</x:v>
      </x:c>
      <x:c r="E622" t="str">
        <x:v>DB-105</x:v>
      </x:c>
      <x:c r="F622" t="str">
        <x:v>DreamFuel Refill Pack</x:v>
      </x:c>
      <x:c r="G622" t="str">
        <x:v>Subscription</x:v>
      </x:c>
      <x:c r="H622" t="str">
        <x:v>None</x:v>
      </x:c>
      <x:c r="I622" t="str">
        <x:v>Active</x:v>
      </x:c>
      <x:c r="J622" t="str">
        <x:v>Amazon Marketplace</x:v>
      </x:c>
      <x:c r="K622" t="str">
        <x:v>Marketplace Consumer</x:v>
      </x:c>
      <x:c r="L622" t="str">
        <x:v>All Geographies</x:v>
      </x:c>
      <x:c r="M622" s="34" t="n">
        <x:v>1920</x:v>
      </x:c>
      <x:c r="N622" s="28" t="n">
        <x:v>0.0458784</x:v>
      </x:c>
      <x:c r="O622" s="34" t="n">
        <x:v>88</x:v>
      </x:c>
      <x:c r="P622" s="34" t="n">
        <x:v>1</x:v>
      </x:c>
      <x:c r="Q622" s="34" t="n">
        <x:v>88</x:v>
      </x:c>
      <x:c r="R622" s="33" t="n">
        <x:v>56</x:v>
      </x:c>
      <x:c r="S622" s="38" t="n">
        <x:v>4.928</x:v>
      </x:c>
      <x:c r="T622" s="38" t="n">
        <x:v>0.2464</x:v>
      </x:c>
      <x:c r="U622" s="38" t="n">
        <x:v>0.09363199999999999</x:v>
      </x:c>
      <x:c r="V622" s="38" t="n">
        <x:v>4.587967999999999</x:v>
      </x:c>
      <x:c r="W622" s="38" t="n">
        <x:v>1.6385600000000002</x:v>
      </x:c>
      <x:c r="X622" s="38" t="n">
        <x:v>0</x:v>
      </x:c>
      <x:c r="Y622" s="38" t="n">
        <x:v>0.6881951999999999</x:v>
      </x:c>
      <x:c r="Z622" s="38" t="n">
        <x:v>0.4576</x:v>
      </x:c>
      <x:c r="AA622" s="38" t="n">
        <x:v>0.18919999999999998</x:v>
      </x:c>
      <x:c r="AB622" s="38" t="n">
        <x:v>0.0003168</x:v>
      </x:c>
      <x:c r="AC622" s="38" t="n">
        <x:v>1.614095999999999</x:v>
      </x:c>
      <x:c r="AD622" s="28" t="n">
        <x:v>0.3518106490716586</x:v>
      </x:c>
    </x:row>
    <x:row r="623">
      <x:c r="A623" s="32" t="n">
        <x:v>45873</x:v>
      </x:c>
      <x:c r="B623" s="32" t="n">
        <x:v>45870</x:v>
      </x:c>
      <x:c r="C623" t="str">
        <x:v>Aug 2025</x:v>
      </x:c>
      <x:c r="D623" t="str">
        <x:v>Actual</x:v>
      </x:c>
      <x:c r="E623" t="str">
        <x:v>DB-105</x:v>
      </x:c>
      <x:c r="F623" t="str">
        <x:v>DreamFuel Refill Pack</x:v>
      </x:c>
      <x:c r="G623" t="str">
        <x:v>Subscription</x:v>
      </x:c>
      <x:c r="H623" t="str">
        <x:v>None</x:v>
      </x:c>
      <x:c r="I623" t="str">
        <x:v>Active</x:v>
      </x:c>
      <x:c r="J623" t="str">
        <x:v>Wholesale</x:v>
      </x:c>
      <x:c r="K623" t="str">
        <x:v>Retailer</x:v>
      </x:c>
      <x:c r="L623" t="str">
        <x:v>All Geographies</x:v>
      </x:c>
      <x:c r="M623" s="34" t="n">
        <x:v>1152</x:v>
      </x:c>
      <x:c r="N623" s="28" t="n">
        <x:v>0.021384000000000004</x:v>
      </x:c>
      <x:c r="O623" s="34" t="n">
        <x:v>25</x:v>
      </x:c>
      <x:c r="P623" s="34" t="n">
        <x:v>1</x:v>
      </x:c>
      <x:c r="Q623" s="34" t="n">
        <x:v>25</x:v>
      </x:c>
      <x:c r="R623" s="33" t="n">
        <x:v>56</x:v>
      </x:c>
      <x:c r="S623" s="38" t="n">
        <x:v>1.4</x:v>
      </x:c>
      <x:c r="T623" s="38" t="n">
        <x:v>0.48999999999999994</x:v>
      </x:c>
      <x:c r="U623" s="38" t="n">
        <x:v>0.018199999999999997</x:v>
      </x:c>
      <x:c r="V623" s="38" t="n">
        <x:v>0.8917999999999999</x:v>
      </x:c>
      <x:c r="W623" s="38" t="n">
        <x:v>0.4655</x:v>
      </x:c>
      <x:c r="X623" s="38" t="n">
        <x:v>0</x:v>
      </x:c>
      <x:c r="Y623" s="38" t="n">
        <x:v>0</x:v>
      </x:c>
      <x:c r="Z623" s="38" t="n">
        <x:v>0.057499999999999996</x:v>
      </x:c>
      <x:c r="AA623" s="38" t="n">
        <x:v>0.02125</x:v>
      </x:c>
      <x:c r="AB623" s="38" t="n">
        <x:v>0.00008999999999999999</x:v>
      </x:c>
      <x:c r="AC623" s="38" t="n">
        <x:v>0.34745999999999994</x:v>
      </x:c>
      <x:c r="AD623" s="28" t="n">
        <x:v>0.38961650594303654</x:v>
      </x:c>
    </x:row>
    <x:row r="624">
      <x:c r="A624" s="32" t="n">
        <x:v>45873</x:v>
      </x:c>
      <x:c r="B624" s="32" t="n">
        <x:v>45870</x:v>
      </x:c>
      <x:c r="C624" t="str">
        <x:v>Aug 2025</x:v>
      </x:c>
      <x:c r="D624" t="str">
        <x:v>Actual</x:v>
      </x:c>
      <x:c r="E624" t="str">
        <x:v>DB-105</x:v>
      </x:c>
      <x:c r="F624" t="str">
        <x:v>DreamFuel Refill Pack</x:v>
      </x:c>
      <x:c r="G624" t="str">
        <x:v>Subscription</x:v>
      </x:c>
      <x:c r="H624" t="str">
        <x:v>None</x:v>
      </x:c>
      <x:c r="I624" t="str">
        <x:v>Active</x:v>
      </x:c>
      <x:c r="J624" t="str">
        <x:v>TikTok Shop</x:v>
      </x:c>
      <x:c r="K624" t="str">
        <x:v>Social Commerce</x:v>
      </x:c>
      <x:c r="L624" t="str">
        <x:v>All Geographies</x:v>
      </x:c>
      <x:c r="M624" s="34" t="n">
        <x:v>768</x:v>
      </x:c>
      <x:c r="N624" s="28" t="n">
        <x:v>0.0489888</x:v>
      </x:c>
      <x:c r="O624" s="34" t="n">
        <x:v>38</x:v>
      </x:c>
      <x:c r="P624" s="34" t="n">
        <x:v>1</x:v>
      </x:c>
      <x:c r="Q624" s="34" t="n">
        <x:v>38</x:v>
      </x:c>
      <x:c r="R624" s="33" t="n">
        <x:v>56</x:v>
      </x:c>
      <x:c r="S624" s="38" t="n">
        <x:v>2.128</x:v>
      </x:c>
      <x:c r="T624" s="38" t="n">
        <x:v>0.25536000000000003</x:v>
      </x:c>
      <x:c r="U624" s="38" t="n">
        <x:v>0.0374528</x:v>
      </x:c>
      <x:c r="V624" s="38" t="n">
        <x:v>1.8351872</x:v>
      </x:c>
      <x:c r="W624" s="38" t="n">
        <x:v>0.7075600000000001</x:v>
      </x:c>
      <x:c r="X624" s="38" t="n">
        <x:v>0.053220428800000004</x:v>
      </x:c>
      <x:c r="Y624" s="38" t="n">
        <x:v>0.110111232</x:v>
      </x:c>
      <x:c r="Z624" s="38" t="n">
        <x:v>0.19379999999999997</x:v>
      </x:c>
      <x:c r="AA624" s="38" t="n">
        <x:v>0.0665</x:v>
      </x:c>
      <x:c r="AB624" s="38" t="n">
        <x:v>0.00013680000000000002</x:v>
      </x:c>
      <x:c r="AC624" s="38" t="n">
        <x:v>0.7038587392000001</x:v>
      </x:c>
      <x:c r="AD624" s="28" t="n">
        <x:v>0.38353511794328127</x:v>
      </x:c>
    </x:row>
    <x:row r="625">
      <x:c r="A625" s="32" t="n">
        <x:v>45880</x:v>
      </x:c>
      <x:c r="B625" s="32" t="n">
        <x:v>45870</x:v>
      </x:c>
      <x:c r="C625" t="str">
        <x:v>Aug 2025</x:v>
      </x:c>
      <x:c r="D625" t="str">
        <x:v>Actual</x:v>
      </x:c>
      <x:c r="E625" t="str">
        <x:v>DB-101</x:v>
      </x:c>
      <x:c r="F625" t="str">
        <x:v>AeroSip Bottle</x:v>
      </x:c>
      <x:c r="G625" t="str">
        <x:v>One-time purchase</x:v>
      </x:c>
      <x:c r="H625" t="str">
        <x:v>None</x:v>
      </x:c>
      <x:c r="I625" t="str">
        <x:v>Active</x:v>
      </x:c>
      <x:c r="J625" t="str">
        <x:v>Shopify DTC</x:v>
      </x:c>
      <x:c r="K625" t="str">
        <x:v>Consumer</x:v>
      </x:c>
      <x:c r="L625" t="str">
        <x:v>All Geographies</x:v>
      </x:c>
      <x:c r="M625" s="34" t="n">
        <x:v>5566</x:v>
      </x:c>
      <x:c r="N625" s="28" t="n">
        <x:v>0.034199999999999994</x:v>
      </x:c>
      <x:c r="O625" s="34" t="n">
        <x:v>190</x:v>
      </x:c>
      <x:c r="P625" s="34" t="n">
        <x:v>1</x:v>
      </x:c>
      <x:c r="Q625" s="34" t="n">
        <x:v>190</x:v>
      </x:c>
      <x:c r="R625" s="33" t="n">
        <x:v>29</x:v>
      </x:c>
      <x:c r="S625" s="38" t="n">
        <x:v>5.51</x:v>
      </x:c>
      <x:c r="T625" s="38" t="n">
        <x:v>0.44079999999999997</x:v>
      </x:c>
      <x:c r="U625" s="38" t="n">
        <x:v>0.22811399999999996</x:v>
      </x:c>
      <x:c r="V625" s="38" t="n">
        <x:v>4.841086</x:v>
      </x:c>
      <x:c r="W625" s="38" t="n">
        <x:v>2.052</x:v>
      </x:c>
      <x:c r="X625" s="38" t="n">
        <x:v>0.140391494</x:v>
      </x:c>
      <x:c r="Y625" s="38" t="n">
        <x:v>0</x:v>
      </x:c>
      <x:c r="Z625" s="38" t="n">
        <x:v>0.7885000000000001</x:v>
      </x:c>
      <x:c r="AA625" s="38" t="n">
        <x:v>0.3135</x:v>
      </x:c>
      <x:c r="AB625" s="38" t="n">
        <x:v>0.006840000000000001</x:v>
      </x:c>
      <x:c r="AC625" s="38" t="n">
        <x:v>1.5398545059999997</x:v>
      </x:c>
      <x:c r="AD625" s="28" t="n">
        <x:v>0.3180803865083165</x:v>
      </x:c>
    </x:row>
    <x:row r="626">
      <x:c r="A626" s="32" t="n">
        <x:v>45880</x:v>
      </x:c>
      <x:c r="B626" s="32" t="n">
        <x:v>45870</x:v>
      </x:c>
      <x:c r="C626" t="str">
        <x:v>Aug 2025</x:v>
      </x:c>
      <x:c r="D626" t="str">
        <x:v>Actual</x:v>
      </x:c>
      <x:c r="E626" t="str">
        <x:v>DB-101</x:v>
      </x:c>
      <x:c r="F626" t="str">
        <x:v>AeroSip Bottle</x:v>
      </x:c>
      <x:c r="G626" t="str">
        <x:v>One-time purchase</x:v>
      </x:c>
      <x:c r="H626" t="str">
        <x:v>None</x:v>
      </x:c>
      <x:c r="I626" t="str">
        <x:v>Active</x:v>
      </x:c>
      <x:c r="J626" t="str">
        <x:v>Amazon Marketplace</x:v>
      </x:c>
      <x:c r="K626" t="str">
        <x:v>Marketplace Consumer</x:v>
      </x:c>
      <x:c r="L626" t="str">
        <x:v>All Geographies</x:v>
      </x:c>
      <x:c r="M626" s="34" t="n">
        <x:v>2783</x:v>
      </x:c>
      <x:c r="N626" s="28" t="n">
        <x:v>0.040355999999999996</x:v>
      </x:c>
      <x:c r="O626" s="34" t="n">
        <x:v>112</x:v>
      </x:c>
      <x:c r="P626" s="34" t="n">
        <x:v>1</x:v>
      </x:c>
      <x:c r="Q626" s="34" t="n">
        <x:v>112</x:v>
      </x:c>
      <x:c r="R626" s="33" t="n">
        <x:v>29</x:v>
      </x:c>
      <x:c r="S626" s="38" t="n">
        <x:v>3.248</x:v>
      </x:c>
      <x:c r="T626" s="38" t="n">
        <x:v>0.16240000000000002</x:v>
      </x:c>
      <x:c r="U626" s="38" t="n">
        <x:v>0.138852</x:v>
      </x:c>
      <x:c r="V626" s="38" t="n">
        <x:v>2.9467480000000004</x:v>
      </x:c>
      <x:c r="W626" s="38" t="n">
        <x:v>1.2096000000000002</x:v>
      </x:c>
      <x:c r="X626" s="38" t="n">
        <x:v>0</x:v>
      </x:c>
      <x:c r="Y626" s="38" t="n">
        <x:v>0.4420122</x:v>
      </x:c>
      <x:c r="Z626" s="38" t="n">
        <x:v>0.5824</x:v>
      </x:c>
      <x:c r="AA626" s="38" t="n">
        <x:v>0.2408</x:v>
      </x:c>
      <x:c r="AB626" s="38" t="n">
        <x:v>0.004032</x:v>
      </x:c>
      <x:c r="AC626" s="38" t="n">
        <x:v>0.46790380000000015</x:v>
      </x:c>
      <x:c r="AD626" s="28" t="n">
        <x:v>0.15878649955815702</x:v>
      </x:c>
    </x:row>
    <x:row r="627">
      <x:c r="A627" s="32" t="n">
        <x:v>45880</x:v>
      </x:c>
      <x:c r="B627" s="32" t="n">
        <x:v>45870</x:v>
      </x:c>
      <x:c r="C627" t="str">
        <x:v>Aug 2025</x:v>
      </x:c>
      <x:c r="D627" t="str">
        <x:v>Actual</x:v>
      </x:c>
      <x:c r="E627" t="str">
        <x:v>DB-101</x:v>
      </x:c>
      <x:c r="F627" t="str">
        <x:v>AeroSip Bottle</x:v>
      </x:c>
      <x:c r="G627" t="str">
        <x:v>One-time purchase</x:v>
      </x:c>
      <x:c r="H627" t="str">
        <x:v>None</x:v>
      </x:c>
      <x:c r="I627" t="str">
        <x:v>Active</x:v>
      </x:c>
      <x:c r="J627" t="str">
        <x:v>Wholesale</x:v>
      </x:c>
      <x:c r="K627" t="str">
        <x:v>Retailer</x:v>
      </x:c>
      <x:c r="L627" t="str">
        <x:v>All Geographies</x:v>
      </x:c>
      <x:c r="M627" s="34" t="n">
        <x:v>1670</x:v>
      </x:c>
      <x:c r="N627" s="28" t="n">
        <x:v>0.01881</x:v>
      </x:c>
      <x:c r="O627" s="34" t="n">
        <x:v>31</x:v>
      </x:c>
      <x:c r="P627" s="34" t="n">
        <x:v>1</x:v>
      </x:c>
      <x:c r="Q627" s="34" t="n">
        <x:v>31</x:v>
      </x:c>
      <x:c r="R627" s="33" t="n">
        <x:v>29</x:v>
      </x:c>
      <x:c r="S627" s="38" t="n">
        <x:v>0.899</x:v>
      </x:c>
      <x:c r="T627" s="38" t="n">
        <x:v>0.31465</x:v>
      </x:c>
      <x:c r="U627" s="38" t="n">
        <x:v>0.02629575</x:v>
      </x:c>
      <x:c r="V627" s="38" t="n">
        <x:v>0.5580542500000001</x:v>
      </x:c>
      <x:c r="W627" s="38" t="n">
        <x:v>0.3348</x:v>
      </x:c>
      <x:c r="X627" s="38" t="n">
        <x:v>0</x:v>
      </x:c>
      <x:c r="Y627" s="38" t="n">
        <x:v>0</x:v>
      </x:c>
      <x:c r="Z627" s="38" t="n">
        <x:v>0.0713</x:v>
      </x:c>
      <x:c r="AA627" s="38" t="n">
        <x:v>0.02635</x:v>
      </x:c>
      <x:c r="AB627" s="38" t="n">
        <x:v>0.001116</x:v>
      </x:c>
      <x:c r="AC627" s="38" t="n">
        <x:v>0.12448825000000008</x:v>
      </x:c>
      <x:c r="AD627" s="28" t="n">
        <x:v>0.22307553432305202</x:v>
      </x:c>
    </x:row>
    <x:row r="628">
      <x:c r="A628" s="32" t="n">
        <x:v>45880</x:v>
      </x:c>
      <x:c r="B628" s="32" t="n">
        <x:v>45870</x:v>
      </x:c>
      <x:c r="C628" t="str">
        <x:v>Aug 2025</x:v>
      </x:c>
      <x:c r="D628" t="str">
        <x:v>Actual</x:v>
      </x:c>
      <x:c r="E628" t="str">
        <x:v>DB-101</x:v>
      </x:c>
      <x:c r="F628" t="str">
        <x:v>AeroSip Bottle</x:v>
      </x:c>
      <x:c r="G628" t="str">
        <x:v>One-time purchase</x:v>
      </x:c>
      <x:c r="H628" t="str">
        <x:v>None</x:v>
      </x:c>
      <x:c r="I628" t="str">
        <x:v>Active</x:v>
      </x:c>
      <x:c r="J628" t="str">
        <x:v>TikTok Shop</x:v>
      </x:c>
      <x:c r="K628" t="str">
        <x:v>Social Commerce</x:v>
      </x:c>
      <x:c r="L628" t="str">
        <x:v>All Geographies</x:v>
      </x:c>
      <x:c r="M628" s="34" t="n">
        <x:v>1113</x:v>
      </x:c>
      <x:c r="N628" s="28" t="n">
        <x:v>0.043092</x:v>
      </x:c>
      <x:c r="O628" s="34" t="n">
        <x:v>48</x:v>
      </x:c>
      <x:c r="P628" s="34" t="n">
        <x:v>1</x:v>
      </x:c>
      <x:c r="Q628" s="34" t="n">
        <x:v>48</x:v>
      </x:c>
      <x:c r="R628" s="33" t="n">
        <x:v>29</x:v>
      </x:c>
      <x:c r="S628" s="38" t="n">
        <x:v>1.392</x:v>
      </x:c>
      <x:c r="T628" s="38" t="n">
        <x:v>0.16704</x:v>
      </x:c>
      <x:c r="U628" s="38" t="n">
        <x:v>0.05512319999999999</x:v>
      </x:c>
      <x:c r="V628" s="38" t="n">
        <x:v>1.1698368</x:v>
      </x:c>
      <x:c r="W628" s="38" t="n">
        <x:v>0.5184000000000001</x:v>
      </x:c>
      <x:c r="X628" s="38" t="n">
        <x:v>0.0339252672</x:v>
      </x:c>
      <x:c r="Y628" s="38" t="n">
        <x:v>0.07019020799999999</x:v>
      </x:c>
      <x:c r="Z628" s="38" t="n">
        <x:v>0.2448</x:v>
      </x:c>
      <x:c r="AA628" s="38" t="n">
        <x:v>0.084</x:v>
      </x:c>
      <x:c r="AB628" s="38" t="n">
        <x:v>0.0017280000000000002</x:v>
      </x:c>
      <x:c r="AC628" s="38" t="n">
        <x:v>0.2167933247999998</x:v>
      </x:c>
      <x:c r="AD628" s="28" t="n">
        <x:v>0.1853192896650198</x:v>
      </x:c>
    </x:row>
    <x:row r="629">
      <x:c r="A629" s="32" t="n">
        <x:v>45880</x:v>
      </x:c>
      <x:c r="B629" s="32" t="n">
        <x:v>45870</x:v>
      </x:c>
      <x:c r="C629" t="str">
        <x:v>Aug 2025</x:v>
      </x:c>
      <x:c r="D629" t="str">
        <x:v>Actual</x:v>
      </x:c>
      <x:c r="E629" t="str">
        <x:v>DB-102</x:v>
      </x:c>
      <x:c r="F629" t="str">
        <x:v>GlowPatch Balm</x:v>
      </x:c>
      <x:c r="G629" t="str">
        <x:v>Consumable repeat</x:v>
      </x:c>
      <x:c r="H629" t="str">
        <x:v>None</x:v>
      </x:c>
      <x:c r="I629" t="str">
        <x:v>Active</x:v>
      </x:c>
      <x:c r="J629" t="str">
        <x:v>Shopify DTC</x:v>
      </x:c>
      <x:c r="K629" t="str">
        <x:v>Consumer</x:v>
      </x:c>
      <x:c r="L629" t="str">
        <x:v>All Geographies</x:v>
      </x:c>
      <x:c r="M629" s="34" t="n">
        <x:v>4496</x:v>
      </x:c>
      <x:c r="N629" s="28" t="n">
        <x:v>0.04248</x:v>
      </x:c>
      <x:c r="O629" s="34" t="n">
        <x:v>191</x:v>
      </x:c>
      <x:c r="P629" s="34" t="n">
        <x:v>1</x:v>
      </x:c>
      <x:c r="Q629" s="34" t="n">
        <x:v>191</x:v>
      </x:c>
      <x:c r="R629" s="33" t="n">
        <x:v>18</x:v>
      </x:c>
      <x:c r="S629" s="38" t="n">
        <x:v>3.438</x:v>
      </x:c>
      <x:c r="T629" s="38" t="n">
        <x:v>0.27504</x:v>
      </x:c>
      <x:c r="U629" s="38" t="n">
        <x:v>0.079074</x:v>
      </x:c>
      <x:c r="V629" s="38" t="n">
        <x:v>3.083886</x:v>
      </x:c>
      <x:c r="W629" s="38" t="n">
        <x:v>1.03331</x:v>
      </x:c>
      <x:c r="X629" s="38" t="n">
        <x:v>0.08943269400000001</x:v>
      </x:c>
      <x:c r="Y629" s="38" t="n">
        <x:v>0</x:v>
      </x:c>
      <x:c r="Z629" s="38" t="n">
        <x:v>0.7926500000000001</x:v>
      </x:c>
      <x:c r="AA629" s="38" t="n">
        <x:v>0.31515</x:v>
      </x:c>
      <x:c r="AB629" s="38" t="n">
        <x:v>0.0011459999999999999</x:v>
      </x:c>
      <x:c r="AC629" s="38" t="n">
        <x:v>0.8521973060000002</x:v>
      </x:c>
      <x:c r="AD629" s="28" t="n">
        <x:v>0.27633878359965325</x:v>
      </x:c>
    </x:row>
    <x:row r="630">
      <x:c r="A630" s="32" t="n">
        <x:v>45880</x:v>
      </x:c>
      <x:c r="B630" s="32" t="n">
        <x:v>45870</x:v>
      </x:c>
      <x:c r="C630" t="str">
        <x:v>Aug 2025</x:v>
      </x:c>
      <x:c r="D630" t="str">
        <x:v>Actual</x:v>
      </x:c>
      <x:c r="E630" t="str">
        <x:v>DB-102</x:v>
      </x:c>
      <x:c r="F630" t="str">
        <x:v>GlowPatch Balm</x:v>
      </x:c>
      <x:c r="G630" t="str">
        <x:v>Consumable repeat</x:v>
      </x:c>
      <x:c r="H630" t="str">
        <x:v>None</x:v>
      </x:c>
      <x:c r="I630" t="str">
        <x:v>Active</x:v>
      </x:c>
      <x:c r="J630" t="str">
        <x:v>Amazon Marketplace</x:v>
      </x:c>
      <x:c r="K630" t="str">
        <x:v>Marketplace Consumer</x:v>
      </x:c>
      <x:c r="L630" t="str">
        <x:v>All Geographies</x:v>
      </x:c>
      <x:c r="M630" s="34" t="n">
        <x:v>2248</x:v>
      </x:c>
      <x:c r="N630" s="28" t="n">
        <x:v>0.050126399999999995</x:v>
      </x:c>
      <x:c r="O630" s="34" t="n">
        <x:v>113</x:v>
      </x:c>
      <x:c r="P630" s="34" t="n">
        <x:v>1</x:v>
      </x:c>
      <x:c r="Q630" s="34" t="n">
        <x:v>113</x:v>
      </x:c>
      <x:c r="R630" s="33" t="n">
        <x:v>18</x:v>
      </x:c>
      <x:c r="S630" s="38" t="n">
        <x:v>2.034</x:v>
      </x:c>
      <x:c r="T630" s="38" t="n">
        <x:v>0.1017</x:v>
      </x:c>
      <x:c r="U630" s="38" t="n">
        <x:v>0.0483075</x:v>
      </x:c>
      <x:c r="V630" s="38" t="n">
        <x:v>1.8839925</x:v>
      </x:c>
      <x:c r="W630" s="38" t="n">
        <x:v>0.61133</x:v>
      </x:c>
      <x:c r="X630" s="38" t="n">
        <x:v>0</x:v>
      </x:c>
      <x:c r="Y630" s="38" t="n">
        <x:v>0.28259887499999997</x:v>
      </x:c>
      <x:c r="Z630" s="38" t="n">
        <x:v>0.5876</x:v>
      </x:c>
      <x:c r="AA630" s="38" t="n">
        <x:v>0.24295</x:v>
      </x:c>
      <x:c r="AB630" s="38" t="n">
        <x:v>0.000678</x:v>
      </x:c>
      <x:c r="AC630" s="38" t="n">
        <x:v>0.1588356250000001</x:v>
      </x:c>
      <x:c r="AD630" s="28" t="n">
        <x:v>0.0843079922027291</x:v>
      </x:c>
    </x:row>
    <x:row r="631">
      <x:c r="A631" s="32" t="n">
        <x:v>45880</x:v>
      </x:c>
      <x:c r="B631" s="32" t="n">
        <x:v>45870</x:v>
      </x:c>
      <x:c r="C631" t="str">
        <x:v>Aug 2025</x:v>
      </x:c>
      <x:c r="D631" t="str">
        <x:v>Actual</x:v>
      </x:c>
      <x:c r="E631" t="str">
        <x:v>DB-102</x:v>
      </x:c>
      <x:c r="F631" t="str">
        <x:v>GlowPatch Balm</x:v>
      </x:c>
      <x:c r="G631" t="str">
        <x:v>Consumable repeat</x:v>
      </x:c>
      <x:c r="H631" t="str">
        <x:v>None</x:v>
      </x:c>
      <x:c r="I631" t="str">
        <x:v>Active</x:v>
      </x:c>
      <x:c r="J631" t="str">
        <x:v>Wholesale</x:v>
      </x:c>
      <x:c r="K631" t="str">
        <x:v>Retailer</x:v>
      </x:c>
      <x:c r="L631" t="str">
        <x:v>All Geographies</x:v>
      </x:c>
      <x:c r="M631" s="34" t="n">
        <x:v>1349</x:v>
      </x:c>
      <x:c r="N631" s="28" t="n">
        <x:v>0.023364</x:v>
      </x:c>
      <x:c r="O631" s="34" t="n">
        <x:v>32</x:v>
      </x:c>
      <x:c r="P631" s="34" t="n">
        <x:v>1</x:v>
      </x:c>
      <x:c r="Q631" s="34" t="n">
        <x:v>32</x:v>
      </x:c>
      <x:c r="R631" s="33" t="n">
        <x:v>18</x:v>
      </x:c>
      <x:c r="S631" s="38" t="n">
        <x:v>0.576</x:v>
      </x:c>
      <x:c r="T631" s="38" t="n">
        <x:v>0.20159999999999997</x:v>
      </x:c>
      <x:c r="U631" s="38" t="n">
        <x:v>0.009359999999999999</x:v>
      </x:c>
      <x:c r="V631" s="38" t="n">
        <x:v>0.36504</x:v>
      </x:c>
      <x:c r="W631" s="38" t="n">
        <x:v>0.17312</x:v>
      </x:c>
      <x:c r="X631" s="38" t="n">
        <x:v>0</x:v>
      </x:c>
      <x:c r="Y631" s="38" t="n">
        <x:v>0</x:v>
      </x:c>
      <x:c r="Z631" s="38" t="n">
        <x:v>0.0736</x:v>
      </x:c>
      <x:c r="AA631" s="38" t="n">
        <x:v>0.0272</x:v>
      </x:c>
      <x:c r="AB631" s="38" t="n">
        <x:v>0.000192</x:v>
      </x:c>
      <x:c r="AC631" s="38" t="n">
        <x:v>0.09092799999999998</x:v>
      </x:c>
      <x:c r="AD631" s="28" t="n">
        <x:v>0.24909051062897214</x:v>
      </x:c>
    </x:row>
    <x:row r="632">
      <x:c r="A632" s="32" t="n">
        <x:v>45880</x:v>
      </x:c>
      <x:c r="B632" s="32" t="n">
        <x:v>45870</x:v>
      </x:c>
      <x:c r="C632" t="str">
        <x:v>Aug 2025</x:v>
      </x:c>
      <x:c r="D632" t="str">
        <x:v>Actual</x:v>
      </x:c>
      <x:c r="E632" t="str">
        <x:v>DB-102</x:v>
      </x:c>
      <x:c r="F632" t="str">
        <x:v>GlowPatch Balm</x:v>
      </x:c>
      <x:c r="G632" t="str">
        <x:v>Consumable repeat</x:v>
      </x:c>
      <x:c r="H632" t="str">
        <x:v>None</x:v>
      </x:c>
      <x:c r="I632" t="str">
        <x:v>Active</x:v>
      </x:c>
      <x:c r="J632" t="str">
        <x:v>TikTok Shop</x:v>
      </x:c>
      <x:c r="K632" t="str">
        <x:v>Social Commerce</x:v>
      </x:c>
      <x:c r="L632" t="str">
        <x:v>All Geographies</x:v>
      </x:c>
      <x:c r="M632" s="34" t="n">
        <x:v>899</x:v>
      </x:c>
      <x:c r="N632" s="28" t="n">
        <x:v>0.0535248</x:v>
      </x:c>
      <x:c r="O632" s="34" t="n">
        <x:v>48</x:v>
      </x:c>
      <x:c r="P632" s="34" t="n">
        <x:v>1</x:v>
      </x:c>
      <x:c r="Q632" s="34" t="n">
        <x:v>48</x:v>
      </x:c>
      <x:c r="R632" s="33" t="n">
        <x:v>18</x:v>
      </x:c>
      <x:c r="S632" s="38" t="n">
        <x:v>0.864</x:v>
      </x:c>
      <x:c r="T632" s="38" t="n">
        <x:v>0.10368</x:v>
      </x:c>
      <x:c r="U632" s="38" t="n">
        <x:v>0.019008</x:v>
      </x:c>
      <x:c r="V632" s="38" t="n">
        <x:v>0.741312</x:v>
      </x:c>
      <x:c r="W632" s="38" t="n">
        <x:v>0.25968</x:v>
      </x:c>
      <x:c r="X632" s="38" t="n">
        <x:v>0.021498048</x:v>
      </x:c>
      <x:c r="Y632" s="38" t="n">
        <x:v>0.04447872</x:v>
      </x:c>
      <x:c r="Z632" s="38" t="n">
        <x:v>0.2448</x:v>
      </x:c>
      <x:c r="AA632" s="38" t="n">
        <x:v>0.084</x:v>
      </x:c>
      <x:c r="AB632" s="38" t="n">
        <x:v>0.000288</x:v>
      </x:c>
      <x:c r="AC632" s="38" t="n">
        <x:v>0.086567232</x:v>
      </x:c>
      <x:c r="AD632" s="28" t="n">
        <x:v>0.11677570577570577</x:v>
      </x:c>
    </x:row>
    <x:row r="633">
      <x:c r="A633" s="32" t="n">
        <x:v>45880</x:v>
      </x:c>
      <x:c r="B633" s="32" t="n">
        <x:v>45870</x:v>
      </x:c>
      <x:c r="C633" t="str">
        <x:v>Aug 2025</x:v>
      </x:c>
      <x:c r="D633" t="str">
        <x:v>Actual</x:v>
      </x:c>
      <x:c r="E633" t="str">
        <x:v>DB-103</x:v>
      </x:c>
      <x:c r="F633" t="str">
        <x:v>EmberTrail Camp Mug</x:v>
      </x:c>
      <x:c r="G633" t="str">
        <x:v>One-time purchase</x:v>
      </x:c>
      <x:c r="H633" t="str">
        <x:v>Winter peak</x:v>
      </x:c>
      <x:c r="I633" t="str">
        <x:v>Active</x:v>
      </x:c>
      <x:c r="J633" t="str">
        <x:v>Shopify DTC</x:v>
      </x:c>
      <x:c r="K633" t="str">
        <x:v>Consumer</x:v>
      </x:c>
      <x:c r="L633" t="str">
        <x:v>All Geographies</x:v>
      </x:c>
      <x:c r="M633" s="34" t="n">
        <x:v>3314</x:v>
      </x:c>
      <x:c r="N633" s="28" t="n">
        <x:v>0.0324</x:v>
      </x:c>
      <x:c r="O633" s="34" t="n">
        <x:v>107</x:v>
      </x:c>
      <x:c r="P633" s="34" t="n">
        <x:v>1</x:v>
      </x:c>
      <x:c r="Q633" s="34" t="n">
        <x:v>107</x:v>
      </x:c>
      <x:c r="R633" s="33" t="n">
        <x:v>34</x:v>
      </x:c>
      <x:c r="S633" s="38" t="n">
        <x:v>3.638</x:v>
      </x:c>
      <x:c r="T633" s="38" t="n">
        <x:v>0.29104</x:v>
      </x:c>
      <x:c r="U633" s="38" t="n">
        <x:v>0.1840828</x:v>
      </x:c>
      <x:c r="V633" s="38" t="n">
        <x:v>3.1628771999999996</x:v>
      </x:c>
      <x:c r="W633" s="38" t="n">
        <x:v>1.46269</x:v>
      </x:c>
      <x:c r="X633" s="38" t="n">
        <x:v>0.09172343879999999</x:v>
      </x:c>
      <x:c r="Y633" s="38" t="n">
        <x:v>0</x:v>
      </x:c>
      <x:c r="Z633" s="38" t="n">
        <x:v>0.44405</x:v>
      </x:c>
      <x:c r="AA633" s="38" t="n">
        <x:v>0.17654999999999998</x:v>
      </x:c>
      <x:c r="AB633" s="38" t="n">
        <x:v>0.005992</x:v>
      </x:c>
      <x:c r="AC633" s="38" t="n">
        <x:v>0.9818717611999996</x:v>
      </x:c>
      <x:c r="AD633" s="28" t="n">
        <x:v>0.3104362575948253</x:v>
      </x:c>
    </x:row>
    <x:row r="634">
      <x:c r="A634" s="32" t="n">
        <x:v>45880</x:v>
      </x:c>
      <x:c r="B634" s="32" t="n">
        <x:v>45870</x:v>
      </x:c>
      <x:c r="C634" t="str">
        <x:v>Aug 2025</x:v>
      </x:c>
      <x:c r="D634" t="str">
        <x:v>Actual</x:v>
      </x:c>
      <x:c r="E634" t="str">
        <x:v>DB-103</x:v>
      </x:c>
      <x:c r="F634" t="str">
        <x:v>EmberTrail Camp Mug</x:v>
      </x:c>
      <x:c r="G634" t="str">
        <x:v>One-time purchase</x:v>
      </x:c>
      <x:c r="H634" t="str">
        <x:v>Winter peak</x:v>
      </x:c>
      <x:c r="I634" t="str">
        <x:v>Active</x:v>
      </x:c>
      <x:c r="J634" t="str">
        <x:v>Amazon Marketplace</x:v>
      </x:c>
      <x:c r="K634" t="str">
        <x:v>Marketplace Consumer</x:v>
      </x:c>
      <x:c r="L634" t="str">
        <x:v>All Geographies</x:v>
      </x:c>
      <x:c r="M634" s="34" t="n">
        <x:v>1657</x:v>
      </x:c>
      <x:c r="N634" s="28" t="n">
        <x:v>0.038231999999999995</x:v>
      </x:c>
      <x:c r="O634" s="34" t="n">
        <x:v>63</x:v>
      </x:c>
      <x:c r="P634" s="34" t="n">
        <x:v>1</x:v>
      </x:c>
      <x:c r="Q634" s="34" t="n">
        <x:v>63</x:v>
      </x:c>
      <x:c r="R634" s="33" t="n">
        <x:v>34</x:v>
      </x:c>
      <x:c r="S634" s="38" t="n">
        <x:v>2.142</x:v>
      </x:c>
      <x:c r="T634" s="38" t="n">
        <x:v>0.1071</x:v>
      </x:c>
      <x:c r="U634" s="38" t="n">
        <x:v>0.11191949999999999</x:v>
      </x:c>
      <x:c r="V634" s="38" t="n">
        <x:v>1.9229805</x:v>
      </x:c>
      <x:c r="W634" s="38" t="n">
        <x:v>0.86121</x:v>
      </x:c>
      <x:c r="X634" s="38" t="n">
        <x:v>0</x:v>
      </x:c>
      <x:c r="Y634" s="38" t="n">
        <x:v>0.288447075</x:v>
      </x:c>
      <x:c r="Z634" s="38" t="n">
        <x:v>0.3276</x:v>
      </x:c>
      <x:c r="AA634" s="38" t="n">
        <x:v>0.13545</x:v>
      </x:c>
      <x:c r="AB634" s="38" t="n">
        <x:v>0.003528</x:v>
      </x:c>
      <x:c r="AC634" s="38" t="n">
        <x:v>0.306745425</x:v>
      </x:c>
      <x:c r="AD634" s="28" t="n">
        <x:v>0.15951561911314235</x:v>
      </x:c>
    </x:row>
    <x:row r="635">
      <x:c r="A635" s="32" t="n">
        <x:v>45880</x:v>
      </x:c>
      <x:c r="B635" s="32" t="n">
        <x:v>45870</x:v>
      </x:c>
      <x:c r="C635" t="str">
        <x:v>Aug 2025</x:v>
      </x:c>
      <x:c r="D635" t="str">
        <x:v>Actual</x:v>
      </x:c>
      <x:c r="E635" t="str">
        <x:v>DB-103</x:v>
      </x:c>
      <x:c r="F635" t="str">
        <x:v>EmberTrail Camp Mug</x:v>
      </x:c>
      <x:c r="G635" t="str">
        <x:v>One-time purchase</x:v>
      </x:c>
      <x:c r="H635" t="str">
        <x:v>Winter peak</x:v>
      </x:c>
      <x:c r="I635" t="str">
        <x:v>Active</x:v>
      </x:c>
      <x:c r="J635" t="str">
        <x:v>Wholesale</x:v>
      </x:c>
      <x:c r="K635" t="str">
        <x:v>Retailer</x:v>
      </x:c>
      <x:c r="L635" t="str">
        <x:v>All Geographies</x:v>
      </x:c>
      <x:c r="M635" s="34" t="n">
        <x:v>994</x:v>
      </x:c>
      <x:c r="N635" s="28" t="n">
        <x:v>0.017820000000000003</x:v>
      </x:c>
      <x:c r="O635" s="34" t="n">
        <x:v>18</x:v>
      </x:c>
      <x:c r="P635" s="34" t="n">
        <x:v>1</x:v>
      </x:c>
      <x:c r="Q635" s="34" t="n">
        <x:v>18</x:v>
      </x:c>
      <x:c r="R635" s="33" t="n">
        <x:v>34</x:v>
      </x:c>
      <x:c r="S635" s="38" t="n">
        <x:v>0.612</x:v>
      </x:c>
      <x:c r="T635" s="38" t="n">
        <x:v>0.21419999999999997</x:v>
      </x:c>
      <x:c r="U635" s="38" t="n">
        <x:v>0.021879000000000003</x:v>
      </x:c>
      <x:c r="V635" s="38" t="n">
        <x:v>0.37592100000000006</x:v>
      </x:c>
      <x:c r="W635" s="38" t="n">
        <x:v>0.24606</x:v>
      </x:c>
      <x:c r="X635" s="38" t="n">
        <x:v>0</x:v>
      </x:c>
      <x:c r="Y635" s="38" t="n">
        <x:v>0</x:v>
      </x:c>
      <x:c r="Z635" s="38" t="n">
        <x:v>0.0414</x:v>
      </x:c>
      <x:c r="AA635" s="38" t="n">
        <x:v>0.0153</x:v>
      </x:c>
      <x:c r="AB635" s="38" t="n">
        <x:v>0.001008</x:v>
      </x:c>
      <x:c r="AC635" s="38" t="n">
        <x:v>0.07215300000000008</x:v>
      </x:c>
      <x:c r="AD635" s="28" t="n">
        <x:v>0.19193660370130977</x:v>
      </x:c>
    </x:row>
    <x:row r="636">
      <x:c r="A636" s="32" t="n">
        <x:v>45880</x:v>
      </x:c>
      <x:c r="B636" s="32" t="n">
        <x:v>45870</x:v>
      </x:c>
      <x:c r="C636" t="str">
        <x:v>Aug 2025</x:v>
      </x:c>
      <x:c r="D636" t="str">
        <x:v>Actual</x:v>
      </x:c>
      <x:c r="E636" t="str">
        <x:v>DB-103</x:v>
      </x:c>
      <x:c r="F636" t="str">
        <x:v>EmberTrail Camp Mug</x:v>
      </x:c>
      <x:c r="G636" t="str">
        <x:v>One-time purchase</x:v>
      </x:c>
      <x:c r="H636" t="str">
        <x:v>Winter peak</x:v>
      </x:c>
      <x:c r="I636" t="str">
        <x:v>Active</x:v>
      </x:c>
      <x:c r="J636" t="str">
        <x:v>TikTok Shop</x:v>
      </x:c>
      <x:c r="K636" t="str">
        <x:v>Social Commerce</x:v>
      </x:c>
      <x:c r="L636" t="str">
        <x:v>All Geographies</x:v>
      </x:c>
      <x:c r="M636" s="34" t="n">
        <x:v>663</x:v>
      </x:c>
      <x:c r="N636" s="28" t="n">
        <x:v>0.040824</x:v>
      </x:c>
      <x:c r="O636" s="34" t="n">
        <x:v>27</x:v>
      </x:c>
      <x:c r="P636" s="34" t="n">
        <x:v>1</x:v>
      </x:c>
      <x:c r="Q636" s="34" t="n">
        <x:v>27</x:v>
      </x:c>
      <x:c r="R636" s="33" t="n">
        <x:v>34</x:v>
      </x:c>
      <x:c r="S636" s="38" t="n">
        <x:v>0.918</x:v>
      </x:c>
      <x:c r="T636" s="38" t="n">
        <x:v>0.11016</x:v>
      </x:c>
      <x:c r="U636" s="38" t="n">
        <x:v>0.0444312</x:v>
      </x:c>
      <x:c r="V636" s="38" t="n">
        <x:v>0.7634088</x:v>
      </x:c>
      <x:c r="W636" s="38" t="n">
        <x:v>0.36909</x:v>
      </x:c>
      <x:c r="X636" s="38" t="n">
        <x:v>0.0221388552</x:v>
      </x:c>
      <x:c r="Y636" s="38" t="n">
        <x:v>0.045804528</x:v>
      </x:c>
      <x:c r="Z636" s="38" t="n">
        <x:v>0.1377</x:v>
      </x:c>
      <x:c r="AA636" s="38" t="n">
        <x:v>0.04725</x:v>
      </x:c>
      <x:c r="AB636" s="38" t="n">
        <x:v>0.001512</x:v>
      </x:c>
      <x:c r="AC636" s="38" t="n">
        <x:v>0.13991341680000002</x:v>
      </x:c>
      <x:c r="AD636" s="28" t="n">
        <x:v>0.18327456639221348</x:v>
      </x:c>
    </x:row>
    <x:row r="637">
      <x:c r="A637" s="32" t="n">
        <x:v>45880</x:v>
      </x:c>
      <x:c r="B637" s="32" t="n">
        <x:v>45870</x:v>
      </x:c>
      <x:c r="C637" t="str">
        <x:v>Aug 2025</x:v>
      </x:c>
      <x:c r="D637" t="str">
        <x:v>Actual</x:v>
      </x:c>
      <x:c r="E637" t="str">
        <x:v>DB-104</x:v>
      </x:c>
      <x:c r="F637" t="str">
        <x:v>SunNest Cooling Towel</x:v>
      </x:c>
      <x:c r="G637" t="str">
        <x:v>Consumable repeat</x:v>
      </x:c>
      <x:c r="H637" t="str">
        <x:v>Summer peak</x:v>
      </x:c>
      <x:c r="I637" t="str">
        <x:v>Active</x:v>
      </x:c>
      <x:c r="J637" t="str">
        <x:v>Shopify DTC</x:v>
      </x:c>
      <x:c r="K637" t="str">
        <x:v>Consumer</x:v>
      </x:c>
      <x:c r="L637" t="str">
        <x:v>All Geographies</x:v>
      </x:c>
      <x:c r="M637" s="34" t="n">
        <x:v>4294</x:v>
      </x:c>
      <x:c r="N637" s="28" t="n">
        <x:v>0.03312</x:v>
      </x:c>
      <x:c r="O637" s="34" t="n">
        <x:v>142</x:v>
      </x:c>
      <x:c r="P637" s="34" t="n">
        <x:v>1</x:v>
      </x:c>
      <x:c r="Q637" s="34" t="n">
        <x:v>142</x:v>
      </x:c>
      <x:c r="R637" s="33" t="n">
        <x:v>42</x:v>
      </x:c>
      <x:c r="S637" s="38" t="n">
        <x:v>5.964</x:v>
      </x:c>
      <x:c r="T637" s="38" t="n">
        <x:v>0.47712000000000004</x:v>
      </x:c>
      <x:c r="U637" s="38" t="n">
        <x:v>0.27434400000000003</x:v>
      </x:c>
      <x:c r="V637" s="38" t="n">
        <x:v>5.212536</x:v>
      </x:c>
      <x:c r="W637" s="38" t="n">
        <x:v>2.1370999999999998</x:v>
      </x:c>
      <x:c r="X637" s="38" t="n">
        <x:v>0.151163544</x:v>
      </x:c>
      <x:c r="Y637" s="38" t="n">
        <x:v>0</x:v>
      </x:c>
      <x:c r="Z637" s="38" t="n">
        <x:v>0.5893</x:v>
      </x:c>
      <x:c r="AA637" s="38" t="n">
        <x:v>0.23429999999999998</x:v>
      </x:c>
      <x:c r="AB637" s="38" t="n">
        <x:v>0.0039759999999999995</x:v>
      </x:c>
      <x:c r="AC637" s="38" t="n">
        <x:v>2.0966964559999997</x:v>
      </x:c>
      <x:c r="AD637" s="28" t="n">
        <x:v>0.4022411463441211</x:v>
      </x:c>
    </x:row>
    <x:row r="638">
      <x:c r="A638" s="32" t="n">
        <x:v>45880</x:v>
      </x:c>
      <x:c r="B638" s="32" t="n">
        <x:v>45870</x:v>
      </x:c>
      <x:c r="C638" t="str">
        <x:v>Aug 2025</x:v>
      </x:c>
      <x:c r="D638" t="str">
        <x:v>Actual</x:v>
      </x:c>
      <x:c r="E638" t="str">
        <x:v>DB-104</x:v>
      </x:c>
      <x:c r="F638" t="str">
        <x:v>SunNest Cooling Towel</x:v>
      </x:c>
      <x:c r="G638" t="str">
        <x:v>Consumable repeat</x:v>
      </x:c>
      <x:c r="H638" t="str">
        <x:v>Summer peak</x:v>
      </x:c>
      <x:c r="I638" t="str">
        <x:v>Active</x:v>
      </x:c>
      <x:c r="J638" t="str">
        <x:v>Amazon Marketplace</x:v>
      </x:c>
      <x:c r="K638" t="str">
        <x:v>Marketplace Consumer</x:v>
      </x:c>
      <x:c r="L638" t="str">
        <x:v>All Geographies</x:v>
      </x:c>
      <x:c r="M638" s="34" t="n">
        <x:v>2147</x:v>
      </x:c>
      <x:c r="N638" s="28" t="n">
        <x:v>0.0390816</x:v>
      </x:c>
      <x:c r="O638" s="34" t="n">
        <x:v>84</x:v>
      </x:c>
      <x:c r="P638" s="34" t="n">
        <x:v>1</x:v>
      </x:c>
      <x:c r="Q638" s="34" t="n">
        <x:v>84</x:v>
      </x:c>
      <x:c r="R638" s="33" t="n">
        <x:v>42</x:v>
      </x:c>
      <x:c r="S638" s="38" t="n">
        <x:v>3.528</x:v>
      </x:c>
      <x:c r="T638" s="38" t="n">
        <x:v>0.1764</x:v>
      </x:c>
      <x:c r="U638" s="38" t="n">
        <x:v>0.16758</x:v>
      </x:c>
      <x:c r="V638" s="38" t="n">
        <x:v>3.18402</x:v>
      </x:c>
      <x:c r="W638" s="38" t="n">
        <x:v>1.2642</x:v>
      </x:c>
      <x:c r="X638" s="38" t="n">
        <x:v>0</x:v>
      </x:c>
      <x:c r="Y638" s="38" t="n">
        <x:v>0.47760299999999994</x:v>
      </x:c>
      <x:c r="Z638" s="38" t="n">
        <x:v>0.4368</x:v>
      </x:c>
      <x:c r="AA638" s="38" t="n">
        <x:v>0.18059999999999998</x:v>
      </x:c>
      <x:c r="AB638" s="38" t="n">
        <x:v>0.002352</x:v>
      </x:c>
      <x:c r="AC638" s="38" t="n">
        <x:v>0.8224649999999998</x:v>
      </x:c>
      <x:c r="AD638" s="28" t="n">
        <x:v>0.25831024930747915</x:v>
      </x:c>
    </x:row>
    <x:row r="639">
      <x:c r="A639" s="32" t="n">
        <x:v>45880</x:v>
      </x:c>
      <x:c r="B639" s="32" t="n">
        <x:v>45870</x:v>
      </x:c>
      <x:c r="C639" t="str">
        <x:v>Aug 2025</x:v>
      </x:c>
      <x:c r="D639" t="str">
        <x:v>Actual</x:v>
      </x:c>
      <x:c r="E639" t="str">
        <x:v>DB-104</x:v>
      </x:c>
      <x:c r="F639" t="str">
        <x:v>SunNest Cooling Towel</x:v>
      </x:c>
      <x:c r="G639" t="str">
        <x:v>Consumable repeat</x:v>
      </x:c>
      <x:c r="H639" t="str">
        <x:v>Summer peak</x:v>
      </x:c>
      <x:c r="I639" t="str">
        <x:v>Active</x:v>
      </x:c>
      <x:c r="J639" t="str">
        <x:v>Wholesale</x:v>
      </x:c>
      <x:c r="K639" t="str">
        <x:v>Retailer</x:v>
      </x:c>
      <x:c r="L639" t="str">
        <x:v>All Geographies</x:v>
      </x:c>
      <x:c r="M639" s="34" t="n">
        <x:v>1288</x:v>
      </x:c>
      <x:c r="N639" s="28" t="n">
        <x:v>0.018216000000000003</x:v>
      </x:c>
      <x:c r="O639" s="34" t="n">
        <x:v>23</x:v>
      </x:c>
      <x:c r="P639" s="34" t="n">
        <x:v>1</x:v>
      </x:c>
      <x:c r="Q639" s="34" t="n">
        <x:v>23</x:v>
      </x:c>
      <x:c r="R639" s="33" t="n">
        <x:v>42</x:v>
      </x:c>
      <x:c r="S639" s="38" t="n">
        <x:v>0.966</x:v>
      </x:c>
      <x:c r="T639" s="38" t="n">
        <x:v>0.33809999999999996</x:v>
      </x:c>
      <x:c r="U639" s="38" t="n">
        <x:v>0.031395</x:v>
      </x:c>
      <x:c r="V639" s="38" t="n">
        <x:v>0.5965050000000001</x:v>
      </x:c>
      <x:c r="W639" s="38" t="n">
        <x:v>0.34615</x:v>
      </x:c>
      <x:c r="X639" s="38" t="n">
        <x:v>0</x:v>
      </x:c>
      <x:c r="Y639" s="38" t="n">
        <x:v>0</x:v>
      </x:c>
      <x:c r="Z639" s="38" t="n">
        <x:v>0.052899999999999996</x:v>
      </x:c>
      <x:c r="AA639" s="38" t="n">
        <x:v>0.01955</x:v>
      </x:c>
      <x:c r="AB639" s="38" t="n">
        <x:v>0.000644</x:v>
      </x:c>
      <x:c r="AC639" s="38" t="n">
        <x:v>0.17726100000000003</x:v>
      </x:c>
      <x:c r="AD639" s="28" t="n">
        <x:v>0.29716599190283405</x:v>
      </x:c>
    </x:row>
    <x:row r="640">
      <x:c r="A640" s="32" t="n">
        <x:v>45880</x:v>
      </x:c>
      <x:c r="B640" s="32" t="n">
        <x:v>45870</x:v>
      </x:c>
      <x:c r="C640" t="str">
        <x:v>Aug 2025</x:v>
      </x:c>
      <x:c r="D640" t="str">
        <x:v>Actual</x:v>
      </x:c>
      <x:c r="E640" t="str">
        <x:v>DB-104</x:v>
      </x:c>
      <x:c r="F640" t="str">
        <x:v>SunNest Cooling Towel</x:v>
      </x:c>
      <x:c r="G640" t="str">
        <x:v>Consumable repeat</x:v>
      </x:c>
      <x:c r="H640" t="str">
        <x:v>Summer peak</x:v>
      </x:c>
      <x:c r="I640" t="str">
        <x:v>Active</x:v>
      </x:c>
      <x:c r="J640" t="str">
        <x:v>TikTok Shop</x:v>
      </x:c>
      <x:c r="K640" t="str">
        <x:v>Social Commerce</x:v>
      </x:c>
      <x:c r="L640" t="str">
        <x:v>All Geographies</x:v>
      </x:c>
      <x:c r="M640" s="34" t="n">
        <x:v>859</x:v>
      </x:c>
      <x:c r="N640" s="28" t="n">
        <x:v>0.0417312</x:v>
      </x:c>
      <x:c r="O640" s="34" t="n">
        <x:v>36</x:v>
      </x:c>
      <x:c r="P640" s="34" t="n">
        <x:v>1</x:v>
      </x:c>
      <x:c r="Q640" s="34" t="n">
        <x:v>36</x:v>
      </x:c>
      <x:c r="R640" s="33" t="n">
        <x:v>42</x:v>
      </x:c>
      <x:c r="S640" s="38" t="n">
        <x:v>1.512</x:v>
      </x:c>
      <x:c r="T640" s="38" t="n">
        <x:v>0.18144</x:v>
      </x:c>
      <x:c r="U640" s="38" t="n">
        <x:v>0.066528</x:v>
      </x:c>
      <x:c r="V640" s="38" t="n">
        <x:v>1.264032</x:v>
      </x:c>
      <x:c r="W640" s="38" t="n">
        <x:v>0.5418000000000001</x:v>
      </x:c>
      <x:c r="X640" s="38" t="n">
        <x:v>0.036656928000000005</x:v>
      </x:c>
      <x:c r="Y640" s="38" t="n">
        <x:v>0.07584192</x:v>
      </x:c>
      <x:c r="Z640" s="38" t="n">
        <x:v>0.18359999999999999</x:v>
      </x:c>
      <x:c r="AA640" s="38" t="n">
        <x:v>0.063</x:v>
      </x:c>
      <x:c r="AB640" s="38" t="n">
        <x:v>0.001008</x:v>
      </x:c>
      <x:c r="AC640" s="38" t="n">
        <x:v>0.362125152</x:v>
      </x:c>
      <x:c r="AD640" s="28" t="n">
        <x:v>0.2864841649578492</x:v>
      </x:c>
    </x:row>
    <x:row r="641">
      <x:c r="A641" s="32" t="n">
        <x:v>45880</x:v>
      </x:c>
      <x:c r="B641" s="32" t="n">
        <x:v>45870</x:v>
      </x:c>
      <x:c r="C641" t="str">
        <x:v>Aug 2025</x:v>
      </x:c>
      <x:c r="D641" t="str">
        <x:v>Actual</x:v>
      </x:c>
      <x:c r="E641" t="str">
        <x:v>DB-105</x:v>
      </x:c>
      <x:c r="F641" t="str">
        <x:v>DreamFuel Refill Pack</x:v>
      </x:c>
      <x:c r="G641" t="str">
        <x:v>Subscription</x:v>
      </x:c>
      <x:c r="H641" t="str">
        <x:v>None</x:v>
      </x:c>
      <x:c r="I641" t="str">
        <x:v>Active</x:v>
      </x:c>
      <x:c r="J641" t="str">
        <x:v>Shopify DTC</x:v>
      </x:c>
      <x:c r="K641" t="str">
        <x:v>Consumer</x:v>
      </x:c>
      <x:c r="L641" t="str">
        <x:v>All Geographies</x:v>
      </x:c>
      <x:c r="M641" s="34" t="n">
        <x:v>3853</x:v>
      </x:c>
      <x:c r="N641" s="28" t="n">
        <x:v>0.03888</x:v>
      </x:c>
      <x:c r="O641" s="34" t="n">
        <x:v>150</x:v>
      </x:c>
      <x:c r="P641" s="34" t="n">
        <x:v>1</x:v>
      </x:c>
      <x:c r="Q641" s="34" t="n">
        <x:v>150</x:v>
      </x:c>
      <x:c r="R641" s="33" t="n">
        <x:v>56</x:v>
      </x:c>
      <x:c r="S641" s="38" t="n">
        <x:v>8.4</x:v>
      </x:c>
      <x:c r="T641" s="38" t="n">
        <x:v>0.672</x:v>
      </x:c>
      <x:c r="U641" s="38" t="n">
        <x:v>0.15456</x:v>
      </x:c>
      <x:c r="V641" s="38" t="n">
        <x:v>7.573440000000001</x:v>
      </x:c>
      <x:c r="W641" s="38" t="n">
        <x:v>2.793</x:v>
      </x:c>
      <x:c r="X641" s="38" t="n">
        <x:v>0.21962976000000003</x:v>
      </x:c>
      <x:c r="Y641" s="38" t="n">
        <x:v>0</x:v>
      </x:c>
      <x:c r="Z641" s="38" t="n">
        <x:v>0.6225</x:v>
      </x:c>
      <x:c r="AA641" s="38" t="n">
        <x:v>0.2475</x:v>
      </x:c>
      <x:c r="AB641" s="38" t="n">
        <x:v>0.00054</x:v>
      </x:c>
      <x:c r="AC641" s="38" t="n">
        <x:v>3.6902702400000003</x:v>
      </x:c>
      <x:c r="AD641" s="28" t="n">
        <x:v>0.48726473570794776</x:v>
      </x:c>
    </x:row>
    <x:row r="642">
      <x:c r="A642" s="32" t="n">
        <x:v>45880</x:v>
      </x:c>
      <x:c r="B642" s="32" t="n">
        <x:v>45870</x:v>
      </x:c>
      <x:c r="C642" t="str">
        <x:v>Aug 2025</x:v>
      </x:c>
      <x:c r="D642" t="str">
        <x:v>Actual</x:v>
      </x:c>
      <x:c r="E642" t="str">
        <x:v>DB-105</x:v>
      </x:c>
      <x:c r="F642" t="str">
        <x:v>DreamFuel Refill Pack</x:v>
      </x:c>
      <x:c r="G642" t="str">
        <x:v>Subscription</x:v>
      </x:c>
      <x:c r="H642" t="str">
        <x:v>None</x:v>
      </x:c>
      <x:c r="I642" t="str">
        <x:v>Active</x:v>
      </x:c>
      <x:c r="J642" t="str">
        <x:v>Amazon Marketplace</x:v>
      </x:c>
      <x:c r="K642" t="str">
        <x:v>Marketplace Consumer</x:v>
      </x:c>
      <x:c r="L642" t="str">
        <x:v>All Geographies</x:v>
      </x:c>
      <x:c r="M642" s="34" t="n">
        <x:v>1927</x:v>
      </x:c>
      <x:c r="N642" s="28" t="n">
        <x:v>0.0458784</x:v>
      </x:c>
      <x:c r="O642" s="34" t="n">
        <x:v>88</x:v>
      </x:c>
      <x:c r="P642" s="34" t="n">
        <x:v>1</x:v>
      </x:c>
      <x:c r="Q642" s="34" t="n">
        <x:v>88</x:v>
      </x:c>
      <x:c r="R642" s="33" t="n">
        <x:v>56</x:v>
      </x:c>
      <x:c r="S642" s="38" t="n">
        <x:v>4.928</x:v>
      </x:c>
      <x:c r="T642" s="38" t="n">
        <x:v>0.2464</x:v>
      </x:c>
      <x:c r="U642" s="38" t="n">
        <x:v>0.09363199999999999</x:v>
      </x:c>
      <x:c r="V642" s="38" t="n">
        <x:v>4.587967999999999</x:v>
      </x:c>
      <x:c r="W642" s="38" t="n">
        <x:v>1.6385600000000002</x:v>
      </x:c>
      <x:c r="X642" s="38" t="n">
        <x:v>0</x:v>
      </x:c>
      <x:c r="Y642" s="38" t="n">
        <x:v>0.6881951999999999</x:v>
      </x:c>
      <x:c r="Z642" s="38" t="n">
        <x:v>0.4576</x:v>
      </x:c>
      <x:c r="AA642" s="38" t="n">
        <x:v>0.18919999999999998</x:v>
      </x:c>
      <x:c r="AB642" s="38" t="n">
        <x:v>0.0003168</x:v>
      </x:c>
      <x:c r="AC642" s="38" t="n">
        <x:v>1.614095999999999</x:v>
      </x:c>
      <x:c r="AD642" s="28" t="n">
        <x:v>0.3518106490716586</x:v>
      </x:c>
    </x:row>
    <x:row r="643">
      <x:c r="A643" s="32" t="n">
        <x:v>45880</x:v>
      </x:c>
      <x:c r="B643" s="32" t="n">
        <x:v>45870</x:v>
      </x:c>
      <x:c r="C643" t="str">
        <x:v>Aug 2025</x:v>
      </x:c>
      <x:c r="D643" t="str">
        <x:v>Actual</x:v>
      </x:c>
      <x:c r="E643" t="str">
        <x:v>DB-105</x:v>
      </x:c>
      <x:c r="F643" t="str">
        <x:v>DreamFuel Refill Pack</x:v>
      </x:c>
      <x:c r="G643" t="str">
        <x:v>Subscription</x:v>
      </x:c>
      <x:c r="H643" t="str">
        <x:v>None</x:v>
      </x:c>
      <x:c r="I643" t="str">
        <x:v>Active</x:v>
      </x:c>
      <x:c r="J643" t="str">
        <x:v>Wholesale</x:v>
      </x:c>
      <x:c r="K643" t="str">
        <x:v>Retailer</x:v>
      </x:c>
      <x:c r="L643" t="str">
        <x:v>All Geographies</x:v>
      </x:c>
      <x:c r="M643" s="34" t="n">
        <x:v>1156</x:v>
      </x:c>
      <x:c r="N643" s="28" t="n">
        <x:v>0.021384000000000004</x:v>
      </x:c>
      <x:c r="O643" s="34" t="n">
        <x:v>25</x:v>
      </x:c>
      <x:c r="P643" s="34" t="n">
        <x:v>1</x:v>
      </x:c>
      <x:c r="Q643" s="34" t="n">
        <x:v>25</x:v>
      </x:c>
      <x:c r="R643" s="33" t="n">
        <x:v>56</x:v>
      </x:c>
      <x:c r="S643" s="38" t="n">
        <x:v>1.4</x:v>
      </x:c>
      <x:c r="T643" s="38" t="n">
        <x:v>0.48999999999999994</x:v>
      </x:c>
      <x:c r="U643" s="38" t="n">
        <x:v>0.018199999999999997</x:v>
      </x:c>
      <x:c r="V643" s="38" t="n">
        <x:v>0.8917999999999999</x:v>
      </x:c>
      <x:c r="W643" s="38" t="n">
        <x:v>0.4655</x:v>
      </x:c>
      <x:c r="X643" s="38" t="n">
        <x:v>0</x:v>
      </x:c>
      <x:c r="Y643" s="38" t="n">
        <x:v>0</x:v>
      </x:c>
      <x:c r="Z643" s="38" t="n">
        <x:v>0.057499999999999996</x:v>
      </x:c>
      <x:c r="AA643" s="38" t="n">
        <x:v>0.02125</x:v>
      </x:c>
      <x:c r="AB643" s="38" t="n">
        <x:v>0.00008999999999999999</x:v>
      </x:c>
      <x:c r="AC643" s="38" t="n">
        <x:v>0.34745999999999994</x:v>
      </x:c>
      <x:c r="AD643" s="28" t="n">
        <x:v>0.38961650594303654</x:v>
      </x:c>
    </x:row>
    <x:row r="644">
      <x:c r="A644" s="32" t="n">
        <x:v>45880</x:v>
      </x:c>
      <x:c r="B644" s="32" t="n">
        <x:v>45870</x:v>
      </x:c>
      <x:c r="C644" t="str">
        <x:v>Aug 2025</x:v>
      </x:c>
      <x:c r="D644" t="str">
        <x:v>Actual</x:v>
      </x:c>
      <x:c r="E644" t="str">
        <x:v>DB-105</x:v>
      </x:c>
      <x:c r="F644" t="str">
        <x:v>DreamFuel Refill Pack</x:v>
      </x:c>
      <x:c r="G644" t="str">
        <x:v>Subscription</x:v>
      </x:c>
      <x:c r="H644" t="str">
        <x:v>None</x:v>
      </x:c>
      <x:c r="I644" t="str">
        <x:v>Active</x:v>
      </x:c>
      <x:c r="J644" t="str">
        <x:v>TikTok Shop</x:v>
      </x:c>
      <x:c r="K644" t="str">
        <x:v>Social Commerce</x:v>
      </x:c>
      <x:c r="L644" t="str">
        <x:v>All Geographies</x:v>
      </x:c>
      <x:c r="M644" s="34" t="n">
        <x:v>771</x:v>
      </x:c>
      <x:c r="N644" s="28" t="n">
        <x:v>0.0489888</x:v>
      </x:c>
      <x:c r="O644" s="34" t="n">
        <x:v>38</x:v>
      </x:c>
      <x:c r="P644" s="34" t="n">
        <x:v>1</x:v>
      </x:c>
      <x:c r="Q644" s="34" t="n">
        <x:v>38</x:v>
      </x:c>
      <x:c r="R644" s="33" t="n">
        <x:v>56</x:v>
      </x:c>
      <x:c r="S644" s="38" t="n">
        <x:v>2.128</x:v>
      </x:c>
      <x:c r="T644" s="38" t="n">
        <x:v>0.25536000000000003</x:v>
      </x:c>
      <x:c r="U644" s="38" t="n">
        <x:v>0.0374528</x:v>
      </x:c>
      <x:c r="V644" s="38" t="n">
        <x:v>1.8351872</x:v>
      </x:c>
      <x:c r="W644" s="38" t="n">
        <x:v>0.7075600000000001</x:v>
      </x:c>
      <x:c r="X644" s="38" t="n">
        <x:v>0.053220428800000004</x:v>
      </x:c>
      <x:c r="Y644" s="38" t="n">
        <x:v>0.110111232</x:v>
      </x:c>
      <x:c r="Z644" s="38" t="n">
        <x:v>0.19379999999999997</x:v>
      </x:c>
      <x:c r="AA644" s="38" t="n">
        <x:v>0.0665</x:v>
      </x:c>
      <x:c r="AB644" s="38" t="n">
        <x:v>0.00013680000000000002</x:v>
      </x:c>
      <x:c r="AC644" s="38" t="n">
        <x:v>0.7038587392000001</x:v>
      </x:c>
      <x:c r="AD644" s="28" t="n">
        <x:v>0.38353511794328127</x:v>
      </x:c>
    </x:row>
    <x:row r="645">
      <x:c r="A645" s="32" t="n">
        <x:v>45887</x:v>
      </x:c>
      <x:c r="B645" s="32" t="n">
        <x:v>45870</x:v>
      </x:c>
      <x:c r="C645" t="str">
        <x:v>Aug 2025</x:v>
      </x:c>
      <x:c r="D645" t="str">
        <x:v>Actual</x:v>
      </x:c>
      <x:c r="E645" t="str">
        <x:v>DB-101</x:v>
      </x:c>
      <x:c r="F645" t="str">
        <x:v>AeroSip Bottle</x:v>
      </x:c>
      <x:c r="G645" t="str">
        <x:v>One-time purchase</x:v>
      </x:c>
      <x:c r="H645" t="str">
        <x:v>None</x:v>
      </x:c>
      <x:c r="I645" t="str">
        <x:v>Active</x:v>
      </x:c>
      <x:c r="J645" t="str">
        <x:v>Shopify DTC</x:v>
      </x:c>
      <x:c r="K645" t="str">
        <x:v>Consumer</x:v>
      </x:c>
      <x:c r="L645" t="str">
        <x:v>All Geographies</x:v>
      </x:c>
      <x:c r="M645" s="34" t="n">
        <x:v>5587</x:v>
      </x:c>
      <x:c r="N645" s="28" t="n">
        <x:v>0.034199999999999994</x:v>
      </x:c>
      <x:c r="O645" s="34" t="n">
        <x:v>191</x:v>
      </x:c>
      <x:c r="P645" s="34" t="n">
        <x:v>1</x:v>
      </x:c>
      <x:c r="Q645" s="34" t="n">
        <x:v>191</x:v>
      </x:c>
      <x:c r="R645" s="33" t="n">
        <x:v>29</x:v>
      </x:c>
      <x:c r="S645" s="38" t="n">
        <x:v>5.539</x:v>
      </x:c>
      <x:c r="T645" s="38" t="n">
        <x:v>0.44311999999999996</x:v>
      </x:c>
      <x:c r="U645" s="38" t="n">
        <x:v>0.22931459999999995</x:v>
      </x:c>
      <x:c r="V645" s="38" t="n">
        <x:v>4.866565399999999</x:v>
      </x:c>
      <x:c r="W645" s="38" t="n">
        <x:v>2.0628</x:v>
      </x:c>
      <x:c r="X645" s="38" t="n">
        <x:v>0.14113039659999999</x:v>
      </x:c>
      <x:c r="Y645" s="38" t="n">
        <x:v>0</x:v>
      </x:c>
      <x:c r="Z645" s="38" t="n">
        <x:v>0.7926500000000001</x:v>
      </x:c>
      <x:c r="AA645" s="38" t="n">
        <x:v>0.31515</x:v>
      </x:c>
      <x:c r="AB645" s="38" t="n">
        <x:v>0.006876000000000001</x:v>
      </x:c>
      <x:c r="AC645" s="38" t="n">
        <x:v>1.5479590033999986</x:v>
      </x:c>
      <x:c r="AD645" s="28" t="n">
        <x:v>0.3180803865083163</x:v>
      </x:c>
    </x:row>
    <x:row r="646">
      <x:c r="A646" s="32" t="n">
        <x:v>45887</x:v>
      </x:c>
      <x:c r="B646" s="32" t="n">
        <x:v>45870</x:v>
      </x:c>
      <x:c r="C646" t="str">
        <x:v>Aug 2025</x:v>
      </x:c>
      <x:c r="D646" t="str">
        <x:v>Actual</x:v>
      </x:c>
      <x:c r="E646" t="str">
        <x:v>DB-101</x:v>
      </x:c>
      <x:c r="F646" t="str">
        <x:v>AeroSip Bottle</x:v>
      </x:c>
      <x:c r="G646" t="str">
        <x:v>One-time purchase</x:v>
      </x:c>
      <x:c r="H646" t="str">
        <x:v>None</x:v>
      </x:c>
      <x:c r="I646" t="str">
        <x:v>Active</x:v>
      </x:c>
      <x:c r="J646" t="str">
        <x:v>Amazon Marketplace</x:v>
      </x:c>
      <x:c r="K646" t="str">
        <x:v>Marketplace Consumer</x:v>
      </x:c>
      <x:c r="L646" t="str">
        <x:v>All Geographies</x:v>
      </x:c>
      <x:c r="M646" s="34" t="n">
        <x:v>2793</x:v>
      </x:c>
      <x:c r="N646" s="28" t="n">
        <x:v>0.040355999999999996</x:v>
      </x:c>
      <x:c r="O646" s="34" t="n">
        <x:v>113</x:v>
      </x:c>
      <x:c r="P646" s="34" t="n">
        <x:v>1</x:v>
      </x:c>
      <x:c r="Q646" s="34" t="n">
        <x:v>113</x:v>
      </x:c>
      <x:c r="R646" s="33" t="n">
        <x:v>29</x:v>
      </x:c>
      <x:c r="S646" s="38" t="n">
        <x:v>3.277</x:v>
      </x:c>
      <x:c r="T646" s="38" t="n">
        <x:v>0.16385000000000002</x:v>
      </x:c>
      <x:c r="U646" s="38" t="n">
        <x:v>0.14009175</x:v>
      </x:c>
      <x:c r="V646" s="38" t="n">
        <x:v>2.9730582500000002</x:v>
      </x:c>
      <x:c r="W646" s="38" t="n">
        <x:v>1.2204000000000002</x:v>
      </x:c>
      <x:c r="X646" s="38" t="n">
        <x:v>0</x:v>
      </x:c>
      <x:c r="Y646" s="38" t="n">
        <x:v>0.44595873750000004</x:v>
      </x:c>
      <x:c r="Z646" s="38" t="n">
        <x:v>0.5876</x:v>
      </x:c>
      <x:c r="AA646" s="38" t="n">
        <x:v>0.24295</x:v>
      </x:c>
      <x:c r="AB646" s="38" t="n">
        <x:v>0.0040680000000000004</x:v>
      </x:c>
      <x:c r="AC646" s="38" t="n">
        <x:v>0.4720815125</x:v>
      </x:c>
      <x:c r="AD646" s="28" t="n">
        <x:v>0.158786499558157</x:v>
      </x:c>
    </x:row>
    <x:row r="647">
      <x:c r="A647" s="32" t="n">
        <x:v>45887</x:v>
      </x:c>
      <x:c r="B647" s="32" t="n">
        <x:v>45870</x:v>
      </x:c>
      <x:c r="C647" t="str">
        <x:v>Aug 2025</x:v>
      </x:c>
      <x:c r="D647" t="str">
        <x:v>Actual</x:v>
      </x:c>
      <x:c r="E647" t="str">
        <x:v>DB-101</x:v>
      </x:c>
      <x:c r="F647" t="str">
        <x:v>AeroSip Bottle</x:v>
      </x:c>
      <x:c r="G647" t="str">
        <x:v>One-time purchase</x:v>
      </x:c>
      <x:c r="H647" t="str">
        <x:v>None</x:v>
      </x:c>
      <x:c r="I647" t="str">
        <x:v>Active</x:v>
      </x:c>
      <x:c r="J647" t="str">
        <x:v>Wholesale</x:v>
      </x:c>
      <x:c r="K647" t="str">
        <x:v>Retailer</x:v>
      </x:c>
      <x:c r="L647" t="str">
        <x:v>All Geographies</x:v>
      </x:c>
      <x:c r="M647" s="34" t="n">
        <x:v>1676</x:v>
      </x:c>
      <x:c r="N647" s="28" t="n">
        <x:v>0.01881</x:v>
      </x:c>
      <x:c r="O647" s="34" t="n">
        <x:v>32</x:v>
      </x:c>
      <x:c r="P647" s="34" t="n">
        <x:v>1</x:v>
      </x:c>
      <x:c r="Q647" s="34" t="n">
        <x:v>32</x:v>
      </x:c>
      <x:c r="R647" s="33" t="n">
        <x:v>29</x:v>
      </x:c>
      <x:c r="S647" s="38" t="n">
        <x:v>0.928</x:v>
      </x:c>
      <x:c r="T647" s="38" t="n">
        <x:v>0.3248</x:v>
      </x:c>
      <x:c r="U647" s="38" t="n">
        <x:v>0.027144</x:v>
      </x:c>
      <x:c r="V647" s="38" t="n">
        <x:v>0.5760560000000001</x:v>
      </x:c>
      <x:c r="W647" s="38" t="n">
        <x:v>0.3456</x:v>
      </x:c>
      <x:c r="X647" s="38" t="n">
        <x:v>0</x:v>
      </x:c>
      <x:c r="Y647" s="38" t="n">
        <x:v>0</x:v>
      </x:c>
      <x:c r="Z647" s="38" t="n">
        <x:v>0.0736</x:v>
      </x:c>
      <x:c r="AA647" s="38" t="n">
        <x:v>0.0272</x:v>
      </x:c>
      <x:c r="AB647" s="38" t="n">
        <x:v>0.001152</x:v>
      </x:c>
      <x:c r="AC647" s="38" t="n">
        <x:v>0.12850400000000012</x:v>
      </x:c>
      <x:c r="AD647" s="28" t="n">
        <x:v>0.22307553432305208</x:v>
      </x:c>
    </x:row>
    <x:row r="648">
      <x:c r="A648" s="32" t="n">
        <x:v>45887</x:v>
      </x:c>
      <x:c r="B648" s="32" t="n">
        <x:v>45870</x:v>
      </x:c>
      <x:c r="C648" t="str">
        <x:v>Aug 2025</x:v>
      </x:c>
      <x:c r="D648" t="str">
        <x:v>Actual</x:v>
      </x:c>
      <x:c r="E648" t="str">
        <x:v>DB-101</x:v>
      </x:c>
      <x:c r="F648" t="str">
        <x:v>AeroSip Bottle</x:v>
      </x:c>
      <x:c r="G648" t="str">
        <x:v>One-time purchase</x:v>
      </x:c>
      <x:c r="H648" t="str">
        <x:v>None</x:v>
      </x:c>
      <x:c r="I648" t="str">
        <x:v>Active</x:v>
      </x:c>
      <x:c r="J648" t="str">
        <x:v>TikTok Shop</x:v>
      </x:c>
      <x:c r="K648" t="str">
        <x:v>Social Commerce</x:v>
      </x:c>
      <x:c r="L648" t="str">
        <x:v>All Geographies</x:v>
      </x:c>
      <x:c r="M648" s="34" t="n">
        <x:v>1117</x:v>
      </x:c>
      <x:c r="N648" s="28" t="n">
        <x:v>0.043092</x:v>
      </x:c>
      <x:c r="O648" s="34" t="n">
        <x:v>48</x:v>
      </x:c>
      <x:c r="P648" s="34" t="n">
        <x:v>1</x:v>
      </x:c>
      <x:c r="Q648" s="34" t="n">
        <x:v>48</x:v>
      </x:c>
      <x:c r="R648" s="33" t="n">
        <x:v>29</x:v>
      </x:c>
      <x:c r="S648" s="38" t="n">
        <x:v>1.392</x:v>
      </x:c>
      <x:c r="T648" s="38" t="n">
        <x:v>0.16704</x:v>
      </x:c>
      <x:c r="U648" s="38" t="n">
        <x:v>0.05512319999999999</x:v>
      </x:c>
      <x:c r="V648" s="38" t="n">
        <x:v>1.1698368</x:v>
      </x:c>
      <x:c r="W648" s="38" t="n">
        <x:v>0.5184000000000001</x:v>
      </x:c>
      <x:c r="X648" s="38" t="n">
        <x:v>0.0339252672</x:v>
      </x:c>
      <x:c r="Y648" s="38" t="n">
        <x:v>0.07019020799999999</x:v>
      </x:c>
      <x:c r="Z648" s="38" t="n">
        <x:v>0.2448</x:v>
      </x:c>
      <x:c r="AA648" s="38" t="n">
        <x:v>0.084</x:v>
      </x:c>
      <x:c r="AB648" s="38" t="n">
        <x:v>0.0017280000000000002</x:v>
      </x:c>
      <x:c r="AC648" s="38" t="n">
        <x:v>0.2167933247999998</x:v>
      </x:c>
      <x:c r="AD648" s="28" t="n">
        <x:v>0.1853192896650198</x:v>
      </x:c>
    </x:row>
    <x:row r="649">
      <x:c r="A649" s="32" t="n">
        <x:v>45887</x:v>
      </x:c>
      <x:c r="B649" s="32" t="n">
        <x:v>45870</x:v>
      </x:c>
      <x:c r="C649" t="str">
        <x:v>Aug 2025</x:v>
      </x:c>
      <x:c r="D649" t="str">
        <x:v>Actual</x:v>
      </x:c>
      <x:c r="E649" t="str">
        <x:v>DB-102</x:v>
      </x:c>
      <x:c r="F649" t="str">
        <x:v>GlowPatch Balm</x:v>
      </x:c>
      <x:c r="G649" t="str">
        <x:v>Consumable repeat</x:v>
      </x:c>
      <x:c r="H649" t="str">
        <x:v>None</x:v>
      </x:c>
      <x:c r="I649" t="str">
        <x:v>Active</x:v>
      </x:c>
      <x:c r="J649" t="str">
        <x:v>Shopify DTC</x:v>
      </x:c>
      <x:c r="K649" t="str">
        <x:v>Consumer</x:v>
      </x:c>
      <x:c r="L649" t="str">
        <x:v>All Geographies</x:v>
      </x:c>
      <x:c r="M649" s="34" t="n">
        <x:v>4512</x:v>
      </x:c>
      <x:c r="N649" s="28" t="n">
        <x:v>0.04248</x:v>
      </x:c>
      <x:c r="O649" s="34" t="n">
        <x:v>192</x:v>
      </x:c>
      <x:c r="P649" s="34" t="n">
        <x:v>1</x:v>
      </x:c>
      <x:c r="Q649" s="34" t="n">
        <x:v>192</x:v>
      </x:c>
      <x:c r="R649" s="33" t="n">
        <x:v>18</x:v>
      </x:c>
      <x:c r="S649" s="38" t="n">
        <x:v>3.456</x:v>
      </x:c>
      <x:c r="T649" s="38" t="n">
        <x:v>0.27648</x:v>
      </x:c>
      <x:c r="U649" s="38" t="n">
        <x:v>0.079488</x:v>
      </x:c>
      <x:c r="V649" s="38" t="n">
        <x:v>3.100032</x:v>
      </x:c>
      <x:c r="W649" s="38" t="n">
        <x:v>1.03872</x:v>
      </x:c>
      <x:c r="X649" s="38" t="n">
        <x:v>0.089900928</x:v>
      </x:c>
      <x:c r="Y649" s="38" t="n">
        <x:v>0</x:v>
      </x:c>
      <x:c r="Z649" s="38" t="n">
        <x:v>0.7968000000000001</x:v>
      </x:c>
      <x:c r="AA649" s="38" t="n">
        <x:v>0.31679999999999997</x:v>
      </x:c>
      <x:c r="AB649" s="38" t="n">
        <x:v>0.001152</x:v>
      </x:c>
      <x:c r="AC649" s="38" t="n">
        <x:v>0.8566590719999998</x:v>
      </x:c>
      <x:c r="AD649" s="28" t="n">
        <x:v>0.2763387835996531</x:v>
      </x:c>
    </x:row>
    <x:row r="650">
      <x:c r="A650" s="32" t="n">
        <x:v>45887</x:v>
      </x:c>
      <x:c r="B650" s="32" t="n">
        <x:v>45870</x:v>
      </x:c>
      <x:c r="C650" t="str">
        <x:v>Aug 2025</x:v>
      </x:c>
      <x:c r="D650" t="str">
        <x:v>Actual</x:v>
      </x:c>
      <x:c r="E650" t="str">
        <x:v>DB-102</x:v>
      </x:c>
      <x:c r="F650" t="str">
        <x:v>GlowPatch Balm</x:v>
      </x:c>
      <x:c r="G650" t="str">
        <x:v>Consumable repeat</x:v>
      </x:c>
      <x:c r="H650" t="str">
        <x:v>None</x:v>
      </x:c>
      <x:c r="I650" t="str">
        <x:v>Active</x:v>
      </x:c>
      <x:c r="J650" t="str">
        <x:v>Amazon Marketplace</x:v>
      </x:c>
      <x:c r="K650" t="str">
        <x:v>Marketplace Consumer</x:v>
      </x:c>
      <x:c r="L650" t="str">
        <x:v>All Geographies</x:v>
      </x:c>
      <x:c r="M650" s="34" t="n">
        <x:v>2256</x:v>
      </x:c>
      <x:c r="N650" s="28" t="n">
        <x:v>0.050126399999999995</x:v>
      </x:c>
      <x:c r="O650" s="34" t="n">
        <x:v>113</x:v>
      </x:c>
      <x:c r="P650" s="34" t="n">
        <x:v>1</x:v>
      </x:c>
      <x:c r="Q650" s="34" t="n">
        <x:v>113</x:v>
      </x:c>
      <x:c r="R650" s="33" t="n">
        <x:v>18</x:v>
      </x:c>
      <x:c r="S650" s="38" t="n">
        <x:v>2.034</x:v>
      </x:c>
      <x:c r="T650" s="38" t="n">
        <x:v>0.1017</x:v>
      </x:c>
      <x:c r="U650" s="38" t="n">
        <x:v>0.0483075</x:v>
      </x:c>
      <x:c r="V650" s="38" t="n">
        <x:v>1.8839925</x:v>
      </x:c>
      <x:c r="W650" s="38" t="n">
        <x:v>0.61133</x:v>
      </x:c>
      <x:c r="X650" s="38" t="n">
        <x:v>0</x:v>
      </x:c>
      <x:c r="Y650" s="38" t="n">
        <x:v>0.28259887499999997</x:v>
      </x:c>
      <x:c r="Z650" s="38" t="n">
        <x:v>0.5876</x:v>
      </x:c>
      <x:c r="AA650" s="38" t="n">
        <x:v>0.24295</x:v>
      </x:c>
      <x:c r="AB650" s="38" t="n">
        <x:v>0.000678</x:v>
      </x:c>
      <x:c r="AC650" s="38" t="n">
        <x:v>0.1588356250000001</x:v>
      </x:c>
      <x:c r="AD650" s="28" t="n">
        <x:v>0.0843079922027291</x:v>
      </x:c>
    </x:row>
    <x:row r="651">
      <x:c r="A651" s="32" t="n">
        <x:v>45887</x:v>
      </x:c>
      <x:c r="B651" s="32" t="n">
        <x:v>45870</x:v>
      </x:c>
      <x:c r="C651" t="str">
        <x:v>Aug 2025</x:v>
      </x:c>
      <x:c r="D651" t="str">
        <x:v>Actual</x:v>
      </x:c>
      <x:c r="E651" t="str">
        <x:v>DB-102</x:v>
      </x:c>
      <x:c r="F651" t="str">
        <x:v>GlowPatch Balm</x:v>
      </x:c>
      <x:c r="G651" t="str">
        <x:v>Consumable repeat</x:v>
      </x:c>
      <x:c r="H651" t="str">
        <x:v>None</x:v>
      </x:c>
      <x:c r="I651" t="str">
        <x:v>Active</x:v>
      </x:c>
      <x:c r="J651" t="str">
        <x:v>Wholesale</x:v>
      </x:c>
      <x:c r="K651" t="str">
        <x:v>Retailer</x:v>
      </x:c>
      <x:c r="L651" t="str">
        <x:v>All Geographies</x:v>
      </x:c>
      <x:c r="M651" s="34" t="n">
        <x:v>1354</x:v>
      </x:c>
      <x:c r="N651" s="28" t="n">
        <x:v>0.023364</x:v>
      </x:c>
      <x:c r="O651" s="34" t="n">
        <x:v>32</x:v>
      </x:c>
      <x:c r="P651" s="34" t="n">
        <x:v>1</x:v>
      </x:c>
      <x:c r="Q651" s="34" t="n">
        <x:v>32</x:v>
      </x:c>
      <x:c r="R651" s="33" t="n">
        <x:v>18</x:v>
      </x:c>
      <x:c r="S651" s="38" t="n">
        <x:v>0.576</x:v>
      </x:c>
      <x:c r="T651" s="38" t="n">
        <x:v>0.20159999999999997</x:v>
      </x:c>
      <x:c r="U651" s="38" t="n">
        <x:v>0.009359999999999999</x:v>
      </x:c>
      <x:c r="V651" s="38" t="n">
        <x:v>0.36504</x:v>
      </x:c>
      <x:c r="W651" s="38" t="n">
        <x:v>0.17312</x:v>
      </x:c>
      <x:c r="X651" s="38" t="n">
        <x:v>0</x:v>
      </x:c>
      <x:c r="Y651" s="38" t="n">
        <x:v>0</x:v>
      </x:c>
      <x:c r="Z651" s="38" t="n">
        <x:v>0.0736</x:v>
      </x:c>
      <x:c r="AA651" s="38" t="n">
        <x:v>0.0272</x:v>
      </x:c>
      <x:c r="AB651" s="38" t="n">
        <x:v>0.000192</x:v>
      </x:c>
      <x:c r="AC651" s="38" t="n">
        <x:v>0.09092799999999998</x:v>
      </x:c>
      <x:c r="AD651" s="28" t="n">
        <x:v>0.24909051062897214</x:v>
      </x:c>
    </x:row>
    <x:row r="652">
      <x:c r="A652" s="32" t="n">
        <x:v>45887</x:v>
      </x:c>
      <x:c r="B652" s="32" t="n">
        <x:v>45870</x:v>
      </x:c>
      <x:c r="C652" t="str">
        <x:v>Aug 2025</x:v>
      </x:c>
      <x:c r="D652" t="str">
        <x:v>Actual</x:v>
      </x:c>
      <x:c r="E652" t="str">
        <x:v>DB-102</x:v>
      </x:c>
      <x:c r="F652" t="str">
        <x:v>GlowPatch Balm</x:v>
      </x:c>
      <x:c r="G652" t="str">
        <x:v>Consumable repeat</x:v>
      </x:c>
      <x:c r="H652" t="str">
        <x:v>None</x:v>
      </x:c>
      <x:c r="I652" t="str">
        <x:v>Active</x:v>
      </x:c>
      <x:c r="J652" t="str">
        <x:v>TikTok Shop</x:v>
      </x:c>
      <x:c r="K652" t="str">
        <x:v>Social Commerce</x:v>
      </x:c>
      <x:c r="L652" t="str">
        <x:v>All Geographies</x:v>
      </x:c>
      <x:c r="M652" s="34" t="n">
        <x:v>902</x:v>
      </x:c>
      <x:c r="N652" s="28" t="n">
        <x:v>0.0535248</x:v>
      </x:c>
      <x:c r="O652" s="34" t="n">
        <x:v>48</x:v>
      </x:c>
      <x:c r="P652" s="34" t="n">
        <x:v>1</x:v>
      </x:c>
      <x:c r="Q652" s="34" t="n">
        <x:v>48</x:v>
      </x:c>
      <x:c r="R652" s="33" t="n">
        <x:v>18</x:v>
      </x:c>
      <x:c r="S652" s="38" t="n">
        <x:v>0.864</x:v>
      </x:c>
      <x:c r="T652" s="38" t="n">
        <x:v>0.10368</x:v>
      </x:c>
      <x:c r="U652" s="38" t="n">
        <x:v>0.019008</x:v>
      </x:c>
      <x:c r="V652" s="38" t="n">
        <x:v>0.741312</x:v>
      </x:c>
      <x:c r="W652" s="38" t="n">
        <x:v>0.25968</x:v>
      </x:c>
      <x:c r="X652" s="38" t="n">
        <x:v>0.021498048</x:v>
      </x:c>
      <x:c r="Y652" s="38" t="n">
        <x:v>0.04447872</x:v>
      </x:c>
      <x:c r="Z652" s="38" t="n">
        <x:v>0.2448</x:v>
      </x:c>
      <x:c r="AA652" s="38" t="n">
        <x:v>0.084</x:v>
      </x:c>
      <x:c r="AB652" s="38" t="n">
        <x:v>0.000288</x:v>
      </x:c>
      <x:c r="AC652" s="38" t="n">
        <x:v>0.086567232</x:v>
      </x:c>
      <x:c r="AD652" s="28" t="n">
        <x:v>0.11677570577570577</x:v>
      </x:c>
    </x:row>
    <x:row r="653">
      <x:c r="A653" s="32" t="n">
        <x:v>45887</x:v>
      </x:c>
      <x:c r="B653" s="32" t="n">
        <x:v>45870</x:v>
      </x:c>
      <x:c r="C653" t="str">
        <x:v>Aug 2025</x:v>
      </x:c>
      <x:c r="D653" t="str">
        <x:v>Actual</x:v>
      </x:c>
      <x:c r="E653" t="str">
        <x:v>DB-103</x:v>
      </x:c>
      <x:c r="F653" t="str">
        <x:v>EmberTrail Camp Mug</x:v>
      </x:c>
      <x:c r="G653" t="str">
        <x:v>One-time purchase</x:v>
      </x:c>
      <x:c r="H653" t="str">
        <x:v>Winter peak</x:v>
      </x:c>
      <x:c r="I653" t="str">
        <x:v>Active</x:v>
      </x:c>
      <x:c r="J653" t="str">
        <x:v>Shopify DTC</x:v>
      </x:c>
      <x:c r="K653" t="str">
        <x:v>Consumer</x:v>
      </x:c>
      <x:c r="L653" t="str">
        <x:v>All Geographies</x:v>
      </x:c>
      <x:c r="M653" s="34" t="n">
        <x:v>3326</x:v>
      </x:c>
      <x:c r="N653" s="28" t="n">
        <x:v>0.0324</x:v>
      </x:c>
      <x:c r="O653" s="34" t="n">
        <x:v>108</x:v>
      </x:c>
      <x:c r="P653" s="34" t="n">
        <x:v>1</x:v>
      </x:c>
      <x:c r="Q653" s="34" t="n">
        <x:v>108</x:v>
      </x:c>
      <x:c r="R653" s="33" t="n">
        <x:v>34</x:v>
      </x:c>
      <x:c r="S653" s="38" t="n">
        <x:v>3.672</x:v>
      </x:c>
      <x:c r="T653" s="38" t="n">
        <x:v>0.29376</x:v>
      </x:c>
      <x:c r="U653" s="38" t="n">
        <x:v>0.1858032</x:v>
      </x:c>
      <x:c r="V653" s="38" t="n">
        <x:v>3.1924368</x:v>
      </x:c>
      <x:c r="W653" s="38" t="n">
        <x:v>1.47636</x:v>
      </x:c>
      <x:c r="X653" s="38" t="n">
        <x:v>0.0925806672</x:v>
      </x:c>
      <x:c r="Y653" s="38" t="n">
        <x:v>0</x:v>
      </x:c>
      <x:c r="Z653" s="38" t="n">
        <x:v>0.44820000000000004</x:v>
      </x:c>
      <x:c r="AA653" s="38" t="n">
        <x:v>0.1782</x:v>
      </x:c>
      <x:c r="AB653" s="38" t="n">
        <x:v>0.006048</x:v>
      </x:c>
      <x:c r="AC653" s="38" t="n">
        <x:v>0.9910481327999997</x:v>
      </x:c>
      <x:c r="AD653" s="28" t="n">
        <x:v>0.3104362575948253</x:v>
      </x:c>
    </x:row>
    <x:row r="654">
      <x:c r="A654" s="32" t="n">
        <x:v>45887</x:v>
      </x:c>
      <x:c r="B654" s="32" t="n">
        <x:v>45870</x:v>
      </x:c>
      <x:c r="C654" t="str">
        <x:v>Aug 2025</x:v>
      </x:c>
      <x:c r="D654" t="str">
        <x:v>Actual</x:v>
      </x:c>
      <x:c r="E654" t="str">
        <x:v>DB-103</x:v>
      </x:c>
      <x:c r="F654" t="str">
        <x:v>EmberTrail Camp Mug</x:v>
      </x:c>
      <x:c r="G654" t="str">
        <x:v>One-time purchase</x:v>
      </x:c>
      <x:c r="H654" t="str">
        <x:v>Winter peak</x:v>
      </x:c>
      <x:c r="I654" t="str">
        <x:v>Active</x:v>
      </x:c>
      <x:c r="J654" t="str">
        <x:v>Amazon Marketplace</x:v>
      </x:c>
      <x:c r="K654" t="str">
        <x:v>Marketplace Consumer</x:v>
      </x:c>
      <x:c r="L654" t="str">
        <x:v>All Geographies</x:v>
      </x:c>
      <x:c r="M654" s="34" t="n">
        <x:v>1663</x:v>
      </x:c>
      <x:c r="N654" s="28" t="n">
        <x:v>0.038231999999999995</x:v>
      </x:c>
      <x:c r="O654" s="34" t="n">
        <x:v>64</x:v>
      </x:c>
      <x:c r="P654" s="34" t="n">
        <x:v>1</x:v>
      </x:c>
      <x:c r="Q654" s="34" t="n">
        <x:v>64</x:v>
      </x:c>
      <x:c r="R654" s="33" t="n">
        <x:v>34</x:v>
      </x:c>
      <x:c r="S654" s="38" t="n">
        <x:v>2.176</x:v>
      </x:c>
      <x:c r="T654" s="38" t="n">
        <x:v>0.10880000000000001</x:v>
      </x:c>
      <x:c r="U654" s="38" t="n">
        <x:v>0.113696</x:v>
      </x:c>
      <x:c r="V654" s="38" t="n">
        <x:v>1.9535040000000001</x:v>
      </x:c>
      <x:c r="W654" s="38" t="n">
        <x:v>0.87488</x:v>
      </x:c>
      <x:c r="X654" s="38" t="n">
        <x:v>0</x:v>
      </x:c>
      <x:c r="Y654" s="38" t="n">
        <x:v>0.2930256</x:v>
      </x:c>
      <x:c r="Z654" s="38" t="n">
        <x:v>0.3328</x:v>
      </x:c>
      <x:c r="AA654" s="38" t="n">
        <x:v>0.1376</x:v>
      </x:c>
      <x:c r="AB654" s="38" t="n">
        <x:v>0.003584</x:v>
      </x:c>
      <x:c r="AC654" s="38" t="n">
        <x:v>0.31161440000000007</x:v>
      </x:c>
      <x:c r="AD654" s="28" t="n">
        <x:v>0.15951561911314235</x:v>
      </x:c>
    </x:row>
    <x:row r="655">
      <x:c r="A655" s="32" t="n">
        <x:v>45887</x:v>
      </x:c>
      <x:c r="B655" s="32" t="n">
        <x:v>45870</x:v>
      </x:c>
      <x:c r="C655" t="str">
        <x:v>Aug 2025</x:v>
      </x:c>
      <x:c r="D655" t="str">
        <x:v>Actual</x:v>
      </x:c>
      <x:c r="E655" t="str">
        <x:v>DB-103</x:v>
      </x:c>
      <x:c r="F655" t="str">
        <x:v>EmberTrail Camp Mug</x:v>
      </x:c>
      <x:c r="G655" t="str">
        <x:v>One-time purchase</x:v>
      </x:c>
      <x:c r="H655" t="str">
        <x:v>Winter peak</x:v>
      </x:c>
      <x:c r="I655" t="str">
        <x:v>Active</x:v>
      </x:c>
      <x:c r="J655" t="str">
        <x:v>Wholesale</x:v>
      </x:c>
      <x:c r="K655" t="str">
        <x:v>Retailer</x:v>
      </x:c>
      <x:c r="L655" t="str">
        <x:v>All Geographies</x:v>
      </x:c>
      <x:c r="M655" s="34" t="n">
        <x:v>998</x:v>
      </x:c>
      <x:c r="N655" s="28" t="n">
        <x:v>0.017820000000000003</x:v>
      </x:c>
      <x:c r="O655" s="34" t="n">
        <x:v>18</x:v>
      </x:c>
      <x:c r="P655" s="34" t="n">
        <x:v>1</x:v>
      </x:c>
      <x:c r="Q655" s="34" t="n">
        <x:v>18</x:v>
      </x:c>
      <x:c r="R655" s="33" t="n">
        <x:v>34</x:v>
      </x:c>
      <x:c r="S655" s="38" t="n">
        <x:v>0.612</x:v>
      </x:c>
      <x:c r="T655" s="38" t="n">
        <x:v>0.21419999999999997</x:v>
      </x:c>
      <x:c r="U655" s="38" t="n">
        <x:v>0.021879000000000003</x:v>
      </x:c>
      <x:c r="V655" s="38" t="n">
        <x:v>0.37592100000000006</x:v>
      </x:c>
      <x:c r="W655" s="38" t="n">
        <x:v>0.24606</x:v>
      </x:c>
      <x:c r="X655" s="38" t="n">
        <x:v>0</x:v>
      </x:c>
      <x:c r="Y655" s="38" t="n">
        <x:v>0</x:v>
      </x:c>
      <x:c r="Z655" s="38" t="n">
        <x:v>0.0414</x:v>
      </x:c>
      <x:c r="AA655" s="38" t="n">
        <x:v>0.0153</x:v>
      </x:c>
      <x:c r="AB655" s="38" t="n">
        <x:v>0.001008</x:v>
      </x:c>
      <x:c r="AC655" s="38" t="n">
        <x:v>0.07215300000000008</x:v>
      </x:c>
      <x:c r="AD655" s="28" t="n">
        <x:v>0.19193660370130977</x:v>
      </x:c>
    </x:row>
    <x:row r="656">
      <x:c r="A656" s="32" t="n">
        <x:v>45887</x:v>
      </x:c>
      <x:c r="B656" s="32" t="n">
        <x:v>45870</x:v>
      </x:c>
      <x:c r="C656" t="str">
        <x:v>Aug 2025</x:v>
      </x:c>
      <x:c r="D656" t="str">
        <x:v>Actual</x:v>
      </x:c>
      <x:c r="E656" t="str">
        <x:v>DB-103</x:v>
      </x:c>
      <x:c r="F656" t="str">
        <x:v>EmberTrail Camp Mug</x:v>
      </x:c>
      <x:c r="G656" t="str">
        <x:v>One-time purchase</x:v>
      </x:c>
      <x:c r="H656" t="str">
        <x:v>Winter peak</x:v>
      </x:c>
      <x:c r="I656" t="str">
        <x:v>Active</x:v>
      </x:c>
      <x:c r="J656" t="str">
        <x:v>TikTok Shop</x:v>
      </x:c>
      <x:c r="K656" t="str">
        <x:v>Social Commerce</x:v>
      </x:c>
      <x:c r="L656" t="str">
        <x:v>All Geographies</x:v>
      </x:c>
      <x:c r="M656" s="34" t="n">
        <x:v>665</x:v>
      </x:c>
      <x:c r="N656" s="28" t="n">
        <x:v>0.040824</x:v>
      </x:c>
      <x:c r="O656" s="34" t="n">
        <x:v>27</x:v>
      </x:c>
      <x:c r="P656" s="34" t="n">
        <x:v>1</x:v>
      </x:c>
      <x:c r="Q656" s="34" t="n">
        <x:v>27</x:v>
      </x:c>
      <x:c r="R656" s="33" t="n">
        <x:v>34</x:v>
      </x:c>
      <x:c r="S656" s="38" t="n">
        <x:v>0.918</x:v>
      </x:c>
      <x:c r="T656" s="38" t="n">
        <x:v>0.11016</x:v>
      </x:c>
      <x:c r="U656" s="38" t="n">
        <x:v>0.0444312</x:v>
      </x:c>
      <x:c r="V656" s="38" t="n">
        <x:v>0.7634088</x:v>
      </x:c>
      <x:c r="W656" s="38" t="n">
        <x:v>0.36909</x:v>
      </x:c>
      <x:c r="X656" s="38" t="n">
        <x:v>0.0221388552</x:v>
      </x:c>
      <x:c r="Y656" s="38" t="n">
        <x:v>0.045804528</x:v>
      </x:c>
      <x:c r="Z656" s="38" t="n">
        <x:v>0.1377</x:v>
      </x:c>
      <x:c r="AA656" s="38" t="n">
        <x:v>0.04725</x:v>
      </x:c>
      <x:c r="AB656" s="38" t="n">
        <x:v>0.001512</x:v>
      </x:c>
      <x:c r="AC656" s="38" t="n">
        <x:v>0.13991341680000002</x:v>
      </x:c>
      <x:c r="AD656" s="28" t="n">
        <x:v>0.18327456639221348</x:v>
      </x:c>
    </x:row>
    <x:row r="657">
      <x:c r="A657" s="32" t="n">
        <x:v>45887</x:v>
      </x:c>
      <x:c r="B657" s="32" t="n">
        <x:v>45870</x:v>
      </x:c>
      <x:c r="C657" t="str">
        <x:v>Aug 2025</x:v>
      </x:c>
      <x:c r="D657" t="str">
        <x:v>Actual</x:v>
      </x:c>
      <x:c r="E657" t="str">
        <x:v>DB-104</x:v>
      </x:c>
      <x:c r="F657" t="str">
        <x:v>SunNest Cooling Towel</x:v>
      </x:c>
      <x:c r="G657" t="str">
        <x:v>Consumable repeat</x:v>
      </x:c>
      <x:c r="H657" t="str">
        <x:v>Summer peak</x:v>
      </x:c>
      <x:c r="I657" t="str">
        <x:v>Active</x:v>
      </x:c>
      <x:c r="J657" t="str">
        <x:v>Shopify DTC</x:v>
      </x:c>
      <x:c r="K657" t="str">
        <x:v>Consumer</x:v>
      </x:c>
      <x:c r="L657" t="str">
        <x:v>All Geographies</x:v>
      </x:c>
      <x:c r="M657" s="34" t="n">
        <x:v>4310</x:v>
      </x:c>
      <x:c r="N657" s="28" t="n">
        <x:v>0.03312</x:v>
      </x:c>
      <x:c r="O657" s="34" t="n">
        <x:v>143</x:v>
      </x:c>
      <x:c r="P657" s="34" t="n">
        <x:v>1</x:v>
      </x:c>
      <x:c r="Q657" s="34" t="n">
        <x:v>143</x:v>
      </x:c>
      <x:c r="R657" s="33" t="n">
        <x:v>42</x:v>
      </x:c>
      <x:c r="S657" s="38" t="n">
        <x:v>6.006</x:v>
      </x:c>
      <x:c r="T657" s="38" t="n">
        <x:v>0.48048</x:v>
      </x:c>
      <x:c r="U657" s="38" t="n">
        <x:v>0.276276</x:v>
      </x:c>
      <x:c r="V657" s="38" t="n">
        <x:v>5.249244</x:v>
      </x:c>
      <x:c r="W657" s="38" t="n">
        <x:v>2.1521500000000002</x:v>
      </x:c>
      <x:c r="X657" s="38" t="n">
        <x:v>0.15222807600000002</x:v>
      </x:c>
      <x:c r="Y657" s="38" t="n">
        <x:v>0</x:v>
      </x:c>
      <x:c r="Z657" s="38" t="n">
        <x:v>0.59345</x:v>
      </x:c>
      <x:c r="AA657" s="38" t="n">
        <x:v>0.23595</x:v>
      </x:c>
      <x:c r="AB657" s="38" t="n">
        <x:v>0.004004</x:v>
      </x:c>
      <x:c r="AC657" s="38" t="n">
        <x:v>2.1114619239999994</x:v>
      </x:c>
      <x:c r="AD657" s="28" t="n">
        <x:v>0.40224114634412106</x:v>
      </x:c>
    </x:row>
    <x:row r="658">
      <x:c r="A658" s="32" t="n">
        <x:v>45887</x:v>
      </x:c>
      <x:c r="B658" s="32" t="n">
        <x:v>45870</x:v>
      </x:c>
      <x:c r="C658" t="str">
        <x:v>Aug 2025</x:v>
      </x:c>
      <x:c r="D658" t="str">
        <x:v>Actual</x:v>
      </x:c>
      <x:c r="E658" t="str">
        <x:v>DB-104</x:v>
      </x:c>
      <x:c r="F658" t="str">
        <x:v>SunNest Cooling Towel</x:v>
      </x:c>
      <x:c r="G658" t="str">
        <x:v>Consumable repeat</x:v>
      </x:c>
      <x:c r="H658" t="str">
        <x:v>Summer peak</x:v>
      </x:c>
      <x:c r="I658" t="str">
        <x:v>Active</x:v>
      </x:c>
      <x:c r="J658" t="str">
        <x:v>Amazon Marketplace</x:v>
      </x:c>
      <x:c r="K658" t="str">
        <x:v>Marketplace Consumer</x:v>
      </x:c>
      <x:c r="L658" t="str">
        <x:v>All Geographies</x:v>
      </x:c>
      <x:c r="M658" s="34" t="n">
        <x:v>2155</x:v>
      </x:c>
      <x:c r="N658" s="28" t="n">
        <x:v>0.0390816</x:v>
      </x:c>
      <x:c r="O658" s="34" t="n">
        <x:v>84</x:v>
      </x:c>
      <x:c r="P658" s="34" t="n">
        <x:v>1</x:v>
      </x:c>
      <x:c r="Q658" s="34" t="n">
        <x:v>84</x:v>
      </x:c>
      <x:c r="R658" s="33" t="n">
        <x:v>42</x:v>
      </x:c>
      <x:c r="S658" s="38" t="n">
        <x:v>3.528</x:v>
      </x:c>
      <x:c r="T658" s="38" t="n">
        <x:v>0.1764</x:v>
      </x:c>
      <x:c r="U658" s="38" t="n">
        <x:v>0.16758</x:v>
      </x:c>
      <x:c r="V658" s="38" t="n">
        <x:v>3.18402</x:v>
      </x:c>
      <x:c r="W658" s="38" t="n">
        <x:v>1.2642</x:v>
      </x:c>
      <x:c r="X658" s="38" t="n">
        <x:v>0</x:v>
      </x:c>
      <x:c r="Y658" s="38" t="n">
        <x:v>0.47760299999999994</x:v>
      </x:c>
      <x:c r="Z658" s="38" t="n">
        <x:v>0.4368</x:v>
      </x:c>
      <x:c r="AA658" s="38" t="n">
        <x:v>0.18059999999999998</x:v>
      </x:c>
      <x:c r="AB658" s="38" t="n">
        <x:v>0.002352</x:v>
      </x:c>
      <x:c r="AC658" s="38" t="n">
        <x:v>0.8224649999999998</x:v>
      </x:c>
      <x:c r="AD658" s="28" t="n">
        <x:v>0.25831024930747915</x:v>
      </x:c>
    </x:row>
    <x:row r="659">
      <x:c r="A659" s="32" t="n">
        <x:v>45887</x:v>
      </x:c>
      <x:c r="B659" s="32" t="n">
        <x:v>45870</x:v>
      </x:c>
      <x:c r="C659" t="str">
        <x:v>Aug 2025</x:v>
      </x:c>
      <x:c r="D659" t="str">
        <x:v>Actual</x:v>
      </x:c>
      <x:c r="E659" t="str">
        <x:v>DB-104</x:v>
      </x:c>
      <x:c r="F659" t="str">
        <x:v>SunNest Cooling Towel</x:v>
      </x:c>
      <x:c r="G659" t="str">
        <x:v>Consumable repeat</x:v>
      </x:c>
      <x:c r="H659" t="str">
        <x:v>Summer peak</x:v>
      </x:c>
      <x:c r="I659" t="str">
        <x:v>Active</x:v>
      </x:c>
      <x:c r="J659" t="str">
        <x:v>Wholesale</x:v>
      </x:c>
      <x:c r="K659" t="str">
        <x:v>Retailer</x:v>
      </x:c>
      <x:c r="L659" t="str">
        <x:v>All Geographies</x:v>
      </x:c>
      <x:c r="M659" s="34" t="n">
        <x:v>1293</x:v>
      </x:c>
      <x:c r="N659" s="28" t="n">
        <x:v>0.018216000000000003</x:v>
      </x:c>
      <x:c r="O659" s="34" t="n">
        <x:v>24</x:v>
      </x:c>
      <x:c r="P659" s="34" t="n">
        <x:v>1</x:v>
      </x:c>
      <x:c r="Q659" s="34" t="n">
        <x:v>24</x:v>
      </x:c>
      <x:c r="R659" s="33" t="n">
        <x:v>42</x:v>
      </x:c>
      <x:c r="S659" s="38" t="n">
        <x:v>1.008</x:v>
      </x:c>
      <x:c r="T659" s="38" t="n">
        <x:v>0.3528</x:v>
      </x:c>
      <x:c r="U659" s="38" t="n">
        <x:v>0.032760000000000004</x:v>
      </x:c>
      <x:c r="V659" s="38" t="n">
        <x:v>0.62244</x:v>
      </x:c>
      <x:c r="W659" s="38" t="n">
        <x:v>0.3612</x:v>
      </x:c>
      <x:c r="X659" s="38" t="n">
        <x:v>0</x:v>
      </x:c>
      <x:c r="Y659" s="38" t="n">
        <x:v>0</x:v>
      </x:c>
      <x:c r="Z659" s="38" t="n">
        <x:v>0.0552</x:v>
      </x:c>
      <x:c r="AA659" s="38" t="n">
        <x:v>0.020399999999999998</x:v>
      </x:c>
      <x:c r="AB659" s="38" t="n">
        <x:v>0.000672</x:v>
      </x:c>
      <x:c r="AC659" s="38" t="n">
        <x:v>0.18496799999999997</x:v>
      </x:c>
      <x:c r="AD659" s="28" t="n">
        <x:v>0.29716599190283394</x:v>
      </x:c>
    </x:row>
    <x:row r="660">
      <x:c r="A660" s="32" t="n">
        <x:v>45887</x:v>
      </x:c>
      <x:c r="B660" s="32" t="n">
        <x:v>45870</x:v>
      </x:c>
      <x:c r="C660" t="str">
        <x:v>Aug 2025</x:v>
      </x:c>
      <x:c r="D660" t="str">
        <x:v>Actual</x:v>
      </x:c>
      <x:c r="E660" t="str">
        <x:v>DB-104</x:v>
      </x:c>
      <x:c r="F660" t="str">
        <x:v>SunNest Cooling Towel</x:v>
      </x:c>
      <x:c r="G660" t="str">
        <x:v>Consumable repeat</x:v>
      </x:c>
      <x:c r="H660" t="str">
        <x:v>Summer peak</x:v>
      </x:c>
      <x:c r="I660" t="str">
        <x:v>Active</x:v>
      </x:c>
      <x:c r="J660" t="str">
        <x:v>TikTok Shop</x:v>
      </x:c>
      <x:c r="K660" t="str">
        <x:v>Social Commerce</x:v>
      </x:c>
      <x:c r="L660" t="str">
        <x:v>All Geographies</x:v>
      </x:c>
      <x:c r="M660" s="34" t="n">
        <x:v>862</x:v>
      </x:c>
      <x:c r="N660" s="28" t="n">
        <x:v>0.0417312</x:v>
      </x:c>
      <x:c r="O660" s="34" t="n">
        <x:v>36</x:v>
      </x:c>
      <x:c r="P660" s="34" t="n">
        <x:v>1</x:v>
      </x:c>
      <x:c r="Q660" s="34" t="n">
        <x:v>36</x:v>
      </x:c>
      <x:c r="R660" s="33" t="n">
        <x:v>42</x:v>
      </x:c>
      <x:c r="S660" s="38" t="n">
        <x:v>1.512</x:v>
      </x:c>
      <x:c r="T660" s="38" t="n">
        <x:v>0.18144</x:v>
      </x:c>
      <x:c r="U660" s="38" t="n">
        <x:v>0.066528</x:v>
      </x:c>
      <x:c r="V660" s="38" t="n">
        <x:v>1.264032</x:v>
      </x:c>
      <x:c r="W660" s="38" t="n">
        <x:v>0.5418000000000001</x:v>
      </x:c>
      <x:c r="X660" s="38" t="n">
        <x:v>0.036656928000000005</x:v>
      </x:c>
      <x:c r="Y660" s="38" t="n">
        <x:v>0.07584192</x:v>
      </x:c>
      <x:c r="Z660" s="38" t="n">
        <x:v>0.18359999999999999</x:v>
      </x:c>
      <x:c r="AA660" s="38" t="n">
        <x:v>0.063</x:v>
      </x:c>
      <x:c r="AB660" s="38" t="n">
        <x:v>0.001008</x:v>
      </x:c>
      <x:c r="AC660" s="38" t="n">
        <x:v>0.362125152</x:v>
      </x:c>
      <x:c r="AD660" s="28" t="n">
        <x:v>0.2864841649578492</x:v>
      </x:c>
    </x:row>
    <x:row r="661">
      <x:c r="A661" s="32" t="n">
        <x:v>45887</x:v>
      </x:c>
      <x:c r="B661" s="32" t="n">
        <x:v>45870</x:v>
      </x:c>
      <x:c r="C661" t="str">
        <x:v>Aug 2025</x:v>
      </x:c>
      <x:c r="D661" t="str">
        <x:v>Actual</x:v>
      </x:c>
      <x:c r="E661" t="str">
        <x:v>DB-105</x:v>
      </x:c>
      <x:c r="F661" t="str">
        <x:v>DreamFuel Refill Pack</x:v>
      </x:c>
      <x:c r="G661" t="str">
        <x:v>Subscription</x:v>
      </x:c>
      <x:c r="H661" t="str">
        <x:v>None</x:v>
      </x:c>
      <x:c r="I661" t="str">
        <x:v>Active</x:v>
      </x:c>
      <x:c r="J661" t="str">
        <x:v>Shopify DTC</x:v>
      </x:c>
      <x:c r="K661" t="str">
        <x:v>Consumer</x:v>
      </x:c>
      <x:c r="L661" t="str">
        <x:v>All Geographies</x:v>
      </x:c>
      <x:c r="M661" s="34" t="n">
        <x:v>3868</x:v>
      </x:c>
      <x:c r="N661" s="28" t="n">
        <x:v>0.03888</x:v>
      </x:c>
      <x:c r="O661" s="34" t="n">
        <x:v>150</x:v>
      </x:c>
      <x:c r="P661" s="34" t="n">
        <x:v>1</x:v>
      </x:c>
      <x:c r="Q661" s="34" t="n">
        <x:v>150</x:v>
      </x:c>
      <x:c r="R661" s="33" t="n">
        <x:v>56</x:v>
      </x:c>
      <x:c r="S661" s="38" t="n">
        <x:v>8.4</x:v>
      </x:c>
      <x:c r="T661" s="38" t="n">
        <x:v>0.672</x:v>
      </x:c>
      <x:c r="U661" s="38" t="n">
        <x:v>0.15456</x:v>
      </x:c>
      <x:c r="V661" s="38" t="n">
        <x:v>7.573440000000001</x:v>
      </x:c>
      <x:c r="W661" s="38" t="n">
        <x:v>2.793</x:v>
      </x:c>
      <x:c r="X661" s="38" t="n">
        <x:v>0.21962976000000003</x:v>
      </x:c>
      <x:c r="Y661" s="38" t="n">
        <x:v>0</x:v>
      </x:c>
      <x:c r="Z661" s="38" t="n">
        <x:v>0.6225</x:v>
      </x:c>
      <x:c r="AA661" s="38" t="n">
        <x:v>0.2475</x:v>
      </x:c>
      <x:c r="AB661" s="38" t="n">
        <x:v>0.00054</x:v>
      </x:c>
      <x:c r="AC661" s="38" t="n">
        <x:v>3.6902702400000003</x:v>
      </x:c>
      <x:c r="AD661" s="28" t="n">
        <x:v>0.48726473570794776</x:v>
      </x:c>
    </x:row>
    <x:row r="662">
      <x:c r="A662" s="32" t="n">
        <x:v>45887</x:v>
      </x:c>
      <x:c r="B662" s="32" t="n">
        <x:v>45870</x:v>
      </x:c>
      <x:c r="C662" t="str">
        <x:v>Aug 2025</x:v>
      </x:c>
      <x:c r="D662" t="str">
        <x:v>Actual</x:v>
      </x:c>
      <x:c r="E662" t="str">
        <x:v>DB-105</x:v>
      </x:c>
      <x:c r="F662" t="str">
        <x:v>DreamFuel Refill Pack</x:v>
      </x:c>
      <x:c r="G662" t="str">
        <x:v>Subscription</x:v>
      </x:c>
      <x:c r="H662" t="str">
        <x:v>None</x:v>
      </x:c>
      <x:c r="I662" t="str">
        <x:v>Active</x:v>
      </x:c>
      <x:c r="J662" t="str">
        <x:v>Amazon Marketplace</x:v>
      </x:c>
      <x:c r="K662" t="str">
        <x:v>Marketplace Consumer</x:v>
      </x:c>
      <x:c r="L662" t="str">
        <x:v>All Geographies</x:v>
      </x:c>
      <x:c r="M662" s="34" t="n">
        <x:v>1934</x:v>
      </x:c>
      <x:c r="N662" s="28" t="n">
        <x:v>0.0458784</x:v>
      </x:c>
      <x:c r="O662" s="34" t="n">
        <x:v>89</x:v>
      </x:c>
      <x:c r="P662" s="34" t="n">
        <x:v>1</x:v>
      </x:c>
      <x:c r="Q662" s="34" t="n">
        <x:v>89</x:v>
      </x:c>
      <x:c r="R662" s="33" t="n">
        <x:v>56</x:v>
      </x:c>
      <x:c r="S662" s="38" t="n">
        <x:v>4.984</x:v>
      </x:c>
      <x:c r="T662" s="38" t="n">
        <x:v>0.2492</x:v>
      </x:c>
      <x:c r="U662" s="38" t="n">
        <x:v>0.094696</x:v>
      </x:c>
      <x:c r="V662" s="38" t="n">
        <x:v>4.640104</x:v>
      </x:c>
      <x:c r="W662" s="38" t="n">
        <x:v>1.65718</x:v>
      </x:c>
      <x:c r="X662" s="38" t="n">
        <x:v>0</x:v>
      </x:c>
      <x:c r="Y662" s="38" t="n">
        <x:v>0.6960156</x:v>
      </x:c>
      <x:c r="Z662" s="38" t="n">
        <x:v>0.4628</x:v>
      </x:c>
      <x:c r="AA662" s="38" t="n">
        <x:v>0.19135</x:v>
      </x:c>
      <x:c r="AB662" s="38" t="n">
        <x:v>0.00032040000000000004</x:v>
      </x:c>
      <x:c r="AC662" s="38" t="n">
        <x:v>1.6324379999999996</x:v>
      </x:c>
      <x:c r="AD662" s="28" t="n">
        <x:v>0.35181064907165865</x:v>
      </x:c>
    </x:row>
    <x:row r="663">
      <x:c r="A663" s="32" t="n">
        <x:v>45887</x:v>
      </x:c>
      <x:c r="B663" s="32" t="n">
        <x:v>45870</x:v>
      </x:c>
      <x:c r="C663" t="str">
        <x:v>Aug 2025</x:v>
      </x:c>
      <x:c r="D663" t="str">
        <x:v>Actual</x:v>
      </x:c>
      <x:c r="E663" t="str">
        <x:v>DB-105</x:v>
      </x:c>
      <x:c r="F663" t="str">
        <x:v>DreamFuel Refill Pack</x:v>
      </x:c>
      <x:c r="G663" t="str">
        <x:v>Subscription</x:v>
      </x:c>
      <x:c r="H663" t="str">
        <x:v>None</x:v>
      </x:c>
      <x:c r="I663" t="str">
        <x:v>Active</x:v>
      </x:c>
      <x:c r="J663" t="str">
        <x:v>Wholesale</x:v>
      </x:c>
      <x:c r="K663" t="str">
        <x:v>Retailer</x:v>
      </x:c>
      <x:c r="L663" t="str">
        <x:v>All Geographies</x:v>
      </x:c>
      <x:c r="M663" s="34" t="n">
        <x:v>1160</x:v>
      </x:c>
      <x:c r="N663" s="28" t="n">
        <x:v>0.021384000000000004</x:v>
      </x:c>
      <x:c r="O663" s="34" t="n">
        <x:v>25</x:v>
      </x:c>
      <x:c r="P663" s="34" t="n">
        <x:v>1</x:v>
      </x:c>
      <x:c r="Q663" s="34" t="n">
        <x:v>25</x:v>
      </x:c>
      <x:c r="R663" s="33" t="n">
        <x:v>56</x:v>
      </x:c>
      <x:c r="S663" s="38" t="n">
        <x:v>1.4</x:v>
      </x:c>
      <x:c r="T663" s="38" t="n">
        <x:v>0.48999999999999994</x:v>
      </x:c>
      <x:c r="U663" s="38" t="n">
        <x:v>0.018199999999999997</x:v>
      </x:c>
      <x:c r="V663" s="38" t="n">
        <x:v>0.8917999999999999</x:v>
      </x:c>
      <x:c r="W663" s="38" t="n">
        <x:v>0.4655</x:v>
      </x:c>
      <x:c r="X663" s="38" t="n">
        <x:v>0</x:v>
      </x:c>
      <x:c r="Y663" s="38" t="n">
        <x:v>0</x:v>
      </x:c>
      <x:c r="Z663" s="38" t="n">
        <x:v>0.057499999999999996</x:v>
      </x:c>
      <x:c r="AA663" s="38" t="n">
        <x:v>0.02125</x:v>
      </x:c>
      <x:c r="AB663" s="38" t="n">
        <x:v>0.00008999999999999999</x:v>
      </x:c>
      <x:c r="AC663" s="38" t="n">
        <x:v>0.34745999999999994</x:v>
      </x:c>
      <x:c r="AD663" s="28" t="n">
        <x:v>0.38961650594303654</x:v>
      </x:c>
    </x:row>
    <x:row r="664">
      <x:c r="A664" s="32" t="n">
        <x:v>45887</x:v>
      </x:c>
      <x:c r="B664" s="32" t="n">
        <x:v>45870</x:v>
      </x:c>
      <x:c r="C664" t="str">
        <x:v>Aug 2025</x:v>
      </x:c>
      <x:c r="D664" t="str">
        <x:v>Actual</x:v>
      </x:c>
      <x:c r="E664" t="str">
        <x:v>DB-105</x:v>
      </x:c>
      <x:c r="F664" t="str">
        <x:v>DreamFuel Refill Pack</x:v>
      </x:c>
      <x:c r="G664" t="str">
        <x:v>Subscription</x:v>
      </x:c>
      <x:c r="H664" t="str">
        <x:v>None</x:v>
      </x:c>
      <x:c r="I664" t="str">
        <x:v>Active</x:v>
      </x:c>
      <x:c r="J664" t="str">
        <x:v>TikTok Shop</x:v>
      </x:c>
      <x:c r="K664" t="str">
        <x:v>Social Commerce</x:v>
      </x:c>
      <x:c r="L664" t="str">
        <x:v>All Geographies</x:v>
      </x:c>
      <x:c r="M664" s="34" t="n">
        <x:v>774</x:v>
      </x:c>
      <x:c r="N664" s="28" t="n">
        <x:v>0.0489888</x:v>
      </x:c>
      <x:c r="O664" s="34" t="n">
        <x:v>38</x:v>
      </x:c>
      <x:c r="P664" s="34" t="n">
        <x:v>1</x:v>
      </x:c>
      <x:c r="Q664" s="34" t="n">
        <x:v>38</x:v>
      </x:c>
      <x:c r="R664" s="33" t="n">
        <x:v>56</x:v>
      </x:c>
      <x:c r="S664" s="38" t="n">
        <x:v>2.128</x:v>
      </x:c>
      <x:c r="T664" s="38" t="n">
        <x:v>0.25536000000000003</x:v>
      </x:c>
      <x:c r="U664" s="38" t="n">
        <x:v>0.0374528</x:v>
      </x:c>
      <x:c r="V664" s="38" t="n">
        <x:v>1.8351872</x:v>
      </x:c>
      <x:c r="W664" s="38" t="n">
        <x:v>0.7075600000000001</x:v>
      </x:c>
      <x:c r="X664" s="38" t="n">
        <x:v>0.053220428800000004</x:v>
      </x:c>
      <x:c r="Y664" s="38" t="n">
        <x:v>0.110111232</x:v>
      </x:c>
      <x:c r="Z664" s="38" t="n">
        <x:v>0.19379999999999997</x:v>
      </x:c>
      <x:c r="AA664" s="38" t="n">
        <x:v>0.0665</x:v>
      </x:c>
      <x:c r="AB664" s="38" t="n">
        <x:v>0.00013680000000000002</x:v>
      </x:c>
      <x:c r="AC664" s="38" t="n">
        <x:v>0.7038587392000001</x:v>
      </x:c>
      <x:c r="AD664" s="28" t="n">
        <x:v>0.38353511794328127</x:v>
      </x:c>
    </x:row>
    <x:row r="665">
      <x:c r="A665" s="32" t="n">
        <x:v>45894</x:v>
      </x:c>
      <x:c r="B665" s="32" t="n">
        <x:v>45870</x:v>
      </x:c>
      <x:c r="C665" t="str">
        <x:v>Aug 2025</x:v>
      </x:c>
      <x:c r="D665" t="str">
        <x:v>Actual</x:v>
      </x:c>
      <x:c r="E665" t="str">
        <x:v>DB-101</x:v>
      </x:c>
      <x:c r="F665" t="str">
        <x:v>AeroSip Bottle</x:v>
      </x:c>
      <x:c r="G665" t="str">
        <x:v>One-time purchase</x:v>
      </x:c>
      <x:c r="H665" t="str">
        <x:v>None</x:v>
      </x:c>
      <x:c r="I665" t="str">
        <x:v>Active</x:v>
      </x:c>
      <x:c r="J665" t="str">
        <x:v>Shopify DTC</x:v>
      </x:c>
      <x:c r="K665" t="str">
        <x:v>Consumer</x:v>
      </x:c>
      <x:c r="L665" t="str">
        <x:v>All Geographies</x:v>
      </x:c>
      <x:c r="M665" s="34" t="n">
        <x:v>5607</x:v>
      </x:c>
      <x:c r="N665" s="28" t="n">
        <x:v>0.034199999999999994</x:v>
      </x:c>
      <x:c r="O665" s="34" t="n">
        <x:v>192</x:v>
      </x:c>
      <x:c r="P665" s="34" t="n">
        <x:v>1</x:v>
      </x:c>
      <x:c r="Q665" s="34" t="n">
        <x:v>192</x:v>
      </x:c>
      <x:c r="R665" s="33" t="n">
        <x:v>29</x:v>
      </x:c>
      <x:c r="S665" s="38" t="n">
        <x:v>5.568</x:v>
      </x:c>
      <x:c r="T665" s="38" t="n">
        <x:v>0.44544</x:v>
      </x:c>
      <x:c r="U665" s="38" t="n">
        <x:v>0.2305152</x:v>
      </x:c>
      <x:c r="V665" s="38" t="n">
        <x:v>4.8920448</x:v>
      </x:c>
      <x:c r="W665" s="38" t="n">
        <x:v>2.0736000000000003</x:v>
      </x:c>
      <x:c r="X665" s="38" t="n">
        <x:v>0.1418692992</x:v>
      </x:c>
      <x:c r="Y665" s="38" t="n">
        <x:v>0</x:v>
      </x:c>
      <x:c r="Z665" s="38" t="n">
        <x:v>0.7968000000000001</x:v>
      </x:c>
      <x:c r="AA665" s="38" t="n">
        <x:v>0.31679999999999997</x:v>
      </x:c>
      <x:c r="AB665" s="38" t="n">
        <x:v>0.006912000000000001</x:v>
      </x:c>
      <x:c r="AC665" s="38" t="n">
        <x:v>1.5560635007999992</x:v>
      </x:c>
      <x:c r="AD665" s="28" t="n">
        <x:v>0.3180803865083164</x:v>
      </x:c>
    </x:row>
    <x:row r="666">
      <x:c r="A666" s="32" t="n">
        <x:v>45894</x:v>
      </x:c>
      <x:c r="B666" s="32" t="n">
        <x:v>45870</x:v>
      </x:c>
      <x:c r="C666" t="str">
        <x:v>Aug 2025</x:v>
      </x:c>
      <x:c r="D666" t="str">
        <x:v>Actual</x:v>
      </x:c>
      <x:c r="E666" t="str">
        <x:v>DB-101</x:v>
      </x:c>
      <x:c r="F666" t="str">
        <x:v>AeroSip Bottle</x:v>
      </x:c>
      <x:c r="G666" t="str">
        <x:v>One-time purchase</x:v>
      </x:c>
      <x:c r="H666" t="str">
        <x:v>None</x:v>
      </x:c>
      <x:c r="I666" t="str">
        <x:v>Active</x:v>
      </x:c>
      <x:c r="J666" t="str">
        <x:v>Amazon Marketplace</x:v>
      </x:c>
      <x:c r="K666" t="str">
        <x:v>Marketplace Consumer</x:v>
      </x:c>
      <x:c r="L666" t="str">
        <x:v>All Geographies</x:v>
      </x:c>
      <x:c r="M666" s="34" t="n">
        <x:v>2804</x:v>
      </x:c>
      <x:c r="N666" s="28" t="n">
        <x:v>0.040355999999999996</x:v>
      </x:c>
      <x:c r="O666" s="34" t="n">
        <x:v>113</x:v>
      </x:c>
      <x:c r="P666" s="34" t="n">
        <x:v>1</x:v>
      </x:c>
      <x:c r="Q666" s="34" t="n">
        <x:v>113</x:v>
      </x:c>
      <x:c r="R666" s="33" t="n">
        <x:v>29</x:v>
      </x:c>
      <x:c r="S666" s="38" t="n">
        <x:v>3.277</x:v>
      </x:c>
      <x:c r="T666" s="38" t="n">
        <x:v>0.16385000000000002</x:v>
      </x:c>
      <x:c r="U666" s="38" t="n">
        <x:v>0.14009175</x:v>
      </x:c>
      <x:c r="V666" s="38" t="n">
        <x:v>2.9730582500000002</x:v>
      </x:c>
      <x:c r="W666" s="38" t="n">
        <x:v>1.2204000000000002</x:v>
      </x:c>
      <x:c r="X666" s="38" t="n">
        <x:v>0</x:v>
      </x:c>
      <x:c r="Y666" s="38" t="n">
        <x:v>0.44595873750000004</x:v>
      </x:c>
      <x:c r="Z666" s="38" t="n">
        <x:v>0.5876</x:v>
      </x:c>
      <x:c r="AA666" s="38" t="n">
        <x:v>0.24295</x:v>
      </x:c>
      <x:c r="AB666" s="38" t="n">
        <x:v>0.0040680000000000004</x:v>
      </x:c>
      <x:c r="AC666" s="38" t="n">
        <x:v>0.4720815125</x:v>
      </x:c>
      <x:c r="AD666" s="28" t="n">
        <x:v>0.158786499558157</x:v>
      </x:c>
    </x:row>
    <x:row r="667">
      <x:c r="A667" s="32" t="n">
        <x:v>45894</x:v>
      </x:c>
      <x:c r="B667" s="32" t="n">
        <x:v>45870</x:v>
      </x:c>
      <x:c r="C667" t="str">
        <x:v>Aug 2025</x:v>
      </x:c>
      <x:c r="D667" t="str">
        <x:v>Actual</x:v>
      </x:c>
      <x:c r="E667" t="str">
        <x:v>DB-101</x:v>
      </x:c>
      <x:c r="F667" t="str">
        <x:v>AeroSip Bottle</x:v>
      </x:c>
      <x:c r="G667" t="str">
        <x:v>One-time purchase</x:v>
      </x:c>
      <x:c r="H667" t="str">
        <x:v>None</x:v>
      </x:c>
      <x:c r="I667" t="str">
        <x:v>Active</x:v>
      </x:c>
      <x:c r="J667" t="str">
        <x:v>Wholesale</x:v>
      </x:c>
      <x:c r="K667" t="str">
        <x:v>Retailer</x:v>
      </x:c>
      <x:c r="L667" t="str">
        <x:v>All Geographies</x:v>
      </x:c>
      <x:c r="M667" s="34" t="n">
        <x:v>1682</x:v>
      </x:c>
      <x:c r="N667" s="28" t="n">
        <x:v>0.01881</x:v>
      </x:c>
      <x:c r="O667" s="34" t="n">
        <x:v>32</x:v>
      </x:c>
      <x:c r="P667" s="34" t="n">
        <x:v>1</x:v>
      </x:c>
      <x:c r="Q667" s="34" t="n">
        <x:v>32</x:v>
      </x:c>
      <x:c r="R667" s="33" t="n">
        <x:v>29</x:v>
      </x:c>
      <x:c r="S667" s="38" t="n">
        <x:v>0.928</x:v>
      </x:c>
      <x:c r="T667" s="38" t="n">
        <x:v>0.3248</x:v>
      </x:c>
      <x:c r="U667" s="38" t="n">
        <x:v>0.027144</x:v>
      </x:c>
      <x:c r="V667" s="38" t="n">
        <x:v>0.5760560000000001</x:v>
      </x:c>
      <x:c r="W667" s="38" t="n">
        <x:v>0.3456</x:v>
      </x:c>
      <x:c r="X667" s="38" t="n">
        <x:v>0</x:v>
      </x:c>
      <x:c r="Y667" s="38" t="n">
        <x:v>0</x:v>
      </x:c>
      <x:c r="Z667" s="38" t="n">
        <x:v>0.0736</x:v>
      </x:c>
      <x:c r="AA667" s="38" t="n">
        <x:v>0.0272</x:v>
      </x:c>
      <x:c r="AB667" s="38" t="n">
        <x:v>0.001152</x:v>
      </x:c>
      <x:c r="AC667" s="38" t="n">
        <x:v>0.12850400000000012</x:v>
      </x:c>
      <x:c r="AD667" s="28" t="n">
        <x:v>0.22307553432305208</x:v>
      </x:c>
    </x:row>
    <x:row r="668">
      <x:c r="A668" s="32" t="n">
        <x:v>45894</x:v>
      </x:c>
      <x:c r="B668" s="32" t="n">
        <x:v>45870</x:v>
      </x:c>
      <x:c r="C668" t="str">
        <x:v>Aug 2025</x:v>
      </x:c>
      <x:c r="D668" t="str">
        <x:v>Actual</x:v>
      </x:c>
      <x:c r="E668" t="str">
        <x:v>DB-101</x:v>
      </x:c>
      <x:c r="F668" t="str">
        <x:v>AeroSip Bottle</x:v>
      </x:c>
      <x:c r="G668" t="str">
        <x:v>One-time purchase</x:v>
      </x:c>
      <x:c r="H668" t="str">
        <x:v>None</x:v>
      </x:c>
      <x:c r="I668" t="str">
        <x:v>Active</x:v>
      </x:c>
      <x:c r="J668" t="str">
        <x:v>TikTok Shop</x:v>
      </x:c>
      <x:c r="K668" t="str">
        <x:v>Social Commerce</x:v>
      </x:c>
      <x:c r="L668" t="str">
        <x:v>All Geographies</x:v>
      </x:c>
      <x:c r="M668" s="34" t="n">
        <x:v>1121</x:v>
      </x:c>
      <x:c r="N668" s="28" t="n">
        <x:v>0.043092</x:v>
      </x:c>
      <x:c r="O668" s="34" t="n">
        <x:v>48</x:v>
      </x:c>
      <x:c r="P668" s="34" t="n">
        <x:v>1</x:v>
      </x:c>
      <x:c r="Q668" s="34" t="n">
        <x:v>48</x:v>
      </x:c>
      <x:c r="R668" s="33" t="n">
        <x:v>29</x:v>
      </x:c>
      <x:c r="S668" s="38" t="n">
        <x:v>1.392</x:v>
      </x:c>
      <x:c r="T668" s="38" t="n">
        <x:v>0.16704</x:v>
      </x:c>
      <x:c r="U668" s="38" t="n">
        <x:v>0.05512319999999999</x:v>
      </x:c>
      <x:c r="V668" s="38" t="n">
        <x:v>1.1698368</x:v>
      </x:c>
      <x:c r="W668" s="38" t="n">
        <x:v>0.5184000000000001</x:v>
      </x:c>
      <x:c r="X668" s="38" t="n">
        <x:v>0.0339252672</x:v>
      </x:c>
      <x:c r="Y668" s="38" t="n">
        <x:v>0.07019020799999999</x:v>
      </x:c>
      <x:c r="Z668" s="38" t="n">
        <x:v>0.2448</x:v>
      </x:c>
      <x:c r="AA668" s="38" t="n">
        <x:v>0.084</x:v>
      </x:c>
      <x:c r="AB668" s="38" t="n">
        <x:v>0.0017280000000000002</x:v>
      </x:c>
      <x:c r="AC668" s="38" t="n">
        <x:v>0.2167933247999998</x:v>
      </x:c>
      <x:c r="AD668" s="28" t="n">
        <x:v>0.1853192896650198</x:v>
      </x:c>
    </x:row>
    <x:row r="669">
      <x:c r="A669" s="32" t="n">
        <x:v>45894</x:v>
      </x:c>
      <x:c r="B669" s="32" t="n">
        <x:v>45870</x:v>
      </x:c>
      <x:c r="C669" t="str">
        <x:v>Aug 2025</x:v>
      </x:c>
      <x:c r="D669" t="str">
        <x:v>Actual</x:v>
      </x:c>
      <x:c r="E669" t="str">
        <x:v>DB-102</x:v>
      </x:c>
      <x:c r="F669" t="str">
        <x:v>GlowPatch Balm</x:v>
      </x:c>
      <x:c r="G669" t="str">
        <x:v>Consumable repeat</x:v>
      </x:c>
      <x:c r="H669" t="str">
        <x:v>None</x:v>
      </x:c>
      <x:c r="I669" t="str">
        <x:v>Active</x:v>
      </x:c>
      <x:c r="J669" t="str">
        <x:v>Shopify DTC</x:v>
      </x:c>
      <x:c r="K669" t="str">
        <x:v>Consumer</x:v>
      </x:c>
      <x:c r="L669" t="str">
        <x:v>All Geographies</x:v>
      </x:c>
      <x:c r="M669" s="34" t="n">
        <x:v>4529</x:v>
      </x:c>
      <x:c r="N669" s="28" t="n">
        <x:v>0.04248</x:v>
      </x:c>
      <x:c r="O669" s="34" t="n">
        <x:v>192</x:v>
      </x:c>
      <x:c r="P669" s="34" t="n">
        <x:v>1</x:v>
      </x:c>
      <x:c r="Q669" s="34" t="n">
        <x:v>192</x:v>
      </x:c>
      <x:c r="R669" s="33" t="n">
        <x:v>18</x:v>
      </x:c>
      <x:c r="S669" s="38" t="n">
        <x:v>3.456</x:v>
      </x:c>
      <x:c r="T669" s="38" t="n">
        <x:v>0.27648</x:v>
      </x:c>
      <x:c r="U669" s="38" t="n">
        <x:v>0.079488</x:v>
      </x:c>
      <x:c r="V669" s="38" t="n">
        <x:v>3.100032</x:v>
      </x:c>
      <x:c r="W669" s="38" t="n">
        <x:v>1.03872</x:v>
      </x:c>
      <x:c r="X669" s="38" t="n">
        <x:v>0.089900928</x:v>
      </x:c>
      <x:c r="Y669" s="38" t="n">
        <x:v>0</x:v>
      </x:c>
      <x:c r="Z669" s="38" t="n">
        <x:v>0.7968000000000001</x:v>
      </x:c>
      <x:c r="AA669" s="38" t="n">
        <x:v>0.31679999999999997</x:v>
      </x:c>
      <x:c r="AB669" s="38" t="n">
        <x:v>0.001152</x:v>
      </x:c>
      <x:c r="AC669" s="38" t="n">
        <x:v>0.8566590719999998</x:v>
      </x:c>
      <x:c r="AD669" s="28" t="n">
        <x:v>0.2763387835996531</x:v>
      </x:c>
    </x:row>
    <x:row r="670">
      <x:c r="A670" s="32" t="n">
        <x:v>45894</x:v>
      </x:c>
      <x:c r="B670" s="32" t="n">
        <x:v>45870</x:v>
      </x:c>
      <x:c r="C670" t="str">
        <x:v>Aug 2025</x:v>
      </x:c>
      <x:c r="D670" t="str">
        <x:v>Actual</x:v>
      </x:c>
      <x:c r="E670" t="str">
        <x:v>DB-102</x:v>
      </x:c>
      <x:c r="F670" t="str">
        <x:v>GlowPatch Balm</x:v>
      </x:c>
      <x:c r="G670" t="str">
        <x:v>Consumable repeat</x:v>
      </x:c>
      <x:c r="H670" t="str">
        <x:v>None</x:v>
      </x:c>
      <x:c r="I670" t="str">
        <x:v>Active</x:v>
      </x:c>
      <x:c r="J670" t="str">
        <x:v>Amazon Marketplace</x:v>
      </x:c>
      <x:c r="K670" t="str">
        <x:v>Marketplace Consumer</x:v>
      </x:c>
      <x:c r="L670" t="str">
        <x:v>All Geographies</x:v>
      </x:c>
      <x:c r="M670" s="34" t="n">
        <x:v>2265</x:v>
      </x:c>
      <x:c r="N670" s="28" t="n">
        <x:v>0.050126399999999995</x:v>
      </x:c>
      <x:c r="O670" s="34" t="n">
        <x:v>114</x:v>
      </x:c>
      <x:c r="P670" s="34" t="n">
        <x:v>1</x:v>
      </x:c>
      <x:c r="Q670" s="34" t="n">
        <x:v>114</x:v>
      </x:c>
      <x:c r="R670" s="33" t="n">
        <x:v>18</x:v>
      </x:c>
      <x:c r="S670" s="38" t="n">
        <x:v>2.052</x:v>
      </x:c>
      <x:c r="T670" s="38" t="n">
        <x:v>0.10260000000000001</x:v>
      </x:c>
      <x:c r="U670" s="38" t="n">
        <x:v>0.048735</x:v>
      </x:c>
      <x:c r="V670" s="38" t="n">
        <x:v>1.900665</x:v>
      </x:c>
      <x:c r="W670" s="38" t="n">
        <x:v>0.61674</x:v>
      </x:c>
      <x:c r="X670" s="38" t="n">
        <x:v>0</x:v>
      </x:c>
      <x:c r="Y670" s="38" t="n">
        <x:v>0.28509975</x:v>
      </x:c>
      <x:c r="Z670" s="38" t="n">
        <x:v>0.5928000000000001</x:v>
      </x:c>
      <x:c r="AA670" s="38" t="n">
        <x:v>0.24509999999999998</x:v>
      </x:c>
      <x:c r="AB670" s="38" t="n">
        <x:v>0.000684</x:v>
      </x:c>
      <x:c r="AC670" s="38" t="n">
        <x:v>0.16024124999999992</x:v>
      </x:c>
      <x:c r="AD670" s="28" t="n">
        <x:v>0.084307992202729</x:v>
      </x:c>
    </x:row>
    <x:row r="671">
      <x:c r="A671" s="32" t="n">
        <x:v>45894</x:v>
      </x:c>
      <x:c r="B671" s="32" t="n">
        <x:v>45870</x:v>
      </x:c>
      <x:c r="C671" t="str">
        <x:v>Aug 2025</x:v>
      </x:c>
      <x:c r="D671" t="str">
        <x:v>Actual</x:v>
      </x:c>
      <x:c r="E671" t="str">
        <x:v>DB-102</x:v>
      </x:c>
      <x:c r="F671" t="str">
        <x:v>GlowPatch Balm</x:v>
      </x:c>
      <x:c r="G671" t="str">
        <x:v>Consumable repeat</x:v>
      </x:c>
      <x:c r="H671" t="str">
        <x:v>None</x:v>
      </x:c>
      <x:c r="I671" t="str">
        <x:v>Active</x:v>
      </x:c>
      <x:c r="J671" t="str">
        <x:v>Wholesale</x:v>
      </x:c>
      <x:c r="K671" t="str">
        <x:v>Retailer</x:v>
      </x:c>
      <x:c r="L671" t="str">
        <x:v>All Geographies</x:v>
      </x:c>
      <x:c r="M671" s="34" t="n">
        <x:v>1359</x:v>
      </x:c>
      <x:c r="N671" s="28" t="n">
        <x:v>0.023364</x:v>
      </x:c>
      <x:c r="O671" s="34" t="n">
        <x:v>32</x:v>
      </x:c>
      <x:c r="P671" s="34" t="n">
        <x:v>1</x:v>
      </x:c>
      <x:c r="Q671" s="34" t="n">
        <x:v>32</x:v>
      </x:c>
      <x:c r="R671" s="33" t="n">
        <x:v>18</x:v>
      </x:c>
      <x:c r="S671" s="38" t="n">
        <x:v>0.576</x:v>
      </x:c>
      <x:c r="T671" s="38" t="n">
        <x:v>0.20159999999999997</x:v>
      </x:c>
      <x:c r="U671" s="38" t="n">
        <x:v>0.009359999999999999</x:v>
      </x:c>
      <x:c r="V671" s="38" t="n">
        <x:v>0.36504</x:v>
      </x:c>
      <x:c r="W671" s="38" t="n">
        <x:v>0.17312</x:v>
      </x:c>
      <x:c r="X671" s="38" t="n">
        <x:v>0</x:v>
      </x:c>
      <x:c r="Y671" s="38" t="n">
        <x:v>0</x:v>
      </x:c>
      <x:c r="Z671" s="38" t="n">
        <x:v>0.0736</x:v>
      </x:c>
      <x:c r="AA671" s="38" t="n">
        <x:v>0.0272</x:v>
      </x:c>
      <x:c r="AB671" s="38" t="n">
        <x:v>0.000192</x:v>
      </x:c>
      <x:c r="AC671" s="38" t="n">
        <x:v>0.09092799999999998</x:v>
      </x:c>
      <x:c r="AD671" s="28" t="n">
        <x:v>0.24909051062897214</x:v>
      </x:c>
    </x:row>
    <x:row r="672">
      <x:c r="A672" s="32" t="n">
        <x:v>45894</x:v>
      </x:c>
      <x:c r="B672" s="32" t="n">
        <x:v>45870</x:v>
      </x:c>
      <x:c r="C672" t="str">
        <x:v>Aug 2025</x:v>
      </x:c>
      <x:c r="D672" t="str">
        <x:v>Actual</x:v>
      </x:c>
      <x:c r="E672" t="str">
        <x:v>DB-102</x:v>
      </x:c>
      <x:c r="F672" t="str">
        <x:v>GlowPatch Balm</x:v>
      </x:c>
      <x:c r="G672" t="str">
        <x:v>Consumable repeat</x:v>
      </x:c>
      <x:c r="H672" t="str">
        <x:v>None</x:v>
      </x:c>
      <x:c r="I672" t="str">
        <x:v>Active</x:v>
      </x:c>
      <x:c r="J672" t="str">
        <x:v>TikTok Shop</x:v>
      </x:c>
      <x:c r="K672" t="str">
        <x:v>Social Commerce</x:v>
      </x:c>
      <x:c r="L672" t="str">
        <x:v>All Geographies</x:v>
      </x:c>
      <x:c r="M672" s="34" t="n">
        <x:v>906</x:v>
      </x:c>
      <x:c r="N672" s="28" t="n">
        <x:v>0.0535248</x:v>
      </x:c>
      <x:c r="O672" s="34" t="n">
        <x:v>48</x:v>
      </x:c>
      <x:c r="P672" s="34" t="n">
        <x:v>1</x:v>
      </x:c>
      <x:c r="Q672" s="34" t="n">
        <x:v>48</x:v>
      </x:c>
      <x:c r="R672" s="33" t="n">
        <x:v>18</x:v>
      </x:c>
      <x:c r="S672" s="38" t="n">
        <x:v>0.864</x:v>
      </x:c>
      <x:c r="T672" s="38" t="n">
        <x:v>0.10368</x:v>
      </x:c>
      <x:c r="U672" s="38" t="n">
        <x:v>0.019008</x:v>
      </x:c>
      <x:c r="V672" s="38" t="n">
        <x:v>0.741312</x:v>
      </x:c>
      <x:c r="W672" s="38" t="n">
        <x:v>0.25968</x:v>
      </x:c>
      <x:c r="X672" s="38" t="n">
        <x:v>0.021498048</x:v>
      </x:c>
      <x:c r="Y672" s="38" t="n">
        <x:v>0.04447872</x:v>
      </x:c>
      <x:c r="Z672" s="38" t="n">
        <x:v>0.2448</x:v>
      </x:c>
      <x:c r="AA672" s="38" t="n">
        <x:v>0.084</x:v>
      </x:c>
      <x:c r="AB672" s="38" t="n">
        <x:v>0.000288</x:v>
      </x:c>
      <x:c r="AC672" s="38" t="n">
        <x:v>0.086567232</x:v>
      </x:c>
      <x:c r="AD672" s="28" t="n">
        <x:v>0.11677570577570577</x:v>
      </x:c>
    </x:row>
    <x:row r="673">
      <x:c r="A673" s="32" t="n">
        <x:v>45894</x:v>
      </x:c>
      <x:c r="B673" s="32" t="n">
        <x:v>45870</x:v>
      </x:c>
      <x:c r="C673" t="str">
        <x:v>Aug 2025</x:v>
      </x:c>
      <x:c r="D673" t="str">
        <x:v>Actual</x:v>
      </x:c>
      <x:c r="E673" t="str">
        <x:v>DB-103</x:v>
      </x:c>
      <x:c r="F673" t="str">
        <x:v>EmberTrail Camp Mug</x:v>
      </x:c>
      <x:c r="G673" t="str">
        <x:v>One-time purchase</x:v>
      </x:c>
      <x:c r="H673" t="str">
        <x:v>Winter peak</x:v>
      </x:c>
      <x:c r="I673" t="str">
        <x:v>Active</x:v>
      </x:c>
      <x:c r="J673" t="str">
        <x:v>Shopify DTC</x:v>
      </x:c>
      <x:c r="K673" t="str">
        <x:v>Consumer</x:v>
      </x:c>
      <x:c r="L673" t="str">
        <x:v>All Geographies</x:v>
      </x:c>
      <x:c r="M673" s="34" t="n">
        <x:v>3339</x:v>
      </x:c>
      <x:c r="N673" s="28" t="n">
        <x:v>0.0324</x:v>
      </x:c>
      <x:c r="O673" s="34" t="n">
        <x:v>108</x:v>
      </x:c>
      <x:c r="P673" s="34" t="n">
        <x:v>1</x:v>
      </x:c>
      <x:c r="Q673" s="34" t="n">
        <x:v>108</x:v>
      </x:c>
      <x:c r="R673" s="33" t="n">
        <x:v>34</x:v>
      </x:c>
      <x:c r="S673" s="38" t="n">
        <x:v>3.672</x:v>
      </x:c>
      <x:c r="T673" s="38" t="n">
        <x:v>0.29376</x:v>
      </x:c>
      <x:c r="U673" s="38" t="n">
        <x:v>0.1858032</x:v>
      </x:c>
      <x:c r="V673" s="38" t="n">
        <x:v>3.1924368</x:v>
      </x:c>
      <x:c r="W673" s="38" t="n">
        <x:v>1.47636</x:v>
      </x:c>
      <x:c r="X673" s="38" t="n">
        <x:v>0.0925806672</x:v>
      </x:c>
      <x:c r="Y673" s="38" t="n">
        <x:v>0</x:v>
      </x:c>
      <x:c r="Z673" s="38" t="n">
        <x:v>0.44820000000000004</x:v>
      </x:c>
      <x:c r="AA673" s="38" t="n">
        <x:v>0.1782</x:v>
      </x:c>
      <x:c r="AB673" s="38" t="n">
        <x:v>0.006048</x:v>
      </x:c>
      <x:c r="AC673" s="38" t="n">
        <x:v>0.9910481327999997</x:v>
      </x:c>
      <x:c r="AD673" s="28" t="n">
        <x:v>0.3104362575948253</x:v>
      </x:c>
    </x:row>
    <x:row r="674">
      <x:c r="A674" s="32" t="n">
        <x:v>45894</x:v>
      </x:c>
      <x:c r="B674" s="32" t="n">
        <x:v>45870</x:v>
      </x:c>
      <x:c r="C674" t="str">
        <x:v>Aug 2025</x:v>
      </x:c>
      <x:c r="D674" t="str">
        <x:v>Actual</x:v>
      </x:c>
      <x:c r="E674" t="str">
        <x:v>DB-103</x:v>
      </x:c>
      <x:c r="F674" t="str">
        <x:v>EmberTrail Camp Mug</x:v>
      </x:c>
      <x:c r="G674" t="str">
        <x:v>One-time purchase</x:v>
      </x:c>
      <x:c r="H674" t="str">
        <x:v>Winter peak</x:v>
      </x:c>
      <x:c r="I674" t="str">
        <x:v>Active</x:v>
      </x:c>
      <x:c r="J674" t="str">
        <x:v>Amazon Marketplace</x:v>
      </x:c>
      <x:c r="K674" t="str">
        <x:v>Marketplace Consumer</x:v>
      </x:c>
      <x:c r="L674" t="str">
        <x:v>All Geographies</x:v>
      </x:c>
      <x:c r="M674" s="34" t="n">
        <x:v>1669</x:v>
      </x:c>
      <x:c r="N674" s="28" t="n">
        <x:v>0.038231999999999995</x:v>
      </x:c>
      <x:c r="O674" s="34" t="n">
        <x:v>64</x:v>
      </x:c>
      <x:c r="P674" s="34" t="n">
        <x:v>1</x:v>
      </x:c>
      <x:c r="Q674" s="34" t="n">
        <x:v>64</x:v>
      </x:c>
      <x:c r="R674" s="33" t="n">
        <x:v>34</x:v>
      </x:c>
      <x:c r="S674" s="38" t="n">
        <x:v>2.176</x:v>
      </x:c>
      <x:c r="T674" s="38" t="n">
        <x:v>0.10880000000000001</x:v>
      </x:c>
      <x:c r="U674" s="38" t="n">
        <x:v>0.113696</x:v>
      </x:c>
      <x:c r="V674" s="38" t="n">
        <x:v>1.9535040000000001</x:v>
      </x:c>
      <x:c r="W674" s="38" t="n">
        <x:v>0.87488</x:v>
      </x:c>
      <x:c r="X674" s="38" t="n">
        <x:v>0</x:v>
      </x:c>
      <x:c r="Y674" s="38" t="n">
        <x:v>0.2930256</x:v>
      </x:c>
      <x:c r="Z674" s="38" t="n">
        <x:v>0.3328</x:v>
      </x:c>
      <x:c r="AA674" s="38" t="n">
        <x:v>0.1376</x:v>
      </x:c>
      <x:c r="AB674" s="38" t="n">
        <x:v>0.003584</x:v>
      </x:c>
      <x:c r="AC674" s="38" t="n">
        <x:v>0.31161440000000007</x:v>
      </x:c>
      <x:c r="AD674" s="28" t="n">
        <x:v>0.15951561911314235</x:v>
      </x:c>
    </x:row>
    <x:row r="675">
      <x:c r="A675" s="32" t="n">
        <x:v>45894</x:v>
      </x:c>
      <x:c r="B675" s="32" t="n">
        <x:v>45870</x:v>
      </x:c>
      <x:c r="C675" t="str">
        <x:v>Aug 2025</x:v>
      </x:c>
      <x:c r="D675" t="str">
        <x:v>Actual</x:v>
      </x:c>
      <x:c r="E675" t="str">
        <x:v>DB-103</x:v>
      </x:c>
      <x:c r="F675" t="str">
        <x:v>EmberTrail Camp Mug</x:v>
      </x:c>
      <x:c r="G675" t="str">
        <x:v>One-time purchase</x:v>
      </x:c>
      <x:c r="H675" t="str">
        <x:v>Winter peak</x:v>
      </x:c>
      <x:c r="I675" t="str">
        <x:v>Active</x:v>
      </x:c>
      <x:c r="J675" t="str">
        <x:v>Wholesale</x:v>
      </x:c>
      <x:c r="K675" t="str">
        <x:v>Retailer</x:v>
      </x:c>
      <x:c r="L675" t="str">
        <x:v>All Geographies</x:v>
      </x:c>
      <x:c r="M675" s="34" t="n">
        <x:v>1002</x:v>
      </x:c>
      <x:c r="N675" s="28" t="n">
        <x:v>0.017820000000000003</x:v>
      </x:c>
      <x:c r="O675" s="34" t="n">
        <x:v>18</x:v>
      </x:c>
      <x:c r="P675" s="34" t="n">
        <x:v>1</x:v>
      </x:c>
      <x:c r="Q675" s="34" t="n">
        <x:v>18</x:v>
      </x:c>
      <x:c r="R675" s="33" t="n">
        <x:v>34</x:v>
      </x:c>
      <x:c r="S675" s="38" t="n">
        <x:v>0.612</x:v>
      </x:c>
      <x:c r="T675" s="38" t="n">
        <x:v>0.21419999999999997</x:v>
      </x:c>
      <x:c r="U675" s="38" t="n">
        <x:v>0.021879000000000003</x:v>
      </x:c>
      <x:c r="V675" s="38" t="n">
        <x:v>0.37592100000000006</x:v>
      </x:c>
      <x:c r="W675" s="38" t="n">
        <x:v>0.24606</x:v>
      </x:c>
      <x:c r="X675" s="38" t="n">
        <x:v>0</x:v>
      </x:c>
      <x:c r="Y675" s="38" t="n">
        <x:v>0</x:v>
      </x:c>
      <x:c r="Z675" s="38" t="n">
        <x:v>0.0414</x:v>
      </x:c>
      <x:c r="AA675" s="38" t="n">
        <x:v>0.0153</x:v>
      </x:c>
      <x:c r="AB675" s="38" t="n">
        <x:v>0.001008</x:v>
      </x:c>
      <x:c r="AC675" s="38" t="n">
        <x:v>0.07215300000000008</x:v>
      </x:c>
      <x:c r="AD675" s="28" t="n">
        <x:v>0.19193660370130977</x:v>
      </x:c>
    </x:row>
    <x:row r="676">
      <x:c r="A676" s="32" t="n">
        <x:v>45894</x:v>
      </x:c>
      <x:c r="B676" s="32" t="n">
        <x:v>45870</x:v>
      </x:c>
      <x:c r="C676" t="str">
        <x:v>Aug 2025</x:v>
      </x:c>
      <x:c r="D676" t="str">
        <x:v>Actual</x:v>
      </x:c>
      <x:c r="E676" t="str">
        <x:v>DB-103</x:v>
      </x:c>
      <x:c r="F676" t="str">
        <x:v>EmberTrail Camp Mug</x:v>
      </x:c>
      <x:c r="G676" t="str">
        <x:v>One-time purchase</x:v>
      </x:c>
      <x:c r="H676" t="str">
        <x:v>Winter peak</x:v>
      </x:c>
      <x:c r="I676" t="str">
        <x:v>Active</x:v>
      </x:c>
      <x:c r="J676" t="str">
        <x:v>TikTok Shop</x:v>
      </x:c>
      <x:c r="K676" t="str">
        <x:v>Social Commerce</x:v>
      </x:c>
      <x:c r="L676" t="str">
        <x:v>All Geographies</x:v>
      </x:c>
      <x:c r="M676" s="34" t="n">
        <x:v>668</x:v>
      </x:c>
      <x:c r="N676" s="28" t="n">
        <x:v>0.040824</x:v>
      </x:c>
      <x:c r="O676" s="34" t="n">
        <x:v>27</x:v>
      </x:c>
      <x:c r="P676" s="34" t="n">
        <x:v>1</x:v>
      </x:c>
      <x:c r="Q676" s="34" t="n">
        <x:v>27</x:v>
      </x:c>
      <x:c r="R676" s="33" t="n">
        <x:v>34</x:v>
      </x:c>
      <x:c r="S676" s="38" t="n">
        <x:v>0.918</x:v>
      </x:c>
      <x:c r="T676" s="38" t="n">
        <x:v>0.11016</x:v>
      </x:c>
      <x:c r="U676" s="38" t="n">
        <x:v>0.0444312</x:v>
      </x:c>
      <x:c r="V676" s="38" t="n">
        <x:v>0.7634088</x:v>
      </x:c>
      <x:c r="W676" s="38" t="n">
        <x:v>0.36909</x:v>
      </x:c>
      <x:c r="X676" s="38" t="n">
        <x:v>0.0221388552</x:v>
      </x:c>
      <x:c r="Y676" s="38" t="n">
        <x:v>0.045804528</x:v>
      </x:c>
      <x:c r="Z676" s="38" t="n">
        <x:v>0.1377</x:v>
      </x:c>
      <x:c r="AA676" s="38" t="n">
        <x:v>0.04725</x:v>
      </x:c>
      <x:c r="AB676" s="38" t="n">
        <x:v>0.001512</x:v>
      </x:c>
      <x:c r="AC676" s="38" t="n">
        <x:v>0.13991341680000002</x:v>
      </x:c>
      <x:c r="AD676" s="28" t="n">
        <x:v>0.18327456639221348</x:v>
      </x:c>
    </x:row>
    <x:row r="677">
      <x:c r="A677" s="32" t="n">
        <x:v>45894</x:v>
      </x:c>
      <x:c r="B677" s="32" t="n">
        <x:v>45870</x:v>
      </x:c>
      <x:c r="C677" t="str">
        <x:v>Aug 2025</x:v>
      </x:c>
      <x:c r="D677" t="str">
        <x:v>Actual</x:v>
      </x:c>
      <x:c r="E677" t="str">
        <x:v>DB-104</x:v>
      </x:c>
      <x:c r="F677" t="str">
        <x:v>SunNest Cooling Towel</x:v>
      </x:c>
      <x:c r="G677" t="str">
        <x:v>Consumable repeat</x:v>
      </x:c>
      <x:c r="H677" t="str">
        <x:v>Summer peak</x:v>
      </x:c>
      <x:c r="I677" t="str">
        <x:v>Active</x:v>
      </x:c>
      <x:c r="J677" t="str">
        <x:v>Shopify DTC</x:v>
      </x:c>
      <x:c r="K677" t="str">
        <x:v>Consumer</x:v>
      </x:c>
      <x:c r="L677" t="str">
        <x:v>All Geographies</x:v>
      </x:c>
      <x:c r="M677" s="34" t="n">
        <x:v>4326</x:v>
      </x:c>
      <x:c r="N677" s="28" t="n">
        <x:v>0.03312</x:v>
      </x:c>
      <x:c r="O677" s="34" t="n">
        <x:v>143</x:v>
      </x:c>
      <x:c r="P677" s="34" t="n">
        <x:v>1</x:v>
      </x:c>
      <x:c r="Q677" s="34" t="n">
        <x:v>143</x:v>
      </x:c>
      <x:c r="R677" s="33" t="n">
        <x:v>42</x:v>
      </x:c>
      <x:c r="S677" s="38" t="n">
        <x:v>6.006</x:v>
      </x:c>
      <x:c r="T677" s="38" t="n">
        <x:v>0.48048</x:v>
      </x:c>
      <x:c r="U677" s="38" t="n">
        <x:v>0.276276</x:v>
      </x:c>
      <x:c r="V677" s="38" t="n">
        <x:v>5.249244</x:v>
      </x:c>
      <x:c r="W677" s="38" t="n">
        <x:v>2.1521500000000002</x:v>
      </x:c>
      <x:c r="X677" s="38" t="n">
        <x:v>0.15222807600000002</x:v>
      </x:c>
      <x:c r="Y677" s="38" t="n">
        <x:v>0</x:v>
      </x:c>
      <x:c r="Z677" s="38" t="n">
        <x:v>0.59345</x:v>
      </x:c>
      <x:c r="AA677" s="38" t="n">
        <x:v>0.23595</x:v>
      </x:c>
      <x:c r="AB677" s="38" t="n">
        <x:v>0.004004</x:v>
      </x:c>
      <x:c r="AC677" s="38" t="n">
        <x:v>2.1114619239999994</x:v>
      </x:c>
      <x:c r="AD677" s="28" t="n">
        <x:v>0.40224114634412106</x:v>
      </x:c>
    </x:row>
    <x:row r="678">
      <x:c r="A678" s="32" t="n">
        <x:v>45894</x:v>
      </x:c>
      <x:c r="B678" s="32" t="n">
        <x:v>45870</x:v>
      </x:c>
      <x:c r="C678" t="str">
        <x:v>Aug 2025</x:v>
      </x:c>
      <x:c r="D678" t="str">
        <x:v>Actual</x:v>
      </x:c>
      <x:c r="E678" t="str">
        <x:v>DB-104</x:v>
      </x:c>
      <x:c r="F678" t="str">
        <x:v>SunNest Cooling Towel</x:v>
      </x:c>
      <x:c r="G678" t="str">
        <x:v>Consumable repeat</x:v>
      </x:c>
      <x:c r="H678" t="str">
        <x:v>Summer peak</x:v>
      </x:c>
      <x:c r="I678" t="str">
        <x:v>Active</x:v>
      </x:c>
      <x:c r="J678" t="str">
        <x:v>Amazon Marketplace</x:v>
      </x:c>
      <x:c r="K678" t="str">
        <x:v>Marketplace Consumer</x:v>
      </x:c>
      <x:c r="L678" t="str">
        <x:v>All Geographies</x:v>
      </x:c>
      <x:c r="M678" s="34" t="n">
        <x:v>2163</x:v>
      </x:c>
      <x:c r="N678" s="28" t="n">
        <x:v>0.0390816</x:v>
      </x:c>
      <x:c r="O678" s="34" t="n">
        <x:v>85</x:v>
      </x:c>
      <x:c r="P678" s="34" t="n">
        <x:v>1</x:v>
      </x:c>
      <x:c r="Q678" s="34" t="n">
        <x:v>85</x:v>
      </x:c>
      <x:c r="R678" s="33" t="n">
        <x:v>42</x:v>
      </x:c>
      <x:c r="S678" s="38" t="n">
        <x:v>3.57</x:v>
      </x:c>
      <x:c r="T678" s="38" t="n">
        <x:v>0.1785</x:v>
      </x:c>
      <x:c r="U678" s="38" t="n">
        <x:v>0.169575</x:v>
      </x:c>
      <x:c r="V678" s="38" t="n">
        <x:v>3.2219249999999997</x:v>
      </x:c>
      <x:c r="W678" s="38" t="n">
        <x:v>1.27925</x:v>
      </x:c>
      <x:c r="X678" s="38" t="n">
        <x:v>0</x:v>
      </x:c>
      <x:c r="Y678" s="38" t="n">
        <x:v>0.48328874999999993</x:v>
      </x:c>
      <x:c r="Z678" s="38" t="n">
        <x:v>0.442</x:v>
      </x:c>
      <x:c r="AA678" s="38" t="n">
        <x:v>0.18275</x:v>
      </x:c>
      <x:c r="AB678" s="38" t="n">
        <x:v>0.0023799999999999997</x:v>
      </x:c>
      <x:c r="AC678" s="38" t="n">
        <x:v>0.8322562499999997</x:v>
      </x:c>
      <x:c r="AD678" s="28" t="n">
        <x:v>0.25831024930747915</x:v>
      </x:c>
    </x:row>
    <x:row r="679">
      <x:c r="A679" s="32" t="n">
        <x:v>45894</x:v>
      </x:c>
      <x:c r="B679" s="32" t="n">
        <x:v>45870</x:v>
      </x:c>
      <x:c r="C679" t="str">
        <x:v>Aug 2025</x:v>
      </x:c>
      <x:c r="D679" t="str">
        <x:v>Actual</x:v>
      </x:c>
      <x:c r="E679" t="str">
        <x:v>DB-104</x:v>
      </x:c>
      <x:c r="F679" t="str">
        <x:v>SunNest Cooling Towel</x:v>
      </x:c>
      <x:c r="G679" t="str">
        <x:v>Consumable repeat</x:v>
      </x:c>
      <x:c r="H679" t="str">
        <x:v>Summer peak</x:v>
      </x:c>
      <x:c r="I679" t="str">
        <x:v>Active</x:v>
      </x:c>
      <x:c r="J679" t="str">
        <x:v>Wholesale</x:v>
      </x:c>
      <x:c r="K679" t="str">
        <x:v>Retailer</x:v>
      </x:c>
      <x:c r="L679" t="str">
        <x:v>All Geographies</x:v>
      </x:c>
      <x:c r="M679" s="34" t="n">
        <x:v>1298</x:v>
      </x:c>
      <x:c r="N679" s="28" t="n">
        <x:v>0.018216000000000003</x:v>
      </x:c>
      <x:c r="O679" s="34" t="n">
        <x:v>24</x:v>
      </x:c>
      <x:c r="P679" s="34" t="n">
        <x:v>1</x:v>
      </x:c>
      <x:c r="Q679" s="34" t="n">
        <x:v>24</x:v>
      </x:c>
      <x:c r="R679" s="33" t="n">
        <x:v>42</x:v>
      </x:c>
      <x:c r="S679" s="38" t="n">
        <x:v>1.008</x:v>
      </x:c>
      <x:c r="T679" s="38" t="n">
        <x:v>0.3528</x:v>
      </x:c>
      <x:c r="U679" s="38" t="n">
        <x:v>0.032760000000000004</x:v>
      </x:c>
      <x:c r="V679" s="38" t="n">
        <x:v>0.62244</x:v>
      </x:c>
      <x:c r="W679" s="38" t="n">
        <x:v>0.3612</x:v>
      </x:c>
      <x:c r="X679" s="38" t="n">
        <x:v>0</x:v>
      </x:c>
      <x:c r="Y679" s="38" t="n">
        <x:v>0</x:v>
      </x:c>
      <x:c r="Z679" s="38" t="n">
        <x:v>0.0552</x:v>
      </x:c>
      <x:c r="AA679" s="38" t="n">
        <x:v>0.020399999999999998</x:v>
      </x:c>
      <x:c r="AB679" s="38" t="n">
        <x:v>0.000672</x:v>
      </x:c>
      <x:c r="AC679" s="38" t="n">
        <x:v>0.18496799999999997</x:v>
      </x:c>
      <x:c r="AD679" s="28" t="n">
        <x:v>0.29716599190283394</x:v>
      </x:c>
    </x:row>
    <x:row r="680">
      <x:c r="A680" s="32" t="n">
        <x:v>45894</x:v>
      </x:c>
      <x:c r="B680" s="32" t="n">
        <x:v>45870</x:v>
      </x:c>
      <x:c r="C680" t="str">
        <x:v>Aug 2025</x:v>
      </x:c>
      <x:c r="D680" t="str">
        <x:v>Actual</x:v>
      </x:c>
      <x:c r="E680" t="str">
        <x:v>DB-104</x:v>
      </x:c>
      <x:c r="F680" t="str">
        <x:v>SunNest Cooling Towel</x:v>
      </x:c>
      <x:c r="G680" t="str">
        <x:v>Consumable repeat</x:v>
      </x:c>
      <x:c r="H680" t="str">
        <x:v>Summer peak</x:v>
      </x:c>
      <x:c r="I680" t="str">
        <x:v>Active</x:v>
      </x:c>
      <x:c r="J680" t="str">
        <x:v>TikTok Shop</x:v>
      </x:c>
      <x:c r="K680" t="str">
        <x:v>Social Commerce</x:v>
      </x:c>
      <x:c r="L680" t="str">
        <x:v>All Geographies</x:v>
      </x:c>
      <x:c r="M680" s="34" t="n">
        <x:v>865</x:v>
      </x:c>
      <x:c r="N680" s="28" t="n">
        <x:v>0.0417312</x:v>
      </x:c>
      <x:c r="O680" s="34" t="n">
        <x:v>36</x:v>
      </x:c>
      <x:c r="P680" s="34" t="n">
        <x:v>1</x:v>
      </x:c>
      <x:c r="Q680" s="34" t="n">
        <x:v>36</x:v>
      </x:c>
      <x:c r="R680" s="33" t="n">
        <x:v>42</x:v>
      </x:c>
      <x:c r="S680" s="38" t="n">
        <x:v>1.512</x:v>
      </x:c>
      <x:c r="T680" s="38" t="n">
        <x:v>0.18144</x:v>
      </x:c>
      <x:c r="U680" s="38" t="n">
        <x:v>0.066528</x:v>
      </x:c>
      <x:c r="V680" s="38" t="n">
        <x:v>1.264032</x:v>
      </x:c>
      <x:c r="W680" s="38" t="n">
        <x:v>0.5418000000000001</x:v>
      </x:c>
      <x:c r="X680" s="38" t="n">
        <x:v>0.036656928000000005</x:v>
      </x:c>
      <x:c r="Y680" s="38" t="n">
        <x:v>0.07584192</x:v>
      </x:c>
      <x:c r="Z680" s="38" t="n">
        <x:v>0.18359999999999999</x:v>
      </x:c>
      <x:c r="AA680" s="38" t="n">
        <x:v>0.063</x:v>
      </x:c>
      <x:c r="AB680" s="38" t="n">
        <x:v>0.001008</x:v>
      </x:c>
      <x:c r="AC680" s="38" t="n">
        <x:v>0.362125152</x:v>
      </x:c>
      <x:c r="AD680" s="28" t="n">
        <x:v>0.2864841649578492</x:v>
      </x:c>
    </x:row>
    <x:row r="681">
      <x:c r="A681" s="32" t="n">
        <x:v>45894</x:v>
      </x:c>
      <x:c r="B681" s="32" t="n">
        <x:v>45870</x:v>
      </x:c>
      <x:c r="C681" t="str">
        <x:v>Aug 2025</x:v>
      </x:c>
      <x:c r="D681" t="str">
        <x:v>Actual</x:v>
      </x:c>
      <x:c r="E681" t="str">
        <x:v>DB-105</x:v>
      </x:c>
      <x:c r="F681" t="str">
        <x:v>DreamFuel Refill Pack</x:v>
      </x:c>
      <x:c r="G681" t="str">
        <x:v>Subscription</x:v>
      </x:c>
      <x:c r="H681" t="str">
        <x:v>None</x:v>
      </x:c>
      <x:c r="I681" t="str">
        <x:v>Active</x:v>
      </x:c>
      <x:c r="J681" t="str">
        <x:v>Shopify DTC</x:v>
      </x:c>
      <x:c r="K681" t="str">
        <x:v>Consumer</x:v>
      </x:c>
      <x:c r="L681" t="str">
        <x:v>All Geographies</x:v>
      </x:c>
      <x:c r="M681" s="34" t="n">
        <x:v>3882</x:v>
      </x:c>
      <x:c r="N681" s="28" t="n">
        <x:v>0.03888</x:v>
      </x:c>
      <x:c r="O681" s="34" t="n">
        <x:v>151</x:v>
      </x:c>
      <x:c r="P681" s="34" t="n">
        <x:v>1</x:v>
      </x:c>
      <x:c r="Q681" s="34" t="n">
        <x:v>151</x:v>
      </x:c>
      <x:c r="R681" s="33" t="n">
        <x:v>56</x:v>
      </x:c>
      <x:c r="S681" s="38" t="n">
        <x:v>8.456</x:v>
      </x:c>
      <x:c r="T681" s="38" t="n">
        <x:v>0.67648</x:v>
      </x:c>
      <x:c r="U681" s="38" t="n">
        <x:v>0.1555904</x:v>
      </x:c>
      <x:c r="V681" s="38" t="n">
        <x:v>7.623929599999999</x:v>
      </x:c>
      <x:c r="W681" s="38" t="n">
        <x:v>2.8116200000000005</x:v>
      </x:c>
      <x:c r="X681" s="38" t="n">
        <x:v>0.22109395839999998</x:v>
      </x:c>
      <x:c r="Y681" s="38" t="n">
        <x:v>0</x:v>
      </x:c>
      <x:c r="Z681" s="38" t="n">
        <x:v>0.62665</x:v>
      </x:c>
      <x:c r="AA681" s="38" t="n">
        <x:v>0.24914999999999998</x:v>
      </x:c>
      <x:c r="AB681" s="38" t="n">
        <x:v>0.0005436</x:v>
      </x:c>
      <x:c r="AC681" s="38" t="n">
        <x:v>3.714872041599999</x:v>
      </x:c>
      <x:c r="AD681" s="28" t="n">
        <x:v>0.4872647357079477</x:v>
      </x:c>
    </x:row>
    <x:row r="682">
      <x:c r="A682" s="32" t="n">
        <x:v>45894</x:v>
      </x:c>
      <x:c r="B682" s="32" t="n">
        <x:v>45870</x:v>
      </x:c>
      <x:c r="C682" t="str">
        <x:v>Aug 2025</x:v>
      </x:c>
      <x:c r="D682" t="str">
        <x:v>Actual</x:v>
      </x:c>
      <x:c r="E682" t="str">
        <x:v>DB-105</x:v>
      </x:c>
      <x:c r="F682" t="str">
        <x:v>DreamFuel Refill Pack</x:v>
      </x:c>
      <x:c r="G682" t="str">
        <x:v>Subscription</x:v>
      </x:c>
      <x:c r="H682" t="str">
        <x:v>None</x:v>
      </x:c>
      <x:c r="I682" t="str">
        <x:v>Active</x:v>
      </x:c>
      <x:c r="J682" t="str">
        <x:v>Amazon Marketplace</x:v>
      </x:c>
      <x:c r="K682" t="str">
        <x:v>Marketplace Consumer</x:v>
      </x:c>
      <x:c r="L682" t="str">
        <x:v>All Geographies</x:v>
      </x:c>
      <x:c r="M682" s="34" t="n">
        <x:v>1941</x:v>
      </x:c>
      <x:c r="N682" s="28" t="n">
        <x:v>0.0458784</x:v>
      </x:c>
      <x:c r="O682" s="34" t="n">
        <x:v>89</x:v>
      </x:c>
      <x:c r="P682" s="34" t="n">
        <x:v>1</x:v>
      </x:c>
      <x:c r="Q682" s="34" t="n">
        <x:v>89</x:v>
      </x:c>
      <x:c r="R682" s="33" t="n">
        <x:v>56</x:v>
      </x:c>
      <x:c r="S682" s="38" t="n">
        <x:v>4.984</x:v>
      </x:c>
      <x:c r="T682" s="38" t="n">
        <x:v>0.2492</x:v>
      </x:c>
      <x:c r="U682" s="38" t="n">
        <x:v>0.094696</x:v>
      </x:c>
      <x:c r="V682" s="38" t="n">
        <x:v>4.640104</x:v>
      </x:c>
      <x:c r="W682" s="38" t="n">
        <x:v>1.65718</x:v>
      </x:c>
      <x:c r="X682" s="38" t="n">
        <x:v>0</x:v>
      </x:c>
      <x:c r="Y682" s="38" t="n">
        <x:v>0.6960156</x:v>
      </x:c>
      <x:c r="Z682" s="38" t="n">
        <x:v>0.4628</x:v>
      </x:c>
      <x:c r="AA682" s="38" t="n">
        <x:v>0.19135</x:v>
      </x:c>
      <x:c r="AB682" s="38" t="n">
        <x:v>0.00032040000000000004</x:v>
      </x:c>
      <x:c r="AC682" s="38" t="n">
        <x:v>1.6324379999999996</x:v>
      </x:c>
      <x:c r="AD682" s="28" t="n">
        <x:v>0.35181064907165865</x:v>
      </x:c>
    </x:row>
    <x:row r="683">
      <x:c r="A683" s="32" t="n">
        <x:v>45894</x:v>
      </x:c>
      <x:c r="B683" s="32" t="n">
        <x:v>45870</x:v>
      </x:c>
      <x:c r="C683" t="str">
        <x:v>Aug 2025</x:v>
      </x:c>
      <x:c r="D683" t="str">
        <x:v>Actual</x:v>
      </x:c>
      <x:c r="E683" t="str">
        <x:v>DB-105</x:v>
      </x:c>
      <x:c r="F683" t="str">
        <x:v>DreamFuel Refill Pack</x:v>
      </x:c>
      <x:c r="G683" t="str">
        <x:v>Subscription</x:v>
      </x:c>
      <x:c r="H683" t="str">
        <x:v>None</x:v>
      </x:c>
      <x:c r="I683" t="str">
        <x:v>Active</x:v>
      </x:c>
      <x:c r="J683" t="str">
        <x:v>Wholesale</x:v>
      </x:c>
      <x:c r="K683" t="str">
        <x:v>Retailer</x:v>
      </x:c>
      <x:c r="L683" t="str">
        <x:v>All Geographies</x:v>
      </x:c>
      <x:c r="M683" s="34" t="n">
        <x:v>1165</x:v>
      </x:c>
      <x:c r="N683" s="28" t="n">
        <x:v>0.021384000000000004</x:v>
      </x:c>
      <x:c r="O683" s="34" t="n">
        <x:v>25</x:v>
      </x:c>
      <x:c r="P683" s="34" t="n">
        <x:v>1</x:v>
      </x:c>
      <x:c r="Q683" s="34" t="n">
        <x:v>25</x:v>
      </x:c>
      <x:c r="R683" s="33" t="n">
        <x:v>56</x:v>
      </x:c>
      <x:c r="S683" s="38" t="n">
        <x:v>1.4</x:v>
      </x:c>
      <x:c r="T683" s="38" t="n">
        <x:v>0.48999999999999994</x:v>
      </x:c>
      <x:c r="U683" s="38" t="n">
        <x:v>0.018199999999999997</x:v>
      </x:c>
      <x:c r="V683" s="38" t="n">
        <x:v>0.8917999999999999</x:v>
      </x:c>
      <x:c r="W683" s="38" t="n">
        <x:v>0.4655</x:v>
      </x:c>
      <x:c r="X683" s="38" t="n">
        <x:v>0</x:v>
      </x:c>
      <x:c r="Y683" s="38" t="n">
        <x:v>0</x:v>
      </x:c>
      <x:c r="Z683" s="38" t="n">
        <x:v>0.057499999999999996</x:v>
      </x:c>
      <x:c r="AA683" s="38" t="n">
        <x:v>0.02125</x:v>
      </x:c>
      <x:c r="AB683" s="38" t="n">
        <x:v>0.00008999999999999999</x:v>
      </x:c>
      <x:c r="AC683" s="38" t="n">
        <x:v>0.34745999999999994</x:v>
      </x:c>
      <x:c r="AD683" s="28" t="n">
        <x:v>0.38961650594303654</x:v>
      </x:c>
    </x:row>
    <x:row r="684">
      <x:c r="A684" s="32" t="n">
        <x:v>45894</x:v>
      </x:c>
      <x:c r="B684" s="32" t="n">
        <x:v>45870</x:v>
      </x:c>
      <x:c r="C684" t="str">
        <x:v>Aug 2025</x:v>
      </x:c>
      <x:c r="D684" t="str">
        <x:v>Actual</x:v>
      </x:c>
      <x:c r="E684" t="str">
        <x:v>DB-105</x:v>
      </x:c>
      <x:c r="F684" t="str">
        <x:v>DreamFuel Refill Pack</x:v>
      </x:c>
      <x:c r="G684" t="str">
        <x:v>Subscription</x:v>
      </x:c>
      <x:c r="H684" t="str">
        <x:v>None</x:v>
      </x:c>
      <x:c r="I684" t="str">
        <x:v>Active</x:v>
      </x:c>
      <x:c r="J684" t="str">
        <x:v>TikTok Shop</x:v>
      </x:c>
      <x:c r="K684" t="str">
        <x:v>Social Commerce</x:v>
      </x:c>
      <x:c r="L684" t="str">
        <x:v>All Geographies</x:v>
      </x:c>
      <x:c r="M684" s="34" t="n">
        <x:v>776</x:v>
      </x:c>
      <x:c r="N684" s="28" t="n">
        <x:v>0.0489888</x:v>
      </x:c>
      <x:c r="O684" s="34" t="n">
        <x:v>38</x:v>
      </x:c>
      <x:c r="P684" s="34" t="n">
        <x:v>1</x:v>
      </x:c>
      <x:c r="Q684" s="34" t="n">
        <x:v>38</x:v>
      </x:c>
      <x:c r="R684" s="33" t="n">
        <x:v>56</x:v>
      </x:c>
      <x:c r="S684" s="38" t="n">
        <x:v>2.128</x:v>
      </x:c>
      <x:c r="T684" s="38" t="n">
        <x:v>0.25536000000000003</x:v>
      </x:c>
      <x:c r="U684" s="38" t="n">
        <x:v>0.0374528</x:v>
      </x:c>
      <x:c r="V684" s="38" t="n">
        <x:v>1.8351872</x:v>
      </x:c>
      <x:c r="W684" s="38" t="n">
        <x:v>0.7075600000000001</x:v>
      </x:c>
      <x:c r="X684" s="38" t="n">
        <x:v>0.053220428800000004</x:v>
      </x:c>
      <x:c r="Y684" s="38" t="n">
        <x:v>0.110111232</x:v>
      </x:c>
      <x:c r="Z684" s="38" t="n">
        <x:v>0.19379999999999997</x:v>
      </x:c>
      <x:c r="AA684" s="38" t="n">
        <x:v>0.0665</x:v>
      </x:c>
      <x:c r="AB684" s="38" t="n">
        <x:v>0.00013680000000000002</x:v>
      </x:c>
      <x:c r="AC684" s="38" t="n">
        <x:v>0.7038587392000001</x:v>
      </x:c>
      <x:c r="AD684" s="28" t="n">
        <x:v>0.38353511794328127</x:v>
      </x:c>
    </x:row>
    <x:row r="685">
      <x:c r="A685" s="32" t="n">
        <x:v>45901</x:v>
      </x:c>
      <x:c r="B685" s="32" t="n">
        <x:v>45901</x:v>
      </x:c>
      <x:c r="C685" t="str">
        <x:v>Sep 2025</x:v>
      </x:c>
      <x:c r="D685" t="str">
        <x:v>Actual</x:v>
      </x:c>
      <x:c r="E685" t="str">
        <x:v>DB-101</x:v>
      </x:c>
      <x:c r="F685" t="str">
        <x:v>AeroSip Bottle</x:v>
      </x:c>
      <x:c r="G685" t="str">
        <x:v>One-time purchase</x:v>
      </x:c>
      <x:c r="H685" t="str">
        <x:v>None</x:v>
      </x:c>
      <x:c r="I685" t="str">
        <x:v>Active</x:v>
      </x:c>
      <x:c r="J685" t="str">
        <x:v>Shopify DTC</x:v>
      </x:c>
      <x:c r="K685" t="str">
        <x:v>Consumer</x:v>
      </x:c>
      <x:c r="L685" t="str">
        <x:v>All Geographies</x:v>
      </x:c>
      <x:c r="M685" s="34" t="n">
        <x:v>5628</x:v>
      </x:c>
      <x:c r="N685" s="28" t="n">
        <x:v>0.034199999999999994</x:v>
      </x:c>
      <x:c r="O685" s="34" t="n">
        <x:v>192</x:v>
      </x:c>
      <x:c r="P685" s="34" t="n">
        <x:v>1</x:v>
      </x:c>
      <x:c r="Q685" s="34" t="n">
        <x:v>192</x:v>
      </x:c>
      <x:c r="R685" s="33" t="n">
        <x:v>29</x:v>
      </x:c>
      <x:c r="S685" s="38" t="n">
        <x:v>5.568</x:v>
      </x:c>
      <x:c r="T685" s="38" t="n">
        <x:v>0.44544</x:v>
      </x:c>
      <x:c r="U685" s="38" t="n">
        <x:v>0.2305152</x:v>
      </x:c>
      <x:c r="V685" s="38" t="n">
        <x:v>4.8920448</x:v>
      </x:c>
      <x:c r="W685" s="38" t="n">
        <x:v>2.0736000000000003</x:v>
      </x:c>
      <x:c r="X685" s="38" t="n">
        <x:v>0.1418692992</x:v>
      </x:c>
      <x:c r="Y685" s="38" t="n">
        <x:v>0</x:v>
      </x:c>
      <x:c r="Z685" s="38" t="n">
        <x:v>0.7968000000000001</x:v>
      </x:c>
      <x:c r="AA685" s="38" t="n">
        <x:v>0.31679999999999997</x:v>
      </x:c>
      <x:c r="AB685" s="38" t="n">
        <x:v>0.006912000000000001</x:v>
      </x:c>
      <x:c r="AC685" s="38" t="n">
        <x:v>1.5560635007999992</x:v>
      </x:c>
      <x:c r="AD685" s="28" t="n">
        <x:v>0.3180803865083164</x:v>
      </x:c>
    </x:row>
    <x:row r="686">
      <x:c r="A686" s="32" t="n">
        <x:v>45901</x:v>
      </x:c>
      <x:c r="B686" s="32" t="n">
        <x:v>45901</x:v>
      </x:c>
      <x:c r="C686" t="str">
        <x:v>Sep 2025</x:v>
      </x:c>
      <x:c r="D686" t="str">
        <x:v>Actual</x:v>
      </x:c>
      <x:c r="E686" t="str">
        <x:v>DB-101</x:v>
      </x:c>
      <x:c r="F686" t="str">
        <x:v>AeroSip Bottle</x:v>
      </x:c>
      <x:c r="G686" t="str">
        <x:v>One-time purchase</x:v>
      </x:c>
      <x:c r="H686" t="str">
        <x:v>None</x:v>
      </x:c>
      <x:c r="I686" t="str">
        <x:v>Active</x:v>
      </x:c>
      <x:c r="J686" t="str">
        <x:v>Amazon Marketplace</x:v>
      </x:c>
      <x:c r="K686" t="str">
        <x:v>Marketplace Consumer</x:v>
      </x:c>
      <x:c r="L686" t="str">
        <x:v>All Geographies</x:v>
      </x:c>
      <x:c r="M686" s="34" t="n">
        <x:v>2814</x:v>
      </x:c>
      <x:c r="N686" s="28" t="n">
        <x:v>0.040355999999999996</x:v>
      </x:c>
      <x:c r="O686" s="34" t="n">
        <x:v>114</x:v>
      </x:c>
      <x:c r="P686" s="34" t="n">
        <x:v>1</x:v>
      </x:c>
      <x:c r="Q686" s="34" t="n">
        <x:v>114</x:v>
      </x:c>
      <x:c r="R686" s="33" t="n">
        <x:v>29</x:v>
      </x:c>
      <x:c r="S686" s="38" t="n">
        <x:v>3.306</x:v>
      </x:c>
      <x:c r="T686" s="38" t="n">
        <x:v>0.1653</x:v>
      </x:c>
      <x:c r="U686" s="38" t="n">
        <x:v>0.1413315</x:v>
      </x:c>
      <x:c r="V686" s="38" t="n">
        <x:v>2.9993684999999997</x:v>
      </x:c>
      <x:c r="W686" s="38" t="n">
        <x:v>1.2312</x:v>
      </x:c>
      <x:c r="X686" s="38" t="n">
        <x:v>0</x:v>
      </x:c>
      <x:c r="Y686" s="38" t="n">
        <x:v>0.44990527499999994</x:v>
      </x:c>
      <x:c r="Z686" s="38" t="n">
        <x:v>0.5928000000000001</x:v>
      </x:c>
      <x:c r="AA686" s="38" t="n">
        <x:v>0.24509999999999998</x:v>
      </x:c>
      <x:c r="AB686" s="38" t="n">
        <x:v>0.004104</x:v>
      </x:c>
      <x:c r="AC686" s="38" t="n">
        <x:v>0.4762592249999996</x:v>
      </x:c>
      <x:c r="AD686" s="28" t="n">
        <x:v>0.15878649955815688</x:v>
      </x:c>
    </x:row>
    <x:row r="687">
      <x:c r="A687" s="32" t="n">
        <x:v>45901</x:v>
      </x:c>
      <x:c r="B687" s="32" t="n">
        <x:v>45901</x:v>
      </x:c>
      <x:c r="C687" t="str">
        <x:v>Sep 2025</x:v>
      </x:c>
      <x:c r="D687" t="str">
        <x:v>Actual</x:v>
      </x:c>
      <x:c r="E687" t="str">
        <x:v>DB-101</x:v>
      </x:c>
      <x:c r="F687" t="str">
        <x:v>AeroSip Bottle</x:v>
      </x:c>
      <x:c r="G687" t="str">
        <x:v>One-time purchase</x:v>
      </x:c>
      <x:c r="H687" t="str">
        <x:v>None</x:v>
      </x:c>
      <x:c r="I687" t="str">
        <x:v>Active</x:v>
      </x:c>
      <x:c r="J687" t="str">
        <x:v>Wholesale</x:v>
      </x:c>
      <x:c r="K687" t="str">
        <x:v>Retailer</x:v>
      </x:c>
      <x:c r="L687" t="str">
        <x:v>All Geographies</x:v>
      </x:c>
      <x:c r="M687" s="34" t="n">
        <x:v>1688</x:v>
      </x:c>
      <x:c r="N687" s="28" t="n">
        <x:v>0.01881</x:v>
      </x:c>
      <x:c r="O687" s="34" t="n">
        <x:v>32</x:v>
      </x:c>
      <x:c r="P687" s="34" t="n">
        <x:v>1</x:v>
      </x:c>
      <x:c r="Q687" s="34" t="n">
        <x:v>32</x:v>
      </x:c>
      <x:c r="R687" s="33" t="n">
        <x:v>29</x:v>
      </x:c>
      <x:c r="S687" s="38" t="n">
        <x:v>0.928</x:v>
      </x:c>
      <x:c r="T687" s="38" t="n">
        <x:v>0.3248</x:v>
      </x:c>
      <x:c r="U687" s="38" t="n">
        <x:v>0.027144</x:v>
      </x:c>
      <x:c r="V687" s="38" t="n">
        <x:v>0.5760560000000001</x:v>
      </x:c>
      <x:c r="W687" s="38" t="n">
        <x:v>0.3456</x:v>
      </x:c>
      <x:c r="X687" s="38" t="n">
        <x:v>0</x:v>
      </x:c>
      <x:c r="Y687" s="38" t="n">
        <x:v>0</x:v>
      </x:c>
      <x:c r="Z687" s="38" t="n">
        <x:v>0.0736</x:v>
      </x:c>
      <x:c r="AA687" s="38" t="n">
        <x:v>0.0272</x:v>
      </x:c>
      <x:c r="AB687" s="38" t="n">
        <x:v>0.001152</x:v>
      </x:c>
      <x:c r="AC687" s="38" t="n">
        <x:v>0.12850400000000012</x:v>
      </x:c>
      <x:c r="AD687" s="28" t="n">
        <x:v>0.22307553432305208</x:v>
      </x:c>
    </x:row>
    <x:row r="688">
      <x:c r="A688" s="32" t="n">
        <x:v>45901</x:v>
      </x:c>
      <x:c r="B688" s="32" t="n">
        <x:v>45901</x:v>
      </x:c>
      <x:c r="C688" t="str">
        <x:v>Sep 2025</x:v>
      </x:c>
      <x:c r="D688" t="str">
        <x:v>Actual</x:v>
      </x:c>
      <x:c r="E688" t="str">
        <x:v>DB-101</x:v>
      </x:c>
      <x:c r="F688" t="str">
        <x:v>AeroSip Bottle</x:v>
      </x:c>
      <x:c r="G688" t="str">
        <x:v>One-time purchase</x:v>
      </x:c>
      <x:c r="H688" t="str">
        <x:v>None</x:v>
      </x:c>
      <x:c r="I688" t="str">
        <x:v>Active</x:v>
      </x:c>
      <x:c r="J688" t="str">
        <x:v>TikTok Shop</x:v>
      </x:c>
      <x:c r="K688" t="str">
        <x:v>Social Commerce</x:v>
      </x:c>
      <x:c r="L688" t="str">
        <x:v>All Geographies</x:v>
      </x:c>
      <x:c r="M688" s="34" t="n">
        <x:v>1126</x:v>
      </x:c>
      <x:c r="N688" s="28" t="n">
        <x:v>0.043092</x:v>
      </x:c>
      <x:c r="O688" s="34" t="n">
        <x:v>49</x:v>
      </x:c>
      <x:c r="P688" s="34" t="n">
        <x:v>1</x:v>
      </x:c>
      <x:c r="Q688" s="34" t="n">
        <x:v>49</x:v>
      </x:c>
      <x:c r="R688" s="33" t="n">
        <x:v>29</x:v>
      </x:c>
      <x:c r="S688" s="38" t="n">
        <x:v>1.421</x:v>
      </x:c>
      <x:c r="T688" s="38" t="n">
        <x:v>0.17052</x:v>
      </x:c>
      <x:c r="U688" s="38" t="n">
        <x:v>0.0562716</x:v>
      </x:c>
      <x:c r="V688" s="38" t="n">
        <x:v>1.1942084</x:v>
      </x:c>
      <x:c r="W688" s="38" t="n">
        <x:v>0.5292</x:v>
      </x:c>
      <x:c r="X688" s="38" t="n">
        <x:v>0.0346320436</x:v>
      </x:c>
      <x:c r="Y688" s="38" t="n">
        <x:v>0.07165250399999999</x:v>
      </x:c>
      <x:c r="Z688" s="38" t="n">
        <x:v>0.24989999999999998</x:v>
      </x:c>
      <x:c r="AA688" s="38" t="n">
        <x:v>0.08575</x:v>
      </x:c>
      <x:c r="AB688" s="38" t="n">
        <x:v>0.0017639999999999997</x:v>
      </x:c>
      <x:c r="AC688" s="38" t="n">
        <x:v>0.2213098523999999</x:v>
      </x:c>
      <x:c r="AD688" s="28" t="n">
        <x:v>0.18531928966501987</x:v>
      </x:c>
    </x:row>
    <x:row r="689">
      <x:c r="A689" s="32" t="n">
        <x:v>45901</x:v>
      </x:c>
      <x:c r="B689" s="32" t="n">
        <x:v>45901</x:v>
      </x:c>
      <x:c r="C689" t="str">
        <x:v>Sep 2025</x:v>
      </x:c>
      <x:c r="D689" t="str">
        <x:v>Actual</x:v>
      </x:c>
      <x:c r="E689" t="str">
        <x:v>DB-102</x:v>
      </x:c>
      <x:c r="F689" t="str">
        <x:v>GlowPatch Balm</x:v>
      </x:c>
      <x:c r="G689" t="str">
        <x:v>Consumable repeat</x:v>
      </x:c>
      <x:c r="H689" t="str">
        <x:v>None</x:v>
      </x:c>
      <x:c r="I689" t="str">
        <x:v>Active</x:v>
      </x:c>
      <x:c r="J689" t="str">
        <x:v>Shopify DTC</x:v>
      </x:c>
      <x:c r="K689" t="str">
        <x:v>Consumer</x:v>
      </x:c>
      <x:c r="L689" t="str">
        <x:v>All Geographies</x:v>
      </x:c>
      <x:c r="M689" s="34" t="n">
        <x:v>4546</x:v>
      </x:c>
      <x:c r="N689" s="28" t="n">
        <x:v>0.04248</x:v>
      </x:c>
      <x:c r="O689" s="34" t="n">
        <x:v>193</x:v>
      </x:c>
      <x:c r="P689" s="34" t="n">
        <x:v>1</x:v>
      </x:c>
      <x:c r="Q689" s="34" t="n">
        <x:v>193</x:v>
      </x:c>
      <x:c r="R689" s="33" t="n">
        <x:v>18</x:v>
      </x:c>
      <x:c r="S689" s="38" t="n">
        <x:v>3.474</x:v>
      </x:c>
      <x:c r="T689" s="38" t="n">
        <x:v>0.27792</x:v>
      </x:c>
      <x:c r="U689" s="38" t="n">
        <x:v>0.07990200000000001</x:v>
      </x:c>
      <x:c r="V689" s="38" t="n">
        <x:v>3.116178</x:v>
      </x:c>
      <x:c r="W689" s="38" t="n">
        <x:v>1.04413</x:v>
      </x:c>
      <x:c r="X689" s="38" t="n">
        <x:v>0.090369162</x:v>
      </x:c>
      <x:c r="Y689" s="38" t="n">
        <x:v>0</x:v>
      </x:c>
      <x:c r="Z689" s="38" t="n">
        <x:v>0.80095</x:v>
      </x:c>
      <x:c r="AA689" s="38" t="n">
        <x:v>0.31845</x:v>
      </x:c>
      <x:c r="AB689" s="38" t="n">
        <x:v>0.001158</x:v>
      </x:c>
      <x:c r="AC689" s="38" t="n">
        <x:v>0.861120838</x:v>
      </x:c>
      <x:c r="AD689" s="28" t="n">
        <x:v>0.2763387835996532</x:v>
      </x:c>
    </x:row>
    <x:row r="690">
      <x:c r="A690" s="32" t="n">
        <x:v>45901</x:v>
      </x:c>
      <x:c r="B690" s="32" t="n">
        <x:v>45901</x:v>
      </x:c>
      <x:c r="C690" t="str">
        <x:v>Sep 2025</x:v>
      </x:c>
      <x:c r="D690" t="str">
        <x:v>Actual</x:v>
      </x:c>
      <x:c r="E690" t="str">
        <x:v>DB-102</x:v>
      </x:c>
      <x:c r="F690" t="str">
        <x:v>GlowPatch Balm</x:v>
      </x:c>
      <x:c r="G690" t="str">
        <x:v>Consumable repeat</x:v>
      </x:c>
      <x:c r="H690" t="str">
        <x:v>None</x:v>
      </x:c>
      <x:c r="I690" t="str">
        <x:v>Active</x:v>
      </x:c>
      <x:c r="J690" t="str">
        <x:v>Amazon Marketplace</x:v>
      </x:c>
      <x:c r="K690" t="str">
        <x:v>Marketplace Consumer</x:v>
      </x:c>
      <x:c r="L690" t="str">
        <x:v>All Geographies</x:v>
      </x:c>
      <x:c r="M690" s="34" t="n">
        <x:v>2273</x:v>
      </x:c>
      <x:c r="N690" s="28" t="n">
        <x:v>0.050126399999999995</x:v>
      </x:c>
      <x:c r="O690" s="34" t="n">
        <x:v>114</x:v>
      </x:c>
      <x:c r="P690" s="34" t="n">
        <x:v>1</x:v>
      </x:c>
      <x:c r="Q690" s="34" t="n">
        <x:v>114</x:v>
      </x:c>
      <x:c r="R690" s="33" t="n">
        <x:v>18</x:v>
      </x:c>
      <x:c r="S690" s="38" t="n">
        <x:v>2.052</x:v>
      </x:c>
      <x:c r="T690" s="38" t="n">
        <x:v>0.10260000000000001</x:v>
      </x:c>
      <x:c r="U690" s="38" t="n">
        <x:v>0.048735</x:v>
      </x:c>
      <x:c r="V690" s="38" t="n">
        <x:v>1.900665</x:v>
      </x:c>
      <x:c r="W690" s="38" t="n">
        <x:v>0.61674</x:v>
      </x:c>
      <x:c r="X690" s="38" t="n">
        <x:v>0</x:v>
      </x:c>
      <x:c r="Y690" s="38" t="n">
        <x:v>0.28509975</x:v>
      </x:c>
      <x:c r="Z690" s="38" t="n">
        <x:v>0.5928000000000001</x:v>
      </x:c>
      <x:c r="AA690" s="38" t="n">
        <x:v>0.24509999999999998</x:v>
      </x:c>
      <x:c r="AB690" s="38" t="n">
        <x:v>0.000684</x:v>
      </x:c>
      <x:c r="AC690" s="38" t="n">
        <x:v>0.16024124999999992</x:v>
      </x:c>
      <x:c r="AD690" s="28" t="n">
        <x:v>0.084307992202729</x:v>
      </x:c>
    </x:row>
    <x:row r="691">
      <x:c r="A691" s="32" t="n">
        <x:v>45901</x:v>
      </x:c>
      <x:c r="B691" s="32" t="n">
        <x:v>45901</x:v>
      </x:c>
      <x:c r="C691" t="str">
        <x:v>Sep 2025</x:v>
      </x:c>
      <x:c r="D691" t="str">
        <x:v>Actual</x:v>
      </x:c>
      <x:c r="E691" t="str">
        <x:v>DB-102</x:v>
      </x:c>
      <x:c r="F691" t="str">
        <x:v>GlowPatch Balm</x:v>
      </x:c>
      <x:c r="G691" t="str">
        <x:v>Consumable repeat</x:v>
      </x:c>
      <x:c r="H691" t="str">
        <x:v>None</x:v>
      </x:c>
      <x:c r="I691" t="str">
        <x:v>Active</x:v>
      </x:c>
      <x:c r="J691" t="str">
        <x:v>Wholesale</x:v>
      </x:c>
      <x:c r="K691" t="str">
        <x:v>Retailer</x:v>
      </x:c>
      <x:c r="L691" t="str">
        <x:v>All Geographies</x:v>
      </x:c>
      <x:c r="M691" s="34" t="n">
        <x:v>1364</x:v>
      </x:c>
      <x:c r="N691" s="28" t="n">
        <x:v>0.023364</x:v>
      </x:c>
      <x:c r="O691" s="34" t="n">
        <x:v>32</x:v>
      </x:c>
      <x:c r="P691" s="34" t="n">
        <x:v>1</x:v>
      </x:c>
      <x:c r="Q691" s="34" t="n">
        <x:v>32</x:v>
      </x:c>
      <x:c r="R691" s="33" t="n">
        <x:v>18</x:v>
      </x:c>
      <x:c r="S691" s="38" t="n">
        <x:v>0.576</x:v>
      </x:c>
      <x:c r="T691" s="38" t="n">
        <x:v>0.20159999999999997</x:v>
      </x:c>
      <x:c r="U691" s="38" t="n">
        <x:v>0.009359999999999999</x:v>
      </x:c>
      <x:c r="V691" s="38" t="n">
        <x:v>0.36504</x:v>
      </x:c>
      <x:c r="W691" s="38" t="n">
        <x:v>0.17312</x:v>
      </x:c>
      <x:c r="X691" s="38" t="n">
        <x:v>0</x:v>
      </x:c>
      <x:c r="Y691" s="38" t="n">
        <x:v>0</x:v>
      </x:c>
      <x:c r="Z691" s="38" t="n">
        <x:v>0.0736</x:v>
      </x:c>
      <x:c r="AA691" s="38" t="n">
        <x:v>0.0272</x:v>
      </x:c>
      <x:c r="AB691" s="38" t="n">
        <x:v>0.000192</x:v>
      </x:c>
      <x:c r="AC691" s="38" t="n">
        <x:v>0.09092799999999998</x:v>
      </x:c>
      <x:c r="AD691" s="28" t="n">
        <x:v>0.24909051062897214</x:v>
      </x:c>
    </x:row>
    <x:row r="692">
      <x:c r="A692" s="32" t="n">
        <x:v>45901</x:v>
      </x:c>
      <x:c r="B692" s="32" t="n">
        <x:v>45901</x:v>
      </x:c>
      <x:c r="C692" t="str">
        <x:v>Sep 2025</x:v>
      </x:c>
      <x:c r="D692" t="str">
        <x:v>Actual</x:v>
      </x:c>
      <x:c r="E692" t="str">
        <x:v>DB-102</x:v>
      </x:c>
      <x:c r="F692" t="str">
        <x:v>GlowPatch Balm</x:v>
      </x:c>
      <x:c r="G692" t="str">
        <x:v>Consumable repeat</x:v>
      </x:c>
      <x:c r="H692" t="str">
        <x:v>None</x:v>
      </x:c>
      <x:c r="I692" t="str">
        <x:v>Active</x:v>
      </x:c>
      <x:c r="J692" t="str">
        <x:v>TikTok Shop</x:v>
      </x:c>
      <x:c r="K692" t="str">
        <x:v>Social Commerce</x:v>
      </x:c>
      <x:c r="L692" t="str">
        <x:v>All Geographies</x:v>
      </x:c>
      <x:c r="M692" s="34" t="n">
        <x:v>909</x:v>
      </x:c>
      <x:c r="N692" s="28" t="n">
        <x:v>0.0535248</x:v>
      </x:c>
      <x:c r="O692" s="34" t="n">
        <x:v>49</x:v>
      </x:c>
      <x:c r="P692" s="34" t="n">
        <x:v>1</x:v>
      </x:c>
      <x:c r="Q692" s="34" t="n">
        <x:v>49</x:v>
      </x:c>
      <x:c r="R692" s="33" t="n">
        <x:v>18</x:v>
      </x:c>
      <x:c r="S692" s="38" t="n">
        <x:v>0.882</x:v>
      </x:c>
      <x:c r="T692" s="38" t="n">
        <x:v>0.10584</x:v>
      </x:c>
      <x:c r="U692" s="38" t="n">
        <x:v>0.019404</x:v>
      </x:c>
      <x:c r="V692" s="38" t="n">
        <x:v>0.756756</x:v>
      </x:c>
      <x:c r="W692" s="38" t="n">
        <x:v>0.26509000000000005</x:v>
      </x:c>
      <x:c r="X692" s="38" t="n">
        <x:v>0.021945924000000002</x:v>
      </x:c>
      <x:c r="Y692" s="38" t="n">
        <x:v>0.04540536</x:v>
      </x:c>
      <x:c r="Z692" s="38" t="n">
        <x:v>0.24989999999999998</x:v>
      </x:c>
      <x:c r="AA692" s="38" t="n">
        <x:v>0.08575</x:v>
      </x:c>
      <x:c r="AB692" s="38" t="n">
        <x:v>0.00029400000000000004</x:v>
      </x:c>
      <x:c r="AC692" s="38" t="n">
        <x:v>0.08837071599999993</x:v>
      </x:c>
      <x:c r="AD692" s="28" t="n">
        <x:v>0.11677570577570569</x:v>
      </x:c>
    </x:row>
    <x:row r="693">
      <x:c r="A693" s="32" t="n">
        <x:v>45901</x:v>
      </x:c>
      <x:c r="B693" s="32" t="n">
        <x:v>45901</x:v>
      </x:c>
      <x:c r="C693" t="str">
        <x:v>Sep 2025</x:v>
      </x:c>
      <x:c r="D693" t="str">
        <x:v>Actual</x:v>
      </x:c>
      <x:c r="E693" t="str">
        <x:v>DB-103</x:v>
      </x:c>
      <x:c r="F693" t="str">
        <x:v>EmberTrail Camp Mug</x:v>
      </x:c>
      <x:c r="G693" t="str">
        <x:v>One-time purchase</x:v>
      </x:c>
      <x:c r="H693" t="str">
        <x:v>Winter peak</x:v>
      </x:c>
      <x:c r="I693" t="str">
        <x:v>Active</x:v>
      </x:c>
      <x:c r="J693" t="str">
        <x:v>Shopify DTC</x:v>
      </x:c>
      <x:c r="K693" t="str">
        <x:v>Consumer</x:v>
      </x:c>
      <x:c r="L693" t="str">
        <x:v>All Geographies</x:v>
      </x:c>
      <x:c r="M693" s="34" t="n">
        <x:v>3818</x:v>
      </x:c>
      <x:c r="N693" s="28" t="n">
        <x:v>0.0324</x:v>
      </x:c>
      <x:c r="O693" s="34" t="n">
        <x:v>124</x:v>
      </x:c>
      <x:c r="P693" s="34" t="n">
        <x:v>1</x:v>
      </x:c>
      <x:c r="Q693" s="34" t="n">
        <x:v>124</x:v>
      </x:c>
      <x:c r="R693" s="33" t="n">
        <x:v>34</x:v>
      </x:c>
      <x:c r="S693" s="38" t="n">
        <x:v>4.216</x:v>
      </x:c>
      <x:c r="T693" s="38" t="n">
        <x:v>0.33728</x:v>
      </x:c>
      <x:c r="U693" s="38" t="n">
        <x:v>0.21332960000000004</x:v>
      </x:c>
      <x:c r="V693" s="38" t="n">
        <x:v>3.6653904</x:v>
      </x:c>
      <x:c r="W693" s="38" t="n">
        <x:v>1.69508</x:v>
      </x:c>
      <x:c r="X693" s="38" t="n">
        <x:v>0.10629632160000001</x:v>
      </x:c>
      <x:c r="Y693" s="38" t="n">
        <x:v>0</x:v>
      </x:c>
      <x:c r="Z693" s="38" t="n">
        <x:v>0.5146000000000001</x:v>
      </x:c>
      <x:c r="AA693" s="38" t="n">
        <x:v>0.2046</x:v>
      </x:c>
      <x:c r="AB693" s="38" t="n">
        <x:v>0.006944</x:v>
      </x:c>
      <x:c r="AC693" s="38" t="n">
        <x:v>1.1378700784</x:v>
      </x:c>
      <x:c r="AD693" s="28" t="n">
        <x:v>0.31043625759482535</x:v>
      </x:c>
    </x:row>
    <x:row r="694">
      <x:c r="A694" s="32" t="n">
        <x:v>45901</x:v>
      </x:c>
      <x:c r="B694" s="32" t="n">
        <x:v>45901</x:v>
      </x:c>
      <x:c r="C694" t="str">
        <x:v>Sep 2025</x:v>
      </x:c>
      <x:c r="D694" t="str">
        <x:v>Actual</x:v>
      </x:c>
      <x:c r="E694" t="str">
        <x:v>DB-103</x:v>
      </x:c>
      <x:c r="F694" t="str">
        <x:v>EmberTrail Camp Mug</x:v>
      </x:c>
      <x:c r="G694" t="str">
        <x:v>One-time purchase</x:v>
      </x:c>
      <x:c r="H694" t="str">
        <x:v>Winter peak</x:v>
      </x:c>
      <x:c r="I694" t="str">
        <x:v>Active</x:v>
      </x:c>
      <x:c r="J694" t="str">
        <x:v>Amazon Marketplace</x:v>
      </x:c>
      <x:c r="K694" t="str">
        <x:v>Marketplace Consumer</x:v>
      </x:c>
      <x:c r="L694" t="str">
        <x:v>All Geographies</x:v>
      </x:c>
      <x:c r="M694" s="34" t="n">
        <x:v>1909</x:v>
      </x:c>
      <x:c r="N694" s="28" t="n">
        <x:v>0.038231999999999995</x:v>
      </x:c>
      <x:c r="O694" s="34" t="n">
        <x:v>73</x:v>
      </x:c>
      <x:c r="P694" s="34" t="n">
        <x:v>1</x:v>
      </x:c>
      <x:c r="Q694" s="34" t="n">
        <x:v>73</x:v>
      </x:c>
      <x:c r="R694" s="33" t="n">
        <x:v>34</x:v>
      </x:c>
      <x:c r="S694" s="38" t="n">
        <x:v>2.482</x:v>
      </x:c>
      <x:c r="T694" s="38" t="n">
        <x:v>0.12410000000000002</x:v>
      </x:c>
      <x:c r="U694" s="38" t="n">
        <x:v>0.1296845</x:v>
      </x:c>
      <x:c r="V694" s="38" t="n">
        <x:v>2.2282155</x:v>
      </x:c>
      <x:c r="W694" s="38" t="n">
        <x:v>0.99791</x:v>
      </x:c>
      <x:c r="X694" s="38" t="n">
        <x:v>0</x:v>
      </x:c>
      <x:c r="Y694" s="38" t="n">
        <x:v>0.334232325</x:v>
      </x:c>
      <x:c r="Z694" s="38" t="n">
        <x:v>0.37960000000000005</x:v>
      </x:c>
      <x:c r="AA694" s="38" t="n">
        <x:v>0.15694999999999998</x:v>
      </x:c>
      <x:c r="AB694" s="38" t="n">
        <x:v>0.0040880000000000005</x:v>
      </x:c>
      <x:c r="AC694" s="38" t="n">
        <x:v>0.35543517500000005</x:v>
      </x:c>
      <x:c r="AD694" s="28" t="n">
        <x:v>0.15951561911314235</x:v>
      </x:c>
    </x:row>
    <x:row r="695">
      <x:c r="A695" s="32" t="n">
        <x:v>45901</x:v>
      </x:c>
      <x:c r="B695" s="32" t="n">
        <x:v>45901</x:v>
      </x:c>
      <x:c r="C695" t="str">
        <x:v>Sep 2025</x:v>
      </x:c>
      <x:c r="D695" t="str">
        <x:v>Actual</x:v>
      </x:c>
      <x:c r="E695" t="str">
        <x:v>DB-103</x:v>
      </x:c>
      <x:c r="F695" t="str">
        <x:v>EmberTrail Camp Mug</x:v>
      </x:c>
      <x:c r="G695" t="str">
        <x:v>One-time purchase</x:v>
      </x:c>
      <x:c r="H695" t="str">
        <x:v>Winter peak</x:v>
      </x:c>
      <x:c r="I695" t="str">
        <x:v>Active</x:v>
      </x:c>
      <x:c r="J695" t="str">
        <x:v>Wholesale</x:v>
      </x:c>
      <x:c r="K695" t="str">
        <x:v>Retailer</x:v>
      </x:c>
      <x:c r="L695" t="str">
        <x:v>All Geographies</x:v>
      </x:c>
      <x:c r="M695" s="34" t="n">
        <x:v>1146</x:v>
      </x:c>
      <x:c r="N695" s="28" t="n">
        <x:v>0.017820000000000003</x:v>
      </x:c>
      <x:c r="O695" s="34" t="n">
        <x:v>20</x:v>
      </x:c>
      <x:c r="P695" s="34" t="n">
        <x:v>1</x:v>
      </x:c>
      <x:c r="Q695" s="34" t="n">
        <x:v>20</x:v>
      </x:c>
      <x:c r="R695" s="33" t="n">
        <x:v>34</x:v>
      </x:c>
      <x:c r="S695" s="38" t="n">
        <x:v>0.68</x:v>
      </x:c>
      <x:c r="T695" s="38" t="n">
        <x:v>0.238</x:v>
      </x:c>
      <x:c r="U695" s="38" t="n">
        <x:v>0.024310000000000002</x:v>
      </x:c>
      <x:c r="V695" s="38" t="n">
        <x:v>0.41769000000000006</x:v>
      </x:c>
      <x:c r="W695" s="38" t="n">
        <x:v>0.2734</x:v>
      </x:c>
      <x:c r="X695" s="38" t="n">
        <x:v>0</x:v>
      </x:c>
      <x:c r="Y695" s="38" t="n">
        <x:v>0</x:v>
      </x:c>
      <x:c r="Z695" s="38" t="n">
        <x:v>0.046</x:v>
      </x:c>
      <x:c r="AA695" s="38" t="n">
        <x:v>0.017</x:v>
      </x:c>
      <x:c r="AB695" s="38" t="n">
        <x:v>0.0011200000000000001</x:v>
      </x:c>
      <x:c r="AC695" s="38" t="n">
        <x:v>0.08017000000000009</x:v>
      </x:c>
      <x:c r="AD695" s="28" t="n">
        <x:v>0.19193660370130977</x:v>
      </x:c>
    </x:row>
    <x:row r="696">
      <x:c r="A696" s="32" t="n">
        <x:v>45901</x:v>
      </x:c>
      <x:c r="B696" s="32" t="n">
        <x:v>45901</x:v>
      </x:c>
      <x:c r="C696" t="str">
        <x:v>Sep 2025</x:v>
      </x:c>
      <x:c r="D696" t="str">
        <x:v>Actual</x:v>
      </x:c>
      <x:c r="E696" t="str">
        <x:v>DB-103</x:v>
      </x:c>
      <x:c r="F696" t="str">
        <x:v>EmberTrail Camp Mug</x:v>
      </x:c>
      <x:c r="G696" t="str">
        <x:v>One-time purchase</x:v>
      </x:c>
      <x:c r="H696" t="str">
        <x:v>Winter peak</x:v>
      </x:c>
      <x:c r="I696" t="str">
        <x:v>Active</x:v>
      </x:c>
      <x:c r="J696" t="str">
        <x:v>TikTok Shop</x:v>
      </x:c>
      <x:c r="K696" t="str">
        <x:v>Social Commerce</x:v>
      </x:c>
      <x:c r="L696" t="str">
        <x:v>All Geographies</x:v>
      </x:c>
      <x:c r="M696" s="34" t="n">
        <x:v>764</x:v>
      </x:c>
      <x:c r="N696" s="28" t="n">
        <x:v>0.040824</x:v>
      </x:c>
      <x:c r="O696" s="34" t="n">
        <x:v>31</x:v>
      </x:c>
      <x:c r="P696" s="34" t="n">
        <x:v>1</x:v>
      </x:c>
      <x:c r="Q696" s="34" t="n">
        <x:v>31</x:v>
      </x:c>
      <x:c r="R696" s="33" t="n">
        <x:v>34</x:v>
      </x:c>
      <x:c r="S696" s="38" t="n">
        <x:v>1.054</x:v>
      </x:c>
      <x:c r="T696" s="38" t="n">
        <x:v>0.12648</x:v>
      </x:c>
      <x:c r="U696" s="38" t="n">
        <x:v>0.0510136</x:v>
      </x:c>
      <x:c r="V696" s="38" t="n">
        <x:v>0.8765064</x:v>
      </x:c>
      <x:c r="W696" s="38" t="n">
        <x:v>0.42377</x:v>
      </x:c>
      <x:c r="X696" s="38" t="n">
        <x:v>0.0254186856</x:v>
      </x:c>
      <x:c r="Y696" s="38" t="n">
        <x:v>0.052590384</x:v>
      </x:c>
      <x:c r="Z696" s="38" t="n">
        <x:v>0.1581</x:v>
      </x:c>
      <x:c r="AA696" s="38" t="n">
        <x:v>0.05425</x:v>
      </x:c>
      <x:c r="AB696" s="38" t="n">
        <x:v>0.001736</x:v>
      </x:c>
      <x:c r="AC696" s="38" t="n">
        <x:v>0.1606413304000001</x:v>
      </x:c>
      <x:c r="AD696" s="28" t="n">
        <x:v>0.18327456639221354</x:v>
      </x:c>
    </x:row>
    <x:row r="697">
      <x:c r="A697" s="32" t="n">
        <x:v>45901</x:v>
      </x:c>
      <x:c r="B697" s="32" t="n">
        <x:v>45901</x:v>
      </x:c>
      <x:c r="C697" t="str">
        <x:v>Sep 2025</x:v>
      </x:c>
      <x:c r="D697" t="str">
        <x:v>Actual</x:v>
      </x:c>
      <x:c r="E697" t="str">
        <x:v>DB-104</x:v>
      </x:c>
      <x:c r="F697" t="str">
        <x:v>SunNest Cooling Towel</x:v>
      </x:c>
      <x:c r="G697" t="str">
        <x:v>Consumable repeat</x:v>
      </x:c>
      <x:c r="H697" t="str">
        <x:v>Summer peak</x:v>
      </x:c>
      <x:c r="I697" t="str">
        <x:v>Active</x:v>
      </x:c>
      <x:c r="J697" t="str">
        <x:v>Shopify DTC</x:v>
      </x:c>
      <x:c r="K697" t="str">
        <x:v>Consumer</x:v>
      </x:c>
      <x:c r="L697" t="str">
        <x:v>All Geographies</x:v>
      </x:c>
      <x:c r="M697" s="34" t="n">
        <x:v>3606</x:v>
      </x:c>
      <x:c r="N697" s="28" t="n">
        <x:v>0.03312</x:v>
      </x:c>
      <x:c r="O697" s="34" t="n">
        <x:v>119</x:v>
      </x:c>
      <x:c r="P697" s="34" t="n">
        <x:v>1</x:v>
      </x:c>
      <x:c r="Q697" s="34" t="n">
        <x:v>119</x:v>
      </x:c>
      <x:c r="R697" s="33" t="n">
        <x:v>42</x:v>
      </x:c>
      <x:c r="S697" s="38" t="n">
        <x:v>4.998</x:v>
      </x:c>
      <x:c r="T697" s="38" t="n">
        <x:v>0.39984000000000003</x:v>
      </x:c>
      <x:c r="U697" s="38" t="n">
        <x:v>0.229908</x:v>
      </x:c>
      <x:c r="V697" s="38" t="n">
        <x:v>4.368252</x:v>
      </x:c>
      <x:c r="W697" s="38" t="n">
        <x:v>1.79095</x:v>
      </x:c>
      <x:c r="X697" s="38" t="n">
        <x:v>0.12667930800000002</x:v>
      </x:c>
      <x:c r="Y697" s="38" t="n">
        <x:v>0</x:v>
      </x:c>
      <x:c r="Z697" s="38" t="n">
        <x:v>0.49385</x:v>
      </x:c>
      <x:c r="AA697" s="38" t="n">
        <x:v>0.19635</x:v>
      </x:c>
      <x:c r="AB697" s="38" t="n">
        <x:v>0.003332</x:v>
      </x:c>
      <x:c r="AC697" s="38" t="n">
        <x:v>1.757090692</x:v>
      </x:c>
      <x:c r="AD697" s="28" t="n">
        <x:v>0.40224114634412117</x:v>
      </x:c>
    </x:row>
    <x:row r="698">
      <x:c r="A698" s="32" t="n">
        <x:v>45901</x:v>
      </x:c>
      <x:c r="B698" s="32" t="n">
        <x:v>45901</x:v>
      </x:c>
      <x:c r="C698" t="str">
        <x:v>Sep 2025</x:v>
      </x:c>
      <x:c r="D698" t="str">
        <x:v>Actual</x:v>
      </x:c>
      <x:c r="E698" t="str">
        <x:v>DB-104</x:v>
      </x:c>
      <x:c r="F698" t="str">
        <x:v>SunNest Cooling Towel</x:v>
      </x:c>
      <x:c r="G698" t="str">
        <x:v>Consumable repeat</x:v>
      </x:c>
      <x:c r="H698" t="str">
        <x:v>Summer peak</x:v>
      </x:c>
      <x:c r="I698" t="str">
        <x:v>Active</x:v>
      </x:c>
      <x:c r="J698" t="str">
        <x:v>Amazon Marketplace</x:v>
      </x:c>
      <x:c r="K698" t="str">
        <x:v>Marketplace Consumer</x:v>
      </x:c>
      <x:c r="L698" t="str">
        <x:v>All Geographies</x:v>
      </x:c>
      <x:c r="M698" s="34" t="n">
        <x:v>1803</x:v>
      </x:c>
      <x:c r="N698" s="28" t="n">
        <x:v>0.0390816</x:v>
      </x:c>
      <x:c r="O698" s="34" t="n">
        <x:v>70</x:v>
      </x:c>
      <x:c r="P698" s="34" t="n">
        <x:v>1</x:v>
      </x:c>
      <x:c r="Q698" s="34" t="n">
        <x:v>70</x:v>
      </x:c>
      <x:c r="R698" s="33" t="n">
        <x:v>42</x:v>
      </x:c>
      <x:c r="S698" s="38" t="n">
        <x:v>2.94</x:v>
      </x:c>
      <x:c r="T698" s="38" t="n">
        <x:v>0.147</x:v>
      </x:c>
      <x:c r="U698" s="38" t="n">
        <x:v>0.13965000000000002</x:v>
      </x:c>
      <x:c r="V698" s="38" t="n">
        <x:v>2.65335</x:v>
      </x:c>
      <x:c r="W698" s="38" t="n">
        <x:v>1.0535</x:v>
      </x:c>
      <x:c r="X698" s="38" t="n">
        <x:v>0</x:v>
      </x:c>
      <x:c r="Y698" s="38" t="n">
        <x:v>0.3980025</x:v>
      </x:c>
      <x:c r="Z698" s="38" t="n">
        <x:v>0.364</x:v>
      </x:c>
      <x:c r="AA698" s="38" t="n">
        <x:v>0.1505</x:v>
      </x:c>
      <x:c r="AB698" s="38" t="n">
        <x:v>0.00196</x:v>
      </x:c>
      <x:c r="AC698" s="38" t="n">
        <x:v>0.6853875</x:v>
      </x:c>
      <x:c r="AD698" s="28" t="n">
        <x:v>0.25831024930747926</x:v>
      </x:c>
    </x:row>
    <x:row r="699">
      <x:c r="A699" s="32" t="n">
        <x:v>45901</x:v>
      </x:c>
      <x:c r="B699" s="32" t="n">
        <x:v>45901</x:v>
      </x:c>
      <x:c r="C699" t="str">
        <x:v>Sep 2025</x:v>
      </x:c>
      <x:c r="D699" t="str">
        <x:v>Actual</x:v>
      </x:c>
      <x:c r="E699" t="str">
        <x:v>DB-104</x:v>
      </x:c>
      <x:c r="F699" t="str">
        <x:v>SunNest Cooling Towel</x:v>
      </x:c>
      <x:c r="G699" t="str">
        <x:v>Consumable repeat</x:v>
      </x:c>
      <x:c r="H699" t="str">
        <x:v>Summer peak</x:v>
      </x:c>
      <x:c r="I699" t="str">
        <x:v>Active</x:v>
      </x:c>
      <x:c r="J699" t="str">
        <x:v>Wholesale</x:v>
      </x:c>
      <x:c r="K699" t="str">
        <x:v>Retailer</x:v>
      </x:c>
      <x:c r="L699" t="str">
        <x:v>All Geographies</x:v>
      </x:c>
      <x:c r="M699" s="34" t="n">
        <x:v>1082</x:v>
      </x:c>
      <x:c r="N699" s="28" t="n">
        <x:v>0.018216000000000003</x:v>
      </x:c>
      <x:c r="O699" s="34" t="n">
        <x:v>20</x:v>
      </x:c>
      <x:c r="P699" s="34" t="n">
        <x:v>1</x:v>
      </x:c>
      <x:c r="Q699" s="34" t="n">
        <x:v>20</x:v>
      </x:c>
      <x:c r="R699" s="33" t="n">
        <x:v>42</x:v>
      </x:c>
      <x:c r="S699" s="38" t="n">
        <x:v>0.84</x:v>
      </x:c>
      <x:c r="T699" s="38" t="n">
        <x:v>0.294</x:v>
      </x:c>
      <x:c r="U699" s="38" t="n">
        <x:v>0.027300000000000005</x:v>
      </x:c>
      <x:c r="V699" s="38" t="n">
        <x:v>0.5187</x:v>
      </x:c>
      <x:c r="W699" s="38" t="n">
        <x:v>0.301</x:v>
      </x:c>
      <x:c r="X699" s="38" t="n">
        <x:v>0</x:v>
      </x:c>
      <x:c r="Y699" s="38" t="n">
        <x:v>0</x:v>
      </x:c>
      <x:c r="Z699" s="38" t="n">
        <x:v>0.046</x:v>
      </x:c>
      <x:c r="AA699" s="38" t="n">
        <x:v>0.017</x:v>
      </x:c>
      <x:c r="AB699" s="38" t="n">
        <x:v>0.00056</x:v>
      </x:c>
      <x:c r="AC699" s="38" t="n">
        <x:v>0.15414000000000005</x:v>
      </x:c>
      <x:c r="AD699" s="28" t="n">
        <x:v>0.2971659919028341</x:v>
      </x:c>
    </x:row>
    <x:row r="700">
      <x:c r="A700" s="32" t="n">
        <x:v>45901</x:v>
      </x:c>
      <x:c r="B700" s="32" t="n">
        <x:v>45901</x:v>
      </x:c>
      <x:c r="C700" t="str">
        <x:v>Sep 2025</x:v>
      </x:c>
      <x:c r="D700" t="str">
        <x:v>Actual</x:v>
      </x:c>
      <x:c r="E700" t="str">
        <x:v>DB-104</x:v>
      </x:c>
      <x:c r="F700" t="str">
        <x:v>SunNest Cooling Towel</x:v>
      </x:c>
      <x:c r="G700" t="str">
        <x:v>Consumable repeat</x:v>
      </x:c>
      <x:c r="H700" t="str">
        <x:v>Summer peak</x:v>
      </x:c>
      <x:c r="I700" t="str">
        <x:v>Active</x:v>
      </x:c>
      <x:c r="J700" t="str">
        <x:v>TikTok Shop</x:v>
      </x:c>
      <x:c r="K700" t="str">
        <x:v>Social Commerce</x:v>
      </x:c>
      <x:c r="L700" t="str">
        <x:v>All Geographies</x:v>
      </x:c>
      <x:c r="M700" s="34" t="n">
        <x:v>721</x:v>
      </x:c>
      <x:c r="N700" s="28" t="n">
        <x:v>0.0417312</x:v>
      </x:c>
      <x:c r="O700" s="34" t="n">
        <x:v>30</x:v>
      </x:c>
      <x:c r="P700" s="34" t="n">
        <x:v>1</x:v>
      </x:c>
      <x:c r="Q700" s="34" t="n">
        <x:v>30</x:v>
      </x:c>
      <x:c r="R700" s="33" t="n">
        <x:v>42</x:v>
      </x:c>
      <x:c r="S700" s="38" t="n">
        <x:v>1.26</x:v>
      </x:c>
      <x:c r="T700" s="38" t="n">
        <x:v>0.1512</x:v>
      </x:c>
      <x:c r="U700" s="38" t="n">
        <x:v>0.05544</x:v>
      </x:c>
      <x:c r="V700" s="38" t="n">
        <x:v>1.05336</x:v>
      </x:c>
      <x:c r="W700" s="38" t="n">
        <x:v>0.4515</x:v>
      </x:c>
      <x:c r="X700" s="38" t="n">
        <x:v>0.030547440000000002</x:v>
      </x:c>
      <x:c r="Y700" s="38" t="n">
        <x:v>0.0632016</x:v>
      </x:c>
      <x:c r="Z700" s="38" t="n">
        <x:v>0.153</x:v>
      </x:c>
      <x:c r="AA700" s="38" t="n">
        <x:v>0.0525</x:v>
      </x:c>
      <x:c r="AB700" s="38" t="n">
        <x:v>0.0008399999999999999</x:v>
      </x:c>
      <x:c r="AC700" s="38" t="n">
        <x:v>0.3017709600000001</x:v>
      </x:c>
      <x:c r="AD700" s="28" t="n">
        <x:v>0.28648416495784923</x:v>
      </x:c>
    </x:row>
    <x:row r="701">
      <x:c r="A701" s="32" t="n">
        <x:v>45901</x:v>
      </x:c>
      <x:c r="B701" s="32" t="n">
        <x:v>45901</x:v>
      </x:c>
      <x:c r="C701" t="str">
        <x:v>Sep 2025</x:v>
      </x:c>
      <x:c r="D701" t="str">
        <x:v>Actual</x:v>
      </x:c>
      <x:c r="E701" t="str">
        <x:v>DB-105</x:v>
      </x:c>
      <x:c r="F701" t="str">
        <x:v>DreamFuel Refill Pack</x:v>
      </x:c>
      <x:c r="G701" t="str">
        <x:v>Subscription</x:v>
      </x:c>
      <x:c r="H701" t="str">
        <x:v>None</x:v>
      </x:c>
      <x:c r="I701" t="str">
        <x:v>Active</x:v>
      </x:c>
      <x:c r="J701" t="str">
        <x:v>Shopify DTC</x:v>
      </x:c>
      <x:c r="K701" t="str">
        <x:v>Consumer</x:v>
      </x:c>
      <x:c r="L701" t="str">
        <x:v>All Geographies</x:v>
      </x:c>
      <x:c r="M701" s="34" t="n">
        <x:v>3896</x:v>
      </x:c>
      <x:c r="N701" s="28" t="n">
        <x:v>0.03888</x:v>
      </x:c>
      <x:c r="O701" s="34" t="n">
        <x:v>151</x:v>
      </x:c>
      <x:c r="P701" s="34" t="n">
        <x:v>1</x:v>
      </x:c>
      <x:c r="Q701" s="34" t="n">
        <x:v>151</x:v>
      </x:c>
      <x:c r="R701" s="33" t="n">
        <x:v>56</x:v>
      </x:c>
      <x:c r="S701" s="38" t="n">
        <x:v>8.456</x:v>
      </x:c>
      <x:c r="T701" s="38" t="n">
        <x:v>0.67648</x:v>
      </x:c>
      <x:c r="U701" s="38" t="n">
        <x:v>0.1555904</x:v>
      </x:c>
      <x:c r="V701" s="38" t="n">
        <x:v>7.623929599999999</x:v>
      </x:c>
      <x:c r="W701" s="38" t="n">
        <x:v>2.8116200000000005</x:v>
      </x:c>
      <x:c r="X701" s="38" t="n">
        <x:v>0.22109395839999998</x:v>
      </x:c>
      <x:c r="Y701" s="38" t="n">
        <x:v>0</x:v>
      </x:c>
      <x:c r="Z701" s="38" t="n">
        <x:v>0.62665</x:v>
      </x:c>
      <x:c r="AA701" s="38" t="n">
        <x:v>0.24914999999999998</x:v>
      </x:c>
      <x:c r="AB701" s="38" t="n">
        <x:v>0.0005436</x:v>
      </x:c>
      <x:c r="AC701" s="38" t="n">
        <x:v>3.714872041599999</x:v>
      </x:c>
      <x:c r="AD701" s="28" t="n">
        <x:v>0.4872647357079477</x:v>
      </x:c>
    </x:row>
    <x:row r="702">
      <x:c r="A702" s="32" t="n">
        <x:v>45901</x:v>
      </x:c>
      <x:c r="B702" s="32" t="n">
        <x:v>45901</x:v>
      </x:c>
      <x:c r="C702" t="str">
        <x:v>Sep 2025</x:v>
      </x:c>
      <x:c r="D702" t="str">
        <x:v>Actual</x:v>
      </x:c>
      <x:c r="E702" t="str">
        <x:v>DB-105</x:v>
      </x:c>
      <x:c r="F702" t="str">
        <x:v>DreamFuel Refill Pack</x:v>
      </x:c>
      <x:c r="G702" t="str">
        <x:v>Subscription</x:v>
      </x:c>
      <x:c r="H702" t="str">
        <x:v>None</x:v>
      </x:c>
      <x:c r="I702" t="str">
        <x:v>Active</x:v>
      </x:c>
      <x:c r="J702" t="str">
        <x:v>Amazon Marketplace</x:v>
      </x:c>
      <x:c r="K702" t="str">
        <x:v>Marketplace Consumer</x:v>
      </x:c>
      <x:c r="L702" t="str">
        <x:v>All Geographies</x:v>
      </x:c>
      <x:c r="M702" s="34" t="n">
        <x:v>1948</x:v>
      </x:c>
      <x:c r="N702" s="28" t="n">
        <x:v>0.0458784</x:v>
      </x:c>
      <x:c r="O702" s="34" t="n">
        <x:v>89</x:v>
      </x:c>
      <x:c r="P702" s="34" t="n">
        <x:v>1</x:v>
      </x:c>
      <x:c r="Q702" s="34" t="n">
        <x:v>89</x:v>
      </x:c>
      <x:c r="R702" s="33" t="n">
        <x:v>56</x:v>
      </x:c>
      <x:c r="S702" s="38" t="n">
        <x:v>4.984</x:v>
      </x:c>
      <x:c r="T702" s="38" t="n">
        <x:v>0.2492</x:v>
      </x:c>
      <x:c r="U702" s="38" t="n">
        <x:v>0.094696</x:v>
      </x:c>
      <x:c r="V702" s="38" t="n">
        <x:v>4.640104</x:v>
      </x:c>
      <x:c r="W702" s="38" t="n">
        <x:v>1.65718</x:v>
      </x:c>
      <x:c r="X702" s="38" t="n">
        <x:v>0</x:v>
      </x:c>
      <x:c r="Y702" s="38" t="n">
        <x:v>0.6960156</x:v>
      </x:c>
      <x:c r="Z702" s="38" t="n">
        <x:v>0.4628</x:v>
      </x:c>
      <x:c r="AA702" s="38" t="n">
        <x:v>0.19135</x:v>
      </x:c>
      <x:c r="AB702" s="38" t="n">
        <x:v>0.00032040000000000004</x:v>
      </x:c>
      <x:c r="AC702" s="38" t="n">
        <x:v>1.6324379999999996</x:v>
      </x:c>
      <x:c r="AD702" s="28" t="n">
        <x:v>0.35181064907165865</x:v>
      </x:c>
    </x:row>
    <x:row r="703">
      <x:c r="A703" s="32" t="n">
        <x:v>45901</x:v>
      </x:c>
      <x:c r="B703" s="32" t="n">
        <x:v>45901</x:v>
      </x:c>
      <x:c r="C703" t="str">
        <x:v>Sep 2025</x:v>
      </x:c>
      <x:c r="D703" t="str">
        <x:v>Actual</x:v>
      </x:c>
      <x:c r="E703" t="str">
        <x:v>DB-105</x:v>
      </x:c>
      <x:c r="F703" t="str">
        <x:v>DreamFuel Refill Pack</x:v>
      </x:c>
      <x:c r="G703" t="str">
        <x:v>Subscription</x:v>
      </x:c>
      <x:c r="H703" t="str">
        <x:v>None</x:v>
      </x:c>
      <x:c r="I703" t="str">
        <x:v>Active</x:v>
      </x:c>
      <x:c r="J703" t="str">
        <x:v>Wholesale</x:v>
      </x:c>
      <x:c r="K703" t="str">
        <x:v>Retailer</x:v>
      </x:c>
      <x:c r="L703" t="str">
        <x:v>All Geographies</x:v>
      </x:c>
      <x:c r="M703" s="34" t="n">
        <x:v>1169</x:v>
      </x:c>
      <x:c r="N703" s="28" t="n">
        <x:v>0.021384000000000004</x:v>
      </x:c>
      <x:c r="O703" s="34" t="n">
        <x:v>25</x:v>
      </x:c>
      <x:c r="P703" s="34" t="n">
        <x:v>1</x:v>
      </x:c>
      <x:c r="Q703" s="34" t="n">
        <x:v>25</x:v>
      </x:c>
      <x:c r="R703" s="33" t="n">
        <x:v>56</x:v>
      </x:c>
      <x:c r="S703" s="38" t="n">
        <x:v>1.4</x:v>
      </x:c>
      <x:c r="T703" s="38" t="n">
        <x:v>0.48999999999999994</x:v>
      </x:c>
      <x:c r="U703" s="38" t="n">
        <x:v>0.018199999999999997</x:v>
      </x:c>
      <x:c r="V703" s="38" t="n">
        <x:v>0.8917999999999999</x:v>
      </x:c>
      <x:c r="W703" s="38" t="n">
        <x:v>0.4655</x:v>
      </x:c>
      <x:c r="X703" s="38" t="n">
        <x:v>0</x:v>
      </x:c>
      <x:c r="Y703" s="38" t="n">
        <x:v>0</x:v>
      </x:c>
      <x:c r="Z703" s="38" t="n">
        <x:v>0.057499999999999996</x:v>
      </x:c>
      <x:c r="AA703" s="38" t="n">
        <x:v>0.02125</x:v>
      </x:c>
      <x:c r="AB703" s="38" t="n">
        <x:v>0.00008999999999999999</x:v>
      </x:c>
      <x:c r="AC703" s="38" t="n">
        <x:v>0.34745999999999994</x:v>
      </x:c>
      <x:c r="AD703" s="28" t="n">
        <x:v>0.38961650594303654</x:v>
      </x:c>
    </x:row>
    <x:row r="704">
      <x:c r="A704" s="32" t="n">
        <x:v>45901</x:v>
      </x:c>
      <x:c r="B704" s="32" t="n">
        <x:v>45901</x:v>
      </x:c>
      <x:c r="C704" t="str">
        <x:v>Sep 2025</x:v>
      </x:c>
      <x:c r="D704" t="str">
        <x:v>Actual</x:v>
      </x:c>
      <x:c r="E704" t="str">
        <x:v>DB-105</x:v>
      </x:c>
      <x:c r="F704" t="str">
        <x:v>DreamFuel Refill Pack</x:v>
      </x:c>
      <x:c r="G704" t="str">
        <x:v>Subscription</x:v>
      </x:c>
      <x:c r="H704" t="str">
        <x:v>None</x:v>
      </x:c>
      <x:c r="I704" t="str">
        <x:v>Active</x:v>
      </x:c>
      <x:c r="J704" t="str">
        <x:v>TikTok Shop</x:v>
      </x:c>
      <x:c r="K704" t="str">
        <x:v>Social Commerce</x:v>
      </x:c>
      <x:c r="L704" t="str">
        <x:v>All Geographies</x:v>
      </x:c>
      <x:c r="M704" s="34" t="n">
        <x:v>779</x:v>
      </x:c>
      <x:c r="N704" s="28" t="n">
        <x:v>0.0489888</x:v>
      </x:c>
      <x:c r="O704" s="34" t="n">
        <x:v>38</x:v>
      </x:c>
      <x:c r="P704" s="34" t="n">
        <x:v>1</x:v>
      </x:c>
      <x:c r="Q704" s="34" t="n">
        <x:v>38</x:v>
      </x:c>
      <x:c r="R704" s="33" t="n">
        <x:v>56</x:v>
      </x:c>
      <x:c r="S704" s="38" t="n">
        <x:v>2.128</x:v>
      </x:c>
      <x:c r="T704" s="38" t="n">
        <x:v>0.25536000000000003</x:v>
      </x:c>
      <x:c r="U704" s="38" t="n">
        <x:v>0.0374528</x:v>
      </x:c>
      <x:c r="V704" s="38" t="n">
        <x:v>1.8351872</x:v>
      </x:c>
      <x:c r="W704" s="38" t="n">
        <x:v>0.7075600000000001</x:v>
      </x:c>
      <x:c r="X704" s="38" t="n">
        <x:v>0.053220428800000004</x:v>
      </x:c>
      <x:c r="Y704" s="38" t="n">
        <x:v>0.110111232</x:v>
      </x:c>
      <x:c r="Z704" s="38" t="n">
        <x:v>0.19379999999999997</x:v>
      </x:c>
      <x:c r="AA704" s="38" t="n">
        <x:v>0.0665</x:v>
      </x:c>
      <x:c r="AB704" s="38" t="n">
        <x:v>0.00013680000000000002</x:v>
      </x:c>
      <x:c r="AC704" s="38" t="n">
        <x:v>0.7038587392000001</x:v>
      </x:c>
      <x:c r="AD704" s="28" t="n">
        <x:v>0.38353511794328127</x:v>
      </x:c>
    </x:row>
    <x:row r="705">
      <x:c r="A705" s="32" t="n">
        <x:v>45908</x:v>
      </x:c>
      <x:c r="B705" s="32" t="n">
        <x:v>45901</x:v>
      </x:c>
      <x:c r="C705" t="str">
        <x:v>Sep 2025</x:v>
      </x:c>
      <x:c r="D705" t="str">
        <x:v>Actual</x:v>
      </x:c>
      <x:c r="E705" t="str">
        <x:v>DB-101</x:v>
      </x:c>
      <x:c r="F705" t="str">
        <x:v>AeroSip Bottle</x:v>
      </x:c>
      <x:c r="G705" t="str">
        <x:v>One-time purchase</x:v>
      </x:c>
      <x:c r="H705" t="str">
        <x:v>None</x:v>
      </x:c>
      <x:c r="I705" t="str">
        <x:v>Active</x:v>
      </x:c>
      <x:c r="J705" t="str">
        <x:v>Shopify DTC</x:v>
      </x:c>
      <x:c r="K705" t="str">
        <x:v>Consumer</x:v>
      </x:c>
      <x:c r="L705" t="str">
        <x:v>All Geographies</x:v>
      </x:c>
      <x:c r="M705" s="34" t="n">
        <x:v>5649</x:v>
      </x:c>
      <x:c r="N705" s="28" t="n">
        <x:v>0.034199999999999994</x:v>
      </x:c>
      <x:c r="O705" s="34" t="n">
        <x:v>193</x:v>
      </x:c>
      <x:c r="P705" s="34" t="n">
        <x:v>1</x:v>
      </x:c>
      <x:c r="Q705" s="34" t="n">
        <x:v>193</x:v>
      </x:c>
      <x:c r="R705" s="33" t="n">
        <x:v>29</x:v>
      </x:c>
      <x:c r="S705" s="38" t="n">
        <x:v>5.597</x:v>
      </x:c>
      <x:c r="T705" s="38" t="n">
        <x:v>0.44776000000000005</x:v>
      </x:c>
      <x:c r="U705" s="38" t="n">
        <x:v>0.23171580000000003</x:v>
      </x:c>
      <x:c r="V705" s="38" t="n">
        <x:v>4.917524200000001</x:v>
      </x:c>
      <x:c r="W705" s="38" t="n">
        <x:v>2.0844</x:v>
      </x:c>
      <x:c r="X705" s="38" t="n">
        <x:v>0.14260820180000003</x:v>
      </x:c>
      <x:c r="Y705" s="38" t="n">
        <x:v>0</x:v>
      </x:c>
      <x:c r="Z705" s="38" t="n">
        <x:v>0.80095</x:v>
      </x:c>
      <x:c r="AA705" s="38" t="n">
        <x:v>0.31845</x:v>
      </x:c>
      <x:c r="AB705" s="38" t="n">
        <x:v>0.006947999999999999</x:v>
      </x:c>
      <x:c r="AC705" s="38" t="n">
        <x:v>1.5641679982000007</x:v>
      </x:c>
      <x:c r="AD705" s="28" t="n">
        <x:v>0.3180803865083166</x:v>
      </x:c>
    </x:row>
    <x:row r="706">
      <x:c r="A706" s="32" t="n">
        <x:v>45908</x:v>
      </x:c>
      <x:c r="B706" s="32" t="n">
        <x:v>45901</x:v>
      </x:c>
      <x:c r="C706" t="str">
        <x:v>Sep 2025</x:v>
      </x:c>
      <x:c r="D706" t="str">
        <x:v>Actual</x:v>
      </x:c>
      <x:c r="E706" t="str">
        <x:v>DB-101</x:v>
      </x:c>
      <x:c r="F706" t="str">
        <x:v>AeroSip Bottle</x:v>
      </x:c>
      <x:c r="G706" t="str">
        <x:v>One-time purchase</x:v>
      </x:c>
      <x:c r="H706" t="str">
        <x:v>None</x:v>
      </x:c>
      <x:c r="I706" t="str">
        <x:v>Active</x:v>
      </x:c>
      <x:c r="J706" t="str">
        <x:v>Amazon Marketplace</x:v>
      </x:c>
      <x:c r="K706" t="str">
        <x:v>Marketplace Consumer</x:v>
      </x:c>
      <x:c r="L706" t="str">
        <x:v>All Geographies</x:v>
      </x:c>
      <x:c r="M706" s="34" t="n">
        <x:v>2824</x:v>
      </x:c>
      <x:c r="N706" s="28" t="n">
        <x:v>0.040355999999999996</x:v>
      </x:c>
      <x:c r="O706" s="34" t="n">
        <x:v>114</x:v>
      </x:c>
      <x:c r="P706" s="34" t="n">
        <x:v>1</x:v>
      </x:c>
      <x:c r="Q706" s="34" t="n">
        <x:v>114</x:v>
      </x:c>
      <x:c r="R706" s="33" t="n">
        <x:v>29</x:v>
      </x:c>
      <x:c r="S706" s="38" t="n">
        <x:v>3.306</x:v>
      </x:c>
      <x:c r="T706" s="38" t="n">
        <x:v>0.1653</x:v>
      </x:c>
      <x:c r="U706" s="38" t="n">
        <x:v>0.1413315</x:v>
      </x:c>
      <x:c r="V706" s="38" t="n">
        <x:v>2.9993684999999997</x:v>
      </x:c>
      <x:c r="W706" s="38" t="n">
        <x:v>1.2312</x:v>
      </x:c>
      <x:c r="X706" s="38" t="n">
        <x:v>0</x:v>
      </x:c>
      <x:c r="Y706" s="38" t="n">
        <x:v>0.44990527499999994</x:v>
      </x:c>
      <x:c r="Z706" s="38" t="n">
        <x:v>0.5928000000000001</x:v>
      </x:c>
      <x:c r="AA706" s="38" t="n">
        <x:v>0.24509999999999998</x:v>
      </x:c>
      <x:c r="AB706" s="38" t="n">
        <x:v>0.004104</x:v>
      </x:c>
      <x:c r="AC706" s="38" t="n">
        <x:v>0.4762592249999996</x:v>
      </x:c>
      <x:c r="AD706" s="28" t="n">
        <x:v>0.15878649955815688</x:v>
      </x:c>
    </x:row>
    <x:row r="707">
      <x:c r="A707" s="32" t="n">
        <x:v>45908</x:v>
      </x:c>
      <x:c r="B707" s="32" t="n">
        <x:v>45901</x:v>
      </x:c>
      <x:c r="C707" t="str">
        <x:v>Sep 2025</x:v>
      </x:c>
      <x:c r="D707" t="str">
        <x:v>Actual</x:v>
      </x:c>
      <x:c r="E707" t="str">
        <x:v>DB-101</x:v>
      </x:c>
      <x:c r="F707" t="str">
        <x:v>AeroSip Bottle</x:v>
      </x:c>
      <x:c r="G707" t="str">
        <x:v>One-time purchase</x:v>
      </x:c>
      <x:c r="H707" t="str">
        <x:v>None</x:v>
      </x:c>
      <x:c r="I707" t="str">
        <x:v>Active</x:v>
      </x:c>
      <x:c r="J707" t="str">
        <x:v>Wholesale</x:v>
      </x:c>
      <x:c r="K707" t="str">
        <x:v>Retailer</x:v>
      </x:c>
      <x:c r="L707" t="str">
        <x:v>All Geographies</x:v>
      </x:c>
      <x:c r="M707" s="34" t="n">
        <x:v>1695</x:v>
      </x:c>
      <x:c r="N707" s="28" t="n">
        <x:v>0.01881</x:v>
      </x:c>
      <x:c r="O707" s="34" t="n">
        <x:v>32</x:v>
      </x:c>
      <x:c r="P707" s="34" t="n">
        <x:v>1</x:v>
      </x:c>
      <x:c r="Q707" s="34" t="n">
        <x:v>32</x:v>
      </x:c>
      <x:c r="R707" s="33" t="n">
        <x:v>29</x:v>
      </x:c>
      <x:c r="S707" s="38" t="n">
        <x:v>0.928</x:v>
      </x:c>
      <x:c r="T707" s="38" t="n">
        <x:v>0.3248</x:v>
      </x:c>
      <x:c r="U707" s="38" t="n">
        <x:v>0.027144</x:v>
      </x:c>
      <x:c r="V707" s="38" t="n">
        <x:v>0.5760560000000001</x:v>
      </x:c>
      <x:c r="W707" s="38" t="n">
        <x:v>0.3456</x:v>
      </x:c>
      <x:c r="X707" s="38" t="n">
        <x:v>0</x:v>
      </x:c>
      <x:c r="Y707" s="38" t="n">
        <x:v>0</x:v>
      </x:c>
      <x:c r="Z707" s="38" t="n">
        <x:v>0.0736</x:v>
      </x:c>
      <x:c r="AA707" s="38" t="n">
        <x:v>0.0272</x:v>
      </x:c>
      <x:c r="AB707" s="38" t="n">
        <x:v>0.001152</x:v>
      </x:c>
      <x:c r="AC707" s="38" t="n">
        <x:v>0.12850400000000012</x:v>
      </x:c>
      <x:c r="AD707" s="28" t="n">
        <x:v>0.22307553432305208</x:v>
      </x:c>
    </x:row>
    <x:row r="708">
      <x:c r="A708" s="32" t="n">
        <x:v>45908</x:v>
      </x:c>
      <x:c r="B708" s="32" t="n">
        <x:v>45901</x:v>
      </x:c>
      <x:c r="C708" t="str">
        <x:v>Sep 2025</x:v>
      </x:c>
      <x:c r="D708" t="str">
        <x:v>Actual</x:v>
      </x:c>
      <x:c r="E708" t="str">
        <x:v>DB-101</x:v>
      </x:c>
      <x:c r="F708" t="str">
        <x:v>AeroSip Bottle</x:v>
      </x:c>
      <x:c r="G708" t="str">
        <x:v>One-time purchase</x:v>
      </x:c>
      <x:c r="H708" t="str">
        <x:v>None</x:v>
      </x:c>
      <x:c r="I708" t="str">
        <x:v>Active</x:v>
      </x:c>
      <x:c r="J708" t="str">
        <x:v>TikTok Shop</x:v>
      </x:c>
      <x:c r="K708" t="str">
        <x:v>Social Commerce</x:v>
      </x:c>
      <x:c r="L708" t="str">
        <x:v>All Geographies</x:v>
      </x:c>
      <x:c r="M708" s="34" t="n">
        <x:v>1130</x:v>
      </x:c>
      <x:c r="N708" s="28" t="n">
        <x:v>0.043092</x:v>
      </x:c>
      <x:c r="O708" s="34" t="n">
        <x:v>49</x:v>
      </x:c>
      <x:c r="P708" s="34" t="n">
        <x:v>1</x:v>
      </x:c>
      <x:c r="Q708" s="34" t="n">
        <x:v>49</x:v>
      </x:c>
      <x:c r="R708" s="33" t="n">
        <x:v>29</x:v>
      </x:c>
      <x:c r="S708" s="38" t="n">
        <x:v>1.421</x:v>
      </x:c>
      <x:c r="T708" s="38" t="n">
        <x:v>0.17052</x:v>
      </x:c>
      <x:c r="U708" s="38" t="n">
        <x:v>0.0562716</x:v>
      </x:c>
      <x:c r="V708" s="38" t="n">
        <x:v>1.1942084</x:v>
      </x:c>
      <x:c r="W708" s="38" t="n">
        <x:v>0.5292</x:v>
      </x:c>
      <x:c r="X708" s="38" t="n">
        <x:v>0.0346320436</x:v>
      </x:c>
      <x:c r="Y708" s="38" t="n">
        <x:v>0.07165250399999999</x:v>
      </x:c>
      <x:c r="Z708" s="38" t="n">
        <x:v>0.24989999999999998</x:v>
      </x:c>
      <x:c r="AA708" s="38" t="n">
        <x:v>0.08575</x:v>
      </x:c>
      <x:c r="AB708" s="38" t="n">
        <x:v>0.0017639999999999997</x:v>
      </x:c>
      <x:c r="AC708" s="38" t="n">
        <x:v>0.2213098523999999</x:v>
      </x:c>
      <x:c r="AD708" s="28" t="n">
        <x:v>0.18531928966501987</x:v>
      </x:c>
    </x:row>
    <x:row r="709">
      <x:c r="A709" s="32" t="n">
        <x:v>45908</x:v>
      </x:c>
      <x:c r="B709" s="32" t="n">
        <x:v>45901</x:v>
      </x:c>
      <x:c r="C709" t="str">
        <x:v>Sep 2025</x:v>
      </x:c>
      <x:c r="D709" t="str">
        <x:v>Actual</x:v>
      </x:c>
      <x:c r="E709" t="str">
        <x:v>DB-102</x:v>
      </x:c>
      <x:c r="F709" t="str">
        <x:v>GlowPatch Balm</x:v>
      </x:c>
      <x:c r="G709" t="str">
        <x:v>Consumable repeat</x:v>
      </x:c>
      <x:c r="H709" t="str">
        <x:v>None</x:v>
      </x:c>
      <x:c r="I709" t="str">
        <x:v>Active</x:v>
      </x:c>
      <x:c r="J709" t="str">
        <x:v>Shopify DTC</x:v>
      </x:c>
      <x:c r="K709" t="str">
        <x:v>Consumer</x:v>
      </x:c>
      <x:c r="L709" t="str">
        <x:v>All Geographies</x:v>
      </x:c>
      <x:c r="M709" s="34" t="n">
        <x:v>4562</x:v>
      </x:c>
      <x:c r="N709" s="28" t="n">
        <x:v>0.04248</x:v>
      </x:c>
      <x:c r="O709" s="34" t="n">
        <x:v>194</x:v>
      </x:c>
      <x:c r="P709" s="34" t="n">
        <x:v>1</x:v>
      </x:c>
      <x:c r="Q709" s="34" t="n">
        <x:v>194</x:v>
      </x:c>
      <x:c r="R709" s="33" t="n">
        <x:v>18</x:v>
      </x:c>
      <x:c r="S709" s="38" t="n">
        <x:v>3.492</x:v>
      </x:c>
      <x:c r="T709" s="38" t="n">
        <x:v>0.27936</x:v>
      </x:c>
      <x:c r="U709" s="38" t="n">
        <x:v>0.080316</x:v>
      </x:c>
      <x:c r="V709" s="38" t="n">
        <x:v>3.132324</x:v>
      </x:c>
      <x:c r="W709" s="38" t="n">
        <x:v>1.04954</x:v>
      </x:c>
      <x:c r="X709" s="38" t="n">
        <x:v>0.09083739600000001</x:v>
      </x:c>
      <x:c r="Y709" s="38" t="n">
        <x:v>0</x:v>
      </x:c>
      <x:c r="Z709" s="38" t="n">
        <x:v>0.8051</x:v>
      </x:c>
      <x:c r="AA709" s="38" t="n">
        <x:v>0.32009999999999994</x:v>
      </x:c>
      <x:c r="AB709" s="38" t="n">
        <x:v>0.001164</x:v>
      </x:c>
      <x:c r="AC709" s="38" t="n">
        <x:v>0.8655826040000003</x:v>
      </x:c>
      <x:c r="AD709" s="28" t="n">
        <x:v>0.27633878359965325</x:v>
      </x:c>
    </x:row>
    <x:row r="710">
      <x:c r="A710" s="32" t="n">
        <x:v>45908</x:v>
      </x:c>
      <x:c r="B710" s="32" t="n">
        <x:v>45901</x:v>
      </x:c>
      <x:c r="C710" t="str">
        <x:v>Sep 2025</x:v>
      </x:c>
      <x:c r="D710" t="str">
        <x:v>Actual</x:v>
      </x:c>
      <x:c r="E710" t="str">
        <x:v>DB-102</x:v>
      </x:c>
      <x:c r="F710" t="str">
        <x:v>GlowPatch Balm</x:v>
      </x:c>
      <x:c r="G710" t="str">
        <x:v>Consumable repeat</x:v>
      </x:c>
      <x:c r="H710" t="str">
        <x:v>None</x:v>
      </x:c>
      <x:c r="I710" t="str">
        <x:v>Active</x:v>
      </x:c>
      <x:c r="J710" t="str">
        <x:v>Amazon Marketplace</x:v>
      </x:c>
      <x:c r="K710" t="str">
        <x:v>Marketplace Consumer</x:v>
      </x:c>
      <x:c r="L710" t="str">
        <x:v>All Geographies</x:v>
      </x:c>
      <x:c r="M710" s="34" t="n">
        <x:v>2281</x:v>
      </x:c>
      <x:c r="N710" s="28" t="n">
        <x:v>0.050126399999999995</x:v>
      </x:c>
      <x:c r="O710" s="34" t="n">
        <x:v>114</x:v>
      </x:c>
      <x:c r="P710" s="34" t="n">
        <x:v>1</x:v>
      </x:c>
      <x:c r="Q710" s="34" t="n">
        <x:v>114</x:v>
      </x:c>
      <x:c r="R710" s="33" t="n">
        <x:v>18</x:v>
      </x:c>
      <x:c r="S710" s="38" t="n">
        <x:v>2.052</x:v>
      </x:c>
      <x:c r="T710" s="38" t="n">
        <x:v>0.10260000000000001</x:v>
      </x:c>
      <x:c r="U710" s="38" t="n">
        <x:v>0.048735</x:v>
      </x:c>
      <x:c r="V710" s="38" t="n">
        <x:v>1.900665</x:v>
      </x:c>
      <x:c r="W710" s="38" t="n">
        <x:v>0.61674</x:v>
      </x:c>
      <x:c r="X710" s="38" t="n">
        <x:v>0</x:v>
      </x:c>
      <x:c r="Y710" s="38" t="n">
        <x:v>0.28509975</x:v>
      </x:c>
      <x:c r="Z710" s="38" t="n">
        <x:v>0.5928000000000001</x:v>
      </x:c>
      <x:c r="AA710" s="38" t="n">
        <x:v>0.24509999999999998</x:v>
      </x:c>
      <x:c r="AB710" s="38" t="n">
        <x:v>0.000684</x:v>
      </x:c>
      <x:c r="AC710" s="38" t="n">
        <x:v>0.16024124999999992</x:v>
      </x:c>
      <x:c r="AD710" s="28" t="n">
        <x:v>0.084307992202729</x:v>
      </x:c>
    </x:row>
    <x:row r="711">
      <x:c r="A711" s="32" t="n">
        <x:v>45908</x:v>
      </x:c>
      <x:c r="B711" s="32" t="n">
        <x:v>45901</x:v>
      </x:c>
      <x:c r="C711" t="str">
        <x:v>Sep 2025</x:v>
      </x:c>
      <x:c r="D711" t="str">
        <x:v>Actual</x:v>
      </x:c>
      <x:c r="E711" t="str">
        <x:v>DB-102</x:v>
      </x:c>
      <x:c r="F711" t="str">
        <x:v>GlowPatch Balm</x:v>
      </x:c>
      <x:c r="G711" t="str">
        <x:v>Consumable repeat</x:v>
      </x:c>
      <x:c r="H711" t="str">
        <x:v>None</x:v>
      </x:c>
      <x:c r="I711" t="str">
        <x:v>Active</x:v>
      </x:c>
      <x:c r="J711" t="str">
        <x:v>Wholesale</x:v>
      </x:c>
      <x:c r="K711" t="str">
        <x:v>Retailer</x:v>
      </x:c>
      <x:c r="L711" t="str">
        <x:v>All Geographies</x:v>
      </x:c>
      <x:c r="M711" s="34" t="n">
        <x:v>1369</x:v>
      </x:c>
      <x:c r="N711" s="28" t="n">
        <x:v>0.023364</x:v>
      </x:c>
      <x:c r="O711" s="34" t="n">
        <x:v>32</x:v>
      </x:c>
      <x:c r="P711" s="34" t="n">
        <x:v>1</x:v>
      </x:c>
      <x:c r="Q711" s="34" t="n">
        <x:v>32</x:v>
      </x:c>
      <x:c r="R711" s="33" t="n">
        <x:v>18</x:v>
      </x:c>
      <x:c r="S711" s="38" t="n">
        <x:v>0.576</x:v>
      </x:c>
      <x:c r="T711" s="38" t="n">
        <x:v>0.20159999999999997</x:v>
      </x:c>
      <x:c r="U711" s="38" t="n">
        <x:v>0.009359999999999999</x:v>
      </x:c>
      <x:c r="V711" s="38" t="n">
        <x:v>0.36504</x:v>
      </x:c>
      <x:c r="W711" s="38" t="n">
        <x:v>0.17312</x:v>
      </x:c>
      <x:c r="X711" s="38" t="n">
        <x:v>0</x:v>
      </x:c>
      <x:c r="Y711" s="38" t="n">
        <x:v>0</x:v>
      </x:c>
      <x:c r="Z711" s="38" t="n">
        <x:v>0.0736</x:v>
      </x:c>
      <x:c r="AA711" s="38" t="n">
        <x:v>0.0272</x:v>
      </x:c>
      <x:c r="AB711" s="38" t="n">
        <x:v>0.000192</x:v>
      </x:c>
      <x:c r="AC711" s="38" t="n">
        <x:v>0.09092799999999998</x:v>
      </x:c>
      <x:c r="AD711" s="28" t="n">
        <x:v>0.24909051062897214</x:v>
      </x:c>
    </x:row>
    <x:row r="712">
      <x:c r="A712" s="32" t="n">
        <x:v>45908</x:v>
      </x:c>
      <x:c r="B712" s="32" t="n">
        <x:v>45901</x:v>
      </x:c>
      <x:c r="C712" t="str">
        <x:v>Sep 2025</x:v>
      </x:c>
      <x:c r="D712" t="str">
        <x:v>Actual</x:v>
      </x:c>
      <x:c r="E712" t="str">
        <x:v>DB-102</x:v>
      </x:c>
      <x:c r="F712" t="str">
        <x:v>GlowPatch Balm</x:v>
      </x:c>
      <x:c r="G712" t="str">
        <x:v>Consumable repeat</x:v>
      </x:c>
      <x:c r="H712" t="str">
        <x:v>None</x:v>
      </x:c>
      <x:c r="I712" t="str">
        <x:v>Active</x:v>
      </x:c>
      <x:c r="J712" t="str">
        <x:v>TikTok Shop</x:v>
      </x:c>
      <x:c r="K712" t="str">
        <x:v>Social Commerce</x:v>
      </x:c>
      <x:c r="L712" t="str">
        <x:v>All Geographies</x:v>
      </x:c>
      <x:c r="M712" s="34" t="n">
        <x:v>912</x:v>
      </x:c>
      <x:c r="N712" s="28" t="n">
        <x:v>0.0535248</x:v>
      </x:c>
      <x:c r="O712" s="34" t="n">
        <x:v>49</x:v>
      </x:c>
      <x:c r="P712" s="34" t="n">
        <x:v>1</x:v>
      </x:c>
      <x:c r="Q712" s="34" t="n">
        <x:v>49</x:v>
      </x:c>
      <x:c r="R712" s="33" t="n">
        <x:v>18</x:v>
      </x:c>
      <x:c r="S712" s="38" t="n">
        <x:v>0.882</x:v>
      </x:c>
      <x:c r="T712" s="38" t="n">
        <x:v>0.10584</x:v>
      </x:c>
      <x:c r="U712" s="38" t="n">
        <x:v>0.019404</x:v>
      </x:c>
      <x:c r="V712" s="38" t="n">
        <x:v>0.756756</x:v>
      </x:c>
      <x:c r="W712" s="38" t="n">
        <x:v>0.26509000000000005</x:v>
      </x:c>
      <x:c r="X712" s="38" t="n">
        <x:v>0.021945924000000002</x:v>
      </x:c>
      <x:c r="Y712" s="38" t="n">
        <x:v>0.04540536</x:v>
      </x:c>
      <x:c r="Z712" s="38" t="n">
        <x:v>0.24989999999999998</x:v>
      </x:c>
      <x:c r="AA712" s="38" t="n">
        <x:v>0.08575</x:v>
      </x:c>
      <x:c r="AB712" s="38" t="n">
        <x:v>0.00029400000000000004</x:v>
      </x:c>
      <x:c r="AC712" s="38" t="n">
        <x:v>0.08837071599999993</x:v>
      </x:c>
      <x:c r="AD712" s="28" t="n">
        <x:v>0.11677570577570569</x:v>
      </x:c>
    </x:row>
    <x:row r="713">
      <x:c r="A713" s="32" t="n">
        <x:v>45908</x:v>
      </x:c>
      <x:c r="B713" s="32" t="n">
        <x:v>45901</x:v>
      </x:c>
      <x:c r="C713" t="str">
        <x:v>Sep 2025</x:v>
      </x:c>
      <x:c r="D713" t="str">
        <x:v>Actual</x:v>
      </x:c>
      <x:c r="E713" t="str">
        <x:v>DB-103</x:v>
      </x:c>
      <x:c r="F713" t="str">
        <x:v>EmberTrail Camp Mug</x:v>
      </x:c>
      <x:c r="G713" t="str">
        <x:v>One-time purchase</x:v>
      </x:c>
      <x:c r="H713" t="str">
        <x:v>Winter peak</x:v>
      </x:c>
      <x:c r="I713" t="str">
        <x:v>Active</x:v>
      </x:c>
      <x:c r="J713" t="str">
        <x:v>Shopify DTC</x:v>
      </x:c>
      <x:c r="K713" t="str">
        <x:v>Consumer</x:v>
      </x:c>
      <x:c r="L713" t="str">
        <x:v>All Geographies</x:v>
      </x:c>
      <x:c r="M713" s="34" t="n">
        <x:v>3832</x:v>
      </x:c>
      <x:c r="N713" s="28" t="n">
        <x:v>0.0324</x:v>
      </x:c>
      <x:c r="O713" s="34" t="n">
        <x:v>124</x:v>
      </x:c>
      <x:c r="P713" s="34" t="n">
        <x:v>1</x:v>
      </x:c>
      <x:c r="Q713" s="34" t="n">
        <x:v>124</x:v>
      </x:c>
      <x:c r="R713" s="33" t="n">
        <x:v>34</x:v>
      </x:c>
      <x:c r="S713" s="38" t="n">
        <x:v>4.216</x:v>
      </x:c>
      <x:c r="T713" s="38" t="n">
        <x:v>0.33728</x:v>
      </x:c>
      <x:c r="U713" s="38" t="n">
        <x:v>0.21332960000000004</x:v>
      </x:c>
      <x:c r="V713" s="38" t="n">
        <x:v>3.6653904</x:v>
      </x:c>
      <x:c r="W713" s="38" t="n">
        <x:v>1.69508</x:v>
      </x:c>
      <x:c r="X713" s="38" t="n">
        <x:v>0.10629632160000001</x:v>
      </x:c>
      <x:c r="Y713" s="38" t="n">
        <x:v>0</x:v>
      </x:c>
      <x:c r="Z713" s="38" t="n">
        <x:v>0.5146000000000001</x:v>
      </x:c>
      <x:c r="AA713" s="38" t="n">
        <x:v>0.2046</x:v>
      </x:c>
      <x:c r="AB713" s="38" t="n">
        <x:v>0.006944</x:v>
      </x:c>
      <x:c r="AC713" s="38" t="n">
        <x:v>1.1378700784</x:v>
      </x:c>
      <x:c r="AD713" s="28" t="n">
        <x:v>0.31043625759482535</x:v>
      </x:c>
    </x:row>
    <x:row r="714">
      <x:c r="A714" s="32" t="n">
        <x:v>45908</x:v>
      </x:c>
      <x:c r="B714" s="32" t="n">
        <x:v>45901</x:v>
      </x:c>
      <x:c r="C714" t="str">
        <x:v>Sep 2025</x:v>
      </x:c>
      <x:c r="D714" t="str">
        <x:v>Actual</x:v>
      </x:c>
      <x:c r="E714" t="str">
        <x:v>DB-103</x:v>
      </x:c>
      <x:c r="F714" t="str">
        <x:v>EmberTrail Camp Mug</x:v>
      </x:c>
      <x:c r="G714" t="str">
        <x:v>One-time purchase</x:v>
      </x:c>
      <x:c r="H714" t="str">
        <x:v>Winter peak</x:v>
      </x:c>
      <x:c r="I714" t="str">
        <x:v>Active</x:v>
      </x:c>
      <x:c r="J714" t="str">
        <x:v>Amazon Marketplace</x:v>
      </x:c>
      <x:c r="K714" t="str">
        <x:v>Marketplace Consumer</x:v>
      </x:c>
      <x:c r="L714" t="str">
        <x:v>All Geographies</x:v>
      </x:c>
      <x:c r="M714" s="34" t="n">
        <x:v>1916</x:v>
      </x:c>
      <x:c r="N714" s="28" t="n">
        <x:v>0.038231999999999995</x:v>
      </x:c>
      <x:c r="O714" s="34" t="n">
        <x:v>73</x:v>
      </x:c>
      <x:c r="P714" s="34" t="n">
        <x:v>1</x:v>
      </x:c>
      <x:c r="Q714" s="34" t="n">
        <x:v>73</x:v>
      </x:c>
      <x:c r="R714" s="33" t="n">
        <x:v>34</x:v>
      </x:c>
      <x:c r="S714" s="38" t="n">
        <x:v>2.482</x:v>
      </x:c>
      <x:c r="T714" s="38" t="n">
        <x:v>0.12410000000000002</x:v>
      </x:c>
      <x:c r="U714" s="38" t="n">
        <x:v>0.1296845</x:v>
      </x:c>
      <x:c r="V714" s="38" t="n">
        <x:v>2.2282155</x:v>
      </x:c>
      <x:c r="W714" s="38" t="n">
        <x:v>0.99791</x:v>
      </x:c>
      <x:c r="X714" s="38" t="n">
        <x:v>0</x:v>
      </x:c>
      <x:c r="Y714" s="38" t="n">
        <x:v>0.334232325</x:v>
      </x:c>
      <x:c r="Z714" s="38" t="n">
        <x:v>0.37960000000000005</x:v>
      </x:c>
      <x:c r="AA714" s="38" t="n">
        <x:v>0.15694999999999998</x:v>
      </x:c>
      <x:c r="AB714" s="38" t="n">
        <x:v>0.0040880000000000005</x:v>
      </x:c>
      <x:c r="AC714" s="38" t="n">
        <x:v>0.35543517500000005</x:v>
      </x:c>
      <x:c r="AD714" s="28" t="n">
        <x:v>0.15951561911314235</x:v>
      </x:c>
    </x:row>
    <x:row r="715">
      <x:c r="A715" s="32" t="n">
        <x:v>45908</x:v>
      </x:c>
      <x:c r="B715" s="32" t="n">
        <x:v>45901</x:v>
      </x:c>
      <x:c r="C715" t="str">
        <x:v>Sep 2025</x:v>
      </x:c>
      <x:c r="D715" t="str">
        <x:v>Actual</x:v>
      </x:c>
      <x:c r="E715" t="str">
        <x:v>DB-103</x:v>
      </x:c>
      <x:c r="F715" t="str">
        <x:v>EmberTrail Camp Mug</x:v>
      </x:c>
      <x:c r="G715" t="str">
        <x:v>One-time purchase</x:v>
      </x:c>
      <x:c r="H715" t="str">
        <x:v>Winter peak</x:v>
      </x:c>
      <x:c r="I715" t="str">
        <x:v>Active</x:v>
      </x:c>
      <x:c r="J715" t="str">
        <x:v>Wholesale</x:v>
      </x:c>
      <x:c r="K715" t="str">
        <x:v>Retailer</x:v>
      </x:c>
      <x:c r="L715" t="str">
        <x:v>All Geographies</x:v>
      </x:c>
      <x:c r="M715" s="34" t="n">
        <x:v>1150</x:v>
      </x:c>
      <x:c r="N715" s="28" t="n">
        <x:v>0.017820000000000003</x:v>
      </x:c>
      <x:c r="O715" s="34" t="n">
        <x:v>20</x:v>
      </x:c>
      <x:c r="P715" s="34" t="n">
        <x:v>1</x:v>
      </x:c>
      <x:c r="Q715" s="34" t="n">
        <x:v>20</x:v>
      </x:c>
      <x:c r="R715" s="33" t="n">
        <x:v>34</x:v>
      </x:c>
      <x:c r="S715" s="38" t="n">
        <x:v>0.68</x:v>
      </x:c>
      <x:c r="T715" s="38" t="n">
        <x:v>0.238</x:v>
      </x:c>
      <x:c r="U715" s="38" t="n">
        <x:v>0.024310000000000002</x:v>
      </x:c>
      <x:c r="V715" s="38" t="n">
        <x:v>0.41769000000000006</x:v>
      </x:c>
      <x:c r="W715" s="38" t="n">
        <x:v>0.2734</x:v>
      </x:c>
      <x:c r="X715" s="38" t="n">
        <x:v>0</x:v>
      </x:c>
      <x:c r="Y715" s="38" t="n">
        <x:v>0</x:v>
      </x:c>
      <x:c r="Z715" s="38" t="n">
        <x:v>0.046</x:v>
      </x:c>
      <x:c r="AA715" s="38" t="n">
        <x:v>0.017</x:v>
      </x:c>
      <x:c r="AB715" s="38" t="n">
        <x:v>0.0011200000000000001</x:v>
      </x:c>
      <x:c r="AC715" s="38" t="n">
        <x:v>0.08017000000000009</x:v>
      </x:c>
      <x:c r="AD715" s="28" t="n">
        <x:v>0.19193660370130977</x:v>
      </x:c>
    </x:row>
    <x:row r="716">
      <x:c r="A716" s="32" t="n">
        <x:v>45908</x:v>
      </x:c>
      <x:c r="B716" s="32" t="n">
        <x:v>45901</x:v>
      </x:c>
      <x:c r="C716" t="str">
        <x:v>Sep 2025</x:v>
      </x:c>
      <x:c r="D716" t="str">
        <x:v>Actual</x:v>
      </x:c>
      <x:c r="E716" t="str">
        <x:v>DB-103</x:v>
      </x:c>
      <x:c r="F716" t="str">
        <x:v>EmberTrail Camp Mug</x:v>
      </x:c>
      <x:c r="G716" t="str">
        <x:v>One-time purchase</x:v>
      </x:c>
      <x:c r="H716" t="str">
        <x:v>Winter peak</x:v>
      </x:c>
      <x:c r="I716" t="str">
        <x:v>Active</x:v>
      </x:c>
      <x:c r="J716" t="str">
        <x:v>TikTok Shop</x:v>
      </x:c>
      <x:c r="K716" t="str">
        <x:v>Social Commerce</x:v>
      </x:c>
      <x:c r="L716" t="str">
        <x:v>All Geographies</x:v>
      </x:c>
      <x:c r="M716" s="34" t="n">
        <x:v>766</x:v>
      </x:c>
      <x:c r="N716" s="28" t="n">
        <x:v>0.040824</x:v>
      </x:c>
      <x:c r="O716" s="34" t="n">
        <x:v>31</x:v>
      </x:c>
      <x:c r="P716" s="34" t="n">
        <x:v>1</x:v>
      </x:c>
      <x:c r="Q716" s="34" t="n">
        <x:v>31</x:v>
      </x:c>
      <x:c r="R716" s="33" t="n">
        <x:v>34</x:v>
      </x:c>
      <x:c r="S716" s="38" t="n">
        <x:v>1.054</x:v>
      </x:c>
      <x:c r="T716" s="38" t="n">
        <x:v>0.12648</x:v>
      </x:c>
      <x:c r="U716" s="38" t="n">
        <x:v>0.0510136</x:v>
      </x:c>
      <x:c r="V716" s="38" t="n">
        <x:v>0.8765064</x:v>
      </x:c>
      <x:c r="W716" s="38" t="n">
        <x:v>0.42377</x:v>
      </x:c>
      <x:c r="X716" s="38" t="n">
        <x:v>0.0254186856</x:v>
      </x:c>
      <x:c r="Y716" s="38" t="n">
        <x:v>0.052590384</x:v>
      </x:c>
      <x:c r="Z716" s="38" t="n">
        <x:v>0.1581</x:v>
      </x:c>
      <x:c r="AA716" s="38" t="n">
        <x:v>0.05425</x:v>
      </x:c>
      <x:c r="AB716" s="38" t="n">
        <x:v>0.001736</x:v>
      </x:c>
      <x:c r="AC716" s="38" t="n">
        <x:v>0.1606413304000001</x:v>
      </x:c>
      <x:c r="AD716" s="28" t="n">
        <x:v>0.18327456639221354</x:v>
      </x:c>
    </x:row>
    <x:row r="717">
      <x:c r="A717" s="32" t="n">
        <x:v>45908</x:v>
      </x:c>
      <x:c r="B717" s="32" t="n">
        <x:v>45901</x:v>
      </x:c>
      <x:c r="C717" t="str">
        <x:v>Sep 2025</x:v>
      </x:c>
      <x:c r="D717" t="str">
        <x:v>Actual</x:v>
      </x:c>
      <x:c r="E717" t="str">
        <x:v>DB-104</x:v>
      </x:c>
      <x:c r="F717" t="str">
        <x:v>SunNest Cooling Towel</x:v>
      </x:c>
      <x:c r="G717" t="str">
        <x:v>Consumable repeat</x:v>
      </x:c>
      <x:c r="H717" t="str">
        <x:v>Summer peak</x:v>
      </x:c>
      <x:c r="I717" t="str">
        <x:v>Active</x:v>
      </x:c>
      <x:c r="J717" t="str">
        <x:v>Shopify DTC</x:v>
      </x:c>
      <x:c r="K717" t="str">
        <x:v>Consumer</x:v>
      </x:c>
      <x:c r="L717" t="str">
        <x:v>All Geographies</x:v>
      </x:c>
      <x:c r="M717" s="34" t="n">
        <x:v>3620</x:v>
      </x:c>
      <x:c r="N717" s="28" t="n">
        <x:v>0.03312</x:v>
      </x:c>
      <x:c r="O717" s="34" t="n">
        <x:v>120</x:v>
      </x:c>
      <x:c r="P717" s="34" t="n">
        <x:v>1</x:v>
      </x:c>
      <x:c r="Q717" s="34" t="n">
        <x:v>120</x:v>
      </x:c>
      <x:c r="R717" s="33" t="n">
        <x:v>42</x:v>
      </x:c>
      <x:c r="S717" s="38" t="n">
        <x:v>5.04</x:v>
      </x:c>
      <x:c r="T717" s="38" t="n">
        <x:v>0.4032</x:v>
      </x:c>
      <x:c r="U717" s="38" t="n">
        <x:v>0.23184000000000002</x:v>
      </x:c>
      <x:c r="V717" s="38" t="n">
        <x:v>4.40496</x:v>
      </x:c>
      <x:c r="W717" s="38" t="n">
        <x:v>1.806</x:v>
      </x:c>
      <x:c r="X717" s="38" t="n">
        <x:v>0.12774384</x:v>
      </x:c>
      <x:c r="Y717" s="38" t="n">
        <x:v>0</x:v>
      </x:c>
      <x:c r="Z717" s="38" t="n">
        <x:v>0.49800000000000005</x:v>
      </x:c>
      <x:c r="AA717" s="38" t="n">
        <x:v>0.198</x:v>
      </x:c>
      <x:c r="AB717" s="38" t="n">
        <x:v>0.0033599999999999997</x:v>
      </x:c>
      <x:c r="AC717" s="38" t="n">
        <x:v>1.77185616</x:v>
      </x:c>
      <x:c r="AD717" s="28" t="n">
        <x:v>0.40224114634412117</x:v>
      </x:c>
    </x:row>
    <x:row r="718">
      <x:c r="A718" s="32" t="n">
        <x:v>45908</x:v>
      </x:c>
      <x:c r="B718" s="32" t="n">
        <x:v>45901</x:v>
      </x:c>
      <x:c r="C718" t="str">
        <x:v>Sep 2025</x:v>
      </x:c>
      <x:c r="D718" t="str">
        <x:v>Actual</x:v>
      </x:c>
      <x:c r="E718" t="str">
        <x:v>DB-104</x:v>
      </x:c>
      <x:c r="F718" t="str">
        <x:v>SunNest Cooling Towel</x:v>
      </x:c>
      <x:c r="G718" t="str">
        <x:v>Consumable repeat</x:v>
      </x:c>
      <x:c r="H718" t="str">
        <x:v>Summer peak</x:v>
      </x:c>
      <x:c r="I718" t="str">
        <x:v>Active</x:v>
      </x:c>
      <x:c r="J718" t="str">
        <x:v>Amazon Marketplace</x:v>
      </x:c>
      <x:c r="K718" t="str">
        <x:v>Marketplace Consumer</x:v>
      </x:c>
      <x:c r="L718" t="str">
        <x:v>All Geographies</x:v>
      </x:c>
      <x:c r="M718" s="34" t="n">
        <x:v>1810</x:v>
      </x:c>
      <x:c r="N718" s="28" t="n">
        <x:v>0.0390816</x:v>
      </x:c>
      <x:c r="O718" s="34" t="n">
        <x:v>71</x:v>
      </x:c>
      <x:c r="P718" s="34" t="n">
        <x:v>1</x:v>
      </x:c>
      <x:c r="Q718" s="34" t="n">
        <x:v>71</x:v>
      </x:c>
      <x:c r="R718" s="33" t="n">
        <x:v>42</x:v>
      </x:c>
      <x:c r="S718" s="38" t="n">
        <x:v>2.982</x:v>
      </x:c>
      <x:c r="T718" s="38" t="n">
        <x:v>0.1491</x:v>
      </x:c>
      <x:c r="U718" s="38" t="n">
        <x:v>0.14164500000000002</x:v>
      </x:c>
      <x:c r="V718" s="38" t="n">
        <x:v>2.6912550000000004</x:v>
      </x:c>
      <x:c r="W718" s="38" t="n">
        <x:v>1.0685499999999999</x:v>
      </x:c>
      <x:c r="X718" s="38" t="n">
        <x:v>0</x:v>
      </x:c>
      <x:c r="Y718" s="38" t="n">
        <x:v>0.40368825</x:v>
      </x:c>
      <x:c r="Z718" s="38" t="n">
        <x:v>0.3692</x:v>
      </x:c>
      <x:c r="AA718" s="38" t="n">
        <x:v>0.15265</x:v>
      </x:c>
      <x:c r="AB718" s="38" t="n">
        <x:v>0.0019879999999999997</x:v>
      </x:c>
      <x:c r="AC718" s="38" t="n">
        <x:v>0.6951787500000005</x:v>
      </x:c>
      <x:c r="AD718" s="28" t="n">
        <x:v>0.25831024930747937</x:v>
      </x:c>
    </x:row>
    <x:row r="719">
      <x:c r="A719" s="32" t="n">
        <x:v>45908</x:v>
      </x:c>
      <x:c r="B719" s="32" t="n">
        <x:v>45901</x:v>
      </x:c>
      <x:c r="C719" t="str">
        <x:v>Sep 2025</x:v>
      </x:c>
      <x:c r="D719" t="str">
        <x:v>Actual</x:v>
      </x:c>
      <x:c r="E719" t="str">
        <x:v>DB-104</x:v>
      </x:c>
      <x:c r="F719" t="str">
        <x:v>SunNest Cooling Towel</x:v>
      </x:c>
      <x:c r="G719" t="str">
        <x:v>Consumable repeat</x:v>
      </x:c>
      <x:c r="H719" t="str">
        <x:v>Summer peak</x:v>
      </x:c>
      <x:c r="I719" t="str">
        <x:v>Active</x:v>
      </x:c>
      <x:c r="J719" t="str">
        <x:v>Wholesale</x:v>
      </x:c>
      <x:c r="K719" t="str">
        <x:v>Retailer</x:v>
      </x:c>
      <x:c r="L719" t="str">
        <x:v>All Geographies</x:v>
      </x:c>
      <x:c r="M719" s="34" t="n">
        <x:v>1086</x:v>
      </x:c>
      <x:c r="N719" s="28" t="n">
        <x:v>0.018216000000000003</x:v>
      </x:c>
      <x:c r="O719" s="34" t="n">
        <x:v>20</x:v>
      </x:c>
      <x:c r="P719" s="34" t="n">
        <x:v>1</x:v>
      </x:c>
      <x:c r="Q719" s="34" t="n">
        <x:v>20</x:v>
      </x:c>
      <x:c r="R719" s="33" t="n">
        <x:v>42</x:v>
      </x:c>
      <x:c r="S719" s="38" t="n">
        <x:v>0.84</x:v>
      </x:c>
      <x:c r="T719" s="38" t="n">
        <x:v>0.294</x:v>
      </x:c>
      <x:c r="U719" s="38" t="n">
        <x:v>0.027300000000000005</x:v>
      </x:c>
      <x:c r="V719" s="38" t="n">
        <x:v>0.5187</x:v>
      </x:c>
      <x:c r="W719" s="38" t="n">
        <x:v>0.301</x:v>
      </x:c>
      <x:c r="X719" s="38" t="n">
        <x:v>0</x:v>
      </x:c>
      <x:c r="Y719" s="38" t="n">
        <x:v>0</x:v>
      </x:c>
      <x:c r="Z719" s="38" t="n">
        <x:v>0.046</x:v>
      </x:c>
      <x:c r="AA719" s="38" t="n">
        <x:v>0.017</x:v>
      </x:c>
      <x:c r="AB719" s="38" t="n">
        <x:v>0.00056</x:v>
      </x:c>
      <x:c r="AC719" s="38" t="n">
        <x:v>0.15414000000000005</x:v>
      </x:c>
      <x:c r="AD719" s="28" t="n">
        <x:v>0.2971659919028341</x:v>
      </x:c>
    </x:row>
    <x:row r="720">
      <x:c r="A720" s="32" t="n">
        <x:v>45908</x:v>
      </x:c>
      <x:c r="B720" s="32" t="n">
        <x:v>45901</x:v>
      </x:c>
      <x:c r="C720" t="str">
        <x:v>Sep 2025</x:v>
      </x:c>
      <x:c r="D720" t="str">
        <x:v>Actual</x:v>
      </x:c>
      <x:c r="E720" t="str">
        <x:v>DB-104</x:v>
      </x:c>
      <x:c r="F720" t="str">
        <x:v>SunNest Cooling Towel</x:v>
      </x:c>
      <x:c r="G720" t="str">
        <x:v>Consumable repeat</x:v>
      </x:c>
      <x:c r="H720" t="str">
        <x:v>Summer peak</x:v>
      </x:c>
      <x:c r="I720" t="str">
        <x:v>Active</x:v>
      </x:c>
      <x:c r="J720" t="str">
        <x:v>TikTok Shop</x:v>
      </x:c>
      <x:c r="K720" t="str">
        <x:v>Social Commerce</x:v>
      </x:c>
      <x:c r="L720" t="str">
        <x:v>All Geographies</x:v>
      </x:c>
      <x:c r="M720" s="34" t="n">
        <x:v>724</x:v>
      </x:c>
      <x:c r="N720" s="28" t="n">
        <x:v>0.0417312</x:v>
      </x:c>
      <x:c r="O720" s="34" t="n">
        <x:v>30</x:v>
      </x:c>
      <x:c r="P720" s="34" t="n">
        <x:v>1</x:v>
      </x:c>
      <x:c r="Q720" s="34" t="n">
        <x:v>30</x:v>
      </x:c>
      <x:c r="R720" s="33" t="n">
        <x:v>42</x:v>
      </x:c>
      <x:c r="S720" s="38" t="n">
        <x:v>1.26</x:v>
      </x:c>
      <x:c r="T720" s="38" t="n">
        <x:v>0.1512</x:v>
      </x:c>
      <x:c r="U720" s="38" t="n">
        <x:v>0.05544</x:v>
      </x:c>
      <x:c r="V720" s="38" t="n">
        <x:v>1.05336</x:v>
      </x:c>
      <x:c r="W720" s="38" t="n">
        <x:v>0.4515</x:v>
      </x:c>
      <x:c r="X720" s="38" t="n">
        <x:v>0.030547440000000002</x:v>
      </x:c>
      <x:c r="Y720" s="38" t="n">
        <x:v>0.0632016</x:v>
      </x:c>
      <x:c r="Z720" s="38" t="n">
        <x:v>0.153</x:v>
      </x:c>
      <x:c r="AA720" s="38" t="n">
        <x:v>0.0525</x:v>
      </x:c>
      <x:c r="AB720" s="38" t="n">
        <x:v>0.0008399999999999999</x:v>
      </x:c>
      <x:c r="AC720" s="38" t="n">
        <x:v>0.3017709600000001</x:v>
      </x:c>
      <x:c r="AD720" s="28" t="n">
        <x:v>0.28648416495784923</x:v>
      </x:c>
    </x:row>
    <x:row r="721">
      <x:c r="A721" s="32" t="n">
        <x:v>45908</x:v>
      </x:c>
      <x:c r="B721" s="32" t="n">
        <x:v>45901</x:v>
      </x:c>
      <x:c r="C721" t="str">
        <x:v>Sep 2025</x:v>
      </x:c>
      <x:c r="D721" t="str">
        <x:v>Actual</x:v>
      </x:c>
      <x:c r="E721" t="str">
        <x:v>DB-105</x:v>
      </x:c>
      <x:c r="F721" t="str">
        <x:v>DreamFuel Refill Pack</x:v>
      </x:c>
      <x:c r="G721" t="str">
        <x:v>Subscription</x:v>
      </x:c>
      <x:c r="H721" t="str">
        <x:v>None</x:v>
      </x:c>
      <x:c r="I721" t="str">
        <x:v>Active</x:v>
      </x:c>
      <x:c r="J721" t="str">
        <x:v>Shopify DTC</x:v>
      </x:c>
      <x:c r="K721" t="str">
        <x:v>Consumer</x:v>
      </x:c>
      <x:c r="L721" t="str">
        <x:v>All Geographies</x:v>
      </x:c>
      <x:c r="M721" s="34" t="n">
        <x:v>3911</x:v>
      </x:c>
      <x:c r="N721" s="28" t="n">
        <x:v>0.03888</x:v>
      </x:c>
      <x:c r="O721" s="34" t="n">
        <x:v>152</x:v>
      </x:c>
      <x:c r="P721" s="34" t="n">
        <x:v>1</x:v>
      </x:c>
      <x:c r="Q721" s="34" t="n">
        <x:v>152</x:v>
      </x:c>
      <x:c r="R721" s="33" t="n">
        <x:v>56</x:v>
      </x:c>
      <x:c r="S721" s="38" t="n">
        <x:v>8.512</x:v>
      </x:c>
      <x:c r="T721" s="38" t="n">
        <x:v>0.68096</x:v>
      </x:c>
      <x:c r="U721" s="38" t="n">
        <x:v>0.1566208</x:v>
      </x:c>
      <x:c r="V721" s="38" t="n">
        <x:v>7.674419200000001</x:v>
      </x:c>
      <x:c r="W721" s="38" t="n">
        <x:v>2.8302400000000003</x:v>
      </x:c>
      <x:c r="X721" s="38" t="n">
        <x:v>0.22255815680000005</x:v>
      </x:c>
      <x:c r="Y721" s="38" t="n">
        <x:v>0</x:v>
      </x:c>
      <x:c r="Z721" s="38" t="n">
        <x:v>0.6308</x:v>
      </x:c>
      <x:c r="AA721" s="38" t="n">
        <x:v>0.25079999999999997</x:v>
      </x:c>
      <x:c r="AB721" s="38" t="n">
        <x:v>0.0005472000000000001</x:v>
      </x:c>
      <x:c r="AC721" s="38" t="n">
        <x:v>3.739473843200001</x:v>
      </x:c>
      <x:c r="AD721" s="28" t="n">
        <x:v>0.48726473570794787</x:v>
      </x:c>
    </x:row>
    <x:row r="722">
      <x:c r="A722" s="32" t="n">
        <x:v>45908</x:v>
      </x:c>
      <x:c r="B722" s="32" t="n">
        <x:v>45901</x:v>
      </x:c>
      <x:c r="C722" t="str">
        <x:v>Sep 2025</x:v>
      </x:c>
      <x:c r="D722" t="str">
        <x:v>Actual</x:v>
      </x:c>
      <x:c r="E722" t="str">
        <x:v>DB-105</x:v>
      </x:c>
      <x:c r="F722" t="str">
        <x:v>DreamFuel Refill Pack</x:v>
      </x:c>
      <x:c r="G722" t="str">
        <x:v>Subscription</x:v>
      </x:c>
      <x:c r="H722" t="str">
        <x:v>None</x:v>
      </x:c>
      <x:c r="I722" t="str">
        <x:v>Active</x:v>
      </x:c>
      <x:c r="J722" t="str">
        <x:v>Amazon Marketplace</x:v>
      </x:c>
      <x:c r="K722" t="str">
        <x:v>Marketplace Consumer</x:v>
      </x:c>
      <x:c r="L722" t="str">
        <x:v>All Geographies</x:v>
      </x:c>
      <x:c r="M722" s="34" t="n">
        <x:v>1955</x:v>
      </x:c>
      <x:c r="N722" s="28" t="n">
        <x:v>0.0458784</x:v>
      </x:c>
      <x:c r="O722" s="34" t="n">
        <x:v>90</x:v>
      </x:c>
      <x:c r="P722" s="34" t="n">
        <x:v>1</x:v>
      </x:c>
      <x:c r="Q722" s="34" t="n">
        <x:v>90</x:v>
      </x:c>
      <x:c r="R722" s="33" t="n">
        <x:v>56</x:v>
      </x:c>
      <x:c r="S722" s="38" t="n">
        <x:v>5.04</x:v>
      </x:c>
      <x:c r="T722" s="38" t="n">
        <x:v>0.252</x:v>
      </x:c>
      <x:c r="U722" s="38" t="n">
        <x:v>0.09576000000000001</x:v>
      </x:c>
      <x:c r="V722" s="38" t="n">
        <x:v>4.69224</x:v>
      </x:c>
      <x:c r="W722" s="38" t="n">
        <x:v>1.6758000000000002</x:v>
      </x:c>
      <x:c r="X722" s="38" t="n">
        <x:v>0</x:v>
      </x:c>
      <x:c r="Y722" s="38" t="n">
        <x:v>0.703836</x:v>
      </x:c>
      <x:c r="Z722" s="38" t="n">
        <x:v>0.468</x:v>
      </x:c>
      <x:c r="AA722" s="38" t="n">
        <x:v>0.1935</x:v>
      </x:c>
      <x:c r="AB722" s="38" t="n">
        <x:v>0.000324</x:v>
      </x:c>
      <x:c r="AC722" s="38" t="n">
        <x:v>1.65078</x:v>
      </x:c>
      <x:c r="AD722" s="28" t="n">
        <x:v>0.3518106490716587</x:v>
      </x:c>
    </x:row>
    <x:row r="723">
      <x:c r="A723" s="32" t="n">
        <x:v>45908</x:v>
      </x:c>
      <x:c r="B723" s="32" t="n">
        <x:v>45901</x:v>
      </x:c>
      <x:c r="C723" t="str">
        <x:v>Sep 2025</x:v>
      </x:c>
      <x:c r="D723" t="str">
        <x:v>Actual</x:v>
      </x:c>
      <x:c r="E723" t="str">
        <x:v>DB-105</x:v>
      </x:c>
      <x:c r="F723" t="str">
        <x:v>DreamFuel Refill Pack</x:v>
      </x:c>
      <x:c r="G723" t="str">
        <x:v>Subscription</x:v>
      </x:c>
      <x:c r="H723" t="str">
        <x:v>None</x:v>
      </x:c>
      <x:c r="I723" t="str">
        <x:v>Active</x:v>
      </x:c>
      <x:c r="J723" t="str">
        <x:v>Wholesale</x:v>
      </x:c>
      <x:c r="K723" t="str">
        <x:v>Retailer</x:v>
      </x:c>
      <x:c r="L723" t="str">
        <x:v>All Geographies</x:v>
      </x:c>
      <x:c r="M723" s="34" t="n">
        <x:v>1173</x:v>
      </x:c>
      <x:c r="N723" s="28" t="n">
        <x:v>0.021384000000000004</x:v>
      </x:c>
      <x:c r="O723" s="34" t="n">
        <x:v>25</x:v>
      </x:c>
      <x:c r="P723" s="34" t="n">
        <x:v>1</x:v>
      </x:c>
      <x:c r="Q723" s="34" t="n">
        <x:v>25</x:v>
      </x:c>
      <x:c r="R723" s="33" t="n">
        <x:v>56</x:v>
      </x:c>
      <x:c r="S723" s="38" t="n">
        <x:v>1.4</x:v>
      </x:c>
      <x:c r="T723" s="38" t="n">
        <x:v>0.48999999999999994</x:v>
      </x:c>
      <x:c r="U723" s="38" t="n">
        <x:v>0.018199999999999997</x:v>
      </x:c>
      <x:c r="V723" s="38" t="n">
        <x:v>0.8917999999999999</x:v>
      </x:c>
      <x:c r="W723" s="38" t="n">
        <x:v>0.4655</x:v>
      </x:c>
      <x:c r="X723" s="38" t="n">
        <x:v>0</x:v>
      </x:c>
      <x:c r="Y723" s="38" t="n">
        <x:v>0</x:v>
      </x:c>
      <x:c r="Z723" s="38" t="n">
        <x:v>0.057499999999999996</x:v>
      </x:c>
      <x:c r="AA723" s="38" t="n">
        <x:v>0.02125</x:v>
      </x:c>
      <x:c r="AB723" s="38" t="n">
        <x:v>0.00008999999999999999</x:v>
      </x:c>
      <x:c r="AC723" s="38" t="n">
        <x:v>0.34745999999999994</x:v>
      </x:c>
      <x:c r="AD723" s="28" t="n">
        <x:v>0.38961650594303654</x:v>
      </x:c>
    </x:row>
    <x:row r="724">
      <x:c r="A724" s="32" t="n">
        <x:v>45908</x:v>
      </x:c>
      <x:c r="B724" s="32" t="n">
        <x:v>45901</x:v>
      </x:c>
      <x:c r="C724" t="str">
        <x:v>Sep 2025</x:v>
      </x:c>
      <x:c r="D724" t="str">
        <x:v>Actual</x:v>
      </x:c>
      <x:c r="E724" t="str">
        <x:v>DB-105</x:v>
      </x:c>
      <x:c r="F724" t="str">
        <x:v>DreamFuel Refill Pack</x:v>
      </x:c>
      <x:c r="G724" t="str">
        <x:v>Subscription</x:v>
      </x:c>
      <x:c r="H724" t="str">
        <x:v>None</x:v>
      </x:c>
      <x:c r="I724" t="str">
        <x:v>Active</x:v>
      </x:c>
      <x:c r="J724" t="str">
        <x:v>TikTok Shop</x:v>
      </x:c>
      <x:c r="K724" t="str">
        <x:v>Social Commerce</x:v>
      </x:c>
      <x:c r="L724" t="str">
        <x:v>All Geographies</x:v>
      </x:c>
      <x:c r="M724" s="34" t="n">
        <x:v>782</x:v>
      </x:c>
      <x:c r="N724" s="28" t="n">
        <x:v>0.0489888</x:v>
      </x:c>
      <x:c r="O724" s="34" t="n">
        <x:v>38</x:v>
      </x:c>
      <x:c r="P724" s="34" t="n">
        <x:v>1</x:v>
      </x:c>
      <x:c r="Q724" s="34" t="n">
        <x:v>38</x:v>
      </x:c>
      <x:c r="R724" s="33" t="n">
        <x:v>56</x:v>
      </x:c>
      <x:c r="S724" s="38" t="n">
        <x:v>2.128</x:v>
      </x:c>
      <x:c r="T724" s="38" t="n">
        <x:v>0.25536000000000003</x:v>
      </x:c>
      <x:c r="U724" s="38" t="n">
        <x:v>0.0374528</x:v>
      </x:c>
      <x:c r="V724" s="38" t="n">
        <x:v>1.8351872</x:v>
      </x:c>
      <x:c r="W724" s="38" t="n">
        <x:v>0.7075600000000001</x:v>
      </x:c>
      <x:c r="X724" s="38" t="n">
        <x:v>0.053220428800000004</x:v>
      </x:c>
      <x:c r="Y724" s="38" t="n">
        <x:v>0.110111232</x:v>
      </x:c>
      <x:c r="Z724" s="38" t="n">
        <x:v>0.19379999999999997</x:v>
      </x:c>
      <x:c r="AA724" s="38" t="n">
        <x:v>0.0665</x:v>
      </x:c>
      <x:c r="AB724" s="38" t="n">
        <x:v>0.00013680000000000002</x:v>
      </x:c>
      <x:c r="AC724" s="38" t="n">
        <x:v>0.7038587392000001</x:v>
      </x:c>
      <x:c r="AD724" s="28" t="n">
        <x:v>0.38353511794328127</x:v>
      </x:c>
    </x:row>
    <x:row r="725">
      <x:c r="A725" s="32" t="n">
        <x:v>45915</x:v>
      </x:c>
      <x:c r="B725" s="32" t="n">
        <x:v>45901</x:v>
      </x:c>
      <x:c r="C725" t="str">
        <x:v>Sep 2025</x:v>
      </x:c>
      <x:c r="D725" t="str">
        <x:v>Actual</x:v>
      </x:c>
      <x:c r="E725" t="str">
        <x:v>DB-101</x:v>
      </x:c>
      <x:c r="F725" t="str">
        <x:v>AeroSip Bottle</x:v>
      </x:c>
      <x:c r="G725" t="str">
        <x:v>One-time purchase</x:v>
      </x:c>
      <x:c r="H725" t="str">
        <x:v>None</x:v>
      </x:c>
      <x:c r="I725" t="str">
        <x:v>Active</x:v>
      </x:c>
      <x:c r="J725" t="str">
        <x:v>Shopify DTC</x:v>
      </x:c>
      <x:c r="K725" t="str">
        <x:v>Consumer</x:v>
      </x:c>
      <x:c r="L725" t="str">
        <x:v>All Geographies</x:v>
      </x:c>
      <x:c r="M725" s="34" t="n">
        <x:v>5670</x:v>
      </x:c>
      <x:c r="N725" s="28" t="n">
        <x:v>0.034199999999999994</x:v>
      </x:c>
      <x:c r="O725" s="34" t="n">
        <x:v>194</x:v>
      </x:c>
      <x:c r="P725" s="34" t="n">
        <x:v>1</x:v>
      </x:c>
      <x:c r="Q725" s="34" t="n">
        <x:v>194</x:v>
      </x:c>
      <x:c r="R725" s="33" t="n">
        <x:v>29</x:v>
      </x:c>
      <x:c r="S725" s="38" t="n">
        <x:v>5.626</x:v>
      </x:c>
      <x:c r="T725" s="38" t="n">
        <x:v>0.45008000000000004</x:v>
      </x:c>
      <x:c r="U725" s="38" t="n">
        <x:v>0.23291640000000002</x:v>
      </x:c>
      <x:c r="V725" s="38" t="n">
        <x:v>4.943003600000001</x:v>
      </x:c>
      <x:c r="W725" s="38" t="n">
        <x:v>2.0952</x:v>
      </x:c>
      <x:c r="X725" s="38" t="n">
        <x:v>0.14334710440000004</x:v>
      </x:c>
      <x:c r="Y725" s="38" t="n">
        <x:v>0</x:v>
      </x:c>
      <x:c r="Z725" s="38" t="n">
        <x:v>0.8051</x:v>
      </x:c>
      <x:c r="AA725" s="38" t="n">
        <x:v>0.32009999999999994</x:v>
      </x:c>
      <x:c r="AB725" s="38" t="n">
        <x:v>0.006984</x:v>
      </x:c>
      <x:c r="AC725" s="38" t="n">
        <x:v>1.5722724956000005</x:v>
      </x:c>
      <x:c r="AD725" s="28" t="n">
        <x:v>0.31808038650831655</x:v>
      </x:c>
    </x:row>
    <x:row r="726">
      <x:c r="A726" s="32" t="n">
        <x:v>45915</x:v>
      </x:c>
      <x:c r="B726" s="32" t="n">
        <x:v>45901</x:v>
      </x:c>
      <x:c r="C726" t="str">
        <x:v>Sep 2025</x:v>
      </x:c>
      <x:c r="D726" t="str">
        <x:v>Actual</x:v>
      </x:c>
      <x:c r="E726" t="str">
        <x:v>DB-101</x:v>
      </x:c>
      <x:c r="F726" t="str">
        <x:v>AeroSip Bottle</x:v>
      </x:c>
      <x:c r="G726" t="str">
        <x:v>One-time purchase</x:v>
      </x:c>
      <x:c r="H726" t="str">
        <x:v>None</x:v>
      </x:c>
      <x:c r="I726" t="str">
        <x:v>Active</x:v>
      </x:c>
      <x:c r="J726" t="str">
        <x:v>Amazon Marketplace</x:v>
      </x:c>
      <x:c r="K726" t="str">
        <x:v>Marketplace Consumer</x:v>
      </x:c>
      <x:c r="L726" t="str">
        <x:v>All Geographies</x:v>
      </x:c>
      <x:c r="M726" s="34" t="n">
        <x:v>2835</x:v>
      </x:c>
      <x:c r="N726" s="28" t="n">
        <x:v>0.040355999999999996</x:v>
      </x:c>
      <x:c r="O726" s="34" t="n">
        <x:v>114</x:v>
      </x:c>
      <x:c r="P726" s="34" t="n">
        <x:v>1</x:v>
      </x:c>
      <x:c r="Q726" s="34" t="n">
        <x:v>114</x:v>
      </x:c>
      <x:c r="R726" s="33" t="n">
        <x:v>29</x:v>
      </x:c>
      <x:c r="S726" s="38" t="n">
        <x:v>3.306</x:v>
      </x:c>
      <x:c r="T726" s="38" t="n">
        <x:v>0.1653</x:v>
      </x:c>
      <x:c r="U726" s="38" t="n">
        <x:v>0.1413315</x:v>
      </x:c>
      <x:c r="V726" s="38" t="n">
        <x:v>2.9993684999999997</x:v>
      </x:c>
      <x:c r="W726" s="38" t="n">
        <x:v>1.2312</x:v>
      </x:c>
      <x:c r="X726" s="38" t="n">
        <x:v>0</x:v>
      </x:c>
      <x:c r="Y726" s="38" t="n">
        <x:v>0.44990527499999994</x:v>
      </x:c>
      <x:c r="Z726" s="38" t="n">
        <x:v>0.5928000000000001</x:v>
      </x:c>
      <x:c r="AA726" s="38" t="n">
        <x:v>0.24509999999999998</x:v>
      </x:c>
      <x:c r="AB726" s="38" t="n">
        <x:v>0.004104</x:v>
      </x:c>
      <x:c r="AC726" s="38" t="n">
        <x:v>0.4762592249999996</x:v>
      </x:c>
      <x:c r="AD726" s="28" t="n">
        <x:v>0.15878649955815688</x:v>
      </x:c>
    </x:row>
    <x:row r="727">
      <x:c r="A727" s="32" t="n">
        <x:v>45915</x:v>
      </x:c>
      <x:c r="B727" s="32" t="n">
        <x:v>45901</x:v>
      </x:c>
      <x:c r="C727" t="str">
        <x:v>Sep 2025</x:v>
      </x:c>
      <x:c r="D727" t="str">
        <x:v>Actual</x:v>
      </x:c>
      <x:c r="E727" t="str">
        <x:v>DB-101</x:v>
      </x:c>
      <x:c r="F727" t="str">
        <x:v>AeroSip Bottle</x:v>
      </x:c>
      <x:c r="G727" t="str">
        <x:v>One-time purchase</x:v>
      </x:c>
      <x:c r="H727" t="str">
        <x:v>None</x:v>
      </x:c>
      <x:c r="I727" t="str">
        <x:v>Active</x:v>
      </x:c>
      <x:c r="J727" t="str">
        <x:v>Wholesale</x:v>
      </x:c>
      <x:c r="K727" t="str">
        <x:v>Retailer</x:v>
      </x:c>
      <x:c r="L727" t="str">
        <x:v>All Geographies</x:v>
      </x:c>
      <x:c r="M727" s="34" t="n">
        <x:v>1701</x:v>
      </x:c>
      <x:c r="N727" s="28" t="n">
        <x:v>0.01881</x:v>
      </x:c>
      <x:c r="O727" s="34" t="n">
        <x:v>32</x:v>
      </x:c>
      <x:c r="P727" s="34" t="n">
        <x:v>1</x:v>
      </x:c>
      <x:c r="Q727" s="34" t="n">
        <x:v>32</x:v>
      </x:c>
      <x:c r="R727" s="33" t="n">
        <x:v>29</x:v>
      </x:c>
      <x:c r="S727" s="38" t="n">
        <x:v>0.928</x:v>
      </x:c>
      <x:c r="T727" s="38" t="n">
        <x:v>0.3248</x:v>
      </x:c>
      <x:c r="U727" s="38" t="n">
        <x:v>0.027144</x:v>
      </x:c>
      <x:c r="V727" s="38" t="n">
        <x:v>0.5760560000000001</x:v>
      </x:c>
      <x:c r="W727" s="38" t="n">
        <x:v>0.3456</x:v>
      </x:c>
      <x:c r="X727" s="38" t="n">
        <x:v>0</x:v>
      </x:c>
      <x:c r="Y727" s="38" t="n">
        <x:v>0</x:v>
      </x:c>
      <x:c r="Z727" s="38" t="n">
        <x:v>0.0736</x:v>
      </x:c>
      <x:c r="AA727" s="38" t="n">
        <x:v>0.0272</x:v>
      </x:c>
      <x:c r="AB727" s="38" t="n">
        <x:v>0.001152</x:v>
      </x:c>
      <x:c r="AC727" s="38" t="n">
        <x:v>0.12850400000000012</x:v>
      </x:c>
      <x:c r="AD727" s="28" t="n">
        <x:v>0.22307553432305208</x:v>
      </x:c>
    </x:row>
    <x:row r="728">
      <x:c r="A728" s="32" t="n">
        <x:v>45915</x:v>
      </x:c>
      <x:c r="B728" s="32" t="n">
        <x:v>45901</x:v>
      </x:c>
      <x:c r="C728" t="str">
        <x:v>Sep 2025</x:v>
      </x:c>
      <x:c r="D728" t="str">
        <x:v>Actual</x:v>
      </x:c>
      <x:c r="E728" t="str">
        <x:v>DB-101</x:v>
      </x:c>
      <x:c r="F728" t="str">
        <x:v>AeroSip Bottle</x:v>
      </x:c>
      <x:c r="G728" t="str">
        <x:v>One-time purchase</x:v>
      </x:c>
      <x:c r="H728" t="str">
        <x:v>None</x:v>
      </x:c>
      <x:c r="I728" t="str">
        <x:v>Active</x:v>
      </x:c>
      <x:c r="J728" t="str">
        <x:v>TikTok Shop</x:v>
      </x:c>
      <x:c r="K728" t="str">
        <x:v>Social Commerce</x:v>
      </x:c>
      <x:c r="L728" t="str">
        <x:v>All Geographies</x:v>
      </x:c>
      <x:c r="M728" s="34" t="n">
        <x:v>1134</x:v>
      </x:c>
      <x:c r="N728" s="28" t="n">
        <x:v>0.043092</x:v>
      </x:c>
      <x:c r="O728" s="34" t="n">
        <x:v>49</x:v>
      </x:c>
      <x:c r="P728" s="34" t="n">
        <x:v>1</x:v>
      </x:c>
      <x:c r="Q728" s="34" t="n">
        <x:v>49</x:v>
      </x:c>
      <x:c r="R728" s="33" t="n">
        <x:v>29</x:v>
      </x:c>
      <x:c r="S728" s="38" t="n">
        <x:v>1.421</x:v>
      </x:c>
      <x:c r="T728" s="38" t="n">
        <x:v>0.17052</x:v>
      </x:c>
      <x:c r="U728" s="38" t="n">
        <x:v>0.0562716</x:v>
      </x:c>
      <x:c r="V728" s="38" t="n">
        <x:v>1.1942084</x:v>
      </x:c>
      <x:c r="W728" s="38" t="n">
        <x:v>0.5292</x:v>
      </x:c>
      <x:c r="X728" s="38" t="n">
        <x:v>0.0346320436</x:v>
      </x:c>
      <x:c r="Y728" s="38" t="n">
        <x:v>0.07165250399999999</x:v>
      </x:c>
      <x:c r="Z728" s="38" t="n">
        <x:v>0.24989999999999998</x:v>
      </x:c>
      <x:c r="AA728" s="38" t="n">
        <x:v>0.08575</x:v>
      </x:c>
      <x:c r="AB728" s="38" t="n">
        <x:v>0.0017639999999999997</x:v>
      </x:c>
      <x:c r="AC728" s="38" t="n">
        <x:v>0.2213098523999999</x:v>
      </x:c>
      <x:c r="AD728" s="28" t="n">
        <x:v>0.18531928966501987</x:v>
      </x:c>
    </x:row>
    <x:row r="729">
      <x:c r="A729" s="32" t="n">
        <x:v>45915</x:v>
      </x:c>
      <x:c r="B729" s="32" t="n">
        <x:v>45901</x:v>
      </x:c>
      <x:c r="C729" t="str">
        <x:v>Sep 2025</x:v>
      </x:c>
      <x:c r="D729" t="str">
        <x:v>Actual</x:v>
      </x:c>
      <x:c r="E729" t="str">
        <x:v>DB-102</x:v>
      </x:c>
      <x:c r="F729" t="str">
        <x:v>GlowPatch Balm</x:v>
      </x:c>
      <x:c r="G729" t="str">
        <x:v>Consumable repeat</x:v>
      </x:c>
      <x:c r="H729" t="str">
        <x:v>None</x:v>
      </x:c>
      <x:c r="I729" t="str">
        <x:v>Active</x:v>
      </x:c>
      <x:c r="J729" t="str">
        <x:v>Shopify DTC</x:v>
      </x:c>
      <x:c r="K729" t="str">
        <x:v>Consumer</x:v>
      </x:c>
      <x:c r="L729" t="str">
        <x:v>All Geographies</x:v>
      </x:c>
      <x:c r="M729" s="34" t="n">
        <x:v>4579</x:v>
      </x:c>
      <x:c r="N729" s="28" t="n">
        <x:v>0.04248</x:v>
      </x:c>
      <x:c r="O729" s="34" t="n">
        <x:v>195</x:v>
      </x:c>
      <x:c r="P729" s="34" t="n">
        <x:v>1</x:v>
      </x:c>
      <x:c r="Q729" s="34" t="n">
        <x:v>195</x:v>
      </x:c>
      <x:c r="R729" s="33" t="n">
        <x:v>18</x:v>
      </x:c>
      <x:c r="S729" s="38" t="n">
        <x:v>3.51</x:v>
      </x:c>
      <x:c r="T729" s="38" t="n">
        <x:v>0.2808</x:v>
      </x:c>
      <x:c r="U729" s="38" t="n">
        <x:v>0.08073</x:v>
      </x:c>
      <x:c r="V729" s="38" t="n">
        <x:v>3.1484699999999997</x:v>
      </x:c>
      <x:c r="W729" s="38" t="n">
        <x:v>1.05495</x:v>
      </x:c>
      <x:c r="X729" s="38" t="n">
        <x:v>0.09130563</x:v>
      </x:c>
      <x:c r="Y729" s="38" t="n">
        <x:v>0</x:v>
      </x:c>
      <x:c r="Z729" s="38" t="n">
        <x:v>0.8092500000000001</x:v>
      </x:c>
      <x:c r="AA729" s="38" t="n">
        <x:v>0.32175</x:v>
      </x:c>
      <x:c r="AB729" s="38" t="n">
        <x:v>0.00117</x:v>
      </x:c>
      <x:c r="AC729" s="38" t="n">
        <x:v>0.8700443699999999</x:v>
      </x:c>
      <x:c r="AD729" s="28" t="n">
        <x:v>0.27633878359965314</x:v>
      </x:c>
    </x:row>
    <x:row r="730">
      <x:c r="A730" s="32" t="n">
        <x:v>45915</x:v>
      </x:c>
      <x:c r="B730" s="32" t="n">
        <x:v>45901</x:v>
      </x:c>
      <x:c r="C730" t="str">
        <x:v>Sep 2025</x:v>
      </x:c>
      <x:c r="D730" t="str">
        <x:v>Actual</x:v>
      </x:c>
      <x:c r="E730" t="str">
        <x:v>DB-102</x:v>
      </x:c>
      <x:c r="F730" t="str">
        <x:v>GlowPatch Balm</x:v>
      </x:c>
      <x:c r="G730" t="str">
        <x:v>Consumable repeat</x:v>
      </x:c>
      <x:c r="H730" t="str">
        <x:v>None</x:v>
      </x:c>
      <x:c r="I730" t="str">
        <x:v>Active</x:v>
      </x:c>
      <x:c r="J730" t="str">
        <x:v>Amazon Marketplace</x:v>
      </x:c>
      <x:c r="K730" t="str">
        <x:v>Marketplace Consumer</x:v>
      </x:c>
      <x:c r="L730" t="str">
        <x:v>All Geographies</x:v>
      </x:c>
      <x:c r="M730" s="34" t="n">
        <x:v>2290</x:v>
      </x:c>
      <x:c r="N730" s="28" t="n">
        <x:v>0.050126399999999995</x:v>
      </x:c>
      <x:c r="O730" s="34" t="n">
        <x:v>115</x:v>
      </x:c>
      <x:c r="P730" s="34" t="n">
        <x:v>1</x:v>
      </x:c>
      <x:c r="Q730" s="34" t="n">
        <x:v>115</x:v>
      </x:c>
      <x:c r="R730" s="33" t="n">
        <x:v>18</x:v>
      </x:c>
      <x:c r="S730" s="38" t="n">
        <x:v>2.07</x:v>
      </x:c>
      <x:c r="T730" s="38" t="n">
        <x:v>0.1035</x:v>
      </x:c>
      <x:c r="U730" s="38" t="n">
        <x:v>0.0491625</x:v>
      </x:c>
      <x:c r="V730" s="38" t="n">
        <x:v>1.9173375</x:v>
      </x:c>
      <x:c r="W730" s="38" t="n">
        <x:v>0.62215</x:v>
      </x:c>
      <x:c r="X730" s="38" t="n">
        <x:v>0</x:v>
      </x:c>
      <x:c r="Y730" s="38" t="n">
        <x:v>0.287600625</x:v>
      </x:c>
      <x:c r="Z730" s="38" t="n">
        <x:v>0.598</x:v>
      </x:c>
      <x:c r="AA730" s="38" t="n">
        <x:v>0.24725</x:v>
      </x:c>
      <x:c r="AB730" s="38" t="n">
        <x:v>0.0006900000000000001</x:v>
      </x:c>
      <x:c r="AC730" s="38" t="n">
        <x:v>0.1616468749999999</x:v>
      </x:c>
      <x:c r="AD730" s="28" t="n">
        <x:v>0.084307992202729</x:v>
      </x:c>
    </x:row>
    <x:row r="731">
      <x:c r="A731" s="32" t="n">
        <x:v>45915</x:v>
      </x:c>
      <x:c r="B731" s="32" t="n">
        <x:v>45901</x:v>
      </x:c>
      <x:c r="C731" t="str">
        <x:v>Sep 2025</x:v>
      </x:c>
      <x:c r="D731" t="str">
        <x:v>Actual</x:v>
      </x:c>
      <x:c r="E731" t="str">
        <x:v>DB-102</x:v>
      </x:c>
      <x:c r="F731" t="str">
        <x:v>GlowPatch Balm</x:v>
      </x:c>
      <x:c r="G731" t="str">
        <x:v>Consumable repeat</x:v>
      </x:c>
      <x:c r="H731" t="str">
        <x:v>None</x:v>
      </x:c>
      <x:c r="I731" t="str">
        <x:v>Active</x:v>
      </x:c>
      <x:c r="J731" t="str">
        <x:v>Wholesale</x:v>
      </x:c>
      <x:c r="K731" t="str">
        <x:v>Retailer</x:v>
      </x:c>
      <x:c r="L731" t="str">
        <x:v>All Geographies</x:v>
      </x:c>
      <x:c r="M731" s="34" t="n">
        <x:v>1374</x:v>
      </x:c>
      <x:c r="N731" s="28" t="n">
        <x:v>0.023364</x:v>
      </x:c>
      <x:c r="O731" s="34" t="n">
        <x:v>32</x:v>
      </x:c>
      <x:c r="P731" s="34" t="n">
        <x:v>1</x:v>
      </x:c>
      <x:c r="Q731" s="34" t="n">
        <x:v>32</x:v>
      </x:c>
      <x:c r="R731" s="33" t="n">
        <x:v>18</x:v>
      </x:c>
      <x:c r="S731" s="38" t="n">
        <x:v>0.576</x:v>
      </x:c>
      <x:c r="T731" s="38" t="n">
        <x:v>0.20159999999999997</x:v>
      </x:c>
      <x:c r="U731" s="38" t="n">
        <x:v>0.009359999999999999</x:v>
      </x:c>
      <x:c r="V731" s="38" t="n">
        <x:v>0.36504</x:v>
      </x:c>
      <x:c r="W731" s="38" t="n">
        <x:v>0.17312</x:v>
      </x:c>
      <x:c r="X731" s="38" t="n">
        <x:v>0</x:v>
      </x:c>
      <x:c r="Y731" s="38" t="n">
        <x:v>0</x:v>
      </x:c>
      <x:c r="Z731" s="38" t="n">
        <x:v>0.0736</x:v>
      </x:c>
      <x:c r="AA731" s="38" t="n">
        <x:v>0.0272</x:v>
      </x:c>
      <x:c r="AB731" s="38" t="n">
        <x:v>0.000192</x:v>
      </x:c>
      <x:c r="AC731" s="38" t="n">
        <x:v>0.09092799999999998</x:v>
      </x:c>
      <x:c r="AD731" s="28" t="n">
        <x:v>0.24909051062897214</x:v>
      </x:c>
    </x:row>
    <x:row r="732">
      <x:c r="A732" s="32" t="n">
        <x:v>45915</x:v>
      </x:c>
      <x:c r="B732" s="32" t="n">
        <x:v>45901</x:v>
      </x:c>
      <x:c r="C732" t="str">
        <x:v>Sep 2025</x:v>
      </x:c>
      <x:c r="D732" t="str">
        <x:v>Actual</x:v>
      </x:c>
      <x:c r="E732" t="str">
        <x:v>DB-102</x:v>
      </x:c>
      <x:c r="F732" t="str">
        <x:v>GlowPatch Balm</x:v>
      </x:c>
      <x:c r="G732" t="str">
        <x:v>Consumable repeat</x:v>
      </x:c>
      <x:c r="H732" t="str">
        <x:v>None</x:v>
      </x:c>
      <x:c r="I732" t="str">
        <x:v>Active</x:v>
      </x:c>
      <x:c r="J732" t="str">
        <x:v>TikTok Shop</x:v>
      </x:c>
      <x:c r="K732" t="str">
        <x:v>Social Commerce</x:v>
      </x:c>
      <x:c r="L732" t="str">
        <x:v>All Geographies</x:v>
      </x:c>
      <x:c r="M732" s="34" t="n">
        <x:v>916</x:v>
      </x:c>
      <x:c r="N732" s="28" t="n">
        <x:v>0.0535248</x:v>
      </x:c>
      <x:c r="O732" s="34" t="n">
        <x:v>49</x:v>
      </x:c>
      <x:c r="P732" s="34" t="n">
        <x:v>1</x:v>
      </x:c>
      <x:c r="Q732" s="34" t="n">
        <x:v>49</x:v>
      </x:c>
      <x:c r="R732" s="33" t="n">
        <x:v>18</x:v>
      </x:c>
      <x:c r="S732" s="38" t="n">
        <x:v>0.882</x:v>
      </x:c>
      <x:c r="T732" s="38" t="n">
        <x:v>0.10584</x:v>
      </x:c>
      <x:c r="U732" s="38" t="n">
        <x:v>0.019404</x:v>
      </x:c>
      <x:c r="V732" s="38" t="n">
        <x:v>0.756756</x:v>
      </x:c>
      <x:c r="W732" s="38" t="n">
        <x:v>0.26509000000000005</x:v>
      </x:c>
      <x:c r="X732" s="38" t="n">
        <x:v>0.021945924000000002</x:v>
      </x:c>
      <x:c r="Y732" s="38" t="n">
        <x:v>0.04540536</x:v>
      </x:c>
      <x:c r="Z732" s="38" t="n">
        <x:v>0.24989999999999998</x:v>
      </x:c>
      <x:c r="AA732" s="38" t="n">
        <x:v>0.08575</x:v>
      </x:c>
      <x:c r="AB732" s="38" t="n">
        <x:v>0.00029400000000000004</x:v>
      </x:c>
      <x:c r="AC732" s="38" t="n">
        <x:v>0.08837071599999993</x:v>
      </x:c>
      <x:c r="AD732" s="28" t="n">
        <x:v>0.11677570577570569</x:v>
      </x:c>
    </x:row>
    <x:row r="733">
      <x:c r="A733" s="32" t="n">
        <x:v>45915</x:v>
      </x:c>
      <x:c r="B733" s="32" t="n">
        <x:v>45901</x:v>
      </x:c>
      <x:c r="C733" t="str">
        <x:v>Sep 2025</x:v>
      </x:c>
      <x:c r="D733" t="str">
        <x:v>Actual</x:v>
      </x:c>
      <x:c r="E733" t="str">
        <x:v>DB-103</x:v>
      </x:c>
      <x:c r="F733" t="str">
        <x:v>EmberTrail Camp Mug</x:v>
      </x:c>
      <x:c r="G733" t="str">
        <x:v>One-time purchase</x:v>
      </x:c>
      <x:c r="H733" t="str">
        <x:v>Winter peak</x:v>
      </x:c>
      <x:c r="I733" t="str">
        <x:v>Active</x:v>
      </x:c>
      <x:c r="J733" t="str">
        <x:v>Shopify DTC</x:v>
      </x:c>
      <x:c r="K733" t="str">
        <x:v>Consumer</x:v>
      </x:c>
      <x:c r="L733" t="str">
        <x:v>All Geographies</x:v>
      </x:c>
      <x:c r="M733" s="34" t="n">
        <x:v>3847</x:v>
      </x:c>
      <x:c r="N733" s="28" t="n">
        <x:v>0.0324</x:v>
      </x:c>
      <x:c r="O733" s="34" t="n">
        <x:v>125</x:v>
      </x:c>
      <x:c r="P733" s="34" t="n">
        <x:v>1</x:v>
      </x:c>
      <x:c r="Q733" s="34" t="n">
        <x:v>125</x:v>
      </x:c>
      <x:c r="R733" s="33" t="n">
        <x:v>34</x:v>
      </x:c>
      <x:c r="S733" s="38" t="n">
        <x:v>4.25</x:v>
      </x:c>
      <x:c r="T733" s="38" t="n">
        <x:v>0.34</x:v>
      </x:c>
      <x:c r="U733" s="38" t="n">
        <x:v>0.21505000000000002</x:v>
      </x:c>
      <x:c r="V733" s="38" t="n">
        <x:v>3.69495</x:v>
      </x:c>
      <x:c r="W733" s="38" t="n">
        <x:v>1.70875</x:v>
      </x:c>
      <x:c r="X733" s="38" t="n">
        <x:v>0.10715355</x:v>
      </x:c>
      <x:c r="Y733" s="38" t="n">
        <x:v>0</x:v>
      </x:c>
      <x:c r="Z733" s="38" t="n">
        <x:v>0.51875</x:v>
      </x:c>
      <x:c r="AA733" s="38" t="n">
        <x:v>0.20625</x:v>
      </x:c>
      <x:c r="AB733" s="38" t="n">
        <x:v>0.007</x:v>
      </x:c>
      <x:c r="AC733" s="38" t="n">
        <x:v>1.14704645</x:v>
      </x:c>
      <x:c r="AD733" s="28" t="n">
        <x:v>0.31043625759482535</x:v>
      </x:c>
    </x:row>
    <x:row r="734">
      <x:c r="A734" s="32" t="n">
        <x:v>45915</x:v>
      </x:c>
      <x:c r="B734" s="32" t="n">
        <x:v>45901</x:v>
      </x:c>
      <x:c r="C734" t="str">
        <x:v>Sep 2025</x:v>
      </x:c>
      <x:c r="D734" t="str">
        <x:v>Actual</x:v>
      </x:c>
      <x:c r="E734" t="str">
        <x:v>DB-103</x:v>
      </x:c>
      <x:c r="F734" t="str">
        <x:v>EmberTrail Camp Mug</x:v>
      </x:c>
      <x:c r="G734" t="str">
        <x:v>One-time purchase</x:v>
      </x:c>
      <x:c r="H734" t="str">
        <x:v>Winter peak</x:v>
      </x:c>
      <x:c r="I734" t="str">
        <x:v>Active</x:v>
      </x:c>
      <x:c r="J734" t="str">
        <x:v>Amazon Marketplace</x:v>
      </x:c>
      <x:c r="K734" t="str">
        <x:v>Marketplace Consumer</x:v>
      </x:c>
      <x:c r="L734" t="str">
        <x:v>All Geographies</x:v>
      </x:c>
      <x:c r="M734" s="34" t="n">
        <x:v>1923</x:v>
      </x:c>
      <x:c r="N734" s="28" t="n">
        <x:v>0.038231999999999995</x:v>
      </x:c>
      <x:c r="O734" s="34" t="n">
        <x:v>74</x:v>
      </x:c>
      <x:c r="P734" s="34" t="n">
        <x:v>1</x:v>
      </x:c>
      <x:c r="Q734" s="34" t="n">
        <x:v>74</x:v>
      </x:c>
      <x:c r="R734" s="33" t="n">
        <x:v>34</x:v>
      </x:c>
      <x:c r="S734" s="38" t="n">
        <x:v>2.516</x:v>
      </x:c>
      <x:c r="T734" s="38" t="n">
        <x:v>0.1258</x:v>
      </x:c>
      <x:c r="U734" s="38" t="n">
        <x:v>0.131461</x:v>
      </x:c>
      <x:c r="V734" s="38" t="n">
        <x:v>2.2587390000000003</x:v>
      </x:c>
      <x:c r="W734" s="38" t="n">
        <x:v>1.0115800000000001</x:v>
      </x:c>
      <x:c r="X734" s="38" t="n">
        <x:v>0</x:v>
      </x:c>
      <x:c r="Y734" s="38" t="n">
        <x:v>0.33881085000000005</x:v>
      </x:c>
      <x:c r="Z734" s="38" t="n">
        <x:v>0.38480000000000003</x:v>
      </x:c>
      <x:c r="AA734" s="38" t="n">
        <x:v>0.1591</x:v>
      </x:c>
      <x:c r="AB734" s="38" t="n">
        <x:v>0.004144</x:v>
      </x:c>
      <x:c r="AC734" s="38" t="n">
        <x:v>0.3603041500000001</x:v>
      </x:c>
      <x:c r="AD734" s="28" t="n">
        <x:v>0.15951561911314235</x:v>
      </x:c>
    </x:row>
    <x:row r="735">
      <x:c r="A735" s="32" t="n">
        <x:v>45915</x:v>
      </x:c>
      <x:c r="B735" s="32" t="n">
        <x:v>45901</x:v>
      </x:c>
      <x:c r="C735" t="str">
        <x:v>Sep 2025</x:v>
      </x:c>
      <x:c r="D735" t="str">
        <x:v>Actual</x:v>
      </x:c>
      <x:c r="E735" t="str">
        <x:v>DB-103</x:v>
      </x:c>
      <x:c r="F735" t="str">
        <x:v>EmberTrail Camp Mug</x:v>
      </x:c>
      <x:c r="G735" t="str">
        <x:v>One-time purchase</x:v>
      </x:c>
      <x:c r="H735" t="str">
        <x:v>Winter peak</x:v>
      </x:c>
      <x:c r="I735" t="str">
        <x:v>Active</x:v>
      </x:c>
      <x:c r="J735" t="str">
        <x:v>Wholesale</x:v>
      </x:c>
      <x:c r="K735" t="str">
        <x:v>Retailer</x:v>
      </x:c>
      <x:c r="L735" t="str">
        <x:v>All Geographies</x:v>
      </x:c>
      <x:c r="M735" s="34" t="n">
        <x:v>1154</x:v>
      </x:c>
      <x:c r="N735" s="28" t="n">
        <x:v>0.017820000000000003</x:v>
      </x:c>
      <x:c r="O735" s="34" t="n">
        <x:v>21</x:v>
      </x:c>
      <x:c r="P735" s="34" t="n">
        <x:v>1</x:v>
      </x:c>
      <x:c r="Q735" s="34" t="n">
        <x:v>21</x:v>
      </x:c>
      <x:c r="R735" s="33" t="n">
        <x:v>34</x:v>
      </x:c>
      <x:c r="S735" s="38" t="n">
        <x:v>0.714</x:v>
      </x:c>
      <x:c r="T735" s="38" t="n">
        <x:v>0.24989999999999998</x:v>
      </x:c>
      <x:c r="U735" s="38" t="n">
        <x:v>0.025525499999999996</x:v>
      </x:c>
      <x:c r="V735" s="38" t="n">
        <x:v>0.4385745</x:v>
      </x:c>
      <x:c r="W735" s="38" t="n">
        <x:v>0.28707</x:v>
      </x:c>
      <x:c r="X735" s="38" t="n">
        <x:v>0</x:v>
      </x:c>
      <x:c r="Y735" s="38" t="n">
        <x:v>0</x:v>
      </x:c>
      <x:c r="Z735" s="38" t="n">
        <x:v>0.048299999999999996</x:v>
      </x:c>
      <x:c r="AA735" s="38" t="n">
        <x:v>0.017849999999999998</x:v>
      </x:c>
      <x:c r="AB735" s="38" t="n">
        <x:v>0.0011760000000000002</x:v>
      </x:c>
      <x:c r="AC735" s="38" t="n">
        <x:v>0.0841785</x:v>
      </x:c>
      <x:c r="AD735" s="28" t="n">
        <x:v>0.1919366037013096</x:v>
      </x:c>
    </x:row>
    <x:row r="736">
      <x:c r="A736" s="32" t="n">
        <x:v>45915</x:v>
      </x:c>
      <x:c r="B736" s="32" t="n">
        <x:v>45901</x:v>
      </x:c>
      <x:c r="C736" t="str">
        <x:v>Sep 2025</x:v>
      </x:c>
      <x:c r="D736" t="str">
        <x:v>Actual</x:v>
      </x:c>
      <x:c r="E736" t="str">
        <x:v>DB-103</x:v>
      </x:c>
      <x:c r="F736" t="str">
        <x:v>EmberTrail Camp Mug</x:v>
      </x:c>
      <x:c r="G736" t="str">
        <x:v>One-time purchase</x:v>
      </x:c>
      <x:c r="H736" t="str">
        <x:v>Winter peak</x:v>
      </x:c>
      <x:c r="I736" t="str">
        <x:v>Active</x:v>
      </x:c>
      <x:c r="J736" t="str">
        <x:v>TikTok Shop</x:v>
      </x:c>
      <x:c r="K736" t="str">
        <x:v>Social Commerce</x:v>
      </x:c>
      <x:c r="L736" t="str">
        <x:v>All Geographies</x:v>
      </x:c>
      <x:c r="M736" s="34" t="n">
        <x:v>769</x:v>
      </x:c>
      <x:c r="N736" s="28" t="n">
        <x:v>0.040824</x:v>
      </x:c>
      <x:c r="O736" s="34" t="n">
        <x:v>31</x:v>
      </x:c>
      <x:c r="P736" s="34" t="n">
        <x:v>1</x:v>
      </x:c>
      <x:c r="Q736" s="34" t="n">
        <x:v>31</x:v>
      </x:c>
      <x:c r="R736" s="33" t="n">
        <x:v>34</x:v>
      </x:c>
      <x:c r="S736" s="38" t="n">
        <x:v>1.054</x:v>
      </x:c>
      <x:c r="T736" s="38" t="n">
        <x:v>0.12648</x:v>
      </x:c>
      <x:c r="U736" s="38" t="n">
        <x:v>0.0510136</x:v>
      </x:c>
      <x:c r="V736" s="38" t="n">
        <x:v>0.8765064</x:v>
      </x:c>
      <x:c r="W736" s="38" t="n">
        <x:v>0.42377</x:v>
      </x:c>
      <x:c r="X736" s="38" t="n">
        <x:v>0.0254186856</x:v>
      </x:c>
      <x:c r="Y736" s="38" t="n">
        <x:v>0.052590384</x:v>
      </x:c>
      <x:c r="Z736" s="38" t="n">
        <x:v>0.1581</x:v>
      </x:c>
      <x:c r="AA736" s="38" t="n">
        <x:v>0.05425</x:v>
      </x:c>
      <x:c r="AB736" s="38" t="n">
        <x:v>0.001736</x:v>
      </x:c>
      <x:c r="AC736" s="38" t="n">
        <x:v>0.1606413304000001</x:v>
      </x:c>
      <x:c r="AD736" s="28" t="n">
        <x:v>0.18327456639221354</x:v>
      </x:c>
    </x:row>
    <x:row r="737">
      <x:c r="A737" s="32" t="n">
        <x:v>45915</x:v>
      </x:c>
      <x:c r="B737" s="32" t="n">
        <x:v>45901</x:v>
      </x:c>
      <x:c r="C737" t="str">
        <x:v>Sep 2025</x:v>
      </x:c>
      <x:c r="D737" t="str">
        <x:v>Actual</x:v>
      </x:c>
      <x:c r="E737" t="str">
        <x:v>DB-104</x:v>
      </x:c>
      <x:c r="F737" t="str">
        <x:v>SunNest Cooling Towel</x:v>
      </x:c>
      <x:c r="G737" t="str">
        <x:v>Consumable repeat</x:v>
      </x:c>
      <x:c r="H737" t="str">
        <x:v>Summer peak</x:v>
      </x:c>
      <x:c r="I737" t="str">
        <x:v>Active</x:v>
      </x:c>
      <x:c r="J737" t="str">
        <x:v>Shopify DTC</x:v>
      </x:c>
      <x:c r="K737" t="str">
        <x:v>Consumer</x:v>
      </x:c>
      <x:c r="L737" t="str">
        <x:v>All Geographies</x:v>
      </x:c>
      <x:c r="M737" s="34" t="n">
        <x:v>3633</x:v>
      </x:c>
      <x:c r="N737" s="28" t="n">
        <x:v>0.03312</x:v>
      </x:c>
      <x:c r="O737" s="34" t="n">
        <x:v>120</x:v>
      </x:c>
      <x:c r="P737" s="34" t="n">
        <x:v>1</x:v>
      </x:c>
      <x:c r="Q737" s="34" t="n">
        <x:v>120</x:v>
      </x:c>
      <x:c r="R737" s="33" t="n">
        <x:v>42</x:v>
      </x:c>
      <x:c r="S737" s="38" t="n">
        <x:v>5.04</x:v>
      </x:c>
      <x:c r="T737" s="38" t="n">
        <x:v>0.4032</x:v>
      </x:c>
      <x:c r="U737" s="38" t="n">
        <x:v>0.23184000000000002</x:v>
      </x:c>
      <x:c r="V737" s="38" t="n">
        <x:v>4.40496</x:v>
      </x:c>
      <x:c r="W737" s="38" t="n">
        <x:v>1.806</x:v>
      </x:c>
      <x:c r="X737" s="38" t="n">
        <x:v>0.12774384</x:v>
      </x:c>
      <x:c r="Y737" s="38" t="n">
        <x:v>0</x:v>
      </x:c>
      <x:c r="Z737" s="38" t="n">
        <x:v>0.49800000000000005</x:v>
      </x:c>
      <x:c r="AA737" s="38" t="n">
        <x:v>0.198</x:v>
      </x:c>
      <x:c r="AB737" s="38" t="n">
        <x:v>0.0033599999999999997</x:v>
      </x:c>
      <x:c r="AC737" s="38" t="n">
        <x:v>1.77185616</x:v>
      </x:c>
      <x:c r="AD737" s="28" t="n">
        <x:v>0.40224114634412117</x:v>
      </x:c>
    </x:row>
    <x:row r="738">
      <x:c r="A738" s="32" t="n">
        <x:v>45915</x:v>
      </x:c>
      <x:c r="B738" s="32" t="n">
        <x:v>45901</x:v>
      </x:c>
      <x:c r="C738" t="str">
        <x:v>Sep 2025</x:v>
      </x:c>
      <x:c r="D738" t="str">
        <x:v>Actual</x:v>
      </x:c>
      <x:c r="E738" t="str">
        <x:v>DB-104</x:v>
      </x:c>
      <x:c r="F738" t="str">
        <x:v>SunNest Cooling Towel</x:v>
      </x:c>
      <x:c r="G738" t="str">
        <x:v>Consumable repeat</x:v>
      </x:c>
      <x:c r="H738" t="str">
        <x:v>Summer peak</x:v>
      </x:c>
      <x:c r="I738" t="str">
        <x:v>Active</x:v>
      </x:c>
      <x:c r="J738" t="str">
        <x:v>Amazon Marketplace</x:v>
      </x:c>
      <x:c r="K738" t="str">
        <x:v>Marketplace Consumer</x:v>
      </x:c>
      <x:c r="L738" t="str">
        <x:v>All Geographies</x:v>
      </x:c>
      <x:c r="M738" s="34" t="n">
        <x:v>1816</x:v>
      </x:c>
      <x:c r="N738" s="28" t="n">
        <x:v>0.0390816</x:v>
      </x:c>
      <x:c r="O738" s="34" t="n">
        <x:v>71</x:v>
      </x:c>
      <x:c r="P738" s="34" t="n">
        <x:v>1</x:v>
      </x:c>
      <x:c r="Q738" s="34" t="n">
        <x:v>71</x:v>
      </x:c>
      <x:c r="R738" s="33" t="n">
        <x:v>42</x:v>
      </x:c>
      <x:c r="S738" s="38" t="n">
        <x:v>2.982</x:v>
      </x:c>
      <x:c r="T738" s="38" t="n">
        <x:v>0.1491</x:v>
      </x:c>
      <x:c r="U738" s="38" t="n">
        <x:v>0.14164500000000002</x:v>
      </x:c>
      <x:c r="V738" s="38" t="n">
        <x:v>2.6912550000000004</x:v>
      </x:c>
      <x:c r="W738" s="38" t="n">
        <x:v>1.0685499999999999</x:v>
      </x:c>
      <x:c r="X738" s="38" t="n">
        <x:v>0</x:v>
      </x:c>
      <x:c r="Y738" s="38" t="n">
        <x:v>0.40368825</x:v>
      </x:c>
      <x:c r="Z738" s="38" t="n">
        <x:v>0.3692</x:v>
      </x:c>
      <x:c r="AA738" s="38" t="n">
        <x:v>0.15265</x:v>
      </x:c>
      <x:c r="AB738" s="38" t="n">
        <x:v>0.0019879999999999997</x:v>
      </x:c>
      <x:c r="AC738" s="38" t="n">
        <x:v>0.6951787500000005</x:v>
      </x:c>
      <x:c r="AD738" s="28" t="n">
        <x:v>0.25831024930747937</x:v>
      </x:c>
    </x:row>
    <x:row r="739">
      <x:c r="A739" s="32" t="n">
        <x:v>45915</x:v>
      </x:c>
      <x:c r="B739" s="32" t="n">
        <x:v>45901</x:v>
      </x:c>
      <x:c r="C739" t="str">
        <x:v>Sep 2025</x:v>
      </x:c>
      <x:c r="D739" t="str">
        <x:v>Actual</x:v>
      </x:c>
      <x:c r="E739" t="str">
        <x:v>DB-104</x:v>
      </x:c>
      <x:c r="F739" t="str">
        <x:v>SunNest Cooling Towel</x:v>
      </x:c>
      <x:c r="G739" t="str">
        <x:v>Consumable repeat</x:v>
      </x:c>
      <x:c r="H739" t="str">
        <x:v>Summer peak</x:v>
      </x:c>
      <x:c r="I739" t="str">
        <x:v>Active</x:v>
      </x:c>
      <x:c r="J739" t="str">
        <x:v>Wholesale</x:v>
      </x:c>
      <x:c r="K739" t="str">
        <x:v>Retailer</x:v>
      </x:c>
      <x:c r="L739" t="str">
        <x:v>All Geographies</x:v>
      </x:c>
      <x:c r="M739" s="34" t="n">
        <x:v>1090</x:v>
      </x:c>
      <x:c r="N739" s="28" t="n">
        <x:v>0.018216000000000003</x:v>
      </x:c>
      <x:c r="O739" s="34" t="n">
        <x:v>20</x:v>
      </x:c>
      <x:c r="P739" s="34" t="n">
        <x:v>1</x:v>
      </x:c>
      <x:c r="Q739" s="34" t="n">
        <x:v>20</x:v>
      </x:c>
      <x:c r="R739" s="33" t="n">
        <x:v>42</x:v>
      </x:c>
      <x:c r="S739" s="38" t="n">
        <x:v>0.84</x:v>
      </x:c>
      <x:c r="T739" s="38" t="n">
        <x:v>0.294</x:v>
      </x:c>
      <x:c r="U739" s="38" t="n">
        <x:v>0.027300000000000005</x:v>
      </x:c>
      <x:c r="V739" s="38" t="n">
        <x:v>0.5187</x:v>
      </x:c>
      <x:c r="W739" s="38" t="n">
        <x:v>0.301</x:v>
      </x:c>
      <x:c r="X739" s="38" t="n">
        <x:v>0</x:v>
      </x:c>
      <x:c r="Y739" s="38" t="n">
        <x:v>0</x:v>
      </x:c>
      <x:c r="Z739" s="38" t="n">
        <x:v>0.046</x:v>
      </x:c>
      <x:c r="AA739" s="38" t="n">
        <x:v>0.017</x:v>
      </x:c>
      <x:c r="AB739" s="38" t="n">
        <x:v>0.00056</x:v>
      </x:c>
      <x:c r="AC739" s="38" t="n">
        <x:v>0.15414000000000005</x:v>
      </x:c>
      <x:c r="AD739" s="28" t="n">
        <x:v>0.2971659919028341</x:v>
      </x:c>
    </x:row>
    <x:row r="740">
      <x:c r="A740" s="32" t="n">
        <x:v>45915</x:v>
      </x:c>
      <x:c r="B740" s="32" t="n">
        <x:v>45901</x:v>
      </x:c>
      <x:c r="C740" t="str">
        <x:v>Sep 2025</x:v>
      </x:c>
      <x:c r="D740" t="str">
        <x:v>Actual</x:v>
      </x:c>
      <x:c r="E740" t="str">
        <x:v>DB-104</x:v>
      </x:c>
      <x:c r="F740" t="str">
        <x:v>SunNest Cooling Towel</x:v>
      </x:c>
      <x:c r="G740" t="str">
        <x:v>Consumable repeat</x:v>
      </x:c>
      <x:c r="H740" t="str">
        <x:v>Summer peak</x:v>
      </x:c>
      <x:c r="I740" t="str">
        <x:v>Active</x:v>
      </x:c>
      <x:c r="J740" t="str">
        <x:v>TikTok Shop</x:v>
      </x:c>
      <x:c r="K740" t="str">
        <x:v>Social Commerce</x:v>
      </x:c>
      <x:c r="L740" t="str">
        <x:v>All Geographies</x:v>
      </x:c>
      <x:c r="M740" s="34" t="n">
        <x:v>727</x:v>
      </x:c>
      <x:c r="N740" s="28" t="n">
        <x:v>0.0417312</x:v>
      </x:c>
      <x:c r="O740" s="34" t="n">
        <x:v>30</x:v>
      </x:c>
      <x:c r="P740" s="34" t="n">
        <x:v>1</x:v>
      </x:c>
      <x:c r="Q740" s="34" t="n">
        <x:v>30</x:v>
      </x:c>
      <x:c r="R740" s="33" t="n">
        <x:v>42</x:v>
      </x:c>
      <x:c r="S740" s="38" t="n">
        <x:v>1.26</x:v>
      </x:c>
      <x:c r="T740" s="38" t="n">
        <x:v>0.1512</x:v>
      </x:c>
      <x:c r="U740" s="38" t="n">
        <x:v>0.05544</x:v>
      </x:c>
      <x:c r="V740" s="38" t="n">
        <x:v>1.05336</x:v>
      </x:c>
      <x:c r="W740" s="38" t="n">
        <x:v>0.4515</x:v>
      </x:c>
      <x:c r="X740" s="38" t="n">
        <x:v>0.030547440000000002</x:v>
      </x:c>
      <x:c r="Y740" s="38" t="n">
        <x:v>0.0632016</x:v>
      </x:c>
      <x:c r="Z740" s="38" t="n">
        <x:v>0.153</x:v>
      </x:c>
      <x:c r="AA740" s="38" t="n">
        <x:v>0.0525</x:v>
      </x:c>
      <x:c r="AB740" s="38" t="n">
        <x:v>0.0008399999999999999</x:v>
      </x:c>
      <x:c r="AC740" s="38" t="n">
        <x:v>0.3017709600000001</x:v>
      </x:c>
      <x:c r="AD740" s="28" t="n">
        <x:v>0.28648416495784923</x:v>
      </x:c>
    </x:row>
    <x:row r="741">
      <x:c r="A741" s="32" t="n">
        <x:v>45915</x:v>
      </x:c>
      <x:c r="B741" s="32" t="n">
        <x:v>45901</x:v>
      </x:c>
      <x:c r="C741" t="str">
        <x:v>Sep 2025</x:v>
      </x:c>
      <x:c r="D741" t="str">
        <x:v>Actual</x:v>
      </x:c>
      <x:c r="E741" t="str">
        <x:v>DB-105</x:v>
      </x:c>
      <x:c r="F741" t="str">
        <x:v>DreamFuel Refill Pack</x:v>
      </x:c>
      <x:c r="G741" t="str">
        <x:v>Subscription</x:v>
      </x:c>
      <x:c r="H741" t="str">
        <x:v>None</x:v>
      </x:c>
      <x:c r="I741" t="str">
        <x:v>Active</x:v>
      </x:c>
      <x:c r="J741" t="str">
        <x:v>Shopify DTC</x:v>
      </x:c>
      <x:c r="K741" t="str">
        <x:v>Consumer</x:v>
      </x:c>
      <x:c r="L741" t="str">
        <x:v>All Geographies</x:v>
      </x:c>
      <x:c r="M741" s="34" t="n">
        <x:v>3925</x:v>
      </x:c>
      <x:c r="N741" s="28" t="n">
        <x:v>0.03888</x:v>
      </x:c>
      <x:c r="O741" s="34" t="n">
        <x:v>153</x:v>
      </x:c>
      <x:c r="P741" s="34" t="n">
        <x:v>1</x:v>
      </x:c>
      <x:c r="Q741" s="34" t="n">
        <x:v>153</x:v>
      </x:c>
      <x:c r="R741" s="33" t="n">
        <x:v>56</x:v>
      </x:c>
      <x:c r="S741" s="38" t="n">
        <x:v>8.568</x:v>
      </x:c>
      <x:c r="T741" s="38" t="n">
        <x:v>0.6854399999999999</x:v>
      </x:c>
      <x:c r="U741" s="38" t="n">
        <x:v>0.1576512</x:v>
      </x:c>
      <x:c r="V741" s="38" t="n">
        <x:v>7.7249088</x:v>
      </x:c>
      <x:c r="W741" s="38" t="n">
        <x:v>2.84886</x:v>
      </x:c>
      <x:c r="X741" s="38" t="n">
        <x:v>0.2240223552</x:v>
      </x:c>
      <x:c r="Y741" s="38" t="n">
        <x:v>0</x:v>
      </x:c>
      <x:c r="Z741" s="38" t="n">
        <x:v>0.63495</x:v>
      </x:c>
      <x:c r="AA741" s="38" t="n">
        <x:v>0.25245</x:v>
      </x:c>
      <x:c r="AB741" s="38" t="n">
        <x:v>0.0005507999999999999</x:v>
      </x:c>
      <x:c r="AC741" s="38" t="n">
        <x:v>3.7640756447999997</x:v>
      </x:c>
      <x:c r="AD741" s="28" t="n">
        <x:v>0.48726473570794776</x:v>
      </x:c>
    </x:row>
    <x:row r="742">
      <x:c r="A742" s="32" t="n">
        <x:v>45915</x:v>
      </x:c>
      <x:c r="B742" s="32" t="n">
        <x:v>45901</x:v>
      </x:c>
      <x:c r="C742" t="str">
        <x:v>Sep 2025</x:v>
      </x:c>
      <x:c r="D742" t="str">
        <x:v>Actual</x:v>
      </x:c>
      <x:c r="E742" t="str">
        <x:v>DB-105</x:v>
      </x:c>
      <x:c r="F742" t="str">
        <x:v>DreamFuel Refill Pack</x:v>
      </x:c>
      <x:c r="G742" t="str">
        <x:v>Subscription</x:v>
      </x:c>
      <x:c r="H742" t="str">
        <x:v>None</x:v>
      </x:c>
      <x:c r="I742" t="str">
        <x:v>Active</x:v>
      </x:c>
      <x:c r="J742" t="str">
        <x:v>Amazon Marketplace</x:v>
      </x:c>
      <x:c r="K742" t="str">
        <x:v>Marketplace Consumer</x:v>
      </x:c>
      <x:c r="L742" t="str">
        <x:v>All Geographies</x:v>
      </x:c>
      <x:c r="M742" s="34" t="n">
        <x:v>1963</x:v>
      </x:c>
      <x:c r="N742" s="28" t="n">
        <x:v>0.0458784</x:v>
      </x:c>
      <x:c r="O742" s="34" t="n">
        <x:v>90</x:v>
      </x:c>
      <x:c r="P742" s="34" t="n">
        <x:v>1</x:v>
      </x:c>
      <x:c r="Q742" s="34" t="n">
        <x:v>90</x:v>
      </x:c>
      <x:c r="R742" s="33" t="n">
        <x:v>56</x:v>
      </x:c>
      <x:c r="S742" s="38" t="n">
        <x:v>5.04</x:v>
      </x:c>
      <x:c r="T742" s="38" t="n">
        <x:v>0.252</x:v>
      </x:c>
      <x:c r="U742" s="38" t="n">
        <x:v>0.09576000000000001</x:v>
      </x:c>
      <x:c r="V742" s="38" t="n">
        <x:v>4.69224</x:v>
      </x:c>
      <x:c r="W742" s="38" t="n">
        <x:v>1.6758000000000002</x:v>
      </x:c>
      <x:c r="X742" s="38" t="n">
        <x:v>0</x:v>
      </x:c>
      <x:c r="Y742" s="38" t="n">
        <x:v>0.703836</x:v>
      </x:c>
      <x:c r="Z742" s="38" t="n">
        <x:v>0.468</x:v>
      </x:c>
      <x:c r="AA742" s="38" t="n">
        <x:v>0.1935</x:v>
      </x:c>
      <x:c r="AB742" s="38" t="n">
        <x:v>0.000324</x:v>
      </x:c>
      <x:c r="AC742" s="38" t="n">
        <x:v>1.65078</x:v>
      </x:c>
      <x:c r="AD742" s="28" t="n">
        <x:v>0.3518106490716587</x:v>
      </x:c>
    </x:row>
    <x:row r="743">
      <x:c r="A743" s="32" t="n">
        <x:v>45915</x:v>
      </x:c>
      <x:c r="B743" s="32" t="n">
        <x:v>45901</x:v>
      </x:c>
      <x:c r="C743" t="str">
        <x:v>Sep 2025</x:v>
      </x:c>
      <x:c r="D743" t="str">
        <x:v>Actual</x:v>
      </x:c>
      <x:c r="E743" t="str">
        <x:v>DB-105</x:v>
      </x:c>
      <x:c r="F743" t="str">
        <x:v>DreamFuel Refill Pack</x:v>
      </x:c>
      <x:c r="G743" t="str">
        <x:v>Subscription</x:v>
      </x:c>
      <x:c r="H743" t="str">
        <x:v>None</x:v>
      </x:c>
      <x:c r="I743" t="str">
        <x:v>Active</x:v>
      </x:c>
      <x:c r="J743" t="str">
        <x:v>Wholesale</x:v>
      </x:c>
      <x:c r="K743" t="str">
        <x:v>Retailer</x:v>
      </x:c>
      <x:c r="L743" t="str">
        <x:v>All Geographies</x:v>
      </x:c>
      <x:c r="M743" s="34" t="n">
        <x:v>1178</x:v>
      </x:c>
      <x:c r="N743" s="28" t="n">
        <x:v>0.021384000000000004</x:v>
      </x:c>
      <x:c r="O743" s="34" t="n">
        <x:v>25</x:v>
      </x:c>
      <x:c r="P743" s="34" t="n">
        <x:v>1</x:v>
      </x:c>
      <x:c r="Q743" s="34" t="n">
        <x:v>25</x:v>
      </x:c>
      <x:c r="R743" s="33" t="n">
        <x:v>56</x:v>
      </x:c>
      <x:c r="S743" s="38" t="n">
        <x:v>1.4</x:v>
      </x:c>
      <x:c r="T743" s="38" t="n">
        <x:v>0.48999999999999994</x:v>
      </x:c>
      <x:c r="U743" s="38" t="n">
        <x:v>0.018199999999999997</x:v>
      </x:c>
      <x:c r="V743" s="38" t="n">
        <x:v>0.8917999999999999</x:v>
      </x:c>
      <x:c r="W743" s="38" t="n">
        <x:v>0.4655</x:v>
      </x:c>
      <x:c r="X743" s="38" t="n">
        <x:v>0</x:v>
      </x:c>
      <x:c r="Y743" s="38" t="n">
        <x:v>0</x:v>
      </x:c>
      <x:c r="Z743" s="38" t="n">
        <x:v>0.057499999999999996</x:v>
      </x:c>
      <x:c r="AA743" s="38" t="n">
        <x:v>0.02125</x:v>
      </x:c>
      <x:c r="AB743" s="38" t="n">
        <x:v>0.00008999999999999999</x:v>
      </x:c>
      <x:c r="AC743" s="38" t="n">
        <x:v>0.34745999999999994</x:v>
      </x:c>
      <x:c r="AD743" s="28" t="n">
        <x:v>0.38961650594303654</x:v>
      </x:c>
    </x:row>
    <x:row r="744">
      <x:c r="A744" s="32" t="n">
        <x:v>45915</x:v>
      </x:c>
      <x:c r="B744" s="32" t="n">
        <x:v>45901</x:v>
      </x:c>
      <x:c r="C744" t="str">
        <x:v>Sep 2025</x:v>
      </x:c>
      <x:c r="D744" t="str">
        <x:v>Actual</x:v>
      </x:c>
      <x:c r="E744" t="str">
        <x:v>DB-105</x:v>
      </x:c>
      <x:c r="F744" t="str">
        <x:v>DreamFuel Refill Pack</x:v>
      </x:c>
      <x:c r="G744" t="str">
        <x:v>Subscription</x:v>
      </x:c>
      <x:c r="H744" t="str">
        <x:v>None</x:v>
      </x:c>
      <x:c r="I744" t="str">
        <x:v>Active</x:v>
      </x:c>
      <x:c r="J744" t="str">
        <x:v>TikTok Shop</x:v>
      </x:c>
      <x:c r="K744" t="str">
        <x:v>Social Commerce</x:v>
      </x:c>
      <x:c r="L744" t="str">
        <x:v>All Geographies</x:v>
      </x:c>
      <x:c r="M744" s="34" t="n">
        <x:v>785</x:v>
      </x:c>
      <x:c r="N744" s="28" t="n">
        <x:v>0.0489888</x:v>
      </x:c>
      <x:c r="O744" s="34" t="n">
        <x:v>38</x:v>
      </x:c>
      <x:c r="P744" s="34" t="n">
        <x:v>1</x:v>
      </x:c>
      <x:c r="Q744" s="34" t="n">
        <x:v>38</x:v>
      </x:c>
      <x:c r="R744" s="33" t="n">
        <x:v>56</x:v>
      </x:c>
      <x:c r="S744" s="38" t="n">
        <x:v>2.128</x:v>
      </x:c>
      <x:c r="T744" s="38" t="n">
        <x:v>0.25536000000000003</x:v>
      </x:c>
      <x:c r="U744" s="38" t="n">
        <x:v>0.0374528</x:v>
      </x:c>
      <x:c r="V744" s="38" t="n">
        <x:v>1.8351872</x:v>
      </x:c>
      <x:c r="W744" s="38" t="n">
        <x:v>0.7075600000000001</x:v>
      </x:c>
      <x:c r="X744" s="38" t="n">
        <x:v>0.053220428800000004</x:v>
      </x:c>
      <x:c r="Y744" s="38" t="n">
        <x:v>0.110111232</x:v>
      </x:c>
      <x:c r="Z744" s="38" t="n">
        <x:v>0.19379999999999997</x:v>
      </x:c>
      <x:c r="AA744" s="38" t="n">
        <x:v>0.0665</x:v>
      </x:c>
      <x:c r="AB744" s="38" t="n">
        <x:v>0.00013680000000000002</x:v>
      </x:c>
      <x:c r="AC744" s="38" t="n">
        <x:v>0.7038587392000001</x:v>
      </x:c>
      <x:c r="AD744" s="28" t="n">
        <x:v>0.38353511794328127</x:v>
      </x:c>
    </x:row>
    <x:row r="745">
      <x:c r="A745" s="32" t="n">
        <x:v>45922</x:v>
      </x:c>
      <x:c r="B745" s="32" t="n">
        <x:v>45901</x:v>
      </x:c>
      <x:c r="C745" t="str">
        <x:v>Sep 2025</x:v>
      </x:c>
      <x:c r="D745" t="str">
        <x:v>Actual</x:v>
      </x:c>
      <x:c r="E745" t="str">
        <x:v>DB-101</x:v>
      </x:c>
      <x:c r="F745" t="str">
        <x:v>AeroSip Bottle</x:v>
      </x:c>
      <x:c r="G745" t="str">
        <x:v>One-time purchase</x:v>
      </x:c>
      <x:c r="H745" t="str">
        <x:v>None</x:v>
      </x:c>
      <x:c r="I745" t="str">
        <x:v>Active</x:v>
      </x:c>
      <x:c r="J745" t="str">
        <x:v>Shopify DTC</x:v>
      </x:c>
      <x:c r="K745" t="str">
        <x:v>Consumer</x:v>
      </x:c>
      <x:c r="L745" t="str">
        <x:v>All Geographies</x:v>
      </x:c>
      <x:c r="M745" s="34" t="n">
        <x:v>5690</x:v>
      </x:c>
      <x:c r="N745" s="28" t="n">
        <x:v>0.034199999999999994</x:v>
      </x:c>
      <x:c r="O745" s="34" t="n">
        <x:v>195</x:v>
      </x:c>
      <x:c r="P745" s="34" t="n">
        <x:v>1</x:v>
      </x:c>
      <x:c r="Q745" s="34" t="n">
        <x:v>195</x:v>
      </x:c>
      <x:c r="R745" s="33" t="n">
        <x:v>29</x:v>
      </x:c>
      <x:c r="S745" s="38" t="n">
        <x:v>5.655</x:v>
      </x:c>
      <x:c r="T745" s="38" t="n">
        <x:v>0.4524</x:v>
      </x:c>
      <x:c r="U745" s="38" t="n">
        <x:v>0.23411700000000002</x:v>
      </x:c>
      <x:c r="V745" s="38" t="n">
        <x:v>4.968483</x:v>
      </x:c>
      <x:c r="W745" s="38" t="n">
        <x:v>2.106</x:v>
      </x:c>
      <x:c r="X745" s="38" t="n">
        <x:v>0.14408600700000002</x:v>
      </x:c>
      <x:c r="Y745" s="38" t="n">
        <x:v>0</x:v>
      </x:c>
      <x:c r="Z745" s="38" t="n">
        <x:v>0.8092500000000001</x:v>
      </x:c>
      <x:c r="AA745" s="38" t="n">
        <x:v>0.32175</x:v>
      </x:c>
      <x:c r="AB745" s="38" t="n">
        <x:v>0.007019999999999999</x:v>
      </x:c>
      <x:c r="AC745" s="38" t="n">
        <x:v>1.5803769930000002</x:v>
      </x:c>
      <x:c r="AD745" s="28" t="n">
        <x:v>0.31808038650831655</x:v>
      </x:c>
    </x:row>
    <x:row r="746">
      <x:c r="A746" s="32" t="n">
        <x:v>45922</x:v>
      </x:c>
      <x:c r="B746" s="32" t="n">
        <x:v>45901</x:v>
      </x:c>
      <x:c r="C746" t="str">
        <x:v>Sep 2025</x:v>
      </x:c>
      <x:c r="D746" t="str">
        <x:v>Actual</x:v>
      </x:c>
      <x:c r="E746" t="str">
        <x:v>DB-101</x:v>
      </x:c>
      <x:c r="F746" t="str">
        <x:v>AeroSip Bottle</x:v>
      </x:c>
      <x:c r="G746" t="str">
        <x:v>One-time purchase</x:v>
      </x:c>
      <x:c r="H746" t="str">
        <x:v>None</x:v>
      </x:c>
      <x:c r="I746" t="str">
        <x:v>Active</x:v>
      </x:c>
      <x:c r="J746" t="str">
        <x:v>Amazon Marketplace</x:v>
      </x:c>
      <x:c r="K746" t="str">
        <x:v>Marketplace Consumer</x:v>
      </x:c>
      <x:c r="L746" t="str">
        <x:v>All Geographies</x:v>
      </x:c>
      <x:c r="M746" s="34" t="n">
        <x:v>2845</x:v>
      </x:c>
      <x:c r="N746" s="28" t="n">
        <x:v>0.040355999999999996</x:v>
      </x:c>
      <x:c r="O746" s="34" t="n">
        <x:v>115</x:v>
      </x:c>
      <x:c r="P746" s="34" t="n">
        <x:v>1</x:v>
      </x:c>
      <x:c r="Q746" s="34" t="n">
        <x:v>115</x:v>
      </x:c>
      <x:c r="R746" s="33" t="n">
        <x:v>29</x:v>
      </x:c>
      <x:c r="S746" s="38" t="n">
        <x:v>3.335</x:v>
      </x:c>
      <x:c r="T746" s="38" t="n">
        <x:v>0.16675</x:v>
      </x:c>
      <x:c r="U746" s="38" t="n">
        <x:v>0.14257124999999998</x:v>
      </x:c>
      <x:c r="V746" s="38" t="n">
        <x:v>3.02567875</x:v>
      </x:c>
      <x:c r="W746" s="38" t="n">
        <x:v>1.242</x:v>
      </x:c>
      <x:c r="X746" s="38" t="n">
        <x:v>0</x:v>
      </x:c>
      <x:c r="Y746" s="38" t="n">
        <x:v>0.45385181249999995</x:v>
      </x:c>
      <x:c r="Z746" s="38" t="n">
        <x:v>0.598</x:v>
      </x:c>
      <x:c r="AA746" s="38" t="n">
        <x:v>0.24725</x:v>
      </x:c>
      <x:c r="AB746" s="38" t="n">
        <x:v>0.0041400000000000005</x:v>
      </x:c>
      <x:c r="AC746" s="38" t="n">
        <x:v>0.4804369375000001</x:v>
      </x:c>
      <x:c r="AD746" s="28" t="n">
        <x:v>0.15878649955815702</x:v>
      </x:c>
    </x:row>
    <x:row r="747">
      <x:c r="A747" s="32" t="n">
        <x:v>45922</x:v>
      </x:c>
      <x:c r="B747" s="32" t="n">
        <x:v>45901</x:v>
      </x:c>
      <x:c r="C747" t="str">
        <x:v>Sep 2025</x:v>
      </x:c>
      <x:c r="D747" t="str">
        <x:v>Actual</x:v>
      </x:c>
      <x:c r="E747" t="str">
        <x:v>DB-101</x:v>
      </x:c>
      <x:c r="F747" t="str">
        <x:v>AeroSip Bottle</x:v>
      </x:c>
      <x:c r="G747" t="str">
        <x:v>One-time purchase</x:v>
      </x:c>
      <x:c r="H747" t="str">
        <x:v>None</x:v>
      </x:c>
      <x:c r="I747" t="str">
        <x:v>Active</x:v>
      </x:c>
      <x:c r="J747" t="str">
        <x:v>Wholesale</x:v>
      </x:c>
      <x:c r="K747" t="str">
        <x:v>Retailer</x:v>
      </x:c>
      <x:c r="L747" t="str">
        <x:v>All Geographies</x:v>
      </x:c>
      <x:c r="M747" s="34" t="n">
        <x:v>1707</x:v>
      </x:c>
      <x:c r="N747" s="28" t="n">
        <x:v>0.01881</x:v>
      </x:c>
      <x:c r="O747" s="34" t="n">
        <x:v>32</x:v>
      </x:c>
      <x:c r="P747" s="34" t="n">
        <x:v>1</x:v>
      </x:c>
      <x:c r="Q747" s="34" t="n">
        <x:v>32</x:v>
      </x:c>
      <x:c r="R747" s="33" t="n">
        <x:v>29</x:v>
      </x:c>
      <x:c r="S747" s="38" t="n">
        <x:v>0.928</x:v>
      </x:c>
      <x:c r="T747" s="38" t="n">
        <x:v>0.3248</x:v>
      </x:c>
      <x:c r="U747" s="38" t="n">
        <x:v>0.027144</x:v>
      </x:c>
      <x:c r="V747" s="38" t="n">
        <x:v>0.5760560000000001</x:v>
      </x:c>
      <x:c r="W747" s="38" t="n">
        <x:v>0.3456</x:v>
      </x:c>
      <x:c r="X747" s="38" t="n">
        <x:v>0</x:v>
      </x:c>
      <x:c r="Y747" s="38" t="n">
        <x:v>0</x:v>
      </x:c>
      <x:c r="Z747" s="38" t="n">
        <x:v>0.0736</x:v>
      </x:c>
      <x:c r="AA747" s="38" t="n">
        <x:v>0.0272</x:v>
      </x:c>
      <x:c r="AB747" s="38" t="n">
        <x:v>0.001152</x:v>
      </x:c>
      <x:c r="AC747" s="38" t="n">
        <x:v>0.12850400000000012</x:v>
      </x:c>
      <x:c r="AD747" s="28" t="n">
        <x:v>0.22307553432305208</x:v>
      </x:c>
    </x:row>
    <x:row r="748">
      <x:c r="A748" s="32" t="n">
        <x:v>45922</x:v>
      </x:c>
      <x:c r="B748" s="32" t="n">
        <x:v>45901</x:v>
      </x:c>
      <x:c r="C748" t="str">
        <x:v>Sep 2025</x:v>
      </x:c>
      <x:c r="D748" t="str">
        <x:v>Actual</x:v>
      </x:c>
      <x:c r="E748" t="str">
        <x:v>DB-101</x:v>
      </x:c>
      <x:c r="F748" t="str">
        <x:v>AeroSip Bottle</x:v>
      </x:c>
      <x:c r="G748" t="str">
        <x:v>One-time purchase</x:v>
      </x:c>
      <x:c r="H748" t="str">
        <x:v>None</x:v>
      </x:c>
      <x:c r="I748" t="str">
        <x:v>Active</x:v>
      </x:c>
      <x:c r="J748" t="str">
        <x:v>TikTok Shop</x:v>
      </x:c>
      <x:c r="K748" t="str">
        <x:v>Social Commerce</x:v>
      </x:c>
      <x:c r="L748" t="str">
        <x:v>All Geographies</x:v>
      </x:c>
      <x:c r="M748" s="34" t="n">
        <x:v>1138</x:v>
      </x:c>
      <x:c r="N748" s="28" t="n">
        <x:v>0.043092</x:v>
      </x:c>
      <x:c r="O748" s="34" t="n">
        <x:v>49</x:v>
      </x:c>
      <x:c r="P748" s="34" t="n">
        <x:v>1</x:v>
      </x:c>
      <x:c r="Q748" s="34" t="n">
        <x:v>49</x:v>
      </x:c>
      <x:c r="R748" s="33" t="n">
        <x:v>29</x:v>
      </x:c>
      <x:c r="S748" s="38" t="n">
        <x:v>1.421</x:v>
      </x:c>
      <x:c r="T748" s="38" t="n">
        <x:v>0.17052</x:v>
      </x:c>
      <x:c r="U748" s="38" t="n">
        <x:v>0.0562716</x:v>
      </x:c>
      <x:c r="V748" s="38" t="n">
        <x:v>1.1942084</x:v>
      </x:c>
      <x:c r="W748" s="38" t="n">
        <x:v>0.5292</x:v>
      </x:c>
      <x:c r="X748" s="38" t="n">
        <x:v>0.0346320436</x:v>
      </x:c>
      <x:c r="Y748" s="38" t="n">
        <x:v>0.07165250399999999</x:v>
      </x:c>
      <x:c r="Z748" s="38" t="n">
        <x:v>0.24989999999999998</x:v>
      </x:c>
      <x:c r="AA748" s="38" t="n">
        <x:v>0.08575</x:v>
      </x:c>
      <x:c r="AB748" s="38" t="n">
        <x:v>0.0017639999999999997</x:v>
      </x:c>
      <x:c r="AC748" s="38" t="n">
        <x:v>0.2213098523999999</x:v>
      </x:c>
      <x:c r="AD748" s="28" t="n">
        <x:v>0.18531928966501987</x:v>
      </x:c>
    </x:row>
    <x:row r="749">
      <x:c r="A749" s="32" t="n">
        <x:v>45922</x:v>
      </x:c>
      <x:c r="B749" s="32" t="n">
        <x:v>45901</x:v>
      </x:c>
      <x:c r="C749" t="str">
        <x:v>Sep 2025</x:v>
      </x:c>
      <x:c r="D749" t="str">
        <x:v>Actual</x:v>
      </x:c>
      <x:c r="E749" t="str">
        <x:v>DB-102</x:v>
      </x:c>
      <x:c r="F749" t="str">
        <x:v>GlowPatch Balm</x:v>
      </x:c>
      <x:c r="G749" t="str">
        <x:v>Consumable repeat</x:v>
      </x:c>
      <x:c r="H749" t="str">
        <x:v>None</x:v>
      </x:c>
      <x:c r="I749" t="str">
        <x:v>Active</x:v>
      </x:c>
      <x:c r="J749" t="str">
        <x:v>Shopify DTC</x:v>
      </x:c>
      <x:c r="K749" t="str">
        <x:v>Consumer</x:v>
      </x:c>
      <x:c r="L749" t="str">
        <x:v>All Geographies</x:v>
      </x:c>
      <x:c r="M749" s="34" t="n">
        <x:v>4596</x:v>
      </x:c>
      <x:c r="N749" s="28" t="n">
        <x:v>0.04248</x:v>
      </x:c>
      <x:c r="O749" s="34" t="n">
        <x:v>195</x:v>
      </x:c>
      <x:c r="P749" s="34" t="n">
        <x:v>1</x:v>
      </x:c>
      <x:c r="Q749" s="34" t="n">
        <x:v>195</x:v>
      </x:c>
      <x:c r="R749" s="33" t="n">
        <x:v>18</x:v>
      </x:c>
      <x:c r="S749" s="38" t="n">
        <x:v>3.51</x:v>
      </x:c>
      <x:c r="T749" s="38" t="n">
        <x:v>0.2808</x:v>
      </x:c>
      <x:c r="U749" s="38" t="n">
        <x:v>0.08073</x:v>
      </x:c>
      <x:c r="V749" s="38" t="n">
        <x:v>3.1484699999999997</x:v>
      </x:c>
      <x:c r="W749" s="38" t="n">
        <x:v>1.05495</x:v>
      </x:c>
      <x:c r="X749" s="38" t="n">
        <x:v>0.09130563</x:v>
      </x:c>
      <x:c r="Y749" s="38" t="n">
        <x:v>0</x:v>
      </x:c>
      <x:c r="Z749" s="38" t="n">
        <x:v>0.8092500000000001</x:v>
      </x:c>
      <x:c r="AA749" s="38" t="n">
        <x:v>0.32175</x:v>
      </x:c>
      <x:c r="AB749" s="38" t="n">
        <x:v>0.00117</x:v>
      </x:c>
      <x:c r="AC749" s="38" t="n">
        <x:v>0.8700443699999999</x:v>
      </x:c>
      <x:c r="AD749" s="28" t="n">
        <x:v>0.27633878359965314</x:v>
      </x:c>
    </x:row>
    <x:row r="750">
      <x:c r="A750" s="32" t="n">
        <x:v>45922</x:v>
      </x:c>
      <x:c r="B750" s="32" t="n">
        <x:v>45901</x:v>
      </x:c>
      <x:c r="C750" t="str">
        <x:v>Sep 2025</x:v>
      </x:c>
      <x:c r="D750" t="str">
        <x:v>Actual</x:v>
      </x:c>
      <x:c r="E750" t="str">
        <x:v>DB-102</x:v>
      </x:c>
      <x:c r="F750" t="str">
        <x:v>GlowPatch Balm</x:v>
      </x:c>
      <x:c r="G750" t="str">
        <x:v>Consumable repeat</x:v>
      </x:c>
      <x:c r="H750" t="str">
        <x:v>None</x:v>
      </x:c>
      <x:c r="I750" t="str">
        <x:v>Active</x:v>
      </x:c>
      <x:c r="J750" t="str">
        <x:v>Amazon Marketplace</x:v>
      </x:c>
      <x:c r="K750" t="str">
        <x:v>Marketplace Consumer</x:v>
      </x:c>
      <x:c r="L750" t="str">
        <x:v>All Geographies</x:v>
      </x:c>
      <x:c r="M750" s="34" t="n">
        <x:v>2298</x:v>
      </x:c>
      <x:c r="N750" s="28" t="n">
        <x:v>0.050126399999999995</x:v>
      </x:c>
      <x:c r="O750" s="34" t="n">
        <x:v>115</x:v>
      </x:c>
      <x:c r="P750" s="34" t="n">
        <x:v>1</x:v>
      </x:c>
      <x:c r="Q750" s="34" t="n">
        <x:v>115</x:v>
      </x:c>
      <x:c r="R750" s="33" t="n">
        <x:v>18</x:v>
      </x:c>
      <x:c r="S750" s="38" t="n">
        <x:v>2.07</x:v>
      </x:c>
      <x:c r="T750" s="38" t="n">
        <x:v>0.1035</x:v>
      </x:c>
      <x:c r="U750" s="38" t="n">
        <x:v>0.0491625</x:v>
      </x:c>
      <x:c r="V750" s="38" t="n">
        <x:v>1.9173375</x:v>
      </x:c>
      <x:c r="W750" s="38" t="n">
        <x:v>0.62215</x:v>
      </x:c>
      <x:c r="X750" s="38" t="n">
        <x:v>0</x:v>
      </x:c>
      <x:c r="Y750" s="38" t="n">
        <x:v>0.287600625</x:v>
      </x:c>
      <x:c r="Z750" s="38" t="n">
        <x:v>0.598</x:v>
      </x:c>
      <x:c r="AA750" s="38" t="n">
        <x:v>0.24725</x:v>
      </x:c>
      <x:c r="AB750" s="38" t="n">
        <x:v>0.0006900000000000001</x:v>
      </x:c>
      <x:c r="AC750" s="38" t="n">
        <x:v>0.1616468749999999</x:v>
      </x:c>
      <x:c r="AD750" s="28" t="n">
        <x:v>0.084307992202729</x:v>
      </x:c>
    </x:row>
    <x:row r="751">
      <x:c r="A751" s="32" t="n">
        <x:v>45922</x:v>
      </x:c>
      <x:c r="B751" s="32" t="n">
        <x:v>45901</x:v>
      </x:c>
      <x:c r="C751" t="str">
        <x:v>Sep 2025</x:v>
      </x:c>
      <x:c r="D751" t="str">
        <x:v>Actual</x:v>
      </x:c>
      <x:c r="E751" t="str">
        <x:v>DB-102</x:v>
      </x:c>
      <x:c r="F751" t="str">
        <x:v>GlowPatch Balm</x:v>
      </x:c>
      <x:c r="G751" t="str">
        <x:v>Consumable repeat</x:v>
      </x:c>
      <x:c r="H751" t="str">
        <x:v>None</x:v>
      </x:c>
      <x:c r="I751" t="str">
        <x:v>Active</x:v>
      </x:c>
      <x:c r="J751" t="str">
        <x:v>Wholesale</x:v>
      </x:c>
      <x:c r="K751" t="str">
        <x:v>Retailer</x:v>
      </x:c>
      <x:c r="L751" t="str">
        <x:v>All Geographies</x:v>
      </x:c>
      <x:c r="M751" s="34" t="n">
        <x:v>1379</x:v>
      </x:c>
      <x:c r="N751" s="28" t="n">
        <x:v>0.023364</x:v>
      </x:c>
      <x:c r="O751" s="34" t="n">
        <x:v>32</x:v>
      </x:c>
      <x:c r="P751" s="34" t="n">
        <x:v>1</x:v>
      </x:c>
      <x:c r="Q751" s="34" t="n">
        <x:v>32</x:v>
      </x:c>
      <x:c r="R751" s="33" t="n">
        <x:v>18</x:v>
      </x:c>
      <x:c r="S751" s="38" t="n">
        <x:v>0.576</x:v>
      </x:c>
      <x:c r="T751" s="38" t="n">
        <x:v>0.20159999999999997</x:v>
      </x:c>
      <x:c r="U751" s="38" t="n">
        <x:v>0.009359999999999999</x:v>
      </x:c>
      <x:c r="V751" s="38" t="n">
        <x:v>0.36504</x:v>
      </x:c>
      <x:c r="W751" s="38" t="n">
        <x:v>0.17312</x:v>
      </x:c>
      <x:c r="X751" s="38" t="n">
        <x:v>0</x:v>
      </x:c>
      <x:c r="Y751" s="38" t="n">
        <x:v>0</x:v>
      </x:c>
      <x:c r="Z751" s="38" t="n">
        <x:v>0.0736</x:v>
      </x:c>
      <x:c r="AA751" s="38" t="n">
        <x:v>0.0272</x:v>
      </x:c>
      <x:c r="AB751" s="38" t="n">
        <x:v>0.000192</x:v>
      </x:c>
      <x:c r="AC751" s="38" t="n">
        <x:v>0.09092799999999998</x:v>
      </x:c>
      <x:c r="AD751" s="28" t="n">
        <x:v>0.24909051062897214</x:v>
      </x:c>
    </x:row>
    <x:row r="752">
      <x:c r="A752" s="32" t="n">
        <x:v>45922</x:v>
      </x:c>
      <x:c r="B752" s="32" t="n">
        <x:v>45901</x:v>
      </x:c>
      <x:c r="C752" t="str">
        <x:v>Sep 2025</x:v>
      </x:c>
      <x:c r="D752" t="str">
        <x:v>Actual</x:v>
      </x:c>
      <x:c r="E752" t="str">
        <x:v>DB-102</x:v>
      </x:c>
      <x:c r="F752" t="str">
        <x:v>GlowPatch Balm</x:v>
      </x:c>
      <x:c r="G752" t="str">
        <x:v>Consumable repeat</x:v>
      </x:c>
      <x:c r="H752" t="str">
        <x:v>None</x:v>
      </x:c>
      <x:c r="I752" t="str">
        <x:v>Active</x:v>
      </x:c>
      <x:c r="J752" t="str">
        <x:v>TikTok Shop</x:v>
      </x:c>
      <x:c r="K752" t="str">
        <x:v>Social Commerce</x:v>
      </x:c>
      <x:c r="L752" t="str">
        <x:v>All Geographies</x:v>
      </x:c>
      <x:c r="M752" s="34" t="n">
        <x:v>919</x:v>
      </x:c>
      <x:c r="N752" s="28" t="n">
        <x:v>0.0535248</x:v>
      </x:c>
      <x:c r="O752" s="34" t="n">
        <x:v>49</x:v>
      </x:c>
      <x:c r="P752" s="34" t="n">
        <x:v>1</x:v>
      </x:c>
      <x:c r="Q752" s="34" t="n">
        <x:v>49</x:v>
      </x:c>
      <x:c r="R752" s="33" t="n">
        <x:v>18</x:v>
      </x:c>
      <x:c r="S752" s="38" t="n">
        <x:v>0.882</x:v>
      </x:c>
      <x:c r="T752" s="38" t="n">
        <x:v>0.10584</x:v>
      </x:c>
      <x:c r="U752" s="38" t="n">
        <x:v>0.019404</x:v>
      </x:c>
      <x:c r="V752" s="38" t="n">
        <x:v>0.756756</x:v>
      </x:c>
      <x:c r="W752" s="38" t="n">
        <x:v>0.26509000000000005</x:v>
      </x:c>
      <x:c r="X752" s="38" t="n">
        <x:v>0.021945924000000002</x:v>
      </x:c>
      <x:c r="Y752" s="38" t="n">
        <x:v>0.04540536</x:v>
      </x:c>
      <x:c r="Z752" s="38" t="n">
        <x:v>0.24989999999999998</x:v>
      </x:c>
      <x:c r="AA752" s="38" t="n">
        <x:v>0.08575</x:v>
      </x:c>
      <x:c r="AB752" s="38" t="n">
        <x:v>0.00029400000000000004</x:v>
      </x:c>
      <x:c r="AC752" s="38" t="n">
        <x:v>0.08837071599999993</x:v>
      </x:c>
      <x:c r="AD752" s="28" t="n">
        <x:v>0.11677570577570569</x:v>
      </x:c>
    </x:row>
    <x:row r="753">
      <x:c r="A753" s="32" t="n">
        <x:v>45922</x:v>
      </x:c>
      <x:c r="B753" s="32" t="n">
        <x:v>45901</x:v>
      </x:c>
      <x:c r="C753" t="str">
        <x:v>Sep 2025</x:v>
      </x:c>
      <x:c r="D753" t="str">
        <x:v>Actual</x:v>
      </x:c>
      <x:c r="E753" t="str">
        <x:v>DB-103</x:v>
      </x:c>
      <x:c r="F753" t="str">
        <x:v>EmberTrail Camp Mug</x:v>
      </x:c>
      <x:c r="G753" t="str">
        <x:v>One-time purchase</x:v>
      </x:c>
      <x:c r="H753" t="str">
        <x:v>Winter peak</x:v>
      </x:c>
      <x:c r="I753" t="str">
        <x:v>Active</x:v>
      </x:c>
      <x:c r="J753" t="str">
        <x:v>Shopify DTC</x:v>
      </x:c>
      <x:c r="K753" t="str">
        <x:v>Consumer</x:v>
      </x:c>
      <x:c r="L753" t="str">
        <x:v>All Geographies</x:v>
      </x:c>
      <x:c r="M753" s="34" t="n">
        <x:v>3861</x:v>
      </x:c>
      <x:c r="N753" s="28" t="n">
        <x:v>0.0324</x:v>
      </x:c>
      <x:c r="O753" s="34" t="n">
        <x:v>125</x:v>
      </x:c>
      <x:c r="P753" s="34" t="n">
        <x:v>1</x:v>
      </x:c>
      <x:c r="Q753" s="34" t="n">
        <x:v>125</x:v>
      </x:c>
      <x:c r="R753" s="33" t="n">
        <x:v>34</x:v>
      </x:c>
      <x:c r="S753" s="38" t="n">
        <x:v>4.25</x:v>
      </x:c>
      <x:c r="T753" s="38" t="n">
        <x:v>0.34</x:v>
      </x:c>
      <x:c r="U753" s="38" t="n">
        <x:v>0.21505000000000002</x:v>
      </x:c>
      <x:c r="V753" s="38" t="n">
        <x:v>3.69495</x:v>
      </x:c>
      <x:c r="W753" s="38" t="n">
        <x:v>1.70875</x:v>
      </x:c>
      <x:c r="X753" s="38" t="n">
        <x:v>0.10715355</x:v>
      </x:c>
      <x:c r="Y753" s="38" t="n">
        <x:v>0</x:v>
      </x:c>
      <x:c r="Z753" s="38" t="n">
        <x:v>0.51875</x:v>
      </x:c>
      <x:c r="AA753" s="38" t="n">
        <x:v>0.20625</x:v>
      </x:c>
      <x:c r="AB753" s="38" t="n">
        <x:v>0.007</x:v>
      </x:c>
      <x:c r="AC753" s="38" t="n">
        <x:v>1.14704645</x:v>
      </x:c>
      <x:c r="AD753" s="28" t="n">
        <x:v>0.31043625759482535</x:v>
      </x:c>
    </x:row>
    <x:row r="754">
      <x:c r="A754" s="32" t="n">
        <x:v>45922</x:v>
      </x:c>
      <x:c r="B754" s="32" t="n">
        <x:v>45901</x:v>
      </x:c>
      <x:c r="C754" t="str">
        <x:v>Sep 2025</x:v>
      </x:c>
      <x:c r="D754" t="str">
        <x:v>Actual</x:v>
      </x:c>
      <x:c r="E754" t="str">
        <x:v>DB-103</x:v>
      </x:c>
      <x:c r="F754" t="str">
        <x:v>EmberTrail Camp Mug</x:v>
      </x:c>
      <x:c r="G754" t="str">
        <x:v>One-time purchase</x:v>
      </x:c>
      <x:c r="H754" t="str">
        <x:v>Winter peak</x:v>
      </x:c>
      <x:c r="I754" t="str">
        <x:v>Active</x:v>
      </x:c>
      <x:c r="J754" t="str">
        <x:v>Amazon Marketplace</x:v>
      </x:c>
      <x:c r="K754" t="str">
        <x:v>Marketplace Consumer</x:v>
      </x:c>
      <x:c r="L754" t="str">
        <x:v>All Geographies</x:v>
      </x:c>
      <x:c r="M754" s="34" t="n">
        <x:v>1930</x:v>
      </x:c>
      <x:c r="N754" s="28" t="n">
        <x:v>0.038231999999999995</x:v>
      </x:c>
      <x:c r="O754" s="34" t="n">
        <x:v>74</x:v>
      </x:c>
      <x:c r="P754" s="34" t="n">
        <x:v>1</x:v>
      </x:c>
      <x:c r="Q754" s="34" t="n">
        <x:v>74</x:v>
      </x:c>
      <x:c r="R754" s="33" t="n">
        <x:v>34</x:v>
      </x:c>
      <x:c r="S754" s="38" t="n">
        <x:v>2.516</x:v>
      </x:c>
      <x:c r="T754" s="38" t="n">
        <x:v>0.1258</x:v>
      </x:c>
      <x:c r="U754" s="38" t="n">
        <x:v>0.131461</x:v>
      </x:c>
      <x:c r="V754" s="38" t="n">
        <x:v>2.2587390000000003</x:v>
      </x:c>
      <x:c r="W754" s="38" t="n">
        <x:v>1.0115800000000001</x:v>
      </x:c>
      <x:c r="X754" s="38" t="n">
        <x:v>0</x:v>
      </x:c>
      <x:c r="Y754" s="38" t="n">
        <x:v>0.33881085000000005</x:v>
      </x:c>
      <x:c r="Z754" s="38" t="n">
        <x:v>0.38480000000000003</x:v>
      </x:c>
      <x:c r="AA754" s="38" t="n">
        <x:v>0.1591</x:v>
      </x:c>
      <x:c r="AB754" s="38" t="n">
        <x:v>0.004144</x:v>
      </x:c>
      <x:c r="AC754" s="38" t="n">
        <x:v>0.3603041500000001</x:v>
      </x:c>
      <x:c r="AD754" s="28" t="n">
        <x:v>0.15951561911314235</x:v>
      </x:c>
    </x:row>
    <x:row r="755">
      <x:c r="A755" s="32" t="n">
        <x:v>45922</x:v>
      </x:c>
      <x:c r="B755" s="32" t="n">
        <x:v>45901</x:v>
      </x:c>
      <x:c r="C755" t="str">
        <x:v>Sep 2025</x:v>
      </x:c>
      <x:c r="D755" t="str">
        <x:v>Actual</x:v>
      </x:c>
      <x:c r="E755" t="str">
        <x:v>DB-103</x:v>
      </x:c>
      <x:c r="F755" t="str">
        <x:v>EmberTrail Camp Mug</x:v>
      </x:c>
      <x:c r="G755" t="str">
        <x:v>One-time purchase</x:v>
      </x:c>
      <x:c r="H755" t="str">
        <x:v>Winter peak</x:v>
      </x:c>
      <x:c r="I755" t="str">
        <x:v>Active</x:v>
      </x:c>
      <x:c r="J755" t="str">
        <x:v>Wholesale</x:v>
      </x:c>
      <x:c r="K755" t="str">
        <x:v>Retailer</x:v>
      </x:c>
      <x:c r="L755" t="str">
        <x:v>All Geographies</x:v>
      </x:c>
      <x:c r="M755" s="34" t="n">
        <x:v>1158</x:v>
      </x:c>
      <x:c r="N755" s="28" t="n">
        <x:v>0.017820000000000003</x:v>
      </x:c>
      <x:c r="O755" s="34" t="n">
        <x:v>21</x:v>
      </x:c>
      <x:c r="P755" s="34" t="n">
        <x:v>1</x:v>
      </x:c>
      <x:c r="Q755" s="34" t="n">
        <x:v>21</x:v>
      </x:c>
      <x:c r="R755" s="33" t="n">
        <x:v>34</x:v>
      </x:c>
      <x:c r="S755" s="38" t="n">
        <x:v>0.714</x:v>
      </x:c>
      <x:c r="T755" s="38" t="n">
        <x:v>0.24989999999999998</x:v>
      </x:c>
      <x:c r="U755" s="38" t="n">
        <x:v>0.025525499999999996</x:v>
      </x:c>
      <x:c r="V755" s="38" t="n">
        <x:v>0.4385745</x:v>
      </x:c>
      <x:c r="W755" s="38" t="n">
        <x:v>0.28707</x:v>
      </x:c>
      <x:c r="X755" s="38" t="n">
        <x:v>0</x:v>
      </x:c>
      <x:c r="Y755" s="38" t="n">
        <x:v>0</x:v>
      </x:c>
      <x:c r="Z755" s="38" t="n">
        <x:v>0.048299999999999996</x:v>
      </x:c>
      <x:c r="AA755" s="38" t="n">
        <x:v>0.017849999999999998</x:v>
      </x:c>
      <x:c r="AB755" s="38" t="n">
        <x:v>0.0011760000000000002</x:v>
      </x:c>
      <x:c r="AC755" s="38" t="n">
        <x:v>0.0841785</x:v>
      </x:c>
      <x:c r="AD755" s="28" t="n">
        <x:v>0.1919366037013096</x:v>
      </x:c>
    </x:row>
    <x:row r="756">
      <x:c r="A756" s="32" t="n">
        <x:v>45922</x:v>
      </x:c>
      <x:c r="B756" s="32" t="n">
        <x:v>45901</x:v>
      </x:c>
      <x:c r="C756" t="str">
        <x:v>Sep 2025</x:v>
      </x:c>
      <x:c r="D756" t="str">
        <x:v>Actual</x:v>
      </x:c>
      <x:c r="E756" t="str">
        <x:v>DB-103</x:v>
      </x:c>
      <x:c r="F756" t="str">
        <x:v>EmberTrail Camp Mug</x:v>
      </x:c>
      <x:c r="G756" t="str">
        <x:v>One-time purchase</x:v>
      </x:c>
      <x:c r="H756" t="str">
        <x:v>Winter peak</x:v>
      </x:c>
      <x:c r="I756" t="str">
        <x:v>Active</x:v>
      </x:c>
      <x:c r="J756" t="str">
        <x:v>TikTok Shop</x:v>
      </x:c>
      <x:c r="K756" t="str">
        <x:v>Social Commerce</x:v>
      </x:c>
      <x:c r="L756" t="str">
        <x:v>All Geographies</x:v>
      </x:c>
      <x:c r="M756" s="34" t="n">
        <x:v>772</x:v>
      </x:c>
      <x:c r="N756" s="28" t="n">
        <x:v>0.040824</x:v>
      </x:c>
      <x:c r="O756" s="34" t="n">
        <x:v>32</x:v>
      </x:c>
      <x:c r="P756" s="34" t="n">
        <x:v>1</x:v>
      </x:c>
      <x:c r="Q756" s="34" t="n">
        <x:v>32</x:v>
      </x:c>
      <x:c r="R756" s="33" t="n">
        <x:v>34</x:v>
      </x:c>
      <x:c r="S756" s="38" t="n">
        <x:v>1.088</x:v>
      </x:c>
      <x:c r="T756" s="38" t="n">
        <x:v>0.13056</x:v>
      </x:c>
      <x:c r="U756" s="38" t="n">
        <x:v>0.0526592</x:v>
      </x:c>
      <x:c r="V756" s="38" t="n">
        <x:v>0.9047808</x:v>
      </x:c>
      <x:c r="W756" s="38" t="n">
        <x:v>0.43744</x:v>
      </x:c>
      <x:c r="X756" s="38" t="n">
        <x:v>0.0262386432</x:v>
      </x:c>
      <x:c r="Y756" s="38" t="n">
        <x:v>0.054286848</x:v>
      </x:c>
      <x:c r="Z756" s="38" t="n">
        <x:v>0.16319999999999998</x:v>
      </x:c>
      <x:c r="AA756" s="38" t="n">
        <x:v>0.056</x:v>
      </x:c>
      <x:c r="AB756" s="38" t="n">
        <x:v>0.001792</x:v>
      </x:c>
      <x:c r="AC756" s="38" t="n">
        <x:v>0.16582330880000007</x:v>
      </x:c>
      <x:c r="AD756" s="28" t="n">
        <x:v>0.1832745663922135</x:v>
      </x:c>
    </x:row>
    <x:row r="757">
      <x:c r="A757" s="32" t="n">
        <x:v>45922</x:v>
      </x:c>
      <x:c r="B757" s="32" t="n">
        <x:v>45901</x:v>
      </x:c>
      <x:c r="C757" t="str">
        <x:v>Sep 2025</x:v>
      </x:c>
      <x:c r="D757" t="str">
        <x:v>Actual</x:v>
      </x:c>
      <x:c r="E757" t="str">
        <x:v>DB-104</x:v>
      </x:c>
      <x:c r="F757" t="str">
        <x:v>SunNest Cooling Towel</x:v>
      </x:c>
      <x:c r="G757" t="str">
        <x:v>Consumable repeat</x:v>
      </x:c>
      <x:c r="H757" t="str">
        <x:v>Summer peak</x:v>
      </x:c>
      <x:c r="I757" t="str">
        <x:v>Active</x:v>
      </x:c>
      <x:c r="J757" t="str">
        <x:v>Shopify DTC</x:v>
      </x:c>
      <x:c r="K757" t="str">
        <x:v>Consumer</x:v>
      </x:c>
      <x:c r="L757" t="str">
        <x:v>All Geographies</x:v>
      </x:c>
      <x:c r="M757" s="34" t="n">
        <x:v>3646</x:v>
      </x:c>
      <x:c r="N757" s="28" t="n">
        <x:v>0.03312</x:v>
      </x:c>
      <x:c r="O757" s="34" t="n">
        <x:v>121</x:v>
      </x:c>
      <x:c r="P757" s="34" t="n">
        <x:v>1</x:v>
      </x:c>
      <x:c r="Q757" s="34" t="n">
        <x:v>121</x:v>
      </x:c>
      <x:c r="R757" s="33" t="n">
        <x:v>42</x:v>
      </x:c>
      <x:c r="S757" s="38" t="n">
        <x:v>5.082</x:v>
      </x:c>
      <x:c r="T757" s="38" t="n">
        <x:v>0.40656</x:v>
      </x:c>
      <x:c r="U757" s="38" t="n">
        <x:v>0.233772</x:v>
      </x:c>
      <x:c r="V757" s="38" t="n">
        <x:v>4.441668</x:v>
      </x:c>
      <x:c r="W757" s="38" t="n">
        <x:v>1.8210500000000003</x:v>
      </x:c>
      <x:c r="X757" s="38" t="n">
        <x:v>0.128808372</x:v>
      </x:c>
      <x:c r="Y757" s="38" t="n">
        <x:v>0</x:v>
      </x:c>
      <x:c r="Z757" s="38" t="n">
        <x:v>0.50215</x:v>
      </x:c>
      <x:c r="AA757" s="38" t="n">
        <x:v>0.19964999999999997</x:v>
      </x:c>
      <x:c r="AB757" s="38" t="n">
        <x:v>0.003388</x:v>
      </x:c>
      <x:c r="AC757" s="38" t="n">
        <x:v>1.7866216279999998</x:v>
      </x:c>
      <x:c r="AD757" s="28" t="n">
        <x:v>0.4022411463441211</x:v>
      </x:c>
    </x:row>
    <x:row r="758">
      <x:c r="A758" s="32" t="n">
        <x:v>45922</x:v>
      </x:c>
      <x:c r="B758" s="32" t="n">
        <x:v>45901</x:v>
      </x:c>
      <x:c r="C758" t="str">
        <x:v>Sep 2025</x:v>
      </x:c>
      <x:c r="D758" t="str">
        <x:v>Actual</x:v>
      </x:c>
      <x:c r="E758" t="str">
        <x:v>DB-104</x:v>
      </x:c>
      <x:c r="F758" t="str">
        <x:v>SunNest Cooling Towel</x:v>
      </x:c>
      <x:c r="G758" t="str">
        <x:v>Consumable repeat</x:v>
      </x:c>
      <x:c r="H758" t="str">
        <x:v>Summer peak</x:v>
      </x:c>
      <x:c r="I758" t="str">
        <x:v>Active</x:v>
      </x:c>
      <x:c r="J758" t="str">
        <x:v>Amazon Marketplace</x:v>
      </x:c>
      <x:c r="K758" t="str">
        <x:v>Marketplace Consumer</x:v>
      </x:c>
      <x:c r="L758" t="str">
        <x:v>All Geographies</x:v>
      </x:c>
      <x:c r="M758" s="34" t="n">
        <x:v>1823</x:v>
      </x:c>
      <x:c r="N758" s="28" t="n">
        <x:v>0.0390816</x:v>
      </x:c>
      <x:c r="O758" s="34" t="n">
        <x:v>71</x:v>
      </x:c>
      <x:c r="P758" s="34" t="n">
        <x:v>1</x:v>
      </x:c>
      <x:c r="Q758" s="34" t="n">
        <x:v>71</x:v>
      </x:c>
      <x:c r="R758" s="33" t="n">
        <x:v>42</x:v>
      </x:c>
      <x:c r="S758" s="38" t="n">
        <x:v>2.982</x:v>
      </x:c>
      <x:c r="T758" s="38" t="n">
        <x:v>0.1491</x:v>
      </x:c>
      <x:c r="U758" s="38" t="n">
        <x:v>0.14164500000000002</x:v>
      </x:c>
      <x:c r="V758" s="38" t="n">
        <x:v>2.6912550000000004</x:v>
      </x:c>
      <x:c r="W758" s="38" t="n">
        <x:v>1.0685499999999999</x:v>
      </x:c>
      <x:c r="X758" s="38" t="n">
        <x:v>0</x:v>
      </x:c>
      <x:c r="Y758" s="38" t="n">
        <x:v>0.40368825</x:v>
      </x:c>
      <x:c r="Z758" s="38" t="n">
        <x:v>0.3692</x:v>
      </x:c>
      <x:c r="AA758" s="38" t="n">
        <x:v>0.15265</x:v>
      </x:c>
      <x:c r="AB758" s="38" t="n">
        <x:v>0.0019879999999999997</x:v>
      </x:c>
      <x:c r="AC758" s="38" t="n">
        <x:v>0.6951787500000005</x:v>
      </x:c>
      <x:c r="AD758" s="28" t="n">
        <x:v>0.25831024930747937</x:v>
      </x:c>
    </x:row>
    <x:row r="759">
      <x:c r="A759" s="32" t="n">
        <x:v>45922</x:v>
      </x:c>
      <x:c r="B759" s="32" t="n">
        <x:v>45901</x:v>
      </x:c>
      <x:c r="C759" t="str">
        <x:v>Sep 2025</x:v>
      </x:c>
      <x:c r="D759" t="str">
        <x:v>Actual</x:v>
      </x:c>
      <x:c r="E759" t="str">
        <x:v>DB-104</x:v>
      </x:c>
      <x:c r="F759" t="str">
        <x:v>SunNest Cooling Towel</x:v>
      </x:c>
      <x:c r="G759" t="str">
        <x:v>Consumable repeat</x:v>
      </x:c>
      <x:c r="H759" t="str">
        <x:v>Summer peak</x:v>
      </x:c>
      <x:c r="I759" t="str">
        <x:v>Active</x:v>
      </x:c>
      <x:c r="J759" t="str">
        <x:v>Wholesale</x:v>
      </x:c>
      <x:c r="K759" t="str">
        <x:v>Retailer</x:v>
      </x:c>
      <x:c r="L759" t="str">
        <x:v>All Geographies</x:v>
      </x:c>
      <x:c r="M759" s="34" t="n">
        <x:v>1094</x:v>
      </x:c>
      <x:c r="N759" s="28" t="n">
        <x:v>0.018216000000000003</x:v>
      </x:c>
      <x:c r="O759" s="34" t="n">
        <x:v>20</x:v>
      </x:c>
      <x:c r="P759" s="34" t="n">
        <x:v>1</x:v>
      </x:c>
      <x:c r="Q759" s="34" t="n">
        <x:v>20</x:v>
      </x:c>
      <x:c r="R759" s="33" t="n">
        <x:v>42</x:v>
      </x:c>
      <x:c r="S759" s="38" t="n">
        <x:v>0.84</x:v>
      </x:c>
      <x:c r="T759" s="38" t="n">
        <x:v>0.294</x:v>
      </x:c>
      <x:c r="U759" s="38" t="n">
        <x:v>0.027300000000000005</x:v>
      </x:c>
      <x:c r="V759" s="38" t="n">
        <x:v>0.5187</x:v>
      </x:c>
      <x:c r="W759" s="38" t="n">
        <x:v>0.301</x:v>
      </x:c>
      <x:c r="X759" s="38" t="n">
        <x:v>0</x:v>
      </x:c>
      <x:c r="Y759" s="38" t="n">
        <x:v>0</x:v>
      </x:c>
      <x:c r="Z759" s="38" t="n">
        <x:v>0.046</x:v>
      </x:c>
      <x:c r="AA759" s="38" t="n">
        <x:v>0.017</x:v>
      </x:c>
      <x:c r="AB759" s="38" t="n">
        <x:v>0.00056</x:v>
      </x:c>
      <x:c r="AC759" s="38" t="n">
        <x:v>0.15414000000000005</x:v>
      </x:c>
      <x:c r="AD759" s="28" t="n">
        <x:v>0.2971659919028341</x:v>
      </x:c>
    </x:row>
    <x:row r="760">
      <x:c r="A760" s="32" t="n">
        <x:v>45922</x:v>
      </x:c>
      <x:c r="B760" s="32" t="n">
        <x:v>45901</x:v>
      </x:c>
      <x:c r="C760" t="str">
        <x:v>Sep 2025</x:v>
      </x:c>
      <x:c r="D760" t="str">
        <x:v>Actual</x:v>
      </x:c>
      <x:c r="E760" t="str">
        <x:v>DB-104</x:v>
      </x:c>
      <x:c r="F760" t="str">
        <x:v>SunNest Cooling Towel</x:v>
      </x:c>
      <x:c r="G760" t="str">
        <x:v>Consumable repeat</x:v>
      </x:c>
      <x:c r="H760" t="str">
        <x:v>Summer peak</x:v>
      </x:c>
      <x:c r="I760" t="str">
        <x:v>Active</x:v>
      </x:c>
      <x:c r="J760" t="str">
        <x:v>TikTok Shop</x:v>
      </x:c>
      <x:c r="K760" t="str">
        <x:v>Social Commerce</x:v>
      </x:c>
      <x:c r="L760" t="str">
        <x:v>All Geographies</x:v>
      </x:c>
      <x:c r="M760" s="34" t="n">
        <x:v>729</x:v>
      </x:c>
      <x:c r="N760" s="28" t="n">
        <x:v>0.0417312</x:v>
      </x:c>
      <x:c r="O760" s="34" t="n">
        <x:v>30</x:v>
      </x:c>
      <x:c r="P760" s="34" t="n">
        <x:v>1</x:v>
      </x:c>
      <x:c r="Q760" s="34" t="n">
        <x:v>30</x:v>
      </x:c>
      <x:c r="R760" s="33" t="n">
        <x:v>42</x:v>
      </x:c>
      <x:c r="S760" s="38" t="n">
        <x:v>1.26</x:v>
      </x:c>
      <x:c r="T760" s="38" t="n">
        <x:v>0.1512</x:v>
      </x:c>
      <x:c r="U760" s="38" t="n">
        <x:v>0.05544</x:v>
      </x:c>
      <x:c r="V760" s="38" t="n">
        <x:v>1.05336</x:v>
      </x:c>
      <x:c r="W760" s="38" t="n">
        <x:v>0.4515</x:v>
      </x:c>
      <x:c r="X760" s="38" t="n">
        <x:v>0.030547440000000002</x:v>
      </x:c>
      <x:c r="Y760" s="38" t="n">
        <x:v>0.0632016</x:v>
      </x:c>
      <x:c r="Z760" s="38" t="n">
        <x:v>0.153</x:v>
      </x:c>
      <x:c r="AA760" s="38" t="n">
        <x:v>0.0525</x:v>
      </x:c>
      <x:c r="AB760" s="38" t="n">
        <x:v>0.0008399999999999999</x:v>
      </x:c>
      <x:c r="AC760" s="38" t="n">
        <x:v>0.3017709600000001</x:v>
      </x:c>
      <x:c r="AD760" s="28" t="n">
        <x:v>0.28648416495784923</x:v>
      </x:c>
    </x:row>
    <x:row r="761">
      <x:c r="A761" s="32" t="n">
        <x:v>45922</x:v>
      </x:c>
      <x:c r="B761" s="32" t="n">
        <x:v>45901</x:v>
      </x:c>
      <x:c r="C761" t="str">
        <x:v>Sep 2025</x:v>
      </x:c>
      <x:c r="D761" t="str">
        <x:v>Actual</x:v>
      </x:c>
      <x:c r="E761" t="str">
        <x:v>DB-105</x:v>
      </x:c>
      <x:c r="F761" t="str">
        <x:v>DreamFuel Refill Pack</x:v>
      </x:c>
      <x:c r="G761" t="str">
        <x:v>Subscription</x:v>
      </x:c>
      <x:c r="H761" t="str">
        <x:v>None</x:v>
      </x:c>
      <x:c r="I761" t="str">
        <x:v>Active</x:v>
      </x:c>
      <x:c r="J761" t="str">
        <x:v>Shopify DTC</x:v>
      </x:c>
      <x:c r="K761" t="str">
        <x:v>Consumer</x:v>
      </x:c>
      <x:c r="L761" t="str">
        <x:v>All Geographies</x:v>
      </x:c>
      <x:c r="M761" s="34" t="n">
        <x:v>3939</x:v>
      </x:c>
      <x:c r="N761" s="28" t="n">
        <x:v>0.03888</x:v>
      </x:c>
      <x:c r="O761" s="34" t="n">
        <x:v>153</x:v>
      </x:c>
      <x:c r="P761" s="34" t="n">
        <x:v>1</x:v>
      </x:c>
      <x:c r="Q761" s="34" t="n">
        <x:v>153</x:v>
      </x:c>
      <x:c r="R761" s="33" t="n">
        <x:v>56</x:v>
      </x:c>
      <x:c r="S761" s="38" t="n">
        <x:v>8.568</x:v>
      </x:c>
      <x:c r="T761" s="38" t="n">
        <x:v>0.6854399999999999</x:v>
      </x:c>
      <x:c r="U761" s="38" t="n">
        <x:v>0.1576512</x:v>
      </x:c>
      <x:c r="V761" s="38" t="n">
        <x:v>7.7249088</x:v>
      </x:c>
      <x:c r="W761" s="38" t="n">
        <x:v>2.84886</x:v>
      </x:c>
      <x:c r="X761" s="38" t="n">
        <x:v>0.2240223552</x:v>
      </x:c>
      <x:c r="Y761" s="38" t="n">
        <x:v>0</x:v>
      </x:c>
      <x:c r="Z761" s="38" t="n">
        <x:v>0.63495</x:v>
      </x:c>
      <x:c r="AA761" s="38" t="n">
        <x:v>0.25245</x:v>
      </x:c>
      <x:c r="AB761" s="38" t="n">
        <x:v>0.0005507999999999999</x:v>
      </x:c>
      <x:c r="AC761" s="38" t="n">
        <x:v>3.7640756447999997</x:v>
      </x:c>
      <x:c r="AD761" s="28" t="n">
        <x:v>0.48726473570794776</x:v>
      </x:c>
    </x:row>
    <x:row r="762">
      <x:c r="A762" s="32" t="n">
        <x:v>45922</x:v>
      </x:c>
      <x:c r="B762" s="32" t="n">
        <x:v>45901</x:v>
      </x:c>
      <x:c r="C762" t="str">
        <x:v>Sep 2025</x:v>
      </x:c>
      <x:c r="D762" t="str">
        <x:v>Actual</x:v>
      </x:c>
      <x:c r="E762" t="str">
        <x:v>DB-105</x:v>
      </x:c>
      <x:c r="F762" t="str">
        <x:v>DreamFuel Refill Pack</x:v>
      </x:c>
      <x:c r="G762" t="str">
        <x:v>Subscription</x:v>
      </x:c>
      <x:c r="H762" t="str">
        <x:v>None</x:v>
      </x:c>
      <x:c r="I762" t="str">
        <x:v>Active</x:v>
      </x:c>
      <x:c r="J762" t="str">
        <x:v>Amazon Marketplace</x:v>
      </x:c>
      <x:c r="K762" t="str">
        <x:v>Marketplace Consumer</x:v>
      </x:c>
      <x:c r="L762" t="str">
        <x:v>All Geographies</x:v>
      </x:c>
      <x:c r="M762" s="34" t="n">
        <x:v>1970</x:v>
      </x:c>
      <x:c r="N762" s="28" t="n">
        <x:v>0.0458784</x:v>
      </x:c>
      <x:c r="O762" s="34" t="n">
        <x:v>90</x:v>
      </x:c>
      <x:c r="P762" s="34" t="n">
        <x:v>1</x:v>
      </x:c>
      <x:c r="Q762" s="34" t="n">
        <x:v>90</x:v>
      </x:c>
      <x:c r="R762" s="33" t="n">
        <x:v>56</x:v>
      </x:c>
      <x:c r="S762" s="38" t="n">
        <x:v>5.04</x:v>
      </x:c>
      <x:c r="T762" s="38" t="n">
        <x:v>0.252</x:v>
      </x:c>
      <x:c r="U762" s="38" t="n">
        <x:v>0.09576000000000001</x:v>
      </x:c>
      <x:c r="V762" s="38" t="n">
        <x:v>4.69224</x:v>
      </x:c>
      <x:c r="W762" s="38" t="n">
        <x:v>1.6758000000000002</x:v>
      </x:c>
      <x:c r="X762" s="38" t="n">
        <x:v>0</x:v>
      </x:c>
      <x:c r="Y762" s="38" t="n">
        <x:v>0.703836</x:v>
      </x:c>
      <x:c r="Z762" s="38" t="n">
        <x:v>0.468</x:v>
      </x:c>
      <x:c r="AA762" s="38" t="n">
        <x:v>0.1935</x:v>
      </x:c>
      <x:c r="AB762" s="38" t="n">
        <x:v>0.000324</x:v>
      </x:c>
      <x:c r="AC762" s="38" t="n">
        <x:v>1.65078</x:v>
      </x:c>
      <x:c r="AD762" s="28" t="n">
        <x:v>0.3518106490716587</x:v>
      </x:c>
    </x:row>
    <x:row r="763">
      <x:c r="A763" s="32" t="n">
        <x:v>45922</x:v>
      </x:c>
      <x:c r="B763" s="32" t="n">
        <x:v>45901</x:v>
      </x:c>
      <x:c r="C763" t="str">
        <x:v>Sep 2025</x:v>
      </x:c>
      <x:c r="D763" t="str">
        <x:v>Actual</x:v>
      </x:c>
      <x:c r="E763" t="str">
        <x:v>DB-105</x:v>
      </x:c>
      <x:c r="F763" t="str">
        <x:v>DreamFuel Refill Pack</x:v>
      </x:c>
      <x:c r="G763" t="str">
        <x:v>Subscription</x:v>
      </x:c>
      <x:c r="H763" t="str">
        <x:v>None</x:v>
      </x:c>
      <x:c r="I763" t="str">
        <x:v>Active</x:v>
      </x:c>
      <x:c r="J763" t="str">
        <x:v>Wholesale</x:v>
      </x:c>
      <x:c r="K763" t="str">
        <x:v>Retailer</x:v>
      </x:c>
      <x:c r="L763" t="str">
        <x:v>All Geographies</x:v>
      </x:c>
      <x:c r="M763" s="34" t="n">
        <x:v>1182</x:v>
      </x:c>
      <x:c r="N763" s="28" t="n">
        <x:v>0.021384000000000004</x:v>
      </x:c>
      <x:c r="O763" s="34" t="n">
        <x:v>25</x:v>
      </x:c>
      <x:c r="P763" s="34" t="n">
        <x:v>1</x:v>
      </x:c>
      <x:c r="Q763" s="34" t="n">
        <x:v>25</x:v>
      </x:c>
      <x:c r="R763" s="33" t="n">
        <x:v>56</x:v>
      </x:c>
      <x:c r="S763" s="38" t="n">
        <x:v>1.4</x:v>
      </x:c>
      <x:c r="T763" s="38" t="n">
        <x:v>0.48999999999999994</x:v>
      </x:c>
      <x:c r="U763" s="38" t="n">
        <x:v>0.018199999999999997</x:v>
      </x:c>
      <x:c r="V763" s="38" t="n">
        <x:v>0.8917999999999999</x:v>
      </x:c>
      <x:c r="W763" s="38" t="n">
        <x:v>0.4655</x:v>
      </x:c>
      <x:c r="X763" s="38" t="n">
        <x:v>0</x:v>
      </x:c>
      <x:c r="Y763" s="38" t="n">
        <x:v>0</x:v>
      </x:c>
      <x:c r="Z763" s="38" t="n">
        <x:v>0.057499999999999996</x:v>
      </x:c>
      <x:c r="AA763" s="38" t="n">
        <x:v>0.02125</x:v>
      </x:c>
      <x:c r="AB763" s="38" t="n">
        <x:v>0.00008999999999999999</x:v>
      </x:c>
      <x:c r="AC763" s="38" t="n">
        <x:v>0.34745999999999994</x:v>
      </x:c>
      <x:c r="AD763" s="28" t="n">
        <x:v>0.38961650594303654</x:v>
      </x:c>
    </x:row>
    <x:row r="764">
      <x:c r="A764" s="32" t="n">
        <x:v>45922</x:v>
      </x:c>
      <x:c r="B764" s="32" t="n">
        <x:v>45901</x:v>
      </x:c>
      <x:c r="C764" t="str">
        <x:v>Sep 2025</x:v>
      </x:c>
      <x:c r="D764" t="str">
        <x:v>Actual</x:v>
      </x:c>
      <x:c r="E764" t="str">
        <x:v>DB-105</x:v>
      </x:c>
      <x:c r="F764" t="str">
        <x:v>DreamFuel Refill Pack</x:v>
      </x:c>
      <x:c r="G764" t="str">
        <x:v>Subscription</x:v>
      </x:c>
      <x:c r="H764" t="str">
        <x:v>None</x:v>
      </x:c>
      <x:c r="I764" t="str">
        <x:v>Active</x:v>
      </x:c>
      <x:c r="J764" t="str">
        <x:v>TikTok Shop</x:v>
      </x:c>
      <x:c r="K764" t="str">
        <x:v>Social Commerce</x:v>
      </x:c>
      <x:c r="L764" t="str">
        <x:v>All Geographies</x:v>
      </x:c>
      <x:c r="M764" s="34" t="n">
        <x:v>788</x:v>
      </x:c>
      <x:c r="N764" s="28" t="n">
        <x:v>0.0489888</x:v>
      </x:c>
      <x:c r="O764" s="34" t="n">
        <x:v>39</x:v>
      </x:c>
      <x:c r="P764" s="34" t="n">
        <x:v>1</x:v>
      </x:c>
      <x:c r="Q764" s="34" t="n">
        <x:v>39</x:v>
      </x:c>
      <x:c r="R764" s="33" t="n">
        <x:v>56</x:v>
      </x:c>
      <x:c r="S764" s="38" t="n">
        <x:v>2.184</x:v>
      </x:c>
      <x:c r="T764" s="38" t="n">
        <x:v>0.26208000000000004</x:v>
      </x:c>
      <x:c r="U764" s="38" t="n">
        <x:v>0.038438400000000005</x:v>
      </x:c>
      <x:c r="V764" s="38" t="n">
        <x:v>1.8834816</x:v>
      </x:c>
      <x:c r="W764" s="38" t="n">
        <x:v>0.72618</x:v>
      </x:c>
      <x:c r="X764" s="38" t="n">
        <x:v>0.054620966400000005</x:v>
      </x:c>
      <x:c r="Y764" s="38" t="n">
        <x:v>0.113008896</x:v>
      </x:c>
      <x:c r="Z764" s="38" t="n">
        <x:v>0.19889999999999997</x:v>
      </x:c>
      <x:c r="AA764" s="38" t="n">
        <x:v>0.06825</x:v>
      </x:c>
      <x:c r="AB764" s="38" t="n">
        <x:v>0.0001404</x:v>
      </x:c>
      <x:c r="AC764" s="38" t="n">
        <x:v>0.7223813376000001</x:v>
      </x:c>
      <x:c r="AD764" s="28" t="n">
        <x:v>0.38353511794328127</x:v>
      </x:c>
    </x:row>
    <x:row r="765">
      <x:c r="A765" s="32" t="n">
        <x:v>45929</x:v>
      </x:c>
      <x:c r="B765" s="32" t="n">
        <x:v>45901</x:v>
      </x:c>
      <x:c r="C765" t="str">
        <x:v>Sep 2025</x:v>
      </x:c>
      <x:c r="D765" t="str">
        <x:v>Actual</x:v>
      </x:c>
      <x:c r="E765" t="str">
        <x:v>DB-101</x:v>
      </x:c>
      <x:c r="F765" t="str">
        <x:v>AeroSip Bottle</x:v>
      </x:c>
      <x:c r="G765" t="str">
        <x:v>One-time purchase</x:v>
      </x:c>
      <x:c r="H765" t="str">
        <x:v>None</x:v>
      </x:c>
      <x:c r="I765" t="str">
        <x:v>Active</x:v>
      </x:c>
      <x:c r="J765" t="str">
        <x:v>Shopify DTC</x:v>
      </x:c>
      <x:c r="K765" t="str">
        <x:v>Consumer</x:v>
      </x:c>
      <x:c r="L765" t="str">
        <x:v>All Geographies</x:v>
      </x:c>
      <x:c r="M765" s="34" t="n">
        <x:v>5711</x:v>
      </x:c>
      <x:c r="N765" s="28" t="n">
        <x:v>0.034199999999999994</x:v>
      </x:c>
      <x:c r="O765" s="34" t="n">
        <x:v>195</x:v>
      </x:c>
      <x:c r="P765" s="34" t="n">
        <x:v>1</x:v>
      </x:c>
      <x:c r="Q765" s="34" t="n">
        <x:v>195</x:v>
      </x:c>
      <x:c r="R765" s="33" t="n">
        <x:v>29</x:v>
      </x:c>
      <x:c r="S765" s="38" t="n">
        <x:v>5.655</x:v>
      </x:c>
      <x:c r="T765" s="38" t="n">
        <x:v>0.4524</x:v>
      </x:c>
      <x:c r="U765" s="38" t="n">
        <x:v>0.23411700000000002</x:v>
      </x:c>
      <x:c r="V765" s="38" t="n">
        <x:v>4.968483</x:v>
      </x:c>
      <x:c r="W765" s="38" t="n">
        <x:v>2.106</x:v>
      </x:c>
      <x:c r="X765" s="38" t="n">
        <x:v>0.14408600700000002</x:v>
      </x:c>
      <x:c r="Y765" s="38" t="n">
        <x:v>0</x:v>
      </x:c>
      <x:c r="Z765" s="38" t="n">
        <x:v>0.8092500000000001</x:v>
      </x:c>
      <x:c r="AA765" s="38" t="n">
        <x:v>0.32175</x:v>
      </x:c>
      <x:c r="AB765" s="38" t="n">
        <x:v>0.007019999999999999</x:v>
      </x:c>
      <x:c r="AC765" s="38" t="n">
        <x:v>1.5803769930000002</x:v>
      </x:c>
      <x:c r="AD765" s="28" t="n">
        <x:v>0.31808038650831655</x:v>
      </x:c>
    </x:row>
    <x:row r="766">
      <x:c r="A766" s="32" t="n">
        <x:v>45929</x:v>
      </x:c>
      <x:c r="B766" s="32" t="n">
        <x:v>45901</x:v>
      </x:c>
      <x:c r="C766" t="str">
        <x:v>Sep 2025</x:v>
      </x:c>
      <x:c r="D766" t="str">
        <x:v>Actual</x:v>
      </x:c>
      <x:c r="E766" t="str">
        <x:v>DB-101</x:v>
      </x:c>
      <x:c r="F766" t="str">
        <x:v>AeroSip Bottle</x:v>
      </x:c>
      <x:c r="G766" t="str">
        <x:v>One-time purchase</x:v>
      </x:c>
      <x:c r="H766" t="str">
        <x:v>None</x:v>
      </x:c>
      <x:c r="I766" t="str">
        <x:v>Active</x:v>
      </x:c>
      <x:c r="J766" t="str">
        <x:v>Amazon Marketplace</x:v>
      </x:c>
      <x:c r="K766" t="str">
        <x:v>Marketplace Consumer</x:v>
      </x:c>
      <x:c r="L766" t="str">
        <x:v>All Geographies</x:v>
      </x:c>
      <x:c r="M766" s="34" t="n">
        <x:v>2855</x:v>
      </x:c>
      <x:c r="N766" s="28" t="n">
        <x:v>0.040355999999999996</x:v>
      </x:c>
      <x:c r="O766" s="34" t="n">
        <x:v>115</x:v>
      </x:c>
      <x:c r="P766" s="34" t="n">
        <x:v>1</x:v>
      </x:c>
      <x:c r="Q766" s="34" t="n">
        <x:v>115</x:v>
      </x:c>
      <x:c r="R766" s="33" t="n">
        <x:v>29</x:v>
      </x:c>
      <x:c r="S766" s="38" t="n">
        <x:v>3.335</x:v>
      </x:c>
      <x:c r="T766" s="38" t="n">
        <x:v>0.16675</x:v>
      </x:c>
      <x:c r="U766" s="38" t="n">
        <x:v>0.14257124999999998</x:v>
      </x:c>
      <x:c r="V766" s="38" t="n">
        <x:v>3.02567875</x:v>
      </x:c>
      <x:c r="W766" s="38" t="n">
        <x:v>1.242</x:v>
      </x:c>
      <x:c r="X766" s="38" t="n">
        <x:v>0</x:v>
      </x:c>
      <x:c r="Y766" s="38" t="n">
        <x:v>0.45385181249999995</x:v>
      </x:c>
      <x:c r="Z766" s="38" t="n">
        <x:v>0.598</x:v>
      </x:c>
      <x:c r="AA766" s="38" t="n">
        <x:v>0.24725</x:v>
      </x:c>
      <x:c r="AB766" s="38" t="n">
        <x:v>0.0041400000000000005</x:v>
      </x:c>
      <x:c r="AC766" s="38" t="n">
        <x:v>0.4804369375000001</x:v>
      </x:c>
      <x:c r="AD766" s="28" t="n">
        <x:v>0.15878649955815702</x:v>
      </x:c>
    </x:row>
    <x:row r="767">
      <x:c r="A767" s="32" t="n">
        <x:v>45929</x:v>
      </x:c>
      <x:c r="B767" s="32" t="n">
        <x:v>45901</x:v>
      </x:c>
      <x:c r="C767" t="str">
        <x:v>Sep 2025</x:v>
      </x:c>
      <x:c r="D767" t="str">
        <x:v>Actual</x:v>
      </x:c>
      <x:c r="E767" t="str">
        <x:v>DB-101</x:v>
      </x:c>
      <x:c r="F767" t="str">
        <x:v>AeroSip Bottle</x:v>
      </x:c>
      <x:c r="G767" t="str">
        <x:v>One-time purchase</x:v>
      </x:c>
      <x:c r="H767" t="str">
        <x:v>None</x:v>
      </x:c>
      <x:c r="I767" t="str">
        <x:v>Active</x:v>
      </x:c>
      <x:c r="J767" t="str">
        <x:v>Wholesale</x:v>
      </x:c>
      <x:c r="K767" t="str">
        <x:v>Retailer</x:v>
      </x:c>
      <x:c r="L767" t="str">
        <x:v>All Geographies</x:v>
      </x:c>
      <x:c r="M767" s="34" t="n">
        <x:v>1713</x:v>
      </x:c>
      <x:c r="N767" s="28" t="n">
        <x:v>0.01881</x:v>
      </x:c>
      <x:c r="O767" s="34" t="n">
        <x:v>32</x:v>
      </x:c>
      <x:c r="P767" s="34" t="n">
        <x:v>1</x:v>
      </x:c>
      <x:c r="Q767" s="34" t="n">
        <x:v>32</x:v>
      </x:c>
      <x:c r="R767" s="33" t="n">
        <x:v>29</x:v>
      </x:c>
      <x:c r="S767" s="38" t="n">
        <x:v>0.928</x:v>
      </x:c>
      <x:c r="T767" s="38" t="n">
        <x:v>0.3248</x:v>
      </x:c>
      <x:c r="U767" s="38" t="n">
        <x:v>0.027144</x:v>
      </x:c>
      <x:c r="V767" s="38" t="n">
        <x:v>0.5760560000000001</x:v>
      </x:c>
      <x:c r="W767" s="38" t="n">
        <x:v>0.3456</x:v>
      </x:c>
      <x:c r="X767" s="38" t="n">
        <x:v>0</x:v>
      </x:c>
      <x:c r="Y767" s="38" t="n">
        <x:v>0</x:v>
      </x:c>
      <x:c r="Z767" s="38" t="n">
        <x:v>0.0736</x:v>
      </x:c>
      <x:c r="AA767" s="38" t="n">
        <x:v>0.0272</x:v>
      </x:c>
      <x:c r="AB767" s="38" t="n">
        <x:v>0.001152</x:v>
      </x:c>
      <x:c r="AC767" s="38" t="n">
        <x:v>0.12850400000000012</x:v>
      </x:c>
      <x:c r="AD767" s="28" t="n">
        <x:v>0.22307553432305208</x:v>
      </x:c>
    </x:row>
    <x:row r="768">
      <x:c r="A768" s="32" t="n">
        <x:v>45929</x:v>
      </x:c>
      <x:c r="B768" s="32" t="n">
        <x:v>45901</x:v>
      </x:c>
      <x:c r="C768" t="str">
        <x:v>Sep 2025</x:v>
      </x:c>
      <x:c r="D768" t="str">
        <x:v>Actual</x:v>
      </x:c>
      <x:c r="E768" t="str">
        <x:v>DB-101</x:v>
      </x:c>
      <x:c r="F768" t="str">
        <x:v>AeroSip Bottle</x:v>
      </x:c>
      <x:c r="G768" t="str">
        <x:v>One-time purchase</x:v>
      </x:c>
      <x:c r="H768" t="str">
        <x:v>None</x:v>
      </x:c>
      <x:c r="I768" t="str">
        <x:v>Active</x:v>
      </x:c>
      <x:c r="J768" t="str">
        <x:v>TikTok Shop</x:v>
      </x:c>
      <x:c r="K768" t="str">
        <x:v>Social Commerce</x:v>
      </x:c>
      <x:c r="L768" t="str">
        <x:v>All Geographies</x:v>
      </x:c>
      <x:c r="M768" s="34" t="n">
        <x:v>1142</x:v>
      </x:c>
      <x:c r="N768" s="28" t="n">
        <x:v>0.043092</x:v>
      </x:c>
      <x:c r="O768" s="34" t="n">
        <x:v>49</x:v>
      </x:c>
      <x:c r="P768" s="34" t="n">
        <x:v>1</x:v>
      </x:c>
      <x:c r="Q768" s="34" t="n">
        <x:v>49</x:v>
      </x:c>
      <x:c r="R768" s="33" t="n">
        <x:v>29</x:v>
      </x:c>
      <x:c r="S768" s="38" t="n">
        <x:v>1.421</x:v>
      </x:c>
      <x:c r="T768" s="38" t="n">
        <x:v>0.17052</x:v>
      </x:c>
      <x:c r="U768" s="38" t="n">
        <x:v>0.0562716</x:v>
      </x:c>
      <x:c r="V768" s="38" t="n">
        <x:v>1.1942084</x:v>
      </x:c>
      <x:c r="W768" s="38" t="n">
        <x:v>0.5292</x:v>
      </x:c>
      <x:c r="X768" s="38" t="n">
        <x:v>0.0346320436</x:v>
      </x:c>
      <x:c r="Y768" s="38" t="n">
        <x:v>0.07165250399999999</x:v>
      </x:c>
      <x:c r="Z768" s="38" t="n">
        <x:v>0.24989999999999998</x:v>
      </x:c>
      <x:c r="AA768" s="38" t="n">
        <x:v>0.08575</x:v>
      </x:c>
      <x:c r="AB768" s="38" t="n">
        <x:v>0.0017639999999999997</x:v>
      </x:c>
      <x:c r="AC768" s="38" t="n">
        <x:v>0.2213098523999999</x:v>
      </x:c>
      <x:c r="AD768" s="28" t="n">
        <x:v>0.18531928966501987</x:v>
      </x:c>
    </x:row>
    <x:row r="769">
      <x:c r="A769" s="32" t="n">
        <x:v>45929</x:v>
      </x:c>
      <x:c r="B769" s="32" t="n">
        <x:v>45901</x:v>
      </x:c>
      <x:c r="C769" t="str">
        <x:v>Sep 2025</x:v>
      </x:c>
      <x:c r="D769" t="str">
        <x:v>Actual</x:v>
      </x:c>
      <x:c r="E769" t="str">
        <x:v>DB-102</x:v>
      </x:c>
      <x:c r="F769" t="str">
        <x:v>GlowPatch Balm</x:v>
      </x:c>
      <x:c r="G769" t="str">
        <x:v>Consumable repeat</x:v>
      </x:c>
      <x:c r="H769" t="str">
        <x:v>None</x:v>
      </x:c>
      <x:c r="I769" t="str">
        <x:v>Active</x:v>
      </x:c>
      <x:c r="J769" t="str">
        <x:v>Shopify DTC</x:v>
      </x:c>
      <x:c r="K769" t="str">
        <x:v>Consumer</x:v>
      </x:c>
      <x:c r="L769" t="str">
        <x:v>All Geographies</x:v>
      </x:c>
      <x:c r="M769" s="34" t="n">
        <x:v>4613</x:v>
      </x:c>
      <x:c r="N769" s="28" t="n">
        <x:v>0.04248</x:v>
      </x:c>
      <x:c r="O769" s="34" t="n">
        <x:v>196</x:v>
      </x:c>
      <x:c r="P769" s="34" t="n">
        <x:v>1</x:v>
      </x:c>
      <x:c r="Q769" s="34" t="n">
        <x:v>196</x:v>
      </x:c>
      <x:c r="R769" s="33" t="n">
        <x:v>18</x:v>
      </x:c>
      <x:c r="S769" s="38" t="n">
        <x:v>3.528</x:v>
      </x:c>
      <x:c r="T769" s="38" t="n">
        <x:v>0.28224</x:v>
      </x:c>
      <x:c r="U769" s="38" t="n">
        <x:v>0.08114400000000001</x:v>
      </x:c>
      <x:c r="V769" s="38" t="n">
        <x:v>3.164616</x:v>
      </x:c>
      <x:c r="W769" s="38" t="n">
        <x:v>1.0603600000000002</x:v>
      </x:c>
      <x:c r="X769" s="38" t="n">
        <x:v>0.09177386400000001</x:v>
      </x:c>
      <x:c r="Y769" s="38" t="n">
        <x:v>0</x:v>
      </x:c>
      <x:c r="Z769" s="38" t="n">
        <x:v>0.8134000000000001</x:v>
      </x:c>
      <x:c r="AA769" s="38" t="n">
        <x:v>0.32339999999999997</x:v>
      </x:c>
      <x:c r="AB769" s="38" t="n">
        <x:v>0.0011760000000000002</x:v>
      </x:c>
      <x:c r="AC769" s="38" t="n">
        <x:v>0.874506136</x:v>
      </x:c>
      <x:c r="AD769" s="28" t="n">
        <x:v>0.2763387835996532</x:v>
      </x:c>
    </x:row>
    <x:row r="770">
      <x:c r="A770" s="32" t="n">
        <x:v>45929</x:v>
      </x:c>
      <x:c r="B770" s="32" t="n">
        <x:v>45901</x:v>
      </x:c>
      <x:c r="C770" t="str">
        <x:v>Sep 2025</x:v>
      </x:c>
      <x:c r="D770" t="str">
        <x:v>Actual</x:v>
      </x:c>
      <x:c r="E770" t="str">
        <x:v>DB-102</x:v>
      </x:c>
      <x:c r="F770" t="str">
        <x:v>GlowPatch Balm</x:v>
      </x:c>
      <x:c r="G770" t="str">
        <x:v>Consumable repeat</x:v>
      </x:c>
      <x:c r="H770" t="str">
        <x:v>None</x:v>
      </x:c>
      <x:c r="I770" t="str">
        <x:v>Active</x:v>
      </x:c>
      <x:c r="J770" t="str">
        <x:v>Amazon Marketplace</x:v>
      </x:c>
      <x:c r="K770" t="str">
        <x:v>Marketplace Consumer</x:v>
      </x:c>
      <x:c r="L770" t="str">
        <x:v>All Geographies</x:v>
      </x:c>
      <x:c r="M770" s="34" t="n">
        <x:v>2306</x:v>
      </x:c>
      <x:c r="N770" s="28" t="n">
        <x:v>0.050126399999999995</x:v>
      </x:c>
      <x:c r="O770" s="34" t="n">
        <x:v>116</x:v>
      </x:c>
      <x:c r="P770" s="34" t="n">
        <x:v>1</x:v>
      </x:c>
      <x:c r="Q770" s="34" t="n">
        <x:v>116</x:v>
      </x:c>
      <x:c r="R770" s="33" t="n">
        <x:v>18</x:v>
      </x:c>
      <x:c r="S770" s="38" t="n">
        <x:v>2.088</x:v>
      </x:c>
      <x:c r="T770" s="38" t="n">
        <x:v>0.1044</x:v>
      </x:c>
      <x:c r="U770" s="38" t="n">
        <x:v>0.04959</x:v>
      </x:c>
      <x:c r="V770" s="38" t="n">
        <x:v>1.93401</x:v>
      </x:c>
      <x:c r="W770" s="38" t="n">
        <x:v>0.62756</x:v>
      </x:c>
      <x:c r="X770" s="38" t="n">
        <x:v>0</x:v>
      </x:c>
      <x:c r="Y770" s="38" t="n">
        <x:v>0.2901015</x:v>
      </x:c>
      <x:c r="Z770" s="38" t="n">
        <x:v>0.6032000000000001</x:v>
      </x:c>
      <x:c r="AA770" s="38" t="n">
        <x:v>0.24939999999999998</x:v>
      </x:c>
      <x:c r="AB770" s="38" t="n">
        <x:v>0.0006960000000000001</x:v>
      </x:c>
      <x:c r="AC770" s="38" t="n">
        <x:v>0.16305249999999982</x:v>
      </x:c>
      <x:c r="AD770" s="28" t="n">
        <x:v>0.08430799220272896</x:v>
      </x:c>
    </x:row>
    <x:row r="771">
      <x:c r="A771" s="32" t="n">
        <x:v>45929</x:v>
      </x:c>
      <x:c r="B771" s="32" t="n">
        <x:v>45901</x:v>
      </x:c>
      <x:c r="C771" t="str">
        <x:v>Sep 2025</x:v>
      </x:c>
      <x:c r="D771" t="str">
        <x:v>Actual</x:v>
      </x:c>
      <x:c r="E771" t="str">
        <x:v>DB-102</x:v>
      </x:c>
      <x:c r="F771" t="str">
        <x:v>GlowPatch Balm</x:v>
      </x:c>
      <x:c r="G771" t="str">
        <x:v>Consumable repeat</x:v>
      </x:c>
      <x:c r="H771" t="str">
        <x:v>None</x:v>
      </x:c>
      <x:c r="I771" t="str">
        <x:v>Active</x:v>
      </x:c>
      <x:c r="J771" t="str">
        <x:v>Wholesale</x:v>
      </x:c>
      <x:c r="K771" t="str">
        <x:v>Retailer</x:v>
      </x:c>
      <x:c r="L771" t="str">
        <x:v>All Geographies</x:v>
      </x:c>
      <x:c r="M771" s="34" t="n">
        <x:v>1384</x:v>
      </x:c>
      <x:c r="N771" s="28" t="n">
        <x:v>0.023364</x:v>
      </x:c>
      <x:c r="O771" s="34" t="n">
        <x:v>32</x:v>
      </x:c>
      <x:c r="P771" s="34" t="n">
        <x:v>1</x:v>
      </x:c>
      <x:c r="Q771" s="34" t="n">
        <x:v>32</x:v>
      </x:c>
      <x:c r="R771" s="33" t="n">
        <x:v>18</x:v>
      </x:c>
      <x:c r="S771" s="38" t="n">
        <x:v>0.576</x:v>
      </x:c>
      <x:c r="T771" s="38" t="n">
        <x:v>0.20159999999999997</x:v>
      </x:c>
      <x:c r="U771" s="38" t="n">
        <x:v>0.009359999999999999</x:v>
      </x:c>
      <x:c r="V771" s="38" t="n">
        <x:v>0.36504</x:v>
      </x:c>
      <x:c r="W771" s="38" t="n">
        <x:v>0.17312</x:v>
      </x:c>
      <x:c r="X771" s="38" t="n">
        <x:v>0</x:v>
      </x:c>
      <x:c r="Y771" s="38" t="n">
        <x:v>0</x:v>
      </x:c>
      <x:c r="Z771" s="38" t="n">
        <x:v>0.0736</x:v>
      </x:c>
      <x:c r="AA771" s="38" t="n">
        <x:v>0.0272</x:v>
      </x:c>
      <x:c r="AB771" s="38" t="n">
        <x:v>0.000192</x:v>
      </x:c>
      <x:c r="AC771" s="38" t="n">
        <x:v>0.09092799999999998</x:v>
      </x:c>
      <x:c r="AD771" s="28" t="n">
        <x:v>0.24909051062897214</x:v>
      </x:c>
    </x:row>
    <x:row r="772">
      <x:c r="A772" s="32" t="n">
        <x:v>45929</x:v>
      </x:c>
      <x:c r="B772" s="32" t="n">
        <x:v>45901</x:v>
      </x:c>
      <x:c r="C772" t="str">
        <x:v>Sep 2025</x:v>
      </x:c>
      <x:c r="D772" t="str">
        <x:v>Actual</x:v>
      </x:c>
      <x:c r="E772" t="str">
        <x:v>DB-102</x:v>
      </x:c>
      <x:c r="F772" t="str">
        <x:v>GlowPatch Balm</x:v>
      </x:c>
      <x:c r="G772" t="str">
        <x:v>Consumable repeat</x:v>
      </x:c>
      <x:c r="H772" t="str">
        <x:v>None</x:v>
      </x:c>
      <x:c r="I772" t="str">
        <x:v>Active</x:v>
      </x:c>
      <x:c r="J772" t="str">
        <x:v>TikTok Shop</x:v>
      </x:c>
      <x:c r="K772" t="str">
        <x:v>Social Commerce</x:v>
      </x:c>
      <x:c r="L772" t="str">
        <x:v>All Geographies</x:v>
      </x:c>
      <x:c r="M772" s="34" t="n">
        <x:v>923</x:v>
      </x:c>
      <x:c r="N772" s="28" t="n">
        <x:v>0.0535248</x:v>
      </x:c>
      <x:c r="O772" s="34" t="n">
        <x:v>49</x:v>
      </x:c>
      <x:c r="P772" s="34" t="n">
        <x:v>1</x:v>
      </x:c>
      <x:c r="Q772" s="34" t="n">
        <x:v>49</x:v>
      </x:c>
      <x:c r="R772" s="33" t="n">
        <x:v>18</x:v>
      </x:c>
      <x:c r="S772" s="38" t="n">
        <x:v>0.882</x:v>
      </x:c>
      <x:c r="T772" s="38" t="n">
        <x:v>0.10584</x:v>
      </x:c>
      <x:c r="U772" s="38" t="n">
        <x:v>0.019404</x:v>
      </x:c>
      <x:c r="V772" s="38" t="n">
        <x:v>0.756756</x:v>
      </x:c>
      <x:c r="W772" s="38" t="n">
        <x:v>0.26509000000000005</x:v>
      </x:c>
      <x:c r="X772" s="38" t="n">
        <x:v>0.021945924000000002</x:v>
      </x:c>
      <x:c r="Y772" s="38" t="n">
        <x:v>0.04540536</x:v>
      </x:c>
      <x:c r="Z772" s="38" t="n">
        <x:v>0.24989999999999998</x:v>
      </x:c>
      <x:c r="AA772" s="38" t="n">
        <x:v>0.08575</x:v>
      </x:c>
      <x:c r="AB772" s="38" t="n">
        <x:v>0.00029400000000000004</x:v>
      </x:c>
      <x:c r="AC772" s="38" t="n">
        <x:v>0.08837071599999993</x:v>
      </x:c>
      <x:c r="AD772" s="28" t="n">
        <x:v>0.11677570577570569</x:v>
      </x:c>
    </x:row>
    <x:row r="773">
      <x:c r="A773" s="32" t="n">
        <x:v>45929</x:v>
      </x:c>
      <x:c r="B773" s="32" t="n">
        <x:v>45901</x:v>
      </x:c>
      <x:c r="C773" t="str">
        <x:v>Sep 2025</x:v>
      </x:c>
      <x:c r="D773" t="str">
        <x:v>Actual</x:v>
      </x:c>
      <x:c r="E773" t="str">
        <x:v>DB-103</x:v>
      </x:c>
      <x:c r="F773" t="str">
        <x:v>EmberTrail Camp Mug</x:v>
      </x:c>
      <x:c r="G773" t="str">
        <x:v>One-time purchase</x:v>
      </x:c>
      <x:c r="H773" t="str">
        <x:v>Winter peak</x:v>
      </x:c>
      <x:c r="I773" t="str">
        <x:v>Active</x:v>
      </x:c>
      <x:c r="J773" t="str">
        <x:v>Shopify DTC</x:v>
      </x:c>
      <x:c r="K773" t="str">
        <x:v>Consumer</x:v>
      </x:c>
      <x:c r="L773" t="str">
        <x:v>All Geographies</x:v>
      </x:c>
      <x:c r="M773" s="34" t="n">
        <x:v>3875</x:v>
      </x:c>
      <x:c r="N773" s="28" t="n">
        <x:v>0.0324</x:v>
      </x:c>
      <x:c r="O773" s="34" t="n">
        <x:v>126</x:v>
      </x:c>
      <x:c r="P773" s="34" t="n">
        <x:v>1</x:v>
      </x:c>
      <x:c r="Q773" s="34" t="n">
        <x:v>126</x:v>
      </x:c>
      <x:c r="R773" s="33" t="n">
        <x:v>34</x:v>
      </x:c>
      <x:c r="S773" s="38" t="n">
        <x:v>4.284</x:v>
      </x:c>
      <x:c r="T773" s="38" t="n">
        <x:v>0.34271999999999997</x:v>
      </x:c>
      <x:c r="U773" s="38" t="n">
        <x:v>0.2167704</x:v>
      </x:c>
      <x:c r="V773" s="38" t="n">
        <x:v>3.7245095999999998</x:v>
      </x:c>
      <x:c r="W773" s="38" t="n">
        <x:v>1.72242</x:v>
      </x:c>
      <x:c r="X773" s="38" t="n">
        <x:v>0.1080107784</x:v>
      </x:c>
      <x:c r="Y773" s="38" t="n">
        <x:v>0</x:v>
      </x:c>
      <x:c r="Z773" s="38" t="n">
        <x:v>0.5229000000000001</x:v>
      </x:c>
      <x:c r="AA773" s="38" t="n">
        <x:v>0.20789999999999997</x:v>
      </x:c>
      <x:c r="AB773" s="38" t="n">
        <x:v>0.007056</x:v>
      </x:c>
      <x:c r="AC773" s="38" t="n">
        <x:v>1.1562228215999997</x:v>
      </x:c>
      <x:c r="AD773" s="28" t="n">
        <x:v>0.3104362575948253</x:v>
      </x:c>
    </x:row>
    <x:row r="774">
      <x:c r="A774" s="32" t="n">
        <x:v>45929</x:v>
      </x:c>
      <x:c r="B774" s="32" t="n">
        <x:v>45901</x:v>
      </x:c>
      <x:c r="C774" t="str">
        <x:v>Sep 2025</x:v>
      </x:c>
      <x:c r="D774" t="str">
        <x:v>Actual</x:v>
      </x:c>
      <x:c r="E774" t="str">
        <x:v>DB-103</x:v>
      </x:c>
      <x:c r="F774" t="str">
        <x:v>EmberTrail Camp Mug</x:v>
      </x:c>
      <x:c r="G774" t="str">
        <x:v>One-time purchase</x:v>
      </x:c>
      <x:c r="H774" t="str">
        <x:v>Winter peak</x:v>
      </x:c>
      <x:c r="I774" t="str">
        <x:v>Active</x:v>
      </x:c>
      <x:c r="J774" t="str">
        <x:v>Amazon Marketplace</x:v>
      </x:c>
      <x:c r="K774" t="str">
        <x:v>Marketplace Consumer</x:v>
      </x:c>
      <x:c r="L774" t="str">
        <x:v>All Geographies</x:v>
      </x:c>
      <x:c r="M774" s="34" t="n">
        <x:v>1937</x:v>
      </x:c>
      <x:c r="N774" s="28" t="n">
        <x:v>0.038231999999999995</x:v>
      </x:c>
      <x:c r="O774" s="34" t="n">
        <x:v>74</x:v>
      </x:c>
      <x:c r="P774" s="34" t="n">
        <x:v>1</x:v>
      </x:c>
      <x:c r="Q774" s="34" t="n">
        <x:v>74</x:v>
      </x:c>
      <x:c r="R774" s="33" t="n">
        <x:v>34</x:v>
      </x:c>
      <x:c r="S774" s="38" t="n">
        <x:v>2.516</x:v>
      </x:c>
      <x:c r="T774" s="38" t="n">
        <x:v>0.1258</x:v>
      </x:c>
      <x:c r="U774" s="38" t="n">
        <x:v>0.131461</x:v>
      </x:c>
      <x:c r="V774" s="38" t="n">
        <x:v>2.2587390000000003</x:v>
      </x:c>
      <x:c r="W774" s="38" t="n">
        <x:v>1.0115800000000001</x:v>
      </x:c>
      <x:c r="X774" s="38" t="n">
        <x:v>0</x:v>
      </x:c>
      <x:c r="Y774" s="38" t="n">
        <x:v>0.33881085000000005</x:v>
      </x:c>
      <x:c r="Z774" s="38" t="n">
        <x:v>0.38480000000000003</x:v>
      </x:c>
      <x:c r="AA774" s="38" t="n">
        <x:v>0.1591</x:v>
      </x:c>
      <x:c r="AB774" s="38" t="n">
        <x:v>0.004144</x:v>
      </x:c>
      <x:c r="AC774" s="38" t="n">
        <x:v>0.3603041500000001</x:v>
      </x:c>
      <x:c r="AD774" s="28" t="n">
        <x:v>0.15951561911314235</x:v>
      </x:c>
    </x:row>
    <x:row r="775">
      <x:c r="A775" s="32" t="n">
        <x:v>45929</x:v>
      </x:c>
      <x:c r="B775" s="32" t="n">
        <x:v>45901</x:v>
      </x:c>
      <x:c r="C775" t="str">
        <x:v>Sep 2025</x:v>
      </x:c>
      <x:c r="D775" t="str">
        <x:v>Actual</x:v>
      </x:c>
      <x:c r="E775" t="str">
        <x:v>DB-103</x:v>
      </x:c>
      <x:c r="F775" t="str">
        <x:v>EmberTrail Camp Mug</x:v>
      </x:c>
      <x:c r="G775" t="str">
        <x:v>One-time purchase</x:v>
      </x:c>
      <x:c r="H775" t="str">
        <x:v>Winter peak</x:v>
      </x:c>
      <x:c r="I775" t="str">
        <x:v>Active</x:v>
      </x:c>
      <x:c r="J775" t="str">
        <x:v>Wholesale</x:v>
      </x:c>
      <x:c r="K775" t="str">
        <x:v>Retailer</x:v>
      </x:c>
      <x:c r="L775" t="str">
        <x:v>All Geographies</x:v>
      </x:c>
      <x:c r="M775" s="34" t="n">
        <x:v>1162</x:v>
      </x:c>
      <x:c r="N775" s="28" t="n">
        <x:v>0.017820000000000003</x:v>
      </x:c>
      <x:c r="O775" s="34" t="n">
        <x:v>21</x:v>
      </x:c>
      <x:c r="P775" s="34" t="n">
        <x:v>1</x:v>
      </x:c>
      <x:c r="Q775" s="34" t="n">
        <x:v>21</x:v>
      </x:c>
      <x:c r="R775" s="33" t="n">
        <x:v>34</x:v>
      </x:c>
      <x:c r="S775" s="38" t="n">
        <x:v>0.714</x:v>
      </x:c>
      <x:c r="T775" s="38" t="n">
        <x:v>0.24989999999999998</x:v>
      </x:c>
      <x:c r="U775" s="38" t="n">
        <x:v>0.025525499999999996</x:v>
      </x:c>
      <x:c r="V775" s="38" t="n">
        <x:v>0.4385745</x:v>
      </x:c>
      <x:c r="W775" s="38" t="n">
        <x:v>0.28707</x:v>
      </x:c>
      <x:c r="X775" s="38" t="n">
        <x:v>0</x:v>
      </x:c>
      <x:c r="Y775" s="38" t="n">
        <x:v>0</x:v>
      </x:c>
      <x:c r="Z775" s="38" t="n">
        <x:v>0.048299999999999996</x:v>
      </x:c>
      <x:c r="AA775" s="38" t="n">
        <x:v>0.017849999999999998</x:v>
      </x:c>
      <x:c r="AB775" s="38" t="n">
        <x:v>0.0011760000000000002</x:v>
      </x:c>
      <x:c r="AC775" s="38" t="n">
        <x:v>0.0841785</x:v>
      </x:c>
      <x:c r="AD775" s="28" t="n">
        <x:v>0.1919366037013096</x:v>
      </x:c>
    </x:row>
    <x:row r="776">
      <x:c r="A776" s="32" t="n">
        <x:v>45929</x:v>
      </x:c>
      <x:c r="B776" s="32" t="n">
        <x:v>45901</x:v>
      </x:c>
      <x:c r="C776" t="str">
        <x:v>Sep 2025</x:v>
      </x:c>
      <x:c r="D776" t="str">
        <x:v>Actual</x:v>
      </x:c>
      <x:c r="E776" t="str">
        <x:v>DB-103</x:v>
      </x:c>
      <x:c r="F776" t="str">
        <x:v>EmberTrail Camp Mug</x:v>
      </x:c>
      <x:c r="G776" t="str">
        <x:v>One-time purchase</x:v>
      </x:c>
      <x:c r="H776" t="str">
        <x:v>Winter peak</x:v>
      </x:c>
      <x:c r="I776" t="str">
        <x:v>Active</x:v>
      </x:c>
      <x:c r="J776" t="str">
        <x:v>TikTok Shop</x:v>
      </x:c>
      <x:c r="K776" t="str">
        <x:v>Social Commerce</x:v>
      </x:c>
      <x:c r="L776" t="str">
        <x:v>All Geographies</x:v>
      </x:c>
      <x:c r="M776" s="34" t="n">
        <x:v>775</x:v>
      </x:c>
      <x:c r="N776" s="28" t="n">
        <x:v>0.040824</x:v>
      </x:c>
      <x:c r="O776" s="34" t="n">
        <x:v>32</x:v>
      </x:c>
      <x:c r="P776" s="34" t="n">
        <x:v>1</x:v>
      </x:c>
      <x:c r="Q776" s="34" t="n">
        <x:v>32</x:v>
      </x:c>
      <x:c r="R776" s="33" t="n">
        <x:v>34</x:v>
      </x:c>
      <x:c r="S776" s="38" t="n">
        <x:v>1.088</x:v>
      </x:c>
      <x:c r="T776" s="38" t="n">
        <x:v>0.13056</x:v>
      </x:c>
      <x:c r="U776" s="38" t="n">
        <x:v>0.0526592</x:v>
      </x:c>
      <x:c r="V776" s="38" t="n">
        <x:v>0.9047808</x:v>
      </x:c>
      <x:c r="W776" s="38" t="n">
        <x:v>0.43744</x:v>
      </x:c>
      <x:c r="X776" s="38" t="n">
        <x:v>0.0262386432</x:v>
      </x:c>
      <x:c r="Y776" s="38" t="n">
        <x:v>0.054286848</x:v>
      </x:c>
      <x:c r="Z776" s="38" t="n">
        <x:v>0.16319999999999998</x:v>
      </x:c>
      <x:c r="AA776" s="38" t="n">
        <x:v>0.056</x:v>
      </x:c>
      <x:c r="AB776" s="38" t="n">
        <x:v>0.001792</x:v>
      </x:c>
      <x:c r="AC776" s="38" t="n">
        <x:v>0.16582330880000007</x:v>
      </x:c>
      <x:c r="AD776" s="28" t="n">
        <x:v>0.1832745663922135</x:v>
      </x:c>
    </x:row>
    <x:row r="777">
      <x:c r="A777" s="32" t="n">
        <x:v>45929</x:v>
      </x:c>
      <x:c r="B777" s="32" t="n">
        <x:v>45901</x:v>
      </x:c>
      <x:c r="C777" t="str">
        <x:v>Sep 2025</x:v>
      </x:c>
      <x:c r="D777" t="str">
        <x:v>Actual</x:v>
      </x:c>
      <x:c r="E777" t="str">
        <x:v>DB-104</x:v>
      </x:c>
      <x:c r="F777" t="str">
        <x:v>SunNest Cooling Towel</x:v>
      </x:c>
      <x:c r="G777" t="str">
        <x:v>Consumable repeat</x:v>
      </x:c>
      <x:c r="H777" t="str">
        <x:v>Summer peak</x:v>
      </x:c>
      <x:c r="I777" t="str">
        <x:v>Active</x:v>
      </x:c>
      <x:c r="J777" t="str">
        <x:v>Shopify DTC</x:v>
      </x:c>
      <x:c r="K777" t="str">
        <x:v>Consumer</x:v>
      </x:c>
      <x:c r="L777" t="str">
        <x:v>All Geographies</x:v>
      </x:c>
      <x:c r="M777" s="34" t="n">
        <x:v>3659</x:v>
      </x:c>
      <x:c r="N777" s="28" t="n">
        <x:v>0.03312</x:v>
      </x:c>
      <x:c r="O777" s="34" t="n">
        <x:v>121</x:v>
      </x:c>
      <x:c r="P777" s="34" t="n">
        <x:v>1</x:v>
      </x:c>
      <x:c r="Q777" s="34" t="n">
        <x:v>121</x:v>
      </x:c>
      <x:c r="R777" s="33" t="n">
        <x:v>42</x:v>
      </x:c>
      <x:c r="S777" s="38" t="n">
        <x:v>5.082</x:v>
      </x:c>
      <x:c r="T777" s="38" t="n">
        <x:v>0.40656</x:v>
      </x:c>
      <x:c r="U777" s="38" t="n">
        <x:v>0.233772</x:v>
      </x:c>
      <x:c r="V777" s="38" t="n">
        <x:v>4.441668</x:v>
      </x:c>
      <x:c r="W777" s="38" t="n">
        <x:v>1.8210500000000003</x:v>
      </x:c>
      <x:c r="X777" s="38" t="n">
        <x:v>0.128808372</x:v>
      </x:c>
      <x:c r="Y777" s="38" t="n">
        <x:v>0</x:v>
      </x:c>
      <x:c r="Z777" s="38" t="n">
        <x:v>0.50215</x:v>
      </x:c>
      <x:c r="AA777" s="38" t="n">
        <x:v>0.19964999999999997</x:v>
      </x:c>
      <x:c r="AB777" s="38" t="n">
        <x:v>0.003388</x:v>
      </x:c>
      <x:c r="AC777" s="38" t="n">
        <x:v>1.7866216279999998</x:v>
      </x:c>
      <x:c r="AD777" s="28" t="n">
        <x:v>0.4022411463441211</x:v>
      </x:c>
    </x:row>
    <x:row r="778">
      <x:c r="A778" s="32" t="n">
        <x:v>45929</x:v>
      </x:c>
      <x:c r="B778" s="32" t="n">
        <x:v>45901</x:v>
      </x:c>
      <x:c r="C778" t="str">
        <x:v>Sep 2025</x:v>
      </x:c>
      <x:c r="D778" t="str">
        <x:v>Actual</x:v>
      </x:c>
      <x:c r="E778" t="str">
        <x:v>DB-104</x:v>
      </x:c>
      <x:c r="F778" t="str">
        <x:v>SunNest Cooling Towel</x:v>
      </x:c>
      <x:c r="G778" t="str">
        <x:v>Consumable repeat</x:v>
      </x:c>
      <x:c r="H778" t="str">
        <x:v>Summer peak</x:v>
      </x:c>
      <x:c r="I778" t="str">
        <x:v>Active</x:v>
      </x:c>
      <x:c r="J778" t="str">
        <x:v>Amazon Marketplace</x:v>
      </x:c>
      <x:c r="K778" t="str">
        <x:v>Marketplace Consumer</x:v>
      </x:c>
      <x:c r="L778" t="str">
        <x:v>All Geographies</x:v>
      </x:c>
      <x:c r="M778" s="34" t="n">
        <x:v>1830</x:v>
      </x:c>
      <x:c r="N778" s="28" t="n">
        <x:v>0.0390816</x:v>
      </x:c>
      <x:c r="O778" s="34" t="n">
        <x:v>72</x:v>
      </x:c>
      <x:c r="P778" s="34" t="n">
        <x:v>1</x:v>
      </x:c>
      <x:c r="Q778" s="34" t="n">
        <x:v>72</x:v>
      </x:c>
      <x:c r="R778" s="33" t="n">
        <x:v>42</x:v>
      </x:c>
      <x:c r="S778" s="38" t="n">
        <x:v>3.024</x:v>
      </x:c>
      <x:c r="T778" s="38" t="n">
        <x:v>0.1512</x:v>
      </x:c>
      <x:c r="U778" s="38" t="n">
        <x:v>0.14364</x:v>
      </x:c>
      <x:c r="V778" s="38" t="n">
        <x:v>2.72916</x:v>
      </x:c>
      <x:c r="W778" s="38" t="n">
        <x:v>1.0836000000000001</x:v>
      </x:c>
      <x:c r="X778" s="38" t="n">
        <x:v>0</x:v>
      </x:c>
      <x:c r="Y778" s="38" t="n">
        <x:v>0.40937399999999996</x:v>
      </x:c>
      <x:c r="Z778" s="38" t="n">
        <x:v>0.3744</x:v>
      </x:c>
      <x:c r="AA778" s="38" t="n">
        <x:v>0.1548</x:v>
      </x:c>
      <x:c r="AB778" s="38" t="n">
        <x:v>0.002016</x:v>
      </x:c>
      <x:c r="AC778" s="38" t="n">
        <x:v>0.7049699999999997</x:v>
      </x:c>
      <x:c r="AD778" s="28" t="n">
        <x:v>0.2583102493074791</x:v>
      </x:c>
    </x:row>
    <x:row r="779">
      <x:c r="A779" s="32" t="n">
        <x:v>45929</x:v>
      </x:c>
      <x:c r="B779" s="32" t="n">
        <x:v>45901</x:v>
      </x:c>
      <x:c r="C779" t="str">
        <x:v>Sep 2025</x:v>
      </x:c>
      <x:c r="D779" t="str">
        <x:v>Actual</x:v>
      </x:c>
      <x:c r="E779" t="str">
        <x:v>DB-104</x:v>
      </x:c>
      <x:c r="F779" t="str">
        <x:v>SunNest Cooling Towel</x:v>
      </x:c>
      <x:c r="G779" t="str">
        <x:v>Consumable repeat</x:v>
      </x:c>
      <x:c r="H779" t="str">
        <x:v>Summer peak</x:v>
      </x:c>
      <x:c r="I779" t="str">
        <x:v>Active</x:v>
      </x:c>
      <x:c r="J779" t="str">
        <x:v>Wholesale</x:v>
      </x:c>
      <x:c r="K779" t="str">
        <x:v>Retailer</x:v>
      </x:c>
      <x:c r="L779" t="str">
        <x:v>All Geographies</x:v>
      </x:c>
      <x:c r="M779" s="34" t="n">
        <x:v>1098</x:v>
      </x:c>
      <x:c r="N779" s="28" t="n">
        <x:v>0.018216000000000003</x:v>
      </x:c>
      <x:c r="O779" s="34" t="n">
        <x:v>20</x:v>
      </x:c>
      <x:c r="P779" s="34" t="n">
        <x:v>1</x:v>
      </x:c>
      <x:c r="Q779" s="34" t="n">
        <x:v>20</x:v>
      </x:c>
      <x:c r="R779" s="33" t="n">
        <x:v>42</x:v>
      </x:c>
      <x:c r="S779" s="38" t="n">
        <x:v>0.84</x:v>
      </x:c>
      <x:c r="T779" s="38" t="n">
        <x:v>0.294</x:v>
      </x:c>
      <x:c r="U779" s="38" t="n">
        <x:v>0.027300000000000005</x:v>
      </x:c>
      <x:c r="V779" s="38" t="n">
        <x:v>0.5187</x:v>
      </x:c>
      <x:c r="W779" s="38" t="n">
        <x:v>0.301</x:v>
      </x:c>
      <x:c r="X779" s="38" t="n">
        <x:v>0</x:v>
      </x:c>
      <x:c r="Y779" s="38" t="n">
        <x:v>0</x:v>
      </x:c>
      <x:c r="Z779" s="38" t="n">
        <x:v>0.046</x:v>
      </x:c>
      <x:c r="AA779" s="38" t="n">
        <x:v>0.017</x:v>
      </x:c>
      <x:c r="AB779" s="38" t="n">
        <x:v>0.00056</x:v>
      </x:c>
      <x:c r="AC779" s="38" t="n">
        <x:v>0.15414000000000005</x:v>
      </x:c>
      <x:c r="AD779" s="28" t="n">
        <x:v>0.2971659919028341</x:v>
      </x:c>
    </x:row>
    <x:row r="780">
      <x:c r="A780" s="32" t="n">
        <x:v>45929</x:v>
      </x:c>
      <x:c r="B780" s="32" t="n">
        <x:v>45901</x:v>
      </x:c>
      <x:c r="C780" t="str">
        <x:v>Sep 2025</x:v>
      </x:c>
      <x:c r="D780" t="str">
        <x:v>Actual</x:v>
      </x:c>
      <x:c r="E780" t="str">
        <x:v>DB-104</x:v>
      </x:c>
      <x:c r="F780" t="str">
        <x:v>SunNest Cooling Towel</x:v>
      </x:c>
      <x:c r="G780" t="str">
        <x:v>Consumable repeat</x:v>
      </x:c>
      <x:c r="H780" t="str">
        <x:v>Summer peak</x:v>
      </x:c>
      <x:c r="I780" t="str">
        <x:v>Active</x:v>
      </x:c>
      <x:c r="J780" t="str">
        <x:v>TikTok Shop</x:v>
      </x:c>
      <x:c r="K780" t="str">
        <x:v>Social Commerce</x:v>
      </x:c>
      <x:c r="L780" t="str">
        <x:v>All Geographies</x:v>
      </x:c>
      <x:c r="M780" s="34" t="n">
        <x:v>732</x:v>
      </x:c>
      <x:c r="N780" s="28" t="n">
        <x:v>0.0417312</x:v>
      </x:c>
      <x:c r="O780" s="34" t="n">
        <x:v>31</x:v>
      </x:c>
      <x:c r="P780" s="34" t="n">
        <x:v>1</x:v>
      </x:c>
      <x:c r="Q780" s="34" t="n">
        <x:v>31</x:v>
      </x:c>
      <x:c r="R780" s="33" t="n">
        <x:v>42</x:v>
      </x:c>
      <x:c r="S780" s="38" t="n">
        <x:v>1.302</x:v>
      </x:c>
      <x:c r="T780" s="38" t="n">
        <x:v>0.15624</x:v>
      </x:c>
      <x:c r="U780" s="38" t="n">
        <x:v>0.057288000000000006</x:v>
      </x:c>
      <x:c r="V780" s="38" t="n">
        <x:v>1.088472</x:v>
      </x:c>
      <x:c r="W780" s="38" t="n">
        <x:v>0.46655</x:v>
      </x:c>
      <x:c r="X780" s="38" t="n">
        <x:v>0.031565688</x:v>
      </x:c>
      <x:c r="Y780" s="38" t="n">
        <x:v>0.06530832</x:v>
      </x:c>
      <x:c r="Z780" s="38" t="n">
        <x:v>0.1581</x:v>
      </x:c>
      <x:c r="AA780" s="38" t="n">
        <x:v>0.05425</x:v>
      </x:c>
      <x:c r="AB780" s="38" t="n">
        <x:v>0.000868</x:v>
      </x:c>
      <x:c r="AC780" s="38" t="n">
        <x:v>0.31182999200000006</x:v>
      </x:c>
      <x:c r="AD780" s="28" t="n">
        <x:v>0.2864841649578492</x:v>
      </x:c>
    </x:row>
    <x:row r="781">
      <x:c r="A781" s="32" t="n">
        <x:v>45929</x:v>
      </x:c>
      <x:c r="B781" s="32" t="n">
        <x:v>45901</x:v>
      </x:c>
      <x:c r="C781" t="str">
        <x:v>Sep 2025</x:v>
      </x:c>
      <x:c r="D781" t="str">
        <x:v>Actual</x:v>
      </x:c>
      <x:c r="E781" t="str">
        <x:v>DB-105</x:v>
      </x:c>
      <x:c r="F781" t="str">
        <x:v>DreamFuel Refill Pack</x:v>
      </x:c>
      <x:c r="G781" t="str">
        <x:v>Subscription</x:v>
      </x:c>
      <x:c r="H781" t="str">
        <x:v>None</x:v>
      </x:c>
      <x:c r="I781" t="str">
        <x:v>Active</x:v>
      </x:c>
      <x:c r="J781" t="str">
        <x:v>Shopify DTC</x:v>
      </x:c>
      <x:c r="K781" t="str">
        <x:v>Consumer</x:v>
      </x:c>
      <x:c r="L781" t="str">
        <x:v>All Geographies</x:v>
      </x:c>
      <x:c r="M781" s="34" t="n">
        <x:v>3954</x:v>
      </x:c>
      <x:c r="N781" s="28" t="n">
        <x:v>0.03888</x:v>
      </x:c>
      <x:c r="O781" s="34" t="n">
        <x:v>154</x:v>
      </x:c>
      <x:c r="P781" s="34" t="n">
        <x:v>1</x:v>
      </x:c>
      <x:c r="Q781" s="34" t="n">
        <x:v>154</x:v>
      </x:c>
      <x:c r="R781" s="33" t="n">
        <x:v>56</x:v>
      </x:c>
      <x:c r="S781" s="38" t="n">
        <x:v>8.624</x:v>
      </x:c>
      <x:c r="T781" s="38" t="n">
        <x:v>0.6899200000000001</x:v>
      </x:c>
      <x:c r="U781" s="38" t="n">
        <x:v>0.1586816</x:v>
      </x:c>
      <x:c r="V781" s="38" t="n">
        <x:v>7.7753984</x:v>
      </x:c>
      <x:c r="W781" s="38" t="n">
        <x:v>2.86748</x:v>
      </x:c>
      <x:c r="X781" s="38" t="n">
        <x:v>0.22548655360000003</x:v>
      </x:c>
      <x:c r="Y781" s="38" t="n">
        <x:v>0</x:v>
      </x:c>
      <x:c r="Z781" s="38" t="n">
        <x:v>0.6391</x:v>
      </x:c>
      <x:c r="AA781" s="38" t="n">
        <x:v>0.2541</x:v>
      </x:c>
      <x:c r="AB781" s="38" t="n">
        <x:v>0.0005544</x:v>
      </x:c>
      <x:c r="AC781" s="38" t="n">
        <x:v>3.7886774464</x:v>
      </x:c>
      <x:c r="AD781" s="28" t="n">
        <x:v>0.48726473570794776</x:v>
      </x:c>
    </x:row>
    <x:row r="782">
      <x:c r="A782" s="32" t="n">
        <x:v>45929</x:v>
      </x:c>
      <x:c r="B782" s="32" t="n">
        <x:v>45901</x:v>
      </x:c>
      <x:c r="C782" t="str">
        <x:v>Sep 2025</x:v>
      </x:c>
      <x:c r="D782" t="str">
        <x:v>Actual</x:v>
      </x:c>
      <x:c r="E782" t="str">
        <x:v>DB-105</x:v>
      </x:c>
      <x:c r="F782" t="str">
        <x:v>DreamFuel Refill Pack</x:v>
      </x:c>
      <x:c r="G782" t="str">
        <x:v>Subscription</x:v>
      </x:c>
      <x:c r="H782" t="str">
        <x:v>None</x:v>
      </x:c>
      <x:c r="I782" t="str">
        <x:v>Active</x:v>
      </x:c>
      <x:c r="J782" t="str">
        <x:v>Amazon Marketplace</x:v>
      </x:c>
      <x:c r="K782" t="str">
        <x:v>Marketplace Consumer</x:v>
      </x:c>
      <x:c r="L782" t="str">
        <x:v>All Geographies</x:v>
      </x:c>
      <x:c r="M782" s="34" t="n">
        <x:v>1977</x:v>
      </x:c>
      <x:c r="N782" s="28" t="n">
        <x:v>0.0458784</x:v>
      </x:c>
      <x:c r="O782" s="34" t="n">
        <x:v>91</x:v>
      </x:c>
      <x:c r="P782" s="34" t="n">
        <x:v>1</x:v>
      </x:c>
      <x:c r="Q782" s="34" t="n">
        <x:v>91</x:v>
      </x:c>
      <x:c r="R782" s="33" t="n">
        <x:v>56</x:v>
      </x:c>
      <x:c r="S782" s="38" t="n">
        <x:v>5.096</x:v>
      </x:c>
      <x:c r="T782" s="38" t="n">
        <x:v>0.2548</x:v>
      </x:c>
      <x:c r="U782" s="38" t="n">
        <x:v>0.096824</x:v>
      </x:c>
      <x:c r="V782" s="38" t="n">
        <x:v>4.744376</x:v>
      </x:c>
      <x:c r="W782" s="38" t="n">
        <x:v>1.69442</x:v>
      </x:c>
      <x:c r="X782" s="38" t="n">
        <x:v>0</x:v>
      </x:c>
      <x:c r="Y782" s="38" t="n">
        <x:v>0.7116564</x:v>
      </x:c>
      <x:c r="Z782" s="38" t="n">
        <x:v>0.4732</x:v>
      </x:c>
      <x:c r="AA782" s="38" t="n">
        <x:v>0.19565000000000002</x:v>
      </x:c>
      <x:c r="AB782" s="38" t="n">
        <x:v>0.0003276</x:v>
      </x:c>
      <x:c r="AC782" s="38" t="n">
        <x:v>1.6691219999999998</x:v>
      </x:c>
      <x:c r="AD782" s="28" t="n">
        <x:v>0.3518106490716587</x:v>
      </x:c>
    </x:row>
    <x:row r="783">
      <x:c r="A783" s="32" t="n">
        <x:v>45929</x:v>
      </x:c>
      <x:c r="B783" s="32" t="n">
        <x:v>45901</x:v>
      </x:c>
      <x:c r="C783" t="str">
        <x:v>Sep 2025</x:v>
      </x:c>
      <x:c r="D783" t="str">
        <x:v>Actual</x:v>
      </x:c>
      <x:c r="E783" t="str">
        <x:v>DB-105</x:v>
      </x:c>
      <x:c r="F783" t="str">
        <x:v>DreamFuel Refill Pack</x:v>
      </x:c>
      <x:c r="G783" t="str">
        <x:v>Subscription</x:v>
      </x:c>
      <x:c r="H783" t="str">
        <x:v>None</x:v>
      </x:c>
      <x:c r="I783" t="str">
        <x:v>Active</x:v>
      </x:c>
      <x:c r="J783" t="str">
        <x:v>Wholesale</x:v>
      </x:c>
      <x:c r="K783" t="str">
        <x:v>Retailer</x:v>
      </x:c>
      <x:c r="L783" t="str">
        <x:v>All Geographies</x:v>
      </x:c>
      <x:c r="M783" s="34" t="n">
        <x:v>1186</x:v>
      </x:c>
      <x:c r="N783" s="28" t="n">
        <x:v>0.021384000000000004</x:v>
      </x:c>
      <x:c r="O783" s="34" t="n">
        <x:v>25</x:v>
      </x:c>
      <x:c r="P783" s="34" t="n">
        <x:v>1</x:v>
      </x:c>
      <x:c r="Q783" s="34" t="n">
        <x:v>25</x:v>
      </x:c>
      <x:c r="R783" s="33" t="n">
        <x:v>56</x:v>
      </x:c>
      <x:c r="S783" s="38" t="n">
        <x:v>1.4</x:v>
      </x:c>
      <x:c r="T783" s="38" t="n">
        <x:v>0.48999999999999994</x:v>
      </x:c>
      <x:c r="U783" s="38" t="n">
        <x:v>0.018199999999999997</x:v>
      </x:c>
      <x:c r="V783" s="38" t="n">
        <x:v>0.8917999999999999</x:v>
      </x:c>
      <x:c r="W783" s="38" t="n">
        <x:v>0.4655</x:v>
      </x:c>
      <x:c r="X783" s="38" t="n">
        <x:v>0</x:v>
      </x:c>
      <x:c r="Y783" s="38" t="n">
        <x:v>0</x:v>
      </x:c>
      <x:c r="Z783" s="38" t="n">
        <x:v>0.057499999999999996</x:v>
      </x:c>
      <x:c r="AA783" s="38" t="n">
        <x:v>0.02125</x:v>
      </x:c>
      <x:c r="AB783" s="38" t="n">
        <x:v>0.00008999999999999999</x:v>
      </x:c>
      <x:c r="AC783" s="38" t="n">
        <x:v>0.34745999999999994</x:v>
      </x:c>
      <x:c r="AD783" s="28" t="n">
        <x:v>0.38961650594303654</x:v>
      </x:c>
    </x:row>
    <x:row r="784">
      <x:c r="A784" s="32" t="n">
        <x:v>45929</x:v>
      </x:c>
      <x:c r="B784" s="32" t="n">
        <x:v>45901</x:v>
      </x:c>
      <x:c r="C784" t="str">
        <x:v>Sep 2025</x:v>
      </x:c>
      <x:c r="D784" t="str">
        <x:v>Actual</x:v>
      </x:c>
      <x:c r="E784" t="str">
        <x:v>DB-105</x:v>
      </x:c>
      <x:c r="F784" t="str">
        <x:v>DreamFuel Refill Pack</x:v>
      </x:c>
      <x:c r="G784" t="str">
        <x:v>Subscription</x:v>
      </x:c>
      <x:c r="H784" t="str">
        <x:v>None</x:v>
      </x:c>
      <x:c r="I784" t="str">
        <x:v>Active</x:v>
      </x:c>
      <x:c r="J784" t="str">
        <x:v>TikTok Shop</x:v>
      </x:c>
      <x:c r="K784" t="str">
        <x:v>Social Commerce</x:v>
      </x:c>
      <x:c r="L784" t="str">
        <x:v>All Geographies</x:v>
      </x:c>
      <x:c r="M784" s="34" t="n">
        <x:v>791</x:v>
      </x:c>
      <x:c r="N784" s="28" t="n">
        <x:v>0.0489888</x:v>
      </x:c>
      <x:c r="O784" s="34" t="n">
        <x:v>39</x:v>
      </x:c>
      <x:c r="P784" s="34" t="n">
        <x:v>1</x:v>
      </x:c>
      <x:c r="Q784" s="34" t="n">
        <x:v>39</x:v>
      </x:c>
      <x:c r="R784" s="33" t="n">
        <x:v>56</x:v>
      </x:c>
      <x:c r="S784" s="38" t="n">
        <x:v>2.184</x:v>
      </x:c>
      <x:c r="T784" s="38" t="n">
        <x:v>0.26208000000000004</x:v>
      </x:c>
      <x:c r="U784" s="38" t="n">
        <x:v>0.038438400000000005</x:v>
      </x:c>
      <x:c r="V784" s="38" t="n">
        <x:v>1.8834816</x:v>
      </x:c>
      <x:c r="W784" s="38" t="n">
        <x:v>0.72618</x:v>
      </x:c>
      <x:c r="X784" s="38" t="n">
        <x:v>0.054620966400000005</x:v>
      </x:c>
      <x:c r="Y784" s="38" t="n">
        <x:v>0.113008896</x:v>
      </x:c>
      <x:c r="Z784" s="38" t="n">
        <x:v>0.19889999999999997</x:v>
      </x:c>
      <x:c r="AA784" s="38" t="n">
        <x:v>0.06825</x:v>
      </x:c>
      <x:c r="AB784" s="38" t="n">
        <x:v>0.0001404</x:v>
      </x:c>
      <x:c r="AC784" s="38" t="n">
        <x:v>0.7223813376000001</x:v>
      </x:c>
      <x:c r="AD784" s="28" t="n">
        <x:v>0.38353511794328127</x:v>
      </x:c>
    </x:row>
    <x:row r="785">
      <x:c r="A785" s="32" t="n">
        <x:v>45936</x:v>
      </x:c>
      <x:c r="B785" s="32" t="n">
        <x:v>45931</x:v>
      </x:c>
      <x:c r="C785" t="str">
        <x:v>Oct 2025</x:v>
      </x:c>
      <x:c r="D785" t="str">
        <x:v>Actual</x:v>
      </x:c>
      <x:c r="E785" t="str">
        <x:v>DB-101</x:v>
      </x:c>
      <x:c r="F785" t="str">
        <x:v>AeroSip Bottle</x:v>
      </x:c>
      <x:c r="G785" t="str">
        <x:v>One-time purchase</x:v>
      </x:c>
      <x:c r="H785" t="str">
        <x:v>None</x:v>
      </x:c>
      <x:c r="I785" t="str">
        <x:v>Active</x:v>
      </x:c>
      <x:c r="J785" t="str">
        <x:v>Shopify DTC</x:v>
      </x:c>
      <x:c r="K785" t="str">
        <x:v>Consumer</x:v>
      </x:c>
      <x:c r="L785" t="str">
        <x:v>All Geographies</x:v>
      </x:c>
      <x:c r="M785" s="34" t="n">
        <x:v>5732</x:v>
      </x:c>
      <x:c r="N785" s="28" t="n">
        <x:v>0.034199999999999994</x:v>
      </x:c>
      <x:c r="O785" s="34" t="n">
        <x:v>196</x:v>
      </x:c>
      <x:c r="P785" s="34" t="n">
        <x:v>1</x:v>
      </x:c>
      <x:c r="Q785" s="34" t="n">
        <x:v>196</x:v>
      </x:c>
      <x:c r="R785" s="33" t="n">
        <x:v>29</x:v>
      </x:c>
      <x:c r="S785" s="38" t="n">
        <x:v>5.684</x:v>
      </x:c>
      <x:c r="T785" s="38" t="n">
        <x:v>0.45472</x:v>
      </x:c>
      <x:c r="U785" s="38" t="n">
        <x:v>0.2353176</x:v>
      </x:c>
      <x:c r="V785" s="38" t="n">
        <x:v>4.9939624</x:v>
      </x:c>
      <x:c r="W785" s="38" t="n">
        <x:v>2.1168</x:v>
      </x:c>
      <x:c r="X785" s="38" t="n">
        <x:v>0.1448249096</x:v>
      </x:c>
      <x:c r="Y785" s="38" t="n">
        <x:v>0</x:v>
      </x:c>
      <x:c r="Z785" s="38" t="n">
        <x:v>0.8134000000000001</x:v>
      </x:c>
      <x:c r="AA785" s="38" t="n">
        <x:v>0.32339999999999997</x:v>
      </x:c>
      <x:c r="AB785" s="38" t="n">
        <x:v>0.007055999999999999</x:v>
      </x:c>
      <x:c r="AC785" s="38" t="n">
        <x:v>1.5884814904</x:v>
      </x:c>
      <x:c r="AD785" s="28" t="n">
        <x:v>0.3180803865083165</x:v>
      </x:c>
    </x:row>
    <x:row r="786">
      <x:c r="A786" s="32" t="n">
        <x:v>45936</x:v>
      </x:c>
      <x:c r="B786" s="32" t="n">
        <x:v>45931</x:v>
      </x:c>
      <x:c r="C786" t="str">
        <x:v>Oct 2025</x:v>
      </x:c>
      <x:c r="D786" t="str">
        <x:v>Actual</x:v>
      </x:c>
      <x:c r="E786" t="str">
        <x:v>DB-101</x:v>
      </x:c>
      <x:c r="F786" t="str">
        <x:v>AeroSip Bottle</x:v>
      </x:c>
      <x:c r="G786" t="str">
        <x:v>One-time purchase</x:v>
      </x:c>
      <x:c r="H786" t="str">
        <x:v>None</x:v>
      </x:c>
      <x:c r="I786" t="str">
        <x:v>Active</x:v>
      </x:c>
      <x:c r="J786" t="str">
        <x:v>Amazon Marketplace</x:v>
      </x:c>
      <x:c r="K786" t="str">
        <x:v>Marketplace Consumer</x:v>
      </x:c>
      <x:c r="L786" t="str">
        <x:v>All Geographies</x:v>
      </x:c>
      <x:c r="M786" s="34" t="n">
        <x:v>2866</x:v>
      </x:c>
      <x:c r="N786" s="28" t="n">
        <x:v>0.040355999999999996</x:v>
      </x:c>
      <x:c r="O786" s="34" t="n">
        <x:v>116</x:v>
      </x:c>
      <x:c r="P786" s="34" t="n">
        <x:v>1</x:v>
      </x:c>
      <x:c r="Q786" s="34" t="n">
        <x:v>116</x:v>
      </x:c>
      <x:c r="R786" s="33" t="n">
        <x:v>29</x:v>
      </x:c>
      <x:c r="S786" s="38" t="n">
        <x:v>3.364</x:v>
      </x:c>
      <x:c r="T786" s="38" t="n">
        <x:v>0.16820000000000002</x:v>
      </x:c>
      <x:c r="U786" s="38" t="n">
        <x:v>0.143811</x:v>
      </x:c>
      <x:c r="V786" s="38" t="n">
        <x:v>3.051989</x:v>
      </x:c>
      <x:c r="W786" s="38" t="n">
        <x:v>1.2528000000000001</x:v>
      </x:c>
      <x:c r="X786" s="38" t="n">
        <x:v>0</x:v>
      </x:c>
      <x:c r="Y786" s="38" t="n">
        <x:v>0.45779834999999997</x:v>
      </x:c>
      <x:c r="Z786" s="38" t="n">
        <x:v>0.6032000000000001</x:v>
      </x:c>
      <x:c r="AA786" s="38" t="n">
        <x:v>0.24939999999999998</x:v>
      </x:c>
      <x:c r="AB786" s="38" t="n">
        <x:v>0.004176</x:v>
      </x:c>
      <x:c r="AC786" s="38" t="n">
        <x:v>0.48461464999999965</x:v>
      </x:c>
      <x:c r="AD786" s="28" t="n">
        <x:v>0.15878649955815688</x:v>
      </x:c>
    </x:row>
    <x:row r="787">
      <x:c r="A787" s="32" t="n">
        <x:v>45936</x:v>
      </x:c>
      <x:c r="B787" s="32" t="n">
        <x:v>45931</x:v>
      </x:c>
      <x:c r="C787" t="str">
        <x:v>Oct 2025</x:v>
      </x:c>
      <x:c r="D787" t="str">
        <x:v>Actual</x:v>
      </x:c>
      <x:c r="E787" t="str">
        <x:v>DB-101</x:v>
      </x:c>
      <x:c r="F787" t="str">
        <x:v>AeroSip Bottle</x:v>
      </x:c>
      <x:c r="G787" t="str">
        <x:v>One-time purchase</x:v>
      </x:c>
      <x:c r="H787" t="str">
        <x:v>None</x:v>
      </x:c>
      <x:c r="I787" t="str">
        <x:v>Active</x:v>
      </x:c>
      <x:c r="J787" t="str">
        <x:v>Wholesale</x:v>
      </x:c>
      <x:c r="K787" t="str">
        <x:v>Retailer</x:v>
      </x:c>
      <x:c r="L787" t="str">
        <x:v>All Geographies</x:v>
      </x:c>
      <x:c r="M787" s="34" t="n">
        <x:v>1719</x:v>
      </x:c>
      <x:c r="N787" s="28" t="n">
        <x:v>0.01881</x:v>
      </x:c>
      <x:c r="O787" s="34" t="n">
        <x:v>32</x:v>
      </x:c>
      <x:c r="P787" s="34" t="n">
        <x:v>1</x:v>
      </x:c>
      <x:c r="Q787" s="34" t="n">
        <x:v>32</x:v>
      </x:c>
      <x:c r="R787" s="33" t="n">
        <x:v>29</x:v>
      </x:c>
      <x:c r="S787" s="38" t="n">
        <x:v>0.928</x:v>
      </x:c>
      <x:c r="T787" s="38" t="n">
        <x:v>0.3248</x:v>
      </x:c>
      <x:c r="U787" s="38" t="n">
        <x:v>0.027144</x:v>
      </x:c>
      <x:c r="V787" s="38" t="n">
        <x:v>0.5760560000000001</x:v>
      </x:c>
      <x:c r="W787" s="38" t="n">
        <x:v>0.3456</x:v>
      </x:c>
      <x:c r="X787" s="38" t="n">
        <x:v>0</x:v>
      </x:c>
      <x:c r="Y787" s="38" t="n">
        <x:v>0</x:v>
      </x:c>
      <x:c r="Z787" s="38" t="n">
        <x:v>0.0736</x:v>
      </x:c>
      <x:c r="AA787" s="38" t="n">
        <x:v>0.0272</x:v>
      </x:c>
      <x:c r="AB787" s="38" t="n">
        <x:v>0.001152</x:v>
      </x:c>
      <x:c r="AC787" s="38" t="n">
        <x:v>0.12850400000000012</x:v>
      </x:c>
      <x:c r="AD787" s="28" t="n">
        <x:v>0.22307553432305208</x:v>
      </x:c>
    </x:row>
    <x:row r="788">
      <x:c r="A788" s="32" t="n">
        <x:v>45936</x:v>
      </x:c>
      <x:c r="B788" s="32" t="n">
        <x:v>45931</x:v>
      </x:c>
      <x:c r="C788" t="str">
        <x:v>Oct 2025</x:v>
      </x:c>
      <x:c r="D788" t="str">
        <x:v>Actual</x:v>
      </x:c>
      <x:c r="E788" t="str">
        <x:v>DB-101</x:v>
      </x:c>
      <x:c r="F788" t="str">
        <x:v>AeroSip Bottle</x:v>
      </x:c>
      <x:c r="G788" t="str">
        <x:v>One-time purchase</x:v>
      </x:c>
      <x:c r="H788" t="str">
        <x:v>None</x:v>
      </x:c>
      <x:c r="I788" t="str">
        <x:v>Active</x:v>
      </x:c>
      <x:c r="J788" t="str">
        <x:v>TikTok Shop</x:v>
      </x:c>
      <x:c r="K788" t="str">
        <x:v>Social Commerce</x:v>
      </x:c>
      <x:c r="L788" t="str">
        <x:v>All Geographies</x:v>
      </x:c>
      <x:c r="M788" s="34" t="n">
        <x:v>1146</x:v>
      </x:c>
      <x:c r="N788" s="28" t="n">
        <x:v>0.043092</x:v>
      </x:c>
      <x:c r="O788" s="34" t="n">
        <x:v>49</x:v>
      </x:c>
      <x:c r="P788" s="34" t="n">
        <x:v>1</x:v>
      </x:c>
      <x:c r="Q788" s="34" t="n">
        <x:v>49</x:v>
      </x:c>
      <x:c r="R788" s="33" t="n">
        <x:v>29</x:v>
      </x:c>
      <x:c r="S788" s="38" t="n">
        <x:v>1.421</x:v>
      </x:c>
      <x:c r="T788" s="38" t="n">
        <x:v>0.17052</x:v>
      </x:c>
      <x:c r="U788" s="38" t="n">
        <x:v>0.0562716</x:v>
      </x:c>
      <x:c r="V788" s="38" t="n">
        <x:v>1.1942084</x:v>
      </x:c>
      <x:c r="W788" s="38" t="n">
        <x:v>0.5292</x:v>
      </x:c>
      <x:c r="X788" s="38" t="n">
        <x:v>0.0346320436</x:v>
      </x:c>
      <x:c r="Y788" s="38" t="n">
        <x:v>0.07165250399999999</x:v>
      </x:c>
      <x:c r="Z788" s="38" t="n">
        <x:v>0.24989999999999998</x:v>
      </x:c>
      <x:c r="AA788" s="38" t="n">
        <x:v>0.08575</x:v>
      </x:c>
      <x:c r="AB788" s="38" t="n">
        <x:v>0.0017639999999999997</x:v>
      </x:c>
      <x:c r="AC788" s="38" t="n">
        <x:v>0.2213098523999999</x:v>
      </x:c>
      <x:c r="AD788" s="28" t="n">
        <x:v>0.18531928966501987</x:v>
      </x:c>
    </x:row>
    <x:row r="789">
      <x:c r="A789" s="32" t="n">
        <x:v>45936</x:v>
      </x:c>
      <x:c r="B789" s="32" t="n">
        <x:v>45931</x:v>
      </x:c>
      <x:c r="C789" t="str">
        <x:v>Oct 2025</x:v>
      </x:c>
      <x:c r="D789" t="str">
        <x:v>Actual</x:v>
      </x:c>
      <x:c r="E789" t="str">
        <x:v>DB-102</x:v>
      </x:c>
      <x:c r="F789" t="str">
        <x:v>GlowPatch Balm</x:v>
      </x:c>
      <x:c r="G789" t="str">
        <x:v>Consumable repeat</x:v>
      </x:c>
      <x:c r="H789" t="str">
        <x:v>None</x:v>
      </x:c>
      <x:c r="I789" t="str">
        <x:v>Active</x:v>
      </x:c>
      <x:c r="J789" t="str">
        <x:v>Shopify DTC</x:v>
      </x:c>
      <x:c r="K789" t="str">
        <x:v>Consumer</x:v>
      </x:c>
      <x:c r="L789" t="str">
        <x:v>All Geographies</x:v>
      </x:c>
      <x:c r="M789" s="34" t="n">
        <x:v>4629</x:v>
      </x:c>
      <x:c r="N789" s="28" t="n">
        <x:v>0.04248</x:v>
      </x:c>
      <x:c r="O789" s="34" t="n">
        <x:v>197</x:v>
      </x:c>
      <x:c r="P789" s="34" t="n">
        <x:v>1</x:v>
      </x:c>
      <x:c r="Q789" s="34" t="n">
        <x:v>197</x:v>
      </x:c>
      <x:c r="R789" s="33" t="n">
        <x:v>18</x:v>
      </x:c>
      <x:c r="S789" s="38" t="n">
        <x:v>3.546</x:v>
      </x:c>
      <x:c r="T789" s="38" t="n">
        <x:v>0.28368</x:v>
      </x:c>
      <x:c r="U789" s="38" t="n">
        <x:v>0.081558</x:v>
      </x:c>
      <x:c r="V789" s="38" t="n">
        <x:v>3.180762</x:v>
      </x:c>
      <x:c r="W789" s="38" t="n">
        <x:v>1.0657699999999999</x:v>
      </x:c>
      <x:c r="X789" s="38" t="n">
        <x:v>0.09224209800000001</x:v>
      </x:c>
      <x:c r="Y789" s="38" t="n">
        <x:v>0</x:v>
      </x:c>
      <x:c r="Z789" s="38" t="n">
        <x:v>0.8175500000000001</x:v>
      </x:c>
      <x:c r="AA789" s="38" t="n">
        <x:v>0.32504999999999995</x:v>
      </x:c>
      <x:c r="AB789" s="38" t="n">
        <x:v>0.0011819999999999999</x:v>
      </x:c>
      <x:c r="AC789" s="38" t="n">
        <x:v>0.878967902</x:v>
      </x:c>
      <x:c r="AD789" s="28" t="n">
        <x:v>0.27633878359965314</x:v>
      </x:c>
    </x:row>
    <x:row r="790">
      <x:c r="A790" s="32" t="n">
        <x:v>45936</x:v>
      </x:c>
      <x:c r="B790" s="32" t="n">
        <x:v>45931</x:v>
      </x:c>
      <x:c r="C790" t="str">
        <x:v>Oct 2025</x:v>
      </x:c>
      <x:c r="D790" t="str">
        <x:v>Actual</x:v>
      </x:c>
      <x:c r="E790" t="str">
        <x:v>DB-102</x:v>
      </x:c>
      <x:c r="F790" t="str">
        <x:v>GlowPatch Balm</x:v>
      </x:c>
      <x:c r="G790" t="str">
        <x:v>Consumable repeat</x:v>
      </x:c>
      <x:c r="H790" t="str">
        <x:v>None</x:v>
      </x:c>
      <x:c r="I790" t="str">
        <x:v>Active</x:v>
      </x:c>
      <x:c r="J790" t="str">
        <x:v>Amazon Marketplace</x:v>
      </x:c>
      <x:c r="K790" t="str">
        <x:v>Marketplace Consumer</x:v>
      </x:c>
      <x:c r="L790" t="str">
        <x:v>All Geographies</x:v>
      </x:c>
      <x:c r="M790" s="34" t="n">
        <x:v>2315</x:v>
      </x:c>
      <x:c r="N790" s="28" t="n">
        <x:v>0.050126399999999995</x:v>
      </x:c>
      <x:c r="O790" s="34" t="n">
        <x:v>116</x:v>
      </x:c>
      <x:c r="P790" s="34" t="n">
        <x:v>1</x:v>
      </x:c>
      <x:c r="Q790" s="34" t="n">
        <x:v>116</x:v>
      </x:c>
      <x:c r="R790" s="33" t="n">
        <x:v>18</x:v>
      </x:c>
      <x:c r="S790" s="38" t="n">
        <x:v>2.088</x:v>
      </x:c>
      <x:c r="T790" s="38" t="n">
        <x:v>0.1044</x:v>
      </x:c>
      <x:c r="U790" s="38" t="n">
        <x:v>0.04959</x:v>
      </x:c>
      <x:c r="V790" s="38" t="n">
        <x:v>1.93401</x:v>
      </x:c>
      <x:c r="W790" s="38" t="n">
        <x:v>0.62756</x:v>
      </x:c>
      <x:c r="X790" s="38" t="n">
        <x:v>0</x:v>
      </x:c>
      <x:c r="Y790" s="38" t="n">
        <x:v>0.2901015</x:v>
      </x:c>
      <x:c r="Z790" s="38" t="n">
        <x:v>0.6032000000000001</x:v>
      </x:c>
      <x:c r="AA790" s="38" t="n">
        <x:v>0.24939999999999998</x:v>
      </x:c>
      <x:c r="AB790" s="38" t="n">
        <x:v>0.0006960000000000001</x:v>
      </x:c>
      <x:c r="AC790" s="38" t="n">
        <x:v>0.16305249999999982</x:v>
      </x:c>
      <x:c r="AD790" s="28" t="n">
        <x:v>0.08430799220272896</x:v>
      </x:c>
    </x:row>
    <x:row r="791">
      <x:c r="A791" s="32" t="n">
        <x:v>45936</x:v>
      </x:c>
      <x:c r="B791" s="32" t="n">
        <x:v>45931</x:v>
      </x:c>
      <x:c r="C791" t="str">
        <x:v>Oct 2025</x:v>
      </x:c>
      <x:c r="D791" t="str">
        <x:v>Actual</x:v>
      </x:c>
      <x:c r="E791" t="str">
        <x:v>DB-102</x:v>
      </x:c>
      <x:c r="F791" t="str">
        <x:v>GlowPatch Balm</x:v>
      </x:c>
      <x:c r="G791" t="str">
        <x:v>Consumable repeat</x:v>
      </x:c>
      <x:c r="H791" t="str">
        <x:v>None</x:v>
      </x:c>
      <x:c r="I791" t="str">
        <x:v>Active</x:v>
      </x:c>
      <x:c r="J791" t="str">
        <x:v>Wholesale</x:v>
      </x:c>
      <x:c r="K791" t="str">
        <x:v>Retailer</x:v>
      </x:c>
      <x:c r="L791" t="str">
        <x:v>All Geographies</x:v>
      </x:c>
      <x:c r="M791" s="34" t="n">
        <x:v>1389</x:v>
      </x:c>
      <x:c r="N791" s="28" t="n">
        <x:v>0.023364</x:v>
      </x:c>
      <x:c r="O791" s="34" t="n">
        <x:v>32</x:v>
      </x:c>
      <x:c r="P791" s="34" t="n">
        <x:v>1</x:v>
      </x:c>
      <x:c r="Q791" s="34" t="n">
        <x:v>32</x:v>
      </x:c>
      <x:c r="R791" s="33" t="n">
        <x:v>18</x:v>
      </x:c>
      <x:c r="S791" s="38" t="n">
        <x:v>0.576</x:v>
      </x:c>
      <x:c r="T791" s="38" t="n">
        <x:v>0.20159999999999997</x:v>
      </x:c>
      <x:c r="U791" s="38" t="n">
        <x:v>0.009359999999999999</x:v>
      </x:c>
      <x:c r="V791" s="38" t="n">
        <x:v>0.36504</x:v>
      </x:c>
      <x:c r="W791" s="38" t="n">
        <x:v>0.17312</x:v>
      </x:c>
      <x:c r="X791" s="38" t="n">
        <x:v>0</x:v>
      </x:c>
      <x:c r="Y791" s="38" t="n">
        <x:v>0</x:v>
      </x:c>
      <x:c r="Z791" s="38" t="n">
        <x:v>0.0736</x:v>
      </x:c>
      <x:c r="AA791" s="38" t="n">
        <x:v>0.0272</x:v>
      </x:c>
      <x:c r="AB791" s="38" t="n">
        <x:v>0.000192</x:v>
      </x:c>
      <x:c r="AC791" s="38" t="n">
        <x:v>0.09092799999999998</x:v>
      </x:c>
      <x:c r="AD791" s="28" t="n">
        <x:v>0.24909051062897214</x:v>
      </x:c>
    </x:row>
    <x:row r="792">
      <x:c r="A792" s="32" t="n">
        <x:v>45936</x:v>
      </x:c>
      <x:c r="B792" s="32" t="n">
        <x:v>45931</x:v>
      </x:c>
      <x:c r="C792" t="str">
        <x:v>Oct 2025</x:v>
      </x:c>
      <x:c r="D792" t="str">
        <x:v>Actual</x:v>
      </x:c>
      <x:c r="E792" t="str">
        <x:v>DB-102</x:v>
      </x:c>
      <x:c r="F792" t="str">
        <x:v>GlowPatch Balm</x:v>
      </x:c>
      <x:c r="G792" t="str">
        <x:v>Consumable repeat</x:v>
      </x:c>
      <x:c r="H792" t="str">
        <x:v>None</x:v>
      </x:c>
      <x:c r="I792" t="str">
        <x:v>Active</x:v>
      </x:c>
      <x:c r="J792" t="str">
        <x:v>TikTok Shop</x:v>
      </x:c>
      <x:c r="K792" t="str">
        <x:v>Social Commerce</x:v>
      </x:c>
      <x:c r="L792" t="str">
        <x:v>All Geographies</x:v>
      </x:c>
      <x:c r="M792" s="34" t="n">
        <x:v>926</x:v>
      </x:c>
      <x:c r="N792" s="28" t="n">
        <x:v>0.0535248</x:v>
      </x:c>
      <x:c r="O792" s="34" t="n">
        <x:v>50</x:v>
      </x:c>
      <x:c r="P792" s="34" t="n">
        <x:v>1</x:v>
      </x:c>
      <x:c r="Q792" s="34" t="n">
        <x:v>50</x:v>
      </x:c>
      <x:c r="R792" s="33" t="n">
        <x:v>18</x:v>
      </x:c>
      <x:c r="S792" s="38" t="n">
        <x:v>0.9</x:v>
      </x:c>
      <x:c r="T792" s="38" t="n">
        <x:v>0.108</x:v>
      </x:c>
      <x:c r="U792" s="38" t="n">
        <x:v>0.0198</x:v>
      </x:c>
      <x:c r="V792" s="38" t="n">
        <x:v>0.7722</x:v>
      </x:c>
      <x:c r="W792" s="38" t="n">
        <x:v>0.2705</x:v>
      </x:c>
      <x:c r="X792" s="38" t="n">
        <x:v>0.022393800000000002</x:v>
      </x:c>
      <x:c r="Y792" s="38" t="n">
        <x:v>0.046332</x:v>
      </x:c>
      <x:c r="Z792" s="38" t="n">
        <x:v>0.25499999999999995</x:v>
      </x:c>
      <x:c r="AA792" s="38" t="n">
        <x:v>0.0875</x:v>
      </x:c>
      <x:c r="AB792" s="38" t="n">
        <x:v>0.00030000000000000003</x:v>
      </x:c>
      <x:c r="AC792" s="38" t="n">
        <x:v>0.0901742000000001</x:v>
      </x:c>
      <x:c r="AD792" s="28" t="n">
        <x:v>0.1167757057757059</x:v>
      </x:c>
    </x:row>
    <x:row r="793">
      <x:c r="A793" s="32" t="n">
        <x:v>45936</x:v>
      </x:c>
      <x:c r="B793" s="32" t="n">
        <x:v>45931</x:v>
      </x:c>
      <x:c r="C793" t="str">
        <x:v>Oct 2025</x:v>
      </x:c>
      <x:c r="D793" t="str">
        <x:v>Actual</x:v>
      </x:c>
      <x:c r="E793" t="str">
        <x:v>DB-103</x:v>
      </x:c>
      <x:c r="F793" t="str">
        <x:v>EmberTrail Camp Mug</x:v>
      </x:c>
      <x:c r="G793" t="str">
        <x:v>One-time purchase</x:v>
      </x:c>
      <x:c r="H793" t="str">
        <x:v>Winter peak</x:v>
      </x:c>
      <x:c r="I793" t="str">
        <x:v>Active</x:v>
      </x:c>
      <x:c r="J793" t="str">
        <x:v>Shopify DTC</x:v>
      </x:c>
      <x:c r="K793" t="str">
        <x:v>Consumer</x:v>
      </x:c>
      <x:c r="L793" t="str">
        <x:v>All Geographies</x:v>
      </x:c>
      <x:c r="M793" s="34" t="n">
        <x:v>4682</x:v>
      </x:c>
      <x:c r="N793" s="28" t="n">
        <x:v>0.0324</x:v>
      </x:c>
      <x:c r="O793" s="34" t="n">
        <x:v>152</x:v>
      </x:c>
      <x:c r="P793" s="34" t="n">
        <x:v>1</x:v>
      </x:c>
      <x:c r="Q793" s="34" t="n">
        <x:v>152</x:v>
      </x:c>
      <x:c r="R793" s="33" t="n">
        <x:v>34</x:v>
      </x:c>
      <x:c r="S793" s="38" t="n">
        <x:v>5.168</x:v>
      </x:c>
      <x:c r="T793" s="38" t="n">
        <x:v>0.41344000000000003</x:v>
      </x:c>
      <x:c r="U793" s="38" t="n">
        <x:v>0.2615008</x:v>
      </x:c>
      <x:c r="V793" s="38" t="n">
        <x:v>4.493059199999999</x:v>
      </x:c>
      <x:c r="W793" s="38" t="n">
        <x:v>2.07784</x:v>
      </x:c>
      <x:c r="X793" s="38" t="n">
        <x:v>0.1302987168</x:v>
      </x:c>
      <x:c r="Y793" s="38" t="n">
        <x:v>0</x:v>
      </x:c>
      <x:c r="Z793" s="38" t="n">
        <x:v>0.6308</x:v>
      </x:c>
      <x:c r="AA793" s="38" t="n">
        <x:v>0.25079999999999997</x:v>
      </x:c>
      <x:c r="AB793" s="38" t="n">
        <x:v>0.008512</x:v>
      </x:c>
      <x:c r="AC793" s="38" t="n">
        <x:v>1.3948084831999992</x:v>
      </x:c>
      <x:c r="AD793" s="28" t="n">
        <x:v>0.31043625759482524</x:v>
      </x:c>
    </x:row>
    <x:row r="794">
      <x:c r="A794" s="32" t="n">
        <x:v>45936</x:v>
      </x:c>
      <x:c r="B794" s="32" t="n">
        <x:v>45931</x:v>
      </x:c>
      <x:c r="C794" t="str">
        <x:v>Oct 2025</x:v>
      </x:c>
      <x:c r="D794" t="str">
        <x:v>Actual</x:v>
      </x:c>
      <x:c r="E794" t="str">
        <x:v>DB-103</x:v>
      </x:c>
      <x:c r="F794" t="str">
        <x:v>EmberTrail Camp Mug</x:v>
      </x:c>
      <x:c r="G794" t="str">
        <x:v>One-time purchase</x:v>
      </x:c>
      <x:c r="H794" t="str">
        <x:v>Winter peak</x:v>
      </x:c>
      <x:c r="I794" t="str">
        <x:v>Active</x:v>
      </x:c>
      <x:c r="J794" t="str">
        <x:v>Amazon Marketplace</x:v>
      </x:c>
      <x:c r="K794" t="str">
        <x:v>Marketplace Consumer</x:v>
      </x:c>
      <x:c r="L794" t="str">
        <x:v>All Geographies</x:v>
      </x:c>
      <x:c r="M794" s="34" t="n">
        <x:v>2341</x:v>
      </x:c>
      <x:c r="N794" s="28" t="n">
        <x:v>0.038231999999999995</x:v>
      </x:c>
      <x:c r="O794" s="34" t="n">
        <x:v>90</x:v>
      </x:c>
      <x:c r="P794" s="34" t="n">
        <x:v>1</x:v>
      </x:c>
      <x:c r="Q794" s="34" t="n">
        <x:v>90</x:v>
      </x:c>
      <x:c r="R794" s="33" t="n">
        <x:v>34</x:v>
      </x:c>
      <x:c r="S794" s="38" t="n">
        <x:v>3.06</x:v>
      </x:c>
      <x:c r="T794" s="38" t="n">
        <x:v>0.15300000000000002</x:v>
      </x:c>
      <x:c r="U794" s="38" t="n">
        <x:v>0.159885</x:v>
      </x:c>
      <x:c r="V794" s="38" t="n">
        <x:v>2.747115</x:v>
      </x:c>
      <x:c r="W794" s="38" t="n">
        <x:v>1.2303</x:v>
      </x:c>
      <x:c r="X794" s="38" t="n">
        <x:v>0</x:v>
      </x:c>
      <x:c r="Y794" s="38" t="n">
        <x:v>0.41206725</x:v>
      </x:c>
      <x:c r="Z794" s="38" t="n">
        <x:v>0.468</x:v>
      </x:c>
      <x:c r="AA794" s="38" t="n">
        <x:v>0.1935</x:v>
      </x:c>
      <x:c r="AB794" s="38" t="n">
        <x:v>0.00504</x:v>
      </x:c>
      <x:c r="AC794" s="38" t="n">
        <x:v>0.43820775000000006</x:v>
      </x:c>
      <x:c r="AD794" s="28" t="n">
        <x:v>0.15951561911314235</x:v>
      </x:c>
    </x:row>
    <x:row r="795">
      <x:c r="A795" s="32" t="n">
        <x:v>45936</x:v>
      </x:c>
      <x:c r="B795" s="32" t="n">
        <x:v>45931</x:v>
      </x:c>
      <x:c r="C795" t="str">
        <x:v>Oct 2025</x:v>
      </x:c>
      <x:c r="D795" t="str">
        <x:v>Actual</x:v>
      </x:c>
      <x:c r="E795" t="str">
        <x:v>DB-103</x:v>
      </x:c>
      <x:c r="F795" t="str">
        <x:v>EmberTrail Camp Mug</x:v>
      </x:c>
      <x:c r="G795" t="str">
        <x:v>One-time purchase</x:v>
      </x:c>
      <x:c r="H795" t="str">
        <x:v>Winter peak</x:v>
      </x:c>
      <x:c r="I795" t="str">
        <x:v>Active</x:v>
      </x:c>
      <x:c r="J795" t="str">
        <x:v>Wholesale</x:v>
      </x:c>
      <x:c r="K795" t="str">
        <x:v>Retailer</x:v>
      </x:c>
      <x:c r="L795" t="str">
        <x:v>All Geographies</x:v>
      </x:c>
      <x:c r="M795" s="34" t="n">
        <x:v>1405</x:v>
      </x:c>
      <x:c r="N795" s="28" t="n">
        <x:v>0.017820000000000003</x:v>
      </x:c>
      <x:c r="O795" s="34" t="n">
        <x:v>25</x:v>
      </x:c>
      <x:c r="P795" s="34" t="n">
        <x:v>1</x:v>
      </x:c>
      <x:c r="Q795" s="34" t="n">
        <x:v>25</x:v>
      </x:c>
      <x:c r="R795" s="33" t="n">
        <x:v>34</x:v>
      </x:c>
      <x:c r="S795" s="38" t="n">
        <x:v>0.85</x:v>
      </x:c>
      <x:c r="T795" s="38" t="n">
        <x:v>0.2975</x:v>
      </x:c>
      <x:c r="U795" s="38" t="n">
        <x:v>0.0303875</x:v>
      </x:c>
      <x:c r="V795" s="38" t="n">
        <x:v>0.5221125</x:v>
      </x:c>
      <x:c r="W795" s="38" t="n">
        <x:v>0.34175</x:v>
      </x:c>
      <x:c r="X795" s="38" t="n">
        <x:v>0</x:v>
      </x:c>
      <x:c r="Y795" s="38" t="n">
        <x:v>0</x:v>
      </x:c>
      <x:c r="Z795" s="38" t="n">
        <x:v>0.057499999999999996</x:v>
      </x:c>
      <x:c r="AA795" s="38" t="n">
        <x:v>0.02125</x:v>
      </x:c>
      <x:c r="AB795" s="38" t="n">
        <x:v>0.0014000000000000002</x:v>
      </x:c>
      <x:c r="AC795" s="38" t="n">
        <x:v>0.10021249999999998</x:v>
      </x:c>
      <x:c r="AD795" s="28" t="n">
        <x:v>0.19193660370130955</x:v>
      </x:c>
    </x:row>
    <x:row r="796">
      <x:c r="A796" s="32" t="n">
        <x:v>45936</x:v>
      </x:c>
      <x:c r="B796" s="32" t="n">
        <x:v>45931</x:v>
      </x:c>
      <x:c r="C796" t="str">
        <x:v>Oct 2025</x:v>
      </x:c>
      <x:c r="D796" t="str">
        <x:v>Actual</x:v>
      </x:c>
      <x:c r="E796" t="str">
        <x:v>DB-103</x:v>
      </x:c>
      <x:c r="F796" t="str">
        <x:v>EmberTrail Camp Mug</x:v>
      </x:c>
      <x:c r="G796" t="str">
        <x:v>One-time purchase</x:v>
      </x:c>
      <x:c r="H796" t="str">
        <x:v>Winter peak</x:v>
      </x:c>
      <x:c r="I796" t="str">
        <x:v>Active</x:v>
      </x:c>
      <x:c r="J796" t="str">
        <x:v>TikTok Shop</x:v>
      </x:c>
      <x:c r="K796" t="str">
        <x:v>Social Commerce</x:v>
      </x:c>
      <x:c r="L796" t="str">
        <x:v>All Geographies</x:v>
      </x:c>
      <x:c r="M796" s="34" t="n">
        <x:v>936</x:v>
      </x:c>
      <x:c r="N796" s="28" t="n">
        <x:v>0.040824</x:v>
      </x:c>
      <x:c r="O796" s="34" t="n">
        <x:v>38</x:v>
      </x:c>
      <x:c r="P796" s="34" t="n">
        <x:v>1</x:v>
      </x:c>
      <x:c r="Q796" s="34" t="n">
        <x:v>38</x:v>
      </x:c>
      <x:c r="R796" s="33" t="n">
        <x:v>34</x:v>
      </x:c>
      <x:c r="S796" s="38" t="n">
        <x:v>1.292</x:v>
      </x:c>
      <x:c r="T796" s="38" t="n">
        <x:v>0.15504</x:v>
      </x:c>
      <x:c r="U796" s="38" t="n">
        <x:v>0.0625328</x:v>
      </x:c>
      <x:c r="V796" s="38" t="n">
        <x:v>1.0744272</x:v>
      </x:c>
      <x:c r="W796" s="38" t="n">
        <x:v>0.51946</x:v>
      </x:c>
      <x:c r="X796" s="38" t="n">
        <x:v>0.0311583888</x:v>
      </x:c>
      <x:c r="Y796" s="38" t="n">
        <x:v>0.064465632</x:v>
      </x:c>
      <x:c r="Z796" s="38" t="n">
        <x:v>0.19379999999999997</x:v>
      </x:c>
      <x:c r="AA796" s="38" t="n">
        <x:v>0.0665</x:v>
      </x:c>
      <x:c r="AB796" s="38" t="n">
        <x:v>0.002128</x:v>
      </x:c>
      <x:c r="AC796" s="38" t="n">
        <x:v>0.19691517919999993</x:v>
      </x:c>
      <x:c r="AD796" s="28" t="n">
        <x:v>0.1832745663922134</x:v>
      </x:c>
    </x:row>
    <x:row r="797">
      <x:c r="A797" s="32" t="n">
        <x:v>45936</x:v>
      </x:c>
      <x:c r="B797" s="32" t="n">
        <x:v>45931</x:v>
      </x:c>
      <x:c r="C797" t="str">
        <x:v>Oct 2025</x:v>
      </x:c>
      <x:c r="D797" t="str">
        <x:v>Actual</x:v>
      </x:c>
      <x:c r="E797" t="str">
        <x:v>DB-104</x:v>
      </x:c>
      <x:c r="F797" t="str">
        <x:v>SunNest Cooling Towel</x:v>
      </x:c>
      <x:c r="G797" t="str">
        <x:v>Consumable repeat</x:v>
      </x:c>
      <x:c r="H797" t="str">
        <x:v>Summer peak</x:v>
      </x:c>
      <x:c r="I797" t="str">
        <x:v>Active</x:v>
      </x:c>
      <x:c r="J797" t="str">
        <x:v>Shopify DTC</x:v>
      </x:c>
      <x:c r="K797" t="str">
        <x:v>Consumer</x:v>
      </x:c>
      <x:c r="L797" t="str">
        <x:v>All Geographies</x:v>
      </x:c>
      <x:c r="M797" s="34" t="n">
        <x:v>3298</x:v>
      </x:c>
      <x:c r="N797" s="28" t="n">
        <x:v>0.03312</x:v>
      </x:c>
      <x:c r="O797" s="34" t="n">
        <x:v>109</x:v>
      </x:c>
      <x:c r="P797" s="34" t="n">
        <x:v>1</x:v>
      </x:c>
      <x:c r="Q797" s="34" t="n">
        <x:v>109</x:v>
      </x:c>
      <x:c r="R797" s="33" t="n">
        <x:v>42</x:v>
      </x:c>
      <x:c r="S797" s="38" t="n">
        <x:v>4.578</x:v>
      </x:c>
      <x:c r="T797" s="38" t="n">
        <x:v>0.36624</x:v>
      </x:c>
      <x:c r="U797" s="38" t="n">
        <x:v>0.210588</x:v>
      </x:c>
      <x:c r="V797" s="38" t="n">
        <x:v>4.001172</x:v>
      </x:c>
      <x:c r="W797" s="38" t="n">
        <x:v>1.64045</x:v>
      </x:c>
      <x:c r="X797" s="38" t="n">
        <x:v>0.11603398800000002</x:v>
      </x:c>
      <x:c r="Y797" s="38" t="n">
        <x:v>0</x:v>
      </x:c>
      <x:c r="Z797" s="38" t="n">
        <x:v>0.45235000000000003</x:v>
      </x:c>
      <x:c r="AA797" s="38" t="n">
        <x:v>0.17984999999999998</x:v>
      </x:c>
      <x:c r="AB797" s="38" t="n">
        <x:v>0.003052</x:v>
      </x:c>
      <x:c r="AC797" s="38" t="n">
        <x:v>1.6094360120000004</x:v>
      </x:c>
      <x:c r="AD797" s="28" t="n">
        <x:v>0.4022411463441212</x:v>
      </x:c>
    </x:row>
    <x:row r="798">
      <x:c r="A798" s="32" t="n">
        <x:v>45936</x:v>
      </x:c>
      <x:c r="B798" s="32" t="n">
        <x:v>45931</x:v>
      </x:c>
      <x:c r="C798" t="str">
        <x:v>Oct 2025</x:v>
      </x:c>
      <x:c r="D798" t="str">
        <x:v>Actual</x:v>
      </x:c>
      <x:c r="E798" t="str">
        <x:v>DB-104</x:v>
      </x:c>
      <x:c r="F798" t="str">
        <x:v>SunNest Cooling Towel</x:v>
      </x:c>
      <x:c r="G798" t="str">
        <x:v>Consumable repeat</x:v>
      </x:c>
      <x:c r="H798" t="str">
        <x:v>Summer peak</x:v>
      </x:c>
      <x:c r="I798" t="str">
        <x:v>Active</x:v>
      </x:c>
      <x:c r="J798" t="str">
        <x:v>Amazon Marketplace</x:v>
      </x:c>
      <x:c r="K798" t="str">
        <x:v>Marketplace Consumer</x:v>
      </x:c>
      <x:c r="L798" t="str">
        <x:v>All Geographies</x:v>
      </x:c>
      <x:c r="M798" s="34" t="n">
        <x:v>1649</x:v>
      </x:c>
      <x:c r="N798" s="28" t="n">
        <x:v>0.0390816</x:v>
      </x:c>
      <x:c r="O798" s="34" t="n">
        <x:v>64</x:v>
      </x:c>
      <x:c r="P798" s="34" t="n">
        <x:v>1</x:v>
      </x:c>
      <x:c r="Q798" s="34" t="n">
        <x:v>64</x:v>
      </x:c>
      <x:c r="R798" s="33" t="n">
        <x:v>42</x:v>
      </x:c>
      <x:c r="S798" s="38" t="n">
        <x:v>2.688</x:v>
      </x:c>
      <x:c r="T798" s="38" t="n">
        <x:v>0.13440000000000002</x:v>
      </x:c>
      <x:c r="U798" s="38" t="n">
        <x:v>0.12768000000000002</x:v>
      </x:c>
      <x:c r="V798" s="38" t="n">
        <x:v>2.4259200000000005</x:v>
      </x:c>
      <x:c r="W798" s="38" t="n">
        <x:v>0.9632000000000001</x:v>
      </x:c>
      <x:c r="X798" s="38" t="n">
        <x:v>0</x:v>
      </x:c>
      <x:c r="Y798" s="38" t="n">
        <x:v>0.36388800000000004</x:v>
      </x:c>
      <x:c r="Z798" s="38" t="n">
        <x:v>0.3328</x:v>
      </x:c>
      <x:c r="AA798" s="38" t="n">
        <x:v>0.1376</x:v>
      </x:c>
      <x:c r="AB798" s="38" t="n">
        <x:v>0.0017919999999999998</x:v>
      </x:c>
      <x:c r="AC798" s="38" t="n">
        <x:v>0.6266400000000005</x:v>
      </x:c>
      <x:c r="AD798" s="28" t="n">
        <x:v>0.25831024930747937</x:v>
      </x:c>
    </x:row>
    <x:row r="799">
      <x:c r="A799" s="32" t="n">
        <x:v>45936</x:v>
      </x:c>
      <x:c r="B799" s="32" t="n">
        <x:v>45931</x:v>
      </x:c>
      <x:c r="C799" t="str">
        <x:v>Oct 2025</x:v>
      </x:c>
      <x:c r="D799" t="str">
        <x:v>Actual</x:v>
      </x:c>
      <x:c r="E799" t="str">
        <x:v>DB-104</x:v>
      </x:c>
      <x:c r="F799" t="str">
        <x:v>SunNest Cooling Towel</x:v>
      </x:c>
      <x:c r="G799" t="str">
        <x:v>Consumable repeat</x:v>
      </x:c>
      <x:c r="H799" t="str">
        <x:v>Summer peak</x:v>
      </x:c>
      <x:c r="I799" t="str">
        <x:v>Active</x:v>
      </x:c>
      <x:c r="J799" t="str">
        <x:v>Wholesale</x:v>
      </x:c>
      <x:c r="K799" t="str">
        <x:v>Retailer</x:v>
      </x:c>
      <x:c r="L799" t="str">
        <x:v>All Geographies</x:v>
      </x:c>
      <x:c r="M799" s="34" t="n">
        <x:v>989</x:v>
      </x:c>
      <x:c r="N799" s="28" t="n">
        <x:v>0.018216000000000003</x:v>
      </x:c>
      <x:c r="O799" s="34" t="n">
        <x:v>18</x:v>
      </x:c>
      <x:c r="P799" s="34" t="n">
        <x:v>1</x:v>
      </x:c>
      <x:c r="Q799" s="34" t="n">
        <x:v>18</x:v>
      </x:c>
      <x:c r="R799" s="33" t="n">
        <x:v>42</x:v>
      </x:c>
      <x:c r="S799" s="38" t="n">
        <x:v>0.756</x:v>
      </x:c>
      <x:c r="T799" s="38" t="n">
        <x:v>0.2646</x:v>
      </x:c>
      <x:c r="U799" s="38" t="n">
        <x:v>0.02457</x:v>
      </x:c>
      <x:c r="V799" s="38" t="n">
        <x:v>0.46683</x:v>
      </x:c>
      <x:c r="W799" s="38" t="n">
        <x:v>0.27090000000000003</x:v>
      </x:c>
      <x:c r="X799" s="38" t="n">
        <x:v>0</x:v>
      </x:c>
      <x:c r="Y799" s="38" t="n">
        <x:v>0</x:v>
      </x:c>
      <x:c r="Z799" s="38" t="n">
        <x:v>0.0414</x:v>
      </x:c>
      <x:c r="AA799" s="38" t="n">
        <x:v>0.0153</x:v>
      </x:c>
      <x:c r="AB799" s="38" t="n">
        <x:v>0.000504</x:v>
      </x:c>
      <x:c r="AC799" s="38" t="n">
        <x:v>0.138726</x:v>
      </x:c>
      <x:c r="AD799" s="28" t="n">
        <x:v>0.297165991902834</x:v>
      </x:c>
    </x:row>
    <x:row r="800">
      <x:c r="A800" s="32" t="n">
        <x:v>45936</x:v>
      </x:c>
      <x:c r="B800" s="32" t="n">
        <x:v>45931</x:v>
      </x:c>
      <x:c r="C800" t="str">
        <x:v>Oct 2025</x:v>
      </x:c>
      <x:c r="D800" t="str">
        <x:v>Actual</x:v>
      </x:c>
      <x:c r="E800" t="str">
        <x:v>DB-104</x:v>
      </x:c>
      <x:c r="F800" t="str">
        <x:v>SunNest Cooling Towel</x:v>
      </x:c>
      <x:c r="G800" t="str">
        <x:v>Consumable repeat</x:v>
      </x:c>
      <x:c r="H800" t="str">
        <x:v>Summer peak</x:v>
      </x:c>
      <x:c r="I800" t="str">
        <x:v>Active</x:v>
      </x:c>
      <x:c r="J800" t="str">
        <x:v>TikTok Shop</x:v>
      </x:c>
      <x:c r="K800" t="str">
        <x:v>Social Commerce</x:v>
      </x:c>
      <x:c r="L800" t="str">
        <x:v>All Geographies</x:v>
      </x:c>
      <x:c r="M800" s="34" t="n">
        <x:v>660</x:v>
      </x:c>
      <x:c r="N800" s="28" t="n">
        <x:v>0.0417312</x:v>
      </x:c>
      <x:c r="O800" s="34" t="n">
        <x:v>28</x:v>
      </x:c>
      <x:c r="P800" s="34" t="n">
        <x:v>1</x:v>
      </x:c>
      <x:c r="Q800" s="34" t="n">
        <x:v>28</x:v>
      </x:c>
      <x:c r="R800" s="33" t="n">
        <x:v>42</x:v>
      </x:c>
      <x:c r="S800" s="38" t="n">
        <x:v>1.176</x:v>
      </x:c>
      <x:c r="T800" s="38" t="n">
        <x:v>0.14112</x:v>
      </x:c>
      <x:c r="U800" s="38" t="n">
        <x:v>0.051744000000000005</x:v>
      </x:c>
      <x:c r="V800" s="38" t="n">
        <x:v>0.983136</x:v>
      </x:c>
      <x:c r="W800" s="38" t="n">
        <x:v>0.42140000000000005</x:v>
      </x:c>
      <x:c r="X800" s="38" t="n">
        <x:v>0.028510944000000003</x:v>
      </x:c>
      <x:c r="Y800" s="38" t="n">
        <x:v>0.05898816</x:v>
      </x:c>
      <x:c r="Z800" s="38" t="n">
        <x:v>0.14279999999999998</x:v>
      </x:c>
      <x:c r="AA800" s="38" t="n">
        <x:v>0.049</x:v>
      </x:c>
      <x:c r="AB800" s="38" t="n">
        <x:v>0.0007840000000000001</x:v>
      </x:c>
      <x:c r="AC800" s="38" t="n">
        <x:v>0.28165289600000004</x:v>
      </x:c>
      <x:c r="AD800" s="28" t="n">
        <x:v>0.28648416495784923</x:v>
      </x:c>
    </x:row>
    <x:row r="801">
      <x:c r="A801" s="32" t="n">
        <x:v>45936</x:v>
      </x:c>
      <x:c r="B801" s="32" t="n">
        <x:v>45931</x:v>
      </x:c>
      <x:c r="C801" t="str">
        <x:v>Oct 2025</x:v>
      </x:c>
      <x:c r="D801" t="str">
        <x:v>Actual</x:v>
      </x:c>
      <x:c r="E801" t="str">
        <x:v>DB-105</x:v>
      </x:c>
      <x:c r="F801" t="str">
        <x:v>DreamFuel Refill Pack</x:v>
      </x:c>
      <x:c r="G801" t="str">
        <x:v>Subscription</x:v>
      </x:c>
      <x:c r="H801" t="str">
        <x:v>None</x:v>
      </x:c>
      <x:c r="I801" t="str">
        <x:v>Active</x:v>
      </x:c>
      <x:c r="J801" t="str">
        <x:v>Shopify DTC</x:v>
      </x:c>
      <x:c r="K801" t="str">
        <x:v>Consumer</x:v>
      </x:c>
      <x:c r="L801" t="str">
        <x:v>All Geographies</x:v>
      </x:c>
      <x:c r="M801" s="34" t="n">
        <x:v>3968</x:v>
      </x:c>
      <x:c r="N801" s="28" t="n">
        <x:v>0.03888</x:v>
      </x:c>
      <x:c r="O801" s="34" t="n">
        <x:v>154</x:v>
      </x:c>
      <x:c r="P801" s="34" t="n">
        <x:v>1</x:v>
      </x:c>
      <x:c r="Q801" s="34" t="n">
        <x:v>154</x:v>
      </x:c>
      <x:c r="R801" s="33" t="n">
        <x:v>56</x:v>
      </x:c>
      <x:c r="S801" s="38" t="n">
        <x:v>8.624</x:v>
      </x:c>
      <x:c r="T801" s="38" t="n">
        <x:v>0.6899200000000001</x:v>
      </x:c>
      <x:c r="U801" s="38" t="n">
        <x:v>0.1586816</x:v>
      </x:c>
      <x:c r="V801" s="38" t="n">
        <x:v>7.7753984</x:v>
      </x:c>
      <x:c r="W801" s="38" t="n">
        <x:v>2.86748</x:v>
      </x:c>
      <x:c r="X801" s="38" t="n">
        <x:v>0.22548655360000003</x:v>
      </x:c>
      <x:c r="Y801" s="38" t="n">
        <x:v>0</x:v>
      </x:c>
      <x:c r="Z801" s="38" t="n">
        <x:v>0.6391</x:v>
      </x:c>
      <x:c r="AA801" s="38" t="n">
        <x:v>0.2541</x:v>
      </x:c>
      <x:c r="AB801" s="38" t="n">
        <x:v>0.0005544</x:v>
      </x:c>
      <x:c r="AC801" s="38" t="n">
        <x:v>3.7886774464</x:v>
      </x:c>
      <x:c r="AD801" s="28" t="n">
        <x:v>0.48726473570794776</x:v>
      </x:c>
    </x:row>
    <x:row r="802">
      <x:c r="A802" s="32" t="n">
        <x:v>45936</x:v>
      </x:c>
      <x:c r="B802" s="32" t="n">
        <x:v>45931</x:v>
      </x:c>
      <x:c r="C802" t="str">
        <x:v>Oct 2025</x:v>
      </x:c>
      <x:c r="D802" t="str">
        <x:v>Actual</x:v>
      </x:c>
      <x:c r="E802" t="str">
        <x:v>DB-105</x:v>
      </x:c>
      <x:c r="F802" t="str">
        <x:v>DreamFuel Refill Pack</x:v>
      </x:c>
      <x:c r="G802" t="str">
        <x:v>Subscription</x:v>
      </x:c>
      <x:c r="H802" t="str">
        <x:v>None</x:v>
      </x:c>
      <x:c r="I802" t="str">
        <x:v>Active</x:v>
      </x:c>
      <x:c r="J802" t="str">
        <x:v>Amazon Marketplace</x:v>
      </x:c>
      <x:c r="K802" t="str">
        <x:v>Marketplace Consumer</x:v>
      </x:c>
      <x:c r="L802" t="str">
        <x:v>All Geographies</x:v>
      </x:c>
      <x:c r="M802" s="34" t="n">
        <x:v>1984</x:v>
      </x:c>
      <x:c r="N802" s="28" t="n">
        <x:v>0.0458784</x:v>
      </x:c>
      <x:c r="O802" s="34" t="n">
        <x:v>91</x:v>
      </x:c>
      <x:c r="P802" s="34" t="n">
        <x:v>1</x:v>
      </x:c>
      <x:c r="Q802" s="34" t="n">
        <x:v>91</x:v>
      </x:c>
      <x:c r="R802" s="33" t="n">
        <x:v>56</x:v>
      </x:c>
      <x:c r="S802" s="38" t="n">
        <x:v>5.096</x:v>
      </x:c>
      <x:c r="T802" s="38" t="n">
        <x:v>0.2548</x:v>
      </x:c>
      <x:c r="U802" s="38" t="n">
        <x:v>0.096824</x:v>
      </x:c>
      <x:c r="V802" s="38" t="n">
        <x:v>4.744376</x:v>
      </x:c>
      <x:c r="W802" s="38" t="n">
        <x:v>1.69442</x:v>
      </x:c>
      <x:c r="X802" s="38" t="n">
        <x:v>0</x:v>
      </x:c>
      <x:c r="Y802" s="38" t="n">
        <x:v>0.7116564</x:v>
      </x:c>
      <x:c r="Z802" s="38" t="n">
        <x:v>0.4732</x:v>
      </x:c>
      <x:c r="AA802" s="38" t="n">
        <x:v>0.19565000000000002</x:v>
      </x:c>
      <x:c r="AB802" s="38" t="n">
        <x:v>0.0003276</x:v>
      </x:c>
      <x:c r="AC802" s="38" t="n">
        <x:v>1.6691219999999998</x:v>
      </x:c>
      <x:c r="AD802" s="28" t="n">
        <x:v>0.3518106490716587</x:v>
      </x:c>
    </x:row>
    <x:row r="803">
      <x:c r="A803" s="32" t="n">
        <x:v>45936</x:v>
      </x:c>
      <x:c r="B803" s="32" t="n">
        <x:v>45931</x:v>
      </x:c>
      <x:c r="C803" t="str">
        <x:v>Oct 2025</x:v>
      </x:c>
      <x:c r="D803" t="str">
        <x:v>Actual</x:v>
      </x:c>
      <x:c r="E803" t="str">
        <x:v>DB-105</x:v>
      </x:c>
      <x:c r="F803" t="str">
        <x:v>DreamFuel Refill Pack</x:v>
      </x:c>
      <x:c r="G803" t="str">
        <x:v>Subscription</x:v>
      </x:c>
      <x:c r="H803" t="str">
        <x:v>None</x:v>
      </x:c>
      <x:c r="I803" t="str">
        <x:v>Active</x:v>
      </x:c>
      <x:c r="J803" t="str">
        <x:v>Wholesale</x:v>
      </x:c>
      <x:c r="K803" t="str">
        <x:v>Retailer</x:v>
      </x:c>
      <x:c r="L803" t="str">
        <x:v>All Geographies</x:v>
      </x:c>
      <x:c r="M803" s="34" t="n">
        <x:v>1190</x:v>
      </x:c>
      <x:c r="N803" s="28" t="n">
        <x:v>0.021384000000000004</x:v>
      </x:c>
      <x:c r="O803" s="34" t="n">
        <x:v>25</x:v>
      </x:c>
      <x:c r="P803" s="34" t="n">
        <x:v>1</x:v>
      </x:c>
      <x:c r="Q803" s="34" t="n">
        <x:v>25</x:v>
      </x:c>
      <x:c r="R803" s="33" t="n">
        <x:v>56</x:v>
      </x:c>
      <x:c r="S803" s="38" t="n">
        <x:v>1.4</x:v>
      </x:c>
      <x:c r="T803" s="38" t="n">
        <x:v>0.48999999999999994</x:v>
      </x:c>
      <x:c r="U803" s="38" t="n">
        <x:v>0.018199999999999997</x:v>
      </x:c>
      <x:c r="V803" s="38" t="n">
        <x:v>0.8917999999999999</x:v>
      </x:c>
      <x:c r="W803" s="38" t="n">
        <x:v>0.4655</x:v>
      </x:c>
      <x:c r="X803" s="38" t="n">
        <x:v>0</x:v>
      </x:c>
      <x:c r="Y803" s="38" t="n">
        <x:v>0</x:v>
      </x:c>
      <x:c r="Z803" s="38" t="n">
        <x:v>0.057499999999999996</x:v>
      </x:c>
      <x:c r="AA803" s="38" t="n">
        <x:v>0.02125</x:v>
      </x:c>
      <x:c r="AB803" s="38" t="n">
        <x:v>0.00008999999999999999</x:v>
      </x:c>
      <x:c r="AC803" s="38" t="n">
        <x:v>0.34745999999999994</x:v>
      </x:c>
      <x:c r="AD803" s="28" t="n">
        <x:v>0.38961650594303654</x:v>
      </x:c>
    </x:row>
    <x:row r="804">
      <x:c r="A804" s="32" t="n">
        <x:v>45936</x:v>
      </x:c>
      <x:c r="B804" s="32" t="n">
        <x:v>45931</x:v>
      </x:c>
      <x:c r="C804" t="str">
        <x:v>Oct 2025</x:v>
      </x:c>
      <x:c r="D804" t="str">
        <x:v>Actual</x:v>
      </x:c>
      <x:c r="E804" t="str">
        <x:v>DB-105</x:v>
      </x:c>
      <x:c r="F804" t="str">
        <x:v>DreamFuel Refill Pack</x:v>
      </x:c>
      <x:c r="G804" t="str">
        <x:v>Subscription</x:v>
      </x:c>
      <x:c r="H804" t="str">
        <x:v>None</x:v>
      </x:c>
      <x:c r="I804" t="str">
        <x:v>Active</x:v>
      </x:c>
      <x:c r="J804" t="str">
        <x:v>TikTok Shop</x:v>
      </x:c>
      <x:c r="K804" t="str">
        <x:v>Social Commerce</x:v>
      </x:c>
      <x:c r="L804" t="str">
        <x:v>All Geographies</x:v>
      </x:c>
      <x:c r="M804" s="34" t="n">
        <x:v>794</x:v>
      </x:c>
      <x:c r="N804" s="28" t="n">
        <x:v>0.0489888</x:v>
      </x:c>
      <x:c r="O804" s="34" t="n">
        <x:v>39</x:v>
      </x:c>
      <x:c r="P804" s="34" t="n">
        <x:v>1</x:v>
      </x:c>
      <x:c r="Q804" s="34" t="n">
        <x:v>39</x:v>
      </x:c>
      <x:c r="R804" s="33" t="n">
        <x:v>56</x:v>
      </x:c>
      <x:c r="S804" s="38" t="n">
        <x:v>2.184</x:v>
      </x:c>
      <x:c r="T804" s="38" t="n">
        <x:v>0.26208000000000004</x:v>
      </x:c>
      <x:c r="U804" s="38" t="n">
        <x:v>0.038438400000000005</x:v>
      </x:c>
      <x:c r="V804" s="38" t="n">
        <x:v>1.8834816</x:v>
      </x:c>
      <x:c r="W804" s="38" t="n">
        <x:v>0.72618</x:v>
      </x:c>
      <x:c r="X804" s="38" t="n">
        <x:v>0.054620966400000005</x:v>
      </x:c>
      <x:c r="Y804" s="38" t="n">
        <x:v>0.113008896</x:v>
      </x:c>
      <x:c r="Z804" s="38" t="n">
        <x:v>0.19889999999999997</x:v>
      </x:c>
      <x:c r="AA804" s="38" t="n">
        <x:v>0.06825</x:v>
      </x:c>
      <x:c r="AB804" s="38" t="n">
        <x:v>0.0001404</x:v>
      </x:c>
      <x:c r="AC804" s="38" t="n">
        <x:v>0.7223813376000001</x:v>
      </x:c>
      <x:c r="AD804" s="28" t="n">
        <x:v>0.38353511794328127</x:v>
      </x:c>
    </x:row>
    <x:row r="805">
      <x:c r="A805" s="32" t="n">
        <x:v>45943</x:v>
      </x:c>
      <x:c r="B805" s="32" t="n">
        <x:v>45931</x:v>
      </x:c>
      <x:c r="C805" t="str">
        <x:v>Oct 2025</x:v>
      </x:c>
      <x:c r="D805" t="str">
        <x:v>Actual</x:v>
      </x:c>
      <x:c r="E805" t="str">
        <x:v>DB-101</x:v>
      </x:c>
      <x:c r="F805" t="str">
        <x:v>AeroSip Bottle</x:v>
      </x:c>
      <x:c r="G805" t="str">
        <x:v>One-time purchase</x:v>
      </x:c>
      <x:c r="H805" t="str">
        <x:v>None</x:v>
      </x:c>
      <x:c r="I805" t="str">
        <x:v>Active</x:v>
      </x:c>
      <x:c r="J805" t="str">
        <x:v>Shopify DTC</x:v>
      </x:c>
      <x:c r="K805" t="str">
        <x:v>Consumer</x:v>
      </x:c>
      <x:c r="L805" t="str">
        <x:v>All Geographies</x:v>
      </x:c>
      <x:c r="M805" s="34" t="n">
        <x:v>5752</x:v>
      </x:c>
      <x:c r="N805" s="28" t="n">
        <x:v>0.034199999999999994</x:v>
      </x:c>
      <x:c r="O805" s="34" t="n">
        <x:v>197</x:v>
      </x:c>
      <x:c r="P805" s="34" t="n">
        <x:v>1</x:v>
      </x:c>
      <x:c r="Q805" s="34" t="n">
        <x:v>197</x:v>
      </x:c>
      <x:c r="R805" s="33" t="n">
        <x:v>29</x:v>
      </x:c>
      <x:c r="S805" s="38" t="n">
        <x:v>5.713</x:v>
      </x:c>
      <x:c r="T805" s="38" t="n">
        <x:v>0.45704</x:v>
      </x:c>
      <x:c r="U805" s="38" t="n">
        <x:v>0.23651819999999998</x:v>
      </x:c>
      <x:c r="V805" s="38" t="n">
        <x:v>5.0194418</x:v>
      </x:c>
      <x:c r="W805" s="38" t="n">
        <x:v>2.1276</x:v>
      </x:c>
      <x:c r="X805" s="38" t="n">
        <x:v>0.1455638122</x:v>
      </x:c>
      <x:c r="Y805" s="38" t="n">
        <x:v>0</x:v>
      </x:c>
      <x:c r="Z805" s="38" t="n">
        <x:v>0.8175500000000001</x:v>
      </x:c>
      <x:c r="AA805" s="38" t="n">
        <x:v>0.32504999999999995</x:v>
      </x:c>
      <x:c r="AB805" s="38" t="n">
        <x:v>0.007091999999999999</x:v>
      </x:c>
      <x:c r="AC805" s="38" t="n">
        <x:v>1.5965859877999997</x:v>
      </x:c>
      <x:c r="AD805" s="28" t="n">
        <x:v>0.31808038650831644</x:v>
      </x:c>
    </x:row>
    <x:row r="806">
      <x:c r="A806" s="32" t="n">
        <x:v>45943</x:v>
      </x:c>
      <x:c r="B806" s="32" t="n">
        <x:v>45931</x:v>
      </x:c>
      <x:c r="C806" t="str">
        <x:v>Oct 2025</x:v>
      </x:c>
      <x:c r="D806" t="str">
        <x:v>Actual</x:v>
      </x:c>
      <x:c r="E806" t="str">
        <x:v>DB-101</x:v>
      </x:c>
      <x:c r="F806" t="str">
        <x:v>AeroSip Bottle</x:v>
      </x:c>
      <x:c r="G806" t="str">
        <x:v>One-time purchase</x:v>
      </x:c>
      <x:c r="H806" t="str">
        <x:v>None</x:v>
      </x:c>
      <x:c r="I806" t="str">
        <x:v>Active</x:v>
      </x:c>
      <x:c r="J806" t="str">
        <x:v>Amazon Marketplace</x:v>
      </x:c>
      <x:c r="K806" t="str">
        <x:v>Marketplace Consumer</x:v>
      </x:c>
      <x:c r="L806" t="str">
        <x:v>All Geographies</x:v>
      </x:c>
      <x:c r="M806" s="34" t="n">
        <x:v>2876</x:v>
      </x:c>
      <x:c r="N806" s="28" t="n">
        <x:v>0.040355999999999996</x:v>
      </x:c>
      <x:c r="O806" s="34" t="n">
        <x:v>116</x:v>
      </x:c>
      <x:c r="P806" s="34" t="n">
        <x:v>1</x:v>
      </x:c>
      <x:c r="Q806" s="34" t="n">
        <x:v>116</x:v>
      </x:c>
      <x:c r="R806" s="33" t="n">
        <x:v>29</x:v>
      </x:c>
      <x:c r="S806" s="38" t="n">
        <x:v>3.364</x:v>
      </x:c>
      <x:c r="T806" s="38" t="n">
        <x:v>0.16820000000000002</x:v>
      </x:c>
      <x:c r="U806" s="38" t="n">
        <x:v>0.143811</x:v>
      </x:c>
      <x:c r="V806" s="38" t="n">
        <x:v>3.051989</x:v>
      </x:c>
      <x:c r="W806" s="38" t="n">
        <x:v>1.2528000000000001</x:v>
      </x:c>
      <x:c r="X806" s="38" t="n">
        <x:v>0</x:v>
      </x:c>
      <x:c r="Y806" s="38" t="n">
        <x:v>0.45779834999999997</x:v>
      </x:c>
      <x:c r="Z806" s="38" t="n">
        <x:v>0.6032000000000001</x:v>
      </x:c>
      <x:c r="AA806" s="38" t="n">
        <x:v>0.24939999999999998</x:v>
      </x:c>
      <x:c r="AB806" s="38" t="n">
        <x:v>0.004176</x:v>
      </x:c>
      <x:c r="AC806" s="38" t="n">
        <x:v>0.48461464999999965</x:v>
      </x:c>
      <x:c r="AD806" s="28" t="n">
        <x:v>0.15878649955815688</x:v>
      </x:c>
    </x:row>
    <x:row r="807">
      <x:c r="A807" s="32" t="n">
        <x:v>45943</x:v>
      </x:c>
      <x:c r="B807" s="32" t="n">
        <x:v>45931</x:v>
      </x:c>
      <x:c r="C807" t="str">
        <x:v>Oct 2025</x:v>
      </x:c>
      <x:c r="D807" t="str">
        <x:v>Actual</x:v>
      </x:c>
      <x:c r="E807" t="str">
        <x:v>DB-101</x:v>
      </x:c>
      <x:c r="F807" t="str">
        <x:v>AeroSip Bottle</x:v>
      </x:c>
      <x:c r="G807" t="str">
        <x:v>One-time purchase</x:v>
      </x:c>
      <x:c r="H807" t="str">
        <x:v>None</x:v>
      </x:c>
      <x:c r="I807" t="str">
        <x:v>Active</x:v>
      </x:c>
      <x:c r="J807" t="str">
        <x:v>Wholesale</x:v>
      </x:c>
      <x:c r="K807" t="str">
        <x:v>Retailer</x:v>
      </x:c>
      <x:c r="L807" t="str">
        <x:v>All Geographies</x:v>
      </x:c>
      <x:c r="M807" s="34" t="n">
        <x:v>1726</x:v>
      </x:c>
      <x:c r="N807" s="28" t="n">
        <x:v>0.01881</x:v>
      </x:c>
      <x:c r="O807" s="34" t="n">
        <x:v>32</x:v>
      </x:c>
      <x:c r="P807" s="34" t="n">
        <x:v>1</x:v>
      </x:c>
      <x:c r="Q807" s="34" t="n">
        <x:v>32</x:v>
      </x:c>
      <x:c r="R807" s="33" t="n">
        <x:v>29</x:v>
      </x:c>
      <x:c r="S807" s="38" t="n">
        <x:v>0.928</x:v>
      </x:c>
      <x:c r="T807" s="38" t="n">
        <x:v>0.3248</x:v>
      </x:c>
      <x:c r="U807" s="38" t="n">
        <x:v>0.027144</x:v>
      </x:c>
      <x:c r="V807" s="38" t="n">
        <x:v>0.5760560000000001</x:v>
      </x:c>
      <x:c r="W807" s="38" t="n">
        <x:v>0.3456</x:v>
      </x:c>
      <x:c r="X807" s="38" t="n">
        <x:v>0</x:v>
      </x:c>
      <x:c r="Y807" s="38" t="n">
        <x:v>0</x:v>
      </x:c>
      <x:c r="Z807" s="38" t="n">
        <x:v>0.0736</x:v>
      </x:c>
      <x:c r="AA807" s="38" t="n">
        <x:v>0.0272</x:v>
      </x:c>
      <x:c r="AB807" s="38" t="n">
        <x:v>0.001152</x:v>
      </x:c>
      <x:c r="AC807" s="38" t="n">
        <x:v>0.12850400000000012</x:v>
      </x:c>
      <x:c r="AD807" s="28" t="n">
        <x:v>0.22307553432305208</x:v>
      </x:c>
    </x:row>
    <x:row r="808">
      <x:c r="A808" s="32" t="n">
        <x:v>45943</x:v>
      </x:c>
      <x:c r="B808" s="32" t="n">
        <x:v>45931</x:v>
      </x:c>
      <x:c r="C808" t="str">
        <x:v>Oct 2025</x:v>
      </x:c>
      <x:c r="D808" t="str">
        <x:v>Actual</x:v>
      </x:c>
      <x:c r="E808" t="str">
        <x:v>DB-101</x:v>
      </x:c>
      <x:c r="F808" t="str">
        <x:v>AeroSip Bottle</x:v>
      </x:c>
      <x:c r="G808" t="str">
        <x:v>One-time purchase</x:v>
      </x:c>
      <x:c r="H808" t="str">
        <x:v>None</x:v>
      </x:c>
      <x:c r="I808" t="str">
        <x:v>Active</x:v>
      </x:c>
      <x:c r="J808" t="str">
        <x:v>TikTok Shop</x:v>
      </x:c>
      <x:c r="K808" t="str">
        <x:v>Social Commerce</x:v>
      </x:c>
      <x:c r="L808" t="str">
        <x:v>All Geographies</x:v>
      </x:c>
      <x:c r="M808" s="34" t="n">
        <x:v>1150</x:v>
      </x:c>
      <x:c r="N808" s="28" t="n">
        <x:v>0.043092</x:v>
      </x:c>
      <x:c r="O808" s="34" t="n">
        <x:v>50</x:v>
      </x:c>
      <x:c r="P808" s="34" t="n">
        <x:v>1</x:v>
      </x:c>
      <x:c r="Q808" s="34" t="n">
        <x:v>50</x:v>
      </x:c>
      <x:c r="R808" s="33" t="n">
        <x:v>29</x:v>
      </x:c>
      <x:c r="S808" s="38" t="n">
        <x:v>1.45</x:v>
      </x:c>
      <x:c r="T808" s="38" t="n">
        <x:v>0.174</x:v>
      </x:c>
      <x:c r="U808" s="38" t="n">
        <x:v>0.05742</x:v>
      </x:c>
      <x:c r="V808" s="38" t="n">
        <x:v>1.21858</x:v>
      </x:c>
      <x:c r="W808" s="38" t="n">
        <x:v>0.54</x:v>
      </x:c>
      <x:c r="X808" s="38" t="n">
        <x:v>0.03533882</x:v>
      </x:c>
      <x:c r="Y808" s="38" t="n">
        <x:v>0.0731148</x:v>
      </x:c>
      <x:c r="Z808" s="38" t="n">
        <x:v>0.25499999999999995</x:v>
      </x:c>
      <x:c r="AA808" s="38" t="n">
        <x:v>0.0875</x:v>
      </x:c>
      <x:c r="AB808" s="38" t="n">
        <x:v>0.0017999999999999997</x:v>
      </x:c>
      <x:c r="AC808" s="38" t="n">
        <x:v>0.22582638</x:v>
      </x:c>
      <x:c r="AD808" s="28" t="n">
        <x:v>0.18531928966501993</x:v>
      </x:c>
    </x:row>
    <x:row r="809">
      <x:c r="A809" s="32" t="n">
        <x:v>45943</x:v>
      </x:c>
      <x:c r="B809" s="32" t="n">
        <x:v>45931</x:v>
      </x:c>
      <x:c r="C809" t="str">
        <x:v>Oct 2025</x:v>
      </x:c>
      <x:c r="D809" t="str">
        <x:v>Actual</x:v>
      </x:c>
      <x:c r="E809" t="str">
        <x:v>DB-102</x:v>
      </x:c>
      <x:c r="F809" t="str">
        <x:v>GlowPatch Balm</x:v>
      </x:c>
      <x:c r="G809" t="str">
        <x:v>Consumable repeat</x:v>
      </x:c>
      <x:c r="H809" t="str">
        <x:v>None</x:v>
      </x:c>
      <x:c r="I809" t="str">
        <x:v>Active</x:v>
      </x:c>
      <x:c r="J809" t="str">
        <x:v>Shopify DTC</x:v>
      </x:c>
      <x:c r="K809" t="str">
        <x:v>Consumer</x:v>
      </x:c>
      <x:c r="L809" t="str">
        <x:v>All Geographies</x:v>
      </x:c>
      <x:c r="M809" s="34" t="n">
        <x:v>4646</x:v>
      </x:c>
      <x:c r="N809" s="28" t="n">
        <x:v>0.04248</x:v>
      </x:c>
      <x:c r="O809" s="34" t="n">
        <x:v>197</x:v>
      </x:c>
      <x:c r="P809" s="34" t="n">
        <x:v>1</x:v>
      </x:c>
      <x:c r="Q809" s="34" t="n">
        <x:v>197</x:v>
      </x:c>
      <x:c r="R809" s="33" t="n">
        <x:v>18</x:v>
      </x:c>
      <x:c r="S809" s="38" t="n">
        <x:v>3.546</x:v>
      </x:c>
      <x:c r="T809" s="38" t="n">
        <x:v>0.28368</x:v>
      </x:c>
      <x:c r="U809" s="38" t="n">
        <x:v>0.081558</x:v>
      </x:c>
      <x:c r="V809" s="38" t="n">
        <x:v>3.180762</x:v>
      </x:c>
      <x:c r="W809" s="38" t="n">
        <x:v>1.0657699999999999</x:v>
      </x:c>
      <x:c r="X809" s="38" t="n">
        <x:v>0.09224209800000001</x:v>
      </x:c>
      <x:c r="Y809" s="38" t="n">
        <x:v>0</x:v>
      </x:c>
      <x:c r="Z809" s="38" t="n">
        <x:v>0.8175500000000001</x:v>
      </x:c>
      <x:c r="AA809" s="38" t="n">
        <x:v>0.32504999999999995</x:v>
      </x:c>
      <x:c r="AB809" s="38" t="n">
        <x:v>0.0011819999999999999</x:v>
      </x:c>
      <x:c r="AC809" s="38" t="n">
        <x:v>0.878967902</x:v>
      </x:c>
      <x:c r="AD809" s="28" t="n">
        <x:v>0.27633878359965314</x:v>
      </x:c>
    </x:row>
    <x:row r="810">
      <x:c r="A810" s="32" t="n">
        <x:v>45943</x:v>
      </x:c>
      <x:c r="B810" s="32" t="n">
        <x:v>45931</x:v>
      </x:c>
      <x:c r="C810" t="str">
        <x:v>Oct 2025</x:v>
      </x:c>
      <x:c r="D810" t="str">
        <x:v>Actual</x:v>
      </x:c>
      <x:c r="E810" t="str">
        <x:v>DB-102</x:v>
      </x:c>
      <x:c r="F810" t="str">
        <x:v>GlowPatch Balm</x:v>
      </x:c>
      <x:c r="G810" t="str">
        <x:v>Consumable repeat</x:v>
      </x:c>
      <x:c r="H810" t="str">
        <x:v>None</x:v>
      </x:c>
      <x:c r="I810" t="str">
        <x:v>Active</x:v>
      </x:c>
      <x:c r="J810" t="str">
        <x:v>Amazon Marketplace</x:v>
      </x:c>
      <x:c r="K810" t="str">
        <x:v>Marketplace Consumer</x:v>
      </x:c>
      <x:c r="L810" t="str">
        <x:v>All Geographies</x:v>
      </x:c>
      <x:c r="M810" s="34" t="n">
        <x:v>2323</x:v>
      </x:c>
      <x:c r="N810" s="28" t="n">
        <x:v>0.050126399999999995</x:v>
      </x:c>
      <x:c r="O810" s="34" t="n">
        <x:v>116</x:v>
      </x:c>
      <x:c r="P810" s="34" t="n">
        <x:v>1</x:v>
      </x:c>
      <x:c r="Q810" s="34" t="n">
        <x:v>116</x:v>
      </x:c>
      <x:c r="R810" s="33" t="n">
        <x:v>18</x:v>
      </x:c>
      <x:c r="S810" s="38" t="n">
        <x:v>2.088</x:v>
      </x:c>
      <x:c r="T810" s="38" t="n">
        <x:v>0.1044</x:v>
      </x:c>
      <x:c r="U810" s="38" t="n">
        <x:v>0.04959</x:v>
      </x:c>
      <x:c r="V810" s="38" t="n">
        <x:v>1.93401</x:v>
      </x:c>
      <x:c r="W810" s="38" t="n">
        <x:v>0.62756</x:v>
      </x:c>
      <x:c r="X810" s="38" t="n">
        <x:v>0</x:v>
      </x:c>
      <x:c r="Y810" s="38" t="n">
        <x:v>0.2901015</x:v>
      </x:c>
      <x:c r="Z810" s="38" t="n">
        <x:v>0.6032000000000001</x:v>
      </x:c>
      <x:c r="AA810" s="38" t="n">
        <x:v>0.24939999999999998</x:v>
      </x:c>
      <x:c r="AB810" s="38" t="n">
        <x:v>0.0006960000000000001</x:v>
      </x:c>
      <x:c r="AC810" s="38" t="n">
        <x:v>0.16305249999999982</x:v>
      </x:c>
      <x:c r="AD810" s="28" t="n">
        <x:v>0.08430799220272896</x:v>
      </x:c>
    </x:row>
    <x:row r="811">
      <x:c r="A811" s="32" t="n">
        <x:v>45943</x:v>
      </x:c>
      <x:c r="B811" s="32" t="n">
        <x:v>45931</x:v>
      </x:c>
      <x:c r="C811" t="str">
        <x:v>Oct 2025</x:v>
      </x:c>
      <x:c r="D811" t="str">
        <x:v>Actual</x:v>
      </x:c>
      <x:c r="E811" t="str">
        <x:v>DB-102</x:v>
      </x:c>
      <x:c r="F811" t="str">
        <x:v>GlowPatch Balm</x:v>
      </x:c>
      <x:c r="G811" t="str">
        <x:v>Consumable repeat</x:v>
      </x:c>
      <x:c r="H811" t="str">
        <x:v>None</x:v>
      </x:c>
      <x:c r="I811" t="str">
        <x:v>Active</x:v>
      </x:c>
      <x:c r="J811" t="str">
        <x:v>Wholesale</x:v>
      </x:c>
      <x:c r="K811" t="str">
        <x:v>Retailer</x:v>
      </x:c>
      <x:c r="L811" t="str">
        <x:v>All Geographies</x:v>
      </x:c>
      <x:c r="M811" s="34" t="n">
        <x:v>1394</x:v>
      </x:c>
      <x:c r="N811" s="28" t="n">
        <x:v>0.023364</x:v>
      </x:c>
      <x:c r="O811" s="34" t="n">
        <x:v>33</x:v>
      </x:c>
      <x:c r="P811" s="34" t="n">
        <x:v>1</x:v>
      </x:c>
      <x:c r="Q811" s="34" t="n">
        <x:v>33</x:v>
      </x:c>
      <x:c r="R811" s="33" t="n">
        <x:v>18</x:v>
      </x:c>
      <x:c r="S811" s="38" t="n">
        <x:v>0.594</x:v>
      </x:c>
      <x:c r="T811" s="38" t="n">
        <x:v>0.20789999999999997</x:v>
      </x:c>
      <x:c r="U811" s="38" t="n">
        <x:v>0.009652500000000001</x:v>
      </x:c>
      <x:c r="V811" s="38" t="n">
        <x:v>0.3764475</x:v>
      </x:c>
      <x:c r="W811" s="38" t="n">
        <x:v>0.17853</x:v>
      </x:c>
      <x:c r="X811" s="38" t="n">
        <x:v>0</x:v>
      </x:c>
      <x:c r="Y811" s="38" t="n">
        <x:v>0</x:v>
      </x:c>
      <x:c r="Z811" s="38" t="n">
        <x:v>0.0759</x:v>
      </x:c>
      <x:c r="AA811" s="38" t="n">
        <x:v>0.028050000000000002</x:v>
      </x:c>
      <x:c r="AB811" s="38" t="n">
        <x:v>0.00019800000000000002</x:v>
      </x:c>
      <x:c r="AC811" s="38" t="n">
        <x:v>0.09376949999999999</x:v>
      </x:c>
      <x:c r="AD811" s="28" t="n">
        <x:v>0.24909051062897214</x:v>
      </x:c>
    </x:row>
    <x:row r="812">
      <x:c r="A812" s="32" t="n">
        <x:v>45943</x:v>
      </x:c>
      <x:c r="B812" s="32" t="n">
        <x:v>45931</x:v>
      </x:c>
      <x:c r="C812" t="str">
        <x:v>Oct 2025</x:v>
      </x:c>
      <x:c r="D812" t="str">
        <x:v>Actual</x:v>
      </x:c>
      <x:c r="E812" t="str">
        <x:v>DB-102</x:v>
      </x:c>
      <x:c r="F812" t="str">
        <x:v>GlowPatch Balm</x:v>
      </x:c>
      <x:c r="G812" t="str">
        <x:v>Consumable repeat</x:v>
      </x:c>
      <x:c r="H812" t="str">
        <x:v>None</x:v>
      </x:c>
      <x:c r="I812" t="str">
        <x:v>Active</x:v>
      </x:c>
      <x:c r="J812" t="str">
        <x:v>TikTok Shop</x:v>
      </x:c>
      <x:c r="K812" t="str">
        <x:v>Social Commerce</x:v>
      </x:c>
      <x:c r="L812" t="str">
        <x:v>All Geographies</x:v>
      </x:c>
      <x:c r="M812" s="34" t="n">
        <x:v>929</x:v>
      </x:c>
      <x:c r="N812" s="28" t="n">
        <x:v>0.0535248</x:v>
      </x:c>
      <x:c r="O812" s="34" t="n">
        <x:v>50</x:v>
      </x:c>
      <x:c r="P812" s="34" t="n">
        <x:v>1</x:v>
      </x:c>
      <x:c r="Q812" s="34" t="n">
        <x:v>50</x:v>
      </x:c>
      <x:c r="R812" s="33" t="n">
        <x:v>18</x:v>
      </x:c>
      <x:c r="S812" s="38" t="n">
        <x:v>0.9</x:v>
      </x:c>
      <x:c r="T812" s="38" t="n">
        <x:v>0.108</x:v>
      </x:c>
      <x:c r="U812" s="38" t="n">
        <x:v>0.0198</x:v>
      </x:c>
      <x:c r="V812" s="38" t="n">
        <x:v>0.7722</x:v>
      </x:c>
      <x:c r="W812" s="38" t="n">
        <x:v>0.2705</x:v>
      </x:c>
      <x:c r="X812" s="38" t="n">
        <x:v>0.022393800000000002</x:v>
      </x:c>
      <x:c r="Y812" s="38" t="n">
        <x:v>0.046332</x:v>
      </x:c>
      <x:c r="Z812" s="38" t="n">
        <x:v>0.25499999999999995</x:v>
      </x:c>
      <x:c r="AA812" s="38" t="n">
        <x:v>0.0875</x:v>
      </x:c>
      <x:c r="AB812" s="38" t="n">
        <x:v>0.00030000000000000003</x:v>
      </x:c>
      <x:c r="AC812" s="38" t="n">
        <x:v>0.0901742000000001</x:v>
      </x:c>
      <x:c r="AD812" s="28" t="n">
        <x:v>0.1167757057757059</x:v>
      </x:c>
    </x:row>
    <x:row r="813">
      <x:c r="A813" s="32" t="n">
        <x:v>45943</x:v>
      </x:c>
      <x:c r="B813" s="32" t="n">
        <x:v>45931</x:v>
      </x:c>
      <x:c r="C813" t="str">
        <x:v>Oct 2025</x:v>
      </x:c>
      <x:c r="D813" t="str">
        <x:v>Actual</x:v>
      </x:c>
      <x:c r="E813" t="str">
        <x:v>DB-103</x:v>
      </x:c>
      <x:c r="F813" t="str">
        <x:v>EmberTrail Camp Mug</x:v>
      </x:c>
      <x:c r="G813" t="str">
        <x:v>One-time purchase</x:v>
      </x:c>
      <x:c r="H813" t="str">
        <x:v>Winter peak</x:v>
      </x:c>
      <x:c r="I813" t="str">
        <x:v>Active</x:v>
      </x:c>
      <x:c r="J813" t="str">
        <x:v>Shopify DTC</x:v>
      </x:c>
      <x:c r="K813" t="str">
        <x:v>Consumer</x:v>
      </x:c>
      <x:c r="L813" t="str">
        <x:v>All Geographies</x:v>
      </x:c>
      <x:c r="M813" s="34" t="n">
        <x:v>4699</x:v>
      </x:c>
      <x:c r="N813" s="28" t="n">
        <x:v>0.0324</x:v>
      </x:c>
      <x:c r="O813" s="34" t="n">
        <x:v>152</x:v>
      </x:c>
      <x:c r="P813" s="34" t="n">
        <x:v>1</x:v>
      </x:c>
      <x:c r="Q813" s="34" t="n">
        <x:v>152</x:v>
      </x:c>
      <x:c r="R813" s="33" t="n">
        <x:v>34</x:v>
      </x:c>
      <x:c r="S813" s="38" t="n">
        <x:v>5.168</x:v>
      </x:c>
      <x:c r="T813" s="38" t="n">
        <x:v>0.41344000000000003</x:v>
      </x:c>
      <x:c r="U813" s="38" t="n">
        <x:v>0.2615008</x:v>
      </x:c>
      <x:c r="V813" s="38" t="n">
        <x:v>4.493059199999999</x:v>
      </x:c>
      <x:c r="W813" s="38" t="n">
        <x:v>2.07784</x:v>
      </x:c>
      <x:c r="X813" s="38" t="n">
        <x:v>0.1302987168</x:v>
      </x:c>
      <x:c r="Y813" s="38" t="n">
        <x:v>0</x:v>
      </x:c>
      <x:c r="Z813" s="38" t="n">
        <x:v>0.6308</x:v>
      </x:c>
      <x:c r="AA813" s="38" t="n">
        <x:v>0.25079999999999997</x:v>
      </x:c>
      <x:c r="AB813" s="38" t="n">
        <x:v>0.008512</x:v>
      </x:c>
      <x:c r="AC813" s="38" t="n">
        <x:v>1.3948084831999992</x:v>
      </x:c>
      <x:c r="AD813" s="28" t="n">
        <x:v>0.31043625759482524</x:v>
      </x:c>
    </x:row>
    <x:row r="814">
      <x:c r="A814" s="32" t="n">
        <x:v>45943</x:v>
      </x:c>
      <x:c r="B814" s="32" t="n">
        <x:v>45931</x:v>
      </x:c>
      <x:c r="C814" t="str">
        <x:v>Oct 2025</x:v>
      </x:c>
      <x:c r="D814" t="str">
        <x:v>Actual</x:v>
      </x:c>
      <x:c r="E814" t="str">
        <x:v>DB-103</x:v>
      </x:c>
      <x:c r="F814" t="str">
        <x:v>EmberTrail Camp Mug</x:v>
      </x:c>
      <x:c r="G814" t="str">
        <x:v>One-time purchase</x:v>
      </x:c>
      <x:c r="H814" t="str">
        <x:v>Winter peak</x:v>
      </x:c>
      <x:c r="I814" t="str">
        <x:v>Active</x:v>
      </x:c>
      <x:c r="J814" t="str">
        <x:v>Amazon Marketplace</x:v>
      </x:c>
      <x:c r="K814" t="str">
        <x:v>Marketplace Consumer</x:v>
      </x:c>
      <x:c r="L814" t="str">
        <x:v>All Geographies</x:v>
      </x:c>
      <x:c r="M814" s="34" t="n">
        <x:v>2350</x:v>
      </x:c>
      <x:c r="N814" s="28" t="n">
        <x:v>0.038231999999999995</x:v>
      </x:c>
      <x:c r="O814" s="34" t="n">
        <x:v>90</x:v>
      </x:c>
      <x:c r="P814" s="34" t="n">
        <x:v>1</x:v>
      </x:c>
      <x:c r="Q814" s="34" t="n">
        <x:v>90</x:v>
      </x:c>
      <x:c r="R814" s="33" t="n">
        <x:v>34</x:v>
      </x:c>
      <x:c r="S814" s="38" t="n">
        <x:v>3.06</x:v>
      </x:c>
      <x:c r="T814" s="38" t="n">
        <x:v>0.15300000000000002</x:v>
      </x:c>
      <x:c r="U814" s="38" t="n">
        <x:v>0.159885</x:v>
      </x:c>
      <x:c r="V814" s="38" t="n">
        <x:v>2.747115</x:v>
      </x:c>
      <x:c r="W814" s="38" t="n">
        <x:v>1.2303</x:v>
      </x:c>
      <x:c r="X814" s="38" t="n">
        <x:v>0</x:v>
      </x:c>
      <x:c r="Y814" s="38" t="n">
        <x:v>0.41206725</x:v>
      </x:c>
      <x:c r="Z814" s="38" t="n">
        <x:v>0.468</x:v>
      </x:c>
      <x:c r="AA814" s="38" t="n">
        <x:v>0.1935</x:v>
      </x:c>
      <x:c r="AB814" s="38" t="n">
        <x:v>0.00504</x:v>
      </x:c>
      <x:c r="AC814" s="38" t="n">
        <x:v>0.43820775000000006</x:v>
      </x:c>
      <x:c r="AD814" s="28" t="n">
        <x:v>0.15951561911314235</x:v>
      </x:c>
    </x:row>
    <x:row r="815">
      <x:c r="A815" s="32" t="n">
        <x:v>45943</x:v>
      </x:c>
      <x:c r="B815" s="32" t="n">
        <x:v>45931</x:v>
      </x:c>
      <x:c r="C815" t="str">
        <x:v>Oct 2025</x:v>
      </x:c>
      <x:c r="D815" t="str">
        <x:v>Actual</x:v>
      </x:c>
      <x:c r="E815" t="str">
        <x:v>DB-103</x:v>
      </x:c>
      <x:c r="F815" t="str">
        <x:v>EmberTrail Camp Mug</x:v>
      </x:c>
      <x:c r="G815" t="str">
        <x:v>One-time purchase</x:v>
      </x:c>
      <x:c r="H815" t="str">
        <x:v>Winter peak</x:v>
      </x:c>
      <x:c r="I815" t="str">
        <x:v>Active</x:v>
      </x:c>
      <x:c r="J815" t="str">
        <x:v>Wholesale</x:v>
      </x:c>
      <x:c r="K815" t="str">
        <x:v>Retailer</x:v>
      </x:c>
      <x:c r="L815" t="str">
        <x:v>All Geographies</x:v>
      </x:c>
      <x:c r="M815" s="34" t="n">
        <x:v>1410</x:v>
      </x:c>
      <x:c r="N815" s="28" t="n">
        <x:v>0.017820000000000003</x:v>
      </x:c>
      <x:c r="O815" s="34" t="n">
        <x:v>25</x:v>
      </x:c>
      <x:c r="P815" s="34" t="n">
        <x:v>1</x:v>
      </x:c>
      <x:c r="Q815" s="34" t="n">
        <x:v>25</x:v>
      </x:c>
      <x:c r="R815" s="33" t="n">
        <x:v>34</x:v>
      </x:c>
      <x:c r="S815" s="38" t="n">
        <x:v>0.85</x:v>
      </x:c>
      <x:c r="T815" s="38" t="n">
        <x:v>0.2975</x:v>
      </x:c>
      <x:c r="U815" s="38" t="n">
        <x:v>0.0303875</x:v>
      </x:c>
      <x:c r="V815" s="38" t="n">
        <x:v>0.5221125</x:v>
      </x:c>
      <x:c r="W815" s="38" t="n">
        <x:v>0.34175</x:v>
      </x:c>
      <x:c r="X815" s="38" t="n">
        <x:v>0</x:v>
      </x:c>
      <x:c r="Y815" s="38" t="n">
        <x:v>0</x:v>
      </x:c>
      <x:c r="Z815" s="38" t="n">
        <x:v>0.057499999999999996</x:v>
      </x:c>
      <x:c r="AA815" s="38" t="n">
        <x:v>0.02125</x:v>
      </x:c>
      <x:c r="AB815" s="38" t="n">
        <x:v>0.0014000000000000002</x:v>
      </x:c>
      <x:c r="AC815" s="38" t="n">
        <x:v>0.10021249999999998</x:v>
      </x:c>
      <x:c r="AD815" s="28" t="n">
        <x:v>0.19193660370130955</x:v>
      </x:c>
    </x:row>
    <x:row r="816">
      <x:c r="A816" s="32" t="n">
        <x:v>45943</x:v>
      </x:c>
      <x:c r="B816" s="32" t="n">
        <x:v>45931</x:v>
      </x:c>
      <x:c r="C816" t="str">
        <x:v>Oct 2025</x:v>
      </x:c>
      <x:c r="D816" t="str">
        <x:v>Actual</x:v>
      </x:c>
      <x:c r="E816" t="str">
        <x:v>DB-103</x:v>
      </x:c>
      <x:c r="F816" t="str">
        <x:v>EmberTrail Camp Mug</x:v>
      </x:c>
      <x:c r="G816" t="str">
        <x:v>One-time purchase</x:v>
      </x:c>
      <x:c r="H816" t="str">
        <x:v>Winter peak</x:v>
      </x:c>
      <x:c r="I816" t="str">
        <x:v>Active</x:v>
      </x:c>
      <x:c r="J816" t="str">
        <x:v>TikTok Shop</x:v>
      </x:c>
      <x:c r="K816" t="str">
        <x:v>Social Commerce</x:v>
      </x:c>
      <x:c r="L816" t="str">
        <x:v>All Geographies</x:v>
      </x:c>
      <x:c r="M816" s="34" t="n">
        <x:v>940</x:v>
      </x:c>
      <x:c r="N816" s="28" t="n">
        <x:v>0.040824</x:v>
      </x:c>
      <x:c r="O816" s="34" t="n">
        <x:v>38</x:v>
      </x:c>
      <x:c r="P816" s="34" t="n">
        <x:v>1</x:v>
      </x:c>
      <x:c r="Q816" s="34" t="n">
        <x:v>38</x:v>
      </x:c>
      <x:c r="R816" s="33" t="n">
        <x:v>34</x:v>
      </x:c>
      <x:c r="S816" s="38" t="n">
        <x:v>1.292</x:v>
      </x:c>
      <x:c r="T816" s="38" t="n">
        <x:v>0.15504</x:v>
      </x:c>
      <x:c r="U816" s="38" t="n">
        <x:v>0.0625328</x:v>
      </x:c>
      <x:c r="V816" s="38" t="n">
        <x:v>1.0744272</x:v>
      </x:c>
      <x:c r="W816" s="38" t="n">
        <x:v>0.51946</x:v>
      </x:c>
      <x:c r="X816" s="38" t="n">
        <x:v>0.0311583888</x:v>
      </x:c>
      <x:c r="Y816" s="38" t="n">
        <x:v>0.064465632</x:v>
      </x:c>
      <x:c r="Z816" s="38" t="n">
        <x:v>0.19379999999999997</x:v>
      </x:c>
      <x:c r="AA816" s="38" t="n">
        <x:v>0.0665</x:v>
      </x:c>
      <x:c r="AB816" s="38" t="n">
        <x:v>0.002128</x:v>
      </x:c>
      <x:c r="AC816" s="38" t="n">
        <x:v>0.19691517919999993</x:v>
      </x:c>
      <x:c r="AD816" s="28" t="n">
        <x:v>0.1832745663922134</x:v>
      </x:c>
    </x:row>
    <x:row r="817">
      <x:c r="A817" s="32" t="n">
        <x:v>45943</x:v>
      </x:c>
      <x:c r="B817" s="32" t="n">
        <x:v>45931</x:v>
      </x:c>
      <x:c r="C817" t="str">
        <x:v>Oct 2025</x:v>
      </x:c>
      <x:c r="D817" t="str">
        <x:v>Actual</x:v>
      </x:c>
      <x:c r="E817" t="str">
        <x:v>DB-104</x:v>
      </x:c>
      <x:c r="F817" t="str">
        <x:v>SunNest Cooling Towel</x:v>
      </x:c>
      <x:c r="G817" t="str">
        <x:v>Consumable repeat</x:v>
      </x:c>
      <x:c r="H817" t="str">
        <x:v>Summer peak</x:v>
      </x:c>
      <x:c r="I817" t="str">
        <x:v>Active</x:v>
      </x:c>
      <x:c r="J817" t="str">
        <x:v>Shopify DTC</x:v>
      </x:c>
      <x:c r="K817" t="str">
        <x:v>Consumer</x:v>
      </x:c>
      <x:c r="L817" t="str">
        <x:v>All Geographies</x:v>
      </x:c>
      <x:c r="M817" s="34" t="n">
        <x:v>3310</x:v>
      </x:c>
      <x:c r="N817" s="28" t="n">
        <x:v>0.03312</x:v>
      </x:c>
      <x:c r="O817" s="34" t="n">
        <x:v>110</x:v>
      </x:c>
      <x:c r="P817" s="34" t="n">
        <x:v>1</x:v>
      </x:c>
      <x:c r="Q817" s="34" t="n">
        <x:v>110</x:v>
      </x:c>
      <x:c r="R817" s="33" t="n">
        <x:v>42</x:v>
      </x:c>
      <x:c r="S817" s="38" t="n">
        <x:v>4.62</x:v>
      </x:c>
      <x:c r="T817" s="38" t="n">
        <x:v>0.36960000000000004</x:v>
      </x:c>
      <x:c r="U817" s="38" t="n">
        <x:v>0.21252000000000001</x:v>
      </x:c>
      <x:c r="V817" s="38" t="n">
        <x:v>4.03788</x:v>
      </x:c>
      <x:c r="W817" s="38" t="n">
        <x:v>1.6555</x:v>
      </x:c>
      <x:c r="X817" s="38" t="n">
        <x:v>0.11709852000000001</x:v>
      </x:c>
      <x:c r="Y817" s="38" t="n">
        <x:v>0</x:v>
      </x:c>
      <x:c r="Z817" s="38" t="n">
        <x:v>0.4565000000000001</x:v>
      </x:c>
      <x:c r="AA817" s="38" t="n">
        <x:v>0.1815</x:v>
      </x:c>
      <x:c r="AB817" s="38" t="n">
        <x:v>0.0030800000000000003</x:v>
      </x:c>
      <x:c r="AC817" s="38" t="n">
        <x:v>1.6242014800000004</x:v>
      </x:c>
      <x:c r="AD817" s="28" t="n">
        <x:v>0.4022411463441212</x:v>
      </x:c>
    </x:row>
    <x:row r="818">
      <x:c r="A818" s="32" t="n">
        <x:v>45943</x:v>
      </x:c>
      <x:c r="B818" s="32" t="n">
        <x:v>45931</x:v>
      </x:c>
      <x:c r="C818" t="str">
        <x:v>Oct 2025</x:v>
      </x:c>
      <x:c r="D818" t="str">
        <x:v>Actual</x:v>
      </x:c>
      <x:c r="E818" t="str">
        <x:v>DB-104</x:v>
      </x:c>
      <x:c r="F818" t="str">
        <x:v>SunNest Cooling Towel</x:v>
      </x:c>
      <x:c r="G818" t="str">
        <x:v>Consumable repeat</x:v>
      </x:c>
      <x:c r="H818" t="str">
        <x:v>Summer peak</x:v>
      </x:c>
      <x:c r="I818" t="str">
        <x:v>Active</x:v>
      </x:c>
      <x:c r="J818" t="str">
        <x:v>Amazon Marketplace</x:v>
      </x:c>
      <x:c r="K818" t="str">
        <x:v>Marketplace Consumer</x:v>
      </x:c>
      <x:c r="L818" t="str">
        <x:v>All Geographies</x:v>
      </x:c>
      <x:c r="M818" s="34" t="n">
        <x:v>1655</x:v>
      </x:c>
      <x:c r="N818" s="28" t="n">
        <x:v>0.0390816</x:v>
      </x:c>
      <x:c r="O818" s="34" t="n">
        <x:v>65</x:v>
      </x:c>
      <x:c r="P818" s="34" t="n">
        <x:v>1</x:v>
      </x:c>
      <x:c r="Q818" s="34" t="n">
        <x:v>65</x:v>
      </x:c>
      <x:c r="R818" s="33" t="n">
        <x:v>42</x:v>
      </x:c>
      <x:c r="S818" s="38" t="n">
        <x:v>2.73</x:v>
      </x:c>
      <x:c r="T818" s="38" t="n">
        <x:v>0.1365</x:v>
      </x:c>
      <x:c r="U818" s="38" t="n">
        <x:v>0.129675</x:v>
      </x:c>
      <x:c r="V818" s="38" t="n">
        <x:v>2.463825</x:v>
      </x:c>
      <x:c r="W818" s="38" t="n">
        <x:v>0.97825</x:v>
      </x:c>
      <x:c r="X818" s="38" t="n">
        <x:v>0</x:v>
      </x:c>
      <x:c r="Y818" s="38" t="n">
        <x:v>0.36957375</x:v>
      </x:c>
      <x:c r="Z818" s="38" t="n">
        <x:v>0.338</x:v>
      </x:c>
      <x:c r="AA818" s="38" t="n">
        <x:v>0.13975</x:v>
      </x:c>
      <x:c r="AB818" s="38" t="n">
        <x:v>0.0018199999999999998</x:v>
      </x:c>
      <x:c r="AC818" s="38" t="n">
        <x:v>0.6364312499999997</x:v>
      </x:c>
      <x:c r="AD818" s="28" t="n">
        <x:v>0.2583102493074791</x:v>
      </x:c>
    </x:row>
    <x:row r="819">
      <x:c r="A819" s="32" t="n">
        <x:v>45943</x:v>
      </x:c>
      <x:c r="B819" s="32" t="n">
        <x:v>45931</x:v>
      </x:c>
      <x:c r="C819" t="str">
        <x:v>Oct 2025</x:v>
      </x:c>
      <x:c r="D819" t="str">
        <x:v>Actual</x:v>
      </x:c>
      <x:c r="E819" t="str">
        <x:v>DB-104</x:v>
      </x:c>
      <x:c r="F819" t="str">
        <x:v>SunNest Cooling Towel</x:v>
      </x:c>
      <x:c r="G819" t="str">
        <x:v>Consumable repeat</x:v>
      </x:c>
      <x:c r="H819" t="str">
        <x:v>Summer peak</x:v>
      </x:c>
      <x:c r="I819" t="str">
        <x:v>Active</x:v>
      </x:c>
      <x:c r="J819" t="str">
        <x:v>Wholesale</x:v>
      </x:c>
      <x:c r="K819" t="str">
        <x:v>Retailer</x:v>
      </x:c>
      <x:c r="L819" t="str">
        <x:v>All Geographies</x:v>
      </x:c>
      <x:c r="M819" s="34" t="n">
        <x:v>993</x:v>
      </x:c>
      <x:c r="N819" s="28" t="n">
        <x:v>0.018216000000000003</x:v>
      </x:c>
      <x:c r="O819" s="34" t="n">
        <x:v>18</x:v>
      </x:c>
      <x:c r="P819" s="34" t="n">
        <x:v>1</x:v>
      </x:c>
      <x:c r="Q819" s="34" t="n">
        <x:v>18</x:v>
      </x:c>
      <x:c r="R819" s="33" t="n">
        <x:v>42</x:v>
      </x:c>
      <x:c r="S819" s="38" t="n">
        <x:v>0.756</x:v>
      </x:c>
      <x:c r="T819" s="38" t="n">
        <x:v>0.2646</x:v>
      </x:c>
      <x:c r="U819" s="38" t="n">
        <x:v>0.02457</x:v>
      </x:c>
      <x:c r="V819" s="38" t="n">
        <x:v>0.46683</x:v>
      </x:c>
      <x:c r="W819" s="38" t="n">
        <x:v>0.27090000000000003</x:v>
      </x:c>
      <x:c r="X819" s="38" t="n">
        <x:v>0</x:v>
      </x:c>
      <x:c r="Y819" s="38" t="n">
        <x:v>0</x:v>
      </x:c>
      <x:c r="Z819" s="38" t="n">
        <x:v>0.0414</x:v>
      </x:c>
      <x:c r="AA819" s="38" t="n">
        <x:v>0.0153</x:v>
      </x:c>
      <x:c r="AB819" s="38" t="n">
        <x:v>0.000504</x:v>
      </x:c>
      <x:c r="AC819" s="38" t="n">
        <x:v>0.138726</x:v>
      </x:c>
      <x:c r="AD819" s="28" t="n">
        <x:v>0.297165991902834</x:v>
      </x:c>
    </x:row>
    <x:row r="820">
      <x:c r="A820" s="32" t="n">
        <x:v>45943</x:v>
      </x:c>
      <x:c r="B820" s="32" t="n">
        <x:v>45931</x:v>
      </x:c>
      <x:c r="C820" t="str">
        <x:v>Oct 2025</x:v>
      </x:c>
      <x:c r="D820" t="str">
        <x:v>Actual</x:v>
      </x:c>
      <x:c r="E820" t="str">
        <x:v>DB-104</x:v>
      </x:c>
      <x:c r="F820" t="str">
        <x:v>SunNest Cooling Towel</x:v>
      </x:c>
      <x:c r="G820" t="str">
        <x:v>Consumable repeat</x:v>
      </x:c>
      <x:c r="H820" t="str">
        <x:v>Summer peak</x:v>
      </x:c>
      <x:c r="I820" t="str">
        <x:v>Active</x:v>
      </x:c>
      <x:c r="J820" t="str">
        <x:v>TikTok Shop</x:v>
      </x:c>
      <x:c r="K820" t="str">
        <x:v>Social Commerce</x:v>
      </x:c>
      <x:c r="L820" t="str">
        <x:v>All Geographies</x:v>
      </x:c>
      <x:c r="M820" s="34" t="n">
        <x:v>662</x:v>
      </x:c>
      <x:c r="N820" s="28" t="n">
        <x:v>0.0417312</x:v>
      </x:c>
      <x:c r="O820" s="34" t="n">
        <x:v>28</x:v>
      </x:c>
      <x:c r="P820" s="34" t="n">
        <x:v>1</x:v>
      </x:c>
      <x:c r="Q820" s="34" t="n">
        <x:v>28</x:v>
      </x:c>
      <x:c r="R820" s="33" t="n">
        <x:v>42</x:v>
      </x:c>
      <x:c r="S820" s="38" t="n">
        <x:v>1.176</x:v>
      </x:c>
      <x:c r="T820" s="38" t="n">
        <x:v>0.14112</x:v>
      </x:c>
      <x:c r="U820" s="38" t="n">
        <x:v>0.051744000000000005</x:v>
      </x:c>
      <x:c r="V820" s="38" t="n">
        <x:v>0.983136</x:v>
      </x:c>
      <x:c r="W820" s="38" t="n">
        <x:v>0.42140000000000005</x:v>
      </x:c>
      <x:c r="X820" s="38" t="n">
        <x:v>0.028510944000000003</x:v>
      </x:c>
      <x:c r="Y820" s="38" t="n">
        <x:v>0.05898816</x:v>
      </x:c>
      <x:c r="Z820" s="38" t="n">
        <x:v>0.14279999999999998</x:v>
      </x:c>
      <x:c r="AA820" s="38" t="n">
        <x:v>0.049</x:v>
      </x:c>
      <x:c r="AB820" s="38" t="n">
        <x:v>0.0007840000000000001</x:v>
      </x:c>
      <x:c r="AC820" s="38" t="n">
        <x:v>0.28165289600000004</x:v>
      </x:c>
      <x:c r="AD820" s="28" t="n">
        <x:v>0.28648416495784923</x:v>
      </x:c>
    </x:row>
    <x:row r="821">
      <x:c r="A821" s="32" t="n">
        <x:v>45943</x:v>
      </x:c>
      <x:c r="B821" s="32" t="n">
        <x:v>45931</x:v>
      </x:c>
      <x:c r="C821" t="str">
        <x:v>Oct 2025</x:v>
      </x:c>
      <x:c r="D821" t="str">
        <x:v>Actual</x:v>
      </x:c>
      <x:c r="E821" t="str">
        <x:v>DB-105</x:v>
      </x:c>
      <x:c r="F821" t="str">
        <x:v>DreamFuel Refill Pack</x:v>
      </x:c>
      <x:c r="G821" t="str">
        <x:v>Subscription</x:v>
      </x:c>
      <x:c r="H821" t="str">
        <x:v>None</x:v>
      </x:c>
      <x:c r="I821" t="str">
        <x:v>Active</x:v>
      </x:c>
      <x:c r="J821" t="str">
        <x:v>Shopify DTC</x:v>
      </x:c>
      <x:c r="K821" t="str">
        <x:v>Consumer</x:v>
      </x:c>
      <x:c r="L821" t="str">
        <x:v>All Geographies</x:v>
      </x:c>
      <x:c r="M821" s="34" t="n">
        <x:v>3982</x:v>
      </x:c>
      <x:c r="N821" s="28" t="n">
        <x:v>0.03888</x:v>
      </x:c>
      <x:c r="O821" s="34" t="n">
        <x:v>155</x:v>
      </x:c>
      <x:c r="P821" s="34" t="n">
        <x:v>1</x:v>
      </x:c>
      <x:c r="Q821" s="34" t="n">
        <x:v>155</x:v>
      </x:c>
      <x:c r="R821" s="33" t="n">
        <x:v>56</x:v>
      </x:c>
      <x:c r="S821" s="38" t="n">
        <x:v>8.68</x:v>
      </x:c>
      <x:c r="T821" s="38" t="n">
        <x:v>0.6944</x:v>
      </x:c>
      <x:c r="U821" s="38" t="n">
        <x:v>0.159712</x:v>
      </x:c>
      <x:c r="V821" s="38" t="n">
        <x:v>7.825888</x:v>
      </x:c>
      <x:c r="W821" s="38" t="n">
        <x:v>2.8861000000000003</x:v>
      </x:c>
      <x:c r="X821" s="38" t="n">
        <x:v>0.226950752</x:v>
      </x:c>
      <x:c r="Y821" s="38" t="n">
        <x:v>0</x:v>
      </x:c>
      <x:c r="Z821" s="38" t="n">
        <x:v>0.64325</x:v>
      </x:c>
      <x:c r="AA821" s="38" t="n">
        <x:v>0.25575</x:v>
      </x:c>
      <x:c r="AB821" s="38" t="n">
        <x:v>0.000558</x:v>
      </x:c>
      <x:c r="AC821" s="38" t="n">
        <x:v>3.8132792480000006</x:v>
      </x:c>
      <x:c r="AD821" s="28" t="n">
        <x:v>0.48726473570794787</x:v>
      </x:c>
    </x:row>
    <x:row r="822">
      <x:c r="A822" s="32" t="n">
        <x:v>45943</x:v>
      </x:c>
      <x:c r="B822" s="32" t="n">
        <x:v>45931</x:v>
      </x:c>
      <x:c r="C822" t="str">
        <x:v>Oct 2025</x:v>
      </x:c>
      <x:c r="D822" t="str">
        <x:v>Actual</x:v>
      </x:c>
      <x:c r="E822" t="str">
        <x:v>DB-105</x:v>
      </x:c>
      <x:c r="F822" t="str">
        <x:v>DreamFuel Refill Pack</x:v>
      </x:c>
      <x:c r="G822" t="str">
        <x:v>Subscription</x:v>
      </x:c>
      <x:c r="H822" t="str">
        <x:v>None</x:v>
      </x:c>
      <x:c r="I822" t="str">
        <x:v>Active</x:v>
      </x:c>
      <x:c r="J822" t="str">
        <x:v>Amazon Marketplace</x:v>
      </x:c>
      <x:c r="K822" t="str">
        <x:v>Marketplace Consumer</x:v>
      </x:c>
      <x:c r="L822" t="str">
        <x:v>All Geographies</x:v>
      </x:c>
      <x:c r="M822" s="34" t="n">
        <x:v>1991</x:v>
      </x:c>
      <x:c r="N822" s="28" t="n">
        <x:v>0.0458784</x:v>
      </x:c>
      <x:c r="O822" s="34" t="n">
        <x:v>91</x:v>
      </x:c>
      <x:c r="P822" s="34" t="n">
        <x:v>1</x:v>
      </x:c>
      <x:c r="Q822" s="34" t="n">
        <x:v>91</x:v>
      </x:c>
      <x:c r="R822" s="33" t="n">
        <x:v>56</x:v>
      </x:c>
      <x:c r="S822" s="38" t="n">
        <x:v>5.096</x:v>
      </x:c>
      <x:c r="T822" s="38" t="n">
        <x:v>0.2548</x:v>
      </x:c>
      <x:c r="U822" s="38" t="n">
        <x:v>0.096824</x:v>
      </x:c>
      <x:c r="V822" s="38" t="n">
        <x:v>4.744376</x:v>
      </x:c>
      <x:c r="W822" s="38" t="n">
        <x:v>1.69442</x:v>
      </x:c>
      <x:c r="X822" s="38" t="n">
        <x:v>0</x:v>
      </x:c>
      <x:c r="Y822" s="38" t="n">
        <x:v>0.7116564</x:v>
      </x:c>
      <x:c r="Z822" s="38" t="n">
        <x:v>0.4732</x:v>
      </x:c>
      <x:c r="AA822" s="38" t="n">
        <x:v>0.19565000000000002</x:v>
      </x:c>
      <x:c r="AB822" s="38" t="n">
        <x:v>0.0003276</x:v>
      </x:c>
      <x:c r="AC822" s="38" t="n">
        <x:v>1.6691219999999998</x:v>
      </x:c>
      <x:c r="AD822" s="28" t="n">
        <x:v>0.3518106490716587</x:v>
      </x:c>
    </x:row>
    <x:row r="823">
      <x:c r="A823" s="32" t="n">
        <x:v>45943</x:v>
      </x:c>
      <x:c r="B823" s="32" t="n">
        <x:v>45931</x:v>
      </x:c>
      <x:c r="C823" t="str">
        <x:v>Oct 2025</x:v>
      </x:c>
      <x:c r="D823" t="str">
        <x:v>Actual</x:v>
      </x:c>
      <x:c r="E823" t="str">
        <x:v>DB-105</x:v>
      </x:c>
      <x:c r="F823" t="str">
        <x:v>DreamFuel Refill Pack</x:v>
      </x:c>
      <x:c r="G823" t="str">
        <x:v>Subscription</x:v>
      </x:c>
      <x:c r="H823" t="str">
        <x:v>None</x:v>
      </x:c>
      <x:c r="I823" t="str">
        <x:v>Active</x:v>
      </x:c>
      <x:c r="J823" t="str">
        <x:v>Wholesale</x:v>
      </x:c>
      <x:c r="K823" t="str">
        <x:v>Retailer</x:v>
      </x:c>
      <x:c r="L823" t="str">
        <x:v>All Geographies</x:v>
      </x:c>
      <x:c r="M823" s="34" t="n">
        <x:v>1195</x:v>
      </x:c>
      <x:c r="N823" s="28" t="n">
        <x:v>0.021384000000000004</x:v>
      </x:c>
      <x:c r="O823" s="34" t="n">
        <x:v>26</x:v>
      </x:c>
      <x:c r="P823" s="34" t="n">
        <x:v>1</x:v>
      </x:c>
      <x:c r="Q823" s="34" t="n">
        <x:v>26</x:v>
      </x:c>
      <x:c r="R823" s="33" t="n">
        <x:v>56</x:v>
      </x:c>
      <x:c r="S823" s="38" t="n">
        <x:v>1.456</x:v>
      </x:c>
      <x:c r="T823" s="38" t="n">
        <x:v>0.5095999999999999</x:v>
      </x:c>
      <x:c r="U823" s="38" t="n">
        <x:v>0.018928</x:v>
      </x:c>
      <x:c r="V823" s="38" t="n">
        <x:v>0.9274720000000001</x:v>
      </x:c>
      <x:c r="W823" s="38" t="n">
        <x:v>0.48412</x:v>
      </x:c>
      <x:c r="X823" s="38" t="n">
        <x:v>0</x:v>
      </x:c>
      <x:c r="Y823" s="38" t="n">
        <x:v>0</x:v>
      </x:c>
      <x:c r="Z823" s="38" t="n">
        <x:v>0.0598</x:v>
      </x:c>
      <x:c r="AA823" s="38" t="n">
        <x:v>0.022099999999999998</x:v>
      </x:c>
      <x:c r="AB823" s="38" t="n">
        <x:v>0.0000936</x:v>
      </x:c>
      <x:c r="AC823" s="38" t="n">
        <x:v>0.3613584</x:v>
      </x:c>
      <x:c r="AD823" s="28" t="n">
        <x:v>0.38961650594303654</x:v>
      </x:c>
    </x:row>
    <x:row r="824">
      <x:c r="A824" s="32" t="n">
        <x:v>45943</x:v>
      </x:c>
      <x:c r="B824" s="32" t="n">
        <x:v>45931</x:v>
      </x:c>
      <x:c r="C824" t="str">
        <x:v>Oct 2025</x:v>
      </x:c>
      <x:c r="D824" t="str">
        <x:v>Actual</x:v>
      </x:c>
      <x:c r="E824" t="str">
        <x:v>DB-105</x:v>
      </x:c>
      <x:c r="F824" t="str">
        <x:v>DreamFuel Refill Pack</x:v>
      </x:c>
      <x:c r="G824" t="str">
        <x:v>Subscription</x:v>
      </x:c>
      <x:c r="H824" t="str">
        <x:v>None</x:v>
      </x:c>
      <x:c r="I824" t="str">
        <x:v>Active</x:v>
      </x:c>
      <x:c r="J824" t="str">
        <x:v>TikTok Shop</x:v>
      </x:c>
      <x:c r="K824" t="str">
        <x:v>Social Commerce</x:v>
      </x:c>
      <x:c r="L824" t="str">
        <x:v>All Geographies</x:v>
      </x:c>
      <x:c r="M824" s="34" t="n">
        <x:v>796</x:v>
      </x:c>
      <x:c r="N824" s="28" t="n">
        <x:v>0.0489888</x:v>
      </x:c>
      <x:c r="O824" s="34" t="n">
        <x:v>39</x:v>
      </x:c>
      <x:c r="P824" s="34" t="n">
        <x:v>1</x:v>
      </x:c>
      <x:c r="Q824" s="34" t="n">
        <x:v>39</x:v>
      </x:c>
      <x:c r="R824" s="33" t="n">
        <x:v>56</x:v>
      </x:c>
      <x:c r="S824" s="38" t="n">
        <x:v>2.184</x:v>
      </x:c>
      <x:c r="T824" s="38" t="n">
        <x:v>0.26208000000000004</x:v>
      </x:c>
      <x:c r="U824" s="38" t="n">
        <x:v>0.038438400000000005</x:v>
      </x:c>
      <x:c r="V824" s="38" t="n">
        <x:v>1.8834816</x:v>
      </x:c>
      <x:c r="W824" s="38" t="n">
        <x:v>0.72618</x:v>
      </x:c>
      <x:c r="X824" s="38" t="n">
        <x:v>0.054620966400000005</x:v>
      </x:c>
      <x:c r="Y824" s="38" t="n">
        <x:v>0.113008896</x:v>
      </x:c>
      <x:c r="Z824" s="38" t="n">
        <x:v>0.19889999999999997</x:v>
      </x:c>
      <x:c r="AA824" s="38" t="n">
        <x:v>0.06825</x:v>
      </x:c>
      <x:c r="AB824" s="38" t="n">
        <x:v>0.0001404</x:v>
      </x:c>
      <x:c r="AC824" s="38" t="n">
        <x:v>0.7223813376000001</x:v>
      </x:c>
      <x:c r="AD824" s="28" t="n">
        <x:v>0.38353511794328127</x:v>
      </x:c>
    </x:row>
    <x:row r="825">
      <x:c r="A825" s="32" t="n">
        <x:v>45950</x:v>
      </x:c>
      <x:c r="B825" s="32" t="n">
        <x:v>45931</x:v>
      </x:c>
      <x:c r="C825" t="str">
        <x:v>Oct 2025</x:v>
      </x:c>
      <x:c r="D825" t="str">
        <x:v>Actual</x:v>
      </x:c>
      <x:c r="E825" t="str">
        <x:v>DB-101</x:v>
      </x:c>
      <x:c r="F825" t="str">
        <x:v>AeroSip Bottle</x:v>
      </x:c>
      <x:c r="G825" t="str">
        <x:v>One-time purchase</x:v>
      </x:c>
      <x:c r="H825" t="str">
        <x:v>None</x:v>
      </x:c>
      <x:c r="I825" t="str">
        <x:v>Active</x:v>
      </x:c>
      <x:c r="J825" t="str">
        <x:v>Shopify DTC</x:v>
      </x:c>
      <x:c r="K825" t="str">
        <x:v>Consumer</x:v>
      </x:c>
      <x:c r="L825" t="str">
        <x:v>All Geographies</x:v>
      </x:c>
      <x:c r="M825" s="34" t="n">
        <x:v>5773</x:v>
      </x:c>
      <x:c r="N825" s="28" t="n">
        <x:v>0.034199999999999994</x:v>
      </x:c>
      <x:c r="O825" s="34" t="n">
        <x:v>197</x:v>
      </x:c>
      <x:c r="P825" s="34" t="n">
        <x:v>1</x:v>
      </x:c>
      <x:c r="Q825" s="34" t="n">
        <x:v>197</x:v>
      </x:c>
      <x:c r="R825" s="33" t="n">
        <x:v>29</x:v>
      </x:c>
      <x:c r="S825" s="38" t="n">
        <x:v>5.713</x:v>
      </x:c>
      <x:c r="T825" s="38" t="n">
        <x:v>0.45704</x:v>
      </x:c>
      <x:c r="U825" s="38" t="n">
        <x:v>0.23651819999999998</x:v>
      </x:c>
      <x:c r="V825" s="38" t="n">
        <x:v>5.0194418</x:v>
      </x:c>
      <x:c r="W825" s="38" t="n">
        <x:v>2.1276</x:v>
      </x:c>
      <x:c r="X825" s="38" t="n">
        <x:v>0.1455638122</x:v>
      </x:c>
      <x:c r="Y825" s="38" t="n">
        <x:v>0</x:v>
      </x:c>
      <x:c r="Z825" s="38" t="n">
        <x:v>0.8175500000000001</x:v>
      </x:c>
      <x:c r="AA825" s="38" t="n">
        <x:v>0.32504999999999995</x:v>
      </x:c>
      <x:c r="AB825" s="38" t="n">
        <x:v>0.007091999999999999</x:v>
      </x:c>
      <x:c r="AC825" s="38" t="n">
        <x:v>1.5965859877999997</x:v>
      </x:c>
      <x:c r="AD825" s="28" t="n">
        <x:v>0.31808038650831644</x:v>
      </x:c>
    </x:row>
    <x:row r="826">
      <x:c r="A826" s="32" t="n">
        <x:v>45950</x:v>
      </x:c>
      <x:c r="B826" s="32" t="n">
        <x:v>45931</x:v>
      </x:c>
      <x:c r="C826" t="str">
        <x:v>Oct 2025</x:v>
      </x:c>
      <x:c r="D826" t="str">
        <x:v>Actual</x:v>
      </x:c>
      <x:c r="E826" t="str">
        <x:v>DB-101</x:v>
      </x:c>
      <x:c r="F826" t="str">
        <x:v>AeroSip Bottle</x:v>
      </x:c>
      <x:c r="G826" t="str">
        <x:v>One-time purchase</x:v>
      </x:c>
      <x:c r="H826" t="str">
        <x:v>None</x:v>
      </x:c>
      <x:c r="I826" t="str">
        <x:v>Active</x:v>
      </x:c>
      <x:c r="J826" t="str">
        <x:v>Amazon Marketplace</x:v>
      </x:c>
      <x:c r="K826" t="str">
        <x:v>Marketplace Consumer</x:v>
      </x:c>
      <x:c r="L826" t="str">
        <x:v>All Geographies</x:v>
      </x:c>
      <x:c r="M826" s="34" t="n">
        <x:v>2887</x:v>
      </x:c>
      <x:c r="N826" s="28" t="n">
        <x:v>0.040355999999999996</x:v>
      </x:c>
      <x:c r="O826" s="34" t="n">
        <x:v>117</x:v>
      </x:c>
      <x:c r="P826" s="34" t="n">
        <x:v>1</x:v>
      </x:c>
      <x:c r="Q826" s="34" t="n">
        <x:v>117</x:v>
      </x:c>
      <x:c r="R826" s="33" t="n">
        <x:v>29</x:v>
      </x:c>
      <x:c r="S826" s="38" t="n">
        <x:v>3.393</x:v>
      </x:c>
      <x:c r="T826" s="38" t="n">
        <x:v>0.16965</x:v>
      </x:c>
      <x:c r="U826" s="38" t="n">
        <x:v>0.14505074999999998</x:v>
      </x:c>
      <x:c r="V826" s="38" t="n">
        <x:v>3.07829925</x:v>
      </x:c>
      <x:c r="W826" s="38" t="n">
        <x:v>1.2636</x:v>
      </x:c>
      <x:c r="X826" s="38" t="n">
        <x:v>0</x:v>
      </x:c>
      <x:c r="Y826" s="38" t="n">
        <x:v>0.4617448875</x:v>
      </x:c>
      <x:c r="Z826" s="38" t="n">
        <x:v>0.6083999999999999</x:v>
      </x:c>
      <x:c r="AA826" s="38" t="n">
        <x:v>0.25155</x:v>
      </x:c>
      <x:c r="AB826" s="38" t="n">
        <x:v>0.0042120000000000005</x:v>
      </x:c>
      <x:c r="AC826" s="38" t="n">
        <x:v>0.4887923625000003</x:v>
      </x:c>
      <x:c r="AD826" s="28" t="n">
        <x:v>0.15878649955815707</x:v>
      </x:c>
    </x:row>
    <x:row r="827">
      <x:c r="A827" s="32" t="n">
        <x:v>45950</x:v>
      </x:c>
      <x:c r="B827" s="32" t="n">
        <x:v>45931</x:v>
      </x:c>
      <x:c r="C827" t="str">
        <x:v>Oct 2025</x:v>
      </x:c>
      <x:c r="D827" t="str">
        <x:v>Actual</x:v>
      </x:c>
      <x:c r="E827" t="str">
        <x:v>DB-101</x:v>
      </x:c>
      <x:c r="F827" t="str">
        <x:v>AeroSip Bottle</x:v>
      </x:c>
      <x:c r="G827" t="str">
        <x:v>One-time purchase</x:v>
      </x:c>
      <x:c r="H827" t="str">
        <x:v>None</x:v>
      </x:c>
      <x:c r="I827" t="str">
        <x:v>Active</x:v>
      </x:c>
      <x:c r="J827" t="str">
        <x:v>Wholesale</x:v>
      </x:c>
      <x:c r="K827" t="str">
        <x:v>Retailer</x:v>
      </x:c>
      <x:c r="L827" t="str">
        <x:v>All Geographies</x:v>
      </x:c>
      <x:c r="M827" s="34" t="n">
        <x:v>1732</x:v>
      </x:c>
      <x:c r="N827" s="28" t="n">
        <x:v>0.01881</x:v>
      </x:c>
      <x:c r="O827" s="34" t="n">
        <x:v>33</x:v>
      </x:c>
      <x:c r="P827" s="34" t="n">
        <x:v>1</x:v>
      </x:c>
      <x:c r="Q827" s="34" t="n">
        <x:v>33</x:v>
      </x:c>
      <x:c r="R827" s="33" t="n">
        <x:v>29</x:v>
      </x:c>
      <x:c r="S827" s="38" t="n">
        <x:v>0.957</x:v>
      </x:c>
      <x:c r="T827" s="38" t="n">
        <x:v>0.33494999999999997</x:v>
      </x:c>
      <x:c r="U827" s="38" t="n">
        <x:v>0.02799225</x:v>
      </x:c>
      <x:c r="V827" s="38" t="n">
        <x:v>0.5940577499999999</x:v>
      </x:c>
      <x:c r="W827" s="38" t="n">
        <x:v>0.35640000000000005</x:v>
      </x:c>
      <x:c r="X827" s="38" t="n">
        <x:v>0</x:v>
      </x:c>
      <x:c r="Y827" s="38" t="n">
        <x:v>0</x:v>
      </x:c>
      <x:c r="Z827" s="38" t="n">
        <x:v>0.0759</x:v>
      </x:c>
      <x:c r="AA827" s="38" t="n">
        <x:v>0.028050000000000002</x:v>
      </x:c>
      <x:c r="AB827" s="38" t="n">
        <x:v>0.0011880000000000003</x:v>
      </x:c>
      <x:c r="AC827" s="38" t="n">
        <x:v>0.1325197499999999</x:v>
      </x:c>
      <x:c r="AD827" s="28" t="n">
        <x:v>0.2230755343230518</x:v>
      </x:c>
    </x:row>
    <x:row r="828">
      <x:c r="A828" s="32" t="n">
        <x:v>45950</x:v>
      </x:c>
      <x:c r="B828" s="32" t="n">
        <x:v>45931</x:v>
      </x:c>
      <x:c r="C828" t="str">
        <x:v>Oct 2025</x:v>
      </x:c>
      <x:c r="D828" t="str">
        <x:v>Actual</x:v>
      </x:c>
      <x:c r="E828" t="str">
        <x:v>DB-101</x:v>
      </x:c>
      <x:c r="F828" t="str">
        <x:v>AeroSip Bottle</x:v>
      </x:c>
      <x:c r="G828" t="str">
        <x:v>One-time purchase</x:v>
      </x:c>
      <x:c r="H828" t="str">
        <x:v>None</x:v>
      </x:c>
      <x:c r="I828" t="str">
        <x:v>Active</x:v>
      </x:c>
      <x:c r="J828" t="str">
        <x:v>TikTok Shop</x:v>
      </x:c>
      <x:c r="K828" t="str">
        <x:v>Social Commerce</x:v>
      </x:c>
      <x:c r="L828" t="str">
        <x:v>All Geographies</x:v>
      </x:c>
      <x:c r="M828" s="34" t="n">
        <x:v>1155</x:v>
      </x:c>
      <x:c r="N828" s="28" t="n">
        <x:v>0.043092</x:v>
      </x:c>
      <x:c r="O828" s="34" t="n">
        <x:v>50</x:v>
      </x:c>
      <x:c r="P828" s="34" t="n">
        <x:v>1</x:v>
      </x:c>
      <x:c r="Q828" s="34" t="n">
        <x:v>50</x:v>
      </x:c>
      <x:c r="R828" s="33" t="n">
        <x:v>29</x:v>
      </x:c>
      <x:c r="S828" s="38" t="n">
        <x:v>1.45</x:v>
      </x:c>
      <x:c r="T828" s="38" t="n">
        <x:v>0.174</x:v>
      </x:c>
      <x:c r="U828" s="38" t="n">
        <x:v>0.05742</x:v>
      </x:c>
      <x:c r="V828" s="38" t="n">
        <x:v>1.21858</x:v>
      </x:c>
      <x:c r="W828" s="38" t="n">
        <x:v>0.54</x:v>
      </x:c>
      <x:c r="X828" s="38" t="n">
        <x:v>0.03533882</x:v>
      </x:c>
      <x:c r="Y828" s="38" t="n">
        <x:v>0.0731148</x:v>
      </x:c>
      <x:c r="Z828" s="38" t="n">
        <x:v>0.25499999999999995</x:v>
      </x:c>
      <x:c r="AA828" s="38" t="n">
        <x:v>0.0875</x:v>
      </x:c>
      <x:c r="AB828" s="38" t="n">
        <x:v>0.0017999999999999997</x:v>
      </x:c>
      <x:c r="AC828" s="38" t="n">
        <x:v>0.22582638</x:v>
      </x:c>
      <x:c r="AD828" s="28" t="n">
        <x:v>0.18531928966501993</x:v>
      </x:c>
    </x:row>
    <x:row r="829">
      <x:c r="A829" s="32" t="n">
        <x:v>45950</x:v>
      </x:c>
      <x:c r="B829" s="32" t="n">
        <x:v>45931</x:v>
      </x:c>
      <x:c r="C829" t="str">
        <x:v>Oct 2025</x:v>
      </x:c>
      <x:c r="D829" t="str">
        <x:v>Actual</x:v>
      </x:c>
      <x:c r="E829" t="str">
        <x:v>DB-102</x:v>
      </x:c>
      <x:c r="F829" t="str">
        <x:v>GlowPatch Balm</x:v>
      </x:c>
      <x:c r="G829" t="str">
        <x:v>Consumable repeat</x:v>
      </x:c>
      <x:c r="H829" t="str">
        <x:v>None</x:v>
      </x:c>
      <x:c r="I829" t="str">
        <x:v>Active</x:v>
      </x:c>
      <x:c r="J829" t="str">
        <x:v>Shopify DTC</x:v>
      </x:c>
      <x:c r="K829" t="str">
        <x:v>Consumer</x:v>
      </x:c>
      <x:c r="L829" t="str">
        <x:v>All Geographies</x:v>
      </x:c>
      <x:c r="M829" s="34" t="n">
        <x:v>4663</x:v>
      </x:c>
      <x:c r="N829" s="28" t="n">
        <x:v>0.04248</x:v>
      </x:c>
      <x:c r="O829" s="34" t="n">
        <x:v>198</x:v>
      </x:c>
      <x:c r="P829" s="34" t="n">
        <x:v>1</x:v>
      </x:c>
      <x:c r="Q829" s="34" t="n">
        <x:v>198</x:v>
      </x:c>
      <x:c r="R829" s="33" t="n">
        <x:v>18</x:v>
      </x:c>
      <x:c r="S829" s="38" t="n">
        <x:v>3.564</x:v>
      </x:c>
      <x:c r="T829" s="38" t="n">
        <x:v>0.28512</x:v>
      </x:c>
      <x:c r="U829" s="38" t="n">
        <x:v>0.081972</x:v>
      </x:c>
      <x:c r="V829" s="38" t="n">
        <x:v>3.196908</x:v>
      </x:c>
      <x:c r="W829" s="38" t="n">
        <x:v>1.07118</x:v>
      </x:c>
      <x:c r="X829" s="38" t="n">
        <x:v>0.092710332</x:v>
      </x:c>
      <x:c r="Y829" s="38" t="n">
        <x:v>0</x:v>
      </x:c>
      <x:c r="Z829" s="38" t="n">
        <x:v>0.8217000000000001</x:v>
      </x:c>
      <x:c r="AA829" s="38" t="n">
        <x:v>0.3267</x:v>
      </x:c>
      <x:c r="AB829" s="38" t="n">
        <x:v>0.0011880000000000003</x:v>
      </x:c>
      <x:c r="AC829" s="38" t="n">
        <x:v>0.8834296680000002</x:v>
      </x:c>
      <x:c r="AD829" s="28" t="n">
        <x:v>0.27633878359965325</x:v>
      </x:c>
    </x:row>
    <x:row r="830">
      <x:c r="A830" s="32" t="n">
        <x:v>45950</x:v>
      </x:c>
      <x:c r="B830" s="32" t="n">
        <x:v>45931</x:v>
      </x:c>
      <x:c r="C830" t="str">
        <x:v>Oct 2025</x:v>
      </x:c>
      <x:c r="D830" t="str">
        <x:v>Actual</x:v>
      </x:c>
      <x:c r="E830" t="str">
        <x:v>DB-102</x:v>
      </x:c>
      <x:c r="F830" t="str">
        <x:v>GlowPatch Balm</x:v>
      </x:c>
      <x:c r="G830" t="str">
        <x:v>Consumable repeat</x:v>
      </x:c>
      <x:c r="H830" t="str">
        <x:v>None</x:v>
      </x:c>
      <x:c r="I830" t="str">
        <x:v>Active</x:v>
      </x:c>
      <x:c r="J830" t="str">
        <x:v>Amazon Marketplace</x:v>
      </x:c>
      <x:c r="K830" t="str">
        <x:v>Marketplace Consumer</x:v>
      </x:c>
      <x:c r="L830" t="str">
        <x:v>All Geographies</x:v>
      </x:c>
      <x:c r="M830" s="34" t="n">
        <x:v>2331</x:v>
      </x:c>
      <x:c r="N830" s="28" t="n">
        <x:v>0.050126399999999995</x:v>
      </x:c>
      <x:c r="O830" s="34" t="n">
        <x:v>117</x:v>
      </x:c>
      <x:c r="P830" s="34" t="n">
        <x:v>1</x:v>
      </x:c>
      <x:c r="Q830" s="34" t="n">
        <x:v>117</x:v>
      </x:c>
      <x:c r="R830" s="33" t="n">
        <x:v>18</x:v>
      </x:c>
      <x:c r="S830" s="38" t="n">
        <x:v>2.106</x:v>
      </x:c>
      <x:c r="T830" s="38" t="n">
        <x:v>0.1053</x:v>
      </x:c>
      <x:c r="U830" s="38" t="n">
        <x:v>0.05001749999999999</x:v>
      </x:c>
      <x:c r="V830" s="38" t="n">
        <x:v>1.9506824999999997</x:v>
      </x:c>
      <x:c r="W830" s="38" t="n">
        <x:v>0.63297</x:v>
      </x:c>
      <x:c r="X830" s="38" t="n">
        <x:v>0</x:v>
      </x:c>
      <x:c r="Y830" s="38" t="n">
        <x:v>0.2926023749999999</x:v>
      </x:c>
      <x:c r="Z830" s="38" t="n">
        <x:v>0.6083999999999999</x:v>
      </x:c>
      <x:c r="AA830" s="38" t="n">
        <x:v>0.25155</x:v>
      </x:c>
      <x:c r="AB830" s="38" t="n">
        <x:v>0.000702</x:v>
      </x:c>
      <x:c r="AC830" s="38" t="n">
        <x:v>0.1644581249999997</x:v>
      </x:c>
      <x:c r="AD830" s="28" t="n">
        <x:v>0.08430799220272892</x:v>
      </x:c>
    </x:row>
    <x:row r="831">
      <x:c r="A831" s="32" t="n">
        <x:v>45950</x:v>
      </x:c>
      <x:c r="B831" s="32" t="n">
        <x:v>45931</x:v>
      </x:c>
      <x:c r="C831" t="str">
        <x:v>Oct 2025</x:v>
      </x:c>
      <x:c r="D831" t="str">
        <x:v>Actual</x:v>
      </x:c>
      <x:c r="E831" t="str">
        <x:v>DB-102</x:v>
      </x:c>
      <x:c r="F831" t="str">
        <x:v>GlowPatch Balm</x:v>
      </x:c>
      <x:c r="G831" t="str">
        <x:v>Consumable repeat</x:v>
      </x:c>
      <x:c r="H831" t="str">
        <x:v>None</x:v>
      </x:c>
      <x:c r="I831" t="str">
        <x:v>Active</x:v>
      </x:c>
      <x:c r="J831" t="str">
        <x:v>Wholesale</x:v>
      </x:c>
      <x:c r="K831" t="str">
        <x:v>Retailer</x:v>
      </x:c>
      <x:c r="L831" t="str">
        <x:v>All Geographies</x:v>
      </x:c>
      <x:c r="M831" s="34" t="n">
        <x:v>1399</x:v>
      </x:c>
      <x:c r="N831" s="28" t="n">
        <x:v>0.023364</x:v>
      </x:c>
      <x:c r="O831" s="34" t="n">
        <x:v>33</x:v>
      </x:c>
      <x:c r="P831" s="34" t="n">
        <x:v>1</x:v>
      </x:c>
      <x:c r="Q831" s="34" t="n">
        <x:v>33</x:v>
      </x:c>
      <x:c r="R831" s="33" t="n">
        <x:v>18</x:v>
      </x:c>
      <x:c r="S831" s="38" t="n">
        <x:v>0.594</x:v>
      </x:c>
      <x:c r="T831" s="38" t="n">
        <x:v>0.20789999999999997</x:v>
      </x:c>
      <x:c r="U831" s="38" t="n">
        <x:v>0.009652500000000001</x:v>
      </x:c>
      <x:c r="V831" s="38" t="n">
        <x:v>0.3764475</x:v>
      </x:c>
      <x:c r="W831" s="38" t="n">
        <x:v>0.17853</x:v>
      </x:c>
      <x:c r="X831" s="38" t="n">
        <x:v>0</x:v>
      </x:c>
      <x:c r="Y831" s="38" t="n">
        <x:v>0</x:v>
      </x:c>
      <x:c r="Z831" s="38" t="n">
        <x:v>0.0759</x:v>
      </x:c>
      <x:c r="AA831" s="38" t="n">
        <x:v>0.028050000000000002</x:v>
      </x:c>
      <x:c r="AB831" s="38" t="n">
        <x:v>0.00019800000000000002</x:v>
      </x:c>
      <x:c r="AC831" s="38" t="n">
        <x:v>0.09376949999999999</x:v>
      </x:c>
      <x:c r="AD831" s="28" t="n">
        <x:v>0.24909051062897214</x:v>
      </x:c>
    </x:row>
    <x:row r="832">
      <x:c r="A832" s="32" t="n">
        <x:v>45950</x:v>
      </x:c>
      <x:c r="B832" s="32" t="n">
        <x:v>45931</x:v>
      </x:c>
      <x:c r="C832" t="str">
        <x:v>Oct 2025</x:v>
      </x:c>
      <x:c r="D832" t="str">
        <x:v>Actual</x:v>
      </x:c>
      <x:c r="E832" t="str">
        <x:v>DB-102</x:v>
      </x:c>
      <x:c r="F832" t="str">
        <x:v>GlowPatch Balm</x:v>
      </x:c>
      <x:c r="G832" t="str">
        <x:v>Consumable repeat</x:v>
      </x:c>
      <x:c r="H832" t="str">
        <x:v>None</x:v>
      </x:c>
      <x:c r="I832" t="str">
        <x:v>Active</x:v>
      </x:c>
      <x:c r="J832" t="str">
        <x:v>TikTok Shop</x:v>
      </x:c>
      <x:c r="K832" t="str">
        <x:v>Social Commerce</x:v>
      </x:c>
      <x:c r="L832" t="str">
        <x:v>All Geographies</x:v>
      </x:c>
      <x:c r="M832" s="34" t="n">
        <x:v>933</x:v>
      </x:c>
      <x:c r="N832" s="28" t="n">
        <x:v>0.0535248</x:v>
      </x:c>
      <x:c r="O832" s="34" t="n">
        <x:v>50</x:v>
      </x:c>
      <x:c r="P832" s="34" t="n">
        <x:v>1</x:v>
      </x:c>
      <x:c r="Q832" s="34" t="n">
        <x:v>50</x:v>
      </x:c>
      <x:c r="R832" s="33" t="n">
        <x:v>18</x:v>
      </x:c>
      <x:c r="S832" s="38" t="n">
        <x:v>0.9</x:v>
      </x:c>
      <x:c r="T832" s="38" t="n">
        <x:v>0.108</x:v>
      </x:c>
      <x:c r="U832" s="38" t="n">
        <x:v>0.0198</x:v>
      </x:c>
      <x:c r="V832" s="38" t="n">
        <x:v>0.7722</x:v>
      </x:c>
      <x:c r="W832" s="38" t="n">
        <x:v>0.2705</x:v>
      </x:c>
      <x:c r="X832" s="38" t="n">
        <x:v>0.022393800000000002</x:v>
      </x:c>
      <x:c r="Y832" s="38" t="n">
        <x:v>0.046332</x:v>
      </x:c>
      <x:c r="Z832" s="38" t="n">
        <x:v>0.25499999999999995</x:v>
      </x:c>
      <x:c r="AA832" s="38" t="n">
        <x:v>0.0875</x:v>
      </x:c>
      <x:c r="AB832" s="38" t="n">
        <x:v>0.00030000000000000003</x:v>
      </x:c>
      <x:c r="AC832" s="38" t="n">
        <x:v>0.0901742000000001</x:v>
      </x:c>
      <x:c r="AD832" s="28" t="n">
        <x:v>0.1167757057757059</x:v>
      </x:c>
    </x:row>
    <x:row r="833">
      <x:c r="A833" s="32" t="n">
        <x:v>45950</x:v>
      </x:c>
      <x:c r="B833" s="32" t="n">
        <x:v>45931</x:v>
      </x:c>
      <x:c r="C833" t="str">
        <x:v>Oct 2025</x:v>
      </x:c>
      <x:c r="D833" t="str">
        <x:v>Actual</x:v>
      </x:c>
      <x:c r="E833" t="str">
        <x:v>DB-103</x:v>
      </x:c>
      <x:c r="F833" t="str">
        <x:v>EmberTrail Camp Mug</x:v>
      </x:c>
      <x:c r="G833" t="str">
        <x:v>One-time purchase</x:v>
      </x:c>
      <x:c r="H833" t="str">
        <x:v>Winter peak</x:v>
      </x:c>
      <x:c r="I833" t="str">
        <x:v>Active</x:v>
      </x:c>
      <x:c r="J833" t="str">
        <x:v>Shopify DTC</x:v>
      </x:c>
      <x:c r="K833" t="str">
        <x:v>Consumer</x:v>
      </x:c>
      <x:c r="L833" t="str">
        <x:v>All Geographies</x:v>
      </x:c>
      <x:c r="M833" s="34" t="n">
        <x:v>4716</x:v>
      </x:c>
      <x:c r="N833" s="28" t="n">
        <x:v>0.0324</x:v>
      </x:c>
      <x:c r="O833" s="34" t="n">
        <x:v>153</x:v>
      </x:c>
      <x:c r="P833" s="34" t="n">
        <x:v>1</x:v>
      </x:c>
      <x:c r="Q833" s="34" t="n">
        <x:v>153</x:v>
      </x:c>
      <x:c r="R833" s="33" t="n">
        <x:v>34</x:v>
      </x:c>
      <x:c r="S833" s="38" t="n">
        <x:v>5.202</x:v>
      </x:c>
      <x:c r="T833" s="38" t="n">
        <x:v>0.41616000000000003</x:v>
      </x:c>
      <x:c r="U833" s="38" t="n">
        <x:v>0.26322120000000004</x:v>
      </x:c>
      <x:c r="V833" s="38" t="n">
        <x:v>4.5226188</x:v>
      </x:c>
      <x:c r="W833" s="38" t="n">
        <x:v>2.09151</x:v>
      </x:c>
      <x:c r="X833" s="38" t="n">
        <x:v>0.1311559452</x:v>
      </x:c>
      <x:c r="Y833" s="38" t="n">
        <x:v>0</x:v>
      </x:c>
      <x:c r="Z833" s="38" t="n">
        <x:v>0.63495</x:v>
      </x:c>
      <x:c r="AA833" s="38" t="n">
        <x:v>0.25245</x:v>
      </x:c>
      <x:c r="AB833" s="38" t="n">
        <x:v>0.008568</x:v>
      </x:c>
      <x:c r="AC833" s="38" t="n">
        <x:v>1.4039848548</x:v>
      </x:c>
      <x:c r="AD833" s="28" t="n">
        <x:v>0.31043625759482535</x:v>
      </x:c>
    </x:row>
    <x:row r="834">
      <x:c r="A834" s="32" t="n">
        <x:v>45950</x:v>
      </x:c>
      <x:c r="B834" s="32" t="n">
        <x:v>45931</x:v>
      </x:c>
      <x:c r="C834" t="str">
        <x:v>Oct 2025</x:v>
      </x:c>
      <x:c r="D834" t="str">
        <x:v>Actual</x:v>
      </x:c>
      <x:c r="E834" t="str">
        <x:v>DB-103</x:v>
      </x:c>
      <x:c r="F834" t="str">
        <x:v>EmberTrail Camp Mug</x:v>
      </x:c>
      <x:c r="G834" t="str">
        <x:v>One-time purchase</x:v>
      </x:c>
      <x:c r="H834" t="str">
        <x:v>Winter peak</x:v>
      </x:c>
      <x:c r="I834" t="str">
        <x:v>Active</x:v>
      </x:c>
      <x:c r="J834" t="str">
        <x:v>Amazon Marketplace</x:v>
      </x:c>
      <x:c r="K834" t="str">
        <x:v>Marketplace Consumer</x:v>
      </x:c>
      <x:c r="L834" t="str">
        <x:v>All Geographies</x:v>
      </x:c>
      <x:c r="M834" s="34" t="n">
        <x:v>2358</x:v>
      </x:c>
      <x:c r="N834" s="28" t="n">
        <x:v>0.038231999999999995</x:v>
      </x:c>
      <x:c r="O834" s="34" t="n">
        <x:v>90</x:v>
      </x:c>
      <x:c r="P834" s="34" t="n">
        <x:v>1</x:v>
      </x:c>
      <x:c r="Q834" s="34" t="n">
        <x:v>90</x:v>
      </x:c>
      <x:c r="R834" s="33" t="n">
        <x:v>34</x:v>
      </x:c>
      <x:c r="S834" s="38" t="n">
        <x:v>3.06</x:v>
      </x:c>
      <x:c r="T834" s="38" t="n">
        <x:v>0.15300000000000002</x:v>
      </x:c>
      <x:c r="U834" s="38" t="n">
        <x:v>0.159885</x:v>
      </x:c>
      <x:c r="V834" s="38" t="n">
        <x:v>2.747115</x:v>
      </x:c>
      <x:c r="W834" s="38" t="n">
        <x:v>1.2303</x:v>
      </x:c>
      <x:c r="X834" s="38" t="n">
        <x:v>0</x:v>
      </x:c>
      <x:c r="Y834" s="38" t="n">
        <x:v>0.41206725</x:v>
      </x:c>
      <x:c r="Z834" s="38" t="n">
        <x:v>0.468</x:v>
      </x:c>
      <x:c r="AA834" s="38" t="n">
        <x:v>0.1935</x:v>
      </x:c>
      <x:c r="AB834" s="38" t="n">
        <x:v>0.00504</x:v>
      </x:c>
      <x:c r="AC834" s="38" t="n">
        <x:v>0.43820775000000006</x:v>
      </x:c>
      <x:c r="AD834" s="28" t="n">
        <x:v>0.15951561911314235</x:v>
      </x:c>
    </x:row>
    <x:row r="835">
      <x:c r="A835" s="32" t="n">
        <x:v>45950</x:v>
      </x:c>
      <x:c r="B835" s="32" t="n">
        <x:v>45931</x:v>
      </x:c>
      <x:c r="C835" t="str">
        <x:v>Oct 2025</x:v>
      </x:c>
      <x:c r="D835" t="str">
        <x:v>Actual</x:v>
      </x:c>
      <x:c r="E835" t="str">
        <x:v>DB-103</x:v>
      </x:c>
      <x:c r="F835" t="str">
        <x:v>EmberTrail Camp Mug</x:v>
      </x:c>
      <x:c r="G835" t="str">
        <x:v>One-time purchase</x:v>
      </x:c>
      <x:c r="H835" t="str">
        <x:v>Winter peak</x:v>
      </x:c>
      <x:c r="I835" t="str">
        <x:v>Active</x:v>
      </x:c>
      <x:c r="J835" t="str">
        <x:v>Wholesale</x:v>
      </x:c>
      <x:c r="K835" t="str">
        <x:v>Retailer</x:v>
      </x:c>
      <x:c r="L835" t="str">
        <x:v>All Geographies</x:v>
      </x:c>
      <x:c r="M835" s="34" t="n">
        <x:v>1415</x:v>
      </x:c>
      <x:c r="N835" s="28" t="n">
        <x:v>0.017820000000000003</x:v>
      </x:c>
      <x:c r="O835" s="34" t="n">
        <x:v>25</x:v>
      </x:c>
      <x:c r="P835" s="34" t="n">
        <x:v>1</x:v>
      </x:c>
      <x:c r="Q835" s="34" t="n">
        <x:v>25</x:v>
      </x:c>
      <x:c r="R835" s="33" t="n">
        <x:v>34</x:v>
      </x:c>
      <x:c r="S835" s="38" t="n">
        <x:v>0.85</x:v>
      </x:c>
      <x:c r="T835" s="38" t="n">
        <x:v>0.2975</x:v>
      </x:c>
      <x:c r="U835" s="38" t="n">
        <x:v>0.0303875</x:v>
      </x:c>
      <x:c r="V835" s="38" t="n">
        <x:v>0.5221125</x:v>
      </x:c>
      <x:c r="W835" s="38" t="n">
        <x:v>0.34175</x:v>
      </x:c>
      <x:c r="X835" s="38" t="n">
        <x:v>0</x:v>
      </x:c>
      <x:c r="Y835" s="38" t="n">
        <x:v>0</x:v>
      </x:c>
      <x:c r="Z835" s="38" t="n">
        <x:v>0.057499999999999996</x:v>
      </x:c>
      <x:c r="AA835" s="38" t="n">
        <x:v>0.02125</x:v>
      </x:c>
      <x:c r="AB835" s="38" t="n">
        <x:v>0.0014000000000000002</x:v>
      </x:c>
      <x:c r="AC835" s="38" t="n">
        <x:v>0.10021249999999998</x:v>
      </x:c>
      <x:c r="AD835" s="28" t="n">
        <x:v>0.19193660370130955</x:v>
      </x:c>
    </x:row>
    <x:row r="836">
      <x:c r="A836" s="32" t="n">
        <x:v>45950</x:v>
      </x:c>
      <x:c r="B836" s="32" t="n">
        <x:v>45931</x:v>
      </x:c>
      <x:c r="C836" t="str">
        <x:v>Oct 2025</x:v>
      </x:c>
      <x:c r="D836" t="str">
        <x:v>Actual</x:v>
      </x:c>
      <x:c r="E836" t="str">
        <x:v>DB-103</x:v>
      </x:c>
      <x:c r="F836" t="str">
        <x:v>EmberTrail Camp Mug</x:v>
      </x:c>
      <x:c r="G836" t="str">
        <x:v>One-time purchase</x:v>
      </x:c>
      <x:c r="H836" t="str">
        <x:v>Winter peak</x:v>
      </x:c>
      <x:c r="I836" t="str">
        <x:v>Active</x:v>
      </x:c>
      <x:c r="J836" t="str">
        <x:v>TikTok Shop</x:v>
      </x:c>
      <x:c r="K836" t="str">
        <x:v>Social Commerce</x:v>
      </x:c>
      <x:c r="L836" t="str">
        <x:v>All Geographies</x:v>
      </x:c>
      <x:c r="M836" s="34" t="n">
        <x:v>943</x:v>
      </x:c>
      <x:c r="N836" s="28" t="n">
        <x:v>0.040824</x:v>
      </x:c>
      <x:c r="O836" s="34" t="n">
        <x:v>38</x:v>
      </x:c>
      <x:c r="P836" s="34" t="n">
        <x:v>1</x:v>
      </x:c>
      <x:c r="Q836" s="34" t="n">
        <x:v>38</x:v>
      </x:c>
      <x:c r="R836" s="33" t="n">
        <x:v>34</x:v>
      </x:c>
      <x:c r="S836" s="38" t="n">
        <x:v>1.292</x:v>
      </x:c>
      <x:c r="T836" s="38" t="n">
        <x:v>0.15504</x:v>
      </x:c>
      <x:c r="U836" s="38" t="n">
        <x:v>0.0625328</x:v>
      </x:c>
      <x:c r="V836" s="38" t="n">
        <x:v>1.0744272</x:v>
      </x:c>
      <x:c r="W836" s="38" t="n">
        <x:v>0.51946</x:v>
      </x:c>
      <x:c r="X836" s="38" t="n">
        <x:v>0.0311583888</x:v>
      </x:c>
      <x:c r="Y836" s="38" t="n">
        <x:v>0.064465632</x:v>
      </x:c>
      <x:c r="Z836" s="38" t="n">
        <x:v>0.19379999999999997</x:v>
      </x:c>
      <x:c r="AA836" s="38" t="n">
        <x:v>0.0665</x:v>
      </x:c>
      <x:c r="AB836" s="38" t="n">
        <x:v>0.002128</x:v>
      </x:c>
      <x:c r="AC836" s="38" t="n">
        <x:v>0.19691517919999993</x:v>
      </x:c>
      <x:c r="AD836" s="28" t="n">
        <x:v>0.1832745663922134</x:v>
      </x:c>
    </x:row>
    <x:row r="837">
      <x:c r="A837" s="32" t="n">
        <x:v>45950</x:v>
      </x:c>
      <x:c r="B837" s="32" t="n">
        <x:v>45931</x:v>
      </x:c>
      <x:c r="C837" t="str">
        <x:v>Oct 2025</x:v>
      </x:c>
      <x:c r="D837" t="str">
        <x:v>Actual</x:v>
      </x:c>
      <x:c r="E837" t="str">
        <x:v>DB-104</x:v>
      </x:c>
      <x:c r="F837" t="str">
        <x:v>SunNest Cooling Towel</x:v>
      </x:c>
      <x:c r="G837" t="str">
        <x:v>Consumable repeat</x:v>
      </x:c>
      <x:c r="H837" t="str">
        <x:v>Summer peak</x:v>
      </x:c>
      <x:c r="I837" t="str">
        <x:v>Active</x:v>
      </x:c>
      <x:c r="J837" t="str">
        <x:v>Shopify DTC</x:v>
      </x:c>
      <x:c r="K837" t="str">
        <x:v>Consumer</x:v>
      </x:c>
      <x:c r="L837" t="str">
        <x:v>All Geographies</x:v>
      </x:c>
      <x:c r="M837" s="34" t="n">
        <x:v>3322</x:v>
      </x:c>
      <x:c r="N837" s="28" t="n">
        <x:v>0.03312</x:v>
      </x:c>
      <x:c r="O837" s="34" t="n">
        <x:v>110</x:v>
      </x:c>
      <x:c r="P837" s="34" t="n">
        <x:v>1</x:v>
      </x:c>
      <x:c r="Q837" s="34" t="n">
        <x:v>110</x:v>
      </x:c>
      <x:c r="R837" s="33" t="n">
        <x:v>42</x:v>
      </x:c>
      <x:c r="S837" s="38" t="n">
        <x:v>4.62</x:v>
      </x:c>
      <x:c r="T837" s="38" t="n">
        <x:v>0.36960000000000004</x:v>
      </x:c>
      <x:c r="U837" s="38" t="n">
        <x:v>0.21252000000000001</x:v>
      </x:c>
      <x:c r="V837" s="38" t="n">
        <x:v>4.03788</x:v>
      </x:c>
      <x:c r="W837" s="38" t="n">
        <x:v>1.6555</x:v>
      </x:c>
      <x:c r="X837" s="38" t="n">
        <x:v>0.11709852000000001</x:v>
      </x:c>
      <x:c r="Y837" s="38" t="n">
        <x:v>0</x:v>
      </x:c>
      <x:c r="Z837" s="38" t="n">
        <x:v>0.4565000000000001</x:v>
      </x:c>
      <x:c r="AA837" s="38" t="n">
        <x:v>0.1815</x:v>
      </x:c>
      <x:c r="AB837" s="38" t="n">
        <x:v>0.0030800000000000003</x:v>
      </x:c>
      <x:c r="AC837" s="38" t="n">
        <x:v>1.6242014800000004</x:v>
      </x:c>
      <x:c r="AD837" s="28" t="n">
        <x:v>0.4022411463441212</x:v>
      </x:c>
    </x:row>
    <x:row r="838">
      <x:c r="A838" s="32" t="n">
        <x:v>45950</x:v>
      </x:c>
      <x:c r="B838" s="32" t="n">
        <x:v>45931</x:v>
      </x:c>
      <x:c r="C838" t="str">
        <x:v>Oct 2025</x:v>
      </x:c>
      <x:c r="D838" t="str">
        <x:v>Actual</x:v>
      </x:c>
      <x:c r="E838" t="str">
        <x:v>DB-104</x:v>
      </x:c>
      <x:c r="F838" t="str">
        <x:v>SunNest Cooling Towel</x:v>
      </x:c>
      <x:c r="G838" t="str">
        <x:v>Consumable repeat</x:v>
      </x:c>
      <x:c r="H838" t="str">
        <x:v>Summer peak</x:v>
      </x:c>
      <x:c r="I838" t="str">
        <x:v>Active</x:v>
      </x:c>
      <x:c r="J838" t="str">
        <x:v>Amazon Marketplace</x:v>
      </x:c>
      <x:c r="K838" t="str">
        <x:v>Marketplace Consumer</x:v>
      </x:c>
      <x:c r="L838" t="str">
        <x:v>All Geographies</x:v>
      </x:c>
      <x:c r="M838" s="34" t="n">
        <x:v>1661</x:v>
      </x:c>
      <x:c r="N838" s="28" t="n">
        <x:v>0.0390816</x:v>
      </x:c>
      <x:c r="O838" s="34" t="n">
        <x:v>65</x:v>
      </x:c>
      <x:c r="P838" s="34" t="n">
        <x:v>1</x:v>
      </x:c>
      <x:c r="Q838" s="34" t="n">
        <x:v>65</x:v>
      </x:c>
      <x:c r="R838" s="33" t="n">
        <x:v>42</x:v>
      </x:c>
      <x:c r="S838" s="38" t="n">
        <x:v>2.73</x:v>
      </x:c>
      <x:c r="T838" s="38" t="n">
        <x:v>0.1365</x:v>
      </x:c>
      <x:c r="U838" s="38" t="n">
        <x:v>0.129675</x:v>
      </x:c>
      <x:c r="V838" s="38" t="n">
        <x:v>2.463825</x:v>
      </x:c>
      <x:c r="W838" s="38" t="n">
        <x:v>0.97825</x:v>
      </x:c>
      <x:c r="X838" s="38" t="n">
        <x:v>0</x:v>
      </x:c>
      <x:c r="Y838" s="38" t="n">
        <x:v>0.36957375</x:v>
      </x:c>
      <x:c r="Z838" s="38" t="n">
        <x:v>0.338</x:v>
      </x:c>
      <x:c r="AA838" s="38" t="n">
        <x:v>0.13975</x:v>
      </x:c>
      <x:c r="AB838" s="38" t="n">
        <x:v>0.0018199999999999998</x:v>
      </x:c>
      <x:c r="AC838" s="38" t="n">
        <x:v>0.6364312499999997</x:v>
      </x:c>
      <x:c r="AD838" s="28" t="n">
        <x:v>0.2583102493074791</x:v>
      </x:c>
    </x:row>
    <x:row r="839">
      <x:c r="A839" s="32" t="n">
        <x:v>45950</x:v>
      </x:c>
      <x:c r="B839" s="32" t="n">
        <x:v>45931</x:v>
      </x:c>
      <x:c r="C839" t="str">
        <x:v>Oct 2025</x:v>
      </x:c>
      <x:c r="D839" t="str">
        <x:v>Actual</x:v>
      </x:c>
      <x:c r="E839" t="str">
        <x:v>DB-104</x:v>
      </x:c>
      <x:c r="F839" t="str">
        <x:v>SunNest Cooling Towel</x:v>
      </x:c>
      <x:c r="G839" t="str">
        <x:v>Consumable repeat</x:v>
      </x:c>
      <x:c r="H839" t="str">
        <x:v>Summer peak</x:v>
      </x:c>
      <x:c r="I839" t="str">
        <x:v>Active</x:v>
      </x:c>
      <x:c r="J839" t="str">
        <x:v>Wholesale</x:v>
      </x:c>
      <x:c r="K839" t="str">
        <x:v>Retailer</x:v>
      </x:c>
      <x:c r="L839" t="str">
        <x:v>All Geographies</x:v>
      </x:c>
      <x:c r="M839" s="34" t="n">
        <x:v>997</x:v>
      </x:c>
      <x:c r="N839" s="28" t="n">
        <x:v>0.018216000000000003</x:v>
      </x:c>
      <x:c r="O839" s="34" t="n">
        <x:v>18</x:v>
      </x:c>
      <x:c r="P839" s="34" t="n">
        <x:v>1</x:v>
      </x:c>
      <x:c r="Q839" s="34" t="n">
        <x:v>18</x:v>
      </x:c>
      <x:c r="R839" s="33" t="n">
        <x:v>42</x:v>
      </x:c>
      <x:c r="S839" s="38" t="n">
        <x:v>0.756</x:v>
      </x:c>
      <x:c r="T839" s="38" t="n">
        <x:v>0.2646</x:v>
      </x:c>
      <x:c r="U839" s="38" t="n">
        <x:v>0.02457</x:v>
      </x:c>
      <x:c r="V839" s="38" t="n">
        <x:v>0.46683</x:v>
      </x:c>
      <x:c r="W839" s="38" t="n">
        <x:v>0.27090000000000003</x:v>
      </x:c>
      <x:c r="X839" s="38" t="n">
        <x:v>0</x:v>
      </x:c>
      <x:c r="Y839" s="38" t="n">
        <x:v>0</x:v>
      </x:c>
      <x:c r="Z839" s="38" t="n">
        <x:v>0.0414</x:v>
      </x:c>
      <x:c r="AA839" s="38" t="n">
        <x:v>0.0153</x:v>
      </x:c>
      <x:c r="AB839" s="38" t="n">
        <x:v>0.000504</x:v>
      </x:c>
      <x:c r="AC839" s="38" t="n">
        <x:v>0.138726</x:v>
      </x:c>
      <x:c r="AD839" s="28" t="n">
        <x:v>0.297165991902834</x:v>
      </x:c>
    </x:row>
    <x:row r="840">
      <x:c r="A840" s="32" t="n">
        <x:v>45950</x:v>
      </x:c>
      <x:c r="B840" s="32" t="n">
        <x:v>45931</x:v>
      </x:c>
      <x:c r="C840" t="str">
        <x:v>Oct 2025</x:v>
      </x:c>
      <x:c r="D840" t="str">
        <x:v>Actual</x:v>
      </x:c>
      <x:c r="E840" t="str">
        <x:v>DB-104</x:v>
      </x:c>
      <x:c r="F840" t="str">
        <x:v>SunNest Cooling Towel</x:v>
      </x:c>
      <x:c r="G840" t="str">
        <x:v>Consumable repeat</x:v>
      </x:c>
      <x:c r="H840" t="str">
        <x:v>Summer peak</x:v>
      </x:c>
      <x:c r="I840" t="str">
        <x:v>Active</x:v>
      </x:c>
      <x:c r="J840" t="str">
        <x:v>TikTok Shop</x:v>
      </x:c>
      <x:c r="K840" t="str">
        <x:v>Social Commerce</x:v>
      </x:c>
      <x:c r="L840" t="str">
        <x:v>All Geographies</x:v>
      </x:c>
      <x:c r="M840" s="34" t="n">
        <x:v>664</x:v>
      </x:c>
      <x:c r="N840" s="28" t="n">
        <x:v>0.0417312</x:v>
      </x:c>
      <x:c r="O840" s="34" t="n">
        <x:v>28</x:v>
      </x:c>
      <x:c r="P840" s="34" t="n">
        <x:v>1</x:v>
      </x:c>
      <x:c r="Q840" s="34" t="n">
        <x:v>28</x:v>
      </x:c>
      <x:c r="R840" s="33" t="n">
        <x:v>42</x:v>
      </x:c>
      <x:c r="S840" s="38" t="n">
        <x:v>1.176</x:v>
      </x:c>
      <x:c r="T840" s="38" t="n">
        <x:v>0.14112</x:v>
      </x:c>
      <x:c r="U840" s="38" t="n">
        <x:v>0.051744000000000005</x:v>
      </x:c>
      <x:c r="V840" s="38" t="n">
        <x:v>0.983136</x:v>
      </x:c>
      <x:c r="W840" s="38" t="n">
        <x:v>0.42140000000000005</x:v>
      </x:c>
      <x:c r="X840" s="38" t="n">
        <x:v>0.028510944000000003</x:v>
      </x:c>
      <x:c r="Y840" s="38" t="n">
        <x:v>0.05898816</x:v>
      </x:c>
      <x:c r="Z840" s="38" t="n">
        <x:v>0.14279999999999998</x:v>
      </x:c>
      <x:c r="AA840" s="38" t="n">
        <x:v>0.049</x:v>
      </x:c>
      <x:c r="AB840" s="38" t="n">
        <x:v>0.0007840000000000001</x:v>
      </x:c>
      <x:c r="AC840" s="38" t="n">
        <x:v>0.28165289600000004</x:v>
      </x:c>
      <x:c r="AD840" s="28" t="n">
        <x:v>0.28648416495784923</x:v>
      </x:c>
    </x:row>
    <x:row r="841">
      <x:c r="A841" s="32" t="n">
        <x:v>45950</x:v>
      </x:c>
      <x:c r="B841" s="32" t="n">
        <x:v>45931</x:v>
      </x:c>
      <x:c r="C841" t="str">
        <x:v>Oct 2025</x:v>
      </x:c>
      <x:c r="D841" t="str">
        <x:v>Actual</x:v>
      </x:c>
      <x:c r="E841" t="str">
        <x:v>DB-105</x:v>
      </x:c>
      <x:c r="F841" t="str">
        <x:v>DreamFuel Refill Pack</x:v>
      </x:c>
      <x:c r="G841" t="str">
        <x:v>Subscription</x:v>
      </x:c>
      <x:c r="H841" t="str">
        <x:v>None</x:v>
      </x:c>
      <x:c r="I841" t="str">
        <x:v>Active</x:v>
      </x:c>
      <x:c r="J841" t="str">
        <x:v>Shopify DTC</x:v>
      </x:c>
      <x:c r="K841" t="str">
        <x:v>Consumer</x:v>
      </x:c>
      <x:c r="L841" t="str">
        <x:v>All Geographies</x:v>
      </x:c>
      <x:c r="M841" s="34" t="n">
        <x:v>3997</x:v>
      </x:c>
      <x:c r="N841" s="28" t="n">
        <x:v>0.03888</x:v>
      </x:c>
      <x:c r="O841" s="34" t="n">
        <x:v>155</x:v>
      </x:c>
      <x:c r="P841" s="34" t="n">
        <x:v>1</x:v>
      </x:c>
      <x:c r="Q841" s="34" t="n">
        <x:v>155</x:v>
      </x:c>
      <x:c r="R841" s="33" t="n">
        <x:v>56</x:v>
      </x:c>
      <x:c r="S841" s="38" t="n">
        <x:v>8.68</x:v>
      </x:c>
      <x:c r="T841" s="38" t="n">
        <x:v>0.6944</x:v>
      </x:c>
      <x:c r="U841" s="38" t="n">
        <x:v>0.159712</x:v>
      </x:c>
      <x:c r="V841" s="38" t="n">
        <x:v>7.825888</x:v>
      </x:c>
      <x:c r="W841" s="38" t="n">
        <x:v>2.8861000000000003</x:v>
      </x:c>
      <x:c r="X841" s="38" t="n">
        <x:v>0.226950752</x:v>
      </x:c>
      <x:c r="Y841" s="38" t="n">
        <x:v>0</x:v>
      </x:c>
      <x:c r="Z841" s="38" t="n">
        <x:v>0.64325</x:v>
      </x:c>
      <x:c r="AA841" s="38" t="n">
        <x:v>0.25575</x:v>
      </x:c>
      <x:c r="AB841" s="38" t="n">
        <x:v>0.000558</x:v>
      </x:c>
      <x:c r="AC841" s="38" t="n">
        <x:v>3.8132792480000006</x:v>
      </x:c>
      <x:c r="AD841" s="28" t="n">
        <x:v>0.48726473570794787</x:v>
      </x:c>
    </x:row>
    <x:row r="842">
      <x:c r="A842" s="32" t="n">
        <x:v>45950</x:v>
      </x:c>
      <x:c r="B842" s="32" t="n">
        <x:v>45931</x:v>
      </x:c>
      <x:c r="C842" t="str">
        <x:v>Oct 2025</x:v>
      </x:c>
      <x:c r="D842" t="str">
        <x:v>Actual</x:v>
      </x:c>
      <x:c r="E842" t="str">
        <x:v>DB-105</x:v>
      </x:c>
      <x:c r="F842" t="str">
        <x:v>DreamFuel Refill Pack</x:v>
      </x:c>
      <x:c r="G842" t="str">
        <x:v>Subscription</x:v>
      </x:c>
      <x:c r="H842" t="str">
        <x:v>None</x:v>
      </x:c>
      <x:c r="I842" t="str">
        <x:v>Active</x:v>
      </x:c>
      <x:c r="J842" t="str">
        <x:v>Amazon Marketplace</x:v>
      </x:c>
      <x:c r="K842" t="str">
        <x:v>Marketplace Consumer</x:v>
      </x:c>
      <x:c r="L842" t="str">
        <x:v>All Geographies</x:v>
      </x:c>
      <x:c r="M842" s="34" t="n">
        <x:v>1998</x:v>
      </x:c>
      <x:c r="N842" s="28" t="n">
        <x:v>0.0458784</x:v>
      </x:c>
      <x:c r="O842" s="34" t="n">
        <x:v>92</x:v>
      </x:c>
      <x:c r="P842" s="34" t="n">
        <x:v>1</x:v>
      </x:c>
      <x:c r="Q842" s="34" t="n">
        <x:v>92</x:v>
      </x:c>
      <x:c r="R842" s="33" t="n">
        <x:v>56</x:v>
      </x:c>
      <x:c r="S842" s="38" t="n">
        <x:v>5.152</x:v>
      </x:c>
      <x:c r="T842" s="38" t="n">
        <x:v>0.2576</x:v>
      </x:c>
      <x:c r="U842" s="38" t="n">
        <x:v>0.097888</x:v>
      </x:c>
      <x:c r="V842" s="38" t="n">
        <x:v>4.796512</x:v>
      </x:c>
      <x:c r="W842" s="38" t="n">
        <x:v>1.7130400000000001</x:v>
      </x:c>
      <x:c r="X842" s="38" t="n">
        <x:v>0</x:v>
      </x:c>
      <x:c r="Y842" s="38" t="n">
        <x:v>0.7194767999999999</x:v>
      </x:c>
      <x:c r="Z842" s="38" t="n">
        <x:v>0.47840000000000005</x:v>
      </x:c>
      <x:c r="AA842" s="38" t="n">
        <x:v>0.19779999999999998</x:v>
      </x:c>
      <x:c r="AB842" s="38" t="n">
        <x:v>0.0003312</x:v>
      </x:c>
      <x:c r="AC842" s="38" t="n">
        <x:v>1.6874639999999996</x:v>
      </x:c>
      <x:c r="AD842" s="28" t="n">
        <x:v>0.35181064907165865</x:v>
      </x:c>
    </x:row>
    <x:row r="843">
      <x:c r="A843" s="32" t="n">
        <x:v>45950</x:v>
      </x:c>
      <x:c r="B843" s="32" t="n">
        <x:v>45931</x:v>
      </x:c>
      <x:c r="C843" t="str">
        <x:v>Oct 2025</x:v>
      </x:c>
      <x:c r="D843" t="str">
        <x:v>Actual</x:v>
      </x:c>
      <x:c r="E843" t="str">
        <x:v>DB-105</x:v>
      </x:c>
      <x:c r="F843" t="str">
        <x:v>DreamFuel Refill Pack</x:v>
      </x:c>
      <x:c r="G843" t="str">
        <x:v>Subscription</x:v>
      </x:c>
      <x:c r="H843" t="str">
        <x:v>None</x:v>
      </x:c>
      <x:c r="I843" t="str">
        <x:v>Active</x:v>
      </x:c>
      <x:c r="J843" t="str">
        <x:v>Wholesale</x:v>
      </x:c>
      <x:c r="K843" t="str">
        <x:v>Retailer</x:v>
      </x:c>
      <x:c r="L843" t="str">
        <x:v>All Geographies</x:v>
      </x:c>
      <x:c r="M843" s="34" t="n">
        <x:v>1199</x:v>
      </x:c>
      <x:c r="N843" s="28" t="n">
        <x:v>0.021384000000000004</x:v>
      </x:c>
      <x:c r="O843" s="34" t="n">
        <x:v>26</x:v>
      </x:c>
      <x:c r="P843" s="34" t="n">
        <x:v>1</x:v>
      </x:c>
      <x:c r="Q843" s="34" t="n">
        <x:v>26</x:v>
      </x:c>
      <x:c r="R843" s="33" t="n">
        <x:v>56</x:v>
      </x:c>
      <x:c r="S843" s="38" t="n">
        <x:v>1.456</x:v>
      </x:c>
      <x:c r="T843" s="38" t="n">
        <x:v>0.5095999999999999</x:v>
      </x:c>
      <x:c r="U843" s="38" t="n">
        <x:v>0.018928</x:v>
      </x:c>
      <x:c r="V843" s="38" t="n">
        <x:v>0.9274720000000001</x:v>
      </x:c>
      <x:c r="W843" s="38" t="n">
        <x:v>0.48412</x:v>
      </x:c>
      <x:c r="X843" s="38" t="n">
        <x:v>0</x:v>
      </x:c>
      <x:c r="Y843" s="38" t="n">
        <x:v>0</x:v>
      </x:c>
      <x:c r="Z843" s="38" t="n">
        <x:v>0.0598</x:v>
      </x:c>
      <x:c r="AA843" s="38" t="n">
        <x:v>0.022099999999999998</x:v>
      </x:c>
      <x:c r="AB843" s="38" t="n">
        <x:v>0.0000936</x:v>
      </x:c>
      <x:c r="AC843" s="38" t="n">
        <x:v>0.3613584</x:v>
      </x:c>
      <x:c r="AD843" s="28" t="n">
        <x:v>0.38961650594303654</x:v>
      </x:c>
    </x:row>
    <x:row r="844">
      <x:c r="A844" s="32" t="n">
        <x:v>45950</x:v>
      </x:c>
      <x:c r="B844" s="32" t="n">
        <x:v>45931</x:v>
      </x:c>
      <x:c r="C844" t="str">
        <x:v>Oct 2025</x:v>
      </x:c>
      <x:c r="D844" t="str">
        <x:v>Actual</x:v>
      </x:c>
      <x:c r="E844" t="str">
        <x:v>DB-105</x:v>
      </x:c>
      <x:c r="F844" t="str">
        <x:v>DreamFuel Refill Pack</x:v>
      </x:c>
      <x:c r="G844" t="str">
        <x:v>Subscription</x:v>
      </x:c>
      <x:c r="H844" t="str">
        <x:v>None</x:v>
      </x:c>
      <x:c r="I844" t="str">
        <x:v>Active</x:v>
      </x:c>
      <x:c r="J844" t="str">
        <x:v>TikTok Shop</x:v>
      </x:c>
      <x:c r="K844" t="str">
        <x:v>Social Commerce</x:v>
      </x:c>
      <x:c r="L844" t="str">
        <x:v>All Geographies</x:v>
      </x:c>
      <x:c r="M844" s="34" t="n">
        <x:v>799</x:v>
      </x:c>
      <x:c r="N844" s="28" t="n">
        <x:v>0.0489888</x:v>
      </x:c>
      <x:c r="O844" s="34" t="n">
        <x:v>39</x:v>
      </x:c>
      <x:c r="P844" s="34" t="n">
        <x:v>1</x:v>
      </x:c>
      <x:c r="Q844" s="34" t="n">
        <x:v>39</x:v>
      </x:c>
      <x:c r="R844" s="33" t="n">
        <x:v>56</x:v>
      </x:c>
      <x:c r="S844" s="38" t="n">
        <x:v>2.184</x:v>
      </x:c>
      <x:c r="T844" s="38" t="n">
        <x:v>0.26208000000000004</x:v>
      </x:c>
      <x:c r="U844" s="38" t="n">
        <x:v>0.038438400000000005</x:v>
      </x:c>
      <x:c r="V844" s="38" t="n">
        <x:v>1.8834816</x:v>
      </x:c>
      <x:c r="W844" s="38" t="n">
        <x:v>0.72618</x:v>
      </x:c>
      <x:c r="X844" s="38" t="n">
        <x:v>0.054620966400000005</x:v>
      </x:c>
      <x:c r="Y844" s="38" t="n">
        <x:v>0.113008896</x:v>
      </x:c>
      <x:c r="Z844" s="38" t="n">
        <x:v>0.19889999999999997</x:v>
      </x:c>
      <x:c r="AA844" s="38" t="n">
        <x:v>0.06825</x:v>
      </x:c>
      <x:c r="AB844" s="38" t="n">
        <x:v>0.0001404</x:v>
      </x:c>
      <x:c r="AC844" s="38" t="n">
        <x:v>0.7223813376000001</x:v>
      </x:c>
      <x:c r="AD844" s="28" t="n">
        <x:v>0.38353511794328127</x:v>
      </x:c>
    </x:row>
    <x:row r="845">
      <x:c r="A845" s="32" t="n">
        <x:v>45957</x:v>
      </x:c>
      <x:c r="B845" s="32" t="n">
        <x:v>45931</x:v>
      </x:c>
      <x:c r="C845" t="str">
        <x:v>Oct 2025</x:v>
      </x:c>
      <x:c r="D845" t="str">
        <x:v>Actual</x:v>
      </x:c>
      <x:c r="E845" t="str">
        <x:v>DB-101</x:v>
      </x:c>
      <x:c r="F845" t="str">
        <x:v>AeroSip Bottle</x:v>
      </x:c>
      <x:c r="G845" t="str">
        <x:v>One-time purchase</x:v>
      </x:c>
      <x:c r="H845" t="str">
        <x:v>None</x:v>
      </x:c>
      <x:c r="I845" t="str">
        <x:v>Active</x:v>
      </x:c>
      <x:c r="J845" t="str">
        <x:v>Shopify DTC</x:v>
      </x:c>
      <x:c r="K845" t="str">
        <x:v>Consumer</x:v>
      </x:c>
      <x:c r="L845" t="str">
        <x:v>All Geographies</x:v>
      </x:c>
      <x:c r="M845" s="34" t="n">
        <x:v>5794</x:v>
      </x:c>
      <x:c r="N845" s="28" t="n">
        <x:v>0.034199999999999994</x:v>
      </x:c>
      <x:c r="O845" s="34" t="n">
        <x:v>198</x:v>
      </x:c>
      <x:c r="P845" s="34" t="n">
        <x:v>1</x:v>
      </x:c>
      <x:c r="Q845" s="34" t="n">
        <x:v>198</x:v>
      </x:c>
      <x:c r="R845" s="33" t="n">
        <x:v>29</x:v>
      </x:c>
      <x:c r="S845" s="38" t="n">
        <x:v>5.742</x:v>
      </x:c>
      <x:c r="T845" s="38" t="n">
        <x:v>0.45936</x:v>
      </x:c>
      <x:c r="U845" s="38" t="n">
        <x:v>0.23771879999999998</x:v>
      </x:c>
      <x:c r="V845" s="38" t="n">
        <x:v>5.0449212</x:v>
      </x:c>
      <x:c r="W845" s="38" t="n">
        <x:v>2.1384000000000003</x:v>
      </x:c>
      <x:c r="X845" s="38" t="n">
        <x:v>0.1463027148</x:v>
      </x:c>
      <x:c r="Y845" s="38" t="n">
        <x:v>0</x:v>
      </x:c>
      <x:c r="Z845" s="38" t="n">
        <x:v>0.8217000000000001</x:v>
      </x:c>
      <x:c r="AA845" s="38" t="n">
        <x:v>0.3267</x:v>
      </x:c>
      <x:c r="AB845" s="38" t="n">
        <x:v>0.007128</x:v>
      </x:c>
      <x:c r="AC845" s="38" t="n">
        <x:v>1.6046904851999997</x:v>
      </x:c>
      <x:c r="AD845" s="28" t="n">
        <x:v>0.31808038650831644</x:v>
      </x:c>
    </x:row>
    <x:row r="846">
      <x:c r="A846" s="32" t="n">
        <x:v>45957</x:v>
      </x:c>
      <x:c r="B846" s="32" t="n">
        <x:v>45931</x:v>
      </x:c>
      <x:c r="C846" t="str">
        <x:v>Oct 2025</x:v>
      </x:c>
      <x:c r="D846" t="str">
        <x:v>Actual</x:v>
      </x:c>
      <x:c r="E846" t="str">
        <x:v>DB-101</x:v>
      </x:c>
      <x:c r="F846" t="str">
        <x:v>AeroSip Bottle</x:v>
      </x:c>
      <x:c r="G846" t="str">
        <x:v>One-time purchase</x:v>
      </x:c>
      <x:c r="H846" t="str">
        <x:v>None</x:v>
      </x:c>
      <x:c r="I846" t="str">
        <x:v>Active</x:v>
      </x:c>
      <x:c r="J846" t="str">
        <x:v>Amazon Marketplace</x:v>
      </x:c>
      <x:c r="K846" t="str">
        <x:v>Marketplace Consumer</x:v>
      </x:c>
      <x:c r="L846" t="str">
        <x:v>All Geographies</x:v>
      </x:c>
      <x:c r="M846" s="34" t="n">
        <x:v>2897</x:v>
      </x:c>
      <x:c r="N846" s="28" t="n">
        <x:v>0.040355999999999996</x:v>
      </x:c>
      <x:c r="O846" s="34" t="n">
        <x:v>117</x:v>
      </x:c>
      <x:c r="P846" s="34" t="n">
        <x:v>1</x:v>
      </x:c>
      <x:c r="Q846" s="34" t="n">
        <x:v>117</x:v>
      </x:c>
      <x:c r="R846" s="33" t="n">
        <x:v>29</x:v>
      </x:c>
      <x:c r="S846" s="38" t="n">
        <x:v>3.393</x:v>
      </x:c>
      <x:c r="T846" s="38" t="n">
        <x:v>0.16965</x:v>
      </x:c>
      <x:c r="U846" s="38" t="n">
        <x:v>0.14505074999999998</x:v>
      </x:c>
      <x:c r="V846" s="38" t="n">
        <x:v>3.07829925</x:v>
      </x:c>
      <x:c r="W846" s="38" t="n">
        <x:v>1.2636</x:v>
      </x:c>
      <x:c r="X846" s="38" t="n">
        <x:v>0</x:v>
      </x:c>
      <x:c r="Y846" s="38" t="n">
        <x:v>0.4617448875</x:v>
      </x:c>
      <x:c r="Z846" s="38" t="n">
        <x:v>0.6083999999999999</x:v>
      </x:c>
      <x:c r="AA846" s="38" t="n">
        <x:v>0.25155</x:v>
      </x:c>
      <x:c r="AB846" s="38" t="n">
        <x:v>0.0042120000000000005</x:v>
      </x:c>
      <x:c r="AC846" s="38" t="n">
        <x:v>0.4887923625000003</x:v>
      </x:c>
      <x:c r="AD846" s="28" t="n">
        <x:v>0.15878649955815707</x:v>
      </x:c>
    </x:row>
    <x:row r="847">
      <x:c r="A847" s="32" t="n">
        <x:v>45957</x:v>
      </x:c>
      <x:c r="B847" s="32" t="n">
        <x:v>45931</x:v>
      </x:c>
      <x:c r="C847" t="str">
        <x:v>Oct 2025</x:v>
      </x:c>
      <x:c r="D847" t="str">
        <x:v>Actual</x:v>
      </x:c>
      <x:c r="E847" t="str">
        <x:v>DB-101</x:v>
      </x:c>
      <x:c r="F847" t="str">
        <x:v>AeroSip Bottle</x:v>
      </x:c>
      <x:c r="G847" t="str">
        <x:v>One-time purchase</x:v>
      </x:c>
      <x:c r="H847" t="str">
        <x:v>None</x:v>
      </x:c>
      <x:c r="I847" t="str">
        <x:v>Active</x:v>
      </x:c>
      <x:c r="J847" t="str">
        <x:v>Wholesale</x:v>
      </x:c>
      <x:c r="K847" t="str">
        <x:v>Retailer</x:v>
      </x:c>
      <x:c r="L847" t="str">
        <x:v>All Geographies</x:v>
      </x:c>
      <x:c r="M847" s="34" t="n">
        <x:v>1738</x:v>
      </x:c>
      <x:c r="N847" s="28" t="n">
        <x:v>0.01881</x:v>
      </x:c>
      <x:c r="O847" s="34" t="n">
        <x:v>33</x:v>
      </x:c>
      <x:c r="P847" s="34" t="n">
        <x:v>1</x:v>
      </x:c>
      <x:c r="Q847" s="34" t="n">
        <x:v>33</x:v>
      </x:c>
      <x:c r="R847" s="33" t="n">
        <x:v>29</x:v>
      </x:c>
      <x:c r="S847" s="38" t="n">
        <x:v>0.957</x:v>
      </x:c>
      <x:c r="T847" s="38" t="n">
        <x:v>0.33494999999999997</x:v>
      </x:c>
      <x:c r="U847" s="38" t="n">
        <x:v>0.02799225</x:v>
      </x:c>
      <x:c r="V847" s="38" t="n">
        <x:v>0.5940577499999999</x:v>
      </x:c>
      <x:c r="W847" s="38" t="n">
        <x:v>0.35640000000000005</x:v>
      </x:c>
      <x:c r="X847" s="38" t="n">
        <x:v>0</x:v>
      </x:c>
      <x:c r="Y847" s="38" t="n">
        <x:v>0</x:v>
      </x:c>
      <x:c r="Z847" s="38" t="n">
        <x:v>0.0759</x:v>
      </x:c>
      <x:c r="AA847" s="38" t="n">
        <x:v>0.028050000000000002</x:v>
      </x:c>
      <x:c r="AB847" s="38" t="n">
        <x:v>0.0011880000000000003</x:v>
      </x:c>
      <x:c r="AC847" s="38" t="n">
        <x:v>0.1325197499999999</x:v>
      </x:c>
      <x:c r="AD847" s="28" t="n">
        <x:v>0.2230755343230518</x:v>
      </x:c>
    </x:row>
    <x:row r="848">
      <x:c r="A848" s="32" t="n">
        <x:v>45957</x:v>
      </x:c>
      <x:c r="B848" s="32" t="n">
        <x:v>45931</x:v>
      </x:c>
      <x:c r="C848" t="str">
        <x:v>Oct 2025</x:v>
      </x:c>
      <x:c r="D848" t="str">
        <x:v>Actual</x:v>
      </x:c>
      <x:c r="E848" t="str">
        <x:v>DB-101</x:v>
      </x:c>
      <x:c r="F848" t="str">
        <x:v>AeroSip Bottle</x:v>
      </x:c>
      <x:c r="G848" t="str">
        <x:v>One-time purchase</x:v>
      </x:c>
      <x:c r="H848" t="str">
        <x:v>None</x:v>
      </x:c>
      <x:c r="I848" t="str">
        <x:v>Active</x:v>
      </x:c>
      <x:c r="J848" t="str">
        <x:v>TikTok Shop</x:v>
      </x:c>
      <x:c r="K848" t="str">
        <x:v>Social Commerce</x:v>
      </x:c>
      <x:c r="L848" t="str">
        <x:v>All Geographies</x:v>
      </x:c>
      <x:c r="M848" s="34" t="n">
        <x:v>1159</x:v>
      </x:c>
      <x:c r="N848" s="28" t="n">
        <x:v>0.043092</x:v>
      </x:c>
      <x:c r="O848" s="34" t="n">
        <x:v>50</x:v>
      </x:c>
      <x:c r="P848" s="34" t="n">
        <x:v>1</x:v>
      </x:c>
      <x:c r="Q848" s="34" t="n">
        <x:v>50</x:v>
      </x:c>
      <x:c r="R848" s="33" t="n">
        <x:v>29</x:v>
      </x:c>
      <x:c r="S848" s="38" t="n">
        <x:v>1.45</x:v>
      </x:c>
      <x:c r="T848" s="38" t="n">
        <x:v>0.174</x:v>
      </x:c>
      <x:c r="U848" s="38" t="n">
        <x:v>0.05742</x:v>
      </x:c>
      <x:c r="V848" s="38" t="n">
        <x:v>1.21858</x:v>
      </x:c>
      <x:c r="W848" s="38" t="n">
        <x:v>0.54</x:v>
      </x:c>
      <x:c r="X848" s="38" t="n">
        <x:v>0.03533882</x:v>
      </x:c>
      <x:c r="Y848" s="38" t="n">
        <x:v>0.0731148</x:v>
      </x:c>
      <x:c r="Z848" s="38" t="n">
        <x:v>0.25499999999999995</x:v>
      </x:c>
      <x:c r="AA848" s="38" t="n">
        <x:v>0.0875</x:v>
      </x:c>
      <x:c r="AB848" s="38" t="n">
        <x:v>0.0017999999999999997</x:v>
      </x:c>
      <x:c r="AC848" s="38" t="n">
        <x:v>0.22582638</x:v>
      </x:c>
      <x:c r="AD848" s="28" t="n">
        <x:v>0.18531928966501993</x:v>
      </x:c>
    </x:row>
    <x:row r="849">
      <x:c r="A849" s="32" t="n">
        <x:v>45957</x:v>
      </x:c>
      <x:c r="B849" s="32" t="n">
        <x:v>45931</x:v>
      </x:c>
      <x:c r="C849" t="str">
        <x:v>Oct 2025</x:v>
      </x:c>
      <x:c r="D849" t="str">
        <x:v>Actual</x:v>
      </x:c>
      <x:c r="E849" t="str">
        <x:v>DB-102</x:v>
      </x:c>
      <x:c r="F849" t="str">
        <x:v>GlowPatch Balm</x:v>
      </x:c>
      <x:c r="G849" t="str">
        <x:v>Consumable repeat</x:v>
      </x:c>
      <x:c r="H849" t="str">
        <x:v>None</x:v>
      </x:c>
      <x:c r="I849" t="str">
        <x:v>Active</x:v>
      </x:c>
      <x:c r="J849" t="str">
        <x:v>Shopify DTC</x:v>
      </x:c>
      <x:c r="K849" t="str">
        <x:v>Consumer</x:v>
      </x:c>
      <x:c r="L849" t="str">
        <x:v>All Geographies</x:v>
      </x:c>
      <x:c r="M849" s="34" t="n">
        <x:v>4680</x:v>
      </x:c>
      <x:c r="N849" s="28" t="n">
        <x:v>0.04248</x:v>
      </x:c>
      <x:c r="O849" s="34" t="n">
        <x:v>199</x:v>
      </x:c>
      <x:c r="P849" s="34" t="n">
        <x:v>1</x:v>
      </x:c>
      <x:c r="Q849" s="34" t="n">
        <x:v>199</x:v>
      </x:c>
      <x:c r="R849" s="33" t="n">
        <x:v>18</x:v>
      </x:c>
      <x:c r="S849" s="38" t="n">
        <x:v>3.582</x:v>
      </x:c>
      <x:c r="T849" s="38" t="n">
        <x:v>0.28656</x:v>
      </x:c>
      <x:c r="U849" s="38" t="n">
        <x:v>0.082386</x:v>
      </x:c>
      <x:c r="V849" s="38" t="n">
        <x:v>3.2130539999999996</x:v>
      </x:c>
      <x:c r="W849" s="38" t="n">
        <x:v>1.07659</x:v>
      </x:c>
      <x:c r="X849" s="38" t="n">
        <x:v>0.09317856599999999</x:v>
      </x:c>
      <x:c r="Y849" s="38" t="n">
        <x:v>0</x:v>
      </x:c>
      <x:c r="Z849" s="38" t="n">
        <x:v>0.82585</x:v>
      </x:c>
      <x:c r="AA849" s="38" t="n">
        <x:v>0.32835</x:v>
      </x:c>
      <x:c r="AB849" s="38" t="n">
        <x:v>0.001194</x:v>
      </x:c>
      <x:c r="AC849" s="38" t="n">
        <x:v>0.8878914339999996</x:v>
      </x:c>
      <x:c r="AD849" s="28" t="n">
        <x:v>0.2763387835996531</x:v>
      </x:c>
    </x:row>
    <x:row r="850">
      <x:c r="A850" s="32" t="n">
        <x:v>45957</x:v>
      </x:c>
      <x:c r="B850" s="32" t="n">
        <x:v>45931</x:v>
      </x:c>
      <x:c r="C850" t="str">
        <x:v>Oct 2025</x:v>
      </x:c>
      <x:c r="D850" t="str">
        <x:v>Actual</x:v>
      </x:c>
      <x:c r="E850" t="str">
        <x:v>DB-102</x:v>
      </x:c>
      <x:c r="F850" t="str">
        <x:v>GlowPatch Balm</x:v>
      </x:c>
      <x:c r="G850" t="str">
        <x:v>Consumable repeat</x:v>
      </x:c>
      <x:c r="H850" t="str">
        <x:v>None</x:v>
      </x:c>
      <x:c r="I850" t="str">
        <x:v>Active</x:v>
      </x:c>
      <x:c r="J850" t="str">
        <x:v>Amazon Marketplace</x:v>
      </x:c>
      <x:c r="K850" t="str">
        <x:v>Marketplace Consumer</x:v>
      </x:c>
      <x:c r="L850" t="str">
        <x:v>All Geographies</x:v>
      </x:c>
      <x:c r="M850" s="34" t="n">
        <x:v>2340</x:v>
      </x:c>
      <x:c r="N850" s="28" t="n">
        <x:v>0.050126399999999995</x:v>
      </x:c>
      <x:c r="O850" s="34" t="n">
        <x:v>117</x:v>
      </x:c>
      <x:c r="P850" s="34" t="n">
        <x:v>1</x:v>
      </x:c>
      <x:c r="Q850" s="34" t="n">
        <x:v>117</x:v>
      </x:c>
      <x:c r="R850" s="33" t="n">
        <x:v>18</x:v>
      </x:c>
      <x:c r="S850" s="38" t="n">
        <x:v>2.106</x:v>
      </x:c>
      <x:c r="T850" s="38" t="n">
        <x:v>0.1053</x:v>
      </x:c>
      <x:c r="U850" s="38" t="n">
        <x:v>0.05001749999999999</x:v>
      </x:c>
      <x:c r="V850" s="38" t="n">
        <x:v>1.9506824999999997</x:v>
      </x:c>
      <x:c r="W850" s="38" t="n">
        <x:v>0.63297</x:v>
      </x:c>
      <x:c r="X850" s="38" t="n">
        <x:v>0</x:v>
      </x:c>
      <x:c r="Y850" s="38" t="n">
        <x:v>0.2926023749999999</x:v>
      </x:c>
      <x:c r="Z850" s="38" t="n">
        <x:v>0.6083999999999999</x:v>
      </x:c>
      <x:c r="AA850" s="38" t="n">
        <x:v>0.25155</x:v>
      </x:c>
      <x:c r="AB850" s="38" t="n">
        <x:v>0.000702</x:v>
      </x:c>
      <x:c r="AC850" s="38" t="n">
        <x:v>0.1644581249999997</x:v>
      </x:c>
      <x:c r="AD850" s="28" t="n">
        <x:v>0.08430799220272892</x:v>
      </x:c>
    </x:row>
    <x:row r="851">
      <x:c r="A851" s="32" t="n">
        <x:v>45957</x:v>
      </x:c>
      <x:c r="B851" s="32" t="n">
        <x:v>45931</x:v>
      </x:c>
      <x:c r="C851" t="str">
        <x:v>Oct 2025</x:v>
      </x:c>
      <x:c r="D851" t="str">
        <x:v>Actual</x:v>
      </x:c>
      <x:c r="E851" t="str">
        <x:v>DB-102</x:v>
      </x:c>
      <x:c r="F851" t="str">
        <x:v>GlowPatch Balm</x:v>
      </x:c>
      <x:c r="G851" t="str">
        <x:v>Consumable repeat</x:v>
      </x:c>
      <x:c r="H851" t="str">
        <x:v>None</x:v>
      </x:c>
      <x:c r="I851" t="str">
        <x:v>Active</x:v>
      </x:c>
      <x:c r="J851" t="str">
        <x:v>Wholesale</x:v>
      </x:c>
      <x:c r="K851" t="str">
        <x:v>Retailer</x:v>
      </x:c>
      <x:c r="L851" t="str">
        <x:v>All Geographies</x:v>
      </x:c>
      <x:c r="M851" s="34" t="n">
        <x:v>1404</x:v>
      </x:c>
      <x:c r="N851" s="28" t="n">
        <x:v>0.023364</x:v>
      </x:c>
      <x:c r="O851" s="34" t="n">
        <x:v>33</x:v>
      </x:c>
      <x:c r="P851" s="34" t="n">
        <x:v>1</x:v>
      </x:c>
      <x:c r="Q851" s="34" t="n">
        <x:v>33</x:v>
      </x:c>
      <x:c r="R851" s="33" t="n">
        <x:v>18</x:v>
      </x:c>
      <x:c r="S851" s="38" t="n">
        <x:v>0.594</x:v>
      </x:c>
      <x:c r="T851" s="38" t="n">
        <x:v>0.20789999999999997</x:v>
      </x:c>
      <x:c r="U851" s="38" t="n">
        <x:v>0.009652500000000001</x:v>
      </x:c>
      <x:c r="V851" s="38" t="n">
        <x:v>0.3764475</x:v>
      </x:c>
      <x:c r="W851" s="38" t="n">
        <x:v>0.17853</x:v>
      </x:c>
      <x:c r="X851" s="38" t="n">
        <x:v>0</x:v>
      </x:c>
      <x:c r="Y851" s="38" t="n">
        <x:v>0</x:v>
      </x:c>
      <x:c r="Z851" s="38" t="n">
        <x:v>0.0759</x:v>
      </x:c>
      <x:c r="AA851" s="38" t="n">
        <x:v>0.028050000000000002</x:v>
      </x:c>
      <x:c r="AB851" s="38" t="n">
        <x:v>0.00019800000000000002</x:v>
      </x:c>
      <x:c r="AC851" s="38" t="n">
        <x:v>0.09376949999999999</x:v>
      </x:c>
      <x:c r="AD851" s="28" t="n">
        <x:v>0.24909051062897214</x:v>
      </x:c>
    </x:row>
    <x:row r="852">
      <x:c r="A852" s="32" t="n">
        <x:v>45957</x:v>
      </x:c>
      <x:c r="B852" s="32" t="n">
        <x:v>45931</x:v>
      </x:c>
      <x:c r="C852" t="str">
        <x:v>Oct 2025</x:v>
      </x:c>
      <x:c r="D852" t="str">
        <x:v>Actual</x:v>
      </x:c>
      <x:c r="E852" t="str">
        <x:v>DB-102</x:v>
      </x:c>
      <x:c r="F852" t="str">
        <x:v>GlowPatch Balm</x:v>
      </x:c>
      <x:c r="G852" t="str">
        <x:v>Consumable repeat</x:v>
      </x:c>
      <x:c r="H852" t="str">
        <x:v>None</x:v>
      </x:c>
      <x:c r="I852" t="str">
        <x:v>Active</x:v>
      </x:c>
      <x:c r="J852" t="str">
        <x:v>TikTok Shop</x:v>
      </x:c>
      <x:c r="K852" t="str">
        <x:v>Social Commerce</x:v>
      </x:c>
      <x:c r="L852" t="str">
        <x:v>All Geographies</x:v>
      </x:c>
      <x:c r="M852" s="34" t="n">
        <x:v>936</x:v>
      </x:c>
      <x:c r="N852" s="28" t="n">
        <x:v>0.0535248</x:v>
      </x:c>
      <x:c r="O852" s="34" t="n">
        <x:v>50</x:v>
      </x:c>
      <x:c r="P852" s="34" t="n">
        <x:v>1</x:v>
      </x:c>
      <x:c r="Q852" s="34" t="n">
        <x:v>50</x:v>
      </x:c>
      <x:c r="R852" s="33" t="n">
        <x:v>18</x:v>
      </x:c>
      <x:c r="S852" s="38" t="n">
        <x:v>0.9</x:v>
      </x:c>
      <x:c r="T852" s="38" t="n">
        <x:v>0.108</x:v>
      </x:c>
      <x:c r="U852" s="38" t="n">
        <x:v>0.0198</x:v>
      </x:c>
      <x:c r="V852" s="38" t="n">
        <x:v>0.7722</x:v>
      </x:c>
      <x:c r="W852" s="38" t="n">
        <x:v>0.2705</x:v>
      </x:c>
      <x:c r="X852" s="38" t="n">
        <x:v>0.022393800000000002</x:v>
      </x:c>
      <x:c r="Y852" s="38" t="n">
        <x:v>0.046332</x:v>
      </x:c>
      <x:c r="Z852" s="38" t="n">
        <x:v>0.25499999999999995</x:v>
      </x:c>
      <x:c r="AA852" s="38" t="n">
        <x:v>0.0875</x:v>
      </x:c>
      <x:c r="AB852" s="38" t="n">
        <x:v>0.00030000000000000003</x:v>
      </x:c>
      <x:c r="AC852" s="38" t="n">
        <x:v>0.0901742000000001</x:v>
      </x:c>
      <x:c r="AD852" s="28" t="n">
        <x:v>0.1167757057757059</x:v>
      </x:c>
    </x:row>
    <x:row r="853">
      <x:c r="A853" s="32" t="n">
        <x:v>45957</x:v>
      </x:c>
      <x:c r="B853" s="32" t="n">
        <x:v>45931</x:v>
      </x:c>
      <x:c r="C853" t="str">
        <x:v>Oct 2025</x:v>
      </x:c>
      <x:c r="D853" t="str">
        <x:v>Actual</x:v>
      </x:c>
      <x:c r="E853" t="str">
        <x:v>DB-103</x:v>
      </x:c>
      <x:c r="F853" t="str">
        <x:v>EmberTrail Camp Mug</x:v>
      </x:c>
      <x:c r="G853" t="str">
        <x:v>One-time purchase</x:v>
      </x:c>
      <x:c r="H853" t="str">
        <x:v>Winter peak</x:v>
      </x:c>
      <x:c r="I853" t="str">
        <x:v>Active</x:v>
      </x:c>
      <x:c r="J853" t="str">
        <x:v>Shopify DTC</x:v>
      </x:c>
      <x:c r="K853" t="str">
        <x:v>Consumer</x:v>
      </x:c>
      <x:c r="L853" t="str">
        <x:v>All Geographies</x:v>
      </x:c>
      <x:c r="M853" s="34" t="n">
        <x:v>4733</x:v>
      </x:c>
      <x:c r="N853" s="28" t="n">
        <x:v>0.0324</x:v>
      </x:c>
      <x:c r="O853" s="34" t="n">
        <x:v>153</x:v>
      </x:c>
      <x:c r="P853" s="34" t="n">
        <x:v>1</x:v>
      </x:c>
      <x:c r="Q853" s="34" t="n">
        <x:v>153</x:v>
      </x:c>
      <x:c r="R853" s="33" t="n">
        <x:v>34</x:v>
      </x:c>
      <x:c r="S853" s="38" t="n">
        <x:v>5.202</x:v>
      </x:c>
      <x:c r="T853" s="38" t="n">
        <x:v>0.41616000000000003</x:v>
      </x:c>
      <x:c r="U853" s="38" t="n">
        <x:v>0.26322120000000004</x:v>
      </x:c>
      <x:c r="V853" s="38" t="n">
        <x:v>4.5226188</x:v>
      </x:c>
      <x:c r="W853" s="38" t="n">
        <x:v>2.09151</x:v>
      </x:c>
      <x:c r="X853" s="38" t="n">
        <x:v>0.1311559452</x:v>
      </x:c>
      <x:c r="Y853" s="38" t="n">
        <x:v>0</x:v>
      </x:c>
      <x:c r="Z853" s="38" t="n">
        <x:v>0.63495</x:v>
      </x:c>
      <x:c r="AA853" s="38" t="n">
        <x:v>0.25245</x:v>
      </x:c>
      <x:c r="AB853" s="38" t="n">
        <x:v>0.008568</x:v>
      </x:c>
      <x:c r="AC853" s="38" t="n">
        <x:v>1.4039848548</x:v>
      </x:c>
      <x:c r="AD853" s="28" t="n">
        <x:v>0.31043625759482535</x:v>
      </x:c>
    </x:row>
    <x:row r="854">
      <x:c r="A854" s="32" t="n">
        <x:v>45957</x:v>
      </x:c>
      <x:c r="B854" s="32" t="n">
        <x:v>45931</x:v>
      </x:c>
      <x:c r="C854" t="str">
        <x:v>Oct 2025</x:v>
      </x:c>
      <x:c r="D854" t="str">
        <x:v>Actual</x:v>
      </x:c>
      <x:c r="E854" t="str">
        <x:v>DB-103</x:v>
      </x:c>
      <x:c r="F854" t="str">
        <x:v>EmberTrail Camp Mug</x:v>
      </x:c>
      <x:c r="G854" t="str">
        <x:v>One-time purchase</x:v>
      </x:c>
      <x:c r="H854" t="str">
        <x:v>Winter peak</x:v>
      </x:c>
      <x:c r="I854" t="str">
        <x:v>Active</x:v>
      </x:c>
      <x:c r="J854" t="str">
        <x:v>Amazon Marketplace</x:v>
      </x:c>
      <x:c r="K854" t="str">
        <x:v>Marketplace Consumer</x:v>
      </x:c>
      <x:c r="L854" t="str">
        <x:v>All Geographies</x:v>
      </x:c>
      <x:c r="M854" s="34" t="n">
        <x:v>2367</x:v>
      </x:c>
      <x:c r="N854" s="28" t="n">
        <x:v>0.038231999999999995</x:v>
      </x:c>
      <x:c r="O854" s="34" t="n">
        <x:v>90</x:v>
      </x:c>
      <x:c r="P854" s="34" t="n">
        <x:v>1</x:v>
      </x:c>
      <x:c r="Q854" s="34" t="n">
        <x:v>90</x:v>
      </x:c>
      <x:c r="R854" s="33" t="n">
        <x:v>34</x:v>
      </x:c>
      <x:c r="S854" s="38" t="n">
        <x:v>3.06</x:v>
      </x:c>
      <x:c r="T854" s="38" t="n">
        <x:v>0.15300000000000002</x:v>
      </x:c>
      <x:c r="U854" s="38" t="n">
        <x:v>0.159885</x:v>
      </x:c>
      <x:c r="V854" s="38" t="n">
        <x:v>2.747115</x:v>
      </x:c>
      <x:c r="W854" s="38" t="n">
        <x:v>1.2303</x:v>
      </x:c>
      <x:c r="X854" s="38" t="n">
        <x:v>0</x:v>
      </x:c>
      <x:c r="Y854" s="38" t="n">
        <x:v>0.41206725</x:v>
      </x:c>
      <x:c r="Z854" s="38" t="n">
        <x:v>0.468</x:v>
      </x:c>
      <x:c r="AA854" s="38" t="n">
        <x:v>0.1935</x:v>
      </x:c>
      <x:c r="AB854" s="38" t="n">
        <x:v>0.00504</x:v>
      </x:c>
      <x:c r="AC854" s="38" t="n">
        <x:v>0.43820775000000006</x:v>
      </x:c>
      <x:c r="AD854" s="28" t="n">
        <x:v>0.15951561911314235</x:v>
      </x:c>
    </x:row>
    <x:row r="855">
      <x:c r="A855" s="32" t="n">
        <x:v>45957</x:v>
      </x:c>
      <x:c r="B855" s="32" t="n">
        <x:v>45931</x:v>
      </x:c>
      <x:c r="C855" t="str">
        <x:v>Oct 2025</x:v>
      </x:c>
      <x:c r="D855" t="str">
        <x:v>Actual</x:v>
      </x:c>
      <x:c r="E855" t="str">
        <x:v>DB-103</x:v>
      </x:c>
      <x:c r="F855" t="str">
        <x:v>EmberTrail Camp Mug</x:v>
      </x:c>
      <x:c r="G855" t="str">
        <x:v>One-time purchase</x:v>
      </x:c>
      <x:c r="H855" t="str">
        <x:v>Winter peak</x:v>
      </x:c>
      <x:c r="I855" t="str">
        <x:v>Active</x:v>
      </x:c>
      <x:c r="J855" t="str">
        <x:v>Wholesale</x:v>
      </x:c>
      <x:c r="K855" t="str">
        <x:v>Retailer</x:v>
      </x:c>
      <x:c r="L855" t="str">
        <x:v>All Geographies</x:v>
      </x:c>
      <x:c r="M855" s="34" t="n">
        <x:v>1420</x:v>
      </x:c>
      <x:c r="N855" s="28" t="n">
        <x:v>0.017820000000000003</x:v>
      </x:c>
      <x:c r="O855" s="34" t="n">
        <x:v>25</x:v>
      </x:c>
      <x:c r="P855" s="34" t="n">
        <x:v>1</x:v>
      </x:c>
      <x:c r="Q855" s="34" t="n">
        <x:v>25</x:v>
      </x:c>
      <x:c r="R855" s="33" t="n">
        <x:v>34</x:v>
      </x:c>
      <x:c r="S855" s="38" t="n">
        <x:v>0.85</x:v>
      </x:c>
      <x:c r="T855" s="38" t="n">
        <x:v>0.2975</x:v>
      </x:c>
      <x:c r="U855" s="38" t="n">
        <x:v>0.0303875</x:v>
      </x:c>
      <x:c r="V855" s="38" t="n">
        <x:v>0.5221125</x:v>
      </x:c>
      <x:c r="W855" s="38" t="n">
        <x:v>0.34175</x:v>
      </x:c>
      <x:c r="X855" s="38" t="n">
        <x:v>0</x:v>
      </x:c>
      <x:c r="Y855" s="38" t="n">
        <x:v>0</x:v>
      </x:c>
      <x:c r="Z855" s="38" t="n">
        <x:v>0.057499999999999996</x:v>
      </x:c>
      <x:c r="AA855" s="38" t="n">
        <x:v>0.02125</x:v>
      </x:c>
      <x:c r="AB855" s="38" t="n">
        <x:v>0.0014000000000000002</x:v>
      </x:c>
      <x:c r="AC855" s="38" t="n">
        <x:v>0.10021249999999998</x:v>
      </x:c>
      <x:c r="AD855" s="28" t="n">
        <x:v>0.19193660370130955</x:v>
      </x:c>
    </x:row>
    <x:row r="856">
      <x:c r="A856" s="32" t="n">
        <x:v>45957</x:v>
      </x:c>
      <x:c r="B856" s="32" t="n">
        <x:v>45931</x:v>
      </x:c>
      <x:c r="C856" t="str">
        <x:v>Oct 2025</x:v>
      </x:c>
      <x:c r="D856" t="str">
        <x:v>Actual</x:v>
      </x:c>
      <x:c r="E856" t="str">
        <x:v>DB-103</x:v>
      </x:c>
      <x:c r="F856" t="str">
        <x:v>EmberTrail Camp Mug</x:v>
      </x:c>
      <x:c r="G856" t="str">
        <x:v>One-time purchase</x:v>
      </x:c>
      <x:c r="H856" t="str">
        <x:v>Winter peak</x:v>
      </x:c>
      <x:c r="I856" t="str">
        <x:v>Active</x:v>
      </x:c>
      <x:c r="J856" t="str">
        <x:v>TikTok Shop</x:v>
      </x:c>
      <x:c r="K856" t="str">
        <x:v>Social Commerce</x:v>
      </x:c>
      <x:c r="L856" t="str">
        <x:v>All Geographies</x:v>
      </x:c>
      <x:c r="M856" s="34" t="n">
        <x:v>947</x:v>
      </x:c>
      <x:c r="N856" s="28" t="n">
        <x:v>0.040824</x:v>
      </x:c>
      <x:c r="O856" s="34" t="n">
        <x:v>39</x:v>
      </x:c>
      <x:c r="P856" s="34" t="n">
        <x:v>1</x:v>
      </x:c>
      <x:c r="Q856" s="34" t="n">
        <x:v>39</x:v>
      </x:c>
      <x:c r="R856" s="33" t="n">
        <x:v>34</x:v>
      </x:c>
      <x:c r="S856" s="38" t="n">
        <x:v>1.326</x:v>
      </x:c>
      <x:c r="T856" s="38" t="n">
        <x:v>0.15912</x:v>
      </x:c>
      <x:c r="U856" s="38" t="n">
        <x:v>0.06417840000000001</x:v>
      </x:c>
      <x:c r="V856" s="38" t="n">
        <x:v>1.1027016</x:v>
      </x:c>
      <x:c r="W856" s="38" t="n">
        <x:v>0.53313</x:v>
      </x:c>
      <x:c r="X856" s="38" t="n">
        <x:v>0.0319783464</x:v>
      </x:c>
      <x:c r="Y856" s="38" t="n">
        <x:v>0.066162096</x:v>
      </x:c>
      <x:c r="Z856" s="38" t="n">
        <x:v>0.19889999999999997</x:v>
      </x:c>
      <x:c r="AA856" s="38" t="n">
        <x:v>0.06825</x:v>
      </x:c>
      <x:c r="AB856" s="38" t="n">
        <x:v>0.002184</x:v>
      </x:c>
      <x:c r="AC856" s="38" t="n">
        <x:v>0.20209715760000013</x:v>
      </x:c>
      <x:c r="AD856" s="28" t="n">
        <x:v>0.18327456639221357</x:v>
      </x:c>
    </x:row>
    <x:row r="857">
      <x:c r="A857" s="32" t="n">
        <x:v>45957</x:v>
      </x:c>
      <x:c r="B857" s="32" t="n">
        <x:v>45931</x:v>
      </x:c>
      <x:c r="C857" t="str">
        <x:v>Oct 2025</x:v>
      </x:c>
      <x:c r="D857" t="str">
        <x:v>Actual</x:v>
      </x:c>
      <x:c r="E857" t="str">
        <x:v>DB-104</x:v>
      </x:c>
      <x:c r="F857" t="str">
        <x:v>SunNest Cooling Towel</x:v>
      </x:c>
      <x:c r="G857" t="str">
        <x:v>Consumable repeat</x:v>
      </x:c>
      <x:c r="H857" t="str">
        <x:v>Summer peak</x:v>
      </x:c>
      <x:c r="I857" t="str">
        <x:v>Active</x:v>
      </x:c>
      <x:c r="J857" t="str">
        <x:v>Shopify DTC</x:v>
      </x:c>
      <x:c r="K857" t="str">
        <x:v>Consumer</x:v>
      </x:c>
      <x:c r="L857" t="str">
        <x:v>All Geographies</x:v>
      </x:c>
      <x:c r="M857" s="34" t="n">
        <x:v>3334</x:v>
      </x:c>
      <x:c r="N857" s="28" t="n">
        <x:v>0.03312</x:v>
      </x:c>
      <x:c r="O857" s="34" t="n">
        <x:v>110</x:v>
      </x:c>
      <x:c r="P857" s="34" t="n">
        <x:v>1</x:v>
      </x:c>
      <x:c r="Q857" s="34" t="n">
        <x:v>110</x:v>
      </x:c>
      <x:c r="R857" s="33" t="n">
        <x:v>42</x:v>
      </x:c>
      <x:c r="S857" s="38" t="n">
        <x:v>4.62</x:v>
      </x:c>
      <x:c r="T857" s="38" t="n">
        <x:v>0.36960000000000004</x:v>
      </x:c>
      <x:c r="U857" s="38" t="n">
        <x:v>0.21252000000000001</x:v>
      </x:c>
      <x:c r="V857" s="38" t="n">
        <x:v>4.03788</x:v>
      </x:c>
      <x:c r="W857" s="38" t="n">
        <x:v>1.6555</x:v>
      </x:c>
      <x:c r="X857" s="38" t="n">
        <x:v>0.11709852000000001</x:v>
      </x:c>
      <x:c r="Y857" s="38" t="n">
        <x:v>0</x:v>
      </x:c>
      <x:c r="Z857" s="38" t="n">
        <x:v>0.4565000000000001</x:v>
      </x:c>
      <x:c r="AA857" s="38" t="n">
        <x:v>0.1815</x:v>
      </x:c>
      <x:c r="AB857" s="38" t="n">
        <x:v>0.0030800000000000003</x:v>
      </x:c>
      <x:c r="AC857" s="38" t="n">
        <x:v>1.6242014800000004</x:v>
      </x:c>
      <x:c r="AD857" s="28" t="n">
        <x:v>0.4022411463441212</x:v>
      </x:c>
    </x:row>
    <x:row r="858">
      <x:c r="A858" s="32" t="n">
        <x:v>45957</x:v>
      </x:c>
      <x:c r="B858" s="32" t="n">
        <x:v>45931</x:v>
      </x:c>
      <x:c r="C858" t="str">
        <x:v>Oct 2025</x:v>
      </x:c>
      <x:c r="D858" t="str">
        <x:v>Actual</x:v>
      </x:c>
      <x:c r="E858" t="str">
        <x:v>DB-104</x:v>
      </x:c>
      <x:c r="F858" t="str">
        <x:v>SunNest Cooling Towel</x:v>
      </x:c>
      <x:c r="G858" t="str">
        <x:v>Consumable repeat</x:v>
      </x:c>
      <x:c r="H858" t="str">
        <x:v>Summer peak</x:v>
      </x:c>
      <x:c r="I858" t="str">
        <x:v>Active</x:v>
      </x:c>
      <x:c r="J858" t="str">
        <x:v>Amazon Marketplace</x:v>
      </x:c>
      <x:c r="K858" t="str">
        <x:v>Marketplace Consumer</x:v>
      </x:c>
      <x:c r="L858" t="str">
        <x:v>All Geographies</x:v>
      </x:c>
      <x:c r="M858" s="34" t="n">
        <x:v>1667</x:v>
      </x:c>
      <x:c r="N858" s="28" t="n">
        <x:v>0.0390816</x:v>
      </x:c>
      <x:c r="O858" s="34" t="n">
        <x:v>65</x:v>
      </x:c>
      <x:c r="P858" s="34" t="n">
        <x:v>1</x:v>
      </x:c>
      <x:c r="Q858" s="34" t="n">
        <x:v>65</x:v>
      </x:c>
      <x:c r="R858" s="33" t="n">
        <x:v>42</x:v>
      </x:c>
      <x:c r="S858" s="38" t="n">
        <x:v>2.73</x:v>
      </x:c>
      <x:c r="T858" s="38" t="n">
        <x:v>0.1365</x:v>
      </x:c>
      <x:c r="U858" s="38" t="n">
        <x:v>0.129675</x:v>
      </x:c>
      <x:c r="V858" s="38" t="n">
        <x:v>2.463825</x:v>
      </x:c>
      <x:c r="W858" s="38" t="n">
        <x:v>0.97825</x:v>
      </x:c>
      <x:c r="X858" s="38" t="n">
        <x:v>0</x:v>
      </x:c>
      <x:c r="Y858" s="38" t="n">
        <x:v>0.36957375</x:v>
      </x:c>
      <x:c r="Z858" s="38" t="n">
        <x:v>0.338</x:v>
      </x:c>
      <x:c r="AA858" s="38" t="n">
        <x:v>0.13975</x:v>
      </x:c>
      <x:c r="AB858" s="38" t="n">
        <x:v>0.0018199999999999998</x:v>
      </x:c>
      <x:c r="AC858" s="38" t="n">
        <x:v>0.6364312499999997</x:v>
      </x:c>
      <x:c r="AD858" s="28" t="n">
        <x:v>0.2583102493074791</x:v>
      </x:c>
    </x:row>
    <x:row r="859">
      <x:c r="A859" s="32" t="n">
        <x:v>45957</x:v>
      </x:c>
      <x:c r="B859" s="32" t="n">
        <x:v>45931</x:v>
      </x:c>
      <x:c r="C859" t="str">
        <x:v>Oct 2025</x:v>
      </x:c>
      <x:c r="D859" t="str">
        <x:v>Actual</x:v>
      </x:c>
      <x:c r="E859" t="str">
        <x:v>DB-104</x:v>
      </x:c>
      <x:c r="F859" t="str">
        <x:v>SunNest Cooling Towel</x:v>
      </x:c>
      <x:c r="G859" t="str">
        <x:v>Consumable repeat</x:v>
      </x:c>
      <x:c r="H859" t="str">
        <x:v>Summer peak</x:v>
      </x:c>
      <x:c r="I859" t="str">
        <x:v>Active</x:v>
      </x:c>
      <x:c r="J859" t="str">
        <x:v>Wholesale</x:v>
      </x:c>
      <x:c r="K859" t="str">
        <x:v>Retailer</x:v>
      </x:c>
      <x:c r="L859" t="str">
        <x:v>All Geographies</x:v>
      </x:c>
      <x:c r="M859" s="34" t="n">
        <x:v>1000</x:v>
      </x:c>
      <x:c r="N859" s="28" t="n">
        <x:v>0.018216000000000003</x:v>
      </x:c>
      <x:c r="O859" s="34" t="n">
        <x:v>18</x:v>
      </x:c>
      <x:c r="P859" s="34" t="n">
        <x:v>1</x:v>
      </x:c>
      <x:c r="Q859" s="34" t="n">
        <x:v>18</x:v>
      </x:c>
      <x:c r="R859" s="33" t="n">
        <x:v>42</x:v>
      </x:c>
      <x:c r="S859" s="38" t="n">
        <x:v>0.756</x:v>
      </x:c>
      <x:c r="T859" s="38" t="n">
        <x:v>0.2646</x:v>
      </x:c>
      <x:c r="U859" s="38" t="n">
        <x:v>0.02457</x:v>
      </x:c>
      <x:c r="V859" s="38" t="n">
        <x:v>0.46683</x:v>
      </x:c>
      <x:c r="W859" s="38" t="n">
        <x:v>0.27090000000000003</x:v>
      </x:c>
      <x:c r="X859" s="38" t="n">
        <x:v>0</x:v>
      </x:c>
      <x:c r="Y859" s="38" t="n">
        <x:v>0</x:v>
      </x:c>
      <x:c r="Z859" s="38" t="n">
        <x:v>0.0414</x:v>
      </x:c>
      <x:c r="AA859" s="38" t="n">
        <x:v>0.0153</x:v>
      </x:c>
      <x:c r="AB859" s="38" t="n">
        <x:v>0.000504</x:v>
      </x:c>
      <x:c r="AC859" s="38" t="n">
        <x:v>0.138726</x:v>
      </x:c>
      <x:c r="AD859" s="28" t="n">
        <x:v>0.297165991902834</x:v>
      </x:c>
    </x:row>
    <x:row r="860">
      <x:c r="A860" s="32" t="n">
        <x:v>45957</x:v>
      </x:c>
      <x:c r="B860" s="32" t="n">
        <x:v>45931</x:v>
      </x:c>
      <x:c r="C860" t="str">
        <x:v>Oct 2025</x:v>
      </x:c>
      <x:c r="D860" t="str">
        <x:v>Actual</x:v>
      </x:c>
      <x:c r="E860" t="str">
        <x:v>DB-104</x:v>
      </x:c>
      <x:c r="F860" t="str">
        <x:v>SunNest Cooling Towel</x:v>
      </x:c>
      <x:c r="G860" t="str">
        <x:v>Consumable repeat</x:v>
      </x:c>
      <x:c r="H860" t="str">
        <x:v>Summer peak</x:v>
      </x:c>
      <x:c r="I860" t="str">
        <x:v>Active</x:v>
      </x:c>
      <x:c r="J860" t="str">
        <x:v>TikTok Shop</x:v>
      </x:c>
      <x:c r="K860" t="str">
        <x:v>Social Commerce</x:v>
      </x:c>
      <x:c r="L860" t="str">
        <x:v>All Geographies</x:v>
      </x:c>
      <x:c r="M860" s="34" t="n">
        <x:v>667</x:v>
      </x:c>
      <x:c r="N860" s="28" t="n">
        <x:v>0.0417312</x:v>
      </x:c>
      <x:c r="O860" s="34" t="n">
        <x:v>28</x:v>
      </x:c>
      <x:c r="P860" s="34" t="n">
        <x:v>1</x:v>
      </x:c>
      <x:c r="Q860" s="34" t="n">
        <x:v>28</x:v>
      </x:c>
      <x:c r="R860" s="33" t="n">
        <x:v>42</x:v>
      </x:c>
      <x:c r="S860" s="38" t="n">
        <x:v>1.176</x:v>
      </x:c>
      <x:c r="T860" s="38" t="n">
        <x:v>0.14112</x:v>
      </x:c>
      <x:c r="U860" s="38" t="n">
        <x:v>0.051744000000000005</x:v>
      </x:c>
      <x:c r="V860" s="38" t="n">
        <x:v>0.983136</x:v>
      </x:c>
      <x:c r="W860" s="38" t="n">
        <x:v>0.42140000000000005</x:v>
      </x:c>
      <x:c r="X860" s="38" t="n">
        <x:v>0.028510944000000003</x:v>
      </x:c>
      <x:c r="Y860" s="38" t="n">
        <x:v>0.05898816</x:v>
      </x:c>
      <x:c r="Z860" s="38" t="n">
        <x:v>0.14279999999999998</x:v>
      </x:c>
      <x:c r="AA860" s="38" t="n">
        <x:v>0.049</x:v>
      </x:c>
      <x:c r="AB860" s="38" t="n">
        <x:v>0.0007840000000000001</x:v>
      </x:c>
      <x:c r="AC860" s="38" t="n">
        <x:v>0.28165289600000004</x:v>
      </x:c>
      <x:c r="AD860" s="28" t="n">
        <x:v>0.28648416495784923</x:v>
      </x:c>
    </x:row>
    <x:row r="861">
      <x:c r="A861" s="32" t="n">
        <x:v>45957</x:v>
      </x:c>
      <x:c r="B861" s="32" t="n">
        <x:v>45931</x:v>
      </x:c>
      <x:c r="C861" t="str">
        <x:v>Oct 2025</x:v>
      </x:c>
      <x:c r="D861" t="str">
        <x:v>Actual</x:v>
      </x:c>
      <x:c r="E861" t="str">
        <x:v>DB-105</x:v>
      </x:c>
      <x:c r="F861" t="str">
        <x:v>DreamFuel Refill Pack</x:v>
      </x:c>
      <x:c r="G861" t="str">
        <x:v>Subscription</x:v>
      </x:c>
      <x:c r="H861" t="str">
        <x:v>None</x:v>
      </x:c>
      <x:c r="I861" t="str">
        <x:v>Active</x:v>
      </x:c>
      <x:c r="J861" t="str">
        <x:v>Shopify DTC</x:v>
      </x:c>
      <x:c r="K861" t="str">
        <x:v>Consumer</x:v>
      </x:c>
      <x:c r="L861" t="str">
        <x:v>All Geographies</x:v>
      </x:c>
      <x:c r="M861" s="34" t="n">
        <x:v>4011</x:v>
      </x:c>
      <x:c r="N861" s="28" t="n">
        <x:v>0.03888</x:v>
      </x:c>
      <x:c r="O861" s="34" t="n">
        <x:v>156</x:v>
      </x:c>
      <x:c r="P861" s="34" t="n">
        <x:v>1</x:v>
      </x:c>
      <x:c r="Q861" s="34" t="n">
        <x:v>156</x:v>
      </x:c>
      <x:c r="R861" s="33" t="n">
        <x:v>56</x:v>
      </x:c>
      <x:c r="S861" s="38" t="n">
        <x:v>8.736</x:v>
      </x:c>
      <x:c r="T861" s="38" t="n">
        <x:v>0.6988800000000001</x:v>
      </x:c>
      <x:c r="U861" s="38" t="n">
        <x:v>0.1607424</x:v>
      </x:c>
      <x:c r="V861" s="38" t="n">
        <x:v>7.8763776</x:v>
      </x:c>
      <x:c r="W861" s="38" t="n">
        <x:v>2.90472</x:v>
      </x:c>
      <x:c r="X861" s="38" t="n">
        <x:v>0.2284149504</x:v>
      </x:c>
      <x:c r="Y861" s="38" t="n">
        <x:v>0</x:v>
      </x:c>
      <x:c r="Z861" s="38" t="n">
        <x:v>0.6474000000000001</x:v>
      </x:c>
      <x:c r="AA861" s="38" t="n">
        <x:v>0.25739999999999996</x:v>
      </x:c>
      <x:c r="AB861" s="38" t="n">
        <x:v>0.0005616</x:v>
      </x:c>
      <x:c r="AC861" s="38" t="n">
        <x:v>3.8378810495999987</x:v>
      </x:c>
      <x:c r="AD861" s="28" t="n">
        <x:v>0.48726473570794765</x:v>
      </x:c>
    </x:row>
    <x:row r="862">
      <x:c r="A862" s="32" t="n">
        <x:v>45957</x:v>
      </x:c>
      <x:c r="B862" s="32" t="n">
        <x:v>45931</x:v>
      </x:c>
      <x:c r="C862" t="str">
        <x:v>Oct 2025</x:v>
      </x:c>
      <x:c r="D862" t="str">
        <x:v>Actual</x:v>
      </x:c>
      <x:c r="E862" t="str">
        <x:v>DB-105</x:v>
      </x:c>
      <x:c r="F862" t="str">
        <x:v>DreamFuel Refill Pack</x:v>
      </x:c>
      <x:c r="G862" t="str">
        <x:v>Subscription</x:v>
      </x:c>
      <x:c r="H862" t="str">
        <x:v>None</x:v>
      </x:c>
      <x:c r="I862" t="str">
        <x:v>Active</x:v>
      </x:c>
      <x:c r="J862" t="str">
        <x:v>Amazon Marketplace</x:v>
      </x:c>
      <x:c r="K862" t="str">
        <x:v>Marketplace Consumer</x:v>
      </x:c>
      <x:c r="L862" t="str">
        <x:v>All Geographies</x:v>
      </x:c>
      <x:c r="M862" s="34" t="n">
        <x:v>2006</x:v>
      </x:c>
      <x:c r="N862" s="28" t="n">
        <x:v>0.0458784</x:v>
      </x:c>
      <x:c r="O862" s="34" t="n">
        <x:v>92</x:v>
      </x:c>
      <x:c r="P862" s="34" t="n">
        <x:v>1</x:v>
      </x:c>
      <x:c r="Q862" s="34" t="n">
        <x:v>92</x:v>
      </x:c>
      <x:c r="R862" s="33" t="n">
        <x:v>56</x:v>
      </x:c>
      <x:c r="S862" s="38" t="n">
        <x:v>5.152</x:v>
      </x:c>
      <x:c r="T862" s="38" t="n">
        <x:v>0.2576</x:v>
      </x:c>
      <x:c r="U862" s="38" t="n">
        <x:v>0.097888</x:v>
      </x:c>
      <x:c r="V862" s="38" t="n">
        <x:v>4.796512</x:v>
      </x:c>
      <x:c r="W862" s="38" t="n">
        <x:v>1.7130400000000001</x:v>
      </x:c>
      <x:c r="X862" s="38" t="n">
        <x:v>0</x:v>
      </x:c>
      <x:c r="Y862" s="38" t="n">
        <x:v>0.7194767999999999</x:v>
      </x:c>
      <x:c r="Z862" s="38" t="n">
        <x:v>0.47840000000000005</x:v>
      </x:c>
      <x:c r="AA862" s="38" t="n">
        <x:v>0.19779999999999998</x:v>
      </x:c>
      <x:c r="AB862" s="38" t="n">
        <x:v>0.0003312</x:v>
      </x:c>
      <x:c r="AC862" s="38" t="n">
        <x:v>1.6874639999999996</x:v>
      </x:c>
      <x:c r="AD862" s="28" t="n">
        <x:v>0.35181064907165865</x:v>
      </x:c>
    </x:row>
    <x:row r="863">
      <x:c r="A863" s="32" t="n">
        <x:v>45957</x:v>
      </x:c>
      <x:c r="B863" s="32" t="n">
        <x:v>45931</x:v>
      </x:c>
      <x:c r="C863" t="str">
        <x:v>Oct 2025</x:v>
      </x:c>
      <x:c r="D863" t="str">
        <x:v>Actual</x:v>
      </x:c>
      <x:c r="E863" t="str">
        <x:v>DB-105</x:v>
      </x:c>
      <x:c r="F863" t="str">
        <x:v>DreamFuel Refill Pack</x:v>
      </x:c>
      <x:c r="G863" t="str">
        <x:v>Subscription</x:v>
      </x:c>
      <x:c r="H863" t="str">
        <x:v>None</x:v>
      </x:c>
      <x:c r="I863" t="str">
        <x:v>Active</x:v>
      </x:c>
      <x:c r="J863" t="str">
        <x:v>Wholesale</x:v>
      </x:c>
      <x:c r="K863" t="str">
        <x:v>Retailer</x:v>
      </x:c>
      <x:c r="L863" t="str">
        <x:v>All Geographies</x:v>
      </x:c>
      <x:c r="M863" s="34" t="n">
        <x:v>1203</x:v>
      </x:c>
      <x:c r="N863" s="28" t="n">
        <x:v>0.021384000000000004</x:v>
      </x:c>
      <x:c r="O863" s="34" t="n">
        <x:v>26</x:v>
      </x:c>
      <x:c r="P863" s="34" t="n">
        <x:v>1</x:v>
      </x:c>
      <x:c r="Q863" s="34" t="n">
        <x:v>26</x:v>
      </x:c>
      <x:c r="R863" s="33" t="n">
        <x:v>56</x:v>
      </x:c>
      <x:c r="S863" s="38" t="n">
        <x:v>1.456</x:v>
      </x:c>
      <x:c r="T863" s="38" t="n">
        <x:v>0.5095999999999999</x:v>
      </x:c>
      <x:c r="U863" s="38" t="n">
        <x:v>0.018928</x:v>
      </x:c>
      <x:c r="V863" s="38" t="n">
        <x:v>0.9274720000000001</x:v>
      </x:c>
      <x:c r="W863" s="38" t="n">
        <x:v>0.48412</x:v>
      </x:c>
      <x:c r="X863" s="38" t="n">
        <x:v>0</x:v>
      </x:c>
      <x:c r="Y863" s="38" t="n">
        <x:v>0</x:v>
      </x:c>
      <x:c r="Z863" s="38" t="n">
        <x:v>0.0598</x:v>
      </x:c>
      <x:c r="AA863" s="38" t="n">
        <x:v>0.022099999999999998</x:v>
      </x:c>
      <x:c r="AB863" s="38" t="n">
        <x:v>0.0000936</x:v>
      </x:c>
      <x:c r="AC863" s="38" t="n">
        <x:v>0.3613584</x:v>
      </x:c>
      <x:c r="AD863" s="28" t="n">
        <x:v>0.38961650594303654</x:v>
      </x:c>
    </x:row>
    <x:row r="864">
      <x:c r="A864" s="32" t="n">
        <x:v>45957</x:v>
      </x:c>
      <x:c r="B864" s="32" t="n">
        <x:v>45931</x:v>
      </x:c>
      <x:c r="C864" t="str">
        <x:v>Oct 2025</x:v>
      </x:c>
      <x:c r="D864" t="str">
        <x:v>Actual</x:v>
      </x:c>
      <x:c r="E864" t="str">
        <x:v>DB-105</x:v>
      </x:c>
      <x:c r="F864" t="str">
        <x:v>DreamFuel Refill Pack</x:v>
      </x:c>
      <x:c r="G864" t="str">
        <x:v>Subscription</x:v>
      </x:c>
      <x:c r="H864" t="str">
        <x:v>None</x:v>
      </x:c>
      <x:c r="I864" t="str">
        <x:v>Active</x:v>
      </x:c>
      <x:c r="J864" t="str">
        <x:v>TikTok Shop</x:v>
      </x:c>
      <x:c r="K864" t="str">
        <x:v>Social Commerce</x:v>
      </x:c>
      <x:c r="L864" t="str">
        <x:v>All Geographies</x:v>
      </x:c>
      <x:c r="M864" s="34" t="n">
        <x:v>802</x:v>
      </x:c>
      <x:c r="N864" s="28" t="n">
        <x:v>0.0489888</x:v>
      </x:c>
      <x:c r="O864" s="34" t="n">
        <x:v>39</x:v>
      </x:c>
      <x:c r="P864" s="34" t="n">
        <x:v>1</x:v>
      </x:c>
      <x:c r="Q864" s="34" t="n">
        <x:v>39</x:v>
      </x:c>
      <x:c r="R864" s="33" t="n">
        <x:v>56</x:v>
      </x:c>
      <x:c r="S864" s="38" t="n">
        <x:v>2.184</x:v>
      </x:c>
      <x:c r="T864" s="38" t="n">
        <x:v>0.26208000000000004</x:v>
      </x:c>
      <x:c r="U864" s="38" t="n">
        <x:v>0.038438400000000005</x:v>
      </x:c>
      <x:c r="V864" s="38" t="n">
        <x:v>1.8834816</x:v>
      </x:c>
      <x:c r="W864" s="38" t="n">
        <x:v>0.72618</x:v>
      </x:c>
      <x:c r="X864" s="38" t="n">
        <x:v>0.054620966400000005</x:v>
      </x:c>
      <x:c r="Y864" s="38" t="n">
        <x:v>0.113008896</x:v>
      </x:c>
      <x:c r="Z864" s="38" t="n">
        <x:v>0.19889999999999997</x:v>
      </x:c>
      <x:c r="AA864" s="38" t="n">
        <x:v>0.06825</x:v>
      </x:c>
      <x:c r="AB864" s="38" t="n">
        <x:v>0.0001404</x:v>
      </x:c>
      <x:c r="AC864" s="38" t="n">
        <x:v>0.7223813376000001</x:v>
      </x:c>
      <x:c r="AD864" s="28" t="n">
        <x:v>0.38353511794328127</x:v>
      </x:c>
    </x:row>
    <x:row r="865">
      <x:c r="A865" s="32" t="n">
        <x:v>45964</x:v>
      </x:c>
      <x:c r="B865" s="32" t="n">
        <x:v>45962</x:v>
      </x:c>
      <x:c r="C865" t="str">
        <x:v>Nov 2025</x:v>
      </x:c>
      <x:c r="D865" t="str">
        <x:v>Actual</x:v>
      </x:c>
      <x:c r="E865" t="str">
        <x:v>DB-101</x:v>
      </x:c>
      <x:c r="F865" t="str">
        <x:v>AeroSip Bottle</x:v>
      </x:c>
      <x:c r="G865" t="str">
        <x:v>One-time purchase</x:v>
      </x:c>
      <x:c r="H865" t="str">
        <x:v>None</x:v>
      </x:c>
      <x:c r="I865" t="str">
        <x:v>Active</x:v>
      </x:c>
      <x:c r="J865" t="str">
        <x:v>Shopify DTC</x:v>
      </x:c>
      <x:c r="K865" t="str">
        <x:v>Consumer</x:v>
      </x:c>
      <x:c r="L865" t="str">
        <x:v>All Geographies</x:v>
      </x:c>
      <x:c r="M865" s="34" t="n">
        <x:v>5814</x:v>
      </x:c>
      <x:c r="N865" s="28" t="n">
        <x:v>0.034199999999999994</x:v>
      </x:c>
      <x:c r="O865" s="34" t="n">
        <x:v>199</x:v>
      </x:c>
      <x:c r="P865" s="34" t="n">
        <x:v>1</x:v>
      </x:c>
      <x:c r="Q865" s="34" t="n">
        <x:v>199</x:v>
      </x:c>
      <x:c r="R865" s="33" t="n">
        <x:v>29</x:v>
      </x:c>
      <x:c r="S865" s="38" t="n">
        <x:v>5.771</x:v>
      </x:c>
      <x:c r="T865" s="38" t="n">
        <x:v>0.46168</x:v>
      </x:c>
      <x:c r="U865" s="38" t="n">
        <x:v>0.23891939999999998</x:v>
      </x:c>
      <x:c r="V865" s="38" t="n">
        <x:v>5.070400599999999</x:v>
      </x:c>
      <x:c r="W865" s="38" t="n">
        <x:v>2.1492000000000004</x:v>
      </x:c>
      <x:c r="X865" s="38" t="n">
        <x:v>0.1470416174</x:v>
      </x:c>
      <x:c r="Y865" s="38" t="n">
        <x:v>0</x:v>
      </x:c>
      <x:c r="Z865" s="38" t="n">
        <x:v>0.82585</x:v>
      </x:c>
      <x:c r="AA865" s="38" t="n">
        <x:v>0.32835</x:v>
      </x:c>
      <x:c r="AB865" s="38" t="n">
        <x:v>0.007163999999999999</x:v>
      </x:c>
      <x:c r="AC865" s="38" t="n">
        <x:v>1.6127949825999988</x:v>
      </x:c>
      <x:c r="AD865" s="28" t="n">
        <x:v>0.3180803865083163</x:v>
      </x:c>
    </x:row>
    <x:row r="866">
      <x:c r="A866" s="32" t="n">
        <x:v>45964</x:v>
      </x:c>
      <x:c r="B866" s="32" t="n">
        <x:v>45962</x:v>
      </x:c>
      <x:c r="C866" t="str">
        <x:v>Nov 2025</x:v>
      </x:c>
      <x:c r="D866" t="str">
        <x:v>Actual</x:v>
      </x:c>
      <x:c r="E866" t="str">
        <x:v>DB-101</x:v>
      </x:c>
      <x:c r="F866" t="str">
        <x:v>AeroSip Bottle</x:v>
      </x:c>
      <x:c r="G866" t="str">
        <x:v>One-time purchase</x:v>
      </x:c>
      <x:c r="H866" t="str">
        <x:v>None</x:v>
      </x:c>
      <x:c r="I866" t="str">
        <x:v>Active</x:v>
      </x:c>
      <x:c r="J866" t="str">
        <x:v>Amazon Marketplace</x:v>
      </x:c>
      <x:c r="K866" t="str">
        <x:v>Marketplace Consumer</x:v>
      </x:c>
      <x:c r="L866" t="str">
        <x:v>All Geographies</x:v>
      </x:c>
      <x:c r="M866" s="34" t="n">
        <x:v>2907</x:v>
      </x:c>
      <x:c r="N866" s="28" t="n">
        <x:v>0.040355999999999996</x:v>
      </x:c>
      <x:c r="O866" s="34" t="n">
        <x:v>117</x:v>
      </x:c>
      <x:c r="P866" s="34" t="n">
        <x:v>1</x:v>
      </x:c>
      <x:c r="Q866" s="34" t="n">
        <x:v>117</x:v>
      </x:c>
      <x:c r="R866" s="33" t="n">
        <x:v>29</x:v>
      </x:c>
      <x:c r="S866" s="38" t="n">
        <x:v>3.393</x:v>
      </x:c>
      <x:c r="T866" s="38" t="n">
        <x:v>0.16965</x:v>
      </x:c>
      <x:c r="U866" s="38" t="n">
        <x:v>0.14505074999999998</x:v>
      </x:c>
      <x:c r="V866" s="38" t="n">
        <x:v>3.07829925</x:v>
      </x:c>
      <x:c r="W866" s="38" t="n">
        <x:v>1.2636</x:v>
      </x:c>
      <x:c r="X866" s="38" t="n">
        <x:v>0</x:v>
      </x:c>
      <x:c r="Y866" s="38" t="n">
        <x:v>0.4617448875</x:v>
      </x:c>
      <x:c r="Z866" s="38" t="n">
        <x:v>0.6083999999999999</x:v>
      </x:c>
      <x:c r="AA866" s="38" t="n">
        <x:v>0.25155</x:v>
      </x:c>
      <x:c r="AB866" s="38" t="n">
        <x:v>0.0042120000000000005</x:v>
      </x:c>
      <x:c r="AC866" s="38" t="n">
        <x:v>0.4887923625000003</x:v>
      </x:c>
      <x:c r="AD866" s="28" t="n">
        <x:v>0.15878649955815707</x:v>
      </x:c>
    </x:row>
    <x:row r="867">
      <x:c r="A867" s="32" t="n">
        <x:v>45964</x:v>
      </x:c>
      <x:c r="B867" s="32" t="n">
        <x:v>45962</x:v>
      </x:c>
      <x:c r="C867" t="str">
        <x:v>Nov 2025</x:v>
      </x:c>
      <x:c r="D867" t="str">
        <x:v>Actual</x:v>
      </x:c>
      <x:c r="E867" t="str">
        <x:v>DB-101</x:v>
      </x:c>
      <x:c r="F867" t="str">
        <x:v>AeroSip Bottle</x:v>
      </x:c>
      <x:c r="G867" t="str">
        <x:v>One-time purchase</x:v>
      </x:c>
      <x:c r="H867" t="str">
        <x:v>None</x:v>
      </x:c>
      <x:c r="I867" t="str">
        <x:v>Active</x:v>
      </x:c>
      <x:c r="J867" t="str">
        <x:v>Wholesale</x:v>
      </x:c>
      <x:c r="K867" t="str">
        <x:v>Retailer</x:v>
      </x:c>
      <x:c r="L867" t="str">
        <x:v>All Geographies</x:v>
      </x:c>
      <x:c r="M867" s="34" t="n">
        <x:v>1744</x:v>
      </x:c>
      <x:c r="N867" s="28" t="n">
        <x:v>0.01881</x:v>
      </x:c>
      <x:c r="O867" s="34" t="n">
        <x:v>33</x:v>
      </x:c>
      <x:c r="P867" s="34" t="n">
        <x:v>1</x:v>
      </x:c>
      <x:c r="Q867" s="34" t="n">
        <x:v>33</x:v>
      </x:c>
      <x:c r="R867" s="33" t="n">
        <x:v>29</x:v>
      </x:c>
      <x:c r="S867" s="38" t="n">
        <x:v>0.957</x:v>
      </x:c>
      <x:c r="T867" s="38" t="n">
        <x:v>0.33494999999999997</x:v>
      </x:c>
      <x:c r="U867" s="38" t="n">
        <x:v>0.02799225</x:v>
      </x:c>
      <x:c r="V867" s="38" t="n">
        <x:v>0.5940577499999999</x:v>
      </x:c>
      <x:c r="W867" s="38" t="n">
        <x:v>0.35640000000000005</x:v>
      </x:c>
      <x:c r="X867" s="38" t="n">
        <x:v>0</x:v>
      </x:c>
      <x:c r="Y867" s="38" t="n">
        <x:v>0</x:v>
      </x:c>
      <x:c r="Z867" s="38" t="n">
        <x:v>0.0759</x:v>
      </x:c>
      <x:c r="AA867" s="38" t="n">
        <x:v>0.028050000000000002</x:v>
      </x:c>
      <x:c r="AB867" s="38" t="n">
        <x:v>0.0011880000000000003</x:v>
      </x:c>
      <x:c r="AC867" s="38" t="n">
        <x:v>0.1325197499999999</x:v>
      </x:c>
      <x:c r="AD867" s="28" t="n">
        <x:v>0.2230755343230518</x:v>
      </x:c>
    </x:row>
    <x:row r="868">
      <x:c r="A868" s="32" t="n">
        <x:v>45964</x:v>
      </x:c>
      <x:c r="B868" s="32" t="n">
        <x:v>45962</x:v>
      </x:c>
      <x:c r="C868" t="str">
        <x:v>Nov 2025</x:v>
      </x:c>
      <x:c r="D868" t="str">
        <x:v>Actual</x:v>
      </x:c>
      <x:c r="E868" t="str">
        <x:v>DB-101</x:v>
      </x:c>
      <x:c r="F868" t="str">
        <x:v>AeroSip Bottle</x:v>
      </x:c>
      <x:c r="G868" t="str">
        <x:v>One-time purchase</x:v>
      </x:c>
      <x:c r="H868" t="str">
        <x:v>None</x:v>
      </x:c>
      <x:c r="I868" t="str">
        <x:v>Active</x:v>
      </x:c>
      <x:c r="J868" t="str">
        <x:v>TikTok Shop</x:v>
      </x:c>
      <x:c r="K868" t="str">
        <x:v>Social Commerce</x:v>
      </x:c>
      <x:c r="L868" t="str">
        <x:v>All Geographies</x:v>
      </x:c>
      <x:c r="M868" s="34" t="n">
        <x:v>1163</x:v>
      </x:c>
      <x:c r="N868" s="28" t="n">
        <x:v>0.043092</x:v>
      </x:c>
      <x:c r="O868" s="34" t="n">
        <x:v>50</x:v>
      </x:c>
      <x:c r="P868" s="34" t="n">
        <x:v>1</x:v>
      </x:c>
      <x:c r="Q868" s="34" t="n">
        <x:v>50</x:v>
      </x:c>
      <x:c r="R868" s="33" t="n">
        <x:v>29</x:v>
      </x:c>
      <x:c r="S868" s="38" t="n">
        <x:v>1.45</x:v>
      </x:c>
      <x:c r="T868" s="38" t="n">
        <x:v>0.174</x:v>
      </x:c>
      <x:c r="U868" s="38" t="n">
        <x:v>0.05742</x:v>
      </x:c>
      <x:c r="V868" s="38" t="n">
        <x:v>1.21858</x:v>
      </x:c>
      <x:c r="W868" s="38" t="n">
        <x:v>0.54</x:v>
      </x:c>
      <x:c r="X868" s="38" t="n">
        <x:v>0.03533882</x:v>
      </x:c>
      <x:c r="Y868" s="38" t="n">
        <x:v>0.0731148</x:v>
      </x:c>
      <x:c r="Z868" s="38" t="n">
        <x:v>0.25499999999999995</x:v>
      </x:c>
      <x:c r="AA868" s="38" t="n">
        <x:v>0.0875</x:v>
      </x:c>
      <x:c r="AB868" s="38" t="n">
        <x:v>0.0017999999999999997</x:v>
      </x:c>
      <x:c r="AC868" s="38" t="n">
        <x:v>0.22582638</x:v>
      </x:c>
      <x:c r="AD868" s="28" t="n">
        <x:v>0.18531928966501993</x:v>
      </x:c>
    </x:row>
    <x:row r="869">
      <x:c r="A869" s="32" t="n">
        <x:v>45964</x:v>
      </x:c>
      <x:c r="B869" s="32" t="n">
        <x:v>45962</x:v>
      </x:c>
      <x:c r="C869" t="str">
        <x:v>Nov 2025</x:v>
      </x:c>
      <x:c r="D869" t="str">
        <x:v>Actual</x:v>
      </x:c>
      <x:c r="E869" t="str">
        <x:v>DB-102</x:v>
      </x:c>
      <x:c r="F869" t="str">
        <x:v>GlowPatch Balm</x:v>
      </x:c>
      <x:c r="G869" t="str">
        <x:v>Consumable repeat</x:v>
      </x:c>
      <x:c r="H869" t="str">
        <x:v>None</x:v>
      </x:c>
      <x:c r="I869" t="str">
        <x:v>Active</x:v>
      </x:c>
      <x:c r="J869" t="str">
        <x:v>Shopify DTC</x:v>
      </x:c>
      <x:c r="K869" t="str">
        <x:v>Consumer</x:v>
      </x:c>
      <x:c r="L869" t="str">
        <x:v>All Geographies</x:v>
      </x:c>
      <x:c r="M869" s="34" t="n">
        <x:v>4696</x:v>
      </x:c>
      <x:c r="N869" s="28" t="n">
        <x:v>0.04248</x:v>
      </x:c>
      <x:c r="O869" s="34" t="n">
        <x:v>199</x:v>
      </x:c>
      <x:c r="P869" s="34" t="n">
        <x:v>1</x:v>
      </x:c>
      <x:c r="Q869" s="34" t="n">
        <x:v>199</x:v>
      </x:c>
      <x:c r="R869" s="33" t="n">
        <x:v>18</x:v>
      </x:c>
      <x:c r="S869" s="38" t="n">
        <x:v>3.582</x:v>
      </x:c>
      <x:c r="T869" s="38" t="n">
        <x:v>0.28656</x:v>
      </x:c>
      <x:c r="U869" s="38" t="n">
        <x:v>0.082386</x:v>
      </x:c>
      <x:c r="V869" s="38" t="n">
        <x:v>3.2130539999999996</x:v>
      </x:c>
      <x:c r="W869" s="38" t="n">
        <x:v>1.07659</x:v>
      </x:c>
      <x:c r="X869" s="38" t="n">
        <x:v>0.09317856599999999</x:v>
      </x:c>
      <x:c r="Y869" s="38" t="n">
        <x:v>0</x:v>
      </x:c>
      <x:c r="Z869" s="38" t="n">
        <x:v>0.82585</x:v>
      </x:c>
      <x:c r="AA869" s="38" t="n">
        <x:v>0.32835</x:v>
      </x:c>
      <x:c r="AB869" s="38" t="n">
        <x:v>0.001194</x:v>
      </x:c>
      <x:c r="AC869" s="38" t="n">
        <x:v>0.8878914339999996</x:v>
      </x:c>
      <x:c r="AD869" s="28" t="n">
        <x:v>0.2763387835996531</x:v>
      </x:c>
    </x:row>
    <x:row r="870">
      <x:c r="A870" s="32" t="n">
        <x:v>45964</x:v>
      </x:c>
      <x:c r="B870" s="32" t="n">
        <x:v>45962</x:v>
      </x:c>
      <x:c r="C870" t="str">
        <x:v>Nov 2025</x:v>
      </x:c>
      <x:c r="D870" t="str">
        <x:v>Actual</x:v>
      </x:c>
      <x:c r="E870" t="str">
        <x:v>DB-102</x:v>
      </x:c>
      <x:c r="F870" t="str">
        <x:v>GlowPatch Balm</x:v>
      </x:c>
      <x:c r="G870" t="str">
        <x:v>Consumable repeat</x:v>
      </x:c>
      <x:c r="H870" t="str">
        <x:v>None</x:v>
      </x:c>
      <x:c r="I870" t="str">
        <x:v>Active</x:v>
      </x:c>
      <x:c r="J870" t="str">
        <x:v>Amazon Marketplace</x:v>
      </x:c>
      <x:c r="K870" t="str">
        <x:v>Marketplace Consumer</x:v>
      </x:c>
      <x:c r="L870" t="str">
        <x:v>All Geographies</x:v>
      </x:c>
      <x:c r="M870" s="34" t="n">
        <x:v>2348</x:v>
      </x:c>
      <x:c r="N870" s="28" t="n">
        <x:v>0.050126399999999995</x:v>
      </x:c>
      <x:c r="O870" s="34" t="n">
        <x:v>118</x:v>
      </x:c>
      <x:c r="P870" s="34" t="n">
        <x:v>1</x:v>
      </x:c>
      <x:c r="Q870" s="34" t="n">
        <x:v>118</x:v>
      </x:c>
      <x:c r="R870" s="33" t="n">
        <x:v>18</x:v>
      </x:c>
      <x:c r="S870" s="38" t="n">
        <x:v>2.124</x:v>
      </x:c>
      <x:c r="T870" s="38" t="n">
        <x:v>0.10620000000000002</x:v>
      </x:c>
      <x:c r="U870" s="38" t="n">
        <x:v>0.05044500000000001</x:v>
      </x:c>
      <x:c r="V870" s="38" t="n">
        <x:v>1.9673550000000002</x:v>
      </x:c>
      <x:c r="W870" s="38" t="n">
        <x:v>0.63838</x:v>
      </x:c>
      <x:c r="X870" s="38" t="n">
        <x:v>0</x:v>
      </x:c>
      <x:c r="Y870" s="38" t="n">
        <x:v>0.29510325000000004</x:v>
      </x:c>
      <x:c r="Z870" s="38" t="n">
        <x:v>0.6136</x:v>
      </x:c>
      <x:c r="AA870" s="38" t="n">
        <x:v>0.2537</x:v>
      </x:c>
      <x:c r="AB870" s="38" t="n">
        <x:v>0.0007080000000000001</x:v>
      </x:c>
      <x:c r="AC870" s="38" t="n">
        <x:v>0.1658637500000003</x:v>
      </x:c>
      <x:c r="AD870" s="28" t="n">
        <x:v>0.08430799220272919</x:v>
      </x:c>
    </x:row>
    <x:row r="871">
      <x:c r="A871" s="32" t="n">
        <x:v>45964</x:v>
      </x:c>
      <x:c r="B871" s="32" t="n">
        <x:v>45962</x:v>
      </x:c>
      <x:c r="C871" t="str">
        <x:v>Nov 2025</x:v>
      </x:c>
      <x:c r="D871" t="str">
        <x:v>Actual</x:v>
      </x:c>
      <x:c r="E871" t="str">
        <x:v>DB-102</x:v>
      </x:c>
      <x:c r="F871" t="str">
        <x:v>GlowPatch Balm</x:v>
      </x:c>
      <x:c r="G871" t="str">
        <x:v>Consumable repeat</x:v>
      </x:c>
      <x:c r="H871" t="str">
        <x:v>None</x:v>
      </x:c>
      <x:c r="I871" t="str">
        <x:v>Active</x:v>
      </x:c>
      <x:c r="J871" t="str">
        <x:v>Wholesale</x:v>
      </x:c>
      <x:c r="K871" t="str">
        <x:v>Retailer</x:v>
      </x:c>
      <x:c r="L871" t="str">
        <x:v>All Geographies</x:v>
      </x:c>
      <x:c r="M871" s="34" t="n">
        <x:v>1409</x:v>
      </x:c>
      <x:c r="N871" s="28" t="n">
        <x:v>0.023364</x:v>
      </x:c>
      <x:c r="O871" s="34" t="n">
        <x:v>33</x:v>
      </x:c>
      <x:c r="P871" s="34" t="n">
        <x:v>1</x:v>
      </x:c>
      <x:c r="Q871" s="34" t="n">
        <x:v>33</x:v>
      </x:c>
      <x:c r="R871" s="33" t="n">
        <x:v>18</x:v>
      </x:c>
      <x:c r="S871" s="38" t="n">
        <x:v>0.594</x:v>
      </x:c>
      <x:c r="T871" s="38" t="n">
        <x:v>0.20789999999999997</x:v>
      </x:c>
      <x:c r="U871" s="38" t="n">
        <x:v>0.009652500000000001</x:v>
      </x:c>
      <x:c r="V871" s="38" t="n">
        <x:v>0.3764475</x:v>
      </x:c>
      <x:c r="W871" s="38" t="n">
        <x:v>0.17853</x:v>
      </x:c>
      <x:c r="X871" s="38" t="n">
        <x:v>0</x:v>
      </x:c>
      <x:c r="Y871" s="38" t="n">
        <x:v>0</x:v>
      </x:c>
      <x:c r="Z871" s="38" t="n">
        <x:v>0.0759</x:v>
      </x:c>
      <x:c r="AA871" s="38" t="n">
        <x:v>0.028050000000000002</x:v>
      </x:c>
      <x:c r="AB871" s="38" t="n">
        <x:v>0.00019800000000000002</x:v>
      </x:c>
      <x:c r="AC871" s="38" t="n">
        <x:v>0.09376949999999999</x:v>
      </x:c>
      <x:c r="AD871" s="28" t="n">
        <x:v>0.24909051062897214</x:v>
      </x:c>
    </x:row>
    <x:row r="872">
      <x:c r="A872" s="32" t="n">
        <x:v>45964</x:v>
      </x:c>
      <x:c r="B872" s="32" t="n">
        <x:v>45962</x:v>
      </x:c>
      <x:c r="C872" t="str">
        <x:v>Nov 2025</x:v>
      </x:c>
      <x:c r="D872" t="str">
        <x:v>Actual</x:v>
      </x:c>
      <x:c r="E872" t="str">
        <x:v>DB-102</x:v>
      </x:c>
      <x:c r="F872" t="str">
        <x:v>GlowPatch Balm</x:v>
      </x:c>
      <x:c r="G872" t="str">
        <x:v>Consumable repeat</x:v>
      </x:c>
      <x:c r="H872" t="str">
        <x:v>None</x:v>
      </x:c>
      <x:c r="I872" t="str">
        <x:v>Active</x:v>
      </x:c>
      <x:c r="J872" t="str">
        <x:v>TikTok Shop</x:v>
      </x:c>
      <x:c r="K872" t="str">
        <x:v>Social Commerce</x:v>
      </x:c>
      <x:c r="L872" t="str">
        <x:v>All Geographies</x:v>
      </x:c>
      <x:c r="M872" s="34" t="n">
        <x:v>939</x:v>
      </x:c>
      <x:c r="N872" s="28" t="n">
        <x:v>0.0535248</x:v>
      </x:c>
      <x:c r="O872" s="34" t="n">
        <x:v>50</x:v>
      </x:c>
      <x:c r="P872" s="34" t="n">
        <x:v>1</x:v>
      </x:c>
      <x:c r="Q872" s="34" t="n">
        <x:v>50</x:v>
      </x:c>
      <x:c r="R872" s="33" t="n">
        <x:v>18</x:v>
      </x:c>
      <x:c r="S872" s="38" t="n">
        <x:v>0.9</x:v>
      </x:c>
      <x:c r="T872" s="38" t="n">
        <x:v>0.108</x:v>
      </x:c>
      <x:c r="U872" s="38" t="n">
        <x:v>0.0198</x:v>
      </x:c>
      <x:c r="V872" s="38" t="n">
        <x:v>0.7722</x:v>
      </x:c>
      <x:c r="W872" s="38" t="n">
        <x:v>0.2705</x:v>
      </x:c>
      <x:c r="X872" s="38" t="n">
        <x:v>0.022393800000000002</x:v>
      </x:c>
      <x:c r="Y872" s="38" t="n">
        <x:v>0.046332</x:v>
      </x:c>
      <x:c r="Z872" s="38" t="n">
        <x:v>0.25499999999999995</x:v>
      </x:c>
      <x:c r="AA872" s="38" t="n">
        <x:v>0.0875</x:v>
      </x:c>
      <x:c r="AB872" s="38" t="n">
        <x:v>0.00030000000000000003</x:v>
      </x:c>
      <x:c r="AC872" s="38" t="n">
        <x:v>0.0901742000000001</x:v>
      </x:c>
      <x:c r="AD872" s="28" t="n">
        <x:v>0.1167757057757059</x:v>
      </x:c>
    </x:row>
    <x:row r="873">
      <x:c r="A873" s="32" t="n">
        <x:v>45964</x:v>
      </x:c>
      <x:c r="B873" s="32" t="n">
        <x:v>45962</x:v>
      </x:c>
      <x:c r="C873" t="str">
        <x:v>Nov 2025</x:v>
      </x:c>
      <x:c r="D873" t="str">
        <x:v>Actual</x:v>
      </x:c>
      <x:c r="E873" t="str">
        <x:v>DB-103</x:v>
      </x:c>
      <x:c r="F873" t="str">
        <x:v>EmberTrail Camp Mug</x:v>
      </x:c>
      <x:c r="G873" t="str">
        <x:v>One-time purchase</x:v>
      </x:c>
      <x:c r="H873" t="str">
        <x:v>Winter peak</x:v>
      </x:c>
      <x:c r="I873" t="str">
        <x:v>Active</x:v>
      </x:c>
      <x:c r="J873" t="str">
        <x:v>Shopify DTC</x:v>
      </x:c>
      <x:c r="K873" t="str">
        <x:v>Consumer</x:v>
      </x:c>
      <x:c r="L873" t="str">
        <x:v>All Geographies</x:v>
      </x:c>
      <x:c r="M873" s="34" t="n">
        <x:v>5716</x:v>
      </x:c>
      <x:c r="N873" s="28" t="n">
        <x:v>0.0324</x:v>
      </x:c>
      <x:c r="O873" s="34" t="n">
        <x:v>185</x:v>
      </x:c>
      <x:c r="P873" s="34" t="n">
        <x:v>1</x:v>
      </x:c>
      <x:c r="Q873" s="34" t="n">
        <x:v>185</x:v>
      </x:c>
      <x:c r="R873" s="33" t="n">
        <x:v>34</x:v>
      </x:c>
      <x:c r="S873" s="38" t="n">
        <x:v>6.29</x:v>
      </x:c>
      <x:c r="T873" s="38" t="n">
        <x:v>0.5032</x:v>
      </x:c>
      <x:c r="U873" s="38" t="n">
        <x:v>0.318274</x:v>
      </x:c>
      <x:c r="V873" s="38" t="n">
        <x:v>5.468526000000001</x:v>
      </x:c>
      <x:c r="W873" s="38" t="n">
        <x:v>2.52895</x:v>
      </x:c>
      <x:c r="X873" s="38" t="n">
        <x:v>0.15858725400000004</x:v>
      </x:c>
      <x:c r="Y873" s="38" t="n">
        <x:v>0</x:v>
      </x:c>
      <x:c r="Z873" s="38" t="n">
        <x:v>0.7677500000000002</x:v>
      </x:c>
      <x:c r="AA873" s="38" t="n">
        <x:v>0.30525</x:v>
      </x:c>
      <x:c r="AB873" s="38" t="n">
        <x:v>0.01036</x:v>
      </x:c>
      <x:c r="AC873" s="38" t="n">
        <x:v>1.6976287460000008</x:v>
      </x:c>
      <x:c r="AD873" s="28" t="n">
        <x:v>0.31043625759482546</x:v>
      </x:c>
    </x:row>
    <x:row r="874">
      <x:c r="A874" s="32" t="n">
        <x:v>45964</x:v>
      </x:c>
      <x:c r="B874" s="32" t="n">
        <x:v>45962</x:v>
      </x:c>
      <x:c r="C874" t="str">
        <x:v>Nov 2025</x:v>
      </x:c>
      <x:c r="D874" t="str">
        <x:v>Actual</x:v>
      </x:c>
      <x:c r="E874" t="str">
        <x:v>DB-103</x:v>
      </x:c>
      <x:c r="F874" t="str">
        <x:v>EmberTrail Camp Mug</x:v>
      </x:c>
      <x:c r="G874" t="str">
        <x:v>One-time purchase</x:v>
      </x:c>
      <x:c r="H874" t="str">
        <x:v>Winter peak</x:v>
      </x:c>
      <x:c r="I874" t="str">
        <x:v>Active</x:v>
      </x:c>
      <x:c r="J874" t="str">
        <x:v>Amazon Marketplace</x:v>
      </x:c>
      <x:c r="K874" t="str">
        <x:v>Marketplace Consumer</x:v>
      </x:c>
      <x:c r="L874" t="str">
        <x:v>All Geographies</x:v>
      </x:c>
      <x:c r="M874" s="34" t="n">
        <x:v>2858</x:v>
      </x:c>
      <x:c r="N874" s="28" t="n">
        <x:v>0.038231999999999995</x:v>
      </x:c>
      <x:c r="O874" s="34" t="n">
        <x:v>109</x:v>
      </x:c>
      <x:c r="P874" s="34" t="n">
        <x:v>1</x:v>
      </x:c>
      <x:c r="Q874" s="34" t="n">
        <x:v>109</x:v>
      </x:c>
      <x:c r="R874" s="33" t="n">
        <x:v>34</x:v>
      </x:c>
      <x:c r="S874" s="38" t="n">
        <x:v>3.706</x:v>
      </x:c>
      <x:c r="T874" s="38" t="n">
        <x:v>0.18530000000000002</x:v>
      </x:c>
      <x:c r="U874" s="38" t="n">
        <x:v>0.1936385</x:v>
      </x:c>
      <x:c r="V874" s="38" t="n">
        <x:v>3.3270614999999997</x:v>
      </x:c>
      <x:c r="W874" s="38" t="n">
        <x:v>1.49003</x:v>
      </x:c>
      <x:c r="X874" s="38" t="n">
        <x:v>0</x:v>
      </x:c>
      <x:c r="Y874" s="38" t="n">
        <x:v>0.49905922499999994</x:v>
      </x:c>
      <x:c r="Z874" s="38" t="n">
        <x:v>0.5668000000000001</x:v>
      </x:c>
      <x:c r="AA874" s="38" t="n">
        <x:v>0.23435</x:v>
      </x:c>
      <x:c r="AB874" s="38" t="n">
        <x:v>0.006104</x:v>
      </x:c>
      <x:c r="AC874" s="38" t="n">
        <x:v>0.5307182749999998</x:v>
      </x:c>
      <x:c r="AD874" s="28" t="n">
        <x:v>0.1595156191131423</x:v>
      </x:c>
    </x:row>
    <x:row r="875">
      <x:c r="A875" s="32" t="n">
        <x:v>45964</x:v>
      </x:c>
      <x:c r="B875" s="32" t="n">
        <x:v>45962</x:v>
      </x:c>
      <x:c r="C875" t="str">
        <x:v>Nov 2025</x:v>
      </x:c>
      <x:c r="D875" t="str">
        <x:v>Actual</x:v>
      </x:c>
      <x:c r="E875" t="str">
        <x:v>DB-103</x:v>
      </x:c>
      <x:c r="F875" t="str">
        <x:v>EmberTrail Camp Mug</x:v>
      </x:c>
      <x:c r="G875" t="str">
        <x:v>One-time purchase</x:v>
      </x:c>
      <x:c r="H875" t="str">
        <x:v>Winter peak</x:v>
      </x:c>
      <x:c r="I875" t="str">
        <x:v>Active</x:v>
      </x:c>
      <x:c r="J875" t="str">
        <x:v>Wholesale</x:v>
      </x:c>
      <x:c r="K875" t="str">
        <x:v>Retailer</x:v>
      </x:c>
      <x:c r="L875" t="str">
        <x:v>All Geographies</x:v>
      </x:c>
      <x:c r="M875" s="34" t="n">
        <x:v>1715</x:v>
      </x:c>
      <x:c r="N875" s="28" t="n">
        <x:v>0.017820000000000003</x:v>
      </x:c>
      <x:c r="O875" s="34" t="n">
        <x:v>31</x:v>
      </x:c>
      <x:c r="P875" s="34" t="n">
        <x:v>1</x:v>
      </x:c>
      <x:c r="Q875" s="34" t="n">
        <x:v>31</x:v>
      </x:c>
      <x:c r="R875" s="33" t="n">
        <x:v>34</x:v>
      </x:c>
      <x:c r="S875" s="38" t="n">
        <x:v>1.054</x:v>
      </x:c>
      <x:c r="T875" s="38" t="n">
        <x:v>0.3689</x:v>
      </x:c>
      <x:c r="U875" s="38" t="n">
        <x:v>0.037680500000000006</x:v>
      </x:c>
      <x:c r="V875" s="38" t="n">
        <x:v>0.6474195</x:v>
      </x:c>
      <x:c r="W875" s="38" t="n">
        <x:v>0.42377</x:v>
      </x:c>
      <x:c r="X875" s="38" t="n">
        <x:v>0</x:v>
      </x:c>
      <x:c r="Y875" s="38" t="n">
        <x:v>0</x:v>
      </x:c>
      <x:c r="Z875" s="38" t="n">
        <x:v>0.0713</x:v>
      </x:c>
      <x:c r="AA875" s="38" t="n">
        <x:v>0.02635</x:v>
      </x:c>
      <x:c r="AB875" s="38" t="n">
        <x:v>0.001736</x:v>
      </x:c>
      <x:c r="AC875" s="38" t="n">
        <x:v>0.12426350000000004</x:v>
      </x:c>
      <x:c r="AD875" s="28" t="n">
        <x:v>0.19193660370130963</x:v>
      </x:c>
    </x:row>
    <x:row r="876">
      <x:c r="A876" s="32" t="n">
        <x:v>45964</x:v>
      </x:c>
      <x:c r="B876" s="32" t="n">
        <x:v>45962</x:v>
      </x:c>
      <x:c r="C876" t="str">
        <x:v>Nov 2025</x:v>
      </x:c>
      <x:c r="D876" t="str">
        <x:v>Actual</x:v>
      </x:c>
      <x:c r="E876" t="str">
        <x:v>DB-103</x:v>
      </x:c>
      <x:c r="F876" t="str">
        <x:v>EmberTrail Camp Mug</x:v>
      </x:c>
      <x:c r="G876" t="str">
        <x:v>One-time purchase</x:v>
      </x:c>
      <x:c r="H876" t="str">
        <x:v>Winter peak</x:v>
      </x:c>
      <x:c r="I876" t="str">
        <x:v>Active</x:v>
      </x:c>
      <x:c r="J876" t="str">
        <x:v>TikTok Shop</x:v>
      </x:c>
      <x:c r="K876" t="str">
        <x:v>Social Commerce</x:v>
      </x:c>
      <x:c r="L876" t="str">
        <x:v>All Geographies</x:v>
      </x:c>
      <x:c r="M876" s="34" t="n">
        <x:v>1143</x:v>
      </x:c>
      <x:c r="N876" s="28" t="n">
        <x:v>0.040824</x:v>
      </x:c>
      <x:c r="O876" s="34" t="n">
        <x:v>47</x:v>
      </x:c>
      <x:c r="P876" s="34" t="n">
        <x:v>1</x:v>
      </x:c>
      <x:c r="Q876" s="34" t="n">
        <x:v>47</x:v>
      </x:c>
      <x:c r="R876" s="33" t="n">
        <x:v>34</x:v>
      </x:c>
      <x:c r="S876" s="38" t="n">
        <x:v>1.598</x:v>
      </x:c>
      <x:c r="T876" s="38" t="n">
        <x:v>0.19176</x:v>
      </x:c>
      <x:c r="U876" s="38" t="n">
        <x:v>0.07734320000000001</x:v>
      </x:c>
      <x:c r="V876" s="38" t="n">
        <x:v>1.3288968</x:v>
      </x:c>
      <x:c r="W876" s="38" t="n">
        <x:v>0.64249</x:v>
      </x:c>
      <x:c r="X876" s="38" t="n">
        <x:v>0.0385380072</x:v>
      </x:c>
      <x:c r="Y876" s="38" t="n">
        <x:v>0.079733808</x:v>
      </x:c>
      <x:c r="Z876" s="38" t="n">
        <x:v>0.2397</x:v>
      </x:c>
      <x:c r="AA876" s="38" t="n">
        <x:v>0.08225</x:v>
      </x:c>
      <x:c r="AB876" s="38" t="n">
        <x:v>0.0026320000000000002</x:v>
      </x:c>
      <x:c r="AC876" s="38" t="n">
        <x:v>0.24355298480000012</x:v>
      </x:c>
      <x:c r="AD876" s="28" t="n">
        <x:v>0.18327456639221354</x:v>
      </x:c>
    </x:row>
    <x:row r="877">
      <x:c r="A877" s="32" t="n">
        <x:v>45964</x:v>
      </x:c>
      <x:c r="B877" s="32" t="n">
        <x:v>45962</x:v>
      </x:c>
      <x:c r="C877" t="str">
        <x:v>Nov 2025</x:v>
      </x:c>
      <x:c r="D877" t="str">
        <x:v>Actual</x:v>
      </x:c>
      <x:c r="E877" t="str">
        <x:v>DB-104</x:v>
      </x:c>
      <x:c r="F877" t="str">
        <x:v>SunNest Cooling Towel</x:v>
      </x:c>
      <x:c r="G877" t="str">
        <x:v>Consumable repeat</x:v>
      </x:c>
      <x:c r="H877" t="str">
        <x:v>Summer peak</x:v>
      </x:c>
      <x:c r="I877" t="str">
        <x:v>Active</x:v>
      </x:c>
      <x:c r="J877" t="str">
        <x:v>Shopify DTC</x:v>
      </x:c>
      <x:c r="K877" t="str">
        <x:v>Consumer</x:v>
      </x:c>
      <x:c r="L877" t="str">
        <x:v>All Geographies</x:v>
      </x:c>
      <x:c r="M877" s="34" t="n">
        <x:v>2965</x:v>
      </x:c>
      <x:c r="N877" s="28" t="n">
        <x:v>0.03312</x:v>
      </x:c>
      <x:c r="O877" s="34" t="n">
        <x:v>98</x:v>
      </x:c>
      <x:c r="P877" s="34" t="n">
        <x:v>1</x:v>
      </x:c>
      <x:c r="Q877" s="34" t="n">
        <x:v>98</x:v>
      </x:c>
      <x:c r="R877" s="33" t="n">
        <x:v>42</x:v>
      </x:c>
      <x:c r="S877" s="38" t="n">
        <x:v>4.116</x:v>
      </x:c>
      <x:c r="T877" s="38" t="n">
        <x:v>0.32927999999999996</x:v>
      </x:c>
      <x:c r="U877" s="38" t="n">
        <x:v>0.189336</x:v>
      </x:c>
      <x:c r="V877" s="38" t="n">
        <x:v>3.597384</x:v>
      </x:c>
      <x:c r="W877" s="38" t="n">
        <x:v>1.4749</x:v>
      </x:c>
      <x:c r="X877" s="38" t="n">
        <x:v>0.104324136</x:v>
      </x:c>
      <x:c r="Y877" s="38" t="n">
        <x:v>0</x:v>
      </x:c>
      <x:c r="Z877" s="38" t="n">
        <x:v>0.40670000000000006</x:v>
      </x:c>
      <x:c r="AA877" s="38" t="n">
        <x:v>0.16169999999999998</x:v>
      </x:c>
      <x:c r="AB877" s="38" t="n">
        <x:v>0.002744</x:v>
      </x:c>
      <x:c r="AC877" s="38" t="n">
        <x:v>1.4470158640000002</x:v>
      </x:c>
      <x:c r="AD877" s="28" t="n">
        <x:v>0.4022411463441212</x:v>
      </x:c>
    </x:row>
    <x:row r="878">
      <x:c r="A878" s="32" t="n">
        <x:v>45964</x:v>
      </x:c>
      <x:c r="B878" s="32" t="n">
        <x:v>45962</x:v>
      </x:c>
      <x:c r="C878" t="str">
        <x:v>Nov 2025</x:v>
      </x:c>
      <x:c r="D878" t="str">
        <x:v>Actual</x:v>
      </x:c>
      <x:c r="E878" t="str">
        <x:v>DB-104</x:v>
      </x:c>
      <x:c r="F878" t="str">
        <x:v>SunNest Cooling Towel</x:v>
      </x:c>
      <x:c r="G878" t="str">
        <x:v>Consumable repeat</x:v>
      </x:c>
      <x:c r="H878" t="str">
        <x:v>Summer peak</x:v>
      </x:c>
      <x:c r="I878" t="str">
        <x:v>Active</x:v>
      </x:c>
      <x:c r="J878" t="str">
        <x:v>Amazon Marketplace</x:v>
      </x:c>
      <x:c r="K878" t="str">
        <x:v>Marketplace Consumer</x:v>
      </x:c>
      <x:c r="L878" t="str">
        <x:v>All Geographies</x:v>
      </x:c>
      <x:c r="M878" s="34" t="n">
        <x:v>1483</x:v>
      </x:c>
      <x:c r="N878" s="28" t="n">
        <x:v>0.0390816</x:v>
      </x:c>
      <x:c r="O878" s="34" t="n">
        <x:v>58</x:v>
      </x:c>
      <x:c r="P878" s="34" t="n">
        <x:v>1</x:v>
      </x:c>
      <x:c r="Q878" s="34" t="n">
        <x:v>58</x:v>
      </x:c>
      <x:c r="R878" s="33" t="n">
        <x:v>42</x:v>
      </x:c>
      <x:c r="S878" s="38" t="n">
        <x:v>2.436</x:v>
      </x:c>
      <x:c r="T878" s="38" t="n">
        <x:v>0.1218</x:v>
      </x:c>
      <x:c r="U878" s="38" t="n">
        <x:v>0.11571000000000001</x:v>
      </x:c>
      <x:c r="V878" s="38" t="n">
        <x:v>2.19849</x:v>
      </x:c>
      <x:c r="W878" s="38" t="n">
        <x:v>0.8729000000000001</x:v>
      </x:c>
      <x:c r="X878" s="38" t="n">
        <x:v>0</x:v>
      </x:c>
      <x:c r="Y878" s="38" t="n">
        <x:v>0.3297735</x:v>
      </x:c>
      <x:c r="Z878" s="38" t="n">
        <x:v>0.30160000000000003</x:v>
      </x:c>
      <x:c r="AA878" s="38" t="n">
        <x:v>0.12469999999999999</x:v>
      </x:c>
      <x:c r="AB878" s="38" t="n">
        <x:v>0.0016239999999999998</x:v>
      </x:c>
      <x:c r="AC878" s="38" t="n">
        <x:v>0.5678925</x:v>
      </x:c>
      <x:c r="AD878" s="28" t="n">
        <x:v>0.2583102493074792</x:v>
      </x:c>
    </x:row>
    <x:row r="879">
      <x:c r="A879" s="32" t="n">
        <x:v>45964</x:v>
      </x:c>
      <x:c r="B879" s="32" t="n">
        <x:v>45962</x:v>
      </x:c>
      <x:c r="C879" t="str">
        <x:v>Nov 2025</x:v>
      </x:c>
      <x:c r="D879" t="str">
        <x:v>Actual</x:v>
      </x:c>
      <x:c r="E879" t="str">
        <x:v>DB-104</x:v>
      </x:c>
      <x:c r="F879" t="str">
        <x:v>SunNest Cooling Towel</x:v>
      </x:c>
      <x:c r="G879" t="str">
        <x:v>Consumable repeat</x:v>
      </x:c>
      <x:c r="H879" t="str">
        <x:v>Summer peak</x:v>
      </x:c>
      <x:c r="I879" t="str">
        <x:v>Active</x:v>
      </x:c>
      <x:c r="J879" t="str">
        <x:v>Wholesale</x:v>
      </x:c>
      <x:c r="K879" t="str">
        <x:v>Retailer</x:v>
      </x:c>
      <x:c r="L879" t="str">
        <x:v>All Geographies</x:v>
      </x:c>
      <x:c r="M879" s="34" t="n">
        <x:v>890</x:v>
      </x:c>
      <x:c r="N879" s="28" t="n">
        <x:v>0.018216000000000003</x:v>
      </x:c>
      <x:c r="O879" s="34" t="n">
        <x:v>16</x:v>
      </x:c>
      <x:c r="P879" s="34" t="n">
        <x:v>1</x:v>
      </x:c>
      <x:c r="Q879" s="34" t="n">
        <x:v>16</x:v>
      </x:c>
      <x:c r="R879" s="33" t="n">
        <x:v>42</x:v>
      </x:c>
      <x:c r="S879" s="38" t="n">
        <x:v>0.672</x:v>
      </x:c>
      <x:c r="T879" s="38" t="n">
        <x:v>0.2352</x:v>
      </x:c>
      <x:c r="U879" s="38" t="n">
        <x:v>0.021840000000000005</x:v>
      </x:c>
      <x:c r="V879" s="38" t="n">
        <x:v>0.41496000000000005</x:v>
      </x:c>
      <x:c r="W879" s="38" t="n">
        <x:v>0.24080000000000001</x:v>
      </x:c>
      <x:c r="X879" s="38" t="n">
        <x:v>0</x:v>
      </x:c>
      <x:c r="Y879" s="38" t="n">
        <x:v>0</x:v>
      </x:c>
      <x:c r="Z879" s="38" t="n">
        <x:v>0.0368</x:v>
      </x:c>
      <x:c r="AA879" s="38" t="n">
        <x:v>0.0136</x:v>
      </x:c>
      <x:c r="AB879" s="38" t="n">
        <x:v>0.00044799999999999994</x:v>
      </x:c>
      <x:c r="AC879" s="38" t="n">
        <x:v>0.12331200000000003</x:v>
      </x:c>
      <x:c r="AD879" s="28" t="n">
        <x:v>0.29716599190283405</x:v>
      </x:c>
    </x:row>
    <x:row r="880">
      <x:c r="A880" s="32" t="n">
        <x:v>45964</x:v>
      </x:c>
      <x:c r="B880" s="32" t="n">
        <x:v>45962</x:v>
      </x:c>
      <x:c r="C880" t="str">
        <x:v>Nov 2025</x:v>
      </x:c>
      <x:c r="D880" t="str">
        <x:v>Actual</x:v>
      </x:c>
      <x:c r="E880" t="str">
        <x:v>DB-104</x:v>
      </x:c>
      <x:c r="F880" t="str">
        <x:v>SunNest Cooling Towel</x:v>
      </x:c>
      <x:c r="G880" t="str">
        <x:v>Consumable repeat</x:v>
      </x:c>
      <x:c r="H880" t="str">
        <x:v>Summer peak</x:v>
      </x:c>
      <x:c r="I880" t="str">
        <x:v>Active</x:v>
      </x:c>
      <x:c r="J880" t="str">
        <x:v>TikTok Shop</x:v>
      </x:c>
      <x:c r="K880" t="str">
        <x:v>Social Commerce</x:v>
      </x:c>
      <x:c r="L880" t="str">
        <x:v>All Geographies</x:v>
      </x:c>
      <x:c r="M880" s="34" t="n">
        <x:v>593</x:v>
      </x:c>
      <x:c r="N880" s="28" t="n">
        <x:v>0.0417312</x:v>
      </x:c>
      <x:c r="O880" s="34" t="n">
        <x:v>25</x:v>
      </x:c>
      <x:c r="P880" s="34" t="n">
        <x:v>1</x:v>
      </x:c>
      <x:c r="Q880" s="34" t="n">
        <x:v>25</x:v>
      </x:c>
      <x:c r="R880" s="33" t="n">
        <x:v>42</x:v>
      </x:c>
      <x:c r="S880" s="38" t="n">
        <x:v>1.05</x:v>
      </x:c>
      <x:c r="T880" s="38" t="n">
        <x:v>0.126</x:v>
      </x:c>
      <x:c r="U880" s="38" t="n">
        <x:v>0.046200000000000005</x:v>
      </x:c>
      <x:c r="V880" s="38" t="n">
        <x:v>0.8778</x:v>
      </x:c>
      <x:c r="W880" s="38" t="n">
        <x:v>0.37625</x:v>
      </x:c>
      <x:c r="X880" s="38" t="n">
        <x:v>0.025456200000000002</x:v>
      </x:c>
      <x:c r="Y880" s="38" t="n">
        <x:v>0.052668</x:v>
      </x:c>
      <x:c r="Z880" s="38" t="n">
        <x:v>0.12749999999999997</x:v>
      </x:c>
      <x:c r="AA880" s="38" t="n">
        <x:v>0.04375</x:v>
      </x:c>
      <x:c r="AB880" s="38" t="n">
        <x:v>0.0007</x:v>
      </x:c>
      <x:c r="AC880" s="38" t="n">
        <x:v>0.25147580000000014</x:v>
      </x:c>
      <x:c r="AD880" s="28" t="n">
        <x:v>0.28648416495784934</x:v>
      </x:c>
    </x:row>
    <x:row r="881">
      <x:c r="A881" s="32" t="n">
        <x:v>45964</x:v>
      </x:c>
      <x:c r="B881" s="32" t="n">
        <x:v>45962</x:v>
      </x:c>
      <x:c r="C881" t="str">
        <x:v>Nov 2025</x:v>
      </x:c>
      <x:c r="D881" t="str">
        <x:v>Actual</x:v>
      </x:c>
      <x:c r="E881" t="str">
        <x:v>DB-105</x:v>
      </x:c>
      <x:c r="F881" t="str">
        <x:v>DreamFuel Refill Pack</x:v>
      </x:c>
      <x:c r="G881" t="str">
        <x:v>Subscription</x:v>
      </x:c>
      <x:c r="H881" t="str">
        <x:v>None</x:v>
      </x:c>
      <x:c r="I881" t="str">
        <x:v>Active</x:v>
      </x:c>
      <x:c r="J881" t="str">
        <x:v>Shopify DTC</x:v>
      </x:c>
      <x:c r="K881" t="str">
        <x:v>Consumer</x:v>
      </x:c>
      <x:c r="L881" t="str">
        <x:v>All Geographies</x:v>
      </x:c>
      <x:c r="M881" s="34" t="n">
        <x:v>4025</x:v>
      </x:c>
      <x:c r="N881" s="28" t="n">
        <x:v>0.03888</x:v>
      </x:c>
      <x:c r="O881" s="34" t="n">
        <x:v>156</x:v>
      </x:c>
      <x:c r="P881" s="34" t="n">
        <x:v>1</x:v>
      </x:c>
      <x:c r="Q881" s="34" t="n">
        <x:v>156</x:v>
      </x:c>
      <x:c r="R881" s="33" t="n">
        <x:v>56</x:v>
      </x:c>
      <x:c r="S881" s="38" t="n">
        <x:v>8.736</x:v>
      </x:c>
      <x:c r="T881" s="38" t="n">
        <x:v>0.6988800000000001</x:v>
      </x:c>
      <x:c r="U881" s="38" t="n">
        <x:v>0.1607424</x:v>
      </x:c>
      <x:c r="V881" s="38" t="n">
        <x:v>7.8763776</x:v>
      </x:c>
      <x:c r="W881" s="38" t="n">
        <x:v>2.90472</x:v>
      </x:c>
      <x:c r="X881" s="38" t="n">
        <x:v>0.2284149504</x:v>
      </x:c>
      <x:c r="Y881" s="38" t="n">
        <x:v>0</x:v>
      </x:c>
      <x:c r="Z881" s="38" t="n">
        <x:v>0.6474000000000001</x:v>
      </x:c>
      <x:c r="AA881" s="38" t="n">
        <x:v>0.25739999999999996</x:v>
      </x:c>
      <x:c r="AB881" s="38" t="n">
        <x:v>0.0005616</x:v>
      </x:c>
      <x:c r="AC881" s="38" t="n">
        <x:v>3.8378810495999987</x:v>
      </x:c>
      <x:c r="AD881" s="28" t="n">
        <x:v>0.48726473570794765</x:v>
      </x:c>
    </x:row>
    <x:row r="882">
      <x:c r="A882" s="32" t="n">
        <x:v>45964</x:v>
      </x:c>
      <x:c r="B882" s="32" t="n">
        <x:v>45962</x:v>
      </x:c>
      <x:c r="C882" t="str">
        <x:v>Nov 2025</x:v>
      </x:c>
      <x:c r="D882" t="str">
        <x:v>Actual</x:v>
      </x:c>
      <x:c r="E882" t="str">
        <x:v>DB-105</x:v>
      </x:c>
      <x:c r="F882" t="str">
        <x:v>DreamFuel Refill Pack</x:v>
      </x:c>
      <x:c r="G882" t="str">
        <x:v>Subscription</x:v>
      </x:c>
      <x:c r="H882" t="str">
        <x:v>None</x:v>
      </x:c>
      <x:c r="I882" t="str">
        <x:v>Active</x:v>
      </x:c>
      <x:c r="J882" t="str">
        <x:v>Amazon Marketplace</x:v>
      </x:c>
      <x:c r="K882" t="str">
        <x:v>Marketplace Consumer</x:v>
      </x:c>
      <x:c r="L882" t="str">
        <x:v>All Geographies</x:v>
      </x:c>
      <x:c r="M882" s="34" t="n">
        <x:v>2013</x:v>
      </x:c>
      <x:c r="N882" s="28" t="n">
        <x:v>0.0458784</x:v>
      </x:c>
      <x:c r="O882" s="34" t="n">
        <x:v>92</x:v>
      </x:c>
      <x:c r="P882" s="34" t="n">
        <x:v>1</x:v>
      </x:c>
      <x:c r="Q882" s="34" t="n">
        <x:v>92</x:v>
      </x:c>
      <x:c r="R882" s="33" t="n">
        <x:v>56</x:v>
      </x:c>
      <x:c r="S882" s="38" t="n">
        <x:v>5.152</x:v>
      </x:c>
      <x:c r="T882" s="38" t="n">
        <x:v>0.2576</x:v>
      </x:c>
      <x:c r="U882" s="38" t="n">
        <x:v>0.097888</x:v>
      </x:c>
      <x:c r="V882" s="38" t="n">
        <x:v>4.796512</x:v>
      </x:c>
      <x:c r="W882" s="38" t="n">
        <x:v>1.7130400000000001</x:v>
      </x:c>
      <x:c r="X882" s="38" t="n">
        <x:v>0</x:v>
      </x:c>
      <x:c r="Y882" s="38" t="n">
        <x:v>0.7194767999999999</x:v>
      </x:c>
      <x:c r="Z882" s="38" t="n">
        <x:v>0.47840000000000005</x:v>
      </x:c>
      <x:c r="AA882" s="38" t="n">
        <x:v>0.19779999999999998</x:v>
      </x:c>
      <x:c r="AB882" s="38" t="n">
        <x:v>0.0003312</x:v>
      </x:c>
      <x:c r="AC882" s="38" t="n">
        <x:v>1.6874639999999996</x:v>
      </x:c>
      <x:c r="AD882" s="28" t="n">
        <x:v>0.35181064907165865</x:v>
      </x:c>
    </x:row>
    <x:row r="883">
      <x:c r="A883" s="32" t="n">
        <x:v>45964</x:v>
      </x:c>
      <x:c r="B883" s="32" t="n">
        <x:v>45962</x:v>
      </x:c>
      <x:c r="C883" t="str">
        <x:v>Nov 2025</x:v>
      </x:c>
      <x:c r="D883" t="str">
        <x:v>Actual</x:v>
      </x:c>
      <x:c r="E883" t="str">
        <x:v>DB-105</x:v>
      </x:c>
      <x:c r="F883" t="str">
        <x:v>DreamFuel Refill Pack</x:v>
      </x:c>
      <x:c r="G883" t="str">
        <x:v>Subscription</x:v>
      </x:c>
      <x:c r="H883" t="str">
        <x:v>None</x:v>
      </x:c>
      <x:c r="I883" t="str">
        <x:v>Active</x:v>
      </x:c>
      <x:c r="J883" t="str">
        <x:v>Wholesale</x:v>
      </x:c>
      <x:c r="K883" t="str">
        <x:v>Retailer</x:v>
      </x:c>
      <x:c r="L883" t="str">
        <x:v>All Geographies</x:v>
      </x:c>
      <x:c r="M883" s="34" t="n">
        <x:v>1208</x:v>
      </x:c>
      <x:c r="N883" s="28" t="n">
        <x:v>0.021384000000000004</x:v>
      </x:c>
      <x:c r="O883" s="34" t="n">
        <x:v>26</x:v>
      </x:c>
      <x:c r="P883" s="34" t="n">
        <x:v>1</x:v>
      </x:c>
      <x:c r="Q883" s="34" t="n">
        <x:v>26</x:v>
      </x:c>
      <x:c r="R883" s="33" t="n">
        <x:v>56</x:v>
      </x:c>
      <x:c r="S883" s="38" t="n">
        <x:v>1.456</x:v>
      </x:c>
      <x:c r="T883" s="38" t="n">
        <x:v>0.5095999999999999</x:v>
      </x:c>
      <x:c r="U883" s="38" t="n">
        <x:v>0.018928</x:v>
      </x:c>
      <x:c r="V883" s="38" t="n">
        <x:v>0.9274720000000001</x:v>
      </x:c>
      <x:c r="W883" s="38" t="n">
        <x:v>0.48412</x:v>
      </x:c>
      <x:c r="X883" s="38" t="n">
        <x:v>0</x:v>
      </x:c>
      <x:c r="Y883" s="38" t="n">
        <x:v>0</x:v>
      </x:c>
      <x:c r="Z883" s="38" t="n">
        <x:v>0.0598</x:v>
      </x:c>
      <x:c r="AA883" s="38" t="n">
        <x:v>0.022099999999999998</x:v>
      </x:c>
      <x:c r="AB883" s="38" t="n">
        <x:v>0.0000936</x:v>
      </x:c>
      <x:c r="AC883" s="38" t="n">
        <x:v>0.3613584</x:v>
      </x:c>
      <x:c r="AD883" s="28" t="n">
        <x:v>0.38961650594303654</x:v>
      </x:c>
    </x:row>
    <x:row r="884">
      <x:c r="A884" s="32" t="n">
        <x:v>45964</x:v>
      </x:c>
      <x:c r="B884" s="32" t="n">
        <x:v>45962</x:v>
      </x:c>
      <x:c r="C884" t="str">
        <x:v>Nov 2025</x:v>
      </x:c>
      <x:c r="D884" t="str">
        <x:v>Actual</x:v>
      </x:c>
      <x:c r="E884" t="str">
        <x:v>DB-105</x:v>
      </x:c>
      <x:c r="F884" t="str">
        <x:v>DreamFuel Refill Pack</x:v>
      </x:c>
      <x:c r="G884" t="str">
        <x:v>Subscription</x:v>
      </x:c>
      <x:c r="H884" t="str">
        <x:v>None</x:v>
      </x:c>
      <x:c r="I884" t="str">
        <x:v>Active</x:v>
      </x:c>
      <x:c r="J884" t="str">
        <x:v>TikTok Shop</x:v>
      </x:c>
      <x:c r="K884" t="str">
        <x:v>Social Commerce</x:v>
      </x:c>
      <x:c r="L884" t="str">
        <x:v>All Geographies</x:v>
      </x:c>
      <x:c r="M884" s="34" t="n">
        <x:v>805</x:v>
      </x:c>
      <x:c r="N884" s="28" t="n">
        <x:v>0.0489888</x:v>
      </x:c>
      <x:c r="O884" s="34" t="n">
        <x:v>39</x:v>
      </x:c>
      <x:c r="P884" s="34" t="n">
        <x:v>1</x:v>
      </x:c>
      <x:c r="Q884" s="34" t="n">
        <x:v>39</x:v>
      </x:c>
      <x:c r="R884" s="33" t="n">
        <x:v>56</x:v>
      </x:c>
      <x:c r="S884" s="38" t="n">
        <x:v>2.184</x:v>
      </x:c>
      <x:c r="T884" s="38" t="n">
        <x:v>0.26208000000000004</x:v>
      </x:c>
      <x:c r="U884" s="38" t="n">
        <x:v>0.038438400000000005</x:v>
      </x:c>
      <x:c r="V884" s="38" t="n">
        <x:v>1.8834816</x:v>
      </x:c>
      <x:c r="W884" s="38" t="n">
        <x:v>0.72618</x:v>
      </x:c>
      <x:c r="X884" s="38" t="n">
        <x:v>0.054620966400000005</x:v>
      </x:c>
      <x:c r="Y884" s="38" t="n">
        <x:v>0.113008896</x:v>
      </x:c>
      <x:c r="Z884" s="38" t="n">
        <x:v>0.19889999999999997</x:v>
      </x:c>
      <x:c r="AA884" s="38" t="n">
        <x:v>0.06825</x:v>
      </x:c>
      <x:c r="AB884" s="38" t="n">
        <x:v>0.0001404</x:v>
      </x:c>
      <x:c r="AC884" s="38" t="n">
        <x:v>0.7223813376000001</x:v>
      </x:c>
      <x:c r="AD884" s="28" t="n">
        <x:v>0.38353511794328127</x:v>
      </x:c>
    </x:row>
    <x:row r="885">
      <x:c r="A885" s="32" t="n">
        <x:v>45971</x:v>
      </x:c>
      <x:c r="B885" s="32" t="n">
        <x:v>45962</x:v>
      </x:c>
      <x:c r="C885" t="str">
        <x:v>Nov 2025</x:v>
      </x:c>
      <x:c r="D885" t="str">
        <x:v>Actual</x:v>
      </x:c>
      <x:c r="E885" t="str">
        <x:v>DB-101</x:v>
      </x:c>
      <x:c r="F885" t="str">
        <x:v>AeroSip Bottle</x:v>
      </x:c>
      <x:c r="G885" t="str">
        <x:v>One-time purchase</x:v>
      </x:c>
      <x:c r="H885" t="str">
        <x:v>None</x:v>
      </x:c>
      <x:c r="I885" t="str">
        <x:v>Active</x:v>
      </x:c>
      <x:c r="J885" t="str">
        <x:v>Shopify DTC</x:v>
      </x:c>
      <x:c r="K885" t="str">
        <x:v>Consumer</x:v>
      </x:c>
      <x:c r="L885" t="str">
        <x:v>All Geographies</x:v>
      </x:c>
      <x:c r="M885" s="34" t="n">
        <x:v>5835</x:v>
      </x:c>
      <x:c r="N885" s="28" t="n">
        <x:v>0.034199999999999994</x:v>
      </x:c>
      <x:c r="O885" s="34" t="n">
        <x:v>200</x:v>
      </x:c>
      <x:c r="P885" s="34" t="n">
        <x:v>1</x:v>
      </x:c>
      <x:c r="Q885" s="34" t="n">
        <x:v>200</x:v>
      </x:c>
      <x:c r="R885" s="33" t="n">
        <x:v>29</x:v>
      </x:c>
      <x:c r="S885" s="38" t="n">
        <x:v>5.8</x:v>
      </x:c>
      <x:c r="T885" s="38" t="n">
        <x:v>0.46399999999999997</x:v>
      </x:c>
      <x:c r="U885" s="38" t="n">
        <x:v>0.24012</x:v>
      </x:c>
      <x:c r="V885" s="38" t="n">
        <x:v>5.09588</x:v>
      </x:c>
      <x:c r="W885" s="38" t="n">
        <x:v>2.16</x:v>
      </x:c>
      <x:c r="X885" s="38" t="n">
        <x:v>0.14778052000000003</x:v>
      </x:c>
      <x:c r="Y885" s="38" t="n">
        <x:v>0</x:v>
      </x:c>
      <x:c r="Z885" s="38" t="n">
        <x:v>0.8300000000000001</x:v>
      </x:c>
      <x:c r="AA885" s="38" t="n">
        <x:v>0.33</x:v>
      </x:c>
      <x:c r="AB885" s="38" t="n">
        <x:v>0.007199999999999999</x:v>
      </x:c>
      <x:c r="AC885" s="38" t="n">
        <x:v>1.6208994799999998</x:v>
      </x:c>
      <x:c r="AD885" s="28" t="n">
        <x:v>0.3180803865083165</x:v>
      </x:c>
    </x:row>
    <x:row r="886">
      <x:c r="A886" s="32" t="n">
        <x:v>45971</x:v>
      </x:c>
      <x:c r="B886" s="32" t="n">
        <x:v>45962</x:v>
      </x:c>
      <x:c r="C886" t="str">
        <x:v>Nov 2025</x:v>
      </x:c>
      <x:c r="D886" t="str">
        <x:v>Actual</x:v>
      </x:c>
      <x:c r="E886" t="str">
        <x:v>DB-101</x:v>
      </x:c>
      <x:c r="F886" t="str">
        <x:v>AeroSip Bottle</x:v>
      </x:c>
      <x:c r="G886" t="str">
        <x:v>One-time purchase</x:v>
      </x:c>
      <x:c r="H886" t="str">
        <x:v>None</x:v>
      </x:c>
      <x:c r="I886" t="str">
        <x:v>Active</x:v>
      </x:c>
      <x:c r="J886" t="str">
        <x:v>Amazon Marketplace</x:v>
      </x:c>
      <x:c r="K886" t="str">
        <x:v>Marketplace Consumer</x:v>
      </x:c>
      <x:c r="L886" t="str">
        <x:v>All Geographies</x:v>
      </x:c>
      <x:c r="M886" s="34" t="n">
        <x:v>2918</x:v>
      </x:c>
      <x:c r="N886" s="28" t="n">
        <x:v>0.040355999999999996</x:v>
      </x:c>
      <x:c r="O886" s="34" t="n">
        <x:v>118</x:v>
      </x:c>
      <x:c r="P886" s="34" t="n">
        <x:v>1</x:v>
      </x:c>
      <x:c r="Q886" s="34" t="n">
        <x:v>118</x:v>
      </x:c>
      <x:c r="R886" s="33" t="n">
        <x:v>29</x:v>
      </x:c>
      <x:c r="S886" s="38" t="n">
        <x:v>3.422</x:v>
      </x:c>
      <x:c r="T886" s="38" t="n">
        <x:v>0.17110000000000003</x:v>
      </x:c>
      <x:c r="U886" s="38" t="n">
        <x:v>0.1462905</x:v>
      </x:c>
      <x:c r="V886" s="38" t="n">
        <x:v>3.1046095</x:v>
      </x:c>
      <x:c r="W886" s="38" t="n">
        <x:v>1.2744000000000002</x:v>
      </x:c>
      <x:c r="X886" s="38" t="n">
        <x:v>0</x:v>
      </x:c>
      <x:c r="Y886" s="38" t="n">
        <x:v>0.465691425</x:v>
      </x:c>
      <x:c r="Z886" s="38" t="n">
        <x:v>0.6136</x:v>
      </x:c>
      <x:c r="AA886" s="38" t="n">
        <x:v>0.2537</x:v>
      </x:c>
      <x:c r="AB886" s="38" t="n">
        <x:v>0.004247999999999999</x:v>
      </x:c>
      <x:c r="AC886" s="38" t="n">
        <x:v>0.4929700749999999</x:v>
      </x:c>
      <x:c r="AD886" s="28" t="n">
        <x:v>0.15878649955815696</x:v>
      </x:c>
    </x:row>
    <x:row r="887">
      <x:c r="A887" s="32" t="n">
        <x:v>45971</x:v>
      </x:c>
      <x:c r="B887" s="32" t="n">
        <x:v>45962</x:v>
      </x:c>
      <x:c r="C887" t="str">
        <x:v>Nov 2025</x:v>
      </x:c>
      <x:c r="D887" t="str">
        <x:v>Actual</x:v>
      </x:c>
      <x:c r="E887" t="str">
        <x:v>DB-101</x:v>
      </x:c>
      <x:c r="F887" t="str">
        <x:v>AeroSip Bottle</x:v>
      </x:c>
      <x:c r="G887" t="str">
        <x:v>One-time purchase</x:v>
      </x:c>
      <x:c r="H887" t="str">
        <x:v>None</x:v>
      </x:c>
      <x:c r="I887" t="str">
        <x:v>Active</x:v>
      </x:c>
      <x:c r="J887" t="str">
        <x:v>Wholesale</x:v>
      </x:c>
      <x:c r="K887" t="str">
        <x:v>Retailer</x:v>
      </x:c>
      <x:c r="L887" t="str">
        <x:v>All Geographies</x:v>
      </x:c>
      <x:c r="M887" s="34" t="n">
        <x:v>1751</x:v>
      </x:c>
      <x:c r="N887" s="28" t="n">
        <x:v>0.01881</x:v>
      </x:c>
      <x:c r="O887" s="34" t="n">
        <x:v>33</x:v>
      </x:c>
      <x:c r="P887" s="34" t="n">
        <x:v>1</x:v>
      </x:c>
      <x:c r="Q887" s="34" t="n">
        <x:v>33</x:v>
      </x:c>
      <x:c r="R887" s="33" t="n">
        <x:v>29</x:v>
      </x:c>
      <x:c r="S887" s="38" t="n">
        <x:v>0.957</x:v>
      </x:c>
      <x:c r="T887" s="38" t="n">
        <x:v>0.33494999999999997</x:v>
      </x:c>
      <x:c r="U887" s="38" t="n">
        <x:v>0.02799225</x:v>
      </x:c>
      <x:c r="V887" s="38" t="n">
        <x:v>0.5940577499999999</x:v>
      </x:c>
      <x:c r="W887" s="38" t="n">
        <x:v>0.35640000000000005</x:v>
      </x:c>
      <x:c r="X887" s="38" t="n">
        <x:v>0</x:v>
      </x:c>
      <x:c r="Y887" s="38" t="n">
        <x:v>0</x:v>
      </x:c>
      <x:c r="Z887" s="38" t="n">
        <x:v>0.0759</x:v>
      </x:c>
      <x:c r="AA887" s="38" t="n">
        <x:v>0.028050000000000002</x:v>
      </x:c>
      <x:c r="AB887" s="38" t="n">
        <x:v>0.0011880000000000003</x:v>
      </x:c>
      <x:c r="AC887" s="38" t="n">
        <x:v>0.1325197499999999</x:v>
      </x:c>
      <x:c r="AD887" s="28" t="n">
        <x:v>0.2230755343230518</x:v>
      </x:c>
    </x:row>
    <x:row r="888">
      <x:c r="A888" s="32" t="n">
        <x:v>45971</x:v>
      </x:c>
      <x:c r="B888" s="32" t="n">
        <x:v>45962</x:v>
      </x:c>
      <x:c r="C888" t="str">
        <x:v>Nov 2025</x:v>
      </x:c>
      <x:c r="D888" t="str">
        <x:v>Actual</x:v>
      </x:c>
      <x:c r="E888" t="str">
        <x:v>DB-101</x:v>
      </x:c>
      <x:c r="F888" t="str">
        <x:v>AeroSip Bottle</x:v>
      </x:c>
      <x:c r="G888" t="str">
        <x:v>One-time purchase</x:v>
      </x:c>
      <x:c r="H888" t="str">
        <x:v>None</x:v>
      </x:c>
      <x:c r="I888" t="str">
        <x:v>Active</x:v>
      </x:c>
      <x:c r="J888" t="str">
        <x:v>TikTok Shop</x:v>
      </x:c>
      <x:c r="K888" t="str">
        <x:v>Social Commerce</x:v>
      </x:c>
      <x:c r="L888" t="str">
        <x:v>All Geographies</x:v>
      </x:c>
      <x:c r="M888" s="34" t="n">
        <x:v>1167</x:v>
      </x:c>
      <x:c r="N888" s="28" t="n">
        <x:v>0.043092</x:v>
      </x:c>
      <x:c r="O888" s="34" t="n">
        <x:v>50</x:v>
      </x:c>
      <x:c r="P888" s="34" t="n">
        <x:v>1</x:v>
      </x:c>
      <x:c r="Q888" s="34" t="n">
        <x:v>50</x:v>
      </x:c>
      <x:c r="R888" s="33" t="n">
        <x:v>29</x:v>
      </x:c>
      <x:c r="S888" s="38" t="n">
        <x:v>1.45</x:v>
      </x:c>
      <x:c r="T888" s="38" t="n">
        <x:v>0.174</x:v>
      </x:c>
      <x:c r="U888" s="38" t="n">
        <x:v>0.05742</x:v>
      </x:c>
      <x:c r="V888" s="38" t="n">
        <x:v>1.21858</x:v>
      </x:c>
      <x:c r="W888" s="38" t="n">
        <x:v>0.54</x:v>
      </x:c>
      <x:c r="X888" s="38" t="n">
        <x:v>0.03533882</x:v>
      </x:c>
      <x:c r="Y888" s="38" t="n">
        <x:v>0.0731148</x:v>
      </x:c>
      <x:c r="Z888" s="38" t="n">
        <x:v>0.25499999999999995</x:v>
      </x:c>
      <x:c r="AA888" s="38" t="n">
        <x:v>0.0875</x:v>
      </x:c>
      <x:c r="AB888" s="38" t="n">
        <x:v>0.0017999999999999997</x:v>
      </x:c>
      <x:c r="AC888" s="38" t="n">
        <x:v>0.22582638</x:v>
      </x:c>
      <x:c r="AD888" s="28" t="n">
        <x:v>0.18531928966501993</x:v>
      </x:c>
    </x:row>
    <x:row r="889">
      <x:c r="A889" s="32" t="n">
        <x:v>45971</x:v>
      </x:c>
      <x:c r="B889" s="32" t="n">
        <x:v>45962</x:v>
      </x:c>
      <x:c r="C889" t="str">
        <x:v>Nov 2025</x:v>
      </x:c>
      <x:c r="D889" t="str">
        <x:v>Actual</x:v>
      </x:c>
      <x:c r="E889" t="str">
        <x:v>DB-102</x:v>
      </x:c>
      <x:c r="F889" t="str">
        <x:v>GlowPatch Balm</x:v>
      </x:c>
      <x:c r="G889" t="str">
        <x:v>Consumable repeat</x:v>
      </x:c>
      <x:c r="H889" t="str">
        <x:v>None</x:v>
      </x:c>
      <x:c r="I889" t="str">
        <x:v>Active</x:v>
      </x:c>
      <x:c r="J889" t="str">
        <x:v>Shopify DTC</x:v>
      </x:c>
      <x:c r="K889" t="str">
        <x:v>Consumer</x:v>
      </x:c>
      <x:c r="L889" t="str">
        <x:v>All Geographies</x:v>
      </x:c>
      <x:c r="M889" s="34" t="n">
        <x:v>4713</x:v>
      </x:c>
      <x:c r="N889" s="28" t="n">
        <x:v>0.04248</x:v>
      </x:c>
      <x:c r="O889" s="34" t="n">
        <x:v>200</x:v>
      </x:c>
      <x:c r="P889" s="34" t="n">
        <x:v>1</x:v>
      </x:c>
      <x:c r="Q889" s="34" t="n">
        <x:v>200</x:v>
      </x:c>
      <x:c r="R889" s="33" t="n">
        <x:v>18</x:v>
      </x:c>
      <x:c r="S889" s="38" t="n">
        <x:v>3.6</x:v>
      </x:c>
      <x:c r="T889" s="38" t="n">
        <x:v>0.28800000000000003</x:v>
      </x:c>
      <x:c r="U889" s="38" t="n">
        <x:v>0.08280000000000001</x:v>
      </x:c>
      <x:c r="V889" s="38" t="n">
        <x:v>3.2292</x:v>
      </x:c>
      <x:c r="W889" s="38" t="n">
        <x:v>1.082</x:v>
      </x:c>
      <x:c r="X889" s="38" t="n">
        <x:v>0.0936468</x:v>
      </x:c>
      <x:c r="Y889" s="38" t="n">
        <x:v>0</x:v>
      </x:c>
      <x:c r="Z889" s="38" t="n">
        <x:v>0.8300000000000001</x:v>
      </x:c>
      <x:c r="AA889" s="38" t="n">
        <x:v>0.33</x:v>
      </x:c>
      <x:c r="AB889" s="38" t="n">
        <x:v>0.0012000000000000001</x:v>
      </x:c>
      <x:c r="AC889" s="38" t="n">
        <x:v>0.8923531999999995</x:v>
      </x:c>
      <x:c r="AD889" s="28" t="n">
        <x:v>0.276338783599653</x:v>
      </x:c>
    </x:row>
    <x:row r="890">
      <x:c r="A890" s="32" t="n">
        <x:v>45971</x:v>
      </x:c>
      <x:c r="B890" s="32" t="n">
        <x:v>45962</x:v>
      </x:c>
      <x:c r="C890" t="str">
        <x:v>Nov 2025</x:v>
      </x:c>
      <x:c r="D890" t="str">
        <x:v>Actual</x:v>
      </x:c>
      <x:c r="E890" t="str">
        <x:v>DB-102</x:v>
      </x:c>
      <x:c r="F890" t="str">
        <x:v>GlowPatch Balm</x:v>
      </x:c>
      <x:c r="G890" t="str">
        <x:v>Consumable repeat</x:v>
      </x:c>
      <x:c r="H890" t="str">
        <x:v>None</x:v>
      </x:c>
      <x:c r="I890" t="str">
        <x:v>Active</x:v>
      </x:c>
      <x:c r="J890" t="str">
        <x:v>Amazon Marketplace</x:v>
      </x:c>
      <x:c r="K890" t="str">
        <x:v>Marketplace Consumer</x:v>
      </x:c>
      <x:c r="L890" t="str">
        <x:v>All Geographies</x:v>
      </x:c>
      <x:c r="M890" s="34" t="n">
        <x:v>2356</x:v>
      </x:c>
      <x:c r="N890" s="28" t="n">
        <x:v>0.050126399999999995</x:v>
      </x:c>
      <x:c r="O890" s="34" t="n">
        <x:v>118</x:v>
      </x:c>
      <x:c r="P890" s="34" t="n">
        <x:v>1</x:v>
      </x:c>
      <x:c r="Q890" s="34" t="n">
        <x:v>118</x:v>
      </x:c>
      <x:c r="R890" s="33" t="n">
        <x:v>18</x:v>
      </x:c>
      <x:c r="S890" s="38" t="n">
        <x:v>2.124</x:v>
      </x:c>
      <x:c r="T890" s="38" t="n">
        <x:v>0.10620000000000002</x:v>
      </x:c>
      <x:c r="U890" s="38" t="n">
        <x:v>0.05044500000000001</x:v>
      </x:c>
      <x:c r="V890" s="38" t="n">
        <x:v>1.9673550000000002</x:v>
      </x:c>
      <x:c r="W890" s="38" t="n">
        <x:v>0.63838</x:v>
      </x:c>
      <x:c r="X890" s="38" t="n">
        <x:v>0</x:v>
      </x:c>
      <x:c r="Y890" s="38" t="n">
        <x:v>0.29510325000000004</x:v>
      </x:c>
      <x:c r="Z890" s="38" t="n">
        <x:v>0.6136</x:v>
      </x:c>
      <x:c r="AA890" s="38" t="n">
        <x:v>0.2537</x:v>
      </x:c>
      <x:c r="AB890" s="38" t="n">
        <x:v>0.0007080000000000001</x:v>
      </x:c>
      <x:c r="AC890" s="38" t="n">
        <x:v>0.1658637500000003</x:v>
      </x:c>
      <x:c r="AD890" s="28" t="n">
        <x:v>0.08430799220272919</x:v>
      </x:c>
    </x:row>
    <x:row r="891">
      <x:c r="A891" s="32" t="n">
        <x:v>45971</x:v>
      </x:c>
      <x:c r="B891" s="32" t="n">
        <x:v>45962</x:v>
      </x:c>
      <x:c r="C891" t="str">
        <x:v>Nov 2025</x:v>
      </x:c>
      <x:c r="D891" t="str">
        <x:v>Actual</x:v>
      </x:c>
      <x:c r="E891" t="str">
        <x:v>DB-102</x:v>
      </x:c>
      <x:c r="F891" t="str">
        <x:v>GlowPatch Balm</x:v>
      </x:c>
      <x:c r="G891" t="str">
        <x:v>Consumable repeat</x:v>
      </x:c>
      <x:c r="H891" t="str">
        <x:v>None</x:v>
      </x:c>
      <x:c r="I891" t="str">
        <x:v>Active</x:v>
      </x:c>
      <x:c r="J891" t="str">
        <x:v>Wholesale</x:v>
      </x:c>
      <x:c r="K891" t="str">
        <x:v>Retailer</x:v>
      </x:c>
      <x:c r="L891" t="str">
        <x:v>All Geographies</x:v>
      </x:c>
      <x:c r="M891" s="34" t="n">
        <x:v>1414</x:v>
      </x:c>
      <x:c r="N891" s="28" t="n">
        <x:v>0.023364</x:v>
      </x:c>
      <x:c r="O891" s="34" t="n">
        <x:v>33</x:v>
      </x:c>
      <x:c r="P891" s="34" t="n">
        <x:v>1</x:v>
      </x:c>
      <x:c r="Q891" s="34" t="n">
        <x:v>33</x:v>
      </x:c>
      <x:c r="R891" s="33" t="n">
        <x:v>18</x:v>
      </x:c>
      <x:c r="S891" s="38" t="n">
        <x:v>0.594</x:v>
      </x:c>
      <x:c r="T891" s="38" t="n">
        <x:v>0.20789999999999997</x:v>
      </x:c>
      <x:c r="U891" s="38" t="n">
        <x:v>0.009652500000000001</x:v>
      </x:c>
      <x:c r="V891" s="38" t="n">
        <x:v>0.3764475</x:v>
      </x:c>
      <x:c r="W891" s="38" t="n">
        <x:v>0.17853</x:v>
      </x:c>
      <x:c r="X891" s="38" t="n">
        <x:v>0</x:v>
      </x:c>
      <x:c r="Y891" s="38" t="n">
        <x:v>0</x:v>
      </x:c>
      <x:c r="Z891" s="38" t="n">
        <x:v>0.0759</x:v>
      </x:c>
      <x:c r="AA891" s="38" t="n">
        <x:v>0.028050000000000002</x:v>
      </x:c>
      <x:c r="AB891" s="38" t="n">
        <x:v>0.00019800000000000002</x:v>
      </x:c>
      <x:c r="AC891" s="38" t="n">
        <x:v>0.09376949999999999</x:v>
      </x:c>
      <x:c r="AD891" s="28" t="n">
        <x:v>0.24909051062897214</x:v>
      </x:c>
    </x:row>
    <x:row r="892">
      <x:c r="A892" s="32" t="n">
        <x:v>45971</x:v>
      </x:c>
      <x:c r="B892" s="32" t="n">
        <x:v>45962</x:v>
      </x:c>
      <x:c r="C892" t="str">
        <x:v>Nov 2025</x:v>
      </x:c>
      <x:c r="D892" t="str">
        <x:v>Actual</x:v>
      </x:c>
      <x:c r="E892" t="str">
        <x:v>DB-102</x:v>
      </x:c>
      <x:c r="F892" t="str">
        <x:v>GlowPatch Balm</x:v>
      </x:c>
      <x:c r="G892" t="str">
        <x:v>Consumable repeat</x:v>
      </x:c>
      <x:c r="H892" t="str">
        <x:v>None</x:v>
      </x:c>
      <x:c r="I892" t="str">
        <x:v>Active</x:v>
      </x:c>
      <x:c r="J892" t="str">
        <x:v>TikTok Shop</x:v>
      </x:c>
      <x:c r="K892" t="str">
        <x:v>Social Commerce</x:v>
      </x:c>
      <x:c r="L892" t="str">
        <x:v>All Geographies</x:v>
      </x:c>
      <x:c r="M892" s="34" t="n">
        <x:v>943</x:v>
      </x:c>
      <x:c r="N892" s="28" t="n">
        <x:v>0.0535248</x:v>
      </x:c>
      <x:c r="O892" s="34" t="n">
        <x:v>50</x:v>
      </x:c>
      <x:c r="P892" s="34" t="n">
        <x:v>1</x:v>
      </x:c>
      <x:c r="Q892" s="34" t="n">
        <x:v>50</x:v>
      </x:c>
      <x:c r="R892" s="33" t="n">
        <x:v>18</x:v>
      </x:c>
      <x:c r="S892" s="38" t="n">
        <x:v>0.9</x:v>
      </x:c>
      <x:c r="T892" s="38" t="n">
        <x:v>0.108</x:v>
      </x:c>
      <x:c r="U892" s="38" t="n">
        <x:v>0.0198</x:v>
      </x:c>
      <x:c r="V892" s="38" t="n">
        <x:v>0.7722</x:v>
      </x:c>
      <x:c r="W892" s="38" t="n">
        <x:v>0.2705</x:v>
      </x:c>
      <x:c r="X892" s="38" t="n">
        <x:v>0.022393800000000002</x:v>
      </x:c>
      <x:c r="Y892" s="38" t="n">
        <x:v>0.046332</x:v>
      </x:c>
      <x:c r="Z892" s="38" t="n">
        <x:v>0.25499999999999995</x:v>
      </x:c>
      <x:c r="AA892" s="38" t="n">
        <x:v>0.0875</x:v>
      </x:c>
      <x:c r="AB892" s="38" t="n">
        <x:v>0.00030000000000000003</x:v>
      </x:c>
      <x:c r="AC892" s="38" t="n">
        <x:v>0.0901742000000001</x:v>
      </x:c>
      <x:c r="AD892" s="28" t="n">
        <x:v>0.1167757057757059</x:v>
      </x:c>
    </x:row>
    <x:row r="893">
      <x:c r="A893" s="32" t="n">
        <x:v>45971</x:v>
      </x:c>
      <x:c r="B893" s="32" t="n">
        <x:v>45962</x:v>
      </x:c>
      <x:c r="C893" t="str">
        <x:v>Nov 2025</x:v>
      </x:c>
      <x:c r="D893" t="str">
        <x:v>Actual</x:v>
      </x:c>
      <x:c r="E893" t="str">
        <x:v>DB-103</x:v>
      </x:c>
      <x:c r="F893" t="str">
        <x:v>EmberTrail Camp Mug</x:v>
      </x:c>
      <x:c r="G893" t="str">
        <x:v>One-time purchase</x:v>
      </x:c>
      <x:c r="H893" t="str">
        <x:v>Winter peak</x:v>
      </x:c>
      <x:c r="I893" t="str">
        <x:v>Active</x:v>
      </x:c>
      <x:c r="J893" t="str">
        <x:v>Shopify DTC</x:v>
      </x:c>
      <x:c r="K893" t="str">
        <x:v>Consumer</x:v>
      </x:c>
      <x:c r="L893" t="str">
        <x:v>All Geographies</x:v>
      </x:c>
      <x:c r="M893" s="34" t="n">
        <x:v>5736</x:v>
      </x:c>
      <x:c r="N893" s="28" t="n">
        <x:v>0.0324</x:v>
      </x:c>
      <x:c r="O893" s="34" t="n">
        <x:v>186</x:v>
      </x:c>
      <x:c r="P893" s="34" t="n">
        <x:v>1</x:v>
      </x:c>
      <x:c r="Q893" s="34" t="n">
        <x:v>186</x:v>
      </x:c>
      <x:c r="R893" s="33" t="n">
        <x:v>34</x:v>
      </x:c>
      <x:c r="S893" s="38" t="n">
        <x:v>6.324</x:v>
      </x:c>
      <x:c r="T893" s="38" t="n">
        <x:v>0.50592</x:v>
      </x:c>
      <x:c r="U893" s="38" t="n">
        <x:v>0.3199944</x:v>
      </x:c>
      <x:c r="V893" s="38" t="n">
        <x:v>5.4980856000000005</x:v>
      </x:c>
      <x:c r="W893" s="38" t="n">
        <x:v>2.54262</x:v>
      </x:c>
      <x:c r="X893" s="38" t="n">
        <x:v>0.15944448240000003</x:v>
      </x:c>
      <x:c r="Y893" s="38" t="n">
        <x:v>0</x:v>
      </x:c>
      <x:c r="Z893" s="38" t="n">
        <x:v>0.7719000000000001</x:v>
      </x:c>
      <x:c r="AA893" s="38" t="n">
        <x:v>0.30689999999999995</x:v>
      </x:c>
      <x:c r="AB893" s="38" t="n">
        <x:v>0.010416</x:v>
      </x:c>
      <x:c r="AC893" s="38" t="n">
        <x:v>1.7068051176000005</x:v>
      </x:c>
      <x:c r="AD893" s="28" t="n">
        <x:v>0.31043625759482546</x:v>
      </x:c>
    </x:row>
    <x:row r="894">
      <x:c r="A894" s="32" t="n">
        <x:v>45971</x:v>
      </x:c>
      <x:c r="B894" s="32" t="n">
        <x:v>45962</x:v>
      </x:c>
      <x:c r="C894" t="str">
        <x:v>Nov 2025</x:v>
      </x:c>
      <x:c r="D894" t="str">
        <x:v>Actual</x:v>
      </x:c>
      <x:c r="E894" t="str">
        <x:v>DB-103</x:v>
      </x:c>
      <x:c r="F894" t="str">
        <x:v>EmberTrail Camp Mug</x:v>
      </x:c>
      <x:c r="G894" t="str">
        <x:v>One-time purchase</x:v>
      </x:c>
      <x:c r="H894" t="str">
        <x:v>Winter peak</x:v>
      </x:c>
      <x:c r="I894" t="str">
        <x:v>Active</x:v>
      </x:c>
      <x:c r="J894" t="str">
        <x:v>Amazon Marketplace</x:v>
      </x:c>
      <x:c r="K894" t="str">
        <x:v>Marketplace Consumer</x:v>
      </x:c>
      <x:c r="L894" t="str">
        <x:v>All Geographies</x:v>
      </x:c>
      <x:c r="M894" s="34" t="n">
        <x:v>2868</x:v>
      </x:c>
      <x:c r="N894" s="28" t="n">
        <x:v>0.038231999999999995</x:v>
      </x:c>
      <x:c r="O894" s="34" t="n">
        <x:v>110</x:v>
      </x:c>
      <x:c r="P894" s="34" t="n">
        <x:v>1</x:v>
      </x:c>
      <x:c r="Q894" s="34" t="n">
        <x:v>110</x:v>
      </x:c>
      <x:c r="R894" s="33" t="n">
        <x:v>34</x:v>
      </x:c>
      <x:c r="S894" s="38" t="n">
        <x:v>3.74</x:v>
      </x:c>
      <x:c r="T894" s="38" t="n">
        <x:v>0.18700000000000003</x:v>
      </x:c>
      <x:c r="U894" s="38" t="n">
        <x:v>0.19541500000000003</x:v>
      </x:c>
      <x:c r="V894" s="38" t="n">
        <x:v>3.3575850000000003</x:v>
      </x:c>
      <x:c r="W894" s="38" t="n">
        <x:v>1.5037</x:v>
      </x:c>
      <x:c r="X894" s="38" t="n">
        <x:v>0</x:v>
      </x:c>
      <x:c r="Y894" s="38" t="n">
        <x:v>0.50363775</x:v>
      </x:c>
      <x:c r="Z894" s="38" t="n">
        <x:v>0.572</x:v>
      </x:c>
      <x:c r="AA894" s="38" t="n">
        <x:v>0.2365</x:v>
      </x:c>
      <x:c r="AB894" s="38" t="n">
        <x:v>0.0061600000000000005</x:v>
      </x:c>
      <x:c r="AC894" s="38" t="n">
        <x:v>0.5355872500000002</x:v>
      </x:c>
      <x:c r="AD894" s="28" t="n">
        <x:v>0.15951561911314238</x:v>
      </x:c>
    </x:row>
    <x:row r="895">
      <x:c r="A895" s="32" t="n">
        <x:v>45971</x:v>
      </x:c>
      <x:c r="B895" s="32" t="n">
        <x:v>45962</x:v>
      </x:c>
      <x:c r="C895" t="str">
        <x:v>Nov 2025</x:v>
      </x:c>
      <x:c r="D895" t="str">
        <x:v>Actual</x:v>
      </x:c>
      <x:c r="E895" t="str">
        <x:v>DB-103</x:v>
      </x:c>
      <x:c r="F895" t="str">
        <x:v>EmberTrail Camp Mug</x:v>
      </x:c>
      <x:c r="G895" t="str">
        <x:v>One-time purchase</x:v>
      </x:c>
      <x:c r="H895" t="str">
        <x:v>Winter peak</x:v>
      </x:c>
      <x:c r="I895" t="str">
        <x:v>Active</x:v>
      </x:c>
      <x:c r="J895" t="str">
        <x:v>Wholesale</x:v>
      </x:c>
      <x:c r="K895" t="str">
        <x:v>Retailer</x:v>
      </x:c>
      <x:c r="L895" t="str">
        <x:v>All Geographies</x:v>
      </x:c>
      <x:c r="M895" s="34" t="n">
        <x:v>1721</x:v>
      </x:c>
      <x:c r="N895" s="28" t="n">
        <x:v>0.017820000000000003</x:v>
      </x:c>
      <x:c r="O895" s="34" t="n">
        <x:v>31</x:v>
      </x:c>
      <x:c r="P895" s="34" t="n">
        <x:v>1</x:v>
      </x:c>
      <x:c r="Q895" s="34" t="n">
        <x:v>31</x:v>
      </x:c>
      <x:c r="R895" s="33" t="n">
        <x:v>34</x:v>
      </x:c>
      <x:c r="S895" s="38" t="n">
        <x:v>1.054</x:v>
      </x:c>
      <x:c r="T895" s="38" t="n">
        <x:v>0.3689</x:v>
      </x:c>
      <x:c r="U895" s="38" t="n">
        <x:v>0.037680500000000006</x:v>
      </x:c>
      <x:c r="V895" s="38" t="n">
        <x:v>0.6474195</x:v>
      </x:c>
      <x:c r="W895" s="38" t="n">
        <x:v>0.42377</x:v>
      </x:c>
      <x:c r="X895" s="38" t="n">
        <x:v>0</x:v>
      </x:c>
      <x:c r="Y895" s="38" t="n">
        <x:v>0</x:v>
      </x:c>
      <x:c r="Z895" s="38" t="n">
        <x:v>0.0713</x:v>
      </x:c>
      <x:c r="AA895" s="38" t="n">
        <x:v>0.02635</x:v>
      </x:c>
      <x:c r="AB895" s="38" t="n">
        <x:v>0.001736</x:v>
      </x:c>
      <x:c r="AC895" s="38" t="n">
        <x:v>0.12426350000000004</x:v>
      </x:c>
      <x:c r="AD895" s="28" t="n">
        <x:v>0.19193660370130963</x:v>
      </x:c>
    </x:row>
    <x:row r="896">
      <x:c r="A896" s="32" t="n">
        <x:v>45971</x:v>
      </x:c>
      <x:c r="B896" s="32" t="n">
        <x:v>45962</x:v>
      </x:c>
      <x:c r="C896" t="str">
        <x:v>Nov 2025</x:v>
      </x:c>
      <x:c r="D896" t="str">
        <x:v>Actual</x:v>
      </x:c>
      <x:c r="E896" t="str">
        <x:v>DB-103</x:v>
      </x:c>
      <x:c r="F896" t="str">
        <x:v>EmberTrail Camp Mug</x:v>
      </x:c>
      <x:c r="G896" t="str">
        <x:v>One-time purchase</x:v>
      </x:c>
      <x:c r="H896" t="str">
        <x:v>Winter peak</x:v>
      </x:c>
      <x:c r="I896" t="str">
        <x:v>Active</x:v>
      </x:c>
      <x:c r="J896" t="str">
        <x:v>TikTok Shop</x:v>
      </x:c>
      <x:c r="K896" t="str">
        <x:v>Social Commerce</x:v>
      </x:c>
      <x:c r="L896" t="str">
        <x:v>All Geographies</x:v>
      </x:c>
      <x:c r="M896" s="34" t="n">
        <x:v>1147</x:v>
      </x:c>
      <x:c r="N896" s="28" t="n">
        <x:v>0.040824</x:v>
      </x:c>
      <x:c r="O896" s="34" t="n">
        <x:v>47</x:v>
      </x:c>
      <x:c r="P896" s="34" t="n">
        <x:v>1</x:v>
      </x:c>
      <x:c r="Q896" s="34" t="n">
        <x:v>47</x:v>
      </x:c>
      <x:c r="R896" s="33" t="n">
        <x:v>34</x:v>
      </x:c>
      <x:c r="S896" s="38" t="n">
        <x:v>1.598</x:v>
      </x:c>
      <x:c r="T896" s="38" t="n">
        <x:v>0.19176</x:v>
      </x:c>
      <x:c r="U896" s="38" t="n">
        <x:v>0.07734320000000001</x:v>
      </x:c>
      <x:c r="V896" s="38" t="n">
        <x:v>1.3288968</x:v>
      </x:c>
      <x:c r="W896" s="38" t="n">
        <x:v>0.64249</x:v>
      </x:c>
      <x:c r="X896" s="38" t="n">
        <x:v>0.0385380072</x:v>
      </x:c>
      <x:c r="Y896" s="38" t="n">
        <x:v>0.079733808</x:v>
      </x:c>
      <x:c r="Z896" s="38" t="n">
        <x:v>0.2397</x:v>
      </x:c>
      <x:c r="AA896" s="38" t="n">
        <x:v>0.08225</x:v>
      </x:c>
      <x:c r="AB896" s="38" t="n">
        <x:v>0.0026320000000000002</x:v>
      </x:c>
      <x:c r="AC896" s="38" t="n">
        <x:v>0.24355298480000012</x:v>
      </x:c>
      <x:c r="AD896" s="28" t="n">
        <x:v>0.18327456639221354</x:v>
      </x:c>
    </x:row>
    <x:row r="897">
      <x:c r="A897" s="32" t="n">
        <x:v>45971</x:v>
      </x:c>
      <x:c r="B897" s="32" t="n">
        <x:v>45962</x:v>
      </x:c>
      <x:c r="C897" t="str">
        <x:v>Nov 2025</x:v>
      </x:c>
      <x:c r="D897" t="str">
        <x:v>Actual</x:v>
      </x:c>
      <x:c r="E897" t="str">
        <x:v>DB-104</x:v>
      </x:c>
      <x:c r="F897" t="str">
        <x:v>SunNest Cooling Towel</x:v>
      </x:c>
      <x:c r="G897" t="str">
        <x:v>Consumable repeat</x:v>
      </x:c>
      <x:c r="H897" t="str">
        <x:v>Summer peak</x:v>
      </x:c>
      <x:c r="I897" t="str">
        <x:v>Active</x:v>
      </x:c>
      <x:c r="J897" t="str">
        <x:v>Shopify DTC</x:v>
      </x:c>
      <x:c r="K897" t="str">
        <x:v>Consumer</x:v>
      </x:c>
      <x:c r="L897" t="str">
        <x:v>All Geographies</x:v>
      </x:c>
      <x:c r="M897" s="34" t="n">
        <x:v>2976</x:v>
      </x:c>
      <x:c r="N897" s="28" t="n">
        <x:v>0.03312</x:v>
      </x:c>
      <x:c r="O897" s="34" t="n">
        <x:v>99</x:v>
      </x:c>
      <x:c r="P897" s="34" t="n">
        <x:v>1</x:v>
      </x:c>
      <x:c r="Q897" s="34" t="n">
        <x:v>99</x:v>
      </x:c>
      <x:c r="R897" s="33" t="n">
        <x:v>42</x:v>
      </x:c>
      <x:c r="S897" s="38" t="n">
        <x:v>4.158</x:v>
      </x:c>
      <x:c r="T897" s="38" t="n">
        <x:v>0.33264000000000005</x:v>
      </x:c>
      <x:c r="U897" s="38" t="n">
        <x:v>0.19126800000000002</x:v>
      </x:c>
      <x:c r="V897" s="38" t="n">
        <x:v>3.6340920000000003</x:v>
      </x:c>
      <x:c r="W897" s="38" t="n">
        <x:v>1.48995</x:v>
      </x:c>
      <x:c r="X897" s="38" t="n">
        <x:v>0.10538866800000002</x:v>
      </x:c>
      <x:c r="Y897" s="38" t="n">
        <x:v>0</x:v>
      </x:c>
      <x:c r="Z897" s="38" t="n">
        <x:v>0.41085000000000005</x:v>
      </x:c>
      <x:c r="AA897" s="38" t="n">
        <x:v>0.16335</x:v>
      </x:c>
      <x:c r="AB897" s="38" t="n">
        <x:v>0.0027719999999999997</x:v>
      </x:c>
      <x:c r="AC897" s="38" t="n">
        <x:v>1.4617813320000008</x:v>
      </x:c>
      <x:c r="AD897" s="28" t="n">
        <x:v>0.40224114634412134</x:v>
      </x:c>
    </x:row>
    <x:row r="898">
      <x:c r="A898" s="32" t="n">
        <x:v>45971</x:v>
      </x:c>
      <x:c r="B898" s="32" t="n">
        <x:v>45962</x:v>
      </x:c>
      <x:c r="C898" t="str">
        <x:v>Nov 2025</x:v>
      </x:c>
      <x:c r="D898" t="str">
        <x:v>Actual</x:v>
      </x:c>
      <x:c r="E898" t="str">
        <x:v>DB-104</x:v>
      </x:c>
      <x:c r="F898" t="str">
        <x:v>SunNest Cooling Towel</x:v>
      </x:c>
      <x:c r="G898" t="str">
        <x:v>Consumable repeat</x:v>
      </x:c>
      <x:c r="H898" t="str">
        <x:v>Summer peak</x:v>
      </x:c>
      <x:c r="I898" t="str">
        <x:v>Active</x:v>
      </x:c>
      <x:c r="J898" t="str">
        <x:v>Amazon Marketplace</x:v>
      </x:c>
      <x:c r="K898" t="str">
        <x:v>Marketplace Consumer</x:v>
      </x:c>
      <x:c r="L898" t="str">
        <x:v>All Geographies</x:v>
      </x:c>
      <x:c r="M898" s="34" t="n">
        <x:v>1488</x:v>
      </x:c>
      <x:c r="N898" s="28" t="n">
        <x:v>0.0390816</x:v>
      </x:c>
      <x:c r="O898" s="34" t="n">
        <x:v>58</x:v>
      </x:c>
      <x:c r="P898" s="34" t="n">
        <x:v>1</x:v>
      </x:c>
      <x:c r="Q898" s="34" t="n">
        <x:v>58</x:v>
      </x:c>
      <x:c r="R898" s="33" t="n">
        <x:v>42</x:v>
      </x:c>
      <x:c r="S898" s="38" t="n">
        <x:v>2.436</x:v>
      </x:c>
      <x:c r="T898" s="38" t="n">
        <x:v>0.1218</x:v>
      </x:c>
      <x:c r="U898" s="38" t="n">
        <x:v>0.11571000000000001</x:v>
      </x:c>
      <x:c r="V898" s="38" t="n">
        <x:v>2.19849</x:v>
      </x:c>
      <x:c r="W898" s="38" t="n">
        <x:v>0.8729000000000001</x:v>
      </x:c>
      <x:c r="X898" s="38" t="n">
        <x:v>0</x:v>
      </x:c>
      <x:c r="Y898" s="38" t="n">
        <x:v>0.3297735</x:v>
      </x:c>
      <x:c r="Z898" s="38" t="n">
        <x:v>0.30160000000000003</x:v>
      </x:c>
      <x:c r="AA898" s="38" t="n">
        <x:v>0.12469999999999999</x:v>
      </x:c>
      <x:c r="AB898" s="38" t="n">
        <x:v>0.0016239999999999998</x:v>
      </x:c>
      <x:c r="AC898" s="38" t="n">
        <x:v>0.5678925</x:v>
      </x:c>
      <x:c r="AD898" s="28" t="n">
        <x:v>0.2583102493074792</x:v>
      </x:c>
    </x:row>
    <x:row r="899">
      <x:c r="A899" s="32" t="n">
        <x:v>45971</x:v>
      </x:c>
      <x:c r="B899" s="32" t="n">
        <x:v>45962</x:v>
      </x:c>
      <x:c r="C899" t="str">
        <x:v>Nov 2025</x:v>
      </x:c>
      <x:c r="D899" t="str">
        <x:v>Actual</x:v>
      </x:c>
      <x:c r="E899" t="str">
        <x:v>DB-104</x:v>
      </x:c>
      <x:c r="F899" t="str">
        <x:v>SunNest Cooling Towel</x:v>
      </x:c>
      <x:c r="G899" t="str">
        <x:v>Consumable repeat</x:v>
      </x:c>
      <x:c r="H899" t="str">
        <x:v>Summer peak</x:v>
      </x:c>
      <x:c r="I899" t="str">
        <x:v>Active</x:v>
      </x:c>
      <x:c r="J899" t="str">
        <x:v>Wholesale</x:v>
      </x:c>
      <x:c r="K899" t="str">
        <x:v>Retailer</x:v>
      </x:c>
      <x:c r="L899" t="str">
        <x:v>All Geographies</x:v>
      </x:c>
      <x:c r="M899" s="34" t="n">
        <x:v>893</x:v>
      </x:c>
      <x:c r="N899" s="28" t="n">
        <x:v>0.018216000000000003</x:v>
      </x:c>
      <x:c r="O899" s="34" t="n">
        <x:v>16</x:v>
      </x:c>
      <x:c r="P899" s="34" t="n">
        <x:v>1</x:v>
      </x:c>
      <x:c r="Q899" s="34" t="n">
        <x:v>16</x:v>
      </x:c>
      <x:c r="R899" s="33" t="n">
        <x:v>42</x:v>
      </x:c>
      <x:c r="S899" s="38" t="n">
        <x:v>0.672</x:v>
      </x:c>
      <x:c r="T899" s="38" t="n">
        <x:v>0.2352</x:v>
      </x:c>
      <x:c r="U899" s="38" t="n">
        <x:v>0.021840000000000005</x:v>
      </x:c>
      <x:c r="V899" s="38" t="n">
        <x:v>0.41496000000000005</x:v>
      </x:c>
      <x:c r="W899" s="38" t="n">
        <x:v>0.24080000000000001</x:v>
      </x:c>
      <x:c r="X899" s="38" t="n">
        <x:v>0</x:v>
      </x:c>
      <x:c r="Y899" s="38" t="n">
        <x:v>0</x:v>
      </x:c>
      <x:c r="Z899" s="38" t="n">
        <x:v>0.0368</x:v>
      </x:c>
      <x:c r="AA899" s="38" t="n">
        <x:v>0.0136</x:v>
      </x:c>
      <x:c r="AB899" s="38" t="n">
        <x:v>0.00044799999999999994</x:v>
      </x:c>
      <x:c r="AC899" s="38" t="n">
        <x:v>0.12331200000000003</x:v>
      </x:c>
      <x:c r="AD899" s="28" t="n">
        <x:v>0.29716599190283405</x:v>
      </x:c>
    </x:row>
    <x:row r="900">
      <x:c r="A900" s="32" t="n">
        <x:v>45971</x:v>
      </x:c>
      <x:c r="B900" s="32" t="n">
        <x:v>45962</x:v>
      </x:c>
      <x:c r="C900" t="str">
        <x:v>Nov 2025</x:v>
      </x:c>
      <x:c r="D900" t="str">
        <x:v>Actual</x:v>
      </x:c>
      <x:c r="E900" t="str">
        <x:v>DB-104</x:v>
      </x:c>
      <x:c r="F900" t="str">
        <x:v>SunNest Cooling Towel</x:v>
      </x:c>
      <x:c r="G900" t="str">
        <x:v>Consumable repeat</x:v>
      </x:c>
      <x:c r="H900" t="str">
        <x:v>Summer peak</x:v>
      </x:c>
      <x:c r="I900" t="str">
        <x:v>Active</x:v>
      </x:c>
      <x:c r="J900" t="str">
        <x:v>TikTok Shop</x:v>
      </x:c>
      <x:c r="K900" t="str">
        <x:v>Social Commerce</x:v>
      </x:c>
      <x:c r="L900" t="str">
        <x:v>All Geographies</x:v>
      </x:c>
      <x:c r="M900" s="34" t="n">
        <x:v>595</x:v>
      </x:c>
      <x:c r="N900" s="28" t="n">
        <x:v>0.0417312</x:v>
      </x:c>
      <x:c r="O900" s="34" t="n">
        <x:v>25</x:v>
      </x:c>
      <x:c r="P900" s="34" t="n">
        <x:v>1</x:v>
      </x:c>
      <x:c r="Q900" s="34" t="n">
        <x:v>25</x:v>
      </x:c>
      <x:c r="R900" s="33" t="n">
        <x:v>42</x:v>
      </x:c>
      <x:c r="S900" s="38" t="n">
        <x:v>1.05</x:v>
      </x:c>
      <x:c r="T900" s="38" t="n">
        <x:v>0.126</x:v>
      </x:c>
      <x:c r="U900" s="38" t="n">
        <x:v>0.046200000000000005</x:v>
      </x:c>
      <x:c r="V900" s="38" t="n">
        <x:v>0.8778</x:v>
      </x:c>
      <x:c r="W900" s="38" t="n">
        <x:v>0.37625</x:v>
      </x:c>
      <x:c r="X900" s="38" t="n">
        <x:v>0.025456200000000002</x:v>
      </x:c>
      <x:c r="Y900" s="38" t="n">
        <x:v>0.052668</x:v>
      </x:c>
      <x:c r="Z900" s="38" t="n">
        <x:v>0.12749999999999997</x:v>
      </x:c>
      <x:c r="AA900" s="38" t="n">
        <x:v>0.04375</x:v>
      </x:c>
      <x:c r="AB900" s="38" t="n">
        <x:v>0.0007</x:v>
      </x:c>
      <x:c r="AC900" s="38" t="n">
        <x:v>0.25147580000000014</x:v>
      </x:c>
      <x:c r="AD900" s="28" t="n">
        <x:v>0.28648416495784934</x:v>
      </x:c>
    </x:row>
    <x:row r="901">
      <x:c r="A901" s="32" t="n">
        <x:v>45971</x:v>
      </x:c>
      <x:c r="B901" s="32" t="n">
        <x:v>45962</x:v>
      </x:c>
      <x:c r="C901" t="str">
        <x:v>Nov 2025</x:v>
      </x:c>
      <x:c r="D901" t="str">
        <x:v>Actual</x:v>
      </x:c>
      <x:c r="E901" t="str">
        <x:v>DB-105</x:v>
      </x:c>
      <x:c r="F901" t="str">
        <x:v>DreamFuel Refill Pack</x:v>
      </x:c>
      <x:c r="G901" t="str">
        <x:v>Subscription</x:v>
      </x:c>
      <x:c r="H901" t="str">
        <x:v>None</x:v>
      </x:c>
      <x:c r="I901" t="str">
        <x:v>Active</x:v>
      </x:c>
      <x:c r="J901" t="str">
        <x:v>Shopify DTC</x:v>
      </x:c>
      <x:c r="K901" t="str">
        <x:v>Consumer</x:v>
      </x:c>
      <x:c r="L901" t="str">
        <x:v>All Geographies</x:v>
      </x:c>
      <x:c r="M901" s="34" t="n">
        <x:v>4040</x:v>
      </x:c>
      <x:c r="N901" s="28" t="n">
        <x:v>0.03888</x:v>
      </x:c>
      <x:c r="O901" s="34" t="n">
        <x:v>157</x:v>
      </x:c>
      <x:c r="P901" s="34" t="n">
        <x:v>1</x:v>
      </x:c>
      <x:c r="Q901" s="34" t="n">
        <x:v>157</x:v>
      </x:c>
      <x:c r="R901" s="33" t="n">
        <x:v>56</x:v>
      </x:c>
      <x:c r="S901" s="38" t="n">
        <x:v>8.792</x:v>
      </x:c>
      <x:c r="T901" s="38" t="n">
        <x:v>0.70336</x:v>
      </x:c>
      <x:c r="U901" s="38" t="n">
        <x:v>0.1617728</x:v>
      </x:c>
      <x:c r="V901" s="38" t="n">
        <x:v>7.9268672</x:v>
      </x:c>
      <x:c r="W901" s="38" t="n">
        <x:v>2.92334</x:v>
      </x:c>
      <x:c r="X901" s="38" t="n">
        <x:v>0.22987914880000002</x:v>
      </x:c>
      <x:c r="Y901" s="38" t="n">
        <x:v>0</x:v>
      </x:c>
      <x:c r="Z901" s="38" t="n">
        <x:v>0.6515500000000001</x:v>
      </x:c>
      <x:c r="AA901" s="38" t="n">
        <x:v>0.25905</x:v>
      </x:c>
      <x:c r="AB901" s="38" t="n">
        <x:v>0.0005652000000000001</x:v>
      </x:c>
      <x:c r="AC901" s="38" t="n">
        <x:v>3.8624828512</x:v>
      </x:c>
      <x:c r="AD901" s="28" t="n">
        <x:v>0.48726473570794776</x:v>
      </x:c>
    </x:row>
    <x:row r="902">
      <x:c r="A902" s="32" t="n">
        <x:v>45971</x:v>
      </x:c>
      <x:c r="B902" s="32" t="n">
        <x:v>45962</x:v>
      </x:c>
      <x:c r="C902" t="str">
        <x:v>Nov 2025</x:v>
      </x:c>
      <x:c r="D902" t="str">
        <x:v>Actual</x:v>
      </x:c>
      <x:c r="E902" t="str">
        <x:v>DB-105</x:v>
      </x:c>
      <x:c r="F902" t="str">
        <x:v>DreamFuel Refill Pack</x:v>
      </x:c>
      <x:c r="G902" t="str">
        <x:v>Subscription</x:v>
      </x:c>
      <x:c r="H902" t="str">
        <x:v>None</x:v>
      </x:c>
      <x:c r="I902" t="str">
        <x:v>Active</x:v>
      </x:c>
      <x:c r="J902" t="str">
        <x:v>Amazon Marketplace</x:v>
      </x:c>
      <x:c r="K902" t="str">
        <x:v>Marketplace Consumer</x:v>
      </x:c>
      <x:c r="L902" t="str">
        <x:v>All Geographies</x:v>
      </x:c>
      <x:c r="M902" s="34" t="n">
        <x:v>2020</x:v>
      </x:c>
      <x:c r="N902" s="28" t="n">
        <x:v>0.0458784</x:v>
      </x:c>
      <x:c r="O902" s="34" t="n">
        <x:v>93</x:v>
      </x:c>
      <x:c r="P902" s="34" t="n">
        <x:v>1</x:v>
      </x:c>
      <x:c r="Q902" s="34" t="n">
        <x:v>93</x:v>
      </x:c>
      <x:c r="R902" s="33" t="n">
        <x:v>56</x:v>
      </x:c>
      <x:c r="S902" s="38" t="n">
        <x:v>5.208</x:v>
      </x:c>
      <x:c r="T902" s="38" t="n">
        <x:v>0.2604</x:v>
      </x:c>
      <x:c r="U902" s="38" t="n">
        <x:v>0.09895200000000001</x:v>
      </x:c>
      <x:c r="V902" s="38" t="n">
        <x:v>4.848648000000001</x:v>
      </x:c>
      <x:c r="W902" s="38" t="n">
        <x:v>1.73166</x:v>
      </x:c>
      <x:c r="X902" s="38" t="n">
        <x:v>0</x:v>
      </x:c>
      <x:c r="Y902" s="38" t="n">
        <x:v>0.7272972000000001</x:v>
      </x:c>
      <x:c r="Z902" s="38" t="n">
        <x:v>0.48360000000000003</x:v>
      </x:c>
      <x:c r="AA902" s="38" t="n">
        <x:v>0.19995</x:v>
      </x:c>
      <x:c r="AB902" s="38" t="n">
        <x:v>0.00033480000000000006</x:v>
      </x:c>
      <x:c r="AC902" s="38" t="n">
        <x:v>1.7058060000000006</x:v>
      </x:c>
      <x:c r="AD902" s="28" t="n">
        <x:v>0.3518106490716588</x:v>
      </x:c>
    </x:row>
    <x:row r="903">
      <x:c r="A903" s="32" t="n">
        <x:v>45971</x:v>
      </x:c>
      <x:c r="B903" s="32" t="n">
        <x:v>45962</x:v>
      </x:c>
      <x:c r="C903" t="str">
        <x:v>Nov 2025</x:v>
      </x:c>
      <x:c r="D903" t="str">
        <x:v>Actual</x:v>
      </x:c>
      <x:c r="E903" t="str">
        <x:v>DB-105</x:v>
      </x:c>
      <x:c r="F903" t="str">
        <x:v>DreamFuel Refill Pack</x:v>
      </x:c>
      <x:c r="G903" t="str">
        <x:v>Subscription</x:v>
      </x:c>
      <x:c r="H903" t="str">
        <x:v>None</x:v>
      </x:c>
      <x:c r="I903" t="str">
        <x:v>Active</x:v>
      </x:c>
      <x:c r="J903" t="str">
        <x:v>Wholesale</x:v>
      </x:c>
      <x:c r="K903" t="str">
        <x:v>Retailer</x:v>
      </x:c>
      <x:c r="L903" t="str">
        <x:v>All Geographies</x:v>
      </x:c>
      <x:c r="M903" s="34" t="n">
        <x:v>1212</x:v>
      </x:c>
      <x:c r="N903" s="28" t="n">
        <x:v>0.021384000000000004</x:v>
      </x:c>
      <x:c r="O903" s="34" t="n">
        <x:v>26</x:v>
      </x:c>
      <x:c r="P903" s="34" t="n">
        <x:v>1</x:v>
      </x:c>
      <x:c r="Q903" s="34" t="n">
        <x:v>26</x:v>
      </x:c>
      <x:c r="R903" s="33" t="n">
        <x:v>56</x:v>
      </x:c>
      <x:c r="S903" s="38" t="n">
        <x:v>1.456</x:v>
      </x:c>
      <x:c r="T903" s="38" t="n">
        <x:v>0.5095999999999999</x:v>
      </x:c>
      <x:c r="U903" s="38" t="n">
        <x:v>0.018928</x:v>
      </x:c>
      <x:c r="V903" s="38" t="n">
        <x:v>0.9274720000000001</x:v>
      </x:c>
      <x:c r="W903" s="38" t="n">
        <x:v>0.48412</x:v>
      </x:c>
      <x:c r="X903" s="38" t="n">
        <x:v>0</x:v>
      </x:c>
      <x:c r="Y903" s="38" t="n">
        <x:v>0</x:v>
      </x:c>
      <x:c r="Z903" s="38" t="n">
        <x:v>0.0598</x:v>
      </x:c>
      <x:c r="AA903" s="38" t="n">
        <x:v>0.022099999999999998</x:v>
      </x:c>
      <x:c r="AB903" s="38" t="n">
        <x:v>0.0000936</x:v>
      </x:c>
      <x:c r="AC903" s="38" t="n">
        <x:v>0.3613584</x:v>
      </x:c>
      <x:c r="AD903" s="28" t="n">
        <x:v>0.38961650594303654</x:v>
      </x:c>
    </x:row>
    <x:row r="904">
      <x:c r="A904" s="32" t="n">
        <x:v>45971</x:v>
      </x:c>
      <x:c r="B904" s="32" t="n">
        <x:v>45962</x:v>
      </x:c>
      <x:c r="C904" t="str">
        <x:v>Nov 2025</x:v>
      </x:c>
      <x:c r="D904" t="str">
        <x:v>Actual</x:v>
      </x:c>
      <x:c r="E904" t="str">
        <x:v>DB-105</x:v>
      </x:c>
      <x:c r="F904" t="str">
        <x:v>DreamFuel Refill Pack</x:v>
      </x:c>
      <x:c r="G904" t="str">
        <x:v>Subscription</x:v>
      </x:c>
      <x:c r="H904" t="str">
        <x:v>None</x:v>
      </x:c>
      <x:c r="I904" t="str">
        <x:v>Active</x:v>
      </x:c>
      <x:c r="J904" t="str">
        <x:v>TikTok Shop</x:v>
      </x:c>
      <x:c r="K904" t="str">
        <x:v>Social Commerce</x:v>
      </x:c>
      <x:c r="L904" t="str">
        <x:v>All Geographies</x:v>
      </x:c>
      <x:c r="M904" s="34" t="n">
        <x:v>808</x:v>
      </x:c>
      <x:c r="N904" s="28" t="n">
        <x:v>0.0489888</x:v>
      </x:c>
      <x:c r="O904" s="34" t="n">
        <x:v>40</x:v>
      </x:c>
      <x:c r="P904" s="34" t="n">
        <x:v>1</x:v>
      </x:c>
      <x:c r="Q904" s="34" t="n">
        <x:v>40</x:v>
      </x:c>
      <x:c r="R904" s="33" t="n">
        <x:v>56</x:v>
      </x:c>
      <x:c r="S904" s="38" t="n">
        <x:v>2.24</x:v>
      </x:c>
      <x:c r="T904" s="38" t="n">
        <x:v>0.26880000000000004</x:v>
      </x:c>
      <x:c r="U904" s="38" t="n">
        <x:v>0.039424</x:v>
      </x:c>
      <x:c r="V904" s="38" t="n">
        <x:v>1.9317760000000002</x:v>
      </x:c>
      <x:c r="W904" s="38" t="n">
        <x:v>0.7448</x:v>
      </x:c>
      <x:c r="X904" s="38" t="n">
        <x:v>0.05602150400000001</x:v>
      </x:c>
      <x:c r="Y904" s="38" t="n">
        <x:v>0.11590656</x:v>
      </x:c>
      <x:c r="Z904" s="38" t="n">
        <x:v>0.204</x:v>
      </x:c>
      <x:c r="AA904" s="38" t="n">
        <x:v>0.07</x:v>
      </x:c>
      <x:c r="AB904" s="38" t="n">
        <x:v>0.00014399999999999998</x:v>
      </x:c>
      <x:c r="AC904" s="38" t="n">
        <x:v>0.7409039359999999</x:v>
      </x:c>
      <x:c r="AD904" s="28" t="n">
        <x:v>0.38353511794328116</x:v>
      </x:c>
    </x:row>
    <x:row r="905">
      <x:c r="A905" s="32" t="n">
        <x:v>45978</x:v>
      </x:c>
      <x:c r="B905" s="32" t="n">
        <x:v>45962</x:v>
      </x:c>
      <x:c r="C905" t="str">
        <x:v>Nov 2025</x:v>
      </x:c>
      <x:c r="D905" t="str">
        <x:v>Actual</x:v>
      </x:c>
      <x:c r="E905" t="str">
        <x:v>DB-101</x:v>
      </x:c>
      <x:c r="F905" t="str">
        <x:v>AeroSip Bottle</x:v>
      </x:c>
      <x:c r="G905" t="str">
        <x:v>One-time purchase</x:v>
      </x:c>
      <x:c r="H905" t="str">
        <x:v>None</x:v>
      </x:c>
      <x:c r="I905" t="str">
        <x:v>Active</x:v>
      </x:c>
      <x:c r="J905" t="str">
        <x:v>Shopify DTC</x:v>
      </x:c>
      <x:c r="K905" t="str">
        <x:v>Consumer</x:v>
      </x:c>
      <x:c r="L905" t="str">
        <x:v>All Geographies</x:v>
      </x:c>
      <x:c r="M905" s="34" t="n">
        <x:v>5856</x:v>
      </x:c>
      <x:c r="N905" s="28" t="n">
        <x:v>0.034199999999999994</x:v>
      </x:c>
      <x:c r="O905" s="34" t="n">
        <x:v>200</x:v>
      </x:c>
      <x:c r="P905" s="34" t="n">
        <x:v>1</x:v>
      </x:c>
      <x:c r="Q905" s="34" t="n">
        <x:v>200</x:v>
      </x:c>
      <x:c r="R905" s="33" t="n">
        <x:v>29</x:v>
      </x:c>
      <x:c r="S905" s="38" t="n">
        <x:v>5.8</x:v>
      </x:c>
      <x:c r="T905" s="38" t="n">
        <x:v>0.46399999999999997</x:v>
      </x:c>
      <x:c r="U905" s="38" t="n">
        <x:v>0.24012</x:v>
      </x:c>
      <x:c r="V905" s="38" t="n">
        <x:v>5.09588</x:v>
      </x:c>
      <x:c r="W905" s="38" t="n">
        <x:v>2.16</x:v>
      </x:c>
      <x:c r="X905" s="38" t="n">
        <x:v>0.14778052000000003</x:v>
      </x:c>
      <x:c r="Y905" s="38" t="n">
        <x:v>0</x:v>
      </x:c>
      <x:c r="Z905" s="38" t="n">
        <x:v>0.8300000000000001</x:v>
      </x:c>
      <x:c r="AA905" s="38" t="n">
        <x:v>0.33</x:v>
      </x:c>
      <x:c r="AB905" s="38" t="n">
        <x:v>0.007199999999999999</x:v>
      </x:c>
      <x:c r="AC905" s="38" t="n">
        <x:v>1.6208994799999998</x:v>
      </x:c>
      <x:c r="AD905" s="28" t="n">
        <x:v>0.3180803865083165</x:v>
      </x:c>
    </x:row>
    <x:row r="906">
      <x:c r="A906" s="32" t="n">
        <x:v>45978</x:v>
      </x:c>
      <x:c r="B906" s="32" t="n">
        <x:v>45962</x:v>
      </x:c>
      <x:c r="C906" t="str">
        <x:v>Nov 2025</x:v>
      </x:c>
      <x:c r="D906" t="str">
        <x:v>Actual</x:v>
      </x:c>
      <x:c r="E906" t="str">
        <x:v>DB-101</x:v>
      </x:c>
      <x:c r="F906" t="str">
        <x:v>AeroSip Bottle</x:v>
      </x:c>
      <x:c r="G906" t="str">
        <x:v>One-time purchase</x:v>
      </x:c>
      <x:c r="H906" t="str">
        <x:v>None</x:v>
      </x:c>
      <x:c r="I906" t="str">
        <x:v>Active</x:v>
      </x:c>
      <x:c r="J906" t="str">
        <x:v>Amazon Marketplace</x:v>
      </x:c>
      <x:c r="K906" t="str">
        <x:v>Marketplace Consumer</x:v>
      </x:c>
      <x:c r="L906" t="str">
        <x:v>All Geographies</x:v>
      </x:c>
      <x:c r="M906" s="34" t="n">
        <x:v>2928</x:v>
      </x:c>
      <x:c r="N906" s="28" t="n">
        <x:v>0.040355999999999996</x:v>
      </x:c>
      <x:c r="O906" s="34" t="n">
        <x:v>118</x:v>
      </x:c>
      <x:c r="P906" s="34" t="n">
        <x:v>1</x:v>
      </x:c>
      <x:c r="Q906" s="34" t="n">
        <x:v>118</x:v>
      </x:c>
      <x:c r="R906" s="33" t="n">
        <x:v>29</x:v>
      </x:c>
      <x:c r="S906" s="38" t="n">
        <x:v>3.422</x:v>
      </x:c>
      <x:c r="T906" s="38" t="n">
        <x:v>0.17110000000000003</x:v>
      </x:c>
      <x:c r="U906" s="38" t="n">
        <x:v>0.1462905</x:v>
      </x:c>
      <x:c r="V906" s="38" t="n">
        <x:v>3.1046095</x:v>
      </x:c>
      <x:c r="W906" s="38" t="n">
        <x:v>1.2744000000000002</x:v>
      </x:c>
      <x:c r="X906" s="38" t="n">
        <x:v>0</x:v>
      </x:c>
      <x:c r="Y906" s="38" t="n">
        <x:v>0.465691425</x:v>
      </x:c>
      <x:c r="Z906" s="38" t="n">
        <x:v>0.6136</x:v>
      </x:c>
      <x:c r="AA906" s="38" t="n">
        <x:v>0.2537</x:v>
      </x:c>
      <x:c r="AB906" s="38" t="n">
        <x:v>0.004247999999999999</x:v>
      </x:c>
      <x:c r="AC906" s="38" t="n">
        <x:v>0.4929700749999999</x:v>
      </x:c>
      <x:c r="AD906" s="28" t="n">
        <x:v>0.15878649955815696</x:v>
      </x:c>
    </x:row>
    <x:row r="907">
      <x:c r="A907" s="32" t="n">
        <x:v>45978</x:v>
      </x:c>
      <x:c r="B907" s="32" t="n">
        <x:v>45962</x:v>
      </x:c>
      <x:c r="C907" t="str">
        <x:v>Nov 2025</x:v>
      </x:c>
      <x:c r="D907" t="str">
        <x:v>Actual</x:v>
      </x:c>
      <x:c r="E907" t="str">
        <x:v>DB-101</x:v>
      </x:c>
      <x:c r="F907" t="str">
        <x:v>AeroSip Bottle</x:v>
      </x:c>
      <x:c r="G907" t="str">
        <x:v>One-time purchase</x:v>
      </x:c>
      <x:c r="H907" t="str">
        <x:v>None</x:v>
      </x:c>
      <x:c r="I907" t="str">
        <x:v>Active</x:v>
      </x:c>
      <x:c r="J907" t="str">
        <x:v>Wholesale</x:v>
      </x:c>
      <x:c r="K907" t="str">
        <x:v>Retailer</x:v>
      </x:c>
      <x:c r="L907" t="str">
        <x:v>All Geographies</x:v>
      </x:c>
      <x:c r="M907" s="34" t="n">
        <x:v>1757</x:v>
      </x:c>
      <x:c r="N907" s="28" t="n">
        <x:v>0.01881</x:v>
      </x:c>
      <x:c r="O907" s="34" t="n">
        <x:v>33</x:v>
      </x:c>
      <x:c r="P907" s="34" t="n">
        <x:v>1</x:v>
      </x:c>
      <x:c r="Q907" s="34" t="n">
        <x:v>33</x:v>
      </x:c>
      <x:c r="R907" s="33" t="n">
        <x:v>29</x:v>
      </x:c>
      <x:c r="S907" s="38" t="n">
        <x:v>0.957</x:v>
      </x:c>
      <x:c r="T907" s="38" t="n">
        <x:v>0.33494999999999997</x:v>
      </x:c>
      <x:c r="U907" s="38" t="n">
        <x:v>0.02799225</x:v>
      </x:c>
      <x:c r="V907" s="38" t="n">
        <x:v>0.5940577499999999</x:v>
      </x:c>
      <x:c r="W907" s="38" t="n">
        <x:v>0.35640000000000005</x:v>
      </x:c>
      <x:c r="X907" s="38" t="n">
        <x:v>0</x:v>
      </x:c>
      <x:c r="Y907" s="38" t="n">
        <x:v>0</x:v>
      </x:c>
      <x:c r="Z907" s="38" t="n">
        <x:v>0.0759</x:v>
      </x:c>
      <x:c r="AA907" s="38" t="n">
        <x:v>0.028050000000000002</x:v>
      </x:c>
      <x:c r="AB907" s="38" t="n">
        <x:v>0.0011880000000000003</x:v>
      </x:c>
      <x:c r="AC907" s="38" t="n">
        <x:v>0.1325197499999999</x:v>
      </x:c>
      <x:c r="AD907" s="28" t="n">
        <x:v>0.2230755343230518</x:v>
      </x:c>
    </x:row>
    <x:row r="908">
      <x:c r="A908" s="32" t="n">
        <x:v>45978</x:v>
      </x:c>
      <x:c r="B908" s="32" t="n">
        <x:v>45962</x:v>
      </x:c>
      <x:c r="C908" t="str">
        <x:v>Nov 2025</x:v>
      </x:c>
      <x:c r="D908" t="str">
        <x:v>Actual</x:v>
      </x:c>
      <x:c r="E908" t="str">
        <x:v>DB-101</x:v>
      </x:c>
      <x:c r="F908" t="str">
        <x:v>AeroSip Bottle</x:v>
      </x:c>
      <x:c r="G908" t="str">
        <x:v>One-time purchase</x:v>
      </x:c>
      <x:c r="H908" t="str">
        <x:v>None</x:v>
      </x:c>
      <x:c r="I908" t="str">
        <x:v>Active</x:v>
      </x:c>
      <x:c r="J908" t="str">
        <x:v>TikTok Shop</x:v>
      </x:c>
      <x:c r="K908" t="str">
        <x:v>Social Commerce</x:v>
      </x:c>
      <x:c r="L908" t="str">
        <x:v>All Geographies</x:v>
      </x:c>
      <x:c r="M908" s="34" t="n">
        <x:v>1171</x:v>
      </x:c>
      <x:c r="N908" s="28" t="n">
        <x:v>0.043092</x:v>
      </x:c>
      <x:c r="O908" s="34" t="n">
        <x:v>50</x:v>
      </x:c>
      <x:c r="P908" s="34" t="n">
        <x:v>1</x:v>
      </x:c>
      <x:c r="Q908" s="34" t="n">
        <x:v>50</x:v>
      </x:c>
      <x:c r="R908" s="33" t="n">
        <x:v>29</x:v>
      </x:c>
      <x:c r="S908" s="38" t="n">
        <x:v>1.45</x:v>
      </x:c>
      <x:c r="T908" s="38" t="n">
        <x:v>0.174</x:v>
      </x:c>
      <x:c r="U908" s="38" t="n">
        <x:v>0.05742</x:v>
      </x:c>
      <x:c r="V908" s="38" t="n">
        <x:v>1.21858</x:v>
      </x:c>
      <x:c r="W908" s="38" t="n">
        <x:v>0.54</x:v>
      </x:c>
      <x:c r="X908" s="38" t="n">
        <x:v>0.03533882</x:v>
      </x:c>
      <x:c r="Y908" s="38" t="n">
        <x:v>0.0731148</x:v>
      </x:c>
      <x:c r="Z908" s="38" t="n">
        <x:v>0.25499999999999995</x:v>
      </x:c>
      <x:c r="AA908" s="38" t="n">
        <x:v>0.0875</x:v>
      </x:c>
      <x:c r="AB908" s="38" t="n">
        <x:v>0.0017999999999999997</x:v>
      </x:c>
      <x:c r="AC908" s="38" t="n">
        <x:v>0.22582638</x:v>
      </x:c>
      <x:c r="AD908" s="28" t="n">
        <x:v>0.18531928966501993</x:v>
      </x:c>
    </x:row>
    <x:row r="909">
      <x:c r="A909" s="32" t="n">
        <x:v>45978</x:v>
      </x:c>
      <x:c r="B909" s="32" t="n">
        <x:v>45962</x:v>
      </x:c>
      <x:c r="C909" t="str">
        <x:v>Nov 2025</x:v>
      </x:c>
      <x:c r="D909" t="str">
        <x:v>Actual</x:v>
      </x:c>
      <x:c r="E909" t="str">
        <x:v>DB-102</x:v>
      </x:c>
      <x:c r="F909" t="str">
        <x:v>GlowPatch Balm</x:v>
      </x:c>
      <x:c r="G909" t="str">
        <x:v>Consumable repeat</x:v>
      </x:c>
      <x:c r="H909" t="str">
        <x:v>None</x:v>
      </x:c>
      <x:c r="I909" t="str">
        <x:v>Active</x:v>
      </x:c>
      <x:c r="J909" t="str">
        <x:v>Shopify DTC</x:v>
      </x:c>
      <x:c r="K909" t="str">
        <x:v>Consumer</x:v>
      </x:c>
      <x:c r="L909" t="str">
        <x:v>All Geographies</x:v>
      </x:c>
      <x:c r="M909" s="34" t="n">
        <x:v>4730</x:v>
      </x:c>
      <x:c r="N909" s="28" t="n">
        <x:v>0.04248</x:v>
      </x:c>
      <x:c r="O909" s="34" t="n">
        <x:v>201</x:v>
      </x:c>
      <x:c r="P909" s="34" t="n">
        <x:v>1</x:v>
      </x:c>
      <x:c r="Q909" s="34" t="n">
        <x:v>201</x:v>
      </x:c>
      <x:c r="R909" s="33" t="n">
        <x:v>18</x:v>
      </x:c>
      <x:c r="S909" s="38" t="n">
        <x:v>3.618</x:v>
      </x:c>
      <x:c r="T909" s="38" t="n">
        <x:v>0.28944</x:v>
      </x:c>
      <x:c r="U909" s="38" t="n">
        <x:v>0.08321400000000001</x:v>
      </x:c>
      <x:c r="V909" s="38" t="n">
        <x:v>3.245346</x:v>
      </x:c>
      <x:c r="W909" s="38" t="n">
        <x:v>1.08741</x:v>
      </x:c>
      <x:c r="X909" s="38" t="n">
        <x:v>0.094115034</x:v>
      </x:c>
      <x:c r="Y909" s="38" t="n">
        <x:v>0</x:v>
      </x:c>
      <x:c r="Z909" s="38" t="n">
        <x:v>0.8341500000000001</x:v>
      </x:c>
      <x:c r="AA909" s="38" t="n">
        <x:v>0.33165</x:v>
      </x:c>
      <x:c r="AB909" s="38" t="n">
        <x:v>0.001206</x:v>
      </x:c>
      <x:c r="AC909" s="38" t="n">
        <x:v>0.896814966</x:v>
      </x:c>
      <x:c r="AD909" s="28" t="n">
        <x:v>0.27633878359965314</x:v>
      </x:c>
    </x:row>
    <x:row r="910">
      <x:c r="A910" s="32" t="n">
        <x:v>45978</x:v>
      </x:c>
      <x:c r="B910" s="32" t="n">
        <x:v>45962</x:v>
      </x:c>
      <x:c r="C910" t="str">
        <x:v>Nov 2025</x:v>
      </x:c>
      <x:c r="D910" t="str">
        <x:v>Actual</x:v>
      </x:c>
      <x:c r="E910" t="str">
        <x:v>DB-102</x:v>
      </x:c>
      <x:c r="F910" t="str">
        <x:v>GlowPatch Balm</x:v>
      </x:c>
      <x:c r="G910" t="str">
        <x:v>Consumable repeat</x:v>
      </x:c>
      <x:c r="H910" t="str">
        <x:v>None</x:v>
      </x:c>
      <x:c r="I910" t="str">
        <x:v>Active</x:v>
      </x:c>
      <x:c r="J910" t="str">
        <x:v>Amazon Marketplace</x:v>
      </x:c>
      <x:c r="K910" t="str">
        <x:v>Marketplace Consumer</x:v>
      </x:c>
      <x:c r="L910" t="str">
        <x:v>All Geographies</x:v>
      </x:c>
      <x:c r="M910" s="34" t="n">
        <x:v>2365</x:v>
      </x:c>
      <x:c r="N910" s="28" t="n">
        <x:v>0.050126399999999995</x:v>
      </x:c>
      <x:c r="O910" s="34" t="n">
        <x:v>119</x:v>
      </x:c>
      <x:c r="P910" s="34" t="n">
        <x:v>1</x:v>
      </x:c>
      <x:c r="Q910" s="34" t="n">
        <x:v>119</x:v>
      </x:c>
      <x:c r="R910" s="33" t="n">
        <x:v>18</x:v>
      </x:c>
      <x:c r="S910" s="38" t="n">
        <x:v>2.142</x:v>
      </x:c>
      <x:c r="T910" s="38" t="n">
        <x:v>0.1071</x:v>
      </x:c>
      <x:c r="U910" s="38" t="n">
        <x:v>0.0508725</x:v>
      </x:c>
      <x:c r="V910" s="38" t="n">
        <x:v>1.9840274999999998</x:v>
      </x:c>
      <x:c r="W910" s="38" t="n">
        <x:v>0.64379</x:v>
      </x:c>
      <x:c r="X910" s="38" t="n">
        <x:v>0</x:v>
      </x:c>
      <x:c r="Y910" s="38" t="n">
        <x:v>0.29760412499999994</x:v>
      </x:c>
      <x:c r="Z910" s="38" t="n">
        <x:v>0.6188</x:v>
      </x:c>
      <x:c r="AA910" s="38" t="n">
        <x:v>0.25585</x:v>
      </x:c>
      <x:c r="AB910" s="38" t="n">
        <x:v>0.0007140000000000001</x:v>
      </x:c>
      <x:c r="AC910" s="38" t="n">
        <x:v>0.16726937499999983</x:v>
      </x:c>
      <x:c r="AD910" s="28" t="n">
        <x:v>0.08430799220272897</x:v>
      </x:c>
    </x:row>
    <x:row r="911">
      <x:c r="A911" s="32" t="n">
        <x:v>45978</x:v>
      </x:c>
      <x:c r="B911" s="32" t="n">
        <x:v>45962</x:v>
      </x:c>
      <x:c r="C911" t="str">
        <x:v>Nov 2025</x:v>
      </x:c>
      <x:c r="D911" t="str">
        <x:v>Actual</x:v>
      </x:c>
      <x:c r="E911" t="str">
        <x:v>DB-102</x:v>
      </x:c>
      <x:c r="F911" t="str">
        <x:v>GlowPatch Balm</x:v>
      </x:c>
      <x:c r="G911" t="str">
        <x:v>Consumable repeat</x:v>
      </x:c>
      <x:c r="H911" t="str">
        <x:v>None</x:v>
      </x:c>
      <x:c r="I911" t="str">
        <x:v>Active</x:v>
      </x:c>
      <x:c r="J911" t="str">
        <x:v>Wholesale</x:v>
      </x:c>
      <x:c r="K911" t="str">
        <x:v>Retailer</x:v>
      </x:c>
      <x:c r="L911" t="str">
        <x:v>All Geographies</x:v>
      </x:c>
      <x:c r="M911" s="34" t="n">
        <x:v>1419</x:v>
      </x:c>
      <x:c r="N911" s="28" t="n">
        <x:v>0.023364</x:v>
      </x:c>
      <x:c r="O911" s="34" t="n">
        <x:v>33</x:v>
      </x:c>
      <x:c r="P911" s="34" t="n">
        <x:v>1</x:v>
      </x:c>
      <x:c r="Q911" s="34" t="n">
        <x:v>33</x:v>
      </x:c>
      <x:c r="R911" s="33" t="n">
        <x:v>18</x:v>
      </x:c>
      <x:c r="S911" s="38" t="n">
        <x:v>0.594</x:v>
      </x:c>
      <x:c r="T911" s="38" t="n">
        <x:v>0.20789999999999997</x:v>
      </x:c>
      <x:c r="U911" s="38" t="n">
        <x:v>0.009652500000000001</x:v>
      </x:c>
      <x:c r="V911" s="38" t="n">
        <x:v>0.3764475</x:v>
      </x:c>
      <x:c r="W911" s="38" t="n">
        <x:v>0.17853</x:v>
      </x:c>
      <x:c r="X911" s="38" t="n">
        <x:v>0</x:v>
      </x:c>
      <x:c r="Y911" s="38" t="n">
        <x:v>0</x:v>
      </x:c>
      <x:c r="Z911" s="38" t="n">
        <x:v>0.0759</x:v>
      </x:c>
      <x:c r="AA911" s="38" t="n">
        <x:v>0.028050000000000002</x:v>
      </x:c>
      <x:c r="AB911" s="38" t="n">
        <x:v>0.00019800000000000002</x:v>
      </x:c>
      <x:c r="AC911" s="38" t="n">
        <x:v>0.09376949999999999</x:v>
      </x:c>
      <x:c r="AD911" s="28" t="n">
        <x:v>0.24909051062897214</x:v>
      </x:c>
    </x:row>
    <x:row r="912">
      <x:c r="A912" s="32" t="n">
        <x:v>45978</x:v>
      </x:c>
      <x:c r="B912" s="32" t="n">
        <x:v>45962</x:v>
      </x:c>
      <x:c r="C912" t="str">
        <x:v>Nov 2025</x:v>
      </x:c>
      <x:c r="D912" t="str">
        <x:v>Actual</x:v>
      </x:c>
      <x:c r="E912" t="str">
        <x:v>DB-102</x:v>
      </x:c>
      <x:c r="F912" t="str">
        <x:v>GlowPatch Balm</x:v>
      </x:c>
      <x:c r="G912" t="str">
        <x:v>Consumable repeat</x:v>
      </x:c>
      <x:c r="H912" t="str">
        <x:v>None</x:v>
      </x:c>
      <x:c r="I912" t="str">
        <x:v>Active</x:v>
      </x:c>
      <x:c r="J912" t="str">
        <x:v>TikTok Shop</x:v>
      </x:c>
      <x:c r="K912" t="str">
        <x:v>Social Commerce</x:v>
      </x:c>
      <x:c r="L912" t="str">
        <x:v>All Geographies</x:v>
      </x:c>
      <x:c r="M912" s="34" t="n">
        <x:v>946</x:v>
      </x:c>
      <x:c r="N912" s="28" t="n">
        <x:v>0.0535248</x:v>
      </x:c>
      <x:c r="O912" s="34" t="n">
        <x:v>51</x:v>
      </x:c>
      <x:c r="P912" s="34" t="n">
        <x:v>1</x:v>
      </x:c>
      <x:c r="Q912" s="34" t="n">
        <x:v>51</x:v>
      </x:c>
      <x:c r="R912" s="33" t="n">
        <x:v>18</x:v>
      </x:c>
      <x:c r="S912" s="38" t="n">
        <x:v>0.918</x:v>
      </x:c>
      <x:c r="T912" s="38" t="n">
        <x:v>0.11016</x:v>
      </x:c>
      <x:c r="U912" s="38" t="n">
        <x:v>0.020196000000000002</x:v>
      </x:c>
      <x:c r="V912" s="38" t="n">
        <x:v>0.787644</x:v>
      </x:c>
      <x:c r="W912" s="38" t="n">
        <x:v>0.27591000000000004</x:v>
      </x:c>
      <x:c r="X912" s="38" t="n">
        <x:v>0.022841676</x:v>
      </x:c>
      <x:c r="Y912" s="38" t="n">
        <x:v>0.04725864</x:v>
      </x:c>
      <x:c r="Z912" s="38" t="n">
        <x:v>0.26009999999999994</x:v>
      </x:c>
      <x:c r="AA912" s="38" t="n">
        <x:v>0.08925</x:v>
      </x:c>
      <x:c r="AB912" s="38" t="n">
        <x:v>0.00030600000000000007</x:v>
      </x:c>
      <x:c r="AC912" s="38" t="n">
        <x:v>0.09197768399999998</x:v>
      </x:c>
      <x:c r="AD912" s="28" t="n">
        <x:v>0.11677570577570574</x:v>
      </x:c>
    </x:row>
    <x:row r="913">
      <x:c r="A913" s="32" t="n">
        <x:v>45978</x:v>
      </x:c>
      <x:c r="B913" s="32" t="n">
        <x:v>45962</x:v>
      </x:c>
      <x:c r="C913" t="str">
        <x:v>Nov 2025</x:v>
      </x:c>
      <x:c r="D913" t="str">
        <x:v>Actual</x:v>
      </x:c>
      <x:c r="E913" t="str">
        <x:v>DB-103</x:v>
      </x:c>
      <x:c r="F913" t="str">
        <x:v>EmberTrail Camp Mug</x:v>
      </x:c>
      <x:c r="G913" t="str">
        <x:v>One-time purchase</x:v>
      </x:c>
      <x:c r="H913" t="str">
        <x:v>Winter peak</x:v>
      </x:c>
      <x:c r="I913" t="str">
        <x:v>Active</x:v>
      </x:c>
      <x:c r="J913" t="str">
        <x:v>Shopify DTC</x:v>
      </x:c>
      <x:c r="K913" t="str">
        <x:v>Consumer</x:v>
      </x:c>
      <x:c r="L913" t="str">
        <x:v>All Geographies</x:v>
      </x:c>
      <x:c r="M913" s="34" t="n">
        <x:v>5757</x:v>
      </x:c>
      <x:c r="N913" s="28" t="n">
        <x:v>0.0324</x:v>
      </x:c>
      <x:c r="O913" s="34" t="n">
        <x:v>187</x:v>
      </x:c>
      <x:c r="P913" s="34" t="n">
        <x:v>1</x:v>
      </x:c>
      <x:c r="Q913" s="34" t="n">
        <x:v>187</x:v>
      </x:c>
      <x:c r="R913" s="33" t="n">
        <x:v>34</x:v>
      </x:c>
      <x:c r="S913" s="38" t="n">
        <x:v>6.358</x:v>
      </x:c>
      <x:c r="T913" s="38" t="n">
        <x:v>0.50864</x:v>
      </x:c>
      <x:c r="U913" s="38" t="n">
        <x:v>0.3217148</x:v>
      </x:c>
      <x:c r="V913" s="38" t="n">
        <x:v>5.5276452</x:v>
      </x:c>
      <x:c r="W913" s="38" t="n">
        <x:v>2.55629</x:v>
      </x:c>
      <x:c r="X913" s="38" t="n">
        <x:v>0.16030171080000002</x:v>
      </x:c>
      <x:c r="Y913" s="38" t="n">
        <x:v>0</x:v>
      </x:c>
      <x:c r="Z913" s="38" t="n">
        <x:v>0.77605</x:v>
      </x:c>
      <x:c r="AA913" s="38" t="n">
        <x:v>0.30855</x:v>
      </x:c>
      <x:c r="AB913" s="38" t="n">
        <x:v>0.010471999999999999</x:v>
      </x:c>
      <x:c r="AC913" s="38" t="n">
        <x:v>1.7159814891999998</x:v>
      </x:c>
      <x:c r="AD913" s="28" t="n">
        <x:v>0.31043625759482535</x:v>
      </x:c>
    </x:row>
    <x:row r="914">
      <x:c r="A914" s="32" t="n">
        <x:v>45978</x:v>
      </x:c>
      <x:c r="B914" s="32" t="n">
        <x:v>45962</x:v>
      </x:c>
      <x:c r="C914" t="str">
        <x:v>Nov 2025</x:v>
      </x:c>
      <x:c r="D914" t="str">
        <x:v>Actual</x:v>
      </x:c>
      <x:c r="E914" t="str">
        <x:v>DB-103</x:v>
      </x:c>
      <x:c r="F914" t="str">
        <x:v>EmberTrail Camp Mug</x:v>
      </x:c>
      <x:c r="G914" t="str">
        <x:v>One-time purchase</x:v>
      </x:c>
      <x:c r="H914" t="str">
        <x:v>Winter peak</x:v>
      </x:c>
      <x:c r="I914" t="str">
        <x:v>Active</x:v>
      </x:c>
      <x:c r="J914" t="str">
        <x:v>Amazon Marketplace</x:v>
      </x:c>
      <x:c r="K914" t="str">
        <x:v>Marketplace Consumer</x:v>
      </x:c>
      <x:c r="L914" t="str">
        <x:v>All Geographies</x:v>
      </x:c>
      <x:c r="M914" s="34" t="n">
        <x:v>2878</x:v>
      </x:c>
      <x:c r="N914" s="28" t="n">
        <x:v>0.038231999999999995</x:v>
      </x:c>
      <x:c r="O914" s="34" t="n">
        <x:v>110</x:v>
      </x:c>
      <x:c r="P914" s="34" t="n">
        <x:v>1</x:v>
      </x:c>
      <x:c r="Q914" s="34" t="n">
        <x:v>110</x:v>
      </x:c>
      <x:c r="R914" s="33" t="n">
        <x:v>34</x:v>
      </x:c>
      <x:c r="S914" s="38" t="n">
        <x:v>3.74</x:v>
      </x:c>
      <x:c r="T914" s="38" t="n">
        <x:v>0.18700000000000003</x:v>
      </x:c>
      <x:c r="U914" s="38" t="n">
        <x:v>0.19541500000000003</x:v>
      </x:c>
      <x:c r="V914" s="38" t="n">
        <x:v>3.3575850000000003</x:v>
      </x:c>
      <x:c r="W914" s="38" t="n">
        <x:v>1.5037</x:v>
      </x:c>
      <x:c r="X914" s="38" t="n">
        <x:v>0</x:v>
      </x:c>
      <x:c r="Y914" s="38" t="n">
        <x:v>0.50363775</x:v>
      </x:c>
      <x:c r="Z914" s="38" t="n">
        <x:v>0.572</x:v>
      </x:c>
      <x:c r="AA914" s="38" t="n">
        <x:v>0.2365</x:v>
      </x:c>
      <x:c r="AB914" s="38" t="n">
        <x:v>0.0061600000000000005</x:v>
      </x:c>
      <x:c r="AC914" s="38" t="n">
        <x:v>0.5355872500000002</x:v>
      </x:c>
      <x:c r="AD914" s="28" t="n">
        <x:v>0.15951561911314238</x:v>
      </x:c>
    </x:row>
    <x:row r="915">
      <x:c r="A915" s="32" t="n">
        <x:v>45978</x:v>
      </x:c>
      <x:c r="B915" s="32" t="n">
        <x:v>45962</x:v>
      </x:c>
      <x:c r="C915" t="str">
        <x:v>Nov 2025</x:v>
      </x:c>
      <x:c r="D915" t="str">
        <x:v>Actual</x:v>
      </x:c>
      <x:c r="E915" t="str">
        <x:v>DB-103</x:v>
      </x:c>
      <x:c r="F915" t="str">
        <x:v>EmberTrail Camp Mug</x:v>
      </x:c>
      <x:c r="G915" t="str">
        <x:v>One-time purchase</x:v>
      </x:c>
      <x:c r="H915" t="str">
        <x:v>Winter peak</x:v>
      </x:c>
      <x:c r="I915" t="str">
        <x:v>Active</x:v>
      </x:c>
      <x:c r="J915" t="str">
        <x:v>Wholesale</x:v>
      </x:c>
      <x:c r="K915" t="str">
        <x:v>Retailer</x:v>
      </x:c>
      <x:c r="L915" t="str">
        <x:v>All Geographies</x:v>
      </x:c>
      <x:c r="M915" s="34" t="n">
        <x:v>1727</x:v>
      </x:c>
      <x:c r="N915" s="28" t="n">
        <x:v>0.017820000000000003</x:v>
      </x:c>
      <x:c r="O915" s="34" t="n">
        <x:v>31</x:v>
      </x:c>
      <x:c r="P915" s="34" t="n">
        <x:v>1</x:v>
      </x:c>
      <x:c r="Q915" s="34" t="n">
        <x:v>31</x:v>
      </x:c>
      <x:c r="R915" s="33" t="n">
        <x:v>34</x:v>
      </x:c>
      <x:c r="S915" s="38" t="n">
        <x:v>1.054</x:v>
      </x:c>
      <x:c r="T915" s="38" t="n">
        <x:v>0.3689</x:v>
      </x:c>
      <x:c r="U915" s="38" t="n">
        <x:v>0.037680500000000006</x:v>
      </x:c>
      <x:c r="V915" s="38" t="n">
        <x:v>0.6474195</x:v>
      </x:c>
      <x:c r="W915" s="38" t="n">
        <x:v>0.42377</x:v>
      </x:c>
      <x:c r="X915" s="38" t="n">
        <x:v>0</x:v>
      </x:c>
      <x:c r="Y915" s="38" t="n">
        <x:v>0</x:v>
      </x:c>
      <x:c r="Z915" s="38" t="n">
        <x:v>0.0713</x:v>
      </x:c>
      <x:c r="AA915" s="38" t="n">
        <x:v>0.02635</x:v>
      </x:c>
      <x:c r="AB915" s="38" t="n">
        <x:v>0.001736</x:v>
      </x:c>
      <x:c r="AC915" s="38" t="n">
        <x:v>0.12426350000000004</x:v>
      </x:c>
      <x:c r="AD915" s="28" t="n">
        <x:v>0.19193660370130963</x:v>
      </x:c>
    </x:row>
    <x:row r="916">
      <x:c r="A916" s="32" t="n">
        <x:v>45978</x:v>
      </x:c>
      <x:c r="B916" s="32" t="n">
        <x:v>45962</x:v>
      </x:c>
      <x:c r="C916" t="str">
        <x:v>Nov 2025</x:v>
      </x:c>
      <x:c r="D916" t="str">
        <x:v>Actual</x:v>
      </x:c>
      <x:c r="E916" t="str">
        <x:v>DB-103</x:v>
      </x:c>
      <x:c r="F916" t="str">
        <x:v>EmberTrail Camp Mug</x:v>
      </x:c>
      <x:c r="G916" t="str">
        <x:v>One-time purchase</x:v>
      </x:c>
      <x:c r="H916" t="str">
        <x:v>Winter peak</x:v>
      </x:c>
      <x:c r="I916" t="str">
        <x:v>Active</x:v>
      </x:c>
      <x:c r="J916" t="str">
        <x:v>TikTok Shop</x:v>
      </x:c>
      <x:c r="K916" t="str">
        <x:v>Social Commerce</x:v>
      </x:c>
      <x:c r="L916" t="str">
        <x:v>All Geographies</x:v>
      </x:c>
      <x:c r="M916" s="34" t="n">
        <x:v>1151</x:v>
      </x:c>
      <x:c r="N916" s="28" t="n">
        <x:v>0.040824</x:v>
      </x:c>
      <x:c r="O916" s="34" t="n">
        <x:v>47</x:v>
      </x:c>
      <x:c r="P916" s="34" t="n">
        <x:v>1</x:v>
      </x:c>
      <x:c r="Q916" s="34" t="n">
        <x:v>47</x:v>
      </x:c>
      <x:c r="R916" s="33" t="n">
        <x:v>34</x:v>
      </x:c>
      <x:c r="S916" s="38" t="n">
        <x:v>1.598</x:v>
      </x:c>
      <x:c r="T916" s="38" t="n">
        <x:v>0.19176</x:v>
      </x:c>
      <x:c r="U916" s="38" t="n">
        <x:v>0.07734320000000001</x:v>
      </x:c>
      <x:c r="V916" s="38" t="n">
        <x:v>1.3288968</x:v>
      </x:c>
      <x:c r="W916" s="38" t="n">
        <x:v>0.64249</x:v>
      </x:c>
      <x:c r="X916" s="38" t="n">
        <x:v>0.0385380072</x:v>
      </x:c>
      <x:c r="Y916" s="38" t="n">
        <x:v>0.079733808</x:v>
      </x:c>
      <x:c r="Z916" s="38" t="n">
        <x:v>0.2397</x:v>
      </x:c>
      <x:c r="AA916" s="38" t="n">
        <x:v>0.08225</x:v>
      </x:c>
      <x:c r="AB916" s="38" t="n">
        <x:v>0.0026320000000000002</x:v>
      </x:c>
      <x:c r="AC916" s="38" t="n">
        <x:v>0.24355298480000012</x:v>
      </x:c>
      <x:c r="AD916" s="28" t="n">
        <x:v>0.18327456639221354</x:v>
      </x:c>
    </x:row>
    <x:row r="917">
      <x:c r="A917" s="32" t="n">
        <x:v>45978</x:v>
      </x:c>
      <x:c r="B917" s="32" t="n">
        <x:v>45962</x:v>
      </x:c>
      <x:c r="C917" t="str">
        <x:v>Nov 2025</x:v>
      </x:c>
      <x:c r="D917" t="str">
        <x:v>Actual</x:v>
      </x:c>
      <x:c r="E917" t="str">
        <x:v>DB-104</x:v>
      </x:c>
      <x:c r="F917" t="str">
        <x:v>SunNest Cooling Towel</x:v>
      </x:c>
      <x:c r="G917" t="str">
        <x:v>Consumable repeat</x:v>
      </x:c>
      <x:c r="H917" t="str">
        <x:v>Summer peak</x:v>
      </x:c>
      <x:c r="I917" t="str">
        <x:v>Active</x:v>
      </x:c>
      <x:c r="J917" t="str">
        <x:v>Shopify DTC</x:v>
      </x:c>
      <x:c r="K917" t="str">
        <x:v>Consumer</x:v>
      </x:c>
      <x:c r="L917" t="str">
        <x:v>All Geographies</x:v>
      </x:c>
      <x:c r="M917" s="34" t="n">
        <x:v>2986</x:v>
      </x:c>
      <x:c r="N917" s="28" t="n">
        <x:v>0.03312</x:v>
      </x:c>
      <x:c r="O917" s="34" t="n">
        <x:v>99</x:v>
      </x:c>
      <x:c r="P917" s="34" t="n">
        <x:v>1</x:v>
      </x:c>
      <x:c r="Q917" s="34" t="n">
        <x:v>99</x:v>
      </x:c>
      <x:c r="R917" s="33" t="n">
        <x:v>42</x:v>
      </x:c>
      <x:c r="S917" s="38" t="n">
        <x:v>4.158</x:v>
      </x:c>
      <x:c r="T917" s="38" t="n">
        <x:v>0.33264000000000005</x:v>
      </x:c>
      <x:c r="U917" s="38" t="n">
        <x:v>0.19126800000000002</x:v>
      </x:c>
      <x:c r="V917" s="38" t="n">
        <x:v>3.6340920000000003</x:v>
      </x:c>
      <x:c r="W917" s="38" t="n">
        <x:v>1.48995</x:v>
      </x:c>
      <x:c r="X917" s="38" t="n">
        <x:v>0.10538866800000002</x:v>
      </x:c>
      <x:c r="Y917" s="38" t="n">
        <x:v>0</x:v>
      </x:c>
      <x:c r="Z917" s="38" t="n">
        <x:v>0.41085000000000005</x:v>
      </x:c>
      <x:c r="AA917" s="38" t="n">
        <x:v>0.16335</x:v>
      </x:c>
      <x:c r="AB917" s="38" t="n">
        <x:v>0.0027719999999999997</x:v>
      </x:c>
      <x:c r="AC917" s="38" t="n">
        <x:v>1.4617813320000008</x:v>
      </x:c>
      <x:c r="AD917" s="28" t="n">
        <x:v>0.40224114634412134</x:v>
      </x:c>
    </x:row>
    <x:row r="918">
      <x:c r="A918" s="32" t="n">
        <x:v>45978</x:v>
      </x:c>
      <x:c r="B918" s="32" t="n">
        <x:v>45962</x:v>
      </x:c>
      <x:c r="C918" t="str">
        <x:v>Nov 2025</x:v>
      </x:c>
      <x:c r="D918" t="str">
        <x:v>Actual</x:v>
      </x:c>
      <x:c r="E918" t="str">
        <x:v>DB-104</x:v>
      </x:c>
      <x:c r="F918" t="str">
        <x:v>SunNest Cooling Towel</x:v>
      </x:c>
      <x:c r="G918" t="str">
        <x:v>Consumable repeat</x:v>
      </x:c>
      <x:c r="H918" t="str">
        <x:v>Summer peak</x:v>
      </x:c>
      <x:c r="I918" t="str">
        <x:v>Active</x:v>
      </x:c>
      <x:c r="J918" t="str">
        <x:v>Amazon Marketplace</x:v>
      </x:c>
      <x:c r="K918" t="str">
        <x:v>Marketplace Consumer</x:v>
      </x:c>
      <x:c r="L918" t="str">
        <x:v>All Geographies</x:v>
      </x:c>
      <x:c r="M918" s="34" t="n">
        <x:v>1493</x:v>
      </x:c>
      <x:c r="N918" s="28" t="n">
        <x:v>0.0390816</x:v>
      </x:c>
      <x:c r="O918" s="34" t="n">
        <x:v>58</x:v>
      </x:c>
      <x:c r="P918" s="34" t="n">
        <x:v>1</x:v>
      </x:c>
      <x:c r="Q918" s="34" t="n">
        <x:v>58</x:v>
      </x:c>
      <x:c r="R918" s="33" t="n">
        <x:v>42</x:v>
      </x:c>
      <x:c r="S918" s="38" t="n">
        <x:v>2.436</x:v>
      </x:c>
      <x:c r="T918" s="38" t="n">
        <x:v>0.1218</x:v>
      </x:c>
      <x:c r="U918" s="38" t="n">
        <x:v>0.11571000000000001</x:v>
      </x:c>
      <x:c r="V918" s="38" t="n">
        <x:v>2.19849</x:v>
      </x:c>
      <x:c r="W918" s="38" t="n">
        <x:v>0.8729000000000001</x:v>
      </x:c>
      <x:c r="X918" s="38" t="n">
        <x:v>0</x:v>
      </x:c>
      <x:c r="Y918" s="38" t="n">
        <x:v>0.3297735</x:v>
      </x:c>
      <x:c r="Z918" s="38" t="n">
        <x:v>0.30160000000000003</x:v>
      </x:c>
      <x:c r="AA918" s="38" t="n">
        <x:v>0.12469999999999999</x:v>
      </x:c>
      <x:c r="AB918" s="38" t="n">
        <x:v>0.0016239999999999998</x:v>
      </x:c>
      <x:c r="AC918" s="38" t="n">
        <x:v>0.5678925</x:v>
      </x:c>
      <x:c r="AD918" s="28" t="n">
        <x:v>0.2583102493074792</x:v>
      </x:c>
    </x:row>
    <x:row r="919">
      <x:c r="A919" s="32" t="n">
        <x:v>45978</x:v>
      </x:c>
      <x:c r="B919" s="32" t="n">
        <x:v>45962</x:v>
      </x:c>
      <x:c r="C919" t="str">
        <x:v>Nov 2025</x:v>
      </x:c>
      <x:c r="D919" t="str">
        <x:v>Actual</x:v>
      </x:c>
      <x:c r="E919" t="str">
        <x:v>DB-104</x:v>
      </x:c>
      <x:c r="F919" t="str">
        <x:v>SunNest Cooling Towel</x:v>
      </x:c>
      <x:c r="G919" t="str">
        <x:v>Consumable repeat</x:v>
      </x:c>
      <x:c r="H919" t="str">
        <x:v>Summer peak</x:v>
      </x:c>
      <x:c r="I919" t="str">
        <x:v>Active</x:v>
      </x:c>
      <x:c r="J919" t="str">
        <x:v>Wholesale</x:v>
      </x:c>
      <x:c r="K919" t="str">
        <x:v>Retailer</x:v>
      </x:c>
      <x:c r="L919" t="str">
        <x:v>All Geographies</x:v>
      </x:c>
      <x:c r="M919" s="34" t="n">
        <x:v>896</x:v>
      </x:c>
      <x:c r="N919" s="28" t="n">
        <x:v>0.018216000000000003</x:v>
      </x:c>
      <x:c r="O919" s="34" t="n">
        <x:v>16</x:v>
      </x:c>
      <x:c r="P919" s="34" t="n">
        <x:v>1</x:v>
      </x:c>
      <x:c r="Q919" s="34" t="n">
        <x:v>16</x:v>
      </x:c>
      <x:c r="R919" s="33" t="n">
        <x:v>42</x:v>
      </x:c>
      <x:c r="S919" s="38" t="n">
        <x:v>0.672</x:v>
      </x:c>
      <x:c r="T919" s="38" t="n">
        <x:v>0.2352</x:v>
      </x:c>
      <x:c r="U919" s="38" t="n">
        <x:v>0.021840000000000005</x:v>
      </x:c>
      <x:c r="V919" s="38" t="n">
        <x:v>0.41496000000000005</x:v>
      </x:c>
      <x:c r="W919" s="38" t="n">
        <x:v>0.24080000000000001</x:v>
      </x:c>
      <x:c r="X919" s="38" t="n">
        <x:v>0</x:v>
      </x:c>
      <x:c r="Y919" s="38" t="n">
        <x:v>0</x:v>
      </x:c>
      <x:c r="Z919" s="38" t="n">
        <x:v>0.0368</x:v>
      </x:c>
      <x:c r="AA919" s="38" t="n">
        <x:v>0.0136</x:v>
      </x:c>
      <x:c r="AB919" s="38" t="n">
        <x:v>0.00044799999999999994</x:v>
      </x:c>
      <x:c r="AC919" s="38" t="n">
        <x:v>0.12331200000000003</x:v>
      </x:c>
      <x:c r="AD919" s="28" t="n">
        <x:v>0.29716599190283405</x:v>
      </x:c>
    </x:row>
    <x:row r="920">
      <x:c r="A920" s="32" t="n">
        <x:v>45978</x:v>
      </x:c>
      <x:c r="B920" s="32" t="n">
        <x:v>45962</x:v>
      </x:c>
      <x:c r="C920" t="str">
        <x:v>Nov 2025</x:v>
      </x:c>
      <x:c r="D920" t="str">
        <x:v>Actual</x:v>
      </x:c>
      <x:c r="E920" t="str">
        <x:v>DB-104</x:v>
      </x:c>
      <x:c r="F920" t="str">
        <x:v>SunNest Cooling Towel</x:v>
      </x:c>
      <x:c r="G920" t="str">
        <x:v>Consumable repeat</x:v>
      </x:c>
      <x:c r="H920" t="str">
        <x:v>Summer peak</x:v>
      </x:c>
      <x:c r="I920" t="str">
        <x:v>Active</x:v>
      </x:c>
      <x:c r="J920" t="str">
        <x:v>TikTok Shop</x:v>
      </x:c>
      <x:c r="K920" t="str">
        <x:v>Social Commerce</x:v>
      </x:c>
      <x:c r="L920" t="str">
        <x:v>All Geographies</x:v>
      </x:c>
      <x:c r="M920" s="34" t="n">
        <x:v>597</x:v>
      </x:c>
      <x:c r="N920" s="28" t="n">
        <x:v>0.0417312</x:v>
      </x:c>
      <x:c r="O920" s="34" t="n">
        <x:v>25</x:v>
      </x:c>
      <x:c r="P920" s="34" t="n">
        <x:v>1</x:v>
      </x:c>
      <x:c r="Q920" s="34" t="n">
        <x:v>25</x:v>
      </x:c>
      <x:c r="R920" s="33" t="n">
        <x:v>42</x:v>
      </x:c>
      <x:c r="S920" s="38" t="n">
        <x:v>1.05</x:v>
      </x:c>
      <x:c r="T920" s="38" t="n">
        <x:v>0.126</x:v>
      </x:c>
      <x:c r="U920" s="38" t="n">
        <x:v>0.046200000000000005</x:v>
      </x:c>
      <x:c r="V920" s="38" t="n">
        <x:v>0.8778</x:v>
      </x:c>
      <x:c r="W920" s="38" t="n">
        <x:v>0.37625</x:v>
      </x:c>
      <x:c r="X920" s="38" t="n">
        <x:v>0.025456200000000002</x:v>
      </x:c>
      <x:c r="Y920" s="38" t="n">
        <x:v>0.052668</x:v>
      </x:c>
      <x:c r="Z920" s="38" t="n">
        <x:v>0.12749999999999997</x:v>
      </x:c>
      <x:c r="AA920" s="38" t="n">
        <x:v>0.04375</x:v>
      </x:c>
      <x:c r="AB920" s="38" t="n">
        <x:v>0.0007</x:v>
      </x:c>
      <x:c r="AC920" s="38" t="n">
        <x:v>0.25147580000000014</x:v>
      </x:c>
      <x:c r="AD920" s="28" t="n">
        <x:v>0.28648416495784934</x:v>
      </x:c>
    </x:row>
    <x:row r="921">
      <x:c r="A921" s="32" t="n">
        <x:v>45978</x:v>
      </x:c>
      <x:c r="B921" s="32" t="n">
        <x:v>45962</x:v>
      </x:c>
      <x:c r="C921" t="str">
        <x:v>Nov 2025</x:v>
      </x:c>
      <x:c r="D921" t="str">
        <x:v>Actual</x:v>
      </x:c>
      <x:c r="E921" t="str">
        <x:v>DB-105</x:v>
      </x:c>
      <x:c r="F921" t="str">
        <x:v>DreamFuel Refill Pack</x:v>
      </x:c>
      <x:c r="G921" t="str">
        <x:v>Subscription</x:v>
      </x:c>
      <x:c r="H921" t="str">
        <x:v>None</x:v>
      </x:c>
      <x:c r="I921" t="str">
        <x:v>Active</x:v>
      </x:c>
      <x:c r="J921" t="str">
        <x:v>Shopify DTC</x:v>
      </x:c>
      <x:c r="K921" t="str">
        <x:v>Consumer</x:v>
      </x:c>
      <x:c r="L921" t="str">
        <x:v>All Geographies</x:v>
      </x:c>
      <x:c r="M921" s="34" t="n">
        <x:v>4054</x:v>
      </x:c>
      <x:c r="N921" s="28" t="n">
        <x:v>0.03888</x:v>
      </x:c>
      <x:c r="O921" s="34" t="n">
        <x:v>158</x:v>
      </x:c>
      <x:c r="P921" s="34" t="n">
        <x:v>1</x:v>
      </x:c>
      <x:c r="Q921" s="34" t="n">
        <x:v>158</x:v>
      </x:c>
      <x:c r="R921" s="33" t="n">
        <x:v>56</x:v>
      </x:c>
      <x:c r="S921" s="38" t="n">
        <x:v>8.848</x:v>
      </x:c>
      <x:c r="T921" s="38" t="n">
        <x:v>0.70784</x:v>
      </x:c>
      <x:c r="U921" s="38" t="n">
        <x:v>0.16280320000000004</x:v>
      </x:c>
      <x:c r="V921" s="38" t="n">
        <x:v>7.977356800000002</x:v>
      </x:c>
      <x:c r="W921" s="38" t="n">
        <x:v>2.94196</x:v>
      </x:c>
      <x:c r="X921" s="38" t="n">
        <x:v>0.23134334720000005</x:v>
      </x:c>
      <x:c r="Y921" s="38" t="n">
        <x:v>0</x:v>
      </x:c>
      <x:c r="Z921" s="38" t="n">
        <x:v>0.6557000000000001</x:v>
      </x:c>
      <x:c r="AA921" s="38" t="n">
        <x:v>0.2607</x:v>
      </x:c>
      <x:c r="AB921" s="38" t="n">
        <x:v>0.0005688</x:v>
      </x:c>
      <x:c r="AC921" s="38" t="n">
        <x:v>3.8870846528000014</x:v>
      </x:c>
      <x:c r="AD921" s="28" t="n">
        <x:v>0.48726473570794787</x:v>
      </x:c>
    </x:row>
    <x:row r="922">
      <x:c r="A922" s="32" t="n">
        <x:v>45978</x:v>
      </x:c>
      <x:c r="B922" s="32" t="n">
        <x:v>45962</x:v>
      </x:c>
      <x:c r="C922" t="str">
        <x:v>Nov 2025</x:v>
      </x:c>
      <x:c r="D922" t="str">
        <x:v>Actual</x:v>
      </x:c>
      <x:c r="E922" t="str">
        <x:v>DB-105</x:v>
      </x:c>
      <x:c r="F922" t="str">
        <x:v>DreamFuel Refill Pack</x:v>
      </x:c>
      <x:c r="G922" t="str">
        <x:v>Subscription</x:v>
      </x:c>
      <x:c r="H922" t="str">
        <x:v>None</x:v>
      </x:c>
      <x:c r="I922" t="str">
        <x:v>Active</x:v>
      </x:c>
      <x:c r="J922" t="str">
        <x:v>Amazon Marketplace</x:v>
      </x:c>
      <x:c r="K922" t="str">
        <x:v>Marketplace Consumer</x:v>
      </x:c>
      <x:c r="L922" t="str">
        <x:v>All Geographies</x:v>
      </x:c>
      <x:c r="M922" s="34" t="n">
        <x:v>2027</x:v>
      </x:c>
      <x:c r="N922" s="28" t="n">
        <x:v>0.0458784</x:v>
      </x:c>
      <x:c r="O922" s="34" t="n">
        <x:v>93</x:v>
      </x:c>
      <x:c r="P922" s="34" t="n">
        <x:v>1</x:v>
      </x:c>
      <x:c r="Q922" s="34" t="n">
        <x:v>93</x:v>
      </x:c>
      <x:c r="R922" s="33" t="n">
        <x:v>56</x:v>
      </x:c>
      <x:c r="S922" s="38" t="n">
        <x:v>5.208</x:v>
      </x:c>
      <x:c r="T922" s="38" t="n">
        <x:v>0.2604</x:v>
      </x:c>
      <x:c r="U922" s="38" t="n">
        <x:v>0.09895200000000001</x:v>
      </x:c>
      <x:c r="V922" s="38" t="n">
        <x:v>4.848648000000001</x:v>
      </x:c>
      <x:c r="W922" s="38" t="n">
        <x:v>1.73166</x:v>
      </x:c>
      <x:c r="X922" s="38" t="n">
        <x:v>0</x:v>
      </x:c>
      <x:c r="Y922" s="38" t="n">
        <x:v>0.7272972000000001</x:v>
      </x:c>
      <x:c r="Z922" s="38" t="n">
        <x:v>0.48360000000000003</x:v>
      </x:c>
      <x:c r="AA922" s="38" t="n">
        <x:v>0.19995</x:v>
      </x:c>
      <x:c r="AB922" s="38" t="n">
        <x:v>0.00033480000000000006</x:v>
      </x:c>
      <x:c r="AC922" s="38" t="n">
        <x:v>1.7058060000000006</x:v>
      </x:c>
      <x:c r="AD922" s="28" t="n">
        <x:v>0.3518106490716588</x:v>
      </x:c>
    </x:row>
    <x:row r="923">
      <x:c r="A923" s="32" t="n">
        <x:v>45978</x:v>
      </x:c>
      <x:c r="B923" s="32" t="n">
        <x:v>45962</x:v>
      </x:c>
      <x:c r="C923" t="str">
        <x:v>Nov 2025</x:v>
      </x:c>
      <x:c r="D923" t="str">
        <x:v>Actual</x:v>
      </x:c>
      <x:c r="E923" t="str">
        <x:v>DB-105</x:v>
      </x:c>
      <x:c r="F923" t="str">
        <x:v>DreamFuel Refill Pack</x:v>
      </x:c>
      <x:c r="G923" t="str">
        <x:v>Subscription</x:v>
      </x:c>
      <x:c r="H923" t="str">
        <x:v>None</x:v>
      </x:c>
      <x:c r="I923" t="str">
        <x:v>Active</x:v>
      </x:c>
      <x:c r="J923" t="str">
        <x:v>Wholesale</x:v>
      </x:c>
      <x:c r="K923" t="str">
        <x:v>Retailer</x:v>
      </x:c>
      <x:c r="L923" t="str">
        <x:v>All Geographies</x:v>
      </x:c>
      <x:c r="M923" s="34" t="n">
        <x:v>1216</x:v>
      </x:c>
      <x:c r="N923" s="28" t="n">
        <x:v>0.021384000000000004</x:v>
      </x:c>
      <x:c r="O923" s="34" t="n">
        <x:v>26</x:v>
      </x:c>
      <x:c r="P923" s="34" t="n">
        <x:v>1</x:v>
      </x:c>
      <x:c r="Q923" s="34" t="n">
        <x:v>26</x:v>
      </x:c>
      <x:c r="R923" s="33" t="n">
        <x:v>56</x:v>
      </x:c>
      <x:c r="S923" s="38" t="n">
        <x:v>1.456</x:v>
      </x:c>
      <x:c r="T923" s="38" t="n">
        <x:v>0.5095999999999999</x:v>
      </x:c>
      <x:c r="U923" s="38" t="n">
        <x:v>0.018928</x:v>
      </x:c>
      <x:c r="V923" s="38" t="n">
        <x:v>0.9274720000000001</x:v>
      </x:c>
      <x:c r="W923" s="38" t="n">
        <x:v>0.48412</x:v>
      </x:c>
      <x:c r="X923" s="38" t="n">
        <x:v>0</x:v>
      </x:c>
      <x:c r="Y923" s="38" t="n">
        <x:v>0</x:v>
      </x:c>
      <x:c r="Z923" s="38" t="n">
        <x:v>0.0598</x:v>
      </x:c>
      <x:c r="AA923" s="38" t="n">
        <x:v>0.022099999999999998</x:v>
      </x:c>
      <x:c r="AB923" s="38" t="n">
        <x:v>0.0000936</x:v>
      </x:c>
      <x:c r="AC923" s="38" t="n">
        <x:v>0.3613584</x:v>
      </x:c>
      <x:c r="AD923" s="28" t="n">
        <x:v>0.38961650594303654</x:v>
      </x:c>
    </x:row>
    <x:row r="924">
      <x:c r="A924" s="32" t="n">
        <x:v>45978</x:v>
      </x:c>
      <x:c r="B924" s="32" t="n">
        <x:v>45962</x:v>
      </x:c>
      <x:c r="C924" t="str">
        <x:v>Nov 2025</x:v>
      </x:c>
      <x:c r="D924" t="str">
        <x:v>Actual</x:v>
      </x:c>
      <x:c r="E924" t="str">
        <x:v>DB-105</x:v>
      </x:c>
      <x:c r="F924" t="str">
        <x:v>DreamFuel Refill Pack</x:v>
      </x:c>
      <x:c r="G924" t="str">
        <x:v>Subscription</x:v>
      </x:c>
      <x:c r="H924" t="str">
        <x:v>None</x:v>
      </x:c>
      <x:c r="I924" t="str">
        <x:v>Active</x:v>
      </x:c>
      <x:c r="J924" t="str">
        <x:v>TikTok Shop</x:v>
      </x:c>
      <x:c r="K924" t="str">
        <x:v>Social Commerce</x:v>
      </x:c>
      <x:c r="L924" t="str">
        <x:v>All Geographies</x:v>
      </x:c>
      <x:c r="M924" s="34" t="n">
        <x:v>811</x:v>
      </x:c>
      <x:c r="N924" s="28" t="n">
        <x:v>0.0489888</x:v>
      </x:c>
      <x:c r="O924" s="34" t="n">
        <x:v>40</x:v>
      </x:c>
      <x:c r="P924" s="34" t="n">
        <x:v>1</x:v>
      </x:c>
      <x:c r="Q924" s="34" t="n">
        <x:v>40</x:v>
      </x:c>
      <x:c r="R924" s="33" t="n">
        <x:v>56</x:v>
      </x:c>
      <x:c r="S924" s="38" t="n">
        <x:v>2.24</x:v>
      </x:c>
      <x:c r="T924" s="38" t="n">
        <x:v>0.26880000000000004</x:v>
      </x:c>
      <x:c r="U924" s="38" t="n">
        <x:v>0.039424</x:v>
      </x:c>
      <x:c r="V924" s="38" t="n">
        <x:v>1.9317760000000002</x:v>
      </x:c>
      <x:c r="W924" s="38" t="n">
        <x:v>0.7448</x:v>
      </x:c>
      <x:c r="X924" s="38" t="n">
        <x:v>0.05602150400000001</x:v>
      </x:c>
      <x:c r="Y924" s="38" t="n">
        <x:v>0.11590656</x:v>
      </x:c>
      <x:c r="Z924" s="38" t="n">
        <x:v>0.204</x:v>
      </x:c>
      <x:c r="AA924" s="38" t="n">
        <x:v>0.07</x:v>
      </x:c>
      <x:c r="AB924" s="38" t="n">
        <x:v>0.00014399999999999998</x:v>
      </x:c>
      <x:c r="AC924" s="38" t="n">
        <x:v>0.7409039359999999</x:v>
      </x:c>
      <x:c r="AD924" s="28" t="n">
        <x:v>0.38353511794328116</x:v>
      </x:c>
    </x:row>
    <x:row r="925">
      <x:c r="A925" s="32" t="n">
        <x:v>45985</x:v>
      </x:c>
      <x:c r="B925" s="32" t="n">
        <x:v>45962</x:v>
      </x:c>
      <x:c r="C925" t="str">
        <x:v>Nov 2025</x:v>
      </x:c>
      <x:c r="D925" t="str">
        <x:v>Actual</x:v>
      </x:c>
      <x:c r="E925" t="str">
        <x:v>DB-101</x:v>
      </x:c>
      <x:c r="F925" t="str">
        <x:v>AeroSip Bottle</x:v>
      </x:c>
      <x:c r="G925" t="str">
        <x:v>One-time purchase</x:v>
      </x:c>
      <x:c r="H925" t="str">
        <x:v>None</x:v>
      </x:c>
      <x:c r="I925" t="str">
        <x:v>Active</x:v>
      </x:c>
      <x:c r="J925" t="str">
        <x:v>Shopify DTC</x:v>
      </x:c>
      <x:c r="K925" t="str">
        <x:v>Consumer</x:v>
      </x:c>
      <x:c r="L925" t="str">
        <x:v>All Geographies</x:v>
      </x:c>
      <x:c r="M925" s="34" t="n">
        <x:v>5877</x:v>
      </x:c>
      <x:c r="N925" s="28" t="n">
        <x:v>0.034199999999999994</x:v>
      </x:c>
      <x:c r="O925" s="34" t="n">
        <x:v>201</x:v>
      </x:c>
      <x:c r="P925" s="34" t="n">
        <x:v>1</x:v>
      </x:c>
      <x:c r="Q925" s="34" t="n">
        <x:v>201</x:v>
      </x:c>
      <x:c r="R925" s="33" t="n">
        <x:v>29</x:v>
      </x:c>
      <x:c r="S925" s="38" t="n">
        <x:v>5.829</x:v>
      </x:c>
      <x:c r="T925" s="38" t="n">
        <x:v>0.46632</x:v>
      </x:c>
      <x:c r="U925" s="38" t="n">
        <x:v>0.2413206</x:v>
      </x:c>
      <x:c r="V925" s="38" t="n">
        <x:v>5.1213594</x:v>
      </x:c>
      <x:c r="W925" s="38" t="n">
        <x:v>2.1708000000000003</x:v>
      </x:c>
      <x:c r="X925" s="38" t="n">
        <x:v>0.1485194226</x:v>
      </x:c>
      <x:c r="Y925" s="38" t="n">
        <x:v>0</x:v>
      </x:c>
      <x:c r="Z925" s="38" t="n">
        <x:v>0.8341500000000001</x:v>
      </x:c>
      <x:c r="AA925" s="38" t="n">
        <x:v>0.33165</x:v>
      </x:c>
      <x:c r="AB925" s="38" t="n">
        <x:v>0.007235999999999999</x:v>
      </x:c>
      <x:c r="AC925" s="38" t="n">
        <x:v>1.6290039773999996</x:v>
      </x:c>
      <x:c r="AD925" s="28" t="n">
        <x:v>0.31808038650831644</x:v>
      </x:c>
    </x:row>
    <x:row r="926">
      <x:c r="A926" s="32" t="n">
        <x:v>45985</x:v>
      </x:c>
      <x:c r="B926" s="32" t="n">
        <x:v>45962</x:v>
      </x:c>
      <x:c r="C926" t="str">
        <x:v>Nov 2025</x:v>
      </x:c>
      <x:c r="D926" t="str">
        <x:v>Actual</x:v>
      </x:c>
      <x:c r="E926" t="str">
        <x:v>DB-101</x:v>
      </x:c>
      <x:c r="F926" t="str">
        <x:v>AeroSip Bottle</x:v>
      </x:c>
      <x:c r="G926" t="str">
        <x:v>One-time purchase</x:v>
      </x:c>
      <x:c r="H926" t="str">
        <x:v>None</x:v>
      </x:c>
      <x:c r="I926" t="str">
        <x:v>Active</x:v>
      </x:c>
      <x:c r="J926" t="str">
        <x:v>Amazon Marketplace</x:v>
      </x:c>
      <x:c r="K926" t="str">
        <x:v>Marketplace Consumer</x:v>
      </x:c>
      <x:c r="L926" t="str">
        <x:v>All Geographies</x:v>
      </x:c>
      <x:c r="M926" s="34" t="n">
        <x:v>2938</x:v>
      </x:c>
      <x:c r="N926" s="28" t="n">
        <x:v>0.040355999999999996</x:v>
      </x:c>
      <x:c r="O926" s="34" t="n">
        <x:v>119</x:v>
      </x:c>
      <x:c r="P926" s="34" t="n">
        <x:v>1</x:v>
      </x:c>
      <x:c r="Q926" s="34" t="n">
        <x:v>119</x:v>
      </x:c>
      <x:c r="R926" s="33" t="n">
        <x:v>29</x:v>
      </x:c>
      <x:c r="S926" s="38" t="n">
        <x:v>3.451</x:v>
      </x:c>
      <x:c r="T926" s="38" t="n">
        <x:v>0.17255</x:v>
      </x:c>
      <x:c r="U926" s="38" t="n">
        <x:v>0.14753025</x:v>
      </x:c>
      <x:c r="V926" s="38" t="n">
        <x:v>3.13091975</x:v>
      </x:c>
      <x:c r="W926" s="38" t="n">
        <x:v>1.2852000000000001</x:v>
      </x:c>
      <x:c r="X926" s="38" t="n">
        <x:v>0</x:v>
      </x:c>
      <x:c r="Y926" s="38" t="n">
        <x:v>0.46963796249999995</x:v>
      </x:c>
      <x:c r="Z926" s="38" t="n">
        <x:v>0.6188</x:v>
      </x:c>
      <x:c r="AA926" s="38" t="n">
        <x:v>0.25585</x:v>
      </x:c>
      <x:c r="AB926" s="38" t="n">
        <x:v>0.004284</x:v>
      </x:c>
      <x:c r="AC926" s="38" t="n">
        <x:v>0.4971477874999997</x:v>
      </x:c>
      <x:c r="AD926" s="28" t="n">
        <x:v>0.1587864995581569</x:v>
      </x:c>
    </x:row>
    <x:row r="927">
      <x:c r="A927" s="32" t="n">
        <x:v>45985</x:v>
      </x:c>
      <x:c r="B927" s="32" t="n">
        <x:v>45962</x:v>
      </x:c>
      <x:c r="C927" t="str">
        <x:v>Nov 2025</x:v>
      </x:c>
      <x:c r="D927" t="str">
        <x:v>Actual</x:v>
      </x:c>
      <x:c r="E927" t="str">
        <x:v>DB-101</x:v>
      </x:c>
      <x:c r="F927" t="str">
        <x:v>AeroSip Bottle</x:v>
      </x:c>
      <x:c r="G927" t="str">
        <x:v>One-time purchase</x:v>
      </x:c>
      <x:c r="H927" t="str">
        <x:v>None</x:v>
      </x:c>
      <x:c r="I927" t="str">
        <x:v>Active</x:v>
      </x:c>
      <x:c r="J927" t="str">
        <x:v>Wholesale</x:v>
      </x:c>
      <x:c r="K927" t="str">
        <x:v>Retailer</x:v>
      </x:c>
      <x:c r="L927" t="str">
        <x:v>All Geographies</x:v>
      </x:c>
      <x:c r="M927" s="34" t="n">
        <x:v>1763</x:v>
      </x:c>
      <x:c r="N927" s="28" t="n">
        <x:v>0.01881</x:v>
      </x:c>
      <x:c r="O927" s="34" t="n">
        <x:v>33</x:v>
      </x:c>
      <x:c r="P927" s="34" t="n">
        <x:v>1</x:v>
      </x:c>
      <x:c r="Q927" s="34" t="n">
        <x:v>33</x:v>
      </x:c>
      <x:c r="R927" s="33" t="n">
        <x:v>29</x:v>
      </x:c>
      <x:c r="S927" s="38" t="n">
        <x:v>0.957</x:v>
      </x:c>
      <x:c r="T927" s="38" t="n">
        <x:v>0.33494999999999997</x:v>
      </x:c>
      <x:c r="U927" s="38" t="n">
        <x:v>0.02799225</x:v>
      </x:c>
      <x:c r="V927" s="38" t="n">
        <x:v>0.5940577499999999</x:v>
      </x:c>
      <x:c r="W927" s="38" t="n">
        <x:v>0.35640000000000005</x:v>
      </x:c>
      <x:c r="X927" s="38" t="n">
        <x:v>0</x:v>
      </x:c>
      <x:c r="Y927" s="38" t="n">
        <x:v>0</x:v>
      </x:c>
      <x:c r="Z927" s="38" t="n">
        <x:v>0.0759</x:v>
      </x:c>
      <x:c r="AA927" s="38" t="n">
        <x:v>0.028050000000000002</x:v>
      </x:c>
      <x:c r="AB927" s="38" t="n">
        <x:v>0.0011880000000000003</x:v>
      </x:c>
      <x:c r="AC927" s="38" t="n">
        <x:v>0.1325197499999999</x:v>
      </x:c>
      <x:c r="AD927" s="28" t="n">
        <x:v>0.2230755343230518</x:v>
      </x:c>
    </x:row>
    <x:row r="928">
      <x:c r="A928" s="32" t="n">
        <x:v>45985</x:v>
      </x:c>
      <x:c r="B928" s="32" t="n">
        <x:v>45962</x:v>
      </x:c>
      <x:c r="C928" t="str">
        <x:v>Nov 2025</x:v>
      </x:c>
      <x:c r="D928" t="str">
        <x:v>Actual</x:v>
      </x:c>
      <x:c r="E928" t="str">
        <x:v>DB-101</x:v>
      </x:c>
      <x:c r="F928" t="str">
        <x:v>AeroSip Bottle</x:v>
      </x:c>
      <x:c r="G928" t="str">
        <x:v>One-time purchase</x:v>
      </x:c>
      <x:c r="H928" t="str">
        <x:v>None</x:v>
      </x:c>
      <x:c r="I928" t="str">
        <x:v>Active</x:v>
      </x:c>
      <x:c r="J928" t="str">
        <x:v>TikTok Shop</x:v>
      </x:c>
      <x:c r="K928" t="str">
        <x:v>Social Commerce</x:v>
      </x:c>
      <x:c r="L928" t="str">
        <x:v>All Geographies</x:v>
      </x:c>
      <x:c r="M928" s="34" t="n">
        <x:v>1175</x:v>
      </x:c>
      <x:c r="N928" s="28" t="n">
        <x:v>0.043092</x:v>
      </x:c>
      <x:c r="O928" s="34" t="n">
        <x:v>51</x:v>
      </x:c>
      <x:c r="P928" s="34" t="n">
        <x:v>1</x:v>
      </x:c>
      <x:c r="Q928" s="34" t="n">
        <x:v>51</x:v>
      </x:c>
      <x:c r="R928" s="33" t="n">
        <x:v>29</x:v>
      </x:c>
      <x:c r="S928" s="38" t="n">
        <x:v>1.479</x:v>
      </x:c>
      <x:c r="T928" s="38" t="n">
        <x:v>0.17748</x:v>
      </x:c>
      <x:c r="U928" s="38" t="n">
        <x:v>0.0585684</x:v>
      </x:c>
      <x:c r="V928" s="38" t="n">
        <x:v>1.2429516</x:v>
      </x:c>
      <x:c r="W928" s="38" t="n">
        <x:v>0.5508000000000001</x:v>
      </x:c>
      <x:c r="X928" s="38" t="n">
        <x:v>0.036045596400000005</x:v>
      </x:c>
      <x:c r="Y928" s="38" t="n">
        <x:v>0.074577096</x:v>
      </x:c>
      <x:c r="Z928" s="38" t="n">
        <x:v>0.26009999999999994</x:v>
      </x:c>
      <x:c r="AA928" s="38" t="n">
        <x:v>0.08925</x:v>
      </x:c>
      <x:c r="AB928" s="38" t="n">
        <x:v>0.001836</x:v>
      </x:c>
      <x:c r="AC928" s="38" t="n">
        <x:v>0.23034290760000004</x:v>
      </x:c>
      <x:c r="AD928" s="28" t="n">
        <x:v>0.18531928966501995</x:v>
      </x:c>
    </x:row>
    <x:row r="929">
      <x:c r="A929" s="32" t="n">
        <x:v>45985</x:v>
      </x:c>
      <x:c r="B929" s="32" t="n">
        <x:v>45962</x:v>
      </x:c>
      <x:c r="C929" t="str">
        <x:v>Nov 2025</x:v>
      </x:c>
      <x:c r="D929" t="str">
        <x:v>Actual</x:v>
      </x:c>
      <x:c r="E929" t="str">
        <x:v>DB-102</x:v>
      </x:c>
      <x:c r="F929" t="str">
        <x:v>GlowPatch Balm</x:v>
      </x:c>
      <x:c r="G929" t="str">
        <x:v>Consumable repeat</x:v>
      </x:c>
      <x:c r="H929" t="str">
        <x:v>None</x:v>
      </x:c>
      <x:c r="I929" t="str">
        <x:v>Active</x:v>
      </x:c>
      <x:c r="J929" t="str">
        <x:v>Shopify DTC</x:v>
      </x:c>
      <x:c r="K929" t="str">
        <x:v>Consumer</x:v>
      </x:c>
      <x:c r="L929" t="str">
        <x:v>All Geographies</x:v>
      </x:c>
      <x:c r="M929" s="34" t="n">
        <x:v>4746</x:v>
      </x:c>
      <x:c r="N929" s="28" t="n">
        <x:v>0.04248</x:v>
      </x:c>
      <x:c r="O929" s="34" t="n">
        <x:v>202</x:v>
      </x:c>
      <x:c r="P929" s="34" t="n">
        <x:v>1</x:v>
      </x:c>
      <x:c r="Q929" s="34" t="n">
        <x:v>202</x:v>
      </x:c>
      <x:c r="R929" s="33" t="n">
        <x:v>18</x:v>
      </x:c>
      <x:c r="S929" s="38" t="n">
        <x:v>3.636</x:v>
      </x:c>
      <x:c r="T929" s="38" t="n">
        <x:v>0.29088</x:v>
      </x:c>
      <x:c r="U929" s="38" t="n">
        <x:v>0.08362800000000001</x:v>
      </x:c>
      <x:c r="V929" s="38" t="n">
        <x:v>3.261492</x:v>
      </x:c>
      <x:c r="W929" s="38" t="n">
        <x:v>1.09282</x:v>
      </x:c>
      <x:c r="X929" s="38" t="n">
        <x:v>0.09458326800000001</x:v>
      </x:c>
      <x:c r="Y929" s="38" t="n">
        <x:v>0</x:v>
      </x:c>
      <x:c r="Z929" s="38" t="n">
        <x:v>0.8383</x:v>
      </x:c>
      <x:c r="AA929" s="38" t="n">
        <x:v>0.33329999999999993</x:v>
      </x:c>
      <x:c r="AB929" s="38" t="n">
        <x:v>0.0012120000000000002</x:v>
      </x:c>
      <x:c r="AC929" s="38" t="n">
        <x:v>0.9012767319999999</x:v>
      </x:c>
      <x:c r="AD929" s="28" t="n">
        <x:v>0.27633878359965314</x:v>
      </x:c>
    </x:row>
    <x:row r="930">
      <x:c r="A930" s="32" t="n">
        <x:v>45985</x:v>
      </x:c>
      <x:c r="B930" s="32" t="n">
        <x:v>45962</x:v>
      </x:c>
      <x:c r="C930" t="str">
        <x:v>Nov 2025</x:v>
      </x:c>
      <x:c r="D930" t="str">
        <x:v>Actual</x:v>
      </x:c>
      <x:c r="E930" t="str">
        <x:v>DB-102</x:v>
      </x:c>
      <x:c r="F930" t="str">
        <x:v>GlowPatch Balm</x:v>
      </x:c>
      <x:c r="G930" t="str">
        <x:v>Consumable repeat</x:v>
      </x:c>
      <x:c r="H930" t="str">
        <x:v>None</x:v>
      </x:c>
      <x:c r="I930" t="str">
        <x:v>Active</x:v>
      </x:c>
      <x:c r="J930" t="str">
        <x:v>Amazon Marketplace</x:v>
      </x:c>
      <x:c r="K930" t="str">
        <x:v>Marketplace Consumer</x:v>
      </x:c>
      <x:c r="L930" t="str">
        <x:v>All Geographies</x:v>
      </x:c>
      <x:c r="M930" s="34" t="n">
        <x:v>2373</x:v>
      </x:c>
      <x:c r="N930" s="28" t="n">
        <x:v>0.050126399999999995</x:v>
      </x:c>
      <x:c r="O930" s="34" t="n">
        <x:v>119</x:v>
      </x:c>
      <x:c r="P930" s="34" t="n">
        <x:v>1</x:v>
      </x:c>
      <x:c r="Q930" s="34" t="n">
        <x:v>119</x:v>
      </x:c>
      <x:c r="R930" s="33" t="n">
        <x:v>18</x:v>
      </x:c>
      <x:c r="S930" s="38" t="n">
        <x:v>2.142</x:v>
      </x:c>
      <x:c r="T930" s="38" t="n">
        <x:v>0.1071</x:v>
      </x:c>
      <x:c r="U930" s="38" t="n">
        <x:v>0.0508725</x:v>
      </x:c>
      <x:c r="V930" s="38" t="n">
        <x:v>1.9840274999999998</x:v>
      </x:c>
      <x:c r="W930" s="38" t="n">
        <x:v>0.64379</x:v>
      </x:c>
      <x:c r="X930" s="38" t="n">
        <x:v>0</x:v>
      </x:c>
      <x:c r="Y930" s="38" t="n">
        <x:v>0.29760412499999994</x:v>
      </x:c>
      <x:c r="Z930" s="38" t="n">
        <x:v>0.6188</x:v>
      </x:c>
      <x:c r="AA930" s="38" t="n">
        <x:v>0.25585</x:v>
      </x:c>
      <x:c r="AB930" s="38" t="n">
        <x:v>0.0007140000000000001</x:v>
      </x:c>
      <x:c r="AC930" s="38" t="n">
        <x:v>0.16726937499999983</x:v>
      </x:c>
      <x:c r="AD930" s="28" t="n">
        <x:v>0.08430799220272897</x:v>
      </x:c>
    </x:row>
    <x:row r="931">
      <x:c r="A931" s="32" t="n">
        <x:v>45985</x:v>
      </x:c>
      <x:c r="B931" s="32" t="n">
        <x:v>45962</x:v>
      </x:c>
      <x:c r="C931" t="str">
        <x:v>Nov 2025</x:v>
      </x:c>
      <x:c r="D931" t="str">
        <x:v>Actual</x:v>
      </x:c>
      <x:c r="E931" t="str">
        <x:v>DB-102</x:v>
      </x:c>
      <x:c r="F931" t="str">
        <x:v>GlowPatch Balm</x:v>
      </x:c>
      <x:c r="G931" t="str">
        <x:v>Consumable repeat</x:v>
      </x:c>
      <x:c r="H931" t="str">
        <x:v>None</x:v>
      </x:c>
      <x:c r="I931" t="str">
        <x:v>Active</x:v>
      </x:c>
      <x:c r="J931" t="str">
        <x:v>Wholesale</x:v>
      </x:c>
      <x:c r="K931" t="str">
        <x:v>Retailer</x:v>
      </x:c>
      <x:c r="L931" t="str">
        <x:v>All Geographies</x:v>
      </x:c>
      <x:c r="M931" s="34" t="n">
        <x:v>1424</x:v>
      </x:c>
      <x:c r="N931" s="28" t="n">
        <x:v>0.023364</x:v>
      </x:c>
      <x:c r="O931" s="34" t="n">
        <x:v>33</x:v>
      </x:c>
      <x:c r="P931" s="34" t="n">
        <x:v>1</x:v>
      </x:c>
      <x:c r="Q931" s="34" t="n">
        <x:v>33</x:v>
      </x:c>
      <x:c r="R931" s="33" t="n">
        <x:v>18</x:v>
      </x:c>
      <x:c r="S931" s="38" t="n">
        <x:v>0.594</x:v>
      </x:c>
      <x:c r="T931" s="38" t="n">
        <x:v>0.20789999999999997</x:v>
      </x:c>
      <x:c r="U931" s="38" t="n">
        <x:v>0.009652500000000001</x:v>
      </x:c>
      <x:c r="V931" s="38" t="n">
        <x:v>0.3764475</x:v>
      </x:c>
      <x:c r="W931" s="38" t="n">
        <x:v>0.17853</x:v>
      </x:c>
      <x:c r="X931" s="38" t="n">
        <x:v>0</x:v>
      </x:c>
      <x:c r="Y931" s="38" t="n">
        <x:v>0</x:v>
      </x:c>
      <x:c r="Z931" s="38" t="n">
        <x:v>0.0759</x:v>
      </x:c>
      <x:c r="AA931" s="38" t="n">
        <x:v>0.028050000000000002</x:v>
      </x:c>
      <x:c r="AB931" s="38" t="n">
        <x:v>0.00019800000000000002</x:v>
      </x:c>
      <x:c r="AC931" s="38" t="n">
        <x:v>0.09376949999999999</x:v>
      </x:c>
      <x:c r="AD931" s="28" t="n">
        <x:v>0.24909051062897214</x:v>
      </x:c>
    </x:row>
    <x:row r="932">
      <x:c r="A932" s="32" t="n">
        <x:v>45985</x:v>
      </x:c>
      <x:c r="B932" s="32" t="n">
        <x:v>45962</x:v>
      </x:c>
      <x:c r="C932" t="str">
        <x:v>Nov 2025</x:v>
      </x:c>
      <x:c r="D932" t="str">
        <x:v>Actual</x:v>
      </x:c>
      <x:c r="E932" t="str">
        <x:v>DB-102</x:v>
      </x:c>
      <x:c r="F932" t="str">
        <x:v>GlowPatch Balm</x:v>
      </x:c>
      <x:c r="G932" t="str">
        <x:v>Consumable repeat</x:v>
      </x:c>
      <x:c r="H932" t="str">
        <x:v>None</x:v>
      </x:c>
      <x:c r="I932" t="str">
        <x:v>Active</x:v>
      </x:c>
      <x:c r="J932" t="str">
        <x:v>TikTok Shop</x:v>
      </x:c>
      <x:c r="K932" t="str">
        <x:v>Social Commerce</x:v>
      </x:c>
      <x:c r="L932" t="str">
        <x:v>All Geographies</x:v>
      </x:c>
      <x:c r="M932" s="34" t="n">
        <x:v>949</x:v>
      </x:c>
      <x:c r="N932" s="28" t="n">
        <x:v>0.0535248</x:v>
      </x:c>
      <x:c r="O932" s="34" t="n">
        <x:v>51</x:v>
      </x:c>
      <x:c r="P932" s="34" t="n">
        <x:v>1</x:v>
      </x:c>
      <x:c r="Q932" s="34" t="n">
        <x:v>51</x:v>
      </x:c>
      <x:c r="R932" s="33" t="n">
        <x:v>18</x:v>
      </x:c>
      <x:c r="S932" s="38" t="n">
        <x:v>0.918</x:v>
      </x:c>
      <x:c r="T932" s="38" t="n">
        <x:v>0.11016</x:v>
      </x:c>
      <x:c r="U932" s="38" t="n">
        <x:v>0.020196000000000002</x:v>
      </x:c>
      <x:c r="V932" s="38" t="n">
        <x:v>0.787644</x:v>
      </x:c>
      <x:c r="W932" s="38" t="n">
        <x:v>0.27591000000000004</x:v>
      </x:c>
      <x:c r="X932" s="38" t="n">
        <x:v>0.022841676</x:v>
      </x:c>
      <x:c r="Y932" s="38" t="n">
        <x:v>0.04725864</x:v>
      </x:c>
      <x:c r="Z932" s="38" t="n">
        <x:v>0.26009999999999994</x:v>
      </x:c>
      <x:c r="AA932" s="38" t="n">
        <x:v>0.08925</x:v>
      </x:c>
      <x:c r="AB932" s="38" t="n">
        <x:v>0.00030600000000000007</x:v>
      </x:c>
      <x:c r="AC932" s="38" t="n">
        <x:v>0.09197768399999998</x:v>
      </x:c>
      <x:c r="AD932" s="28" t="n">
        <x:v>0.11677570577570574</x:v>
      </x:c>
    </x:row>
    <x:row r="933">
      <x:c r="A933" s="32" t="n">
        <x:v>45985</x:v>
      </x:c>
      <x:c r="B933" s="32" t="n">
        <x:v>45962</x:v>
      </x:c>
      <x:c r="C933" t="str">
        <x:v>Nov 2025</x:v>
      </x:c>
      <x:c r="D933" t="str">
        <x:v>Actual</x:v>
      </x:c>
      <x:c r="E933" t="str">
        <x:v>DB-103</x:v>
      </x:c>
      <x:c r="F933" t="str">
        <x:v>EmberTrail Camp Mug</x:v>
      </x:c>
      <x:c r="G933" t="str">
        <x:v>One-time purchase</x:v>
      </x:c>
      <x:c r="H933" t="str">
        <x:v>Winter peak</x:v>
      </x:c>
      <x:c r="I933" t="str">
        <x:v>Active</x:v>
      </x:c>
      <x:c r="J933" t="str">
        <x:v>Shopify DTC</x:v>
      </x:c>
      <x:c r="K933" t="str">
        <x:v>Consumer</x:v>
      </x:c>
      <x:c r="L933" t="str">
        <x:v>All Geographies</x:v>
      </x:c>
      <x:c r="M933" s="34" t="n">
        <x:v>5777</x:v>
      </x:c>
      <x:c r="N933" s="28" t="n">
        <x:v>0.0324</x:v>
      </x:c>
      <x:c r="O933" s="34" t="n">
        <x:v>187</x:v>
      </x:c>
      <x:c r="P933" s="34" t="n">
        <x:v>1</x:v>
      </x:c>
      <x:c r="Q933" s="34" t="n">
        <x:v>187</x:v>
      </x:c>
      <x:c r="R933" s="33" t="n">
        <x:v>34</x:v>
      </x:c>
      <x:c r="S933" s="38" t="n">
        <x:v>6.358</x:v>
      </x:c>
      <x:c r="T933" s="38" t="n">
        <x:v>0.50864</x:v>
      </x:c>
      <x:c r="U933" s="38" t="n">
        <x:v>0.3217148</x:v>
      </x:c>
      <x:c r="V933" s="38" t="n">
        <x:v>5.5276452</x:v>
      </x:c>
      <x:c r="W933" s="38" t="n">
        <x:v>2.55629</x:v>
      </x:c>
      <x:c r="X933" s="38" t="n">
        <x:v>0.16030171080000002</x:v>
      </x:c>
      <x:c r="Y933" s="38" t="n">
        <x:v>0</x:v>
      </x:c>
      <x:c r="Z933" s="38" t="n">
        <x:v>0.77605</x:v>
      </x:c>
      <x:c r="AA933" s="38" t="n">
        <x:v>0.30855</x:v>
      </x:c>
      <x:c r="AB933" s="38" t="n">
        <x:v>0.010471999999999999</x:v>
      </x:c>
      <x:c r="AC933" s="38" t="n">
        <x:v>1.7159814891999998</x:v>
      </x:c>
      <x:c r="AD933" s="28" t="n">
        <x:v>0.31043625759482535</x:v>
      </x:c>
    </x:row>
    <x:row r="934">
      <x:c r="A934" s="32" t="n">
        <x:v>45985</x:v>
      </x:c>
      <x:c r="B934" s="32" t="n">
        <x:v>45962</x:v>
      </x:c>
      <x:c r="C934" t="str">
        <x:v>Nov 2025</x:v>
      </x:c>
      <x:c r="D934" t="str">
        <x:v>Actual</x:v>
      </x:c>
      <x:c r="E934" t="str">
        <x:v>DB-103</x:v>
      </x:c>
      <x:c r="F934" t="str">
        <x:v>EmberTrail Camp Mug</x:v>
      </x:c>
      <x:c r="G934" t="str">
        <x:v>One-time purchase</x:v>
      </x:c>
      <x:c r="H934" t="str">
        <x:v>Winter peak</x:v>
      </x:c>
      <x:c r="I934" t="str">
        <x:v>Active</x:v>
      </x:c>
      <x:c r="J934" t="str">
        <x:v>Amazon Marketplace</x:v>
      </x:c>
      <x:c r="K934" t="str">
        <x:v>Marketplace Consumer</x:v>
      </x:c>
      <x:c r="L934" t="str">
        <x:v>All Geographies</x:v>
      </x:c>
      <x:c r="M934" s="34" t="n">
        <x:v>2889</x:v>
      </x:c>
      <x:c r="N934" s="28" t="n">
        <x:v>0.038231999999999995</x:v>
      </x:c>
      <x:c r="O934" s="34" t="n">
        <x:v>110</x:v>
      </x:c>
      <x:c r="P934" s="34" t="n">
        <x:v>1</x:v>
      </x:c>
      <x:c r="Q934" s="34" t="n">
        <x:v>110</x:v>
      </x:c>
      <x:c r="R934" s="33" t="n">
        <x:v>34</x:v>
      </x:c>
      <x:c r="S934" s="38" t="n">
        <x:v>3.74</x:v>
      </x:c>
      <x:c r="T934" s="38" t="n">
        <x:v>0.18700000000000003</x:v>
      </x:c>
      <x:c r="U934" s="38" t="n">
        <x:v>0.19541500000000003</x:v>
      </x:c>
      <x:c r="V934" s="38" t="n">
        <x:v>3.3575850000000003</x:v>
      </x:c>
      <x:c r="W934" s="38" t="n">
        <x:v>1.5037</x:v>
      </x:c>
      <x:c r="X934" s="38" t="n">
        <x:v>0</x:v>
      </x:c>
      <x:c r="Y934" s="38" t="n">
        <x:v>0.50363775</x:v>
      </x:c>
      <x:c r="Z934" s="38" t="n">
        <x:v>0.572</x:v>
      </x:c>
      <x:c r="AA934" s="38" t="n">
        <x:v>0.2365</x:v>
      </x:c>
      <x:c r="AB934" s="38" t="n">
        <x:v>0.0061600000000000005</x:v>
      </x:c>
      <x:c r="AC934" s="38" t="n">
        <x:v>0.5355872500000002</x:v>
      </x:c>
      <x:c r="AD934" s="28" t="n">
        <x:v>0.15951561911314238</x:v>
      </x:c>
    </x:row>
    <x:row r="935">
      <x:c r="A935" s="32" t="n">
        <x:v>45985</x:v>
      </x:c>
      <x:c r="B935" s="32" t="n">
        <x:v>45962</x:v>
      </x:c>
      <x:c r="C935" t="str">
        <x:v>Nov 2025</x:v>
      </x:c>
      <x:c r="D935" t="str">
        <x:v>Actual</x:v>
      </x:c>
      <x:c r="E935" t="str">
        <x:v>DB-103</x:v>
      </x:c>
      <x:c r="F935" t="str">
        <x:v>EmberTrail Camp Mug</x:v>
      </x:c>
      <x:c r="G935" t="str">
        <x:v>One-time purchase</x:v>
      </x:c>
      <x:c r="H935" t="str">
        <x:v>Winter peak</x:v>
      </x:c>
      <x:c r="I935" t="str">
        <x:v>Active</x:v>
      </x:c>
      <x:c r="J935" t="str">
        <x:v>Wholesale</x:v>
      </x:c>
      <x:c r="K935" t="str">
        <x:v>Retailer</x:v>
      </x:c>
      <x:c r="L935" t="str">
        <x:v>All Geographies</x:v>
      </x:c>
      <x:c r="M935" s="34" t="n">
        <x:v>1733</x:v>
      </x:c>
      <x:c r="N935" s="28" t="n">
        <x:v>0.017820000000000003</x:v>
      </x:c>
      <x:c r="O935" s="34" t="n">
        <x:v>31</x:v>
      </x:c>
      <x:c r="P935" s="34" t="n">
        <x:v>1</x:v>
      </x:c>
      <x:c r="Q935" s="34" t="n">
        <x:v>31</x:v>
      </x:c>
      <x:c r="R935" s="33" t="n">
        <x:v>34</x:v>
      </x:c>
      <x:c r="S935" s="38" t="n">
        <x:v>1.054</x:v>
      </x:c>
      <x:c r="T935" s="38" t="n">
        <x:v>0.3689</x:v>
      </x:c>
      <x:c r="U935" s="38" t="n">
        <x:v>0.037680500000000006</x:v>
      </x:c>
      <x:c r="V935" s="38" t="n">
        <x:v>0.6474195</x:v>
      </x:c>
      <x:c r="W935" s="38" t="n">
        <x:v>0.42377</x:v>
      </x:c>
      <x:c r="X935" s="38" t="n">
        <x:v>0</x:v>
      </x:c>
      <x:c r="Y935" s="38" t="n">
        <x:v>0</x:v>
      </x:c>
      <x:c r="Z935" s="38" t="n">
        <x:v>0.0713</x:v>
      </x:c>
      <x:c r="AA935" s="38" t="n">
        <x:v>0.02635</x:v>
      </x:c>
      <x:c r="AB935" s="38" t="n">
        <x:v>0.001736</x:v>
      </x:c>
      <x:c r="AC935" s="38" t="n">
        <x:v>0.12426350000000004</x:v>
      </x:c>
      <x:c r="AD935" s="28" t="n">
        <x:v>0.19193660370130963</x:v>
      </x:c>
    </x:row>
    <x:row r="936">
      <x:c r="A936" s="32" t="n">
        <x:v>45985</x:v>
      </x:c>
      <x:c r="B936" s="32" t="n">
        <x:v>45962</x:v>
      </x:c>
      <x:c r="C936" t="str">
        <x:v>Nov 2025</x:v>
      </x:c>
      <x:c r="D936" t="str">
        <x:v>Actual</x:v>
      </x:c>
      <x:c r="E936" t="str">
        <x:v>DB-103</x:v>
      </x:c>
      <x:c r="F936" t="str">
        <x:v>EmberTrail Camp Mug</x:v>
      </x:c>
      <x:c r="G936" t="str">
        <x:v>One-time purchase</x:v>
      </x:c>
      <x:c r="H936" t="str">
        <x:v>Winter peak</x:v>
      </x:c>
      <x:c r="I936" t="str">
        <x:v>Active</x:v>
      </x:c>
      <x:c r="J936" t="str">
        <x:v>TikTok Shop</x:v>
      </x:c>
      <x:c r="K936" t="str">
        <x:v>Social Commerce</x:v>
      </x:c>
      <x:c r="L936" t="str">
        <x:v>All Geographies</x:v>
      </x:c>
      <x:c r="M936" s="34" t="n">
        <x:v>1155</x:v>
      </x:c>
      <x:c r="N936" s="28" t="n">
        <x:v>0.040824</x:v>
      </x:c>
      <x:c r="O936" s="34" t="n">
        <x:v>47</x:v>
      </x:c>
      <x:c r="P936" s="34" t="n">
        <x:v>1</x:v>
      </x:c>
      <x:c r="Q936" s="34" t="n">
        <x:v>47</x:v>
      </x:c>
      <x:c r="R936" s="33" t="n">
        <x:v>34</x:v>
      </x:c>
      <x:c r="S936" s="38" t="n">
        <x:v>1.598</x:v>
      </x:c>
      <x:c r="T936" s="38" t="n">
        <x:v>0.19176</x:v>
      </x:c>
      <x:c r="U936" s="38" t="n">
        <x:v>0.07734320000000001</x:v>
      </x:c>
      <x:c r="V936" s="38" t="n">
        <x:v>1.3288968</x:v>
      </x:c>
      <x:c r="W936" s="38" t="n">
        <x:v>0.64249</x:v>
      </x:c>
      <x:c r="X936" s="38" t="n">
        <x:v>0.0385380072</x:v>
      </x:c>
      <x:c r="Y936" s="38" t="n">
        <x:v>0.079733808</x:v>
      </x:c>
      <x:c r="Z936" s="38" t="n">
        <x:v>0.2397</x:v>
      </x:c>
      <x:c r="AA936" s="38" t="n">
        <x:v>0.08225</x:v>
      </x:c>
      <x:c r="AB936" s="38" t="n">
        <x:v>0.0026320000000000002</x:v>
      </x:c>
      <x:c r="AC936" s="38" t="n">
        <x:v>0.24355298480000012</x:v>
      </x:c>
      <x:c r="AD936" s="28" t="n">
        <x:v>0.18327456639221354</x:v>
      </x:c>
    </x:row>
    <x:row r="937">
      <x:c r="A937" s="32" t="n">
        <x:v>45985</x:v>
      </x:c>
      <x:c r="B937" s="32" t="n">
        <x:v>45962</x:v>
      </x:c>
      <x:c r="C937" t="str">
        <x:v>Nov 2025</x:v>
      </x:c>
      <x:c r="D937" t="str">
        <x:v>Actual</x:v>
      </x:c>
      <x:c r="E937" t="str">
        <x:v>DB-104</x:v>
      </x:c>
      <x:c r="F937" t="str">
        <x:v>SunNest Cooling Towel</x:v>
      </x:c>
      <x:c r="G937" t="str">
        <x:v>Consumable repeat</x:v>
      </x:c>
      <x:c r="H937" t="str">
        <x:v>Summer peak</x:v>
      </x:c>
      <x:c r="I937" t="str">
        <x:v>Active</x:v>
      </x:c>
      <x:c r="J937" t="str">
        <x:v>Shopify DTC</x:v>
      </x:c>
      <x:c r="K937" t="str">
        <x:v>Consumer</x:v>
      </x:c>
      <x:c r="L937" t="str">
        <x:v>All Geographies</x:v>
      </x:c>
      <x:c r="M937" s="34" t="n">
        <x:v>2997</x:v>
      </x:c>
      <x:c r="N937" s="28" t="n">
        <x:v>0.03312</x:v>
      </x:c>
      <x:c r="O937" s="34" t="n">
        <x:v>99</x:v>
      </x:c>
      <x:c r="P937" s="34" t="n">
        <x:v>1</x:v>
      </x:c>
      <x:c r="Q937" s="34" t="n">
        <x:v>99</x:v>
      </x:c>
      <x:c r="R937" s="33" t="n">
        <x:v>42</x:v>
      </x:c>
      <x:c r="S937" s="38" t="n">
        <x:v>4.158</x:v>
      </x:c>
      <x:c r="T937" s="38" t="n">
        <x:v>0.33264000000000005</x:v>
      </x:c>
      <x:c r="U937" s="38" t="n">
        <x:v>0.19126800000000002</x:v>
      </x:c>
      <x:c r="V937" s="38" t="n">
        <x:v>3.6340920000000003</x:v>
      </x:c>
      <x:c r="W937" s="38" t="n">
        <x:v>1.48995</x:v>
      </x:c>
      <x:c r="X937" s="38" t="n">
        <x:v>0.10538866800000002</x:v>
      </x:c>
      <x:c r="Y937" s="38" t="n">
        <x:v>0</x:v>
      </x:c>
      <x:c r="Z937" s="38" t="n">
        <x:v>0.41085000000000005</x:v>
      </x:c>
      <x:c r="AA937" s="38" t="n">
        <x:v>0.16335</x:v>
      </x:c>
      <x:c r="AB937" s="38" t="n">
        <x:v>0.0027719999999999997</x:v>
      </x:c>
      <x:c r="AC937" s="38" t="n">
        <x:v>1.4617813320000008</x:v>
      </x:c>
      <x:c r="AD937" s="28" t="n">
        <x:v>0.40224114634412134</x:v>
      </x:c>
    </x:row>
    <x:row r="938">
      <x:c r="A938" s="32" t="n">
        <x:v>45985</x:v>
      </x:c>
      <x:c r="B938" s="32" t="n">
        <x:v>45962</x:v>
      </x:c>
      <x:c r="C938" t="str">
        <x:v>Nov 2025</x:v>
      </x:c>
      <x:c r="D938" t="str">
        <x:v>Actual</x:v>
      </x:c>
      <x:c r="E938" t="str">
        <x:v>DB-104</x:v>
      </x:c>
      <x:c r="F938" t="str">
        <x:v>SunNest Cooling Towel</x:v>
      </x:c>
      <x:c r="G938" t="str">
        <x:v>Consumable repeat</x:v>
      </x:c>
      <x:c r="H938" t="str">
        <x:v>Summer peak</x:v>
      </x:c>
      <x:c r="I938" t="str">
        <x:v>Active</x:v>
      </x:c>
      <x:c r="J938" t="str">
        <x:v>Amazon Marketplace</x:v>
      </x:c>
      <x:c r="K938" t="str">
        <x:v>Marketplace Consumer</x:v>
      </x:c>
      <x:c r="L938" t="str">
        <x:v>All Geographies</x:v>
      </x:c>
      <x:c r="M938" s="34" t="n">
        <x:v>1499</x:v>
      </x:c>
      <x:c r="N938" s="28" t="n">
        <x:v>0.0390816</x:v>
      </x:c>
      <x:c r="O938" s="34" t="n">
        <x:v>59</x:v>
      </x:c>
      <x:c r="P938" s="34" t="n">
        <x:v>1</x:v>
      </x:c>
      <x:c r="Q938" s="34" t="n">
        <x:v>59</x:v>
      </x:c>
      <x:c r="R938" s="33" t="n">
        <x:v>42</x:v>
      </x:c>
      <x:c r="S938" s="38" t="n">
        <x:v>2.478</x:v>
      </x:c>
      <x:c r="T938" s="38" t="n">
        <x:v>0.12390000000000001</x:v>
      </x:c>
      <x:c r="U938" s="38" t="n">
        <x:v>0.11770500000000002</x:v>
      </x:c>
      <x:c r="V938" s="38" t="n">
        <x:v>2.2363950000000004</x:v>
      </x:c>
      <x:c r="W938" s="38" t="n">
        <x:v>0.88795</x:v>
      </x:c>
      <x:c r="X938" s="38" t="n">
        <x:v>0</x:v>
      </x:c>
      <x:c r="Y938" s="38" t="n">
        <x:v>0.33545925000000004</x:v>
      </x:c>
      <x:c r="Z938" s="38" t="n">
        <x:v>0.3068</x:v>
      </x:c>
      <x:c r="AA938" s="38" t="n">
        <x:v>0.12685</x:v>
      </x:c>
      <x:c r="AB938" s="38" t="n">
        <x:v>0.0016519999999999998</x:v>
      </x:c>
      <x:c r="AC938" s="38" t="n">
        <x:v>0.5776837500000004</x:v>
      </x:c>
      <x:c r="AD938" s="28" t="n">
        <x:v>0.25831024930747937</x:v>
      </x:c>
    </x:row>
    <x:row r="939">
      <x:c r="A939" s="32" t="n">
        <x:v>45985</x:v>
      </x:c>
      <x:c r="B939" s="32" t="n">
        <x:v>45962</x:v>
      </x:c>
      <x:c r="C939" t="str">
        <x:v>Nov 2025</x:v>
      </x:c>
      <x:c r="D939" t="str">
        <x:v>Actual</x:v>
      </x:c>
      <x:c r="E939" t="str">
        <x:v>DB-104</x:v>
      </x:c>
      <x:c r="F939" t="str">
        <x:v>SunNest Cooling Towel</x:v>
      </x:c>
      <x:c r="G939" t="str">
        <x:v>Consumable repeat</x:v>
      </x:c>
      <x:c r="H939" t="str">
        <x:v>Summer peak</x:v>
      </x:c>
      <x:c r="I939" t="str">
        <x:v>Active</x:v>
      </x:c>
      <x:c r="J939" t="str">
        <x:v>Wholesale</x:v>
      </x:c>
      <x:c r="K939" t="str">
        <x:v>Retailer</x:v>
      </x:c>
      <x:c r="L939" t="str">
        <x:v>All Geographies</x:v>
      </x:c>
      <x:c r="M939" s="34" t="n">
        <x:v>899</x:v>
      </x:c>
      <x:c r="N939" s="28" t="n">
        <x:v>0.018216000000000003</x:v>
      </x:c>
      <x:c r="O939" s="34" t="n">
        <x:v>16</x:v>
      </x:c>
      <x:c r="P939" s="34" t="n">
        <x:v>1</x:v>
      </x:c>
      <x:c r="Q939" s="34" t="n">
        <x:v>16</x:v>
      </x:c>
      <x:c r="R939" s="33" t="n">
        <x:v>42</x:v>
      </x:c>
      <x:c r="S939" s="38" t="n">
        <x:v>0.672</x:v>
      </x:c>
      <x:c r="T939" s="38" t="n">
        <x:v>0.2352</x:v>
      </x:c>
      <x:c r="U939" s="38" t="n">
        <x:v>0.021840000000000005</x:v>
      </x:c>
      <x:c r="V939" s="38" t="n">
        <x:v>0.41496000000000005</x:v>
      </x:c>
      <x:c r="W939" s="38" t="n">
        <x:v>0.24080000000000001</x:v>
      </x:c>
      <x:c r="X939" s="38" t="n">
        <x:v>0</x:v>
      </x:c>
      <x:c r="Y939" s="38" t="n">
        <x:v>0</x:v>
      </x:c>
      <x:c r="Z939" s="38" t="n">
        <x:v>0.0368</x:v>
      </x:c>
      <x:c r="AA939" s="38" t="n">
        <x:v>0.0136</x:v>
      </x:c>
      <x:c r="AB939" s="38" t="n">
        <x:v>0.00044799999999999994</x:v>
      </x:c>
      <x:c r="AC939" s="38" t="n">
        <x:v>0.12331200000000003</x:v>
      </x:c>
      <x:c r="AD939" s="28" t="n">
        <x:v>0.29716599190283405</x:v>
      </x:c>
    </x:row>
    <x:row r="940">
      <x:c r="A940" s="32" t="n">
        <x:v>45985</x:v>
      </x:c>
      <x:c r="B940" s="32" t="n">
        <x:v>45962</x:v>
      </x:c>
      <x:c r="C940" t="str">
        <x:v>Nov 2025</x:v>
      </x:c>
      <x:c r="D940" t="str">
        <x:v>Actual</x:v>
      </x:c>
      <x:c r="E940" t="str">
        <x:v>DB-104</x:v>
      </x:c>
      <x:c r="F940" t="str">
        <x:v>SunNest Cooling Towel</x:v>
      </x:c>
      <x:c r="G940" t="str">
        <x:v>Consumable repeat</x:v>
      </x:c>
      <x:c r="H940" t="str">
        <x:v>Summer peak</x:v>
      </x:c>
      <x:c r="I940" t="str">
        <x:v>Active</x:v>
      </x:c>
      <x:c r="J940" t="str">
        <x:v>TikTok Shop</x:v>
      </x:c>
      <x:c r="K940" t="str">
        <x:v>Social Commerce</x:v>
      </x:c>
      <x:c r="L940" t="str">
        <x:v>All Geographies</x:v>
      </x:c>
      <x:c r="M940" s="34" t="n">
        <x:v>599</x:v>
      </x:c>
      <x:c r="N940" s="28" t="n">
        <x:v>0.0417312</x:v>
      </x:c>
      <x:c r="O940" s="34" t="n">
        <x:v>25</x:v>
      </x:c>
      <x:c r="P940" s="34" t="n">
        <x:v>1</x:v>
      </x:c>
      <x:c r="Q940" s="34" t="n">
        <x:v>25</x:v>
      </x:c>
      <x:c r="R940" s="33" t="n">
        <x:v>42</x:v>
      </x:c>
      <x:c r="S940" s="38" t="n">
        <x:v>1.05</x:v>
      </x:c>
      <x:c r="T940" s="38" t="n">
        <x:v>0.126</x:v>
      </x:c>
      <x:c r="U940" s="38" t="n">
        <x:v>0.046200000000000005</x:v>
      </x:c>
      <x:c r="V940" s="38" t="n">
        <x:v>0.8778</x:v>
      </x:c>
      <x:c r="W940" s="38" t="n">
        <x:v>0.37625</x:v>
      </x:c>
      <x:c r="X940" s="38" t="n">
        <x:v>0.025456200000000002</x:v>
      </x:c>
      <x:c r="Y940" s="38" t="n">
        <x:v>0.052668</x:v>
      </x:c>
      <x:c r="Z940" s="38" t="n">
        <x:v>0.12749999999999997</x:v>
      </x:c>
      <x:c r="AA940" s="38" t="n">
        <x:v>0.04375</x:v>
      </x:c>
      <x:c r="AB940" s="38" t="n">
        <x:v>0.0007</x:v>
      </x:c>
      <x:c r="AC940" s="38" t="n">
        <x:v>0.25147580000000014</x:v>
      </x:c>
      <x:c r="AD940" s="28" t="n">
        <x:v>0.28648416495784934</x:v>
      </x:c>
    </x:row>
    <x:row r="941">
      <x:c r="A941" s="32" t="n">
        <x:v>45985</x:v>
      </x:c>
      <x:c r="B941" s="32" t="n">
        <x:v>45962</x:v>
      </x:c>
      <x:c r="C941" t="str">
        <x:v>Nov 2025</x:v>
      </x:c>
      <x:c r="D941" t="str">
        <x:v>Actual</x:v>
      </x:c>
      <x:c r="E941" t="str">
        <x:v>DB-105</x:v>
      </x:c>
      <x:c r="F941" t="str">
        <x:v>DreamFuel Refill Pack</x:v>
      </x:c>
      <x:c r="G941" t="str">
        <x:v>Subscription</x:v>
      </x:c>
      <x:c r="H941" t="str">
        <x:v>None</x:v>
      </x:c>
      <x:c r="I941" t="str">
        <x:v>Active</x:v>
      </x:c>
      <x:c r="J941" t="str">
        <x:v>Shopify DTC</x:v>
      </x:c>
      <x:c r="K941" t="str">
        <x:v>Consumer</x:v>
      </x:c>
      <x:c r="L941" t="str">
        <x:v>All Geographies</x:v>
      </x:c>
      <x:c r="M941" s="34" t="n">
        <x:v>4068</x:v>
      </x:c>
      <x:c r="N941" s="28" t="n">
        <x:v>0.03888</x:v>
      </x:c>
      <x:c r="O941" s="34" t="n">
        <x:v>158</x:v>
      </x:c>
      <x:c r="P941" s="34" t="n">
        <x:v>1</x:v>
      </x:c>
      <x:c r="Q941" s="34" t="n">
        <x:v>158</x:v>
      </x:c>
      <x:c r="R941" s="33" t="n">
        <x:v>56</x:v>
      </x:c>
      <x:c r="S941" s="38" t="n">
        <x:v>8.848</x:v>
      </x:c>
      <x:c r="T941" s="38" t="n">
        <x:v>0.70784</x:v>
      </x:c>
      <x:c r="U941" s="38" t="n">
        <x:v>0.16280320000000004</x:v>
      </x:c>
      <x:c r="V941" s="38" t="n">
        <x:v>7.977356800000002</x:v>
      </x:c>
      <x:c r="W941" s="38" t="n">
        <x:v>2.94196</x:v>
      </x:c>
      <x:c r="X941" s="38" t="n">
        <x:v>0.23134334720000005</x:v>
      </x:c>
      <x:c r="Y941" s="38" t="n">
        <x:v>0</x:v>
      </x:c>
      <x:c r="Z941" s="38" t="n">
        <x:v>0.6557000000000001</x:v>
      </x:c>
      <x:c r="AA941" s="38" t="n">
        <x:v>0.2607</x:v>
      </x:c>
      <x:c r="AB941" s="38" t="n">
        <x:v>0.0005688</x:v>
      </x:c>
      <x:c r="AC941" s="38" t="n">
        <x:v>3.8870846528000014</x:v>
      </x:c>
      <x:c r="AD941" s="28" t="n">
        <x:v>0.48726473570794787</x:v>
      </x:c>
    </x:row>
    <x:row r="942">
      <x:c r="A942" s="32" t="n">
        <x:v>45985</x:v>
      </x:c>
      <x:c r="B942" s="32" t="n">
        <x:v>45962</x:v>
      </x:c>
      <x:c r="C942" t="str">
        <x:v>Nov 2025</x:v>
      </x:c>
      <x:c r="D942" t="str">
        <x:v>Actual</x:v>
      </x:c>
      <x:c r="E942" t="str">
        <x:v>DB-105</x:v>
      </x:c>
      <x:c r="F942" t="str">
        <x:v>DreamFuel Refill Pack</x:v>
      </x:c>
      <x:c r="G942" t="str">
        <x:v>Subscription</x:v>
      </x:c>
      <x:c r="H942" t="str">
        <x:v>None</x:v>
      </x:c>
      <x:c r="I942" t="str">
        <x:v>Active</x:v>
      </x:c>
      <x:c r="J942" t="str">
        <x:v>Amazon Marketplace</x:v>
      </x:c>
      <x:c r="K942" t="str">
        <x:v>Marketplace Consumer</x:v>
      </x:c>
      <x:c r="L942" t="str">
        <x:v>All Geographies</x:v>
      </x:c>
      <x:c r="M942" s="34" t="n">
        <x:v>2034</x:v>
      </x:c>
      <x:c r="N942" s="28" t="n">
        <x:v>0.0458784</x:v>
      </x:c>
      <x:c r="O942" s="34" t="n">
        <x:v>93</x:v>
      </x:c>
      <x:c r="P942" s="34" t="n">
        <x:v>1</x:v>
      </x:c>
      <x:c r="Q942" s="34" t="n">
        <x:v>93</x:v>
      </x:c>
      <x:c r="R942" s="33" t="n">
        <x:v>56</x:v>
      </x:c>
      <x:c r="S942" s="38" t="n">
        <x:v>5.208</x:v>
      </x:c>
      <x:c r="T942" s="38" t="n">
        <x:v>0.2604</x:v>
      </x:c>
      <x:c r="U942" s="38" t="n">
        <x:v>0.09895200000000001</x:v>
      </x:c>
      <x:c r="V942" s="38" t="n">
        <x:v>4.848648000000001</x:v>
      </x:c>
      <x:c r="W942" s="38" t="n">
        <x:v>1.73166</x:v>
      </x:c>
      <x:c r="X942" s="38" t="n">
        <x:v>0</x:v>
      </x:c>
      <x:c r="Y942" s="38" t="n">
        <x:v>0.7272972000000001</x:v>
      </x:c>
      <x:c r="Z942" s="38" t="n">
        <x:v>0.48360000000000003</x:v>
      </x:c>
      <x:c r="AA942" s="38" t="n">
        <x:v>0.19995</x:v>
      </x:c>
      <x:c r="AB942" s="38" t="n">
        <x:v>0.00033480000000000006</x:v>
      </x:c>
      <x:c r="AC942" s="38" t="n">
        <x:v>1.7058060000000006</x:v>
      </x:c>
      <x:c r="AD942" s="28" t="n">
        <x:v>0.3518106490716588</x:v>
      </x:c>
    </x:row>
    <x:row r="943">
      <x:c r="A943" s="32" t="n">
        <x:v>45985</x:v>
      </x:c>
      <x:c r="B943" s="32" t="n">
        <x:v>45962</x:v>
      </x:c>
      <x:c r="C943" t="str">
        <x:v>Nov 2025</x:v>
      </x:c>
      <x:c r="D943" t="str">
        <x:v>Actual</x:v>
      </x:c>
      <x:c r="E943" t="str">
        <x:v>DB-105</x:v>
      </x:c>
      <x:c r="F943" t="str">
        <x:v>DreamFuel Refill Pack</x:v>
      </x:c>
      <x:c r="G943" t="str">
        <x:v>Subscription</x:v>
      </x:c>
      <x:c r="H943" t="str">
        <x:v>None</x:v>
      </x:c>
      <x:c r="I943" t="str">
        <x:v>Active</x:v>
      </x:c>
      <x:c r="J943" t="str">
        <x:v>Wholesale</x:v>
      </x:c>
      <x:c r="K943" t="str">
        <x:v>Retailer</x:v>
      </x:c>
      <x:c r="L943" t="str">
        <x:v>All Geographies</x:v>
      </x:c>
      <x:c r="M943" s="34" t="n">
        <x:v>1221</x:v>
      </x:c>
      <x:c r="N943" s="28" t="n">
        <x:v>0.021384000000000004</x:v>
      </x:c>
      <x:c r="O943" s="34" t="n">
        <x:v>26</x:v>
      </x:c>
      <x:c r="P943" s="34" t="n">
        <x:v>1</x:v>
      </x:c>
      <x:c r="Q943" s="34" t="n">
        <x:v>26</x:v>
      </x:c>
      <x:c r="R943" s="33" t="n">
        <x:v>56</x:v>
      </x:c>
      <x:c r="S943" s="38" t="n">
        <x:v>1.456</x:v>
      </x:c>
      <x:c r="T943" s="38" t="n">
        <x:v>0.5095999999999999</x:v>
      </x:c>
      <x:c r="U943" s="38" t="n">
        <x:v>0.018928</x:v>
      </x:c>
      <x:c r="V943" s="38" t="n">
        <x:v>0.9274720000000001</x:v>
      </x:c>
      <x:c r="W943" s="38" t="n">
        <x:v>0.48412</x:v>
      </x:c>
      <x:c r="X943" s="38" t="n">
        <x:v>0</x:v>
      </x:c>
      <x:c r="Y943" s="38" t="n">
        <x:v>0</x:v>
      </x:c>
      <x:c r="Z943" s="38" t="n">
        <x:v>0.0598</x:v>
      </x:c>
      <x:c r="AA943" s="38" t="n">
        <x:v>0.022099999999999998</x:v>
      </x:c>
      <x:c r="AB943" s="38" t="n">
        <x:v>0.0000936</x:v>
      </x:c>
      <x:c r="AC943" s="38" t="n">
        <x:v>0.3613584</x:v>
      </x:c>
      <x:c r="AD943" s="28" t="n">
        <x:v>0.38961650594303654</x:v>
      </x:c>
    </x:row>
    <x:row r="944">
      <x:c r="A944" s="32" t="n">
        <x:v>45985</x:v>
      </x:c>
      <x:c r="B944" s="32" t="n">
        <x:v>45962</x:v>
      </x:c>
      <x:c r="C944" t="str">
        <x:v>Nov 2025</x:v>
      </x:c>
      <x:c r="D944" t="str">
        <x:v>Actual</x:v>
      </x:c>
      <x:c r="E944" t="str">
        <x:v>DB-105</x:v>
      </x:c>
      <x:c r="F944" t="str">
        <x:v>DreamFuel Refill Pack</x:v>
      </x:c>
      <x:c r="G944" t="str">
        <x:v>Subscription</x:v>
      </x:c>
      <x:c r="H944" t="str">
        <x:v>None</x:v>
      </x:c>
      <x:c r="I944" t="str">
        <x:v>Active</x:v>
      </x:c>
      <x:c r="J944" t="str">
        <x:v>TikTok Shop</x:v>
      </x:c>
      <x:c r="K944" t="str">
        <x:v>Social Commerce</x:v>
      </x:c>
      <x:c r="L944" t="str">
        <x:v>All Geographies</x:v>
      </x:c>
      <x:c r="M944" s="34" t="n">
        <x:v>814</x:v>
      </x:c>
      <x:c r="N944" s="28" t="n">
        <x:v>0.0489888</x:v>
      </x:c>
      <x:c r="O944" s="34" t="n">
        <x:v>40</x:v>
      </x:c>
      <x:c r="P944" s="34" t="n">
        <x:v>1</x:v>
      </x:c>
      <x:c r="Q944" s="34" t="n">
        <x:v>40</x:v>
      </x:c>
      <x:c r="R944" s="33" t="n">
        <x:v>56</x:v>
      </x:c>
      <x:c r="S944" s="38" t="n">
        <x:v>2.24</x:v>
      </x:c>
      <x:c r="T944" s="38" t="n">
        <x:v>0.26880000000000004</x:v>
      </x:c>
      <x:c r="U944" s="38" t="n">
        <x:v>0.039424</x:v>
      </x:c>
      <x:c r="V944" s="38" t="n">
        <x:v>1.9317760000000002</x:v>
      </x:c>
      <x:c r="W944" s="38" t="n">
        <x:v>0.7448</x:v>
      </x:c>
      <x:c r="X944" s="38" t="n">
        <x:v>0.05602150400000001</x:v>
      </x:c>
      <x:c r="Y944" s="38" t="n">
        <x:v>0.11590656</x:v>
      </x:c>
      <x:c r="Z944" s="38" t="n">
        <x:v>0.204</x:v>
      </x:c>
      <x:c r="AA944" s="38" t="n">
        <x:v>0.07</x:v>
      </x:c>
      <x:c r="AB944" s="38" t="n">
        <x:v>0.00014399999999999998</x:v>
      </x:c>
      <x:c r="AC944" s="38" t="n">
        <x:v>0.7409039359999999</x:v>
      </x:c>
      <x:c r="AD944" s="28" t="n">
        <x:v>0.38353511794328116</x:v>
      </x:c>
    </x:row>
    <x:row r="945">
      <x:c r="A945" s="32" t="n">
        <x:v>45992</x:v>
      </x:c>
      <x:c r="B945" s="32" t="n">
        <x:v>45992</x:v>
      </x:c>
      <x:c r="C945" t="str">
        <x:v>Dec 2025</x:v>
      </x:c>
      <x:c r="D945" t="str">
        <x:v>Actual</x:v>
      </x:c>
      <x:c r="E945" t="str">
        <x:v>DB-101</x:v>
      </x:c>
      <x:c r="F945" t="str">
        <x:v>AeroSip Bottle</x:v>
      </x:c>
      <x:c r="G945" t="str">
        <x:v>One-time purchase</x:v>
      </x:c>
      <x:c r="H945" t="str">
        <x:v>None</x:v>
      </x:c>
      <x:c r="I945" t="str">
        <x:v>Active</x:v>
      </x:c>
      <x:c r="J945" t="str">
        <x:v>Shopify DTC</x:v>
      </x:c>
      <x:c r="K945" t="str">
        <x:v>Consumer</x:v>
      </x:c>
      <x:c r="L945" t="str">
        <x:v>All Geographies</x:v>
      </x:c>
      <x:c r="M945" s="34" t="n">
        <x:v>5897</x:v>
      </x:c>
      <x:c r="N945" s="28" t="n">
        <x:v>0.034199999999999994</x:v>
      </x:c>
      <x:c r="O945" s="34" t="n">
        <x:v>202</x:v>
      </x:c>
      <x:c r="P945" s="34" t="n">
        <x:v>1</x:v>
      </x:c>
      <x:c r="Q945" s="34" t="n">
        <x:v>202</x:v>
      </x:c>
      <x:c r="R945" s="33" t="n">
        <x:v>29</x:v>
      </x:c>
      <x:c r="S945" s="38" t="n">
        <x:v>5.858</x:v>
      </x:c>
      <x:c r="T945" s="38" t="n">
        <x:v>0.46864</x:v>
      </x:c>
      <x:c r="U945" s="38" t="n">
        <x:v>0.2425212</x:v>
      </x:c>
      <x:c r="V945" s="38" t="n">
        <x:v>5.1468388</x:v>
      </x:c>
      <x:c r="W945" s="38" t="n">
        <x:v>2.1816000000000004</x:v>
      </x:c>
      <x:c r="X945" s="38" t="n">
        <x:v>0.1492583252</x:v>
      </x:c>
      <x:c r="Y945" s="38" t="n">
        <x:v>0</x:v>
      </x:c>
      <x:c r="Z945" s="38" t="n">
        <x:v>0.8383</x:v>
      </x:c>
      <x:c r="AA945" s="38" t="n">
        <x:v>0.33329999999999993</x:v>
      </x:c>
      <x:c r="AB945" s="38" t="n">
        <x:v>0.007272</x:v>
      </x:c>
      <x:c r="AC945" s="38" t="n">
        <x:v>1.6371084748</x:v>
      </x:c>
      <x:c r="AD945" s="28" t="n">
        <x:v>0.3180803865083165</x:v>
      </x:c>
    </x:row>
    <x:row r="946">
      <x:c r="A946" s="32" t="n">
        <x:v>45992</x:v>
      </x:c>
      <x:c r="B946" s="32" t="n">
        <x:v>45992</x:v>
      </x:c>
      <x:c r="C946" t="str">
        <x:v>Dec 2025</x:v>
      </x:c>
      <x:c r="D946" t="str">
        <x:v>Actual</x:v>
      </x:c>
      <x:c r="E946" t="str">
        <x:v>DB-101</x:v>
      </x:c>
      <x:c r="F946" t="str">
        <x:v>AeroSip Bottle</x:v>
      </x:c>
      <x:c r="G946" t="str">
        <x:v>One-time purchase</x:v>
      </x:c>
      <x:c r="H946" t="str">
        <x:v>None</x:v>
      </x:c>
      <x:c r="I946" t="str">
        <x:v>Active</x:v>
      </x:c>
      <x:c r="J946" t="str">
        <x:v>Amazon Marketplace</x:v>
      </x:c>
      <x:c r="K946" t="str">
        <x:v>Marketplace Consumer</x:v>
      </x:c>
      <x:c r="L946" t="str">
        <x:v>All Geographies</x:v>
      </x:c>
      <x:c r="M946" s="34" t="n">
        <x:v>2949</x:v>
      </x:c>
      <x:c r="N946" s="28" t="n">
        <x:v>0.040355999999999996</x:v>
      </x:c>
      <x:c r="O946" s="34" t="n">
        <x:v>119</x:v>
      </x:c>
      <x:c r="P946" s="34" t="n">
        <x:v>1</x:v>
      </x:c>
      <x:c r="Q946" s="34" t="n">
        <x:v>119</x:v>
      </x:c>
      <x:c r="R946" s="33" t="n">
        <x:v>29</x:v>
      </x:c>
      <x:c r="S946" s="38" t="n">
        <x:v>3.451</x:v>
      </x:c>
      <x:c r="T946" s="38" t="n">
        <x:v>0.17255</x:v>
      </x:c>
      <x:c r="U946" s="38" t="n">
        <x:v>0.14753025</x:v>
      </x:c>
      <x:c r="V946" s="38" t="n">
        <x:v>3.13091975</x:v>
      </x:c>
      <x:c r="W946" s="38" t="n">
        <x:v>1.2852000000000001</x:v>
      </x:c>
      <x:c r="X946" s="38" t="n">
        <x:v>0</x:v>
      </x:c>
      <x:c r="Y946" s="38" t="n">
        <x:v>0.46963796249999995</x:v>
      </x:c>
      <x:c r="Z946" s="38" t="n">
        <x:v>0.6188</x:v>
      </x:c>
      <x:c r="AA946" s="38" t="n">
        <x:v>0.25585</x:v>
      </x:c>
      <x:c r="AB946" s="38" t="n">
        <x:v>0.004284</x:v>
      </x:c>
      <x:c r="AC946" s="38" t="n">
        <x:v>0.4971477874999997</x:v>
      </x:c>
      <x:c r="AD946" s="28" t="n">
        <x:v>0.1587864995581569</x:v>
      </x:c>
    </x:row>
    <x:row r="947">
      <x:c r="A947" s="32" t="n">
        <x:v>45992</x:v>
      </x:c>
      <x:c r="B947" s="32" t="n">
        <x:v>45992</x:v>
      </x:c>
      <x:c r="C947" t="str">
        <x:v>Dec 2025</x:v>
      </x:c>
      <x:c r="D947" t="str">
        <x:v>Actual</x:v>
      </x:c>
      <x:c r="E947" t="str">
        <x:v>DB-101</x:v>
      </x:c>
      <x:c r="F947" t="str">
        <x:v>AeroSip Bottle</x:v>
      </x:c>
      <x:c r="G947" t="str">
        <x:v>One-time purchase</x:v>
      </x:c>
      <x:c r="H947" t="str">
        <x:v>None</x:v>
      </x:c>
      <x:c r="I947" t="str">
        <x:v>Active</x:v>
      </x:c>
      <x:c r="J947" t="str">
        <x:v>Wholesale</x:v>
      </x:c>
      <x:c r="K947" t="str">
        <x:v>Retailer</x:v>
      </x:c>
      <x:c r="L947" t="str">
        <x:v>All Geographies</x:v>
      </x:c>
      <x:c r="M947" s="34" t="n">
        <x:v>1769</x:v>
      </x:c>
      <x:c r="N947" s="28" t="n">
        <x:v>0.01881</x:v>
      </x:c>
      <x:c r="O947" s="34" t="n">
        <x:v>33</x:v>
      </x:c>
      <x:c r="P947" s="34" t="n">
        <x:v>1</x:v>
      </x:c>
      <x:c r="Q947" s="34" t="n">
        <x:v>33</x:v>
      </x:c>
      <x:c r="R947" s="33" t="n">
        <x:v>29</x:v>
      </x:c>
      <x:c r="S947" s="38" t="n">
        <x:v>0.957</x:v>
      </x:c>
      <x:c r="T947" s="38" t="n">
        <x:v>0.33494999999999997</x:v>
      </x:c>
      <x:c r="U947" s="38" t="n">
        <x:v>0.02799225</x:v>
      </x:c>
      <x:c r="V947" s="38" t="n">
        <x:v>0.5940577499999999</x:v>
      </x:c>
      <x:c r="W947" s="38" t="n">
        <x:v>0.35640000000000005</x:v>
      </x:c>
      <x:c r="X947" s="38" t="n">
        <x:v>0</x:v>
      </x:c>
      <x:c r="Y947" s="38" t="n">
        <x:v>0</x:v>
      </x:c>
      <x:c r="Z947" s="38" t="n">
        <x:v>0.0759</x:v>
      </x:c>
      <x:c r="AA947" s="38" t="n">
        <x:v>0.028050000000000002</x:v>
      </x:c>
      <x:c r="AB947" s="38" t="n">
        <x:v>0.0011880000000000003</x:v>
      </x:c>
      <x:c r="AC947" s="38" t="n">
        <x:v>0.1325197499999999</x:v>
      </x:c>
      <x:c r="AD947" s="28" t="n">
        <x:v>0.2230755343230518</x:v>
      </x:c>
    </x:row>
    <x:row r="948">
      <x:c r="A948" s="32" t="n">
        <x:v>45992</x:v>
      </x:c>
      <x:c r="B948" s="32" t="n">
        <x:v>45992</x:v>
      </x:c>
      <x:c r="C948" t="str">
        <x:v>Dec 2025</x:v>
      </x:c>
      <x:c r="D948" t="str">
        <x:v>Actual</x:v>
      </x:c>
      <x:c r="E948" t="str">
        <x:v>DB-101</x:v>
      </x:c>
      <x:c r="F948" t="str">
        <x:v>AeroSip Bottle</x:v>
      </x:c>
      <x:c r="G948" t="str">
        <x:v>One-time purchase</x:v>
      </x:c>
      <x:c r="H948" t="str">
        <x:v>None</x:v>
      </x:c>
      <x:c r="I948" t="str">
        <x:v>Active</x:v>
      </x:c>
      <x:c r="J948" t="str">
        <x:v>TikTok Shop</x:v>
      </x:c>
      <x:c r="K948" t="str">
        <x:v>Social Commerce</x:v>
      </x:c>
      <x:c r="L948" t="str">
        <x:v>All Geographies</x:v>
      </x:c>
      <x:c r="M948" s="34" t="n">
        <x:v>1179</x:v>
      </x:c>
      <x:c r="N948" s="28" t="n">
        <x:v>0.043092</x:v>
      </x:c>
      <x:c r="O948" s="34" t="n">
        <x:v>51</x:v>
      </x:c>
      <x:c r="P948" s="34" t="n">
        <x:v>1</x:v>
      </x:c>
      <x:c r="Q948" s="34" t="n">
        <x:v>51</x:v>
      </x:c>
      <x:c r="R948" s="33" t="n">
        <x:v>29</x:v>
      </x:c>
      <x:c r="S948" s="38" t="n">
        <x:v>1.479</x:v>
      </x:c>
      <x:c r="T948" s="38" t="n">
        <x:v>0.17748</x:v>
      </x:c>
      <x:c r="U948" s="38" t="n">
        <x:v>0.0585684</x:v>
      </x:c>
      <x:c r="V948" s="38" t="n">
        <x:v>1.2429516</x:v>
      </x:c>
      <x:c r="W948" s="38" t="n">
        <x:v>0.5508000000000001</x:v>
      </x:c>
      <x:c r="X948" s="38" t="n">
        <x:v>0.036045596400000005</x:v>
      </x:c>
      <x:c r="Y948" s="38" t="n">
        <x:v>0.074577096</x:v>
      </x:c>
      <x:c r="Z948" s="38" t="n">
        <x:v>0.26009999999999994</x:v>
      </x:c>
      <x:c r="AA948" s="38" t="n">
        <x:v>0.08925</x:v>
      </x:c>
      <x:c r="AB948" s="38" t="n">
        <x:v>0.001836</x:v>
      </x:c>
      <x:c r="AC948" s="38" t="n">
        <x:v>0.23034290760000004</x:v>
      </x:c>
      <x:c r="AD948" s="28" t="n">
        <x:v>0.18531928966501995</x:v>
      </x:c>
    </x:row>
    <x:row r="949">
      <x:c r="A949" s="32" t="n">
        <x:v>45992</x:v>
      </x:c>
      <x:c r="B949" s="32" t="n">
        <x:v>45992</x:v>
      </x:c>
      <x:c r="C949" t="str">
        <x:v>Dec 2025</x:v>
      </x:c>
      <x:c r="D949" t="str">
        <x:v>Actual</x:v>
      </x:c>
      <x:c r="E949" t="str">
        <x:v>DB-102</x:v>
      </x:c>
      <x:c r="F949" t="str">
        <x:v>GlowPatch Balm</x:v>
      </x:c>
      <x:c r="G949" t="str">
        <x:v>Consumable repeat</x:v>
      </x:c>
      <x:c r="H949" t="str">
        <x:v>None</x:v>
      </x:c>
      <x:c r="I949" t="str">
        <x:v>Active</x:v>
      </x:c>
      <x:c r="J949" t="str">
        <x:v>Shopify DTC</x:v>
      </x:c>
      <x:c r="K949" t="str">
        <x:v>Consumer</x:v>
      </x:c>
      <x:c r="L949" t="str">
        <x:v>All Geographies</x:v>
      </x:c>
      <x:c r="M949" s="34" t="n">
        <x:v>4763</x:v>
      </x:c>
      <x:c r="N949" s="28" t="n">
        <x:v>0.04248</x:v>
      </x:c>
      <x:c r="O949" s="34" t="n">
        <x:v>202</x:v>
      </x:c>
      <x:c r="P949" s="34" t="n">
        <x:v>1</x:v>
      </x:c>
      <x:c r="Q949" s="34" t="n">
        <x:v>202</x:v>
      </x:c>
      <x:c r="R949" s="33" t="n">
        <x:v>18</x:v>
      </x:c>
      <x:c r="S949" s="38" t="n">
        <x:v>3.636</x:v>
      </x:c>
      <x:c r="T949" s="38" t="n">
        <x:v>0.29088</x:v>
      </x:c>
      <x:c r="U949" s="38" t="n">
        <x:v>0.08362800000000001</x:v>
      </x:c>
      <x:c r="V949" s="38" t="n">
        <x:v>3.261492</x:v>
      </x:c>
      <x:c r="W949" s="38" t="n">
        <x:v>1.09282</x:v>
      </x:c>
      <x:c r="X949" s="38" t="n">
        <x:v>0.09458326800000001</x:v>
      </x:c>
      <x:c r="Y949" s="38" t="n">
        <x:v>0</x:v>
      </x:c>
      <x:c r="Z949" s="38" t="n">
        <x:v>0.8383</x:v>
      </x:c>
      <x:c r="AA949" s="38" t="n">
        <x:v>0.33329999999999993</x:v>
      </x:c>
      <x:c r="AB949" s="38" t="n">
        <x:v>0.0012120000000000002</x:v>
      </x:c>
      <x:c r="AC949" s="38" t="n">
        <x:v>0.9012767319999999</x:v>
      </x:c>
      <x:c r="AD949" s="28" t="n">
        <x:v>0.27633878359965314</x:v>
      </x:c>
    </x:row>
    <x:row r="950">
      <x:c r="A950" s="32" t="n">
        <x:v>45992</x:v>
      </x:c>
      <x:c r="B950" s="32" t="n">
        <x:v>45992</x:v>
      </x:c>
      <x:c r="C950" t="str">
        <x:v>Dec 2025</x:v>
      </x:c>
      <x:c r="D950" t="str">
        <x:v>Actual</x:v>
      </x:c>
      <x:c r="E950" t="str">
        <x:v>DB-102</x:v>
      </x:c>
      <x:c r="F950" t="str">
        <x:v>GlowPatch Balm</x:v>
      </x:c>
      <x:c r="G950" t="str">
        <x:v>Consumable repeat</x:v>
      </x:c>
      <x:c r="H950" t="str">
        <x:v>None</x:v>
      </x:c>
      <x:c r="I950" t="str">
        <x:v>Active</x:v>
      </x:c>
      <x:c r="J950" t="str">
        <x:v>Amazon Marketplace</x:v>
      </x:c>
      <x:c r="K950" t="str">
        <x:v>Marketplace Consumer</x:v>
      </x:c>
      <x:c r="L950" t="str">
        <x:v>All Geographies</x:v>
      </x:c>
      <x:c r="M950" s="34" t="n">
        <x:v>2382</x:v>
      </x:c>
      <x:c r="N950" s="28" t="n">
        <x:v>0.050126399999999995</x:v>
      </x:c>
      <x:c r="O950" s="34" t="n">
        <x:v>119</x:v>
      </x:c>
      <x:c r="P950" s="34" t="n">
        <x:v>1</x:v>
      </x:c>
      <x:c r="Q950" s="34" t="n">
        <x:v>119</x:v>
      </x:c>
      <x:c r="R950" s="33" t="n">
        <x:v>18</x:v>
      </x:c>
      <x:c r="S950" s="38" t="n">
        <x:v>2.142</x:v>
      </x:c>
      <x:c r="T950" s="38" t="n">
        <x:v>0.1071</x:v>
      </x:c>
      <x:c r="U950" s="38" t="n">
        <x:v>0.0508725</x:v>
      </x:c>
      <x:c r="V950" s="38" t="n">
        <x:v>1.9840274999999998</x:v>
      </x:c>
      <x:c r="W950" s="38" t="n">
        <x:v>0.64379</x:v>
      </x:c>
      <x:c r="X950" s="38" t="n">
        <x:v>0</x:v>
      </x:c>
      <x:c r="Y950" s="38" t="n">
        <x:v>0.29760412499999994</x:v>
      </x:c>
      <x:c r="Z950" s="38" t="n">
        <x:v>0.6188</x:v>
      </x:c>
      <x:c r="AA950" s="38" t="n">
        <x:v>0.25585</x:v>
      </x:c>
      <x:c r="AB950" s="38" t="n">
        <x:v>0.0007140000000000001</x:v>
      </x:c>
      <x:c r="AC950" s="38" t="n">
        <x:v>0.16726937499999983</x:v>
      </x:c>
      <x:c r="AD950" s="28" t="n">
        <x:v>0.08430799220272897</x:v>
      </x:c>
    </x:row>
    <x:row r="951">
      <x:c r="A951" s="32" t="n">
        <x:v>45992</x:v>
      </x:c>
      <x:c r="B951" s="32" t="n">
        <x:v>45992</x:v>
      </x:c>
      <x:c r="C951" t="str">
        <x:v>Dec 2025</x:v>
      </x:c>
      <x:c r="D951" t="str">
        <x:v>Actual</x:v>
      </x:c>
      <x:c r="E951" t="str">
        <x:v>DB-102</x:v>
      </x:c>
      <x:c r="F951" t="str">
        <x:v>GlowPatch Balm</x:v>
      </x:c>
      <x:c r="G951" t="str">
        <x:v>Consumable repeat</x:v>
      </x:c>
      <x:c r="H951" t="str">
        <x:v>None</x:v>
      </x:c>
      <x:c r="I951" t="str">
        <x:v>Active</x:v>
      </x:c>
      <x:c r="J951" t="str">
        <x:v>Wholesale</x:v>
      </x:c>
      <x:c r="K951" t="str">
        <x:v>Retailer</x:v>
      </x:c>
      <x:c r="L951" t="str">
        <x:v>All Geographies</x:v>
      </x:c>
      <x:c r="M951" s="34" t="n">
        <x:v>1429</x:v>
      </x:c>
      <x:c r="N951" s="28" t="n">
        <x:v>0.023364</x:v>
      </x:c>
      <x:c r="O951" s="34" t="n">
        <x:v>33</x:v>
      </x:c>
      <x:c r="P951" s="34" t="n">
        <x:v>1</x:v>
      </x:c>
      <x:c r="Q951" s="34" t="n">
        <x:v>33</x:v>
      </x:c>
      <x:c r="R951" s="33" t="n">
        <x:v>18</x:v>
      </x:c>
      <x:c r="S951" s="38" t="n">
        <x:v>0.594</x:v>
      </x:c>
      <x:c r="T951" s="38" t="n">
        <x:v>0.20789999999999997</x:v>
      </x:c>
      <x:c r="U951" s="38" t="n">
        <x:v>0.009652500000000001</x:v>
      </x:c>
      <x:c r="V951" s="38" t="n">
        <x:v>0.3764475</x:v>
      </x:c>
      <x:c r="W951" s="38" t="n">
        <x:v>0.17853</x:v>
      </x:c>
      <x:c r="X951" s="38" t="n">
        <x:v>0</x:v>
      </x:c>
      <x:c r="Y951" s="38" t="n">
        <x:v>0</x:v>
      </x:c>
      <x:c r="Z951" s="38" t="n">
        <x:v>0.0759</x:v>
      </x:c>
      <x:c r="AA951" s="38" t="n">
        <x:v>0.028050000000000002</x:v>
      </x:c>
      <x:c r="AB951" s="38" t="n">
        <x:v>0.00019800000000000002</x:v>
      </x:c>
      <x:c r="AC951" s="38" t="n">
        <x:v>0.09376949999999999</x:v>
      </x:c>
      <x:c r="AD951" s="28" t="n">
        <x:v>0.24909051062897214</x:v>
      </x:c>
    </x:row>
    <x:row r="952">
      <x:c r="A952" s="32" t="n">
        <x:v>45992</x:v>
      </x:c>
      <x:c r="B952" s="32" t="n">
        <x:v>45992</x:v>
      </x:c>
      <x:c r="C952" t="str">
        <x:v>Dec 2025</x:v>
      </x:c>
      <x:c r="D952" t="str">
        <x:v>Actual</x:v>
      </x:c>
      <x:c r="E952" t="str">
        <x:v>DB-102</x:v>
      </x:c>
      <x:c r="F952" t="str">
        <x:v>GlowPatch Balm</x:v>
      </x:c>
      <x:c r="G952" t="str">
        <x:v>Consumable repeat</x:v>
      </x:c>
      <x:c r="H952" t="str">
        <x:v>None</x:v>
      </x:c>
      <x:c r="I952" t="str">
        <x:v>Active</x:v>
      </x:c>
      <x:c r="J952" t="str">
        <x:v>TikTok Shop</x:v>
      </x:c>
      <x:c r="K952" t="str">
        <x:v>Social Commerce</x:v>
      </x:c>
      <x:c r="L952" t="str">
        <x:v>All Geographies</x:v>
      </x:c>
      <x:c r="M952" s="34" t="n">
        <x:v>953</x:v>
      </x:c>
      <x:c r="N952" s="28" t="n">
        <x:v>0.0535248</x:v>
      </x:c>
      <x:c r="O952" s="34" t="n">
        <x:v>51</x:v>
      </x:c>
      <x:c r="P952" s="34" t="n">
        <x:v>1</x:v>
      </x:c>
      <x:c r="Q952" s="34" t="n">
        <x:v>51</x:v>
      </x:c>
      <x:c r="R952" s="33" t="n">
        <x:v>18</x:v>
      </x:c>
      <x:c r="S952" s="38" t="n">
        <x:v>0.918</x:v>
      </x:c>
      <x:c r="T952" s="38" t="n">
        <x:v>0.11016</x:v>
      </x:c>
      <x:c r="U952" s="38" t="n">
        <x:v>0.020196000000000002</x:v>
      </x:c>
      <x:c r="V952" s="38" t="n">
        <x:v>0.787644</x:v>
      </x:c>
      <x:c r="W952" s="38" t="n">
        <x:v>0.27591000000000004</x:v>
      </x:c>
      <x:c r="X952" s="38" t="n">
        <x:v>0.022841676</x:v>
      </x:c>
      <x:c r="Y952" s="38" t="n">
        <x:v>0.04725864</x:v>
      </x:c>
      <x:c r="Z952" s="38" t="n">
        <x:v>0.26009999999999994</x:v>
      </x:c>
      <x:c r="AA952" s="38" t="n">
        <x:v>0.08925</x:v>
      </x:c>
      <x:c r="AB952" s="38" t="n">
        <x:v>0.00030600000000000007</x:v>
      </x:c>
      <x:c r="AC952" s="38" t="n">
        <x:v>0.09197768399999998</x:v>
      </x:c>
      <x:c r="AD952" s="28" t="n">
        <x:v>0.11677570577570574</x:v>
      </x:c>
    </x:row>
    <x:row r="953">
      <x:c r="A953" s="32" t="n">
        <x:v>45992</x:v>
      </x:c>
      <x:c r="B953" s="32" t="n">
        <x:v>45992</x:v>
      </x:c>
      <x:c r="C953" t="str">
        <x:v>Dec 2025</x:v>
      </x:c>
      <x:c r="D953" t="str">
        <x:v>Actual</x:v>
      </x:c>
      <x:c r="E953" t="str">
        <x:v>DB-103</x:v>
      </x:c>
      <x:c r="F953" t="str">
        <x:v>EmberTrail Camp Mug</x:v>
      </x:c>
      <x:c r="G953" t="str">
        <x:v>One-time purchase</x:v>
      </x:c>
      <x:c r="H953" t="str">
        <x:v>Winter peak</x:v>
      </x:c>
      <x:c r="I953" t="str">
        <x:v>Active</x:v>
      </x:c>
      <x:c r="J953" t="str">
        <x:v>Shopify DTC</x:v>
      </x:c>
      <x:c r="K953" t="str">
        <x:v>Consumer</x:v>
      </x:c>
      <x:c r="L953" t="str">
        <x:v>All Geographies</x:v>
      </x:c>
      <x:c r="M953" s="34" t="n">
        <x:v>6328</x:v>
      </x:c>
      <x:c r="N953" s="28" t="n">
        <x:v>0.0324</x:v>
      </x:c>
      <x:c r="O953" s="34" t="n">
        <x:v>205</x:v>
      </x:c>
      <x:c r="P953" s="34" t="n">
        <x:v>1</x:v>
      </x:c>
      <x:c r="Q953" s="34" t="n">
        <x:v>205</x:v>
      </x:c>
      <x:c r="R953" s="33" t="n">
        <x:v>34</x:v>
      </x:c>
      <x:c r="S953" s="38" t="n">
        <x:v>6.97</x:v>
      </x:c>
      <x:c r="T953" s="38" t="n">
        <x:v>0.5576</x:v>
      </x:c>
      <x:c r="U953" s="38" t="n">
        <x:v>0.352682</x:v>
      </x:c>
      <x:c r="V953" s="38" t="n">
        <x:v>6.059718</x:v>
      </x:c>
      <x:c r="W953" s="38" t="n">
        <x:v>2.80235</x:v>
      </x:c>
      <x:c r="X953" s="38" t="n">
        <x:v>0.175731822</x:v>
      </x:c>
      <x:c r="Y953" s="38" t="n">
        <x:v>0</x:v>
      </x:c>
      <x:c r="Z953" s="38" t="n">
        <x:v>0.8507500000000001</x:v>
      </x:c>
      <x:c r="AA953" s="38" t="n">
        <x:v>0.33825</x:v>
      </x:c>
      <x:c r="AB953" s="38" t="n">
        <x:v>0.01148</x:v>
      </x:c>
      <x:c r="AC953" s="38" t="n">
        <x:v>1.8811561780000001</x:v>
      </x:c>
      <x:c r="AD953" s="28" t="n">
        <x:v>0.3104362575948254</x:v>
      </x:c>
    </x:row>
    <x:row r="954">
      <x:c r="A954" s="32" t="n">
        <x:v>45992</x:v>
      </x:c>
      <x:c r="B954" s="32" t="n">
        <x:v>45992</x:v>
      </x:c>
      <x:c r="C954" t="str">
        <x:v>Dec 2025</x:v>
      </x:c>
      <x:c r="D954" t="str">
        <x:v>Actual</x:v>
      </x:c>
      <x:c r="E954" t="str">
        <x:v>DB-103</x:v>
      </x:c>
      <x:c r="F954" t="str">
        <x:v>EmberTrail Camp Mug</x:v>
      </x:c>
      <x:c r="G954" t="str">
        <x:v>One-time purchase</x:v>
      </x:c>
      <x:c r="H954" t="str">
        <x:v>Winter peak</x:v>
      </x:c>
      <x:c r="I954" t="str">
        <x:v>Active</x:v>
      </x:c>
      <x:c r="J954" t="str">
        <x:v>Amazon Marketplace</x:v>
      </x:c>
      <x:c r="K954" t="str">
        <x:v>Marketplace Consumer</x:v>
      </x:c>
      <x:c r="L954" t="str">
        <x:v>All Geographies</x:v>
      </x:c>
      <x:c r="M954" s="34" t="n">
        <x:v>3164</x:v>
      </x:c>
      <x:c r="N954" s="28" t="n">
        <x:v>0.038231999999999995</x:v>
      </x:c>
      <x:c r="O954" s="34" t="n">
        <x:v>121</x:v>
      </x:c>
      <x:c r="P954" s="34" t="n">
        <x:v>1</x:v>
      </x:c>
      <x:c r="Q954" s="34" t="n">
        <x:v>121</x:v>
      </x:c>
      <x:c r="R954" s="33" t="n">
        <x:v>34</x:v>
      </x:c>
      <x:c r="S954" s="38" t="n">
        <x:v>4.114</x:v>
      </x:c>
      <x:c r="T954" s="38" t="n">
        <x:v>0.2057</x:v>
      </x:c>
      <x:c r="U954" s="38" t="n">
        <x:v>0.2149565</x:v>
      </x:c>
      <x:c r="V954" s="38" t="n">
        <x:v>3.6933434999999997</x:v>
      </x:c>
      <x:c r="W954" s="38" t="n">
        <x:v>1.65407</x:v>
      </x:c>
      <x:c r="X954" s="38" t="n">
        <x:v>0</x:v>
      </x:c>
      <x:c r="Y954" s="38" t="n">
        <x:v>0.5540015249999999</x:v>
      </x:c>
      <x:c r="Z954" s="38" t="n">
        <x:v>0.6292000000000001</x:v>
      </x:c>
      <x:c r="AA954" s="38" t="n">
        <x:v>0.26015</x:v>
      </x:c>
      <x:c r="AB954" s="38" t="n">
        <x:v>0.006776</x:v>
      </x:c>
      <x:c r="AC954" s="38" t="n">
        <x:v>0.5891459749999998</x:v>
      </x:c>
      <x:c r="AD954" s="28" t="n">
        <x:v>0.15951561911314227</x:v>
      </x:c>
    </x:row>
    <x:row r="955">
      <x:c r="A955" s="32" t="n">
        <x:v>45992</x:v>
      </x:c>
      <x:c r="B955" s="32" t="n">
        <x:v>45992</x:v>
      </x:c>
      <x:c r="C955" t="str">
        <x:v>Dec 2025</x:v>
      </x:c>
      <x:c r="D955" t="str">
        <x:v>Actual</x:v>
      </x:c>
      <x:c r="E955" t="str">
        <x:v>DB-103</x:v>
      </x:c>
      <x:c r="F955" t="str">
        <x:v>EmberTrail Camp Mug</x:v>
      </x:c>
      <x:c r="G955" t="str">
        <x:v>One-time purchase</x:v>
      </x:c>
      <x:c r="H955" t="str">
        <x:v>Winter peak</x:v>
      </x:c>
      <x:c r="I955" t="str">
        <x:v>Active</x:v>
      </x:c>
      <x:c r="J955" t="str">
        <x:v>Wholesale</x:v>
      </x:c>
      <x:c r="K955" t="str">
        <x:v>Retailer</x:v>
      </x:c>
      <x:c r="L955" t="str">
        <x:v>All Geographies</x:v>
      </x:c>
      <x:c r="M955" s="34" t="n">
        <x:v>1898</x:v>
      </x:c>
      <x:c r="N955" s="28" t="n">
        <x:v>0.017820000000000003</x:v>
      </x:c>
      <x:c r="O955" s="34" t="n">
        <x:v>34</x:v>
      </x:c>
      <x:c r="P955" s="34" t="n">
        <x:v>1</x:v>
      </x:c>
      <x:c r="Q955" s="34" t="n">
        <x:v>34</x:v>
      </x:c>
      <x:c r="R955" s="33" t="n">
        <x:v>34</x:v>
      </x:c>
      <x:c r="S955" s="38" t="n">
        <x:v>1.156</x:v>
      </x:c>
      <x:c r="T955" s="38" t="n">
        <x:v>0.40459999999999996</x:v>
      </x:c>
      <x:c r="U955" s="38" t="n">
        <x:v>0.041326999999999996</x:v>
      </x:c>
      <x:c r="V955" s="38" t="n">
        <x:v>0.710073</x:v>
      </x:c>
      <x:c r="W955" s="38" t="n">
        <x:v>0.46477999999999997</x:v>
      </x:c>
      <x:c r="X955" s="38" t="n">
        <x:v>0</x:v>
      </x:c>
      <x:c r="Y955" s="38" t="n">
        <x:v>0</x:v>
      </x:c>
      <x:c r="Z955" s="38" t="n">
        <x:v>0.07819999999999999</x:v>
      </x:c>
      <x:c r="AA955" s="38" t="n">
        <x:v>0.0289</x:v>
      </x:c>
      <x:c r="AB955" s="38" t="n">
        <x:v>0.001904</x:v>
      </x:c>
      <x:c r="AC955" s="38" t="n">
        <x:v>0.136289</x:v>
      </x:c>
      <x:c r="AD955" s="28" t="n">
        <x:v>0.19193660370130958</x:v>
      </x:c>
    </x:row>
    <x:row r="956">
      <x:c r="A956" s="32" t="n">
        <x:v>45992</x:v>
      </x:c>
      <x:c r="B956" s="32" t="n">
        <x:v>45992</x:v>
      </x:c>
      <x:c r="C956" t="str">
        <x:v>Dec 2025</x:v>
      </x:c>
      <x:c r="D956" t="str">
        <x:v>Actual</x:v>
      </x:c>
      <x:c r="E956" t="str">
        <x:v>DB-103</x:v>
      </x:c>
      <x:c r="F956" t="str">
        <x:v>EmberTrail Camp Mug</x:v>
      </x:c>
      <x:c r="G956" t="str">
        <x:v>One-time purchase</x:v>
      </x:c>
      <x:c r="H956" t="str">
        <x:v>Winter peak</x:v>
      </x:c>
      <x:c r="I956" t="str">
        <x:v>Active</x:v>
      </x:c>
      <x:c r="J956" t="str">
        <x:v>TikTok Shop</x:v>
      </x:c>
      <x:c r="K956" t="str">
        <x:v>Social Commerce</x:v>
      </x:c>
      <x:c r="L956" t="str">
        <x:v>All Geographies</x:v>
      </x:c>
      <x:c r="M956" s="34" t="n">
        <x:v>1266</x:v>
      </x:c>
      <x:c r="N956" s="28" t="n">
        <x:v>0.040824</x:v>
      </x:c>
      <x:c r="O956" s="34" t="n">
        <x:v>52</x:v>
      </x:c>
      <x:c r="P956" s="34" t="n">
        <x:v>1</x:v>
      </x:c>
      <x:c r="Q956" s="34" t="n">
        <x:v>52</x:v>
      </x:c>
      <x:c r="R956" s="33" t="n">
        <x:v>34</x:v>
      </x:c>
      <x:c r="S956" s="38" t="n">
        <x:v>1.768</x:v>
      </x:c>
      <x:c r="T956" s="38" t="n">
        <x:v>0.21216</x:v>
      </x:c>
      <x:c r="U956" s="38" t="n">
        <x:v>0.0855712</x:v>
      </x:c>
      <x:c r="V956" s="38" t="n">
        <x:v>1.4702688000000002</x:v>
      </x:c>
      <x:c r="W956" s="38" t="n">
        <x:v>0.71084</x:v>
      </x:c>
      <x:c r="X956" s="38" t="n">
        <x:v>0.04263779520000001</x:v>
      </x:c>
      <x:c r="Y956" s="38" t="n">
        <x:v>0.088216128</x:v>
      </x:c>
      <x:c r="Z956" s="38" t="n">
        <x:v>0.2652</x:v>
      </x:c>
      <x:c r="AA956" s="38" t="n">
        <x:v>0.091</x:v>
      </x:c>
      <x:c r="AB956" s="38" t="n">
        <x:v>0.0029120000000000005</x:v>
      </x:c>
      <x:c r="AC956" s="38" t="n">
        <x:v>0.26946287680000014</x:v>
      </x:c>
      <x:c r="AD956" s="28" t="n">
        <x:v>0.18327456639221354</x:v>
      </x:c>
    </x:row>
    <x:row r="957">
      <x:c r="A957" s="32" t="n">
        <x:v>45992</x:v>
      </x:c>
      <x:c r="B957" s="32" t="n">
        <x:v>45992</x:v>
      </x:c>
      <x:c r="C957" t="str">
        <x:v>Dec 2025</x:v>
      </x:c>
      <x:c r="D957" t="str">
        <x:v>Actual</x:v>
      </x:c>
      <x:c r="E957" t="str">
        <x:v>DB-104</x:v>
      </x:c>
      <x:c r="F957" t="str">
        <x:v>SunNest Cooling Towel</x:v>
      </x:c>
      <x:c r="G957" t="str">
        <x:v>Consumable repeat</x:v>
      </x:c>
      <x:c r="H957" t="str">
        <x:v>Summer peak</x:v>
      </x:c>
      <x:c r="I957" t="str">
        <x:v>Active</x:v>
      </x:c>
      <x:c r="J957" t="str">
        <x:v>Shopify DTC</x:v>
      </x:c>
      <x:c r="K957" t="str">
        <x:v>Consumer</x:v>
      </x:c>
      <x:c r="L957" t="str">
        <x:v>All Geographies</x:v>
      </x:c>
      <x:c r="M957" s="34" t="n">
        <x:v>2776</x:v>
      </x:c>
      <x:c r="N957" s="28" t="n">
        <x:v>0.03312</x:v>
      </x:c>
      <x:c r="O957" s="34" t="n">
        <x:v>92</x:v>
      </x:c>
      <x:c r="P957" s="34" t="n">
        <x:v>1</x:v>
      </x:c>
      <x:c r="Q957" s="34" t="n">
        <x:v>92</x:v>
      </x:c>
      <x:c r="R957" s="33" t="n">
        <x:v>42</x:v>
      </x:c>
      <x:c r="S957" s="38" t="n">
        <x:v>3.864</x:v>
      </x:c>
      <x:c r="T957" s="38" t="n">
        <x:v>0.30912</x:v>
      </x:c>
      <x:c r="U957" s="38" t="n">
        <x:v>0.177744</x:v>
      </x:c>
      <x:c r="V957" s="38" t="n">
        <x:v>3.3771359999999997</x:v>
      </x:c>
      <x:c r="W957" s="38" t="n">
        <x:v>1.3846</x:v>
      </x:c>
      <x:c r="X957" s="38" t="n">
        <x:v>0.097936944</x:v>
      </x:c>
      <x:c r="Y957" s="38" t="n">
        <x:v>0</x:v>
      </x:c>
      <x:c r="Z957" s="38" t="n">
        <x:v>0.38180000000000003</x:v>
      </x:c>
      <x:c r="AA957" s="38" t="n">
        <x:v>0.1518</x:v>
      </x:c>
      <x:c r="AB957" s="38" t="n">
        <x:v>0.002576</x:v>
      </x:c>
      <x:c r="AC957" s="38" t="n">
        <x:v>1.3584230559999997</x:v>
      </x:c>
      <x:c r="AD957" s="28" t="n">
        <x:v>0.4022411463441211</x:v>
      </x:c>
    </x:row>
    <x:row r="958">
      <x:c r="A958" s="32" t="n">
        <x:v>45992</x:v>
      </x:c>
      <x:c r="B958" s="32" t="n">
        <x:v>45992</x:v>
      </x:c>
      <x:c r="C958" t="str">
        <x:v>Dec 2025</x:v>
      </x:c>
      <x:c r="D958" t="str">
        <x:v>Actual</x:v>
      </x:c>
      <x:c r="E958" t="str">
        <x:v>DB-104</x:v>
      </x:c>
      <x:c r="F958" t="str">
        <x:v>SunNest Cooling Towel</x:v>
      </x:c>
      <x:c r="G958" t="str">
        <x:v>Consumable repeat</x:v>
      </x:c>
      <x:c r="H958" t="str">
        <x:v>Summer peak</x:v>
      </x:c>
      <x:c r="I958" t="str">
        <x:v>Active</x:v>
      </x:c>
      <x:c r="J958" t="str">
        <x:v>Amazon Marketplace</x:v>
      </x:c>
      <x:c r="K958" t="str">
        <x:v>Marketplace Consumer</x:v>
      </x:c>
      <x:c r="L958" t="str">
        <x:v>All Geographies</x:v>
      </x:c>
      <x:c r="M958" s="34" t="n">
        <x:v>1388</x:v>
      </x:c>
      <x:c r="N958" s="28" t="n">
        <x:v>0.0390816</x:v>
      </x:c>
      <x:c r="O958" s="34" t="n">
        <x:v>54</x:v>
      </x:c>
      <x:c r="P958" s="34" t="n">
        <x:v>1</x:v>
      </x:c>
      <x:c r="Q958" s="34" t="n">
        <x:v>54</x:v>
      </x:c>
      <x:c r="R958" s="33" t="n">
        <x:v>42</x:v>
      </x:c>
      <x:c r="S958" s="38" t="n">
        <x:v>2.268</x:v>
      </x:c>
      <x:c r="T958" s="38" t="n">
        <x:v>0.1134</x:v>
      </x:c>
      <x:c r="U958" s="38" t="n">
        <x:v>0.10772999999999999</x:v>
      </x:c>
      <x:c r="V958" s="38" t="n">
        <x:v>2.0468699999999997</x:v>
      </x:c>
      <x:c r="W958" s="38" t="n">
        <x:v>0.8127000000000001</x:v>
      </x:c>
      <x:c r="X958" s="38" t="n">
        <x:v>0</x:v>
      </x:c>
      <x:c r="Y958" s="38" t="n">
        <x:v>0.30703049999999993</x:v>
      </x:c>
      <x:c r="Z958" s="38" t="n">
        <x:v>0.2808</x:v>
      </x:c>
      <x:c r="AA958" s="38" t="n">
        <x:v>0.1161</x:v>
      </x:c>
      <x:c r="AB958" s="38" t="n">
        <x:v>0.001512</x:v>
      </x:c>
      <x:c r="AC958" s="38" t="n">
        <x:v>0.5287274999999999</x:v>
      </x:c>
      <x:c r="AD958" s="28" t="n">
        <x:v>0.2583102493074792</x:v>
      </x:c>
    </x:row>
    <x:row r="959">
      <x:c r="A959" s="32" t="n">
        <x:v>45992</x:v>
      </x:c>
      <x:c r="B959" s="32" t="n">
        <x:v>45992</x:v>
      </x:c>
      <x:c r="C959" t="str">
        <x:v>Dec 2025</x:v>
      </x:c>
      <x:c r="D959" t="str">
        <x:v>Actual</x:v>
      </x:c>
      <x:c r="E959" t="str">
        <x:v>DB-104</x:v>
      </x:c>
      <x:c r="F959" t="str">
        <x:v>SunNest Cooling Towel</x:v>
      </x:c>
      <x:c r="G959" t="str">
        <x:v>Consumable repeat</x:v>
      </x:c>
      <x:c r="H959" t="str">
        <x:v>Summer peak</x:v>
      </x:c>
      <x:c r="I959" t="str">
        <x:v>Active</x:v>
      </x:c>
      <x:c r="J959" t="str">
        <x:v>Wholesale</x:v>
      </x:c>
      <x:c r="K959" t="str">
        <x:v>Retailer</x:v>
      </x:c>
      <x:c r="L959" t="str">
        <x:v>All Geographies</x:v>
      </x:c>
      <x:c r="M959" s="34" t="n">
        <x:v>833</x:v>
      </x:c>
      <x:c r="N959" s="28" t="n">
        <x:v>0.018216000000000003</x:v>
      </x:c>
      <x:c r="O959" s="34" t="n">
        <x:v>15</x:v>
      </x:c>
      <x:c r="P959" s="34" t="n">
        <x:v>1</x:v>
      </x:c>
      <x:c r="Q959" s="34" t="n">
        <x:v>15</x:v>
      </x:c>
      <x:c r="R959" s="33" t="n">
        <x:v>42</x:v>
      </x:c>
      <x:c r="S959" s="38" t="n">
        <x:v>0.63</x:v>
      </x:c>
      <x:c r="T959" s="38" t="n">
        <x:v>0.22049999999999997</x:v>
      </x:c>
      <x:c r="U959" s="38" t="n">
        <x:v>0.020475000000000004</x:v>
      </x:c>
      <x:c r="V959" s="38" t="n">
        <x:v>0.389025</x:v>
      </x:c>
      <x:c r="W959" s="38" t="n">
        <x:v>0.22575</x:v>
      </x:c>
      <x:c r="X959" s="38" t="n">
        <x:v>0</x:v>
      </x:c>
      <x:c r="Y959" s="38" t="n">
        <x:v>0</x:v>
      </x:c>
      <x:c r="Z959" s="38" t="n">
        <x:v>0.0345</x:v>
      </x:c>
      <x:c r="AA959" s="38" t="n">
        <x:v>0.01275</x:v>
      </x:c>
      <x:c r="AB959" s="38" t="n">
        <x:v>0.00041999999999999996</x:v>
      </x:c>
      <x:c r="AC959" s="38" t="n">
        <x:v>0.115605</x:v>
      </x:c>
      <x:c r="AD959" s="28" t="n">
        <x:v>0.297165991902834</x:v>
      </x:c>
    </x:row>
    <x:row r="960">
      <x:c r="A960" s="32" t="n">
        <x:v>45992</x:v>
      </x:c>
      <x:c r="B960" s="32" t="n">
        <x:v>45992</x:v>
      </x:c>
      <x:c r="C960" t="str">
        <x:v>Dec 2025</x:v>
      </x:c>
      <x:c r="D960" t="str">
        <x:v>Actual</x:v>
      </x:c>
      <x:c r="E960" t="str">
        <x:v>DB-104</x:v>
      </x:c>
      <x:c r="F960" t="str">
        <x:v>SunNest Cooling Towel</x:v>
      </x:c>
      <x:c r="G960" t="str">
        <x:v>Consumable repeat</x:v>
      </x:c>
      <x:c r="H960" t="str">
        <x:v>Summer peak</x:v>
      </x:c>
      <x:c r="I960" t="str">
        <x:v>Active</x:v>
      </x:c>
      <x:c r="J960" t="str">
        <x:v>TikTok Shop</x:v>
      </x:c>
      <x:c r="K960" t="str">
        <x:v>Social Commerce</x:v>
      </x:c>
      <x:c r="L960" t="str">
        <x:v>All Geographies</x:v>
      </x:c>
      <x:c r="M960" s="34" t="n">
        <x:v>555</x:v>
      </x:c>
      <x:c r="N960" s="28" t="n">
        <x:v>0.0417312</x:v>
      </x:c>
      <x:c r="O960" s="34" t="n">
        <x:v>23</x:v>
      </x:c>
      <x:c r="P960" s="34" t="n">
        <x:v>1</x:v>
      </x:c>
      <x:c r="Q960" s="34" t="n">
        <x:v>23</x:v>
      </x:c>
      <x:c r="R960" s="33" t="n">
        <x:v>42</x:v>
      </x:c>
      <x:c r="S960" s="38" t="n">
        <x:v>0.966</x:v>
      </x:c>
      <x:c r="T960" s="38" t="n">
        <x:v>0.11592</x:v>
      </x:c>
      <x:c r="U960" s="38" t="n">
        <x:v>0.042504</x:v>
      </x:c>
      <x:c r="V960" s="38" t="n">
        <x:v>0.807576</x:v>
      </x:c>
      <x:c r="W960" s="38" t="n">
        <x:v>0.34615</x:v>
      </x:c>
      <x:c r="X960" s="38" t="n">
        <x:v>0.023419704</x:v>
      </x:c>
      <x:c r="Y960" s="38" t="n">
        <x:v>0.048454559999999994</x:v>
      </x:c>
      <x:c r="Z960" s="38" t="n">
        <x:v>0.1173</x:v>
      </x:c>
      <x:c r="AA960" s="38" t="n">
        <x:v>0.04025</x:v>
      </x:c>
      <x:c r="AB960" s="38" t="n">
        <x:v>0.000644</x:v>
      </x:c>
      <x:c r="AC960" s="38" t="n">
        <x:v>0.23135773599999995</x:v>
      </x:c>
      <x:c r="AD960" s="28" t="n">
        <x:v>0.2864841649578491</x:v>
      </x:c>
    </x:row>
    <x:row r="961">
      <x:c r="A961" s="32" t="n">
        <x:v>45992</x:v>
      </x:c>
      <x:c r="B961" s="32" t="n">
        <x:v>45992</x:v>
      </x:c>
      <x:c r="C961" t="str">
        <x:v>Dec 2025</x:v>
      </x:c>
      <x:c r="D961" t="str">
        <x:v>Actual</x:v>
      </x:c>
      <x:c r="E961" t="str">
        <x:v>DB-105</x:v>
      </x:c>
      <x:c r="F961" t="str">
        <x:v>DreamFuel Refill Pack</x:v>
      </x:c>
      <x:c r="G961" t="str">
        <x:v>Subscription</x:v>
      </x:c>
      <x:c r="H961" t="str">
        <x:v>None</x:v>
      </x:c>
      <x:c r="I961" t="str">
        <x:v>Active</x:v>
      </x:c>
      <x:c r="J961" t="str">
        <x:v>Shopify DTC</x:v>
      </x:c>
      <x:c r="K961" t="str">
        <x:v>Consumer</x:v>
      </x:c>
      <x:c r="L961" t="str">
        <x:v>All Geographies</x:v>
      </x:c>
      <x:c r="M961" s="34" t="n">
        <x:v>4083</x:v>
      </x:c>
      <x:c r="N961" s="28" t="n">
        <x:v>0.03888</x:v>
      </x:c>
      <x:c r="O961" s="34" t="n">
        <x:v>159</x:v>
      </x:c>
      <x:c r="P961" s="34" t="n">
        <x:v>1</x:v>
      </x:c>
      <x:c r="Q961" s="34" t="n">
        <x:v>159</x:v>
      </x:c>
      <x:c r="R961" s="33" t="n">
        <x:v>56</x:v>
      </x:c>
      <x:c r="S961" s="38" t="n">
        <x:v>8.904</x:v>
      </x:c>
      <x:c r="T961" s="38" t="n">
        <x:v>0.71232</x:v>
      </x:c>
      <x:c r="U961" s="38" t="n">
        <x:v>0.1638336</x:v>
      </x:c>
      <x:c r="V961" s="38" t="n">
        <x:v>8.0278464</x:v>
      </x:c>
      <x:c r="W961" s="38" t="n">
        <x:v>2.96058</x:v>
      </x:c>
      <x:c r="X961" s="38" t="n">
        <x:v>0.2328075456</x:v>
      </x:c>
      <x:c r="Y961" s="38" t="n">
        <x:v>0</x:v>
      </x:c>
      <x:c r="Z961" s="38" t="n">
        <x:v>0.65985</x:v>
      </x:c>
      <x:c r="AA961" s="38" t="n">
        <x:v>0.26234999999999997</x:v>
      </x:c>
      <x:c r="AB961" s="38" t="n">
        <x:v>0.0005724</x:v>
      </x:c>
      <x:c r="AC961" s="38" t="n">
        <x:v>3.911686454399999</x:v>
      </x:c>
      <x:c r="AD961" s="28" t="n">
        <x:v>0.48726473570794765</x:v>
      </x:c>
    </x:row>
    <x:row r="962">
      <x:c r="A962" s="32" t="n">
        <x:v>45992</x:v>
      </x:c>
      <x:c r="B962" s="32" t="n">
        <x:v>45992</x:v>
      </x:c>
      <x:c r="C962" t="str">
        <x:v>Dec 2025</x:v>
      </x:c>
      <x:c r="D962" t="str">
        <x:v>Actual</x:v>
      </x:c>
      <x:c r="E962" t="str">
        <x:v>DB-105</x:v>
      </x:c>
      <x:c r="F962" t="str">
        <x:v>DreamFuel Refill Pack</x:v>
      </x:c>
      <x:c r="G962" t="str">
        <x:v>Subscription</x:v>
      </x:c>
      <x:c r="H962" t="str">
        <x:v>None</x:v>
      </x:c>
      <x:c r="I962" t="str">
        <x:v>Active</x:v>
      </x:c>
      <x:c r="J962" t="str">
        <x:v>Amazon Marketplace</x:v>
      </x:c>
      <x:c r="K962" t="str">
        <x:v>Marketplace Consumer</x:v>
      </x:c>
      <x:c r="L962" t="str">
        <x:v>All Geographies</x:v>
      </x:c>
      <x:c r="M962" s="34" t="n">
        <x:v>2041</x:v>
      </x:c>
      <x:c r="N962" s="28" t="n">
        <x:v>0.0458784</x:v>
      </x:c>
      <x:c r="O962" s="34" t="n">
        <x:v>94</x:v>
      </x:c>
      <x:c r="P962" s="34" t="n">
        <x:v>1</x:v>
      </x:c>
      <x:c r="Q962" s="34" t="n">
        <x:v>94</x:v>
      </x:c>
      <x:c r="R962" s="33" t="n">
        <x:v>56</x:v>
      </x:c>
      <x:c r="S962" s="38" t="n">
        <x:v>5.264</x:v>
      </x:c>
      <x:c r="T962" s="38" t="n">
        <x:v>0.26320000000000005</x:v>
      </x:c>
      <x:c r="U962" s="38" t="n">
        <x:v>0.100016</x:v>
      </x:c>
      <x:c r="V962" s="38" t="n">
        <x:v>4.900784</x:v>
      </x:c>
      <x:c r="W962" s="38" t="n">
        <x:v>1.7502800000000003</x:v>
      </x:c>
      <x:c r="X962" s="38" t="n">
        <x:v>0</x:v>
      </x:c>
      <x:c r="Y962" s="38" t="n">
        <x:v>0.7351175999999999</x:v>
      </x:c>
      <x:c r="Z962" s="38" t="n">
        <x:v>0.4888</x:v>
      </x:c>
      <x:c r="AA962" s="38" t="n">
        <x:v>0.2021</x:v>
      </x:c>
      <x:c r="AB962" s="38" t="n">
        <x:v>0.00033840000000000004</x:v>
      </x:c>
      <x:c r="AC962" s="38" t="n">
        <x:v>1.7241480000000002</x:v>
      </x:c>
      <x:c r="AD962" s="28" t="n">
        <x:v>0.3518106490716588</x:v>
      </x:c>
    </x:row>
    <x:row r="963">
      <x:c r="A963" s="32" t="n">
        <x:v>45992</x:v>
      </x:c>
      <x:c r="B963" s="32" t="n">
        <x:v>45992</x:v>
      </x:c>
      <x:c r="C963" t="str">
        <x:v>Dec 2025</x:v>
      </x:c>
      <x:c r="D963" t="str">
        <x:v>Actual</x:v>
      </x:c>
      <x:c r="E963" t="str">
        <x:v>DB-105</x:v>
      </x:c>
      <x:c r="F963" t="str">
        <x:v>DreamFuel Refill Pack</x:v>
      </x:c>
      <x:c r="G963" t="str">
        <x:v>Subscription</x:v>
      </x:c>
      <x:c r="H963" t="str">
        <x:v>None</x:v>
      </x:c>
      <x:c r="I963" t="str">
        <x:v>Active</x:v>
      </x:c>
      <x:c r="J963" t="str">
        <x:v>Wholesale</x:v>
      </x:c>
      <x:c r="K963" t="str">
        <x:v>Retailer</x:v>
      </x:c>
      <x:c r="L963" t="str">
        <x:v>All Geographies</x:v>
      </x:c>
      <x:c r="M963" s="34" t="n">
        <x:v>1225</x:v>
      </x:c>
      <x:c r="N963" s="28" t="n">
        <x:v>0.021384000000000004</x:v>
      </x:c>
      <x:c r="O963" s="34" t="n">
        <x:v>26</x:v>
      </x:c>
      <x:c r="P963" s="34" t="n">
        <x:v>1</x:v>
      </x:c>
      <x:c r="Q963" s="34" t="n">
        <x:v>26</x:v>
      </x:c>
      <x:c r="R963" s="33" t="n">
        <x:v>56</x:v>
      </x:c>
      <x:c r="S963" s="38" t="n">
        <x:v>1.456</x:v>
      </x:c>
      <x:c r="T963" s="38" t="n">
        <x:v>0.5095999999999999</x:v>
      </x:c>
      <x:c r="U963" s="38" t="n">
        <x:v>0.018928</x:v>
      </x:c>
      <x:c r="V963" s="38" t="n">
        <x:v>0.9274720000000001</x:v>
      </x:c>
      <x:c r="W963" s="38" t="n">
        <x:v>0.48412</x:v>
      </x:c>
      <x:c r="X963" s="38" t="n">
        <x:v>0</x:v>
      </x:c>
      <x:c r="Y963" s="38" t="n">
        <x:v>0</x:v>
      </x:c>
      <x:c r="Z963" s="38" t="n">
        <x:v>0.0598</x:v>
      </x:c>
      <x:c r="AA963" s="38" t="n">
        <x:v>0.022099999999999998</x:v>
      </x:c>
      <x:c r="AB963" s="38" t="n">
        <x:v>0.0000936</x:v>
      </x:c>
      <x:c r="AC963" s="38" t="n">
        <x:v>0.3613584</x:v>
      </x:c>
      <x:c r="AD963" s="28" t="n">
        <x:v>0.38961650594303654</x:v>
      </x:c>
    </x:row>
    <x:row r="964">
      <x:c r="A964" s="32" t="n">
        <x:v>45992</x:v>
      </x:c>
      <x:c r="B964" s="32" t="n">
        <x:v>45992</x:v>
      </x:c>
      <x:c r="C964" t="str">
        <x:v>Dec 2025</x:v>
      </x:c>
      <x:c r="D964" t="str">
        <x:v>Actual</x:v>
      </x:c>
      <x:c r="E964" t="str">
        <x:v>DB-105</x:v>
      </x:c>
      <x:c r="F964" t="str">
        <x:v>DreamFuel Refill Pack</x:v>
      </x:c>
      <x:c r="G964" t="str">
        <x:v>Subscription</x:v>
      </x:c>
      <x:c r="H964" t="str">
        <x:v>None</x:v>
      </x:c>
      <x:c r="I964" t="str">
        <x:v>Active</x:v>
      </x:c>
      <x:c r="J964" t="str">
        <x:v>TikTok Shop</x:v>
      </x:c>
      <x:c r="K964" t="str">
        <x:v>Social Commerce</x:v>
      </x:c>
      <x:c r="L964" t="str">
        <x:v>All Geographies</x:v>
      </x:c>
      <x:c r="M964" s="34" t="n">
        <x:v>817</x:v>
      </x:c>
      <x:c r="N964" s="28" t="n">
        <x:v>0.0489888</x:v>
      </x:c>
      <x:c r="O964" s="34" t="n">
        <x:v>40</x:v>
      </x:c>
      <x:c r="P964" s="34" t="n">
        <x:v>1</x:v>
      </x:c>
      <x:c r="Q964" s="34" t="n">
        <x:v>40</x:v>
      </x:c>
      <x:c r="R964" s="33" t="n">
        <x:v>56</x:v>
      </x:c>
      <x:c r="S964" s="38" t="n">
        <x:v>2.24</x:v>
      </x:c>
      <x:c r="T964" s="38" t="n">
        <x:v>0.26880000000000004</x:v>
      </x:c>
      <x:c r="U964" s="38" t="n">
        <x:v>0.039424</x:v>
      </x:c>
      <x:c r="V964" s="38" t="n">
        <x:v>1.9317760000000002</x:v>
      </x:c>
      <x:c r="W964" s="38" t="n">
        <x:v>0.7448</x:v>
      </x:c>
      <x:c r="X964" s="38" t="n">
        <x:v>0.05602150400000001</x:v>
      </x:c>
      <x:c r="Y964" s="38" t="n">
        <x:v>0.11590656</x:v>
      </x:c>
      <x:c r="Z964" s="38" t="n">
        <x:v>0.204</x:v>
      </x:c>
      <x:c r="AA964" s="38" t="n">
        <x:v>0.07</x:v>
      </x:c>
      <x:c r="AB964" s="38" t="n">
        <x:v>0.00014399999999999998</x:v>
      </x:c>
      <x:c r="AC964" s="38" t="n">
        <x:v>0.7409039359999999</x:v>
      </x:c>
      <x:c r="AD964" s="28" t="n">
        <x:v>0.38353511794328116</x:v>
      </x:c>
    </x:row>
    <x:row r="965">
      <x:c r="A965" s="32" t="n">
        <x:v>45999</x:v>
      </x:c>
      <x:c r="B965" s="32" t="n">
        <x:v>45992</x:v>
      </x:c>
      <x:c r="C965" t="str">
        <x:v>Dec 2025</x:v>
      </x:c>
      <x:c r="D965" t="str">
        <x:v>Actual</x:v>
      </x:c>
      <x:c r="E965" t="str">
        <x:v>DB-101</x:v>
      </x:c>
      <x:c r="F965" t="str">
        <x:v>AeroSip Bottle</x:v>
      </x:c>
      <x:c r="G965" t="str">
        <x:v>One-time purchase</x:v>
      </x:c>
      <x:c r="H965" t="str">
        <x:v>None</x:v>
      </x:c>
      <x:c r="I965" t="str">
        <x:v>Active</x:v>
      </x:c>
      <x:c r="J965" t="str">
        <x:v>Shopify DTC</x:v>
      </x:c>
      <x:c r="K965" t="str">
        <x:v>Consumer</x:v>
      </x:c>
      <x:c r="L965" t="str">
        <x:v>All Geographies</x:v>
      </x:c>
      <x:c r="M965" s="34" t="n">
        <x:v>5918</x:v>
      </x:c>
      <x:c r="N965" s="28" t="n">
        <x:v>0.034199999999999994</x:v>
      </x:c>
      <x:c r="O965" s="34" t="n">
        <x:v>202</x:v>
      </x:c>
      <x:c r="P965" s="34" t="n">
        <x:v>1</x:v>
      </x:c>
      <x:c r="Q965" s="34" t="n">
        <x:v>202</x:v>
      </x:c>
      <x:c r="R965" s="33" t="n">
        <x:v>29</x:v>
      </x:c>
      <x:c r="S965" s="38" t="n">
        <x:v>5.858</x:v>
      </x:c>
      <x:c r="T965" s="38" t="n">
        <x:v>0.46864</x:v>
      </x:c>
      <x:c r="U965" s="38" t="n">
        <x:v>0.2425212</x:v>
      </x:c>
      <x:c r="V965" s="38" t="n">
        <x:v>5.1468388</x:v>
      </x:c>
      <x:c r="W965" s="38" t="n">
        <x:v>2.1816000000000004</x:v>
      </x:c>
      <x:c r="X965" s="38" t="n">
        <x:v>0.1492583252</x:v>
      </x:c>
      <x:c r="Y965" s="38" t="n">
        <x:v>0</x:v>
      </x:c>
      <x:c r="Z965" s="38" t="n">
        <x:v>0.8383</x:v>
      </x:c>
      <x:c r="AA965" s="38" t="n">
        <x:v>0.33329999999999993</x:v>
      </x:c>
      <x:c r="AB965" s="38" t="n">
        <x:v>0.007272</x:v>
      </x:c>
      <x:c r="AC965" s="38" t="n">
        <x:v>1.6371084748</x:v>
      </x:c>
      <x:c r="AD965" s="28" t="n">
        <x:v>0.3180803865083165</x:v>
      </x:c>
    </x:row>
    <x:row r="966">
      <x:c r="A966" s="32" t="n">
        <x:v>45999</x:v>
      </x:c>
      <x:c r="B966" s="32" t="n">
        <x:v>45992</x:v>
      </x:c>
      <x:c r="C966" t="str">
        <x:v>Dec 2025</x:v>
      </x:c>
      <x:c r="D966" t="str">
        <x:v>Actual</x:v>
      </x:c>
      <x:c r="E966" t="str">
        <x:v>DB-101</x:v>
      </x:c>
      <x:c r="F966" t="str">
        <x:v>AeroSip Bottle</x:v>
      </x:c>
      <x:c r="G966" t="str">
        <x:v>One-time purchase</x:v>
      </x:c>
      <x:c r="H966" t="str">
        <x:v>None</x:v>
      </x:c>
      <x:c r="I966" t="str">
        <x:v>Active</x:v>
      </x:c>
      <x:c r="J966" t="str">
        <x:v>Amazon Marketplace</x:v>
      </x:c>
      <x:c r="K966" t="str">
        <x:v>Marketplace Consumer</x:v>
      </x:c>
      <x:c r="L966" t="str">
        <x:v>All Geographies</x:v>
      </x:c>
      <x:c r="M966" s="34" t="n">
        <x:v>2959</x:v>
      </x:c>
      <x:c r="N966" s="28" t="n">
        <x:v>0.040355999999999996</x:v>
      </x:c>
      <x:c r="O966" s="34" t="n">
        <x:v>119</x:v>
      </x:c>
      <x:c r="P966" s="34" t="n">
        <x:v>1</x:v>
      </x:c>
      <x:c r="Q966" s="34" t="n">
        <x:v>119</x:v>
      </x:c>
      <x:c r="R966" s="33" t="n">
        <x:v>29</x:v>
      </x:c>
      <x:c r="S966" s="38" t="n">
        <x:v>3.451</x:v>
      </x:c>
      <x:c r="T966" s="38" t="n">
        <x:v>0.17255</x:v>
      </x:c>
      <x:c r="U966" s="38" t="n">
        <x:v>0.14753025</x:v>
      </x:c>
      <x:c r="V966" s="38" t="n">
        <x:v>3.13091975</x:v>
      </x:c>
      <x:c r="W966" s="38" t="n">
        <x:v>1.2852000000000001</x:v>
      </x:c>
      <x:c r="X966" s="38" t="n">
        <x:v>0</x:v>
      </x:c>
      <x:c r="Y966" s="38" t="n">
        <x:v>0.46963796249999995</x:v>
      </x:c>
      <x:c r="Z966" s="38" t="n">
        <x:v>0.6188</x:v>
      </x:c>
      <x:c r="AA966" s="38" t="n">
        <x:v>0.25585</x:v>
      </x:c>
      <x:c r="AB966" s="38" t="n">
        <x:v>0.004284</x:v>
      </x:c>
      <x:c r="AC966" s="38" t="n">
        <x:v>0.4971477874999997</x:v>
      </x:c>
      <x:c r="AD966" s="28" t="n">
        <x:v>0.1587864995581569</x:v>
      </x:c>
    </x:row>
    <x:row r="967">
      <x:c r="A967" s="32" t="n">
        <x:v>45999</x:v>
      </x:c>
      <x:c r="B967" s="32" t="n">
        <x:v>45992</x:v>
      </x:c>
      <x:c r="C967" t="str">
        <x:v>Dec 2025</x:v>
      </x:c>
      <x:c r="D967" t="str">
        <x:v>Actual</x:v>
      </x:c>
      <x:c r="E967" t="str">
        <x:v>DB-101</x:v>
      </x:c>
      <x:c r="F967" t="str">
        <x:v>AeroSip Bottle</x:v>
      </x:c>
      <x:c r="G967" t="str">
        <x:v>One-time purchase</x:v>
      </x:c>
      <x:c r="H967" t="str">
        <x:v>None</x:v>
      </x:c>
      <x:c r="I967" t="str">
        <x:v>Active</x:v>
      </x:c>
      <x:c r="J967" t="str">
        <x:v>Wholesale</x:v>
      </x:c>
      <x:c r="K967" t="str">
        <x:v>Retailer</x:v>
      </x:c>
      <x:c r="L967" t="str">
        <x:v>All Geographies</x:v>
      </x:c>
      <x:c r="M967" s="34" t="n">
        <x:v>1775</x:v>
      </x:c>
      <x:c r="N967" s="28" t="n">
        <x:v>0.01881</x:v>
      </x:c>
      <x:c r="O967" s="34" t="n">
        <x:v>33</x:v>
      </x:c>
      <x:c r="P967" s="34" t="n">
        <x:v>1</x:v>
      </x:c>
      <x:c r="Q967" s="34" t="n">
        <x:v>33</x:v>
      </x:c>
      <x:c r="R967" s="33" t="n">
        <x:v>29</x:v>
      </x:c>
      <x:c r="S967" s="38" t="n">
        <x:v>0.957</x:v>
      </x:c>
      <x:c r="T967" s="38" t="n">
        <x:v>0.33494999999999997</x:v>
      </x:c>
      <x:c r="U967" s="38" t="n">
        <x:v>0.02799225</x:v>
      </x:c>
      <x:c r="V967" s="38" t="n">
        <x:v>0.5940577499999999</x:v>
      </x:c>
      <x:c r="W967" s="38" t="n">
        <x:v>0.35640000000000005</x:v>
      </x:c>
      <x:c r="X967" s="38" t="n">
        <x:v>0</x:v>
      </x:c>
      <x:c r="Y967" s="38" t="n">
        <x:v>0</x:v>
      </x:c>
      <x:c r="Z967" s="38" t="n">
        <x:v>0.0759</x:v>
      </x:c>
      <x:c r="AA967" s="38" t="n">
        <x:v>0.028050000000000002</x:v>
      </x:c>
      <x:c r="AB967" s="38" t="n">
        <x:v>0.0011880000000000003</x:v>
      </x:c>
      <x:c r="AC967" s="38" t="n">
        <x:v>0.1325197499999999</x:v>
      </x:c>
      <x:c r="AD967" s="28" t="n">
        <x:v>0.2230755343230518</x:v>
      </x:c>
    </x:row>
    <x:row r="968">
      <x:c r="A968" s="32" t="n">
        <x:v>45999</x:v>
      </x:c>
      <x:c r="B968" s="32" t="n">
        <x:v>45992</x:v>
      </x:c>
      <x:c r="C968" t="str">
        <x:v>Dec 2025</x:v>
      </x:c>
      <x:c r="D968" t="str">
        <x:v>Actual</x:v>
      </x:c>
      <x:c r="E968" t="str">
        <x:v>DB-101</x:v>
      </x:c>
      <x:c r="F968" t="str">
        <x:v>AeroSip Bottle</x:v>
      </x:c>
      <x:c r="G968" t="str">
        <x:v>One-time purchase</x:v>
      </x:c>
      <x:c r="H968" t="str">
        <x:v>None</x:v>
      </x:c>
      <x:c r="I968" t="str">
        <x:v>Active</x:v>
      </x:c>
      <x:c r="J968" t="str">
        <x:v>TikTok Shop</x:v>
      </x:c>
      <x:c r="K968" t="str">
        <x:v>Social Commerce</x:v>
      </x:c>
      <x:c r="L968" t="str">
        <x:v>All Geographies</x:v>
      </x:c>
      <x:c r="M968" s="34" t="n">
        <x:v>1184</x:v>
      </x:c>
      <x:c r="N968" s="28" t="n">
        <x:v>0.043092</x:v>
      </x:c>
      <x:c r="O968" s="34" t="n">
        <x:v>51</x:v>
      </x:c>
      <x:c r="P968" s="34" t="n">
        <x:v>1</x:v>
      </x:c>
      <x:c r="Q968" s="34" t="n">
        <x:v>51</x:v>
      </x:c>
      <x:c r="R968" s="33" t="n">
        <x:v>29</x:v>
      </x:c>
      <x:c r="S968" s="38" t="n">
        <x:v>1.479</x:v>
      </x:c>
      <x:c r="T968" s="38" t="n">
        <x:v>0.17748</x:v>
      </x:c>
      <x:c r="U968" s="38" t="n">
        <x:v>0.0585684</x:v>
      </x:c>
      <x:c r="V968" s="38" t="n">
        <x:v>1.2429516</x:v>
      </x:c>
      <x:c r="W968" s="38" t="n">
        <x:v>0.5508000000000001</x:v>
      </x:c>
      <x:c r="X968" s="38" t="n">
        <x:v>0.036045596400000005</x:v>
      </x:c>
      <x:c r="Y968" s="38" t="n">
        <x:v>0.074577096</x:v>
      </x:c>
      <x:c r="Z968" s="38" t="n">
        <x:v>0.26009999999999994</x:v>
      </x:c>
      <x:c r="AA968" s="38" t="n">
        <x:v>0.08925</x:v>
      </x:c>
      <x:c r="AB968" s="38" t="n">
        <x:v>0.001836</x:v>
      </x:c>
      <x:c r="AC968" s="38" t="n">
        <x:v>0.23034290760000004</x:v>
      </x:c>
      <x:c r="AD968" s="28" t="n">
        <x:v>0.18531928966501995</x:v>
      </x:c>
    </x:row>
    <x:row r="969">
      <x:c r="A969" s="32" t="n">
        <x:v>45999</x:v>
      </x:c>
      <x:c r="B969" s="32" t="n">
        <x:v>45992</x:v>
      </x:c>
      <x:c r="C969" t="str">
        <x:v>Dec 2025</x:v>
      </x:c>
      <x:c r="D969" t="str">
        <x:v>Actual</x:v>
      </x:c>
      <x:c r="E969" t="str">
        <x:v>DB-102</x:v>
      </x:c>
      <x:c r="F969" t="str">
        <x:v>GlowPatch Balm</x:v>
      </x:c>
      <x:c r="G969" t="str">
        <x:v>Consumable repeat</x:v>
      </x:c>
      <x:c r="H969" t="str">
        <x:v>None</x:v>
      </x:c>
      <x:c r="I969" t="str">
        <x:v>Active</x:v>
      </x:c>
      <x:c r="J969" t="str">
        <x:v>Shopify DTC</x:v>
      </x:c>
      <x:c r="K969" t="str">
        <x:v>Consumer</x:v>
      </x:c>
      <x:c r="L969" t="str">
        <x:v>All Geographies</x:v>
      </x:c>
      <x:c r="M969" s="34" t="n">
        <x:v>4780</x:v>
      </x:c>
      <x:c r="N969" s="28" t="n">
        <x:v>0.04248</x:v>
      </x:c>
      <x:c r="O969" s="34" t="n">
        <x:v>203</x:v>
      </x:c>
      <x:c r="P969" s="34" t="n">
        <x:v>1</x:v>
      </x:c>
      <x:c r="Q969" s="34" t="n">
        <x:v>203</x:v>
      </x:c>
      <x:c r="R969" s="33" t="n">
        <x:v>18</x:v>
      </x:c>
      <x:c r="S969" s="38" t="n">
        <x:v>3.654</x:v>
      </x:c>
      <x:c r="T969" s="38" t="n">
        <x:v>0.29232</x:v>
      </x:c>
      <x:c r="U969" s="38" t="n">
        <x:v>0.084042</x:v>
      </x:c>
      <x:c r="V969" s="38" t="n">
        <x:v>3.2776379999999996</x:v>
      </x:c>
      <x:c r="W969" s="38" t="n">
        <x:v>1.09823</x:v>
      </x:c>
      <x:c r="X969" s="38" t="n">
        <x:v>0.095051502</x:v>
      </x:c>
      <x:c r="Y969" s="38" t="n">
        <x:v>0</x:v>
      </x:c>
      <x:c r="Z969" s="38" t="n">
        <x:v>0.84245</x:v>
      </x:c>
      <x:c r="AA969" s="38" t="n">
        <x:v>0.33494999999999997</x:v>
      </x:c>
      <x:c r="AB969" s="38" t="n">
        <x:v>0.001218</x:v>
      </x:c>
      <x:c r="AC969" s="38" t="n">
        <x:v>0.9057384979999996</x:v>
      </x:c>
      <x:c r="AD969" s="28" t="n">
        <x:v>0.2763387835996531</x:v>
      </x:c>
    </x:row>
    <x:row r="970">
      <x:c r="A970" s="32" t="n">
        <x:v>45999</x:v>
      </x:c>
      <x:c r="B970" s="32" t="n">
        <x:v>45992</x:v>
      </x:c>
      <x:c r="C970" t="str">
        <x:v>Dec 2025</x:v>
      </x:c>
      <x:c r="D970" t="str">
        <x:v>Actual</x:v>
      </x:c>
      <x:c r="E970" t="str">
        <x:v>DB-102</x:v>
      </x:c>
      <x:c r="F970" t="str">
        <x:v>GlowPatch Balm</x:v>
      </x:c>
      <x:c r="G970" t="str">
        <x:v>Consumable repeat</x:v>
      </x:c>
      <x:c r="H970" t="str">
        <x:v>None</x:v>
      </x:c>
      <x:c r="I970" t="str">
        <x:v>Active</x:v>
      </x:c>
      <x:c r="J970" t="str">
        <x:v>Amazon Marketplace</x:v>
      </x:c>
      <x:c r="K970" t="str">
        <x:v>Marketplace Consumer</x:v>
      </x:c>
      <x:c r="L970" t="str">
        <x:v>All Geographies</x:v>
      </x:c>
      <x:c r="M970" s="34" t="n">
        <x:v>2390</x:v>
      </x:c>
      <x:c r="N970" s="28" t="n">
        <x:v>0.050126399999999995</x:v>
      </x:c>
      <x:c r="O970" s="34" t="n">
        <x:v>120</x:v>
      </x:c>
      <x:c r="P970" s="34" t="n">
        <x:v>1</x:v>
      </x:c>
      <x:c r="Q970" s="34" t="n">
        <x:v>120</x:v>
      </x:c>
      <x:c r="R970" s="33" t="n">
        <x:v>18</x:v>
      </x:c>
      <x:c r="S970" s="38" t="n">
        <x:v>2.16</x:v>
      </x:c>
      <x:c r="T970" s="38" t="n">
        <x:v>0.10800000000000001</x:v>
      </x:c>
      <x:c r="U970" s="38" t="n">
        <x:v>0.051300000000000005</x:v>
      </x:c>
      <x:c r="V970" s="38" t="n">
        <x:v>2.0007</x:v>
      </x:c>
      <x:c r="W970" s="38" t="n">
        <x:v>0.6492</x:v>
      </x:c>
      <x:c r="X970" s="38" t="n">
        <x:v>0</x:v>
      </x:c>
      <x:c r="Y970" s="38" t="n">
        <x:v>0.300105</x:v>
      </x:c>
      <x:c r="Z970" s="38" t="n">
        <x:v>0.624</x:v>
      </x:c>
      <x:c r="AA970" s="38" t="n">
        <x:v>0.258</x:v>
      </x:c>
      <x:c r="AB970" s="38" t="n">
        <x:v>0.0007199999999999999</x:v>
      </x:c>
      <x:c r="AC970" s="38" t="n">
        <x:v>0.16867500000000007</x:v>
      </x:c>
      <x:c r="AD970" s="28" t="n">
        <x:v>0.08430799220272908</x:v>
      </x:c>
    </x:row>
    <x:row r="971">
      <x:c r="A971" s="32" t="n">
        <x:v>45999</x:v>
      </x:c>
      <x:c r="B971" s="32" t="n">
        <x:v>45992</x:v>
      </x:c>
      <x:c r="C971" t="str">
        <x:v>Dec 2025</x:v>
      </x:c>
      <x:c r="D971" t="str">
        <x:v>Actual</x:v>
      </x:c>
      <x:c r="E971" t="str">
        <x:v>DB-102</x:v>
      </x:c>
      <x:c r="F971" t="str">
        <x:v>GlowPatch Balm</x:v>
      </x:c>
      <x:c r="G971" t="str">
        <x:v>Consumable repeat</x:v>
      </x:c>
      <x:c r="H971" t="str">
        <x:v>None</x:v>
      </x:c>
      <x:c r="I971" t="str">
        <x:v>Active</x:v>
      </x:c>
      <x:c r="J971" t="str">
        <x:v>Wholesale</x:v>
      </x:c>
      <x:c r="K971" t="str">
        <x:v>Retailer</x:v>
      </x:c>
      <x:c r="L971" t="str">
        <x:v>All Geographies</x:v>
      </x:c>
      <x:c r="M971" s="34" t="n">
        <x:v>1434</x:v>
      </x:c>
      <x:c r="N971" s="28" t="n">
        <x:v>0.023364</x:v>
      </x:c>
      <x:c r="O971" s="34" t="n">
        <x:v>34</x:v>
      </x:c>
      <x:c r="P971" s="34" t="n">
        <x:v>1</x:v>
      </x:c>
      <x:c r="Q971" s="34" t="n">
        <x:v>34</x:v>
      </x:c>
      <x:c r="R971" s="33" t="n">
        <x:v>18</x:v>
      </x:c>
      <x:c r="S971" s="38" t="n">
        <x:v>0.612</x:v>
      </x:c>
      <x:c r="T971" s="38" t="n">
        <x:v>0.21419999999999997</x:v>
      </x:c>
      <x:c r="U971" s="38" t="n">
        <x:v>0.009945000000000002</x:v>
      </x:c>
      <x:c r="V971" s="38" t="n">
        <x:v>0.38785500000000006</x:v>
      </x:c>
      <x:c r="W971" s="38" t="n">
        <x:v>0.18394</x:v>
      </x:c>
      <x:c r="X971" s="38" t="n">
        <x:v>0</x:v>
      </x:c>
      <x:c r="Y971" s="38" t="n">
        <x:v>0</x:v>
      </x:c>
      <x:c r="Z971" s="38" t="n">
        <x:v>0.07819999999999999</x:v>
      </x:c>
      <x:c r="AA971" s="38" t="n">
        <x:v>0.0289</x:v>
      </x:c>
      <x:c r="AB971" s="38" t="n">
        <x:v>0.00020400000000000003</x:v>
      </x:c>
      <x:c r="AC971" s="38" t="n">
        <x:v>0.09661100000000009</x:v>
      </x:c>
      <x:c r="AD971" s="28" t="n">
        <x:v>0.24909051062897236</x:v>
      </x:c>
    </x:row>
    <x:row r="972">
      <x:c r="A972" s="32" t="n">
        <x:v>45999</x:v>
      </x:c>
      <x:c r="B972" s="32" t="n">
        <x:v>45992</x:v>
      </x:c>
      <x:c r="C972" t="str">
        <x:v>Dec 2025</x:v>
      </x:c>
      <x:c r="D972" t="str">
        <x:v>Actual</x:v>
      </x:c>
      <x:c r="E972" t="str">
        <x:v>DB-102</x:v>
      </x:c>
      <x:c r="F972" t="str">
        <x:v>GlowPatch Balm</x:v>
      </x:c>
      <x:c r="G972" t="str">
        <x:v>Consumable repeat</x:v>
      </x:c>
      <x:c r="H972" t="str">
        <x:v>None</x:v>
      </x:c>
      <x:c r="I972" t="str">
        <x:v>Active</x:v>
      </x:c>
      <x:c r="J972" t="str">
        <x:v>TikTok Shop</x:v>
      </x:c>
      <x:c r="K972" t="str">
        <x:v>Social Commerce</x:v>
      </x:c>
      <x:c r="L972" t="str">
        <x:v>All Geographies</x:v>
      </x:c>
      <x:c r="M972" s="34" t="n">
        <x:v>956</x:v>
      </x:c>
      <x:c r="N972" s="28" t="n">
        <x:v>0.0535248</x:v>
      </x:c>
      <x:c r="O972" s="34" t="n">
        <x:v>51</x:v>
      </x:c>
      <x:c r="P972" s="34" t="n">
        <x:v>1</x:v>
      </x:c>
      <x:c r="Q972" s="34" t="n">
        <x:v>51</x:v>
      </x:c>
      <x:c r="R972" s="33" t="n">
        <x:v>18</x:v>
      </x:c>
      <x:c r="S972" s="38" t="n">
        <x:v>0.918</x:v>
      </x:c>
      <x:c r="T972" s="38" t="n">
        <x:v>0.11016</x:v>
      </x:c>
      <x:c r="U972" s="38" t="n">
        <x:v>0.020196000000000002</x:v>
      </x:c>
      <x:c r="V972" s="38" t="n">
        <x:v>0.787644</x:v>
      </x:c>
      <x:c r="W972" s="38" t="n">
        <x:v>0.27591000000000004</x:v>
      </x:c>
      <x:c r="X972" s="38" t="n">
        <x:v>0.022841676</x:v>
      </x:c>
      <x:c r="Y972" s="38" t="n">
        <x:v>0.04725864</x:v>
      </x:c>
      <x:c r="Z972" s="38" t="n">
        <x:v>0.26009999999999994</x:v>
      </x:c>
      <x:c r="AA972" s="38" t="n">
        <x:v>0.08925</x:v>
      </x:c>
      <x:c r="AB972" s="38" t="n">
        <x:v>0.00030600000000000007</x:v>
      </x:c>
      <x:c r="AC972" s="38" t="n">
        <x:v>0.09197768399999998</x:v>
      </x:c>
      <x:c r="AD972" s="28" t="n">
        <x:v>0.11677570577570574</x:v>
      </x:c>
    </x:row>
    <x:row r="973">
      <x:c r="A973" s="32" t="n">
        <x:v>45999</x:v>
      </x:c>
      <x:c r="B973" s="32" t="n">
        <x:v>45992</x:v>
      </x:c>
      <x:c r="C973" t="str">
        <x:v>Dec 2025</x:v>
      </x:c>
      <x:c r="D973" t="str">
        <x:v>Actual</x:v>
      </x:c>
      <x:c r="E973" t="str">
        <x:v>DB-103</x:v>
      </x:c>
      <x:c r="F973" t="str">
        <x:v>EmberTrail Camp Mug</x:v>
      </x:c>
      <x:c r="G973" t="str">
        <x:v>One-time purchase</x:v>
      </x:c>
      <x:c r="H973" t="str">
        <x:v>Winter peak</x:v>
      </x:c>
      <x:c r="I973" t="str">
        <x:v>Active</x:v>
      </x:c>
      <x:c r="J973" t="str">
        <x:v>Shopify DTC</x:v>
      </x:c>
      <x:c r="K973" t="str">
        <x:v>Consumer</x:v>
      </x:c>
      <x:c r="L973" t="str">
        <x:v>All Geographies</x:v>
      </x:c>
      <x:c r="M973" s="34" t="n">
        <x:v>6350</x:v>
      </x:c>
      <x:c r="N973" s="28" t="n">
        <x:v>0.0324</x:v>
      </x:c>
      <x:c r="O973" s="34" t="n">
        <x:v>206</x:v>
      </x:c>
      <x:c r="P973" s="34" t="n">
        <x:v>1</x:v>
      </x:c>
      <x:c r="Q973" s="34" t="n">
        <x:v>206</x:v>
      </x:c>
      <x:c r="R973" s="33" t="n">
        <x:v>34</x:v>
      </x:c>
      <x:c r="S973" s="38" t="n">
        <x:v>7.004</x:v>
      </x:c>
      <x:c r="T973" s="38" t="n">
        <x:v>0.5603199999999999</x:v>
      </x:c>
      <x:c r="U973" s="38" t="n">
        <x:v>0.3544024</x:v>
      </x:c>
      <x:c r="V973" s="38" t="n">
        <x:v>6.0892776</x:v>
      </x:c>
      <x:c r="W973" s="38" t="n">
        <x:v>2.81602</x:v>
      </x:c>
      <x:c r="X973" s="38" t="n">
        <x:v>0.1765890504</x:v>
      </x:c>
      <x:c r="Y973" s="38" t="n">
        <x:v>0</x:v>
      </x:c>
      <x:c r="Z973" s="38" t="n">
        <x:v>0.8549000000000001</x:v>
      </x:c>
      <x:c r="AA973" s="38" t="n">
        <x:v>0.3399</x:v>
      </x:c>
      <x:c r="AB973" s="38" t="n">
        <x:v>0.011536000000000001</x:v>
      </x:c>
      <x:c r="AC973" s="38" t="n">
        <x:v>1.8903325495999996</x:v>
      </x:c>
      <x:c r="AD973" s="28" t="n">
        <x:v>0.3104362575948253</x:v>
      </x:c>
    </x:row>
    <x:row r="974">
      <x:c r="A974" s="32" t="n">
        <x:v>45999</x:v>
      </x:c>
      <x:c r="B974" s="32" t="n">
        <x:v>45992</x:v>
      </x:c>
      <x:c r="C974" t="str">
        <x:v>Dec 2025</x:v>
      </x:c>
      <x:c r="D974" t="str">
        <x:v>Actual</x:v>
      </x:c>
      <x:c r="E974" t="str">
        <x:v>DB-103</x:v>
      </x:c>
      <x:c r="F974" t="str">
        <x:v>EmberTrail Camp Mug</x:v>
      </x:c>
      <x:c r="G974" t="str">
        <x:v>One-time purchase</x:v>
      </x:c>
      <x:c r="H974" t="str">
        <x:v>Winter peak</x:v>
      </x:c>
      <x:c r="I974" t="str">
        <x:v>Active</x:v>
      </x:c>
      <x:c r="J974" t="str">
        <x:v>Amazon Marketplace</x:v>
      </x:c>
      <x:c r="K974" t="str">
        <x:v>Marketplace Consumer</x:v>
      </x:c>
      <x:c r="L974" t="str">
        <x:v>All Geographies</x:v>
      </x:c>
      <x:c r="M974" s="34" t="n">
        <x:v>3175</x:v>
      </x:c>
      <x:c r="N974" s="28" t="n">
        <x:v>0.038231999999999995</x:v>
      </x:c>
      <x:c r="O974" s="34" t="n">
        <x:v>121</x:v>
      </x:c>
      <x:c r="P974" s="34" t="n">
        <x:v>1</x:v>
      </x:c>
      <x:c r="Q974" s="34" t="n">
        <x:v>121</x:v>
      </x:c>
      <x:c r="R974" s="33" t="n">
        <x:v>34</x:v>
      </x:c>
      <x:c r="S974" s="38" t="n">
        <x:v>4.114</x:v>
      </x:c>
      <x:c r="T974" s="38" t="n">
        <x:v>0.2057</x:v>
      </x:c>
      <x:c r="U974" s="38" t="n">
        <x:v>0.2149565</x:v>
      </x:c>
      <x:c r="V974" s="38" t="n">
        <x:v>3.6933434999999997</x:v>
      </x:c>
      <x:c r="W974" s="38" t="n">
        <x:v>1.65407</x:v>
      </x:c>
      <x:c r="X974" s="38" t="n">
        <x:v>0</x:v>
      </x:c>
      <x:c r="Y974" s="38" t="n">
        <x:v>0.5540015249999999</x:v>
      </x:c>
      <x:c r="Z974" s="38" t="n">
        <x:v>0.6292000000000001</x:v>
      </x:c>
      <x:c r="AA974" s="38" t="n">
        <x:v>0.26015</x:v>
      </x:c>
      <x:c r="AB974" s="38" t="n">
        <x:v>0.006776</x:v>
      </x:c>
      <x:c r="AC974" s="38" t="n">
        <x:v>0.5891459749999998</x:v>
      </x:c>
      <x:c r="AD974" s="28" t="n">
        <x:v>0.15951561911314227</x:v>
      </x:c>
    </x:row>
    <x:row r="975">
      <x:c r="A975" s="32" t="n">
        <x:v>45999</x:v>
      </x:c>
      <x:c r="B975" s="32" t="n">
        <x:v>45992</x:v>
      </x:c>
      <x:c r="C975" t="str">
        <x:v>Dec 2025</x:v>
      </x:c>
      <x:c r="D975" t="str">
        <x:v>Actual</x:v>
      </x:c>
      <x:c r="E975" t="str">
        <x:v>DB-103</x:v>
      </x:c>
      <x:c r="F975" t="str">
        <x:v>EmberTrail Camp Mug</x:v>
      </x:c>
      <x:c r="G975" t="str">
        <x:v>One-time purchase</x:v>
      </x:c>
      <x:c r="H975" t="str">
        <x:v>Winter peak</x:v>
      </x:c>
      <x:c r="I975" t="str">
        <x:v>Active</x:v>
      </x:c>
      <x:c r="J975" t="str">
        <x:v>Wholesale</x:v>
      </x:c>
      <x:c r="K975" t="str">
        <x:v>Retailer</x:v>
      </x:c>
      <x:c r="L975" t="str">
        <x:v>All Geographies</x:v>
      </x:c>
      <x:c r="M975" s="34" t="n">
        <x:v>1905</x:v>
      </x:c>
      <x:c r="N975" s="28" t="n">
        <x:v>0.017820000000000003</x:v>
      </x:c>
      <x:c r="O975" s="34" t="n">
        <x:v>34</x:v>
      </x:c>
      <x:c r="P975" s="34" t="n">
        <x:v>1</x:v>
      </x:c>
      <x:c r="Q975" s="34" t="n">
        <x:v>34</x:v>
      </x:c>
      <x:c r="R975" s="33" t="n">
        <x:v>34</x:v>
      </x:c>
      <x:c r="S975" s="38" t="n">
        <x:v>1.156</x:v>
      </x:c>
      <x:c r="T975" s="38" t="n">
        <x:v>0.40459999999999996</x:v>
      </x:c>
      <x:c r="U975" s="38" t="n">
        <x:v>0.041326999999999996</x:v>
      </x:c>
      <x:c r="V975" s="38" t="n">
        <x:v>0.710073</x:v>
      </x:c>
      <x:c r="W975" s="38" t="n">
        <x:v>0.46477999999999997</x:v>
      </x:c>
      <x:c r="X975" s="38" t="n">
        <x:v>0</x:v>
      </x:c>
      <x:c r="Y975" s="38" t="n">
        <x:v>0</x:v>
      </x:c>
      <x:c r="Z975" s="38" t="n">
        <x:v>0.07819999999999999</x:v>
      </x:c>
      <x:c r="AA975" s="38" t="n">
        <x:v>0.0289</x:v>
      </x:c>
      <x:c r="AB975" s="38" t="n">
        <x:v>0.001904</x:v>
      </x:c>
      <x:c r="AC975" s="38" t="n">
        <x:v>0.136289</x:v>
      </x:c>
      <x:c r="AD975" s="28" t="n">
        <x:v>0.19193660370130958</x:v>
      </x:c>
    </x:row>
    <x:row r="976">
      <x:c r="A976" s="32" t="n">
        <x:v>45999</x:v>
      </x:c>
      <x:c r="B976" s="32" t="n">
        <x:v>45992</x:v>
      </x:c>
      <x:c r="C976" t="str">
        <x:v>Dec 2025</x:v>
      </x:c>
      <x:c r="D976" t="str">
        <x:v>Actual</x:v>
      </x:c>
      <x:c r="E976" t="str">
        <x:v>DB-103</x:v>
      </x:c>
      <x:c r="F976" t="str">
        <x:v>EmberTrail Camp Mug</x:v>
      </x:c>
      <x:c r="G976" t="str">
        <x:v>One-time purchase</x:v>
      </x:c>
      <x:c r="H976" t="str">
        <x:v>Winter peak</x:v>
      </x:c>
      <x:c r="I976" t="str">
        <x:v>Active</x:v>
      </x:c>
      <x:c r="J976" t="str">
        <x:v>TikTok Shop</x:v>
      </x:c>
      <x:c r="K976" t="str">
        <x:v>Social Commerce</x:v>
      </x:c>
      <x:c r="L976" t="str">
        <x:v>All Geographies</x:v>
      </x:c>
      <x:c r="M976" s="34" t="n">
        <x:v>1270</x:v>
      </x:c>
      <x:c r="N976" s="28" t="n">
        <x:v>0.040824</x:v>
      </x:c>
      <x:c r="O976" s="34" t="n">
        <x:v>52</x:v>
      </x:c>
      <x:c r="P976" s="34" t="n">
        <x:v>1</x:v>
      </x:c>
      <x:c r="Q976" s="34" t="n">
        <x:v>52</x:v>
      </x:c>
      <x:c r="R976" s="33" t="n">
        <x:v>34</x:v>
      </x:c>
      <x:c r="S976" s="38" t="n">
        <x:v>1.768</x:v>
      </x:c>
      <x:c r="T976" s="38" t="n">
        <x:v>0.21216</x:v>
      </x:c>
      <x:c r="U976" s="38" t="n">
        <x:v>0.0855712</x:v>
      </x:c>
      <x:c r="V976" s="38" t="n">
        <x:v>1.4702688000000002</x:v>
      </x:c>
      <x:c r="W976" s="38" t="n">
        <x:v>0.71084</x:v>
      </x:c>
      <x:c r="X976" s="38" t="n">
        <x:v>0.04263779520000001</x:v>
      </x:c>
      <x:c r="Y976" s="38" t="n">
        <x:v>0.088216128</x:v>
      </x:c>
      <x:c r="Z976" s="38" t="n">
        <x:v>0.2652</x:v>
      </x:c>
      <x:c r="AA976" s="38" t="n">
        <x:v>0.091</x:v>
      </x:c>
      <x:c r="AB976" s="38" t="n">
        <x:v>0.0029120000000000005</x:v>
      </x:c>
      <x:c r="AC976" s="38" t="n">
        <x:v>0.26946287680000014</x:v>
      </x:c>
      <x:c r="AD976" s="28" t="n">
        <x:v>0.18327456639221354</x:v>
      </x:c>
    </x:row>
    <x:row r="977">
      <x:c r="A977" s="32" t="n">
        <x:v>45999</x:v>
      </x:c>
      <x:c r="B977" s="32" t="n">
        <x:v>45992</x:v>
      </x:c>
      <x:c r="C977" t="str">
        <x:v>Dec 2025</x:v>
      </x:c>
      <x:c r="D977" t="str">
        <x:v>Actual</x:v>
      </x:c>
      <x:c r="E977" t="str">
        <x:v>DB-104</x:v>
      </x:c>
      <x:c r="F977" t="str">
        <x:v>SunNest Cooling Towel</x:v>
      </x:c>
      <x:c r="G977" t="str">
        <x:v>Consumable repeat</x:v>
      </x:c>
      <x:c r="H977" t="str">
        <x:v>Summer peak</x:v>
      </x:c>
      <x:c r="I977" t="str">
        <x:v>Active</x:v>
      </x:c>
      <x:c r="J977" t="str">
        <x:v>Shopify DTC</x:v>
      </x:c>
      <x:c r="K977" t="str">
        <x:v>Consumer</x:v>
      </x:c>
      <x:c r="L977" t="str">
        <x:v>All Geographies</x:v>
      </x:c>
      <x:c r="M977" s="34" t="n">
        <x:v>2786</x:v>
      </x:c>
      <x:c r="N977" s="28" t="n">
        <x:v>0.03312</x:v>
      </x:c>
      <x:c r="O977" s="34" t="n">
        <x:v>92</x:v>
      </x:c>
      <x:c r="P977" s="34" t="n">
        <x:v>1</x:v>
      </x:c>
      <x:c r="Q977" s="34" t="n">
        <x:v>92</x:v>
      </x:c>
      <x:c r="R977" s="33" t="n">
        <x:v>42</x:v>
      </x:c>
      <x:c r="S977" s="38" t="n">
        <x:v>3.864</x:v>
      </x:c>
      <x:c r="T977" s="38" t="n">
        <x:v>0.30912</x:v>
      </x:c>
      <x:c r="U977" s="38" t="n">
        <x:v>0.177744</x:v>
      </x:c>
      <x:c r="V977" s="38" t="n">
        <x:v>3.3771359999999997</x:v>
      </x:c>
      <x:c r="W977" s="38" t="n">
        <x:v>1.3846</x:v>
      </x:c>
      <x:c r="X977" s="38" t="n">
        <x:v>0.097936944</x:v>
      </x:c>
      <x:c r="Y977" s="38" t="n">
        <x:v>0</x:v>
      </x:c>
      <x:c r="Z977" s="38" t="n">
        <x:v>0.38180000000000003</x:v>
      </x:c>
      <x:c r="AA977" s="38" t="n">
        <x:v>0.1518</x:v>
      </x:c>
      <x:c r="AB977" s="38" t="n">
        <x:v>0.002576</x:v>
      </x:c>
      <x:c r="AC977" s="38" t="n">
        <x:v>1.3584230559999997</x:v>
      </x:c>
      <x:c r="AD977" s="28" t="n">
        <x:v>0.4022411463441211</x:v>
      </x:c>
    </x:row>
    <x:row r="978">
      <x:c r="A978" s="32" t="n">
        <x:v>45999</x:v>
      </x:c>
      <x:c r="B978" s="32" t="n">
        <x:v>45992</x:v>
      </x:c>
      <x:c r="C978" t="str">
        <x:v>Dec 2025</x:v>
      </x:c>
      <x:c r="D978" t="str">
        <x:v>Actual</x:v>
      </x:c>
      <x:c r="E978" t="str">
        <x:v>DB-104</x:v>
      </x:c>
      <x:c r="F978" t="str">
        <x:v>SunNest Cooling Towel</x:v>
      </x:c>
      <x:c r="G978" t="str">
        <x:v>Consumable repeat</x:v>
      </x:c>
      <x:c r="H978" t="str">
        <x:v>Summer peak</x:v>
      </x:c>
      <x:c r="I978" t="str">
        <x:v>Active</x:v>
      </x:c>
      <x:c r="J978" t="str">
        <x:v>Amazon Marketplace</x:v>
      </x:c>
      <x:c r="K978" t="str">
        <x:v>Marketplace Consumer</x:v>
      </x:c>
      <x:c r="L978" t="str">
        <x:v>All Geographies</x:v>
      </x:c>
      <x:c r="M978" s="34" t="n">
        <x:v>1393</x:v>
      </x:c>
      <x:c r="N978" s="28" t="n">
        <x:v>0.0390816</x:v>
      </x:c>
      <x:c r="O978" s="34" t="n">
        <x:v>54</x:v>
      </x:c>
      <x:c r="P978" s="34" t="n">
        <x:v>1</x:v>
      </x:c>
      <x:c r="Q978" s="34" t="n">
        <x:v>54</x:v>
      </x:c>
      <x:c r="R978" s="33" t="n">
        <x:v>42</x:v>
      </x:c>
      <x:c r="S978" s="38" t="n">
        <x:v>2.268</x:v>
      </x:c>
      <x:c r="T978" s="38" t="n">
        <x:v>0.1134</x:v>
      </x:c>
      <x:c r="U978" s="38" t="n">
        <x:v>0.10772999999999999</x:v>
      </x:c>
      <x:c r="V978" s="38" t="n">
        <x:v>2.0468699999999997</x:v>
      </x:c>
      <x:c r="W978" s="38" t="n">
        <x:v>0.8127000000000001</x:v>
      </x:c>
      <x:c r="X978" s="38" t="n">
        <x:v>0</x:v>
      </x:c>
      <x:c r="Y978" s="38" t="n">
        <x:v>0.30703049999999993</x:v>
      </x:c>
      <x:c r="Z978" s="38" t="n">
        <x:v>0.2808</x:v>
      </x:c>
      <x:c r="AA978" s="38" t="n">
        <x:v>0.1161</x:v>
      </x:c>
      <x:c r="AB978" s="38" t="n">
        <x:v>0.001512</x:v>
      </x:c>
      <x:c r="AC978" s="38" t="n">
        <x:v>0.5287274999999999</x:v>
      </x:c>
      <x:c r="AD978" s="28" t="n">
        <x:v>0.2583102493074792</x:v>
      </x:c>
    </x:row>
    <x:row r="979">
      <x:c r="A979" s="32" t="n">
        <x:v>45999</x:v>
      </x:c>
      <x:c r="B979" s="32" t="n">
        <x:v>45992</x:v>
      </x:c>
      <x:c r="C979" t="str">
        <x:v>Dec 2025</x:v>
      </x:c>
      <x:c r="D979" t="str">
        <x:v>Actual</x:v>
      </x:c>
      <x:c r="E979" t="str">
        <x:v>DB-104</x:v>
      </x:c>
      <x:c r="F979" t="str">
        <x:v>SunNest Cooling Towel</x:v>
      </x:c>
      <x:c r="G979" t="str">
        <x:v>Consumable repeat</x:v>
      </x:c>
      <x:c r="H979" t="str">
        <x:v>Summer peak</x:v>
      </x:c>
      <x:c r="I979" t="str">
        <x:v>Active</x:v>
      </x:c>
      <x:c r="J979" t="str">
        <x:v>Wholesale</x:v>
      </x:c>
      <x:c r="K979" t="str">
        <x:v>Retailer</x:v>
      </x:c>
      <x:c r="L979" t="str">
        <x:v>All Geographies</x:v>
      </x:c>
      <x:c r="M979" s="34" t="n">
        <x:v>836</x:v>
      </x:c>
      <x:c r="N979" s="28" t="n">
        <x:v>0.018216000000000003</x:v>
      </x:c>
      <x:c r="O979" s="34" t="n">
        <x:v>15</x:v>
      </x:c>
      <x:c r="P979" s="34" t="n">
        <x:v>1</x:v>
      </x:c>
      <x:c r="Q979" s="34" t="n">
        <x:v>15</x:v>
      </x:c>
      <x:c r="R979" s="33" t="n">
        <x:v>42</x:v>
      </x:c>
      <x:c r="S979" s="38" t="n">
        <x:v>0.63</x:v>
      </x:c>
      <x:c r="T979" s="38" t="n">
        <x:v>0.22049999999999997</x:v>
      </x:c>
      <x:c r="U979" s="38" t="n">
        <x:v>0.020475000000000004</x:v>
      </x:c>
      <x:c r="V979" s="38" t="n">
        <x:v>0.389025</x:v>
      </x:c>
      <x:c r="W979" s="38" t="n">
        <x:v>0.22575</x:v>
      </x:c>
      <x:c r="X979" s="38" t="n">
        <x:v>0</x:v>
      </x:c>
      <x:c r="Y979" s="38" t="n">
        <x:v>0</x:v>
      </x:c>
      <x:c r="Z979" s="38" t="n">
        <x:v>0.0345</x:v>
      </x:c>
      <x:c r="AA979" s="38" t="n">
        <x:v>0.01275</x:v>
      </x:c>
      <x:c r="AB979" s="38" t="n">
        <x:v>0.00041999999999999996</x:v>
      </x:c>
      <x:c r="AC979" s="38" t="n">
        <x:v>0.115605</x:v>
      </x:c>
      <x:c r="AD979" s="28" t="n">
        <x:v>0.297165991902834</x:v>
      </x:c>
    </x:row>
    <x:row r="980">
      <x:c r="A980" s="32" t="n">
        <x:v>45999</x:v>
      </x:c>
      <x:c r="B980" s="32" t="n">
        <x:v>45992</x:v>
      </x:c>
      <x:c r="C980" t="str">
        <x:v>Dec 2025</x:v>
      </x:c>
      <x:c r="D980" t="str">
        <x:v>Actual</x:v>
      </x:c>
      <x:c r="E980" t="str">
        <x:v>DB-104</x:v>
      </x:c>
      <x:c r="F980" t="str">
        <x:v>SunNest Cooling Towel</x:v>
      </x:c>
      <x:c r="G980" t="str">
        <x:v>Consumable repeat</x:v>
      </x:c>
      <x:c r="H980" t="str">
        <x:v>Summer peak</x:v>
      </x:c>
      <x:c r="I980" t="str">
        <x:v>Active</x:v>
      </x:c>
      <x:c r="J980" t="str">
        <x:v>TikTok Shop</x:v>
      </x:c>
      <x:c r="K980" t="str">
        <x:v>Social Commerce</x:v>
      </x:c>
      <x:c r="L980" t="str">
        <x:v>All Geographies</x:v>
      </x:c>
      <x:c r="M980" s="34" t="n">
        <x:v>557</x:v>
      </x:c>
      <x:c r="N980" s="28" t="n">
        <x:v>0.0417312</x:v>
      </x:c>
      <x:c r="O980" s="34" t="n">
        <x:v>23</x:v>
      </x:c>
      <x:c r="P980" s="34" t="n">
        <x:v>1</x:v>
      </x:c>
      <x:c r="Q980" s="34" t="n">
        <x:v>23</x:v>
      </x:c>
      <x:c r="R980" s="33" t="n">
        <x:v>42</x:v>
      </x:c>
      <x:c r="S980" s="38" t="n">
        <x:v>0.966</x:v>
      </x:c>
      <x:c r="T980" s="38" t="n">
        <x:v>0.11592</x:v>
      </x:c>
      <x:c r="U980" s="38" t="n">
        <x:v>0.042504</x:v>
      </x:c>
      <x:c r="V980" s="38" t="n">
        <x:v>0.807576</x:v>
      </x:c>
      <x:c r="W980" s="38" t="n">
        <x:v>0.34615</x:v>
      </x:c>
      <x:c r="X980" s="38" t="n">
        <x:v>0.023419704</x:v>
      </x:c>
      <x:c r="Y980" s="38" t="n">
        <x:v>0.048454559999999994</x:v>
      </x:c>
      <x:c r="Z980" s="38" t="n">
        <x:v>0.1173</x:v>
      </x:c>
      <x:c r="AA980" s="38" t="n">
        <x:v>0.04025</x:v>
      </x:c>
      <x:c r="AB980" s="38" t="n">
        <x:v>0.000644</x:v>
      </x:c>
      <x:c r="AC980" s="38" t="n">
        <x:v>0.23135773599999995</x:v>
      </x:c>
      <x:c r="AD980" s="28" t="n">
        <x:v>0.2864841649578491</x:v>
      </x:c>
    </x:row>
    <x:row r="981">
      <x:c r="A981" s="32" t="n">
        <x:v>45999</x:v>
      </x:c>
      <x:c r="B981" s="32" t="n">
        <x:v>45992</x:v>
      </x:c>
      <x:c r="C981" t="str">
        <x:v>Dec 2025</x:v>
      </x:c>
      <x:c r="D981" t="str">
        <x:v>Actual</x:v>
      </x:c>
      <x:c r="E981" t="str">
        <x:v>DB-105</x:v>
      </x:c>
      <x:c r="F981" t="str">
        <x:v>DreamFuel Refill Pack</x:v>
      </x:c>
      <x:c r="G981" t="str">
        <x:v>Subscription</x:v>
      </x:c>
      <x:c r="H981" t="str">
        <x:v>None</x:v>
      </x:c>
      <x:c r="I981" t="str">
        <x:v>Active</x:v>
      </x:c>
      <x:c r="J981" t="str">
        <x:v>Shopify DTC</x:v>
      </x:c>
      <x:c r="K981" t="str">
        <x:v>Consumer</x:v>
      </x:c>
      <x:c r="L981" t="str">
        <x:v>All Geographies</x:v>
      </x:c>
      <x:c r="M981" s="34" t="n">
        <x:v>4097</x:v>
      </x:c>
      <x:c r="N981" s="28" t="n">
        <x:v>0.03888</x:v>
      </x:c>
      <x:c r="O981" s="34" t="n">
        <x:v>159</x:v>
      </x:c>
      <x:c r="P981" s="34" t="n">
        <x:v>1</x:v>
      </x:c>
      <x:c r="Q981" s="34" t="n">
        <x:v>159</x:v>
      </x:c>
      <x:c r="R981" s="33" t="n">
        <x:v>56</x:v>
      </x:c>
      <x:c r="S981" s="38" t="n">
        <x:v>8.904</x:v>
      </x:c>
      <x:c r="T981" s="38" t="n">
        <x:v>0.71232</x:v>
      </x:c>
      <x:c r="U981" s="38" t="n">
        <x:v>0.1638336</x:v>
      </x:c>
      <x:c r="V981" s="38" t="n">
        <x:v>8.0278464</x:v>
      </x:c>
      <x:c r="W981" s="38" t="n">
        <x:v>2.96058</x:v>
      </x:c>
      <x:c r="X981" s="38" t="n">
        <x:v>0.2328075456</x:v>
      </x:c>
      <x:c r="Y981" s="38" t="n">
        <x:v>0</x:v>
      </x:c>
      <x:c r="Z981" s="38" t="n">
        <x:v>0.65985</x:v>
      </x:c>
      <x:c r="AA981" s="38" t="n">
        <x:v>0.26234999999999997</x:v>
      </x:c>
      <x:c r="AB981" s="38" t="n">
        <x:v>0.0005724</x:v>
      </x:c>
      <x:c r="AC981" s="38" t="n">
        <x:v>3.911686454399999</x:v>
      </x:c>
      <x:c r="AD981" s="28" t="n">
        <x:v>0.48726473570794765</x:v>
      </x:c>
    </x:row>
    <x:row r="982">
      <x:c r="A982" s="32" t="n">
        <x:v>45999</x:v>
      </x:c>
      <x:c r="B982" s="32" t="n">
        <x:v>45992</x:v>
      </x:c>
      <x:c r="C982" t="str">
        <x:v>Dec 2025</x:v>
      </x:c>
      <x:c r="D982" t="str">
        <x:v>Actual</x:v>
      </x:c>
      <x:c r="E982" t="str">
        <x:v>DB-105</x:v>
      </x:c>
      <x:c r="F982" t="str">
        <x:v>DreamFuel Refill Pack</x:v>
      </x:c>
      <x:c r="G982" t="str">
        <x:v>Subscription</x:v>
      </x:c>
      <x:c r="H982" t="str">
        <x:v>None</x:v>
      </x:c>
      <x:c r="I982" t="str">
        <x:v>Active</x:v>
      </x:c>
      <x:c r="J982" t="str">
        <x:v>Amazon Marketplace</x:v>
      </x:c>
      <x:c r="K982" t="str">
        <x:v>Marketplace Consumer</x:v>
      </x:c>
      <x:c r="L982" t="str">
        <x:v>All Geographies</x:v>
      </x:c>
      <x:c r="M982" s="34" t="n">
        <x:v>2049</x:v>
      </x:c>
      <x:c r="N982" s="28" t="n">
        <x:v>0.0458784</x:v>
      </x:c>
      <x:c r="O982" s="34" t="n">
        <x:v>94</x:v>
      </x:c>
      <x:c r="P982" s="34" t="n">
        <x:v>1</x:v>
      </x:c>
      <x:c r="Q982" s="34" t="n">
        <x:v>94</x:v>
      </x:c>
      <x:c r="R982" s="33" t="n">
        <x:v>56</x:v>
      </x:c>
      <x:c r="S982" s="38" t="n">
        <x:v>5.264</x:v>
      </x:c>
      <x:c r="T982" s="38" t="n">
        <x:v>0.26320000000000005</x:v>
      </x:c>
      <x:c r="U982" s="38" t="n">
        <x:v>0.100016</x:v>
      </x:c>
      <x:c r="V982" s="38" t="n">
        <x:v>4.900784</x:v>
      </x:c>
      <x:c r="W982" s="38" t="n">
        <x:v>1.7502800000000003</x:v>
      </x:c>
      <x:c r="X982" s="38" t="n">
        <x:v>0</x:v>
      </x:c>
      <x:c r="Y982" s="38" t="n">
        <x:v>0.7351175999999999</x:v>
      </x:c>
      <x:c r="Z982" s="38" t="n">
        <x:v>0.4888</x:v>
      </x:c>
      <x:c r="AA982" s="38" t="n">
        <x:v>0.2021</x:v>
      </x:c>
      <x:c r="AB982" s="38" t="n">
        <x:v>0.00033840000000000004</x:v>
      </x:c>
      <x:c r="AC982" s="38" t="n">
        <x:v>1.7241480000000002</x:v>
      </x:c>
      <x:c r="AD982" s="28" t="n">
        <x:v>0.3518106490716588</x:v>
      </x:c>
    </x:row>
    <x:row r="983">
      <x:c r="A983" s="32" t="n">
        <x:v>45999</x:v>
      </x:c>
      <x:c r="B983" s="32" t="n">
        <x:v>45992</x:v>
      </x:c>
      <x:c r="C983" t="str">
        <x:v>Dec 2025</x:v>
      </x:c>
      <x:c r="D983" t="str">
        <x:v>Actual</x:v>
      </x:c>
      <x:c r="E983" t="str">
        <x:v>DB-105</x:v>
      </x:c>
      <x:c r="F983" t="str">
        <x:v>DreamFuel Refill Pack</x:v>
      </x:c>
      <x:c r="G983" t="str">
        <x:v>Subscription</x:v>
      </x:c>
      <x:c r="H983" t="str">
        <x:v>None</x:v>
      </x:c>
      <x:c r="I983" t="str">
        <x:v>Active</x:v>
      </x:c>
      <x:c r="J983" t="str">
        <x:v>Wholesale</x:v>
      </x:c>
      <x:c r="K983" t="str">
        <x:v>Retailer</x:v>
      </x:c>
      <x:c r="L983" t="str">
        <x:v>All Geographies</x:v>
      </x:c>
      <x:c r="M983" s="34" t="n">
        <x:v>1229</x:v>
      </x:c>
      <x:c r="N983" s="28" t="n">
        <x:v>0.021384000000000004</x:v>
      </x:c>
      <x:c r="O983" s="34" t="n">
        <x:v>26</x:v>
      </x:c>
      <x:c r="P983" s="34" t="n">
        <x:v>1</x:v>
      </x:c>
      <x:c r="Q983" s="34" t="n">
        <x:v>26</x:v>
      </x:c>
      <x:c r="R983" s="33" t="n">
        <x:v>56</x:v>
      </x:c>
      <x:c r="S983" s="38" t="n">
        <x:v>1.456</x:v>
      </x:c>
      <x:c r="T983" s="38" t="n">
        <x:v>0.5095999999999999</x:v>
      </x:c>
      <x:c r="U983" s="38" t="n">
        <x:v>0.018928</x:v>
      </x:c>
      <x:c r="V983" s="38" t="n">
        <x:v>0.9274720000000001</x:v>
      </x:c>
      <x:c r="W983" s="38" t="n">
        <x:v>0.48412</x:v>
      </x:c>
      <x:c r="X983" s="38" t="n">
        <x:v>0</x:v>
      </x:c>
      <x:c r="Y983" s="38" t="n">
        <x:v>0</x:v>
      </x:c>
      <x:c r="Z983" s="38" t="n">
        <x:v>0.0598</x:v>
      </x:c>
      <x:c r="AA983" s="38" t="n">
        <x:v>0.022099999999999998</x:v>
      </x:c>
      <x:c r="AB983" s="38" t="n">
        <x:v>0.0000936</x:v>
      </x:c>
      <x:c r="AC983" s="38" t="n">
        <x:v>0.3613584</x:v>
      </x:c>
      <x:c r="AD983" s="28" t="n">
        <x:v>0.38961650594303654</x:v>
      </x:c>
    </x:row>
    <x:row r="984">
      <x:c r="A984" s="32" t="n">
        <x:v>45999</x:v>
      </x:c>
      <x:c r="B984" s="32" t="n">
        <x:v>45992</x:v>
      </x:c>
      <x:c r="C984" t="str">
        <x:v>Dec 2025</x:v>
      </x:c>
      <x:c r="D984" t="str">
        <x:v>Actual</x:v>
      </x:c>
      <x:c r="E984" t="str">
        <x:v>DB-105</x:v>
      </x:c>
      <x:c r="F984" t="str">
        <x:v>DreamFuel Refill Pack</x:v>
      </x:c>
      <x:c r="G984" t="str">
        <x:v>Subscription</x:v>
      </x:c>
      <x:c r="H984" t="str">
        <x:v>None</x:v>
      </x:c>
      <x:c r="I984" t="str">
        <x:v>Active</x:v>
      </x:c>
      <x:c r="J984" t="str">
        <x:v>TikTok Shop</x:v>
      </x:c>
      <x:c r="K984" t="str">
        <x:v>Social Commerce</x:v>
      </x:c>
      <x:c r="L984" t="str">
        <x:v>All Geographies</x:v>
      </x:c>
      <x:c r="M984" s="34" t="n">
        <x:v>819</x:v>
      </x:c>
      <x:c r="N984" s="28" t="n">
        <x:v>0.0489888</x:v>
      </x:c>
      <x:c r="O984" s="34" t="n">
        <x:v>40</x:v>
      </x:c>
      <x:c r="P984" s="34" t="n">
        <x:v>1</x:v>
      </x:c>
      <x:c r="Q984" s="34" t="n">
        <x:v>40</x:v>
      </x:c>
      <x:c r="R984" s="33" t="n">
        <x:v>56</x:v>
      </x:c>
      <x:c r="S984" s="38" t="n">
        <x:v>2.24</x:v>
      </x:c>
      <x:c r="T984" s="38" t="n">
        <x:v>0.26880000000000004</x:v>
      </x:c>
      <x:c r="U984" s="38" t="n">
        <x:v>0.039424</x:v>
      </x:c>
      <x:c r="V984" s="38" t="n">
        <x:v>1.9317760000000002</x:v>
      </x:c>
      <x:c r="W984" s="38" t="n">
        <x:v>0.7448</x:v>
      </x:c>
      <x:c r="X984" s="38" t="n">
        <x:v>0.05602150400000001</x:v>
      </x:c>
      <x:c r="Y984" s="38" t="n">
        <x:v>0.11590656</x:v>
      </x:c>
      <x:c r="Z984" s="38" t="n">
        <x:v>0.204</x:v>
      </x:c>
      <x:c r="AA984" s="38" t="n">
        <x:v>0.07</x:v>
      </x:c>
      <x:c r="AB984" s="38" t="n">
        <x:v>0.00014399999999999998</x:v>
      </x:c>
      <x:c r="AC984" s="38" t="n">
        <x:v>0.7409039359999999</x:v>
      </x:c>
      <x:c r="AD984" s="28" t="n">
        <x:v>0.38353511794328116</x:v>
      </x:c>
    </x:row>
    <x:row r="985">
      <x:c r="A985" s="32" t="n">
        <x:v>46006</x:v>
      </x:c>
      <x:c r="B985" s="32" t="n">
        <x:v>45992</x:v>
      </x:c>
      <x:c r="C985" t="str">
        <x:v>Dec 2025</x:v>
      </x:c>
      <x:c r="D985" t="str">
        <x:v>Actual</x:v>
      </x:c>
      <x:c r="E985" t="str">
        <x:v>DB-101</x:v>
      </x:c>
      <x:c r="F985" t="str">
        <x:v>AeroSip Bottle</x:v>
      </x:c>
      <x:c r="G985" t="str">
        <x:v>One-time purchase</x:v>
      </x:c>
      <x:c r="H985" t="str">
        <x:v>None</x:v>
      </x:c>
      <x:c r="I985" t="str">
        <x:v>Active</x:v>
      </x:c>
      <x:c r="J985" t="str">
        <x:v>Shopify DTC</x:v>
      </x:c>
      <x:c r="K985" t="str">
        <x:v>Consumer</x:v>
      </x:c>
      <x:c r="L985" t="str">
        <x:v>All Geographies</x:v>
      </x:c>
      <x:c r="M985" s="34" t="n">
        <x:v>5939</x:v>
      </x:c>
      <x:c r="N985" s="28" t="n">
        <x:v>0.034199999999999994</x:v>
      </x:c>
      <x:c r="O985" s="34" t="n">
        <x:v>203</x:v>
      </x:c>
      <x:c r="P985" s="34" t="n">
        <x:v>1</x:v>
      </x:c>
      <x:c r="Q985" s="34" t="n">
        <x:v>203</x:v>
      </x:c>
      <x:c r="R985" s="33" t="n">
        <x:v>29</x:v>
      </x:c>
      <x:c r="S985" s="38" t="n">
        <x:v>5.887</x:v>
      </x:c>
      <x:c r="T985" s="38" t="n">
        <x:v>0.47096</x:v>
      </x:c>
      <x:c r="U985" s="38" t="n">
        <x:v>0.2437218</x:v>
      </x:c>
      <x:c r="V985" s="38" t="n">
        <x:v>5.172318199999999</x:v>
      </x:c>
      <x:c r="W985" s="38" t="n">
        <x:v>2.1924</x:v>
      </x:c>
      <x:c r="X985" s="38" t="n">
        <x:v>0.1499972278</x:v>
      </x:c>
      <x:c r="Y985" s="38" t="n">
        <x:v>0</x:v>
      </x:c>
      <x:c r="Z985" s="38" t="n">
        <x:v>0.84245</x:v>
      </x:c>
      <x:c r="AA985" s="38" t="n">
        <x:v>0.33494999999999997</x:v>
      </x:c>
      <x:c r="AB985" s="38" t="n">
        <x:v>0.007308</x:v>
      </x:c>
      <x:c r="AC985" s="38" t="n">
        <x:v>1.645212972199999</x:v>
      </x:c>
      <x:c r="AD985" s="28" t="n">
        <x:v>0.3180803865083164</x:v>
      </x:c>
    </x:row>
    <x:row r="986">
      <x:c r="A986" s="32" t="n">
        <x:v>46006</x:v>
      </x:c>
      <x:c r="B986" s="32" t="n">
        <x:v>45992</x:v>
      </x:c>
      <x:c r="C986" t="str">
        <x:v>Dec 2025</x:v>
      </x:c>
      <x:c r="D986" t="str">
        <x:v>Actual</x:v>
      </x:c>
      <x:c r="E986" t="str">
        <x:v>DB-101</x:v>
      </x:c>
      <x:c r="F986" t="str">
        <x:v>AeroSip Bottle</x:v>
      </x:c>
      <x:c r="G986" t="str">
        <x:v>One-time purchase</x:v>
      </x:c>
      <x:c r="H986" t="str">
        <x:v>None</x:v>
      </x:c>
      <x:c r="I986" t="str">
        <x:v>Active</x:v>
      </x:c>
      <x:c r="J986" t="str">
        <x:v>Amazon Marketplace</x:v>
      </x:c>
      <x:c r="K986" t="str">
        <x:v>Marketplace Consumer</x:v>
      </x:c>
      <x:c r="L986" t="str">
        <x:v>All Geographies</x:v>
      </x:c>
      <x:c r="M986" s="34" t="n">
        <x:v>2969</x:v>
      </x:c>
      <x:c r="N986" s="28" t="n">
        <x:v>0.040355999999999996</x:v>
      </x:c>
      <x:c r="O986" s="34" t="n">
        <x:v>120</x:v>
      </x:c>
      <x:c r="P986" s="34" t="n">
        <x:v>1</x:v>
      </x:c>
      <x:c r="Q986" s="34" t="n">
        <x:v>120</x:v>
      </x:c>
      <x:c r="R986" s="33" t="n">
        <x:v>29</x:v>
      </x:c>
      <x:c r="S986" s="38" t="n">
        <x:v>3.48</x:v>
      </x:c>
      <x:c r="T986" s="38" t="n">
        <x:v>0.17400000000000002</x:v>
      </x:c>
      <x:c r="U986" s="38" t="n">
        <x:v>0.14876999999999999</x:v>
      </x:c>
      <x:c r="V986" s="38" t="n">
        <x:v>3.15723</x:v>
      </x:c>
      <x:c r="W986" s="38" t="n">
        <x:v>1.296</x:v>
      </x:c>
      <x:c r="X986" s="38" t="n">
        <x:v>0</x:v>
      </x:c>
      <x:c r="Y986" s="38" t="n">
        <x:v>0.4735845</x:v>
      </x:c>
      <x:c r="Z986" s="38" t="n">
        <x:v>0.624</x:v>
      </x:c>
      <x:c r="AA986" s="38" t="n">
        <x:v>0.258</x:v>
      </x:c>
      <x:c r="AB986" s="38" t="n">
        <x:v>0.00432</x:v>
      </x:c>
      <x:c r="AC986" s="38" t="n">
        <x:v>0.5013255000000001</x:v>
      </x:c>
      <x:c r="AD986" s="28" t="n">
        <x:v>0.15878649955815702</x:v>
      </x:c>
    </x:row>
    <x:row r="987">
      <x:c r="A987" s="32" t="n">
        <x:v>46006</x:v>
      </x:c>
      <x:c r="B987" s="32" t="n">
        <x:v>45992</x:v>
      </x:c>
      <x:c r="C987" t="str">
        <x:v>Dec 2025</x:v>
      </x:c>
      <x:c r="D987" t="str">
        <x:v>Actual</x:v>
      </x:c>
      <x:c r="E987" t="str">
        <x:v>DB-101</x:v>
      </x:c>
      <x:c r="F987" t="str">
        <x:v>AeroSip Bottle</x:v>
      </x:c>
      <x:c r="G987" t="str">
        <x:v>One-time purchase</x:v>
      </x:c>
      <x:c r="H987" t="str">
        <x:v>None</x:v>
      </x:c>
      <x:c r="I987" t="str">
        <x:v>Active</x:v>
      </x:c>
      <x:c r="J987" t="str">
        <x:v>Wholesale</x:v>
      </x:c>
      <x:c r="K987" t="str">
        <x:v>Retailer</x:v>
      </x:c>
      <x:c r="L987" t="str">
        <x:v>All Geographies</x:v>
      </x:c>
      <x:c r="M987" s="34" t="n">
        <x:v>1782</x:v>
      </x:c>
      <x:c r="N987" s="28" t="n">
        <x:v>0.01881</x:v>
      </x:c>
      <x:c r="O987" s="34" t="n">
        <x:v>34</x:v>
      </x:c>
      <x:c r="P987" s="34" t="n">
        <x:v>1</x:v>
      </x:c>
      <x:c r="Q987" s="34" t="n">
        <x:v>34</x:v>
      </x:c>
      <x:c r="R987" s="33" t="n">
        <x:v>29</x:v>
      </x:c>
      <x:c r="S987" s="38" t="n">
        <x:v>0.986</x:v>
      </x:c>
      <x:c r="T987" s="38" t="n">
        <x:v>0.34509999999999996</x:v>
      </x:c>
      <x:c r="U987" s="38" t="n">
        <x:v>0.0288405</x:v>
      </x:c>
      <x:c r="V987" s="38" t="n">
        <x:v>0.6120595</x:v>
      </x:c>
      <x:c r="W987" s="38" t="n">
        <x:v>0.3672</x:v>
      </x:c>
      <x:c r="X987" s="38" t="n">
        <x:v>0</x:v>
      </x:c>
      <x:c r="Y987" s="38" t="n">
        <x:v>0</x:v>
      </x:c>
      <x:c r="Z987" s="38" t="n">
        <x:v>0.07819999999999999</x:v>
      </x:c>
      <x:c r="AA987" s="38" t="n">
        <x:v>0.0289</x:v>
      </x:c>
      <x:c r="AB987" s="38" t="n">
        <x:v>0.0012240000000000003</x:v>
      </x:c>
      <x:c r="AC987" s="38" t="n">
        <x:v>0.13653549999999995</x:v>
      </x:c>
      <x:c r="AD987" s="28" t="n">
        <x:v>0.22307553432305186</x:v>
      </x:c>
    </x:row>
    <x:row r="988">
      <x:c r="A988" s="32" t="n">
        <x:v>46006</x:v>
      </x:c>
      <x:c r="B988" s="32" t="n">
        <x:v>45992</x:v>
      </x:c>
      <x:c r="C988" t="str">
        <x:v>Dec 2025</x:v>
      </x:c>
      <x:c r="D988" t="str">
        <x:v>Actual</x:v>
      </x:c>
      <x:c r="E988" t="str">
        <x:v>DB-101</x:v>
      </x:c>
      <x:c r="F988" t="str">
        <x:v>AeroSip Bottle</x:v>
      </x:c>
      <x:c r="G988" t="str">
        <x:v>One-time purchase</x:v>
      </x:c>
      <x:c r="H988" t="str">
        <x:v>None</x:v>
      </x:c>
      <x:c r="I988" t="str">
        <x:v>Active</x:v>
      </x:c>
      <x:c r="J988" t="str">
        <x:v>TikTok Shop</x:v>
      </x:c>
      <x:c r="K988" t="str">
        <x:v>Social Commerce</x:v>
      </x:c>
      <x:c r="L988" t="str">
        <x:v>All Geographies</x:v>
      </x:c>
      <x:c r="M988" s="34" t="n">
        <x:v>1188</x:v>
      </x:c>
      <x:c r="N988" s="28" t="n">
        <x:v>0.043092</x:v>
      </x:c>
      <x:c r="O988" s="34" t="n">
        <x:v>51</x:v>
      </x:c>
      <x:c r="P988" s="34" t="n">
        <x:v>1</x:v>
      </x:c>
      <x:c r="Q988" s="34" t="n">
        <x:v>51</x:v>
      </x:c>
      <x:c r="R988" s="33" t="n">
        <x:v>29</x:v>
      </x:c>
      <x:c r="S988" s="38" t="n">
        <x:v>1.479</x:v>
      </x:c>
      <x:c r="T988" s="38" t="n">
        <x:v>0.17748</x:v>
      </x:c>
      <x:c r="U988" s="38" t="n">
        <x:v>0.0585684</x:v>
      </x:c>
      <x:c r="V988" s="38" t="n">
        <x:v>1.2429516</x:v>
      </x:c>
      <x:c r="W988" s="38" t="n">
        <x:v>0.5508000000000001</x:v>
      </x:c>
      <x:c r="X988" s="38" t="n">
        <x:v>0.036045596400000005</x:v>
      </x:c>
      <x:c r="Y988" s="38" t="n">
        <x:v>0.074577096</x:v>
      </x:c>
      <x:c r="Z988" s="38" t="n">
        <x:v>0.26009999999999994</x:v>
      </x:c>
      <x:c r="AA988" s="38" t="n">
        <x:v>0.08925</x:v>
      </x:c>
      <x:c r="AB988" s="38" t="n">
        <x:v>0.001836</x:v>
      </x:c>
      <x:c r="AC988" s="38" t="n">
        <x:v>0.23034290760000004</x:v>
      </x:c>
      <x:c r="AD988" s="28" t="n">
        <x:v>0.18531928966501995</x:v>
      </x:c>
    </x:row>
    <x:row r="989">
      <x:c r="A989" s="32" t="n">
        <x:v>46006</x:v>
      </x:c>
      <x:c r="B989" s="32" t="n">
        <x:v>45992</x:v>
      </x:c>
      <x:c r="C989" t="str">
        <x:v>Dec 2025</x:v>
      </x:c>
      <x:c r="D989" t="str">
        <x:v>Actual</x:v>
      </x:c>
      <x:c r="E989" t="str">
        <x:v>DB-102</x:v>
      </x:c>
      <x:c r="F989" t="str">
        <x:v>GlowPatch Balm</x:v>
      </x:c>
      <x:c r="G989" t="str">
        <x:v>Consumable repeat</x:v>
      </x:c>
      <x:c r="H989" t="str">
        <x:v>None</x:v>
      </x:c>
      <x:c r="I989" t="str">
        <x:v>Active</x:v>
      </x:c>
      <x:c r="J989" t="str">
        <x:v>Shopify DTC</x:v>
      </x:c>
      <x:c r="K989" t="str">
        <x:v>Consumer</x:v>
      </x:c>
      <x:c r="L989" t="str">
        <x:v>All Geographies</x:v>
      </x:c>
      <x:c r="M989" s="34" t="n">
        <x:v>4797</x:v>
      </x:c>
      <x:c r="N989" s="28" t="n">
        <x:v>0.04248</x:v>
      </x:c>
      <x:c r="O989" s="34" t="n">
        <x:v>204</x:v>
      </x:c>
      <x:c r="P989" s="34" t="n">
        <x:v>1</x:v>
      </x:c>
      <x:c r="Q989" s="34" t="n">
        <x:v>204</x:v>
      </x:c>
      <x:c r="R989" s="33" t="n">
        <x:v>18</x:v>
      </x:c>
      <x:c r="S989" s="38" t="n">
        <x:v>3.672</x:v>
      </x:c>
      <x:c r="T989" s="38" t="n">
        <x:v>0.29376</x:v>
      </x:c>
      <x:c r="U989" s="38" t="n">
        <x:v>0.084456</x:v>
      </x:c>
      <x:c r="V989" s="38" t="n">
        <x:v>3.293784</x:v>
      </x:c>
      <x:c r="W989" s="38" t="n">
        <x:v>1.1036400000000002</x:v>
      </x:c>
      <x:c r="X989" s="38" t="n">
        <x:v>0.09551973600000001</x:v>
      </x:c>
      <x:c r="Y989" s="38" t="n">
        <x:v>0</x:v>
      </x:c>
      <x:c r="Z989" s="38" t="n">
        <x:v>0.8466</x:v>
      </x:c>
      <x:c r="AA989" s="38" t="n">
        <x:v>0.33659999999999995</x:v>
      </x:c>
      <x:c r="AB989" s="38" t="n">
        <x:v>0.0012240000000000003</x:v>
      </x:c>
      <x:c r="AC989" s="38" t="n">
        <x:v>0.9102002640000001</x:v>
      </x:c>
      <x:c r="AD989" s="28" t="n">
        <x:v>0.2763387835996532</x:v>
      </x:c>
    </x:row>
    <x:row r="990">
      <x:c r="A990" s="32" t="n">
        <x:v>46006</x:v>
      </x:c>
      <x:c r="B990" s="32" t="n">
        <x:v>45992</x:v>
      </x:c>
      <x:c r="C990" t="str">
        <x:v>Dec 2025</x:v>
      </x:c>
      <x:c r="D990" t="str">
        <x:v>Actual</x:v>
      </x:c>
      <x:c r="E990" t="str">
        <x:v>DB-102</x:v>
      </x:c>
      <x:c r="F990" t="str">
        <x:v>GlowPatch Balm</x:v>
      </x:c>
      <x:c r="G990" t="str">
        <x:v>Consumable repeat</x:v>
      </x:c>
      <x:c r="H990" t="str">
        <x:v>None</x:v>
      </x:c>
      <x:c r="I990" t="str">
        <x:v>Active</x:v>
      </x:c>
      <x:c r="J990" t="str">
        <x:v>Amazon Marketplace</x:v>
      </x:c>
      <x:c r="K990" t="str">
        <x:v>Marketplace Consumer</x:v>
      </x:c>
      <x:c r="L990" t="str">
        <x:v>All Geographies</x:v>
      </x:c>
      <x:c r="M990" s="34" t="n">
        <x:v>2398</x:v>
      </x:c>
      <x:c r="N990" s="28" t="n">
        <x:v>0.050126399999999995</x:v>
      </x:c>
      <x:c r="O990" s="34" t="n">
        <x:v>120</x:v>
      </x:c>
      <x:c r="P990" s="34" t="n">
        <x:v>1</x:v>
      </x:c>
      <x:c r="Q990" s="34" t="n">
        <x:v>120</x:v>
      </x:c>
      <x:c r="R990" s="33" t="n">
        <x:v>18</x:v>
      </x:c>
      <x:c r="S990" s="38" t="n">
        <x:v>2.16</x:v>
      </x:c>
      <x:c r="T990" s="38" t="n">
        <x:v>0.10800000000000001</x:v>
      </x:c>
      <x:c r="U990" s="38" t="n">
        <x:v>0.051300000000000005</x:v>
      </x:c>
      <x:c r="V990" s="38" t="n">
        <x:v>2.0007</x:v>
      </x:c>
      <x:c r="W990" s="38" t="n">
        <x:v>0.6492</x:v>
      </x:c>
      <x:c r="X990" s="38" t="n">
        <x:v>0</x:v>
      </x:c>
      <x:c r="Y990" s="38" t="n">
        <x:v>0.300105</x:v>
      </x:c>
      <x:c r="Z990" s="38" t="n">
        <x:v>0.624</x:v>
      </x:c>
      <x:c r="AA990" s="38" t="n">
        <x:v>0.258</x:v>
      </x:c>
      <x:c r="AB990" s="38" t="n">
        <x:v>0.0007199999999999999</x:v>
      </x:c>
      <x:c r="AC990" s="38" t="n">
        <x:v>0.16867500000000007</x:v>
      </x:c>
      <x:c r="AD990" s="28" t="n">
        <x:v>0.08430799220272908</x:v>
      </x:c>
    </x:row>
    <x:row r="991">
      <x:c r="A991" s="32" t="n">
        <x:v>46006</x:v>
      </x:c>
      <x:c r="B991" s="32" t="n">
        <x:v>45992</x:v>
      </x:c>
      <x:c r="C991" t="str">
        <x:v>Dec 2025</x:v>
      </x:c>
      <x:c r="D991" t="str">
        <x:v>Actual</x:v>
      </x:c>
      <x:c r="E991" t="str">
        <x:v>DB-102</x:v>
      </x:c>
      <x:c r="F991" t="str">
        <x:v>GlowPatch Balm</x:v>
      </x:c>
      <x:c r="G991" t="str">
        <x:v>Consumable repeat</x:v>
      </x:c>
      <x:c r="H991" t="str">
        <x:v>None</x:v>
      </x:c>
      <x:c r="I991" t="str">
        <x:v>Active</x:v>
      </x:c>
      <x:c r="J991" t="str">
        <x:v>Wholesale</x:v>
      </x:c>
      <x:c r="K991" t="str">
        <x:v>Retailer</x:v>
      </x:c>
      <x:c r="L991" t="str">
        <x:v>All Geographies</x:v>
      </x:c>
      <x:c r="M991" s="34" t="n">
        <x:v>1439</x:v>
      </x:c>
      <x:c r="N991" s="28" t="n">
        <x:v>0.023364</x:v>
      </x:c>
      <x:c r="O991" s="34" t="n">
        <x:v>34</x:v>
      </x:c>
      <x:c r="P991" s="34" t="n">
        <x:v>1</x:v>
      </x:c>
      <x:c r="Q991" s="34" t="n">
        <x:v>34</x:v>
      </x:c>
      <x:c r="R991" s="33" t="n">
        <x:v>18</x:v>
      </x:c>
      <x:c r="S991" s="38" t="n">
        <x:v>0.612</x:v>
      </x:c>
      <x:c r="T991" s="38" t="n">
        <x:v>0.21419999999999997</x:v>
      </x:c>
      <x:c r="U991" s="38" t="n">
        <x:v>0.009945000000000002</x:v>
      </x:c>
      <x:c r="V991" s="38" t="n">
        <x:v>0.38785500000000006</x:v>
      </x:c>
      <x:c r="W991" s="38" t="n">
        <x:v>0.18394</x:v>
      </x:c>
      <x:c r="X991" s="38" t="n">
        <x:v>0</x:v>
      </x:c>
      <x:c r="Y991" s="38" t="n">
        <x:v>0</x:v>
      </x:c>
      <x:c r="Z991" s="38" t="n">
        <x:v>0.07819999999999999</x:v>
      </x:c>
      <x:c r="AA991" s="38" t="n">
        <x:v>0.0289</x:v>
      </x:c>
      <x:c r="AB991" s="38" t="n">
        <x:v>0.00020400000000000003</x:v>
      </x:c>
      <x:c r="AC991" s="38" t="n">
        <x:v>0.09661100000000009</x:v>
      </x:c>
      <x:c r="AD991" s="28" t="n">
        <x:v>0.24909051062897236</x:v>
      </x:c>
    </x:row>
    <x:row r="992">
      <x:c r="A992" s="32" t="n">
        <x:v>46006</x:v>
      </x:c>
      <x:c r="B992" s="32" t="n">
        <x:v>45992</x:v>
      </x:c>
      <x:c r="C992" t="str">
        <x:v>Dec 2025</x:v>
      </x:c>
      <x:c r="D992" t="str">
        <x:v>Actual</x:v>
      </x:c>
      <x:c r="E992" t="str">
        <x:v>DB-102</x:v>
      </x:c>
      <x:c r="F992" t="str">
        <x:v>GlowPatch Balm</x:v>
      </x:c>
      <x:c r="G992" t="str">
        <x:v>Consumable repeat</x:v>
      </x:c>
      <x:c r="H992" t="str">
        <x:v>None</x:v>
      </x:c>
      <x:c r="I992" t="str">
        <x:v>Active</x:v>
      </x:c>
      <x:c r="J992" t="str">
        <x:v>TikTok Shop</x:v>
      </x:c>
      <x:c r="K992" t="str">
        <x:v>Social Commerce</x:v>
      </x:c>
      <x:c r="L992" t="str">
        <x:v>All Geographies</x:v>
      </x:c>
      <x:c r="M992" s="34" t="n">
        <x:v>959</x:v>
      </x:c>
      <x:c r="N992" s="28" t="n">
        <x:v>0.0535248</x:v>
      </x:c>
      <x:c r="O992" s="34" t="n">
        <x:v>51</x:v>
      </x:c>
      <x:c r="P992" s="34" t="n">
        <x:v>1</x:v>
      </x:c>
      <x:c r="Q992" s="34" t="n">
        <x:v>51</x:v>
      </x:c>
      <x:c r="R992" s="33" t="n">
        <x:v>18</x:v>
      </x:c>
      <x:c r="S992" s="38" t="n">
        <x:v>0.918</x:v>
      </x:c>
      <x:c r="T992" s="38" t="n">
        <x:v>0.11016</x:v>
      </x:c>
      <x:c r="U992" s="38" t="n">
        <x:v>0.020196000000000002</x:v>
      </x:c>
      <x:c r="V992" s="38" t="n">
        <x:v>0.787644</x:v>
      </x:c>
      <x:c r="W992" s="38" t="n">
        <x:v>0.27591000000000004</x:v>
      </x:c>
      <x:c r="X992" s="38" t="n">
        <x:v>0.022841676</x:v>
      </x:c>
      <x:c r="Y992" s="38" t="n">
        <x:v>0.04725864</x:v>
      </x:c>
      <x:c r="Z992" s="38" t="n">
        <x:v>0.26009999999999994</x:v>
      </x:c>
      <x:c r="AA992" s="38" t="n">
        <x:v>0.08925</x:v>
      </x:c>
      <x:c r="AB992" s="38" t="n">
        <x:v>0.00030600000000000007</x:v>
      </x:c>
      <x:c r="AC992" s="38" t="n">
        <x:v>0.09197768399999998</x:v>
      </x:c>
      <x:c r="AD992" s="28" t="n">
        <x:v>0.11677570577570574</x:v>
      </x:c>
    </x:row>
    <x:row r="993">
      <x:c r="A993" s="32" t="n">
        <x:v>46006</x:v>
      </x:c>
      <x:c r="B993" s="32" t="n">
        <x:v>45992</x:v>
      </x:c>
      <x:c r="C993" t="str">
        <x:v>Dec 2025</x:v>
      </x:c>
      <x:c r="D993" t="str">
        <x:v>Actual</x:v>
      </x:c>
      <x:c r="E993" t="str">
        <x:v>DB-103</x:v>
      </x:c>
      <x:c r="F993" t="str">
        <x:v>EmberTrail Camp Mug</x:v>
      </x:c>
      <x:c r="G993" t="str">
        <x:v>One-time purchase</x:v>
      </x:c>
      <x:c r="H993" t="str">
        <x:v>Winter peak</x:v>
      </x:c>
      <x:c r="I993" t="str">
        <x:v>Active</x:v>
      </x:c>
      <x:c r="J993" t="str">
        <x:v>Shopify DTC</x:v>
      </x:c>
      <x:c r="K993" t="str">
        <x:v>Consumer</x:v>
      </x:c>
      <x:c r="L993" t="str">
        <x:v>All Geographies</x:v>
      </x:c>
      <x:c r="M993" s="34" t="n">
        <x:v>6373</x:v>
      </x:c>
      <x:c r="N993" s="28" t="n">
        <x:v>0.0324</x:v>
      </x:c>
      <x:c r="O993" s="34" t="n">
        <x:v>206</x:v>
      </x:c>
      <x:c r="P993" s="34" t="n">
        <x:v>1</x:v>
      </x:c>
      <x:c r="Q993" s="34" t="n">
        <x:v>206</x:v>
      </x:c>
      <x:c r="R993" s="33" t="n">
        <x:v>34</x:v>
      </x:c>
      <x:c r="S993" s="38" t="n">
        <x:v>7.004</x:v>
      </x:c>
      <x:c r="T993" s="38" t="n">
        <x:v>0.5603199999999999</x:v>
      </x:c>
      <x:c r="U993" s="38" t="n">
        <x:v>0.3544024</x:v>
      </x:c>
      <x:c r="V993" s="38" t="n">
        <x:v>6.0892776</x:v>
      </x:c>
      <x:c r="W993" s="38" t="n">
        <x:v>2.81602</x:v>
      </x:c>
      <x:c r="X993" s="38" t="n">
        <x:v>0.1765890504</x:v>
      </x:c>
      <x:c r="Y993" s="38" t="n">
        <x:v>0</x:v>
      </x:c>
      <x:c r="Z993" s="38" t="n">
        <x:v>0.8549000000000001</x:v>
      </x:c>
      <x:c r="AA993" s="38" t="n">
        <x:v>0.3399</x:v>
      </x:c>
      <x:c r="AB993" s="38" t="n">
        <x:v>0.011536000000000001</x:v>
      </x:c>
      <x:c r="AC993" s="38" t="n">
        <x:v>1.8903325495999996</x:v>
      </x:c>
      <x:c r="AD993" s="28" t="n">
        <x:v>0.3104362575948253</x:v>
      </x:c>
    </x:row>
    <x:row r="994">
      <x:c r="A994" s="32" t="n">
        <x:v>46006</x:v>
      </x:c>
      <x:c r="B994" s="32" t="n">
        <x:v>45992</x:v>
      </x:c>
      <x:c r="C994" t="str">
        <x:v>Dec 2025</x:v>
      </x:c>
      <x:c r="D994" t="str">
        <x:v>Actual</x:v>
      </x:c>
      <x:c r="E994" t="str">
        <x:v>DB-103</x:v>
      </x:c>
      <x:c r="F994" t="str">
        <x:v>EmberTrail Camp Mug</x:v>
      </x:c>
      <x:c r="G994" t="str">
        <x:v>One-time purchase</x:v>
      </x:c>
      <x:c r="H994" t="str">
        <x:v>Winter peak</x:v>
      </x:c>
      <x:c r="I994" t="str">
        <x:v>Active</x:v>
      </x:c>
      <x:c r="J994" t="str">
        <x:v>Amazon Marketplace</x:v>
      </x:c>
      <x:c r="K994" t="str">
        <x:v>Marketplace Consumer</x:v>
      </x:c>
      <x:c r="L994" t="str">
        <x:v>All Geographies</x:v>
      </x:c>
      <x:c r="M994" s="34" t="n">
        <x:v>3186</x:v>
      </x:c>
      <x:c r="N994" s="28" t="n">
        <x:v>0.038231999999999995</x:v>
      </x:c>
      <x:c r="O994" s="34" t="n">
        <x:v>122</x:v>
      </x:c>
      <x:c r="P994" s="34" t="n">
        <x:v>1</x:v>
      </x:c>
      <x:c r="Q994" s="34" t="n">
        <x:v>122</x:v>
      </x:c>
      <x:c r="R994" s="33" t="n">
        <x:v>34</x:v>
      </x:c>
      <x:c r="S994" s="38" t="n">
        <x:v>4.148</x:v>
      </x:c>
      <x:c r="T994" s="38" t="n">
        <x:v>0.2074</x:v>
      </x:c>
      <x:c r="U994" s="38" t="n">
        <x:v>0.21673299999999998</x:v>
      </x:c>
      <x:c r="V994" s="38" t="n">
        <x:v>3.723867</x:v>
      </x:c>
      <x:c r="W994" s="38" t="n">
        <x:v>1.66774</x:v>
      </x:c>
      <x:c r="X994" s="38" t="n">
        <x:v>0</x:v>
      </x:c>
      <x:c r="Y994" s="38" t="n">
        <x:v>0.55858005</x:v>
      </x:c>
      <x:c r="Z994" s="38" t="n">
        <x:v>0.6344</x:v>
      </x:c>
      <x:c r="AA994" s="38" t="n">
        <x:v>0.26230000000000003</x:v>
      </x:c>
      <x:c r="AB994" s="38" t="n">
        <x:v>0.0068319999999999995</x:v>
      </x:c>
      <x:c r="AC994" s="38" t="n">
        <x:v>0.59401495</x:v>
      </x:c>
      <x:c r="AD994" s="28" t="n">
        <x:v>0.15951561911314235</x:v>
      </x:c>
    </x:row>
    <x:row r="995">
      <x:c r="A995" s="32" t="n">
        <x:v>46006</x:v>
      </x:c>
      <x:c r="B995" s="32" t="n">
        <x:v>45992</x:v>
      </x:c>
      <x:c r="C995" t="str">
        <x:v>Dec 2025</x:v>
      </x:c>
      <x:c r="D995" t="str">
        <x:v>Actual</x:v>
      </x:c>
      <x:c r="E995" t="str">
        <x:v>DB-103</x:v>
      </x:c>
      <x:c r="F995" t="str">
        <x:v>EmberTrail Camp Mug</x:v>
      </x:c>
      <x:c r="G995" t="str">
        <x:v>One-time purchase</x:v>
      </x:c>
      <x:c r="H995" t="str">
        <x:v>Winter peak</x:v>
      </x:c>
      <x:c r="I995" t="str">
        <x:v>Active</x:v>
      </x:c>
      <x:c r="J995" t="str">
        <x:v>Wholesale</x:v>
      </x:c>
      <x:c r="K995" t="str">
        <x:v>Retailer</x:v>
      </x:c>
      <x:c r="L995" t="str">
        <x:v>All Geographies</x:v>
      </x:c>
      <x:c r="M995" s="34" t="n">
        <x:v>1912</x:v>
      </x:c>
      <x:c r="N995" s="28" t="n">
        <x:v>0.017820000000000003</x:v>
      </x:c>
      <x:c r="O995" s="34" t="n">
        <x:v>34</x:v>
      </x:c>
      <x:c r="P995" s="34" t="n">
        <x:v>1</x:v>
      </x:c>
      <x:c r="Q995" s="34" t="n">
        <x:v>34</x:v>
      </x:c>
      <x:c r="R995" s="33" t="n">
        <x:v>34</x:v>
      </x:c>
      <x:c r="S995" s="38" t="n">
        <x:v>1.156</x:v>
      </x:c>
      <x:c r="T995" s="38" t="n">
        <x:v>0.40459999999999996</x:v>
      </x:c>
      <x:c r="U995" s="38" t="n">
        <x:v>0.041326999999999996</x:v>
      </x:c>
      <x:c r="V995" s="38" t="n">
        <x:v>0.710073</x:v>
      </x:c>
      <x:c r="W995" s="38" t="n">
        <x:v>0.46477999999999997</x:v>
      </x:c>
      <x:c r="X995" s="38" t="n">
        <x:v>0</x:v>
      </x:c>
      <x:c r="Y995" s="38" t="n">
        <x:v>0</x:v>
      </x:c>
      <x:c r="Z995" s="38" t="n">
        <x:v>0.07819999999999999</x:v>
      </x:c>
      <x:c r="AA995" s="38" t="n">
        <x:v>0.0289</x:v>
      </x:c>
      <x:c r="AB995" s="38" t="n">
        <x:v>0.001904</x:v>
      </x:c>
      <x:c r="AC995" s="38" t="n">
        <x:v>0.136289</x:v>
      </x:c>
      <x:c r="AD995" s="28" t="n">
        <x:v>0.19193660370130958</x:v>
      </x:c>
    </x:row>
    <x:row r="996">
      <x:c r="A996" s="32" t="n">
        <x:v>46006</x:v>
      </x:c>
      <x:c r="B996" s="32" t="n">
        <x:v>45992</x:v>
      </x:c>
      <x:c r="C996" t="str">
        <x:v>Dec 2025</x:v>
      </x:c>
      <x:c r="D996" t="str">
        <x:v>Actual</x:v>
      </x:c>
      <x:c r="E996" t="str">
        <x:v>DB-103</x:v>
      </x:c>
      <x:c r="F996" t="str">
        <x:v>EmberTrail Camp Mug</x:v>
      </x:c>
      <x:c r="G996" t="str">
        <x:v>One-time purchase</x:v>
      </x:c>
      <x:c r="H996" t="str">
        <x:v>Winter peak</x:v>
      </x:c>
      <x:c r="I996" t="str">
        <x:v>Active</x:v>
      </x:c>
      <x:c r="J996" t="str">
        <x:v>TikTok Shop</x:v>
      </x:c>
      <x:c r="K996" t="str">
        <x:v>Social Commerce</x:v>
      </x:c>
      <x:c r="L996" t="str">
        <x:v>All Geographies</x:v>
      </x:c>
      <x:c r="M996" s="34" t="n">
        <x:v>1275</x:v>
      </x:c>
      <x:c r="N996" s="28" t="n">
        <x:v>0.040824</x:v>
      </x:c>
      <x:c r="O996" s="34" t="n">
        <x:v>52</x:v>
      </x:c>
      <x:c r="P996" s="34" t="n">
        <x:v>1</x:v>
      </x:c>
      <x:c r="Q996" s="34" t="n">
        <x:v>52</x:v>
      </x:c>
      <x:c r="R996" s="33" t="n">
        <x:v>34</x:v>
      </x:c>
      <x:c r="S996" s="38" t="n">
        <x:v>1.768</x:v>
      </x:c>
      <x:c r="T996" s="38" t="n">
        <x:v>0.21216</x:v>
      </x:c>
      <x:c r="U996" s="38" t="n">
        <x:v>0.0855712</x:v>
      </x:c>
      <x:c r="V996" s="38" t="n">
        <x:v>1.4702688000000002</x:v>
      </x:c>
      <x:c r="W996" s="38" t="n">
        <x:v>0.71084</x:v>
      </x:c>
      <x:c r="X996" s="38" t="n">
        <x:v>0.04263779520000001</x:v>
      </x:c>
      <x:c r="Y996" s="38" t="n">
        <x:v>0.088216128</x:v>
      </x:c>
      <x:c r="Z996" s="38" t="n">
        <x:v>0.2652</x:v>
      </x:c>
      <x:c r="AA996" s="38" t="n">
        <x:v>0.091</x:v>
      </x:c>
      <x:c r="AB996" s="38" t="n">
        <x:v>0.0029120000000000005</x:v>
      </x:c>
      <x:c r="AC996" s="38" t="n">
        <x:v>0.26946287680000014</x:v>
      </x:c>
      <x:c r="AD996" s="28" t="n">
        <x:v>0.18327456639221354</x:v>
      </x:c>
    </x:row>
    <x:row r="997">
      <x:c r="A997" s="32" t="n">
        <x:v>46006</x:v>
      </x:c>
      <x:c r="B997" s="32" t="n">
        <x:v>45992</x:v>
      </x:c>
      <x:c r="C997" t="str">
        <x:v>Dec 2025</x:v>
      </x:c>
      <x:c r="D997" t="str">
        <x:v>Actual</x:v>
      </x:c>
      <x:c r="E997" t="str">
        <x:v>DB-104</x:v>
      </x:c>
      <x:c r="F997" t="str">
        <x:v>SunNest Cooling Towel</x:v>
      </x:c>
      <x:c r="G997" t="str">
        <x:v>Consumable repeat</x:v>
      </x:c>
      <x:c r="H997" t="str">
        <x:v>Summer peak</x:v>
      </x:c>
      <x:c r="I997" t="str">
        <x:v>Active</x:v>
      </x:c>
      <x:c r="J997" t="str">
        <x:v>Shopify DTC</x:v>
      </x:c>
      <x:c r="K997" t="str">
        <x:v>Consumer</x:v>
      </x:c>
      <x:c r="L997" t="str">
        <x:v>All Geographies</x:v>
      </x:c>
      <x:c r="M997" s="34" t="n">
        <x:v>2796</x:v>
      </x:c>
      <x:c r="N997" s="28" t="n">
        <x:v>0.03312</x:v>
      </x:c>
      <x:c r="O997" s="34" t="n">
        <x:v>93</x:v>
      </x:c>
      <x:c r="P997" s="34" t="n">
        <x:v>1</x:v>
      </x:c>
      <x:c r="Q997" s="34" t="n">
        <x:v>93</x:v>
      </x:c>
      <x:c r="R997" s="33" t="n">
        <x:v>42</x:v>
      </x:c>
      <x:c r="S997" s="38" t="n">
        <x:v>3.906</x:v>
      </x:c>
      <x:c r="T997" s="38" t="n">
        <x:v>0.31248000000000004</x:v>
      </x:c>
      <x:c r="U997" s="38" t="n">
        <x:v>0.17967600000000003</x:v>
      </x:c>
      <x:c r="V997" s="38" t="n">
        <x:v>3.413844</x:v>
      </x:c>
      <x:c r="W997" s="38" t="n">
        <x:v>1.39965</x:v>
      </x:c>
      <x:c r="X997" s="38" t="n">
        <x:v>0.099001476</x:v>
      </x:c>
      <x:c r="Y997" s="38" t="n">
        <x:v>0</x:v>
      </x:c>
      <x:c r="Z997" s="38" t="n">
        <x:v>0.38595000000000007</x:v>
      </x:c>
      <x:c r="AA997" s="38" t="n">
        <x:v>0.15344999999999998</x:v>
      </x:c>
      <x:c r="AB997" s="38" t="n">
        <x:v>0.002604</x:v>
      </x:c>
      <x:c r="AC997" s="38" t="n">
        <x:v>1.373188524</x:v>
      </x:c>
      <x:c r="AD997" s="28" t="n">
        <x:v>0.4022411463441211</x:v>
      </x:c>
    </x:row>
    <x:row r="998">
      <x:c r="A998" s="32" t="n">
        <x:v>46006</x:v>
      </x:c>
      <x:c r="B998" s="32" t="n">
        <x:v>45992</x:v>
      </x:c>
      <x:c r="C998" t="str">
        <x:v>Dec 2025</x:v>
      </x:c>
      <x:c r="D998" t="str">
        <x:v>Actual</x:v>
      </x:c>
      <x:c r="E998" t="str">
        <x:v>DB-104</x:v>
      </x:c>
      <x:c r="F998" t="str">
        <x:v>SunNest Cooling Towel</x:v>
      </x:c>
      <x:c r="G998" t="str">
        <x:v>Consumable repeat</x:v>
      </x:c>
      <x:c r="H998" t="str">
        <x:v>Summer peak</x:v>
      </x:c>
      <x:c r="I998" t="str">
        <x:v>Active</x:v>
      </x:c>
      <x:c r="J998" t="str">
        <x:v>Amazon Marketplace</x:v>
      </x:c>
      <x:c r="K998" t="str">
        <x:v>Marketplace Consumer</x:v>
      </x:c>
      <x:c r="L998" t="str">
        <x:v>All Geographies</x:v>
      </x:c>
      <x:c r="M998" s="34" t="n">
        <x:v>1398</x:v>
      </x:c>
      <x:c r="N998" s="28" t="n">
        <x:v>0.0390816</x:v>
      </x:c>
      <x:c r="O998" s="34" t="n">
        <x:v>55</x:v>
      </x:c>
      <x:c r="P998" s="34" t="n">
        <x:v>1</x:v>
      </x:c>
      <x:c r="Q998" s="34" t="n">
        <x:v>55</x:v>
      </x:c>
      <x:c r="R998" s="33" t="n">
        <x:v>42</x:v>
      </x:c>
      <x:c r="S998" s="38" t="n">
        <x:v>2.31</x:v>
      </x:c>
      <x:c r="T998" s="38" t="n">
        <x:v>0.1155</x:v>
      </x:c>
      <x:c r="U998" s="38" t="n">
        <x:v>0.10972500000000002</x:v>
      </x:c>
      <x:c r="V998" s="38" t="n">
        <x:v>2.084775</x:v>
      </x:c>
      <x:c r="W998" s="38" t="n">
        <x:v>0.82775</x:v>
      </x:c>
      <x:c r="X998" s="38" t="n">
        <x:v>0</x:v>
      </x:c>
      <x:c r="Y998" s="38" t="n">
        <x:v>0.31271625</x:v>
      </x:c>
      <x:c r="Z998" s="38" t="n">
        <x:v>0.286</x:v>
      </x:c>
      <x:c r="AA998" s="38" t="n">
        <x:v>0.11825</x:v>
      </x:c>
      <x:c r="AB998" s="38" t="n">
        <x:v>0.0015400000000000001</x:v>
      </x:c>
      <x:c r="AC998" s="38" t="n">
        <x:v>0.53851875</x:v>
      </x:c>
      <x:c r="AD998" s="28" t="n">
        <x:v>0.25831024930747926</x:v>
      </x:c>
    </x:row>
    <x:row r="999">
      <x:c r="A999" s="32" t="n">
        <x:v>46006</x:v>
      </x:c>
      <x:c r="B999" s="32" t="n">
        <x:v>45992</x:v>
      </x:c>
      <x:c r="C999" t="str">
        <x:v>Dec 2025</x:v>
      </x:c>
      <x:c r="D999" t="str">
        <x:v>Actual</x:v>
      </x:c>
      <x:c r="E999" t="str">
        <x:v>DB-104</x:v>
      </x:c>
      <x:c r="F999" t="str">
        <x:v>SunNest Cooling Towel</x:v>
      </x:c>
      <x:c r="G999" t="str">
        <x:v>Consumable repeat</x:v>
      </x:c>
      <x:c r="H999" t="str">
        <x:v>Summer peak</x:v>
      </x:c>
      <x:c r="I999" t="str">
        <x:v>Active</x:v>
      </x:c>
      <x:c r="J999" t="str">
        <x:v>Wholesale</x:v>
      </x:c>
      <x:c r="K999" t="str">
        <x:v>Retailer</x:v>
      </x:c>
      <x:c r="L999" t="str">
        <x:v>All Geographies</x:v>
      </x:c>
      <x:c r="M999" s="34" t="n">
        <x:v>839</x:v>
      </x:c>
      <x:c r="N999" s="28" t="n">
        <x:v>0.018216000000000003</x:v>
      </x:c>
      <x:c r="O999" s="34" t="n">
        <x:v>15</x:v>
      </x:c>
      <x:c r="P999" s="34" t="n">
        <x:v>1</x:v>
      </x:c>
      <x:c r="Q999" s="34" t="n">
        <x:v>15</x:v>
      </x:c>
      <x:c r="R999" s="33" t="n">
        <x:v>42</x:v>
      </x:c>
      <x:c r="S999" s="38" t="n">
        <x:v>0.63</x:v>
      </x:c>
      <x:c r="T999" s="38" t="n">
        <x:v>0.22049999999999997</x:v>
      </x:c>
      <x:c r="U999" s="38" t="n">
        <x:v>0.020475000000000004</x:v>
      </x:c>
      <x:c r="V999" s="38" t="n">
        <x:v>0.389025</x:v>
      </x:c>
      <x:c r="W999" s="38" t="n">
        <x:v>0.22575</x:v>
      </x:c>
      <x:c r="X999" s="38" t="n">
        <x:v>0</x:v>
      </x:c>
      <x:c r="Y999" s="38" t="n">
        <x:v>0</x:v>
      </x:c>
      <x:c r="Z999" s="38" t="n">
        <x:v>0.0345</x:v>
      </x:c>
      <x:c r="AA999" s="38" t="n">
        <x:v>0.01275</x:v>
      </x:c>
      <x:c r="AB999" s="38" t="n">
        <x:v>0.00041999999999999996</x:v>
      </x:c>
      <x:c r="AC999" s="38" t="n">
        <x:v>0.115605</x:v>
      </x:c>
      <x:c r="AD999" s="28" t="n">
        <x:v>0.297165991902834</x:v>
      </x:c>
    </x:row>
    <x:row r="1000">
      <x:c r="A1000" s="32" t="n">
        <x:v>46006</x:v>
      </x:c>
      <x:c r="B1000" s="32" t="n">
        <x:v>45992</x:v>
      </x:c>
      <x:c r="C1000" t="str">
        <x:v>Dec 2025</x:v>
      </x:c>
      <x:c r="D1000" t="str">
        <x:v>Actual</x:v>
      </x:c>
      <x:c r="E1000" t="str">
        <x:v>DB-104</x:v>
      </x:c>
      <x:c r="F1000" t="str">
        <x:v>SunNest Cooling Towel</x:v>
      </x:c>
      <x:c r="G1000" t="str">
        <x:v>Consumable repeat</x:v>
      </x:c>
      <x:c r="H1000" t="str">
        <x:v>Summer peak</x:v>
      </x:c>
      <x:c r="I1000" t="str">
        <x:v>Active</x:v>
      </x:c>
      <x:c r="J1000" t="str">
        <x:v>TikTok Shop</x:v>
      </x:c>
      <x:c r="K1000" t="str">
        <x:v>Social Commerce</x:v>
      </x:c>
      <x:c r="L1000" t="str">
        <x:v>All Geographies</x:v>
      </x:c>
      <x:c r="M1000" s="34" t="n">
        <x:v>559</x:v>
      </x:c>
      <x:c r="N1000" s="28" t="n">
        <x:v>0.0417312</x:v>
      </x:c>
      <x:c r="O1000" s="34" t="n">
        <x:v>23</x:v>
      </x:c>
      <x:c r="P1000" s="34" t="n">
        <x:v>1</x:v>
      </x:c>
      <x:c r="Q1000" s="34" t="n">
        <x:v>23</x:v>
      </x:c>
      <x:c r="R1000" s="33" t="n">
        <x:v>42</x:v>
      </x:c>
      <x:c r="S1000" s="38" t="n">
        <x:v>0.966</x:v>
      </x:c>
      <x:c r="T1000" s="38" t="n">
        <x:v>0.11592</x:v>
      </x:c>
      <x:c r="U1000" s="38" t="n">
        <x:v>0.042504</x:v>
      </x:c>
      <x:c r="V1000" s="38" t="n">
        <x:v>0.807576</x:v>
      </x:c>
      <x:c r="W1000" s="38" t="n">
        <x:v>0.34615</x:v>
      </x:c>
      <x:c r="X1000" s="38" t="n">
        <x:v>0.023419704</x:v>
      </x:c>
      <x:c r="Y1000" s="38" t="n">
        <x:v>0.048454559999999994</x:v>
      </x:c>
      <x:c r="Z1000" s="38" t="n">
        <x:v>0.1173</x:v>
      </x:c>
      <x:c r="AA1000" s="38" t="n">
        <x:v>0.04025</x:v>
      </x:c>
      <x:c r="AB1000" s="38" t="n">
        <x:v>0.000644</x:v>
      </x:c>
      <x:c r="AC1000" s="38" t="n">
        <x:v>0.23135773599999995</x:v>
      </x:c>
      <x:c r="AD1000" s="28" t="n">
        <x:v>0.2864841649578491</x:v>
      </x:c>
    </x:row>
    <x:row r="1001">
      <x:c r="A1001" s="32" t="n">
        <x:v>46006</x:v>
      </x:c>
      <x:c r="B1001" s="32" t="n">
        <x:v>45992</x:v>
      </x:c>
      <x:c r="C1001" t="str">
        <x:v>Dec 2025</x:v>
      </x:c>
      <x:c r="D1001" t="str">
        <x:v>Actual</x:v>
      </x:c>
      <x:c r="E1001" t="str">
        <x:v>DB-105</x:v>
      </x:c>
      <x:c r="F1001" t="str">
        <x:v>DreamFuel Refill Pack</x:v>
      </x:c>
      <x:c r="G1001" t="str">
        <x:v>Subscription</x:v>
      </x:c>
      <x:c r="H1001" t="str">
        <x:v>None</x:v>
      </x:c>
      <x:c r="I1001" t="str">
        <x:v>Active</x:v>
      </x:c>
      <x:c r="J1001" t="str">
        <x:v>Shopify DTC</x:v>
      </x:c>
      <x:c r="K1001" t="str">
        <x:v>Consumer</x:v>
      </x:c>
      <x:c r="L1001" t="str">
        <x:v>All Geographies</x:v>
      </x:c>
      <x:c r="M1001" s="34" t="n">
        <x:v>4111</x:v>
      </x:c>
      <x:c r="N1001" s="28" t="n">
        <x:v>0.03888</x:v>
      </x:c>
      <x:c r="O1001" s="34" t="n">
        <x:v>160</x:v>
      </x:c>
      <x:c r="P1001" s="34" t="n">
        <x:v>1</x:v>
      </x:c>
      <x:c r="Q1001" s="34" t="n">
        <x:v>160</x:v>
      </x:c>
      <x:c r="R1001" s="33" t="n">
        <x:v>56</x:v>
      </x:c>
      <x:c r="S1001" s="38" t="n">
        <x:v>8.96</x:v>
      </x:c>
      <x:c r="T1001" s="38" t="n">
        <x:v>0.7168000000000001</x:v>
      </x:c>
      <x:c r="U1001" s="38" t="n">
        <x:v>0.16486400000000004</x:v>
      </x:c>
      <x:c r="V1001" s="38" t="n">
        <x:v>8.078336000000002</x:v>
      </x:c>
      <x:c r="W1001" s="38" t="n">
        <x:v>2.9792</x:v>
      </x:c>
      <x:c r="X1001" s="38" t="n">
        <x:v>0.23427174400000006</x:v>
      </x:c>
      <x:c r="Y1001" s="38" t="n">
        <x:v>0</x:v>
      </x:c>
      <x:c r="Z1001" s="38" t="n">
        <x:v>0.664</x:v>
      </x:c>
      <x:c r="AA1001" s="38" t="n">
        <x:v>0.264</x:v>
      </x:c>
      <x:c r="AB1001" s="38" t="n">
        <x:v>0.0005759999999999999</x:v>
      </x:c>
      <x:c r="AC1001" s="38" t="n">
        <x:v>3.9362882560000014</x:v>
      </x:c>
      <x:c r="AD1001" s="28" t="n">
        <x:v>0.4872647357079478</x:v>
      </x:c>
    </x:row>
    <x:row r="1002">
      <x:c r="A1002" s="32" t="n">
        <x:v>46006</x:v>
      </x:c>
      <x:c r="B1002" s="32" t="n">
        <x:v>45992</x:v>
      </x:c>
      <x:c r="C1002" t="str">
        <x:v>Dec 2025</x:v>
      </x:c>
      <x:c r="D1002" t="str">
        <x:v>Actual</x:v>
      </x:c>
      <x:c r="E1002" t="str">
        <x:v>DB-105</x:v>
      </x:c>
      <x:c r="F1002" t="str">
        <x:v>DreamFuel Refill Pack</x:v>
      </x:c>
      <x:c r="G1002" t="str">
        <x:v>Subscription</x:v>
      </x:c>
      <x:c r="H1002" t="str">
        <x:v>None</x:v>
      </x:c>
      <x:c r="I1002" t="str">
        <x:v>Active</x:v>
      </x:c>
      <x:c r="J1002" t="str">
        <x:v>Amazon Marketplace</x:v>
      </x:c>
      <x:c r="K1002" t="str">
        <x:v>Marketplace Consumer</x:v>
      </x:c>
      <x:c r="L1002" t="str">
        <x:v>All Geographies</x:v>
      </x:c>
      <x:c r="M1002" s="34" t="n">
        <x:v>2056</x:v>
      </x:c>
      <x:c r="N1002" s="28" t="n">
        <x:v>0.0458784</x:v>
      </x:c>
      <x:c r="O1002" s="34" t="n">
        <x:v>94</x:v>
      </x:c>
      <x:c r="P1002" s="34" t="n">
        <x:v>1</x:v>
      </x:c>
      <x:c r="Q1002" s="34" t="n">
        <x:v>94</x:v>
      </x:c>
      <x:c r="R1002" s="33" t="n">
        <x:v>56</x:v>
      </x:c>
      <x:c r="S1002" s="38" t="n">
        <x:v>5.264</x:v>
      </x:c>
      <x:c r="T1002" s="38" t="n">
        <x:v>0.26320000000000005</x:v>
      </x:c>
      <x:c r="U1002" s="38" t="n">
        <x:v>0.100016</x:v>
      </x:c>
      <x:c r="V1002" s="38" t="n">
        <x:v>4.900784</x:v>
      </x:c>
      <x:c r="W1002" s="38" t="n">
        <x:v>1.7502800000000003</x:v>
      </x:c>
      <x:c r="X1002" s="38" t="n">
        <x:v>0</x:v>
      </x:c>
      <x:c r="Y1002" s="38" t="n">
        <x:v>0.7351175999999999</x:v>
      </x:c>
      <x:c r="Z1002" s="38" t="n">
        <x:v>0.4888</x:v>
      </x:c>
      <x:c r="AA1002" s="38" t="n">
        <x:v>0.2021</x:v>
      </x:c>
      <x:c r="AB1002" s="38" t="n">
        <x:v>0.00033840000000000004</x:v>
      </x:c>
      <x:c r="AC1002" s="38" t="n">
        <x:v>1.7241480000000002</x:v>
      </x:c>
      <x:c r="AD1002" s="28" t="n">
        <x:v>0.3518106490716588</x:v>
      </x:c>
    </x:row>
    <x:row r="1003">
      <x:c r="A1003" s="32" t="n">
        <x:v>46006</x:v>
      </x:c>
      <x:c r="B1003" s="32" t="n">
        <x:v>45992</x:v>
      </x:c>
      <x:c r="C1003" t="str">
        <x:v>Dec 2025</x:v>
      </x:c>
      <x:c r="D1003" t="str">
        <x:v>Actual</x:v>
      </x:c>
      <x:c r="E1003" t="str">
        <x:v>DB-105</x:v>
      </x:c>
      <x:c r="F1003" t="str">
        <x:v>DreamFuel Refill Pack</x:v>
      </x:c>
      <x:c r="G1003" t="str">
        <x:v>Subscription</x:v>
      </x:c>
      <x:c r="H1003" t="str">
        <x:v>None</x:v>
      </x:c>
      <x:c r="I1003" t="str">
        <x:v>Active</x:v>
      </x:c>
      <x:c r="J1003" t="str">
        <x:v>Wholesale</x:v>
      </x:c>
      <x:c r="K1003" t="str">
        <x:v>Retailer</x:v>
      </x:c>
      <x:c r="L1003" t="str">
        <x:v>All Geographies</x:v>
      </x:c>
      <x:c r="M1003" s="34" t="n">
        <x:v>1233</x:v>
      </x:c>
      <x:c r="N1003" s="28" t="n">
        <x:v>0.021384000000000004</x:v>
      </x:c>
      <x:c r="O1003" s="34" t="n">
        <x:v>26</x:v>
      </x:c>
      <x:c r="P1003" s="34" t="n">
        <x:v>1</x:v>
      </x:c>
      <x:c r="Q1003" s="34" t="n">
        <x:v>26</x:v>
      </x:c>
      <x:c r="R1003" s="33" t="n">
        <x:v>56</x:v>
      </x:c>
      <x:c r="S1003" s="38" t="n">
        <x:v>1.456</x:v>
      </x:c>
      <x:c r="T1003" s="38" t="n">
        <x:v>0.5095999999999999</x:v>
      </x:c>
      <x:c r="U1003" s="38" t="n">
        <x:v>0.018928</x:v>
      </x:c>
      <x:c r="V1003" s="38" t="n">
        <x:v>0.9274720000000001</x:v>
      </x:c>
      <x:c r="W1003" s="38" t="n">
        <x:v>0.48412</x:v>
      </x:c>
      <x:c r="X1003" s="38" t="n">
        <x:v>0</x:v>
      </x:c>
      <x:c r="Y1003" s="38" t="n">
        <x:v>0</x:v>
      </x:c>
      <x:c r="Z1003" s="38" t="n">
        <x:v>0.0598</x:v>
      </x:c>
      <x:c r="AA1003" s="38" t="n">
        <x:v>0.022099999999999998</x:v>
      </x:c>
      <x:c r="AB1003" s="38" t="n">
        <x:v>0.0000936</x:v>
      </x:c>
      <x:c r="AC1003" s="38" t="n">
        <x:v>0.3613584</x:v>
      </x:c>
      <x:c r="AD1003" s="28" t="n">
        <x:v>0.38961650594303654</x:v>
      </x:c>
    </x:row>
    <x:row r="1004">
      <x:c r="A1004" s="32" t="n">
        <x:v>46006</x:v>
      </x:c>
      <x:c r="B1004" s="32" t="n">
        <x:v>45992</x:v>
      </x:c>
      <x:c r="C1004" t="str">
        <x:v>Dec 2025</x:v>
      </x:c>
      <x:c r="D1004" t="str">
        <x:v>Actual</x:v>
      </x:c>
      <x:c r="E1004" t="str">
        <x:v>DB-105</x:v>
      </x:c>
      <x:c r="F1004" t="str">
        <x:v>DreamFuel Refill Pack</x:v>
      </x:c>
      <x:c r="G1004" t="str">
        <x:v>Subscription</x:v>
      </x:c>
      <x:c r="H1004" t="str">
        <x:v>None</x:v>
      </x:c>
      <x:c r="I1004" t="str">
        <x:v>Active</x:v>
      </x:c>
      <x:c r="J1004" t="str">
        <x:v>TikTok Shop</x:v>
      </x:c>
      <x:c r="K1004" t="str">
        <x:v>Social Commerce</x:v>
      </x:c>
      <x:c r="L1004" t="str">
        <x:v>All Geographies</x:v>
      </x:c>
      <x:c r="M1004" s="34" t="n">
        <x:v>822</x:v>
      </x:c>
      <x:c r="N1004" s="28" t="n">
        <x:v>0.0489888</x:v>
      </x:c>
      <x:c r="O1004" s="34" t="n">
        <x:v>40</x:v>
      </x:c>
      <x:c r="P1004" s="34" t="n">
        <x:v>1</x:v>
      </x:c>
      <x:c r="Q1004" s="34" t="n">
        <x:v>40</x:v>
      </x:c>
      <x:c r="R1004" s="33" t="n">
        <x:v>56</x:v>
      </x:c>
      <x:c r="S1004" s="38" t="n">
        <x:v>2.24</x:v>
      </x:c>
      <x:c r="T1004" s="38" t="n">
        <x:v>0.26880000000000004</x:v>
      </x:c>
      <x:c r="U1004" s="38" t="n">
        <x:v>0.039424</x:v>
      </x:c>
      <x:c r="V1004" s="38" t="n">
        <x:v>1.9317760000000002</x:v>
      </x:c>
      <x:c r="W1004" s="38" t="n">
        <x:v>0.7448</x:v>
      </x:c>
      <x:c r="X1004" s="38" t="n">
        <x:v>0.05602150400000001</x:v>
      </x:c>
      <x:c r="Y1004" s="38" t="n">
        <x:v>0.11590656</x:v>
      </x:c>
      <x:c r="Z1004" s="38" t="n">
        <x:v>0.204</x:v>
      </x:c>
      <x:c r="AA1004" s="38" t="n">
        <x:v>0.07</x:v>
      </x:c>
      <x:c r="AB1004" s="38" t="n">
        <x:v>0.00014399999999999998</x:v>
      </x:c>
      <x:c r="AC1004" s="38" t="n">
        <x:v>0.7409039359999999</x:v>
      </x:c>
      <x:c r="AD1004" s="28" t="n">
        <x:v>0.38353511794328116</x:v>
      </x:c>
    </x:row>
    <x:row r="1005">
      <x:c r="A1005" s="32" t="n">
        <x:v>46013</x:v>
      </x:c>
      <x:c r="B1005" s="32" t="n">
        <x:v>45992</x:v>
      </x:c>
      <x:c r="C1005" t="str">
        <x:v>Dec 2025</x:v>
      </x:c>
      <x:c r="D1005" t="str">
        <x:v>Actual</x:v>
      </x:c>
      <x:c r="E1005" t="str">
        <x:v>DB-101</x:v>
      </x:c>
      <x:c r="F1005" t="str">
        <x:v>AeroSip Bottle</x:v>
      </x:c>
      <x:c r="G1005" t="str">
        <x:v>One-time purchase</x:v>
      </x:c>
      <x:c r="H1005" t="str">
        <x:v>None</x:v>
      </x:c>
      <x:c r="I1005" t="str">
        <x:v>Active</x:v>
      </x:c>
      <x:c r="J1005" t="str">
        <x:v>Shopify DTC</x:v>
      </x:c>
      <x:c r="K1005" t="str">
        <x:v>Consumer</x:v>
      </x:c>
      <x:c r="L1005" t="str">
        <x:v>All Geographies</x:v>
      </x:c>
      <x:c r="M1005" s="34" t="n">
        <x:v>5959</x:v>
      </x:c>
      <x:c r="N1005" s="28" t="n">
        <x:v>0.034199999999999994</x:v>
      </x:c>
      <x:c r="O1005" s="34" t="n">
        <x:v>204</x:v>
      </x:c>
      <x:c r="P1005" s="34" t="n">
        <x:v>1</x:v>
      </x:c>
      <x:c r="Q1005" s="34" t="n">
        <x:v>204</x:v>
      </x:c>
      <x:c r="R1005" s="33" t="n">
        <x:v>29</x:v>
      </x:c>
      <x:c r="S1005" s="38" t="n">
        <x:v>5.916</x:v>
      </x:c>
      <x:c r="T1005" s="38" t="n">
        <x:v>0.47328000000000003</x:v>
      </x:c>
      <x:c r="U1005" s="38" t="n">
        <x:v>0.2449224</x:v>
      </x:c>
      <x:c r="V1005" s="38" t="n">
        <x:v>5.1977976</x:v>
      </x:c>
      <x:c r="W1005" s="38" t="n">
        <x:v>2.2032000000000003</x:v>
      </x:c>
      <x:c r="X1005" s="38" t="n">
        <x:v>0.15073613040000003</x:v>
      </x:c>
      <x:c r="Y1005" s="38" t="n">
        <x:v>0</x:v>
      </x:c>
      <x:c r="Z1005" s="38" t="n">
        <x:v>0.8466</x:v>
      </x:c>
      <x:c r="AA1005" s="38" t="n">
        <x:v>0.33659999999999995</x:v>
      </x:c>
      <x:c r="AB1005" s="38" t="n">
        <x:v>0.007344</x:v>
      </x:c>
      <x:c r="AC1005" s="38" t="n">
        <x:v>1.6533174696000001</x:v>
      </x:c>
      <x:c r="AD1005" s="28" t="n">
        <x:v>0.31808038650831655</x:v>
      </x:c>
    </x:row>
    <x:row r="1006">
      <x:c r="A1006" s="32" t="n">
        <x:v>46013</x:v>
      </x:c>
      <x:c r="B1006" s="32" t="n">
        <x:v>45992</x:v>
      </x:c>
      <x:c r="C1006" t="str">
        <x:v>Dec 2025</x:v>
      </x:c>
      <x:c r="D1006" t="str">
        <x:v>Actual</x:v>
      </x:c>
      <x:c r="E1006" t="str">
        <x:v>DB-101</x:v>
      </x:c>
      <x:c r="F1006" t="str">
        <x:v>AeroSip Bottle</x:v>
      </x:c>
      <x:c r="G1006" t="str">
        <x:v>One-time purchase</x:v>
      </x:c>
      <x:c r="H1006" t="str">
        <x:v>None</x:v>
      </x:c>
      <x:c r="I1006" t="str">
        <x:v>Active</x:v>
      </x:c>
      <x:c r="J1006" t="str">
        <x:v>Amazon Marketplace</x:v>
      </x:c>
      <x:c r="K1006" t="str">
        <x:v>Marketplace Consumer</x:v>
      </x:c>
      <x:c r="L1006" t="str">
        <x:v>All Geographies</x:v>
      </x:c>
      <x:c r="M1006" s="34" t="n">
        <x:v>2980</x:v>
      </x:c>
      <x:c r="N1006" s="28" t="n">
        <x:v>0.040355999999999996</x:v>
      </x:c>
      <x:c r="O1006" s="34" t="n">
        <x:v>120</x:v>
      </x:c>
      <x:c r="P1006" s="34" t="n">
        <x:v>1</x:v>
      </x:c>
      <x:c r="Q1006" s="34" t="n">
        <x:v>120</x:v>
      </x:c>
      <x:c r="R1006" s="33" t="n">
        <x:v>29</x:v>
      </x:c>
      <x:c r="S1006" s="38" t="n">
        <x:v>3.48</x:v>
      </x:c>
      <x:c r="T1006" s="38" t="n">
        <x:v>0.17400000000000002</x:v>
      </x:c>
      <x:c r="U1006" s="38" t="n">
        <x:v>0.14876999999999999</x:v>
      </x:c>
      <x:c r="V1006" s="38" t="n">
        <x:v>3.15723</x:v>
      </x:c>
      <x:c r="W1006" s="38" t="n">
        <x:v>1.296</x:v>
      </x:c>
      <x:c r="X1006" s="38" t="n">
        <x:v>0</x:v>
      </x:c>
      <x:c r="Y1006" s="38" t="n">
        <x:v>0.4735845</x:v>
      </x:c>
      <x:c r="Z1006" s="38" t="n">
        <x:v>0.624</x:v>
      </x:c>
      <x:c r="AA1006" s="38" t="n">
        <x:v>0.258</x:v>
      </x:c>
      <x:c r="AB1006" s="38" t="n">
        <x:v>0.00432</x:v>
      </x:c>
      <x:c r="AC1006" s="38" t="n">
        <x:v>0.5013255000000001</x:v>
      </x:c>
      <x:c r="AD1006" s="28" t="n">
        <x:v>0.15878649955815702</x:v>
      </x:c>
    </x:row>
    <x:row r="1007">
      <x:c r="A1007" s="32" t="n">
        <x:v>46013</x:v>
      </x:c>
      <x:c r="B1007" s="32" t="n">
        <x:v>45992</x:v>
      </x:c>
      <x:c r="C1007" t="str">
        <x:v>Dec 2025</x:v>
      </x:c>
      <x:c r="D1007" t="str">
        <x:v>Actual</x:v>
      </x:c>
      <x:c r="E1007" t="str">
        <x:v>DB-101</x:v>
      </x:c>
      <x:c r="F1007" t="str">
        <x:v>AeroSip Bottle</x:v>
      </x:c>
      <x:c r="G1007" t="str">
        <x:v>One-time purchase</x:v>
      </x:c>
      <x:c r="H1007" t="str">
        <x:v>None</x:v>
      </x:c>
      <x:c r="I1007" t="str">
        <x:v>Active</x:v>
      </x:c>
      <x:c r="J1007" t="str">
        <x:v>Wholesale</x:v>
      </x:c>
      <x:c r="K1007" t="str">
        <x:v>Retailer</x:v>
      </x:c>
      <x:c r="L1007" t="str">
        <x:v>All Geographies</x:v>
      </x:c>
      <x:c r="M1007" s="34" t="n">
        <x:v>1788</x:v>
      </x:c>
      <x:c r="N1007" s="28" t="n">
        <x:v>0.01881</x:v>
      </x:c>
      <x:c r="O1007" s="34" t="n">
        <x:v>34</x:v>
      </x:c>
      <x:c r="P1007" s="34" t="n">
        <x:v>1</x:v>
      </x:c>
      <x:c r="Q1007" s="34" t="n">
        <x:v>34</x:v>
      </x:c>
      <x:c r="R1007" s="33" t="n">
        <x:v>29</x:v>
      </x:c>
      <x:c r="S1007" s="38" t="n">
        <x:v>0.986</x:v>
      </x:c>
      <x:c r="T1007" s="38" t="n">
        <x:v>0.34509999999999996</x:v>
      </x:c>
      <x:c r="U1007" s="38" t="n">
        <x:v>0.0288405</x:v>
      </x:c>
      <x:c r="V1007" s="38" t="n">
        <x:v>0.6120595</x:v>
      </x:c>
      <x:c r="W1007" s="38" t="n">
        <x:v>0.3672</x:v>
      </x:c>
      <x:c r="X1007" s="38" t="n">
        <x:v>0</x:v>
      </x:c>
      <x:c r="Y1007" s="38" t="n">
        <x:v>0</x:v>
      </x:c>
      <x:c r="Z1007" s="38" t="n">
        <x:v>0.07819999999999999</x:v>
      </x:c>
      <x:c r="AA1007" s="38" t="n">
        <x:v>0.0289</x:v>
      </x:c>
      <x:c r="AB1007" s="38" t="n">
        <x:v>0.0012240000000000003</x:v>
      </x:c>
      <x:c r="AC1007" s="38" t="n">
        <x:v>0.13653549999999995</x:v>
      </x:c>
      <x:c r="AD1007" s="28" t="n">
        <x:v>0.22307553432305186</x:v>
      </x:c>
    </x:row>
    <x:row r="1008">
      <x:c r="A1008" s="32" t="n">
        <x:v>46013</x:v>
      </x:c>
      <x:c r="B1008" s="32" t="n">
        <x:v>45992</x:v>
      </x:c>
      <x:c r="C1008" t="str">
        <x:v>Dec 2025</x:v>
      </x:c>
      <x:c r="D1008" t="str">
        <x:v>Actual</x:v>
      </x:c>
      <x:c r="E1008" t="str">
        <x:v>DB-101</x:v>
      </x:c>
      <x:c r="F1008" t="str">
        <x:v>AeroSip Bottle</x:v>
      </x:c>
      <x:c r="G1008" t="str">
        <x:v>One-time purchase</x:v>
      </x:c>
      <x:c r="H1008" t="str">
        <x:v>None</x:v>
      </x:c>
      <x:c r="I1008" t="str">
        <x:v>Active</x:v>
      </x:c>
      <x:c r="J1008" t="str">
        <x:v>TikTok Shop</x:v>
      </x:c>
      <x:c r="K1008" t="str">
        <x:v>Social Commerce</x:v>
      </x:c>
      <x:c r="L1008" t="str">
        <x:v>All Geographies</x:v>
      </x:c>
      <x:c r="M1008" s="34" t="n">
        <x:v>1192</x:v>
      </x:c>
      <x:c r="N1008" s="28" t="n">
        <x:v>0.043092</x:v>
      </x:c>
      <x:c r="O1008" s="34" t="n">
        <x:v>51</x:v>
      </x:c>
      <x:c r="P1008" s="34" t="n">
        <x:v>1</x:v>
      </x:c>
      <x:c r="Q1008" s="34" t="n">
        <x:v>51</x:v>
      </x:c>
      <x:c r="R1008" s="33" t="n">
        <x:v>29</x:v>
      </x:c>
      <x:c r="S1008" s="38" t="n">
        <x:v>1.479</x:v>
      </x:c>
      <x:c r="T1008" s="38" t="n">
        <x:v>0.17748</x:v>
      </x:c>
      <x:c r="U1008" s="38" t="n">
        <x:v>0.0585684</x:v>
      </x:c>
      <x:c r="V1008" s="38" t="n">
        <x:v>1.2429516</x:v>
      </x:c>
      <x:c r="W1008" s="38" t="n">
        <x:v>0.5508000000000001</x:v>
      </x:c>
      <x:c r="X1008" s="38" t="n">
        <x:v>0.036045596400000005</x:v>
      </x:c>
      <x:c r="Y1008" s="38" t="n">
        <x:v>0.074577096</x:v>
      </x:c>
      <x:c r="Z1008" s="38" t="n">
        <x:v>0.26009999999999994</x:v>
      </x:c>
      <x:c r="AA1008" s="38" t="n">
        <x:v>0.08925</x:v>
      </x:c>
      <x:c r="AB1008" s="38" t="n">
        <x:v>0.001836</x:v>
      </x:c>
      <x:c r="AC1008" s="38" t="n">
        <x:v>0.23034290760000004</x:v>
      </x:c>
      <x:c r="AD1008" s="28" t="n">
        <x:v>0.18531928966501995</x:v>
      </x:c>
    </x:row>
    <x:row r="1009">
      <x:c r="A1009" s="32" t="n">
        <x:v>46013</x:v>
      </x:c>
      <x:c r="B1009" s="32" t="n">
        <x:v>45992</x:v>
      </x:c>
      <x:c r="C1009" t="str">
        <x:v>Dec 2025</x:v>
      </x:c>
      <x:c r="D1009" t="str">
        <x:v>Actual</x:v>
      </x:c>
      <x:c r="E1009" t="str">
        <x:v>DB-102</x:v>
      </x:c>
      <x:c r="F1009" t="str">
        <x:v>GlowPatch Balm</x:v>
      </x:c>
      <x:c r="G1009" t="str">
        <x:v>Consumable repeat</x:v>
      </x:c>
      <x:c r="H1009" t="str">
        <x:v>None</x:v>
      </x:c>
      <x:c r="I1009" t="str">
        <x:v>Active</x:v>
      </x:c>
      <x:c r="J1009" t="str">
        <x:v>Shopify DTC</x:v>
      </x:c>
      <x:c r="K1009" t="str">
        <x:v>Consumer</x:v>
      </x:c>
      <x:c r="L1009" t="str">
        <x:v>All Geographies</x:v>
      </x:c>
      <x:c r="M1009" s="34" t="n">
        <x:v>4813</x:v>
      </x:c>
      <x:c r="N1009" s="28" t="n">
        <x:v>0.04248</x:v>
      </x:c>
      <x:c r="O1009" s="34" t="n">
        <x:v>204</x:v>
      </x:c>
      <x:c r="P1009" s="34" t="n">
        <x:v>1</x:v>
      </x:c>
      <x:c r="Q1009" s="34" t="n">
        <x:v>204</x:v>
      </x:c>
      <x:c r="R1009" s="33" t="n">
        <x:v>18</x:v>
      </x:c>
      <x:c r="S1009" s="38" t="n">
        <x:v>3.672</x:v>
      </x:c>
      <x:c r="T1009" s="38" t="n">
        <x:v>0.29376</x:v>
      </x:c>
      <x:c r="U1009" s="38" t="n">
        <x:v>0.084456</x:v>
      </x:c>
      <x:c r="V1009" s="38" t="n">
        <x:v>3.293784</x:v>
      </x:c>
      <x:c r="W1009" s="38" t="n">
        <x:v>1.1036400000000002</x:v>
      </x:c>
      <x:c r="X1009" s="38" t="n">
        <x:v>0.09551973600000001</x:v>
      </x:c>
      <x:c r="Y1009" s="38" t="n">
        <x:v>0</x:v>
      </x:c>
      <x:c r="Z1009" s="38" t="n">
        <x:v>0.8466</x:v>
      </x:c>
      <x:c r="AA1009" s="38" t="n">
        <x:v>0.33659999999999995</x:v>
      </x:c>
      <x:c r="AB1009" s="38" t="n">
        <x:v>0.0012240000000000003</x:v>
      </x:c>
      <x:c r="AC1009" s="38" t="n">
        <x:v>0.9102002640000001</x:v>
      </x:c>
      <x:c r="AD1009" s="28" t="n">
        <x:v>0.2763387835996532</x:v>
      </x:c>
    </x:row>
    <x:row r="1010">
      <x:c r="A1010" s="32" t="n">
        <x:v>46013</x:v>
      </x:c>
      <x:c r="B1010" s="32" t="n">
        <x:v>45992</x:v>
      </x:c>
      <x:c r="C1010" t="str">
        <x:v>Dec 2025</x:v>
      </x:c>
      <x:c r="D1010" t="str">
        <x:v>Actual</x:v>
      </x:c>
      <x:c r="E1010" t="str">
        <x:v>DB-102</x:v>
      </x:c>
      <x:c r="F1010" t="str">
        <x:v>GlowPatch Balm</x:v>
      </x:c>
      <x:c r="G1010" t="str">
        <x:v>Consumable repeat</x:v>
      </x:c>
      <x:c r="H1010" t="str">
        <x:v>None</x:v>
      </x:c>
      <x:c r="I1010" t="str">
        <x:v>Active</x:v>
      </x:c>
      <x:c r="J1010" t="str">
        <x:v>Amazon Marketplace</x:v>
      </x:c>
      <x:c r="K1010" t="str">
        <x:v>Marketplace Consumer</x:v>
      </x:c>
      <x:c r="L1010" t="str">
        <x:v>All Geographies</x:v>
      </x:c>
      <x:c r="M1010" s="34" t="n">
        <x:v>2407</x:v>
      </x:c>
      <x:c r="N1010" s="28" t="n">
        <x:v>0.050126399999999995</x:v>
      </x:c>
      <x:c r="O1010" s="34" t="n">
        <x:v>121</x:v>
      </x:c>
      <x:c r="P1010" s="34" t="n">
        <x:v>1</x:v>
      </x:c>
      <x:c r="Q1010" s="34" t="n">
        <x:v>121</x:v>
      </x:c>
      <x:c r="R1010" s="33" t="n">
        <x:v>18</x:v>
      </x:c>
      <x:c r="S1010" s="38" t="n">
        <x:v>2.178</x:v>
      </x:c>
      <x:c r="T1010" s="38" t="n">
        <x:v>0.1089</x:v>
      </x:c>
      <x:c r="U1010" s="38" t="n">
        <x:v>0.051727499999999996</x:v>
      </x:c>
      <x:c r="V1010" s="38" t="n">
        <x:v>2.0173724999999996</x:v>
      </x:c>
      <x:c r="W1010" s="38" t="n">
        <x:v>0.65461</x:v>
      </x:c>
      <x:c r="X1010" s="38" t="n">
        <x:v>0</x:v>
      </x:c>
      <x:c r="Y1010" s="38" t="n">
        <x:v>0.3026058749999999</x:v>
      </x:c>
      <x:c r="Z1010" s="38" t="n">
        <x:v>0.6292000000000001</x:v>
      </x:c>
      <x:c r="AA1010" s="38" t="n">
        <x:v>0.26015</x:v>
      </x:c>
      <x:c r="AB1010" s="38" t="n">
        <x:v>0.000726</x:v>
      </x:c>
      <x:c r="AC1010" s="38" t="n">
        <x:v>0.17008062499999976</x:v>
      </x:c>
      <x:c r="AD1010" s="28" t="n">
        <x:v>0.08430799220272894</x:v>
      </x:c>
    </x:row>
    <x:row r="1011">
      <x:c r="A1011" s="32" t="n">
        <x:v>46013</x:v>
      </x:c>
      <x:c r="B1011" s="32" t="n">
        <x:v>45992</x:v>
      </x:c>
      <x:c r="C1011" t="str">
        <x:v>Dec 2025</x:v>
      </x:c>
      <x:c r="D1011" t="str">
        <x:v>Actual</x:v>
      </x:c>
      <x:c r="E1011" t="str">
        <x:v>DB-102</x:v>
      </x:c>
      <x:c r="F1011" t="str">
        <x:v>GlowPatch Balm</x:v>
      </x:c>
      <x:c r="G1011" t="str">
        <x:v>Consumable repeat</x:v>
      </x:c>
      <x:c r="H1011" t="str">
        <x:v>None</x:v>
      </x:c>
      <x:c r="I1011" t="str">
        <x:v>Active</x:v>
      </x:c>
      <x:c r="J1011" t="str">
        <x:v>Wholesale</x:v>
      </x:c>
      <x:c r="K1011" t="str">
        <x:v>Retailer</x:v>
      </x:c>
      <x:c r="L1011" t="str">
        <x:v>All Geographies</x:v>
      </x:c>
      <x:c r="M1011" s="34" t="n">
        <x:v>1444</x:v>
      </x:c>
      <x:c r="N1011" s="28" t="n">
        <x:v>0.023364</x:v>
      </x:c>
      <x:c r="O1011" s="34" t="n">
        <x:v>34</x:v>
      </x:c>
      <x:c r="P1011" s="34" t="n">
        <x:v>1</x:v>
      </x:c>
      <x:c r="Q1011" s="34" t="n">
        <x:v>34</x:v>
      </x:c>
      <x:c r="R1011" s="33" t="n">
        <x:v>18</x:v>
      </x:c>
      <x:c r="S1011" s="38" t="n">
        <x:v>0.612</x:v>
      </x:c>
      <x:c r="T1011" s="38" t="n">
        <x:v>0.21419999999999997</x:v>
      </x:c>
      <x:c r="U1011" s="38" t="n">
        <x:v>0.009945000000000002</x:v>
      </x:c>
      <x:c r="V1011" s="38" t="n">
        <x:v>0.38785500000000006</x:v>
      </x:c>
      <x:c r="W1011" s="38" t="n">
        <x:v>0.18394</x:v>
      </x:c>
      <x:c r="X1011" s="38" t="n">
        <x:v>0</x:v>
      </x:c>
      <x:c r="Y1011" s="38" t="n">
        <x:v>0</x:v>
      </x:c>
      <x:c r="Z1011" s="38" t="n">
        <x:v>0.07819999999999999</x:v>
      </x:c>
      <x:c r="AA1011" s="38" t="n">
        <x:v>0.0289</x:v>
      </x:c>
      <x:c r="AB1011" s="38" t="n">
        <x:v>0.00020400000000000003</x:v>
      </x:c>
      <x:c r="AC1011" s="38" t="n">
        <x:v>0.09661100000000009</x:v>
      </x:c>
      <x:c r="AD1011" s="28" t="n">
        <x:v>0.24909051062897236</x:v>
      </x:c>
    </x:row>
    <x:row r="1012">
      <x:c r="A1012" s="32" t="n">
        <x:v>46013</x:v>
      </x:c>
      <x:c r="B1012" s="32" t="n">
        <x:v>45992</x:v>
      </x:c>
      <x:c r="C1012" t="str">
        <x:v>Dec 2025</x:v>
      </x:c>
      <x:c r="D1012" t="str">
        <x:v>Actual</x:v>
      </x:c>
      <x:c r="E1012" t="str">
        <x:v>DB-102</x:v>
      </x:c>
      <x:c r="F1012" t="str">
        <x:v>GlowPatch Balm</x:v>
      </x:c>
      <x:c r="G1012" t="str">
        <x:v>Consumable repeat</x:v>
      </x:c>
      <x:c r="H1012" t="str">
        <x:v>None</x:v>
      </x:c>
      <x:c r="I1012" t="str">
        <x:v>Active</x:v>
      </x:c>
      <x:c r="J1012" t="str">
        <x:v>TikTok Shop</x:v>
      </x:c>
      <x:c r="K1012" t="str">
        <x:v>Social Commerce</x:v>
      </x:c>
      <x:c r="L1012" t="str">
        <x:v>All Geographies</x:v>
      </x:c>
      <x:c r="M1012" s="34" t="n">
        <x:v>963</x:v>
      </x:c>
      <x:c r="N1012" s="28" t="n">
        <x:v>0.0535248</x:v>
      </x:c>
      <x:c r="O1012" s="34" t="n">
        <x:v>52</x:v>
      </x:c>
      <x:c r="P1012" s="34" t="n">
        <x:v>1</x:v>
      </x:c>
      <x:c r="Q1012" s="34" t="n">
        <x:v>52</x:v>
      </x:c>
      <x:c r="R1012" s="33" t="n">
        <x:v>18</x:v>
      </x:c>
      <x:c r="S1012" s="38" t="n">
        <x:v>0.936</x:v>
      </x:c>
      <x:c r="T1012" s="38" t="n">
        <x:v>0.11232</x:v>
      </x:c>
      <x:c r="U1012" s="38" t="n">
        <x:v>0.020592000000000003</x:v>
      </x:c>
      <x:c r="V1012" s="38" t="n">
        <x:v>0.803088</x:v>
      </x:c>
      <x:c r="W1012" s="38" t="n">
        <x:v>0.28132</x:v>
      </x:c>
      <x:c r="X1012" s="38" t="n">
        <x:v>0.023289552</x:v>
      </x:c>
      <x:c r="Y1012" s="38" t="n">
        <x:v>0.04818528</x:v>
      </x:c>
      <x:c r="Z1012" s="38" t="n">
        <x:v>0.2652</x:v>
      </x:c>
      <x:c r="AA1012" s="38" t="n">
        <x:v>0.091</x:v>
      </x:c>
      <x:c r="AB1012" s="38" t="n">
        <x:v>0.00031200000000000005</x:v>
      </x:c>
      <x:c r="AC1012" s="38" t="n">
        <x:v>0.09378116800000003</x:v>
      </x:c>
      <x:c r="AD1012" s="28" t="n">
        <x:v>0.1167757057757058</x:v>
      </x:c>
    </x:row>
    <x:row r="1013">
      <x:c r="A1013" s="32" t="n">
        <x:v>46013</x:v>
      </x:c>
      <x:c r="B1013" s="32" t="n">
        <x:v>45992</x:v>
      </x:c>
      <x:c r="C1013" t="str">
        <x:v>Dec 2025</x:v>
      </x:c>
      <x:c r="D1013" t="str">
        <x:v>Actual</x:v>
      </x:c>
      <x:c r="E1013" t="str">
        <x:v>DB-103</x:v>
      </x:c>
      <x:c r="F1013" t="str">
        <x:v>EmberTrail Camp Mug</x:v>
      </x:c>
      <x:c r="G1013" t="str">
        <x:v>One-time purchase</x:v>
      </x:c>
      <x:c r="H1013" t="str">
        <x:v>Winter peak</x:v>
      </x:c>
      <x:c r="I1013" t="str">
        <x:v>Active</x:v>
      </x:c>
      <x:c r="J1013" t="str">
        <x:v>Shopify DTC</x:v>
      </x:c>
      <x:c r="K1013" t="str">
        <x:v>Consumer</x:v>
      </x:c>
      <x:c r="L1013" t="str">
        <x:v>All Geographies</x:v>
      </x:c>
      <x:c r="M1013" s="34" t="n">
        <x:v>6395</x:v>
      </x:c>
      <x:c r="N1013" s="28" t="n">
        <x:v>0.0324</x:v>
      </x:c>
      <x:c r="O1013" s="34" t="n">
        <x:v>207</x:v>
      </x:c>
      <x:c r="P1013" s="34" t="n">
        <x:v>1</x:v>
      </x:c>
      <x:c r="Q1013" s="34" t="n">
        <x:v>207</x:v>
      </x:c>
      <x:c r="R1013" s="33" t="n">
        <x:v>34</x:v>
      </x:c>
      <x:c r="S1013" s="38" t="n">
        <x:v>7.038</x:v>
      </x:c>
      <x:c r="T1013" s="38" t="n">
        <x:v>0.56304</x:v>
      </x:c>
      <x:c r="U1013" s="38" t="n">
        <x:v>0.3561228</x:v>
      </x:c>
      <x:c r="V1013" s="38" t="n">
        <x:v>6.118837200000001</x:v>
      </x:c>
      <x:c r="W1013" s="38" t="n">
        <x:v>2.8296900000000003</x:v>
      </x:c>
      <x:c r="X1013" s="38" t="n">
        <x:v>0.17744627880000002</x:v>
      </x:c>
      <x:c r="Y1013" s="38" t="n">
        <x:v>0</x:v>
      </x:c>
      <x:c r="Z1013" s="38" t="n">
        <x:v>0.8590500000000001</x:v>
      </x:c>
      <x:c r="AA1013" s="38" t="n">
        <x:v>0.34154999999999996</x:v>
      </x:c>
      <x:c r="AB1013" s="38" t="n">
        <x:v>0.011592</x:v>
      </x:c>
      <x:c r="AC1013" s="38" t="n">
        <x:v>1.8995089211999998</x:v>
      </x:c>
      <x:c r="AD1013" s="28" t="n">
        <x:v>0.3104362575948253</x:v>
      </x:c>
    </x:row>
    <x:row r="1014">
      <x:c r="A1014" s="32" t="n">
        <x:v>46013</x:v>
      </x:c>
      <x:c r="B1014" s="32" t="n">
        <x:v>45992</x:v>
      </x:c>
      <x:c r="C1014" t="str">
        <x:v>Dec 2025</x:v>
      </x:c>
      <x:c r="D1014" t="str">
        <x:v>Actual</x:v>
      </x:c>
      <x:c r="E1014" t="str">
        <x:v>DB-103</x:v>
      </x:c>
      <x:c r="F1014" t="str">
        <x:v>EmberTrail Camp Mug</x:v>
      </x:c>
      <x:c r="G1014" t="str">
        <x:v>One-time purchase</x:v>
      </x:c>
      <x:c r="H1014" t="str">
        <x:v>Winter peak</x:v>
      </x:c>
      <x:c r="I1014" t="str">
        <x:v>Active</x:v>
      </x:c>
      <x:c r="J1014" t="str">
        <x:v>Amazon Marketplace</x:v>
      </x:c>
      <x:c r="K1014" t="str">
        <x:v>Marketplace Consumer</x:v>
      </x:c>
      <x:c r="L1014" t="str">
        <x:v>All Geographies</x:v>
      </x:c>
      <x:c r="M1014" s="34" t="n">
        <x:v>3197</x:v>
      </x:c>
      <x:c r="N1014" s="28" t="n">
        <x:v>0.038231999999999995</x:v>
      </x:c>
      <x:c r="O1014" s="34" t="n">
        <x:v>122</x:v>
      </x:c>
      <x:c r="P1014" s="34" t="n">
        <x:v>1</x:v>
      </x:c>
      <x:c r="Q1014" s="34" t="n">
        <x:v>122</x:v>
      </x:c>
      <x:c r="R1014" s="33" t="n">
        <x:v>34</x:v>
      </x:c>
      <x:c r="S1014" s="38" t="n">
        <x:v>4.148</x:v>
      </x:c>
      <x:c r="T1014" s="38" t="n">
        <x:v>0.2074</x:v>
      </x:c>
      <x:c r="U1014" s="38" t="n">
        <x:v>0.21673299999999998</x:v>
      </x:c>
      <x:c r="V1014" s="38" t="n">
        <x:v>3.723867</x:v>
      </x:c>
      <x:c r="W1014" s="38" t="n">
        <x:v>1.66774</x:v>
      </x:c>
      <x:c r="X1014" s="38" t="n">
        <x:v>0</x:v>
      </x:c>
      <x:c r="Y1014" s="38" t="n">
        <x:v>0.55858005</x:v>
      </x:c>
      <x:c r="Z1014" s="38" t="n">
        <x:v>0.6344</x:v>
      </x:c>
      <x:c r="AA1014" s="38" t="n">
        <x:v>0.26230000000000003</x:v>
      </x:c>
      <x:c r="AB1014" s="38" t="n">
        <x:v>0.0068319999999999995</x:v>
      </x:c>
      <x:c r="AC1014" s="38" t="n">
        <x:v>0.59401495</x:v>
      </x:c>
      <x:c r="AD1014" s="28" t="n">
        <x:v>0.15951561911314235</x:v>
      </x:c>
    </x:row>
    <x:row r="1015">
      <x:c r="A1015" s="32" t="n">
        <x:v>46013</x:v>
      </x:c>
      <x:c r="B1015" s="32" t="n">
        <x:v>45992</x:v>
      </x:c>
      <x:c r="C1015" t="str">
        <x:v>Dec 2025</x:v>
      </x:c>
      <x:c r="D1015" t="str">
        <x:v>Actual</x:v>
      </x:c>
      <x:c r="E1015" t="str">
        <x:v>DB-103</x:v>
      </x:c>
      <x:c r="F1015" t="str">
        <x:v>EmberTrail Camp Mug</x:v>
      </x:c>
      <x:c r="G1015" t="str">
        <x:v>One-time purchase</x:v>
      </x:c>
      <x:c r="H1015" t="str">
        <x:v>Winter peak</x:v>
      </x:c>
      <x:c r="I1015" t="str">
        <x:v>Active</x:v>
      </x:c>
      <x:c r="J1015" t="str">
        <x:v>Wholesale</x:v>
      </x:c>
      <x:c r="K1015" t="str">
        <x:v>Retailer</x:v>
      </x:c>
      <x:c r="L1015" t="str">
        <x:v>All Geographies</x:v>
      </x:c>
      <x:c r="M1015" s="34" t="n">
        <x:v>1918</x:v>
      </x:c>
      <x:c r="N1015" s="28" t="n">
        <x:v>0.017820000000000003</x:v>
      </x:c>
      <x:c r="O1015" s="34" t="n">
        <x:v>34</x:v>
      </x:c>
      <x:c r="P1015" s="34" t="n">
        <x:v>1</x:v>
      </x:c>
      <x:c r="Q1015" s="34" t="n">
        <x:v>34</x:v>
      </x:c>
      <x:c r="R1015" s="33" t="n">
        <x:v>34</x:v>
      </x:c>
      <x:c r="S1015" s="38" t="n">
        <x:v>1.156</x:v>
      </x:c>
      <x:c r="T1015" s="38" t="n">
        <x:v>0.40459999999999996</x:v>
      </x:c>
      <x:c r="U1015" s="38" t="n">
        <x:v>0.041326999999999996</x:v>
      </x:c>
      <x:c r="V1015" s="38" t="n">
        <x:v>0.710073</x:v>
      </x:c>
      <x:c r="W1015" s="38" t="n">
        <x:v>0.46477999999999997</x:v>
      </x:c>
      <x:c r="X1015" s="38" t="n">
        <x:v>0</x:v>
      </x:c>
      <x:c r="Y1015" s="38" t="n">
        <x:v>0</x:v>
      </x:c>
      <x:c r="Z1015" s="38" t="n">
        <x:v>0.07819999999999999</x:v>
      </x:c>
      <x:c r="AA1015" s="38" t="n">
        <x:v>0.0289</x:v>
      </x:c>
      <x:c r="AB1015" s="38" t="n">
        <x:v>0.001904</x:v>
      </x:c>
      <x:c r="AC1015" s="38" t="n">
        <x:v>0.136289</x:v>
      </x:c>
      <x:c r="AD1015" s="28" t="n">
        <x:v>0.19193660370130958</x:v>
      </x:c>
    </x:row>
    <x:row r="1016">
      <x:c r="A1016" s="32" t="n">
        <x:v>46013</x:v>
      </x:c>
      <x:c r="B1016" s="32" t="n">
        <x:v>45992</x:v>
      </x:c>
      <x:c r="C1016" t="str">
        <x:v>Dec 2025</x:v>
      </x:c>
      <x:c r="D1016" t="str">
        <x:v>Actual</x:v>
      </x:c>
      <x:c r="E1016" t="str">
        <x:v>DB-103</x:v>
      </x:c>
      <x:c r="F1016" t="str">
        <x:v>EmberTrail Camp Mug</x:v>
      </x:c>
      <x:c r="G1016" t="str">
        <x:v>One-time purchase</x:v>
      </x:c>
      <x:c r="H1016" t="str">
        <x:v>Winter peak</x:v>
      </x:c>
      <x:c r="I1016" t="str">
        <x:v>Active</x:v>
      </x:c>
      <x:c r="J1016" t="str">
        <x:v>TikTok Shop</x:v>
      </x:c>
      <x:c r="K1016" t="str">
        <x:v>Social Commerce</x:v>
      </x:c>
      <x:c r="L1016" t="str">
        <x:v>All Geographies</x:v>
      </x:c>
      <x:c r="M1016" s="34" t="n">
        <x:v>1279</x:v>
      </x:c>
      <x:c r="N1016" s="28" t="n">
        <x:v>0.040824</x:v>
      </x:c>
      <x:c r="O1016" s="34" t="n">
        <x:v>52</x:v>
      </x:c>
      <x:c r="P1016" s="34" t="n">
        <x:v>1</x:v>
      </x:c>
      <x:c r="Q1016" s="34" t="n">
        <x:v>52</x:v>
      </x:c>
      <x:c r="R1016" s="33" t="n">
        <x:v>34</x:v>
      </x:c>
      <x:c r="S1016" s="38" t="n">
        <x:v>1.768</x:v>
      </x:c>
      <x:c r="T1016" s="38" t="n">
        <x:v>0.21216</x:v>
      </x:c>
      <x:c r="U1016" s="38" t="n">
        <x:v>0.0855712</x:v>
      </x:c>
      <x:c r="V1016" s="38" t="n">
        <x:v>1.4702688000000002</x:v>
      </x:c>
      <x:c r="W1016" s="38" t="n">
        <x:v>0.71084</x:v>
      </x:c>
      <x:c r="X1016" s="38" t="n">
        <x:v>0.04263779520000001</x:v>
      </x:c>
      <x:c r="Y1016" s="38" t="n">
        <x:v>0.088216128</x:v>
      </x:c>
      <x:c r="Z1016" s="38" t="n">
        <x:v>0.2652</x:v>
      </x:c>
      <x:c r="AA1016" s="38" t="n">
        <x:v>0.091</x:v>
      </x:c>
      <x:c r="AB1016" s="38" t="n">
        <x:v>0.0029120000000000005</x:v>
      </x:c>
      <x:c r="AC1016" s="38" t="n">
        <x:v>0.26946287680000014</x:v>
      </x:c>
      <x:c r="AD1016" s="28" t="n">
        <x:v>0.18327456639221354</x:v>
      </x:c>
    </x:row>
    <x:row r="1017">
      <x:c r="A1017" s="32" t="n">
        <x:v>46013</x:v>
      </x:c>
      <x:c r="B1017" s="32" t="n">
        <x:v>45992</x:v>
      </x:c>
      <x:c r="C1017" t="str">
        <x:v>Dec 2025</x:v>
      </x:c>
      <x:c r="D1017" t="str">
        <x:v>Actual</x:v>
      </x:c>
      <x:c r="E1017" t="str">
        <x:v>DB-104</x:v>
      </x:c>
      <x:c r="F1017" t="str">
        <x:v>SunNest Cooling Towel</x:v>
      </x:c>
      <x:c r="G1017" t="str">
        <x:v>Consumable repeat</x:v>
      </x:c>
      <x:c r="H1017" t="str">
        <x:v>Summer peak</x:v>
      </x:c>
      <x:c r="I1017" t="str">
        <x:v>Active</x:v>
      </x:c>
      <x:c r="J1017" t="str">
        <x:v>Shopify DTC</x:v>
      </x:c>
      <x:c r="K1017" t="str">
        <x:v>Consumer</x:v>
      </x:c>
      <x:c r="L1017" t="str">
        <x:v>All Geographies</x:v>
      </x:c>
      <x:c r="M1017" s="34" t="n">
        <x:v>2805</x:v>
      </x:c>
      <x:c r="N1017" s="28" t="n">
        <x:v>0.03312</x:v>
      </x:c>
      <x:c r="O1017" s="34" t="n">
        <x:v>93</x:v>
      </x:c>
      <x:c r="P1017" s="34" t="n">
        <x:v>1</x:v>
      </x:c>
      <x:c r="Q1017" s="34" t="n">
        <x:v>93</x:v>
      </x:c>
      <x:c r="R1017" s="33" t="n">
        <x:v>42</x:v>
      </x:c>
      <x:c r="S1017" s="38" t="n">
        <x:v>3.906</x:v>
      </x:c>
      <x:c r="T1017" s="38" t="n">
        <x:v>0.31248000000000004</x:v>
      </x:c>
      <x:c r="U1017" s="38" t="n">
        <x:v>0.17967600000000003</x:v>
      </x:c>
      <x:c r="V1017" s="38" t="n">
        <x:v>3.413844</x:v>
      </x:c>
      <x:c r="W1017" s="38" t="n">
        <x:v>1.39965</x:v>
      </x:c>
      <x:c r="X1017" s="38" t="n">
        <x:v>0.099001476</x:v>
      </x:c>
      <x:c r="Y1017" s="38" t="n">
        <x:v>0</x:v>
      </x:c>
      <x:c r="Z1017" s="38" t="n">
        <x:v>0.38595000000000007</x:v>
      </x:c>
      <x:c r="AA1017" s="38" t="n">
        <x:v>0.15344999999999998</x:v>
      </x:c>
      <x:c r="AB1017" s="38" t="n">
        <x:v>0.002604</x:v>
      </x:c>
      <x:c r="AC1017" s="38" t="n">
        <x:v>1.373188524</x:v>
      </x:c>
      <x:c r="AD1017" s="28" t="n">
        <x:v>0.4022411463441211</x:v>
      </x:c>
    </x:row>
    <x:row r="1018">
      <x:c r="A1018" s="32" t="n">
        <x:v>46013</x:v>
      </x:c>
      <x:c r="B1018" s="32" t="n">
        <x:v>45992</x:v>
      </x:c>
      <x:c r="C1018" t="str">
        <x:v>Dec 2025</x:v>
      </x:c>
      <x:c r="D1018" t="str">
        <x:v>Actual</x:v>
      </x:c>
      <x:c r="E1018" t="str">
        <x:v>DB-104</x:v>
      </x:c>
      <x:c r="F1018" t="str">
        <x:v>SunNest Cooling Towel</x:v>
      </x:c>
      <x:c r="G1018" t="str">
        <x:v>Consumable repeat</x:v>
      </x:c>
      <x:c r="H1018" t="str">
        <x:v>Summer peak</x:v>
      </x:c>
      <x:c r="I1018" t="str">
        <x:v>Active</x:v>
      </x:c>
      <x:c r="J1018" t="str">
        <x:v>Amazon Marketplace</x:v>
      </x:c>
      <x:c r="K1018" t="str">
        <x:v>Marketplace Consumer</x:v>
      </x:c>
      <x:c r="L1018" t="str">
        <x:v>All Geographies</x:v>
      </x:c>
      <x:c r="M1018" s="34" t="n">
        <x:v>1403</x:v>
      </x:c>
      <x:c r="N1018" s="28" t="n">
        <x:v>0.0390816</x:v>
      </x:c>
      <x:c r="O1018" s="34" t="n">
        <x:v>55</x:v>
      </x:c>
      <x:c r="P1018" s="34" t="n">
        <x:v>1</x:v>
      </x:c>
      <x:c r="Q1018" s="34" t="n">
        <x:v>55</x:v>
      </x:c>
      <x:c r="R1018" s="33" t="n">
        <x:v>42</x:v>
      </x:c>
      <x:c r="S1018" s="38" t="n">
        <x:v>2.31</x:v>
      </x:c>
      <x:c r="T1018" s="38" t="n">
        <x:v>0.1155</x:v>
      </x:c>
      <x:c r="U1018" s="38" t="n">
        <x:v>0.10972500000000002</x:v>
      </x:c>
      <x:c r="V1018" s="38" t="n">
        <x:v>2.084775</x:v>
      </x:c>
      <x:c r="W1018" s="38" t="n">
        <x:v>0.82775</x:v>
      </x:c>
      <x:c r="X1018" s="38" t="n">
        <x:v>0</x:v>
      </x:c>
      <x:c r="Y1018" s="38" t="n">
        <x:v>0.31271625</x:v>
      </x:c>
      <x:c r="Z1018" s="38" t="n">
        <x:v>0.286</x:v>
      </x:c>
      <x:c r="AA1018" s="38" t="n">
        <x:v>0.11825</x:v>
      </x:c>
      <x:c r="AB1018" s="38" t="n">
        <x:v>0.0015400000000000001</x:v>
      </x:c>
      <x:c r="AC1018" s="38" t="n">
        <x:v>0.53851875</x:v>
      </x:c>
      <x:c r="AD1018" s="28" t="n">
        <x:v>0.25831024930747926</x:v>
      </x:c>
    </x:row>
    <x:row r="1019">
      <x:c r="A1019" s="32" t="n">
        <x:v>46013</x:v>
      </x:c>
      <x:c r="B1019" s="32" t="n">
        <x:v>45992</x:v>
      </x:c>
      <x:c r="C1019" t="str">
        <x:v>Dec 2025</x:v>
      </x:c>
      <x:c r="D1019" t="str">
        <x:v>Actual</x:v>
      </x:c>
      <x:c r="E1019" t="str">
        <x:v>DB-104</x:v>
      </x:c>
      <x:c r="F1019" t="str">
        <x:v>SunNest Cooling Towel</x:v>
      </x:c>
      <x:c r="G1019" t="str">
        <x:v>Consumable repeat</x:v>
      </x:c>
      <x:c r="H1019" t="str">
        <x:v>Summer peak</x:v>
      </x:c>
      <x:c r="I1019" t="str">
        <x:v>Active</x:v>
      </x:c>
      <x:c r="J1019" t="str">
        <x:v>Wholesale</x:v>
      </x:c>
      <x:c r="K1019" t="str">
        <x:v>Retailer</x:v>
      </x:c>
      <x:c r="L1019" t="str">
        <x:v>All Geographies</x:v>
      </x:c>
      <x:c r="M1019" s="34" t="n">
        <x:v>842</x:v>
      </x:c>
      <x:c r="N1019" s="28" t="n">
        <x:v>0.018216000000000003</x:v>
      </x:c>
      <x:c r="O1019" s="34" t="n">
        <x:v>15</x:v>
      </x:c>
      <x:c r="P1019" s="34" t="n">
        <x:v>1</x:v>
      </x:c>
      <x:c r="Q1019" s="34" t="n">
        <x:v>15</x:v>
      </x:c>
      <x:c r="R1019" s="33" t="n">
        <x:v>42</x:v>
      </x:c>
      <x:c r="S1019" s="38" t="n">
        <x:v>0.63</x:v>
      </x:c>
      <x:c r="T1019" s="38" t="n">
        <x:v>0.22049999999999997</x:v>
      </x:c>
      <x:c r="U1019" s="38" t="n">
        <x:v>0.020475000000000004</x:v>
      </x:c>
      <x:c r="V1019" s="38" t="n">
        <x:v>0.389025</x:v>
      </x:c>
      <x:c r="W1019" s="38" t="n">
        <x:v>0.22575</x:v>
      </x:c>
      <x:c r="X1019" s="38" t="n">
        <x:v>0</x:v>
      </x:c>
      <x:c r="Y1019" s="38" t="n">
        <x:v>0</x:v>
      </x:c>
      <x:c r="Z1019" s="38" t="n">
        <x:v>0.0345</x:v>
      </x:c>
      <x:c r="AA1019" s="38" t="n">
        <x:v>0.01275</x:v>
      </x:c>
      <x:c r="AB1019" s="38" t="n">
        <x:v>0.00041999999999999996</x:v>
      </x:c>
      <x:c r="AC1019" s="38" t="n">
        <x:v>0.115605</x:v>
      </x:c>
      <x:c r="AD1019" s="28" t="n">
        <x:v>0.297165991902834</x:v>
      </x:c>
    </x:row>
    <x:row r="1020">
      <x:c r="A1020" s="32" t="n">
        <x:v>46013</x:v>
      </x:c>
      <x:c r="B1020" s="32" t="n">
        <x:v>45992</x:v>
      </x:c>
      <x:c r="C1020" t="str">
        <x:v>Dec 2025</x:v>
      </x:c>
      <x:c r="D1020" t="str">
        <x:v>Actual</x:v>
      </x:c>
      <x:c r="E1020" t="str">
        <x:v>DB-104</x:v>
      </x:c>
      <x:c r="F1020" t="str">
        <x:v>SunNest Cooling Towel</x:v>
      </x:c>
      <x:c r="G1020" t="str">
        <x:v>Consumable repeat</x:v>
      </x:c>
      <x:c r="H1020" t="str">
        <x:v>Summer peak</x:v>
      </x:c>
      <x:c r="I1020" t="str">
        <x:v>Active</x:v>
      </x:c>
      <x:c r="J1020" t="str">
        <x:v>TikTok Shop</x:v>
      </x:c>
      <x:c r="K1020" t="str">
        <x:v>Social Commerce</x:v>
      </x:c>
      <x:c r="L1020" t="str">
        <x:v>All Geographies</x:v>
      </x:c>
      <x:c r="M1020" s="34" t="n">
        <x:v>561</x:v>
      </x:c>
      <x:c r="N1020" s="28" t="n">
        <x:v>0.0417312</x:v>
      </x:c>
      <x:c r="O1020" s="34" t="n">
        <x:v>23</x:v>
      </x:c>
      <x:c r="P1020" s="34" t="n">
        <x:v>1</x:v>
      </x:c>
      <x:c r="Q1020" s="34" t="n">
        <x:v>23</x:v>
      </x:c>
      <x:c r="R1020" s="33" t="n">
        <x:v>42</x:v>
      </x:c>
      <x:c r="S1020" s="38" t="n">
        <x:v>0.966</x:v>
      </x:c>
      <x:c r="T1020" s="38" t="n">
        <x:v>0.11592</x:v>
      </x:c>
      <x:c r="U1020" s="38" t="n">
        <x:v>0.042504</x:v>
      </x:c>
      <x:c r="V1020" s="38" t="n">
        <x:v>0.807576</x:v>
      </x:c>
      <x:c r="W1020" s="38" t="n">
        <x:v>0.34615</x:v>
      </x:c>
      <x:c r="X1020" s="38" t="n">
        <x:v>0.023419704</x:v>
      </x:c>
      <x:c r="Y1020" s="38" t="n">
        <x:v>0.048454559999999994</x:v>
      </x:c>
      <x:c r="Z1020" s="38" t="n">
        <x:v>0.1173</x:v>
      </x:c>
      <x:c r="AA1020" s="38" t="n">
        <x:v>0.04025</x:v>
      </x:c>
      <x:c r="AB1020" s="38" t="n">
        <x:v>0.000644</x:v>
      </x:c>
      <x:c r="AC1020" s="38" t="n">
        <x:v>0.23135773599999995</x:v>
      </x:c>
      <x:c r="AD1020" s="28" t="n">
        <x:v>0.2864841649578491</x:v>
      </x:c>
    </x:row>
    <x:row r="1021">
      <x:c r="A1021" s="32" t="n">
        <x:v>46013</x:v>
      </x:c>
      <x:c r="B1021" s="32" t="n">
        <x:v>45992</x:v>
      </x:c>
      <x:c r="C1021" t="str">
        <x:v>Dec 2025</x:v>
      </x:c>
      <x:c r="D1021" t="str">
        <x:v>Actual</x:v>
      </x:c>
      <x:c r="E1021" t="str">
        <x:v>DB-105</x:v>
      </x:c>
      <x:c r="F1021" t="str">
        <x:v>DreamFuel Refill Pack</x:v>
      </x:c>
      <x:c r="G1021" t="str">
        <x:v>Subscription</x:v>
      </x:c>
      <x:c r="H1021" t="str">
        <x:v>None</x:v>
      </x:c>
      <x:c r="I1021" t="str">
        <x:v>Active</x:v>
      </x:c>
      <x:c r="J1021" t="str">
        <x:v>Shopify DTC</x:v>
      </x:c>
      <x:c r="K1021" t="str">
        <x:v>Consumer</x:v>
      </x:c>
      <x:c r="L1021" t="str">
        <x:v>All Geographies</x:v>
      </x:c>
      <x:c r="M1021" s="34" t="n">
        <x:v>4126</x:v>
      </x:c>
      <x:c r="N1021" s="28" t="n">
        <x:v>0.03888</x:v>
      </x:c>
      <x:c r="O1021" s="34" t="n">
        <x:v>160</x:v>
      </x:c>
      <x:c r="P1021" s="34" t="n">
        <x:v>1</x:v>
      </x:c>
      <x:c r="Q1021" s="34" t="n">
        <x:v>160</x:v>
      </x:c>
      <x:c r="R1021" s="33" t="n">
        <x:v>56</x:v>
      </x:c>
      <x:c r="S1021" s="38" t="n">
        <x:v>8.96</x:v>
      </x:c>
      <x:c r="T1021" s="38" t="n">
        <x:v>0.7168000000000001</x:v>
      </x:c>
      <x:c r="U1021" s="38" t="n">
        <x:v>0.16486400000000004</x:v>
      </x:c>
      <x:c r="V1021" s="38" t="n">
        <x:v>8.078336000000002</x:v>
      </x:c>
      <x:c r="W1021" s="38" t="n">
        <x:v>2.9792</x:v>
      </x:c>
      <x:c r="X1021" s="38" t="n">
        <x:v>0.23427174400000006</x:v>
      </x:c>
      <x:c r="Y1021" s="38" t="n">
        <x:v>0</x:v>
      </x:c>
      <x:c r="Z1021" s="38" t="n">
        <x:v>0.664</x:v>
      </x:c>
      <x:c r="AA1021" s="38" t="n">
        <x:v>0.264</x:v>
      </x:c>
      <x:c r="AB1021" s="38" t="n">
        <x:v>0.0005759999999999999</x:v>
      </x:c>
      <x:c r="AC1021" s="38" t="n">
        <x:v>3.9362882560000014</x:v>
      </x:c>
      <x:c r="AD1021" s="28" t="n">
        <x:v>0.4872647357079478</x:v>
      </x:c>
    </x:row>
    <x:row r="1022">
      <x:c r="A1022" s="32" t="n">
        <x:v>46013</x:v>
      </x:c>
      <x:c r="B1022" s="32" t="n">
        <x:v>45992</x:v>
      </x:c>
      <x:c r="C1022" t="str">
        <x:v>Dec 2025</x:v>
      </x:c>
      <x:c r="D1022" t="str">
        <x:v>Actual</x:v>
      </x:c>
      <x:c r="E1022" t="str">
        <x:v>DB-105</x:v>
      </x:c>
      <x:c r="F1022" t="str">
        <x:v>DreamFuel Refill Pack</x:v>
      </x:c>
      <x:c r="G1022" t="str">
        <x:v>Subscription</x:v>
      </x:c>
      <x:c r="H1022" t="str">
        <x:v>None</x:v>
      </x:c>
      <x:c r="I1022" t="str">
        <x:v>Active</x:v>
      </x:c>
      <x:c r="J1022" t="str">
        <x:v>Amazon Marketplace</x:v>
      </x:c>
      <x:c r="K1022" t="str">
        <x:v>Marketplace Consumer</x:v>
      </x:c>
      <x:c r="L1022" t="str">
        <x:v>All Geographies</x:v>
      </x:c>
      <x:c r="M1022" s="34" t="n">
        <x:v>2063</x:v>
      </x:c>
      <x:c r="N1022" s="28" t="n">
        <x:v>0.0458784</x:v>
      </x:c>
      <x:c r="O1022" s="34" t="n">
        <x:v>95</x:v>
      </x:c>
      <x:c r="P1022" s="34" t="n">
        <x:v>1</x:v>
      </x:c>
      <x:c r="Q1022" s="34" t="n">
        <x:v>95</x:v>
      </x:c>
      <x:c r="R1022" s="33" t="n">
        <x:v>56</x:v>
      </x:c>
      <x:c r="S1022" s="38" t="n">
        <x:v>5.32</x:v>
      </x:c>
      <x:c r="T1022" s="38" t="n">
        <x:v>0.266</x:v>
      </x:c>
      <x:c r="U1022" s="38" t="n">
        <x:v>0.10108</x:v>
      </x:c>
      <x:c r="V1022" s="38" t="n">
        <x:v>4.952920000000001</x:v>
      </x:c>
      <x:c r="W1022" s="38" t="n">
        <x:v>1.7689000000000001</x:v>
      </x:c>
      <x:c r="X1022" s="38" t="n">
        <x:v>0</x:v>
      </x:c>
      <x:c r="Y1022" s="38" t="n">
        <x:v>0.7429380000000001</x:v>
      </x:c>
      <x:c r="Z1022" s="38" t="n">
        <x:v>0.494</x:v>
      </x:c>
      <x:c r="AA1022" s="38" t="n">
        <x:v>0.20425</x:v>
      </x:c>
      <x:c r="AB1022" s="38" t="n">
        <x:v>0.000342</x:v>
      </x:c>
      <x:c r="AC1022" s="38" t="n">
        <x:v>1.74249</x:v>
      </x:c>
      <x:c r="AD1022" s="28" t="n">
        <x:v>0.3518106490716587</x:v>
      </x:c>
    </x:row>
    <x:row r="1023">
      <x:c r="A1023" s="32" t="n">
        <x:v>46013</x:v>
      </x:c>
      <x:c r="B1023" s="32" t="n">
        <x:v>45992</x:v>
      </x:c>
      <x:c r="C1023" t="str">
        <x:v>Dec 2025</x:v>
      </x:c>
      <x:c r="D1023" t="str">
        <x:v>Actual</x:v>
      </x:c>
      <x:c r="E1023" t="str">
        <x:v>DB-105</x:v>
      </x:c>
      <x:c r="F1023" t="str">
        <x:v>DreamFuel Refill Pack</x:v>
      </x:c>
      <x:c r="G1023" t="str">
        <x:v>Subscription</x:v>
      </x:c>
      <x:c r="H1023" t="str">
        <x:v>None</x:v>
      </x:c>
      <x:c r="I1023" t="str">
        <x:v>Active</x:v>
      </x:c>
      <x:c r="J1023" t="str">
        <x:v>Wholesale</x:v>
      </x:c>
      <x:c r="K1023" t="str">
        <x:v>Retailer</x:v>
      </x:c>
      <x:c r="L1023" t="str">
        <x:v>All Geographies</x:v>
      </x:c>
      <x:c r="M1023" s="34" t="n">
        <x:v>1238</x:v>
      </x:c>
      <x:c r="N1023" s="28" t="n">
        <x:v>0.021384000000000004</x:v>
      </x:c>
      <x:c r="O1023" s="34" t="n">
        <x:v>26</x:v>
      </x:c>
      <x:c r="P1023" s="34" t="n">
        <x:v>1</x:v>
      </x:c>
      <x:c r="Q1023" s="34" t="n">
        <x:v>26</x:v>
      </x:c>
      <x:c r="R1023" s="33" t="n">
        <x:v>56</x:v>
      </x:c>
      <x:c r="S1023" s="38" t="n">
        <x:v>1.456</x:v>
      </x:c>
      <x:c r="T1023" s="38" t="n">
        <x:v>0.5095999999999999</x:v>
      </x:c>
      <x:c r="U1023" s="38" t="n">
        <x:v>0.018928</x:v>
      </x:c>
      <x:c r="V1023" s="38" t="n">
        <x:v>0.9274720000000001</x:v>
      </x:c>
      <x:c r="W1023" s="38" t="n">
        <x:v>0.48412</x:v>
      </x:c>
      <x:c r="X1023" s="38" t="n">
        <x:v>0</x:v>
      </x:c>
      <x:c r="Y1023" s="38" t="n">
        <x:v>0</x:v>
      </x:c>
      <x:c r="Z1023" s="38" t="n">
        <x:v>0.0598</x:v>
      </x:c>
      <x:c r="AA1023" s="38" t="n">
        <x:v>0.022099999999999998</x:v>
      </x:c>
      <x:c r="AB1023" s="38" t="n">
        <x:v>0.0000936</x:v>
      </x:c>
      <x:c r="AC1023" s="38" t="n">
        <x:v>0.3613584</x:v>
      </x:c>
      <x:c r="AD1023" s="28" t="n">
        <x:v>0.38961650594303654</x:v>
      </x:c>
    </x:row>
    <x:row r="1024">
      <x:c r="A1024" s="32" t="n">
        <x:v>46013</x:v>
      </x:c>
      <x:c r="B1024" s="32" t="n">
        <x:v>45992</x:v>
      </x:c>
      <x:c r="C1024" t="str">
        <x:v>Dec 2025</x:v>
      </x:c>
      <x:c r="D1024" t="str">
        <x:v>Actual</x:v>
      </x:c>
      <x:c r="E1024" t="str">
        <x:v>DB-105</x:v>
      </x:c>
      <x:c r="F1024" t="str">
        <x:v>DreamFuel Refill Pack</x:v>
      </x:c>
      <x:c r="G1024" t="str">
        <x:v>Subscription</x:v>
      </x:c>
      <x:c r="H1024" t="str">
        <x:v>None</x:v>
      </x:c>
      <x:c r="I1024" t="str">
        <x:v>Active</x:v>
      </x:c>
      <x:c r="J1024" t="str">
        <x:v>TikTok Shop</x:v>
      </x:c>
      <x:c r="K1024" t="str">
        <x:v>Social Commerce</x:v>
      </x:c>
      <x:c r="L1024" t="str">
        <x:v>All Geographies</x:v>
      </x:c>
      <x:c r="M1024" s="34" t="n">
        <x:v>825</x:v>
      </x:c>
      <x:c r="N1024" s="28" t="n">
        <x:v>0.0489888</x:v>
      </x:c>
      <x:c r="O1024" s="34" t="n">
        <x:v>40</x:v>
      </x:c>
      <x:c r="P1024" s="34" t="n">
        <x:v>1</x:v>
      </x:c>
      <x:c r="Q1024" s="34" t="n">
        <x:v>40</x:v>
      </x:c>
      <x:c r="R1024" s="33" t="n">
        <x:v>56</x:v>
      </x:c>
      <x:c r="S1024" s="38" t="n">
        <x:v>2.24</x:v>
      </x:c>
      <x:c r="T1024" s="38" t="n">
        <x:v>0.26880000000000004</x:v>
      </x:c>
      <x:c r="U1024" s="38" t="n">
        <x:v>0.039424</x:v>
      </x:c>
      <x:c r="V1024" s="38" t="n">
        <x:v>1.9317760000000002</x:v>
      </x:c>
      <x:c r="W1024" s="38" t="n">
        <x:v>0.7448</x:v>
      </x:c>
      <x:c r="X1024" s="38" t="n">
        <x:v>0.05602150400000001</x:v>
      </x:c>
      <x:c r="Y1024" s="38" t="n">
        <x:v>0.11590656</x:v>
      </x:c>
      <x:c r="Z1024" s="38" t="n">
        <x:v>0.204</x:v>
      </x:c>
      <x:c r="AA1024" s="38" t="n">
        <x:v>0.07</x:v>
      </x:c>
      <x:c r="AB1024" s="38" t="n">
        <x:v>0.00014399999999999998</x:v>
      </x:c>
      <x:c r="AC1024" s="38" t="n">
        <x:v>0.7409039359999999</x:v>
      </x:c>
      <x:c r="AD1024" s="28" t="n">
        <x:v>0.38353511794328116</x:v>
      </x:c>
    </x:row>
    <x:row r="1025">
      <x:c r="A1025" s="32" t="n">
        <x:v>46020</x:v>
      </x:c>
      <x:c r="B1025" s="32" t="n">
        <x:v>45992</x:v>
      </x:c>
      <x:c r="C1025" t="str">
        <x:v>Dec 2025</x:v>
      </x:c>
      <x:c r="D1025" t="str">
        <x:v>Actual</x:v>
      </x:c>
      <x:c r="E1025" t="str">
        <x:v>DB-101</x:v>
      </x:c>
      <x:c r="F1025" t="str">
        <x:v>AeroSip Bottle</x:v>
      </x:c>
      <x:c r="G1025" t="str">
        <x:v>One-time purchase</x:v>
      </x:c>
      <x:c r="H1025" t="str">
        <x:v>None</x:v>
      </x:c>
      <x:c r="I1025" t="str">
        <x:v>Active</x:v>
      </x:c>
      <x:c r="J1025" t="str">
        <x:v>Shopify DTC</x:v>
      </x:c>
      <x:c r="K1025" t="str">
        <x:v>Consumer</x:v>
      </x:c>
      <x:c r="L1025" t="str">
        <x:v>All Geographies</x:v>
      </x:c>
      <x:c r="M1025" s="34" t="n">
        <x:v>5980</x:v>
      </x:c>
      <x:c r="N1025" s="28" t="n">
        <x:v>0.034199999999999994</x:v>
      </x:c>
      <x:c r="O1025" s="34" t="n">
        <x:v>205</x:v>
      </x:c>
      <x:c r="P1025" s="34" t="n">
        <x:v>1</x:v>
      </x:c>
      <x:c r="Q1025" s="34" t="n">
        <x:v>205</x:v>
      </x:c>
      <x:c r="R1025" s="33" t="n">
        <x:v>29</x:v>
      </x:c>
      <x:c r="S1025" s="38" t="n">
        <x:v>5.945</x:v>
      </x:c>
      <x:c r="T1025" s="38" t="n">
        <x:v>0.4756</x:v>
      </x:c>
      <x:c r="U1025" s="38" t="n">
        <x:v>0.246123</x:v>
      </x:c>
      <x:c r="V1025" s="38" t="n">
        <x:v>5.223277</x:v>
      </x:c>
      <x:c r="W1025" s="38" t="n">
        <x:v>2.214</x:v>
      </x:c>
      <x:c r="X1025" s="38" t="n">
        <x:v>0.151475033</x:v>
      </x:c>
      <x:c r="Y1025" s="38" t="n">
        <x:v>0</x:v>
      </x:c>
      <x:c r="Z1025" s="38" t="n">
        <x:v>0.8507500000000001</x:v>
      </x:c>
      <x:c r="AA1025" s="38" t="n">
        <x:v>0.33825</x:v>
      </x:c>
      <x:c r="AB1025" s="38" t="n">
        <x:v>0.00738</x:v>
      </x:c>
      <x:c r="AC1025" s="38" t="n">
        <x:v>1.6614219670000003</x:v>
      </x:c>
      <x:c r="AD1025" s="28" t="n">
        <x:v>0.31808038650831655</x:v>
      </x:c>
    </x:row>
    <x:row r="1026">
      <x:c r="A1026" s="32" t="n">
        <x:v>46020</x:v>
      </x:c>
      <x:c r="B1026" s="32" t="n">
        <x:v>45992</x:v>
      </x:c>
      <x:c r="C1026" t="str">
        <x:v>Dec 2025</x:v>
      </x:c>
      <x:c r="D1026" t="str">
        <x:v>Actual</x:v>
      </x:c>
      <x:c r="E1026" t="str">
        <x:v>DB-101</x:v>
      </x:c>
      <x:c r="F1026" t="str">
        <x:v>AeroSip Bottle</x:v>
      </x:c>
      <x:c r="G1026" t="str">
        <x:v>One-time purchase</x:v>
      </x:c>
      <x:c r="H1026" t="str">
        <x:v>None</x:v>
      </x:c>
      <x:c r="I1026" t="str">
        <x:v>Active</x:v>
      </x:c>
      <x:c r="J1026" t="str">
        <x:v>Amazon Marketplace</x:v>
      </x:c>
      <x:c r="K1026" t="str">
        <x:v>Marketplace Consumer</x:v>
      </x:c>
      <x:c r="L1026" t="str">
        <x:v>All Geographies</x:v>
      </x:c>
      <x:c r="M1026" s="34" t="n">
        <x:v>2990</x:v>
      </x:c>
      <x:c r="N1026" s="28" t="n">
        <x:v>0.040355999999999996</x:v>
      </x:c>
      <x:c r="O1026" s="34" t="n">
        <x:v>121</x:v>
      </x:c>
      <x:c r="P1026" s="34" t="n">
        <x:v>1</x:v>
      </x:c>
      <x:c r="Q1026" s="34" t="n">
        <x:v>121</x:v>
      </x:c>
      <x:c r="R1026" s="33" t="n">
        <x:v>29</x:v>
      </x:c>
      <x:c r="S1026" s="38" t="n">
        <x:v>3.509</x:v>
      </x:c>
      <x:c r="T1026" s="38" t="n">
        <x:v>0.17545</x:v>
      </x:c>
      <x:c r="U1026" s="38" t="n">
        <x:v>0.15000975</x:v>
      </x:c>
      <x:c r="V1026" s="38" t="n">
        <x:v>3.1835402499999996</x:v>
      </x:c>
      <x:c r="W1026" s="38" t="n">
        <x:v>1.3068000000000002</x:v>
      </x:c>
      <x:c r="X1026" s="38" t="n">
        <x:v>0</x:v>
      </x:c>
      <x:c r="Y1026" s="38" t="n">
        <x:v>0.4775310374999999</x:v>
      </x:c>
      <x:c r="Z1026" s="38" t="n">
        <x:v>0.6292000000000001</x:v>
      </x:c>
      <x:c r="AA1026" s="38" t="n">
        <x:v>0.26015</x:v>
      </x:c>
      <x:c r="AB1026" s="38" t="n">
        <x:v>0.004356</x:v>
      </x:c>
      <x:c r="AC1026" s="38" t="n">
        <x:v>0.5055032124999994</x:v>
      </x:c>
      <x:c r="AD1026" s="28" t="n">
        <x:v>0.15878649955815682</x:v>
      </x:c>
    </x:row>
    <x:row r="1027">
      <x:c r="A1027" s="32" t="n">
        <x:v>46020</x:v>
      </x:c>
      <x:c r="B1027" s="32" t="n">
        <x:v>45992</x:v>
      </x:c>
      <x:c r="C1027" t="str">
        <x:v>Dec 2025</x:v>
      </x:c>
      <x:c r="D1027" t="str">
        <x:v>Actual</x:v>
      </x:c>
      <x:c r="E1027" t="str">
        <x:v>DB-101</x:v>
      </x:c>
      <x:c r="F1027" t="str">
        <x:v>AeroSip Bottle</x:v>
      </x:c>
      <x:c r="G1027" t="str">
        <x:v>One-time purchase</x:v>
      </x:c>
      <x:c r="H1027" t="str">
        <x:v>None</x:v>
      </x:c>
      <x:c r="I1027" t="str">
        <x:v>Active</x:v>
      </x:c>
      <x:c r="J1027" t="str">
        <x:v>Wholesale</x:v>
      </x:c>
      <x:c r="K1027" t="str">
        <x:v>Retailer</x:v>
      </x:c>
      <x:c r="L1027" t="str">
        <x:v>All Geographies</x:v>
      </x:c>
      <x:c r="M1027" s="34" t="n">
        <x:v>1794</x:v>
      </x:c>
      <x:c r="N1027" s="28" t="n">
        <x:v>0.01881</x:v>
      </x:c>
      <x:c r="O1027" s="34" t="n">
        <x:v>34</x:v>
      </x:c>
      <x:c r="P1027" s="34" t="n">
        <x:v>1</x:v>
      </x:c>
      <x:c r="Q1027" s="34" t="n">
        <x:v>34</x:v>
      </x:c>
      <x:c r="R1027" s="33" t="n">
        <x:v>29</x:v>
      </x:c>
      <x:c r="S1027" s="38" t="n">
        <x:v>0.986</x:v>
      </x:c>
      <x:c r="T1027" s="38" t="n">
        <x:v>0.34509999999999996</x:v>
      </x:c>
      <x:c r="U1027" s="38" t="n">
        <x:v>0.0288405</x:v>
      </x:c>
      <x:c r="V1027" s="38" t="n">
        <x:v>0.6120595</x:v>
      </x:c>
      <x:c r="W1027" s="38" t="n">
        <x:v>0.3672</x:v>
      </x:c>
      <x:c r="X1027" s="38" t="n">
        <x:v>0</x:v>
      </x:c>
      <x:c r="Y1027" s="38" t="n">
        <x:v>0</x:v>
      </x:c>
      <x:c r="Z1027" s="38" t="n">
        <x:v>0.07819999999999999</x:v>
      </x:c>
      <x:c r="AA1027" s="38" t="n">
        <x:v>0.0289</x:v>
      </x:c>
      <x:c r="AB1027" s="38" t="n">
        <x:v>0.0012240000000000003</x:v>
      </x:c>
      <x:c r="AC1027" s="38" t="n">
        <x:v>0.13653549999999995</x:v>
      </x:c>
      <x:c r="AD1027" s="28" t="n">
        <x:v>0.22307553432305186</x:v>
      </x:c>
    </x:row>
    <x:row r="1028">
      <x:c r="A1028" s="32" t="n">
        <x:v>46020</x:v>
      </x:c>
      <x:c r="B1028" s="32" t="n">
        <x:v>45992</x:v>
      </x:c>
      <x:c r="C1028" t="str">
        <x:v>Dec 2025</x:v>
      </x:c>
      <x:c r="D1028" t="str">
        <x:v>Actual</x:v>
      </x:c>
      <x:c r="E1028" t="str">
        <x:v>DB-101</x:v>
      </x:c>
      <x:c r="F1028" t="str">
        <x:v>AeroSip Bottle</x:v>
      </x:c>
      <x:c r="G1028" t="str">
        <x:v>One-time purchase</x:v>
      </x:c>
      <x:c r="H1028" t="str">
        <x:v>None</x:v>
      </x:c>
      <x:c r="I1028" t="str">
        <x:v>Active</x:v>
      </x:c>
      <x:c r="J1028" t="str">
        <x:v>TikTok Shop</x:v>
      </x:c>
      <x:c r="K1028" t="str">
        <x:v>Social Commerce</x:v>
      </x:c>
      <x:c r="L1028" t="str">
        <x:v>All Geographies</x:v>
      </x:c>
      <x:c r="M1028" s="34" t="n">
        <x:v>1196</x:v>
      </x:c>
      <x:c r="N1028" s="28" t="n">
        <x:v>0.043092</x:v>
      </x:c>
      <x:c r="O1028" s="34" t="n">
        <x:v>52</x:v>
      </x:c>
      <x:c r="P1028" s="34" t="n">
        <x:v>1</x:v>
      </x:c>
      <x:c r="Q1028" s="34" t="n">
        <x:v>52</x:v>
      </x:c>
      <x:c r="R1028" s="33" t="n">
        <x:v>29</x:v>
      </x:c>
      <x:c r="S1028" s="38" t="n">
        <x:v>1.508</x:v>
      </x:c>
      <x:c r="T1028" s="38" t="n">
        <x:v>0.18095999999999998</x:v>
      </x:c>
      <x:c r="U1028" s="38" t="n">
        <x:v>0.0597168</x:v>
      </x:c>
      <x:c r="V1028" s="38" t="n">
        <x:v>1.2673232</x:v>
      </x:c>
      <x:c r="W1028" s="38" t="n">
        <x:v>0.5616</x:v>
      </x:c>
      <x:c r="X1028" s="38" t="n">
        <x:v>0.0367523728</x:v>
      </x:c>
      <x:c r="Y1028" s="38" t="n">
        <x:v>0.076039392</x:v>
      </x:c>
      <x:c r="Z1028" s="38" t="n">
        <x:v>0.2652</x:v>
      </x:c>
      <x:c r="AA1028" s="38" t="n">
        <x:v>0.091</x:v>
      </x:c>
      <x:c r="AB1028" s="38" t="n">
        <x:v>0.001872</x:v>
      </x:c>
      <x:c r="AC1028" s="38" t="n">
        <x:v>0.23485943520000013</x:v>
      </x:c>
      <x:c r="AD1028" s="28" t="n">
        <x:v>0.18531928966502004</x:v>
      </x:c>
    </x:row>
    <x:row r="1029">
      <x:c r="A1029" s="32" t="n">
        <x:v>46020</x:v>
      </x:c>
      <x:c r="B1029" s="32" t="n">
        <x:v>45992</x:v>
      </x:c>
      <x:c r="C1029" t="str">
        <x:v>Dec 2025</x:v>
      </x:c>
      <x:c r="D1029" t="str">
        <x:v>Actual</x:v>
      </x:c>
      <x:c r="E1029" t="str">
        <x:v>DB-102</x:v>
      </x:c>
      <x:c r="F1029" t="str">
        <x:v>GlowPatch Balm</x:v>
      </x:c>
      <x:c r="G1029" t="str">
        <x:v>Consumable repeat</x:v>
      </x:c>
      <x:c r="H1029" t="str">
        <x:v>None</x:v>
      </x:c>
      <x:c r="I1029" t="str">
        <x:v>Active</x:v>
      </x:c>
      <x:c r="J1029" t="str">
        <x:v>Shopify DTC</x:v>
      </x:c>
      <x:c r="K1029" t="str">
        <x:v>Consumer</x:v>
      </x:c>
      <x:c r="L1029" t="str">
        <x:v>All Geographies</x:v>
      </x:c>
      <x:c r="M1029" s="34" t="n">
        <x:v>4830</x:v>
      </x:c>
      <x:c r="N1029" s="28" t="n">
        <x:v>0.04248</x:v>
      </x:c>
      <x:c r="O1029" s="34" t="n">
        <x:v>205</x:v>
      </x:c>
      <x:c r="P1029" s="34" t="n">
        <x:v>1</x:v>
      </x:c>
      <x:c r="Q1029" s="34" t="n">
        <x:v>205</x:v>
      </x:c>
      <x:c r="R1029" s="33" t="n">
        <x:v>18</x:v>
      </x:c>
      <x:c r="S1029" s="38" t="n">
        <x:v>3.69</x:v>
      </x:c>
      <x:c r="T1029" s="38" t="n">
        <x:v>0.2952</x:v>
      </x:c>
      <x:c r="U1029" s="38" t="n">
        <x:v>0.08487</x:v>
      </x:c>
      <x:c r="V1029" s="38" t="n">
        <x:v>3.30993</x:v>
      </x:c>
      <x:c r="W1029" s="38" t="n">
        <x:v>1.1090499999999999</x:v>
      </x:c>
      <x:c r="X1029" s="38" t="n">
        <x:v>0.09598797</x:v>
      </x:c>
      <x:c r="Y1029" s="38" t="n">
        <x:v>0</x:v>
      </x:c>
      <x:c r="Z1029" s="38" t="n">
        <x:v>0.8507500000000001</x:v>
      </x:c>
      <x:c r="AA1029" s="38" t="n">
        <x:v>0.33825</x:v>
      </x:c>
      <x:c r="AB1029" s="38" t="n">
        <x:v>0.00123</x:v>
      </x:c>
      <x:c r="AC1029" s="38" t="n">
        <x:v>0.9146620300000002</x:v>
      </x:c>
      <x:c r="AD1029" s="28" t="n">
        <x:v>0.27633878359965325</x:v>
      </x:c>
    </x:row>
    <x:row r="1030">
      <x:c r="A1030" s="32" t="n">
        <x:v>46020</x:v>
      </x:c>
      <x:c r="B1030" s="32" t="n">
        <x:v>45992</x:v>
      </x:c>
      <x:c r="C1030" t="str">
        <x:v>Dec 2025</x:v>
      </x:c>
      <x:c r="D1030" t="str">
        <x:v>Actual</x:v>
      </x:c>
      <x:c r="E1030" t="str">
        <x:v>DB-102</x:v>
      </x:c>
      <x:c r="F1030" t="str">
        <x:v>GlowPatch Balm</x:v>
      </x:c>
      <x:c r="G1030" t="str">
        <x:v>Consumable repeat</x:v>
      </x:c>
      <x:c r="H1030" t="str">
        <x:v>None</x:v>
      </x:c>
      <x:c r="I1030" t="str">
        <x:v>Active</x:v>
      </x:c>
      <x:c r="J1030" t="str">
        <x:v>Amazon Marketplace</x:v>
      </x:c>
      <x:c r="K1030" t="str">
        <x:v>Marketplace Consumer</x:v>
      </x:c>
      <x:c r="L1030" t="str">
        <x:v>All Geographies</x:v>
      </x:c>
      <x:c r="M1030" s="34" t="n">
        <x:v>2415</x:v>
      </x:c>
      <x:c r="N1030" s="28" t="n">
        <x:v>0.050126399999999995</x:v>
      </x:c>
      <x:c r="O1030" s="34" t="n">
        <x:v>121</x:v>
      </x:c>
      <x:c r="P1030" s="34" t="n">
        <x:v>1</x:v>
      </x:c>
      <x:c r="Q1030" s="34" t="n">
        <x:v>121</x:v>
      </x:c>
      <x:c r="R1030" s="33" t="n">
        <x:v>18</x:v>
      </x:c>
      <x:c r="S1030" s="38" t="n">
        <x:v>2.178</x:v>
      </x:c>
      <x:c r="T1030" s="38" t="n">
        <x:v>0.1089</x:v>
      </x:c>
      <x:c r="U1030" s="38" t="n">
        <x:v>0.051727499999999996</x:v>
      </x:c>
      <x:c r="V1030" s="38" t="n">
        <x:v>2.0173724999999996</x:v>
      </x:c>
      <x:c r="W1030" s="38" t="n">
        <x:v>0.65461</x:v>
      </x:c>
      <x:c r="X1030" s="38" t="n">
        <x:v>0</x:v>
      </x:c>
      <x:c r="Y1030" s="38" t="n">
        <x:v>0.3026058749999999</x:v>
      </x:c>
      <x:c r="Z1030" s="38" t="n">
        <x:v>0.6292000000000001</x:v>
      </x:c>
      <x:c r="AA1030" s="38" t="n">
        <x:v>0.26015</x:v>
      </x:c>
      <x:c r="AB1030" s="38" t="n">
        <x:v>0.000726</x:v>
      </x:c>
      <x:c r="AC1030" s="38" t="n">
        <x:v>0.17008062499999976</x:v>
      </x:c>
      <x:c r="AD1030" s="28" t="n">
        <x:v>0.08430799220272894</x:v>
      </x:c>
    </x:row>
    <x:row r="1031">
      <x:c r="A1031" s="32" t="n">
        <x:v>46020</x:v>
      </x:c>
      <x:c r="B1031" s="32" t="n">
        <x:v>45992</x:v>
      </x:c>
      <x:c r="C1031" t="str">
        <x:v>Dec 2025</x:v>
      </x:c>
      <x:c r="D1031" t="str">
        <x:v>Actual</x:v>
      </x:c>
      <x:c r="E1031" t="str">
        <x:v>DB-102</x:v>
      </x:c>
      <x:c r="F1031" t="str">
        <x:v>GlowPatch Balm</x:v>
      </x:c>
      <x:c r="G1031" t="str">
        <x:v>Consumable repeat</x:v>
      </x:c>
      <x:c r="H1031" t="str">
        <x:v>None</x:v>
      </x:c>
      <x:c r="I1031" t="str">
        <x:v>Active</x:v>
      </x:c>
      <x:c r="J1031" t="str">
        <x:v>Wholesale</x:v>
      </x:c>
      <x:c r="K1031" t="str">
        <x:v>Retailer</x:v>
      </x:c>
      <x:c r="L1031" t="str">
        <x:v>All Geographies</x:v>
      </x:c>
      <x:c r="M1031" s="34" t="n">
        <x:v>1449</x:v>
      </x:c>
      <x:c r="N1031" s="28" t="n">
        <x:v>0.023364</x:v>
      </x:c>
      <x:c r="O1031" s="34" t="n">
        <x:v>34</x:v>
      </x:c>
      <x:c r="P1031" s="34" t="n">
        <x:v>1</x:v>
      </x:c>
      <x:c r="Q1031" s="34" t="n">
        <x:v>34</x:v>
      </x:c>
      <x:c r="R1031" s="33" t="n">
        <x:v>18</x:v>
      </x:c>
      <x:c r="S1031" s="38" t="n">
        <x:v>0.612</x:v>
      </x:c>
      <x:c r="T1031" s="38" t="n">
        <x:v>0.21419999999999997</x:v>
      </x:c>
      <x:c r="U1031" s="38" t="n">
        <x:v>0.009945000000000002</x:v>
      </x:c>
      <x:c r="V1031" s="38" t="n">
        <x:v>0.38785500000000006</x:v>
      </x:c>
      <x:c r="W1031" s="38" t="n">
        <x:v>0.18394</x:v>
      </x:c>
      <x:c r="X1031" s="38" t="n">
        <x:v>0</x:v>
      </x:c>
      <x:c r="Y1031" s="38" t="n">
        <x:v>0</x:v>
      </x:c>
      <x:c r="Z1031" s="38" t="n">
        <x:v>0.07819999999999999</x:v>
      </x:c>
      <x:c r="AA1031" s="38" t="n">
        <x:v>0.0289</x:v>
      </x:c>
      <x:c r="AB1031" s="38" t="n">
        <x:v>0.00020400000000000003</x:v>
      </x:c>
      <x:c r="AC1031" s="38" t="n">
        <x:v>0.09661100000000009</x:v>
      </x:c>
      <x:c r="AD1031" s="28" t="n">
        <x:v>0.24909051062897236</x:v>
      </x:c>
    </x:row>
    <x:row r="1032">
      <x:c r="A1032" s="32" t="n">
        <x:v>46020</x:v>
      </x:c>
      <x:c r="B1032" s="32" t="n">
        <x:v>45992</x:v>
      </x:c>
      <x:c r="C1032" t="str">
        <x:v>Dec 2025</x:v>
      </x:c>
      <x:c r="D1032" t="str">
        <x:v>Actual</x:v>
      </x:c>
      <x:c r="E1032" t="str">
        <x:v>DB-102</x:v>
      </x:c>
      <x:c r="F1032" t="str">
        <x:v>GlowPatch Balm</x:v>
      </x:c>
      <x:c r="G1032" t="str">
        <x:v>Consumable repeat</x:v>
      </x:c>
      <x:c r="H1032" t="str">
        <x:v>None</x:v>
      </x:c>
      <x:c r="I1032" t="str">
        <x:v>Active</x:v>
      </x:c>
      <x:c r="J1032" t="str">
        <x:v>TikTok Shop</x:v>
      </x:c>
      <x:c r="K1032" t="str">
        <x:v>Social Commerce</x:v>
      </x:c>
      <x:c r="L1032" t="str">
        <x:v>All Geographies</x:v>
      </x:c>
      <x:c r="M1032" s="34" t="n">
        <x:v>966</x:v>
      </x:c>
      <x:c r="N1032" s="28" t="n">
        <x:v>0.0535248</x:v>
      </x:c>
      <x:c r="O1032" s="34" t="n">
        <x:v>52</x:v>
      </x:c>
      <x:c r="P1032" s="34" t="n">
        <x:v>1</x:v>
      </x:c>
      <x:c r="Q1032" s="34" t="n">
        <x:v>52</x:v>
      </x:c>
      <x:c r="R1032" s="33" t="n">
        <x:v>18</x:v>
      </x:c>
      <x:c r="S1032" s="38" t="n">
        <x:v>0.936</x:v>
      </x:c>
      <x:c r="T1032" s="38" t="n">
        <x:v>0.11232</x:v>
      </x:c>
      <x:c r="U1032" s="38" t="n">
        <x:v>0.020592000000000003</x:v>
      </x:c>
      <x:c r="V1032" s="38" t="n">
        <x:v>0.803088</x:v>
      </x:c>
      <x:c r="W1032" s="38" t="n">
        <x:v>0.28132</x:v>
      </x:c>
      <x:c r="X1032" s="38" t="n">
        <x:v>0.023289552</x:v>
      </x:c>
      <x:c r="Y1032" s="38" t="n">
        <x:v>0.04818528</x:v>
      </x:c>
      <x:c r="Z1032" s="38" t="n">
        <x:v>0.2652</x:v>
      </x:c>
      <x:c r="AA1032" s="38" t="n">
        <x:v>0.091</x:v>
      </x:c>
      <x:c r="AB1032" s="38" t="n">
        <x:v>0.00031200000000000005</x:v>
      </x:c>
      <x:c r="AC1032" s="38" t="n">
        <x:v>0.09378116800000003</x:v>
      </x:c>
      <x:c r="AD1032" s="28" t="n">
        <x:v>0.1167757057757058</x:v>
      </x:c>
    </x:row>
    <x:row r="1033">
      <x:c r="A1033" s="32" t="n">
        <x:v>46020</x:v>
      </x:c>
      <x:c r="B1033" s="32" t="n">
        <x:v>45992</x:v>
      </x:c>
      <x:c r="C1033" t="str">
        <x:v>Dec 2025</x:v>
      </x:c>
      <x:c r="D1033" t="str">
        <x:v>Actual</x:v>
      </x:c>
      <x:c r="E1033" t="str">
        <x:v>DB-103</x:v>
      </x:c>
      <x:c r="F1033" t="str">
        <x:v>EmberTrail Camp Mug</x:v>
      </x:c>
      <x:c r="G1033" t="str">
        <x:v>One-time purchase</x:v>
      </x:c>
      <x:c r="H1033" t="str">
        <x:v>Winter peak</x:v>
      </x:c>
      <x:c r="I1033" t="str">
        <x:v>Active</x:v>
      </x:c>
      <x:c r="J1033" t="str">
        <x:v>Shopify DTC</x:v>
      </x:c>
      <x:c r="K1033" t="str">
        <x:v>Consumer</x:v>
      </x:c>
      <x:c r="L1033" t="str">
        <x:v>All Geographies</x:v>
      </x:c>
      <x:c r="M1033" s="34" t="n">
        <x:v>6417</x:v>
      </x:c>
      <x:c r="N1033" s="28" t="n">
        <x:v>0.0324</x:v>
      </x:c>
      <x:c r="O1033" s="34" t="n">
        <x:v>208</x:v>
      </x:c>
      <x:c r="P1033" s="34" t="n">
        <x:v>1</x:v>
      </x:c>
      <x:c r="Q1033" s="34" t="n">
        <x:v>208</x:v>
      </x:c>
      <x:c r="R1033" s="33" t="n">
        <x:v>34</x:v>
      </x:c>
      <x:c r="S1033" s="38" t="n">
        <x:v>7.072</x:v>
      </x:c>
      <x:c r="T1033" s="38" t="n">
        <x:v>0.56576</x:v>
      </x:c>
      <x:c r="U1033" s="38" t="n">
        <x:v>0.35784320000000003</x:v>
      </x:c>
      <x:c r="V1033" s="38" t="n">
        <x:v>6.1483968</x:v>
      </x:c>
      <x:c r="W1033" s="38" t="n">
        <x:v>2.84336</x:v>
      </x:c>
      <x:c r="X1033" s="38" t="n">
        <x:v>0.17830350720000002</x:v>
      </x:c>
      <x:c r="Y1033" s="38" t="n">
        <x:v>0</x:v>
      </x:c>
      <x:c r="Z1033" s="38" t="n">
        <x:v>0.8632000000000001</x:v>
      </x:c>
      <x:c r="AA1033" s="38" t="n">
        <x:v>0.3432</x:v>
      </x:c>
      <x:c r="AB1033" s="38" t="n">
        <x:v>0.011648000000000002</x:v>
      </x:c>
      <x:c r="AC1033" s="38" t="n">
        <x:v>1.9086852928000004</x:v>
      </x:c>
      <x:c r="AD1033" s="28" t="n">
        <x:v>0.3104362575948254</x:v>
      </x:c>
    </x:row>
    <x:row r="1034">
      <x:c r="A1034" s="32" t="n">
        <x:v>46020</x:v>
      </x:c>
      <x:c r="B1034" s="32" t="n">
        <x:v>45992</x:v>
      </x:c>
      <x:c r="C1034" t="str">
        <x:v>Dec 2025</x:v>
      </x:c>
      <x:c r="D1034" t="str">
        <x:v>Actual</x:v>
      </x:c>
      <x:c r="E1034" t="str">
        <x:v>DB-103</x:v>
      </x:c>
      <x:c r="F1034" t="str">
        <x:v>EmberTrail Camp Mug</x:v>
      </x:c>
      <x:c r="G1034" t="str">
        <x:v>One-time purchase</x:v>
      </x:c>
      <x:c r="H1034" t="str">
        <x:v>Winter peak</x:v>
      </x:c>
      <x:c r="I1034" t="str">
        <x:v>Active</x:v>
      </x:c>
      <x:c r="J1034" t="str">
        <x:v>Amazon Marketplace</x:v>
      </x:c>
      <x:c r="K1034" t="str">
        <x:v>Marketplace Consumer</x:v>
      </x:c>
      <x:c r="L1034" t="str">
        <x:v>All Geographies</x:v>
      </x:c>
      <x:c r="M1034" s="34" t="n">
        <x:v>3209</x:v>
      </x:c>
      <x:c r="N1034" s="28" t="n">
        <x:v>0.038231999999999995</x:v>
      </x:c>
      <x:c r="O1034" s="34" t="n">
        <x:v>123</x:v>
      </x:c>
      <x:c r="P1034" s="34" t="n">
        <x:v>1</x:v>
      </x:c>
      <x:c r="Q1034" s="34" t="n">
        <x:v>123</x:v>
      </x:c>
      <x:c r="R1034" s="33" t="n">
        <x:v>34</x:v>
      </x:c>
      <x:c r="S1034" s="38" t="n">
        <x:v>4.182</x:v>
      </x:c>
      <x:c r="T1034" s="38" t="n">
        <x:v>0.20910000000000004</x:v>
      </x:c>
      <x:c r="U1034" s="38" t="n">
        <x:v>0.21850950000000002</x:v>
      </x:c>
      <x:c r="V1034" s="38" t="n">
        <x:v>3.7543905000000004</x:v>
      </x:c>
      <x:c r="W1034" s="38" t="n">
        <x:v>1.68141</x:v>
      </x:c>
      <x:c r="X1034" s="38" t="n">
        <x:v>0</x:v>
      </x:c>
      <x:c r="Y1034" s="38" t="n">
        <x:v>0.563158575</x:v>
      </x:c>
      <x:c r="Z1034" s="38" t="n">
        <x:v>0.6396000000000001</x:v>
      </x:c>
      <x:c r="AA1034" s="38" t="n">
        <x:v>0.26444999999999996</x:v>
      </x:c>
      <x:c r="AB1034" s="38" t="n">
        <x:v>0.006888</x:v>
      </x:c>
      <x:c r="AC1034" s="38" t="n">
        <x:v>0.5988839250000002</x:v>
      </x:c>
      <x:c r="AD1034" s="28" t="n">
        <x:v>0.15951561911314238</x:v>
      </x:c>
    </x:row>
    <x:row r="1035">
      <x:c r="A1035" s="32" t="n">
        <x:v>46020</x:v>
      </x:c>
      <x:c r="B1035" s="32" t="n">
        <x:v>45992</x:v>
      </x:c>
      <x:c r="C1035" t="str">
        <x:v>Dec 2025</x:v>
      </x:c>
      <x:c r="D1035" t="str">
        <x:v>Actual</x:v>
      </x:c>
      <x:c r="E1035" t="str">
        <x:v>DB-103</x:v>
      </x:c>
      <x:c r="F1035" t="str">
        <x:v>EmberTrail Camp Mug</x:v>
      </x:c>
      <x:c r="G1035" t="str">
        <x:v>One-time purchase</x:v>
      </x:c>
      <x:c r="H1035" t="str">
        <x:v>Winter peak</x:v>
      </x:c>
      <x:c r="I1035" t="str">
        <x:v>Active</x:v>
      </x:c>
      <x:c r="J1035" t="str">
        <x:v>Wholesale</x:v>
      </x:c>
      <x:c r="K1035" t="str">
        <x:v>Retailer</x:v>
      </x:c>
      <x:c r="L1035" t="str">
        <x:v>All Geographies</x:v>
      </x:c>
      <x:c r="M1035" s="34" t="n">
        <x:v>1925</x:v>
      </x:c>
      <x:c r="N1035" s="28" t="n">
        <x:v>0.017820000000000003</x:v>
      </x:c>
      <x:c r="O1035" s="34" t="n">
        <x:v>34</x:v>
      </x:c>
      <x:c r="P1035" s="34" t="n">
        <x:v>1</x:v>
      </x:c>
      <x:c r="Q1035" s="34" t="n">
        <x:v>34</x:v>
      </x:c>
      <x:c r="R1035" s="33" t="n">
        <x:v>34</x:v>
      </x:c>
      <x:c r="S1035" s="38" t="n">
        <x:v>1.156</x:v>
      </x:c>
      <x:c r="T1035" s="38" t="n">
        <x:v>0.40459999999999996</x:v>
      </x:c>
      <x:c r="U1035" s="38" t="n">
        <x:v>0.041326999999999996</x:v>
      </x:c>
      <x:c r="V1035" s="38" t="n">
        <x:v>0.710073</x:v>
      </x:c>
      <x:c r="W1035" s="38" t="n">
        <x:v>0.46477999999999997</x:v>
      </x:c>
      <x:c r="X1035" s="38" t="n">
        <x:v>0</x:v>
      </x:c>
      <x:c r="Y1035" s="38" t="n">
        <x:v>0</x:v>
      </x:c>
      <x:c r="Z1035" s="38" t="n">
        <x:v>0.07819999999999999</x:v>
      </x:c>
      <x:c r="AA1035" s="38" t="n">
        <x:v>0.0289</x:v>
      </x:c>
      <x:c r="AB1035" s="38" t="n">
        <x:v>0.001904</x:v>
      </x:c>
      <x:c r="AC1035" s="38" t="n">
        <x:v>0.136289</x:v>
      </x:c>
      <x:c r="AD1035" s="28" t="n">
        <x:v>0.19193660370130958</x:v>
      </x:c>
    </x:row>
    <x:row r="1036">
      <x:c r="A1036" s="32" t="n">
        <x:v>46020</x:v>
      </x:c>
      <x:c r="B1036" s="32" t="n">
        <x:v>45992</x:v>
      </x:c>
      <x:c r="C1036" t="str">
        <x:v>Dec 2025</x:v>
      </x:c>
      <x:c r="D1036" t="str">
        <x:v>Actual</x:v>
      </x:c>
      <x:c r="E1036" t="str">
        <x:v>DB-103</x:v>
      </x:c>
      <x:c r="F1036" t="str">
        <x:v>EmberTrail Camp Mug</x:v>
      </x:c>
      <x:c r="G1036" t="str">
        <x:v>One-time purchase</x:v>
      </x:c>
      <x:c r="H1036" t="str">
        <x:v>Winter peak</x:v>
      </x:c>
      <x:c r="I1036" t="str">
        <x:v>Active</x:v>
      </x:c>
      <x:c r="J1036" t="str">
        <x:v>TikTok Shop</x:v>
      </x:c>
      <x:c r="K1036" t="str">
        <x:v>Social Commerce</x:v>
      </x:c>
      <x:c r="L1036" t="str">
        <x:v>All Geographies</x:v>
      </x:c>
      <x:c r="M1036" s="34" t="n">
        <x:v>1283</x:v>
      </x:c>
      <x:c r="N1036" s="28" t="n">
        <x:v>0.040824</x:v>
      </x:c>
      <x:c r="O1036" s="34" t="n">
        <x:v>52</x:v>
      </x:c>
      <x:c r="P1036" s="34" t="n">
        <x:v>1</x:v>
      </x:c>
      <x:c r="Q1036" s="34" t="n">
        <x:v>52</x:v>
      </x:c>
      <x:c r="R1036" s="33" t="n">
        <x:v>34</x:v>
      </x:c>
      <x:c r="S1036" s="38" t="n">
        <x:v>1.768</x:v>
      </x:c>
      <x:c r="T1036" s="38" t="n">
        <x:v>0.21216</x:v>
      </x:c>
      <x:c r="U1036" s="38" t="n">
        <x:v>0.0855712</x:v>
      </x:c>
      <x:c r="V1036" s="38" t="n">
        <x:v>1.4702688000000002</x:v>
      </x:c>
      <x:c r="W1036" s="38" t="n">
        <x:v>0.71084</x:v>
      </x:c>
      <x:c r="X1036" s="38" t="n">
        <x:v>0.04263779520000001</x:v>
      </x:c>
      <x:c r="Y1036" s="38" t="n">
        <x:v>0.088216128</x:v>
      </x:c>
      <x:c r="Z1036" s="38" t="n">
        <x:v>0.2652</x:v>
      </x:c>
      <x:c r="AA1036" s="38" t="n">
        <x:v>0.091</x:v>
      </x:c>
      <x:c r="AB1036" s="38" t="n">
        <x:v>0.0029120000000000005</x:v>
      </x:c>
      <x:c r="AC1036" s="38" t="n">
        <x:v>0.26946287680000014</x:v>
      </x:c>
      <x:c r="AD1036" s="28" t="n">
        <x:v>0.18327456639221354</x:v>
      </x:c>
    </x:row>
    <x:row r="1037">
      <x:c r="A1037" s="32" t="n">
        <x:v>46020</x:v>
      </x:c>
      <x:c r="B1037" s="32" t="n">
        <x:v>45992</x:v>
      </x:c>
      <x:c r="C1037" t="str">
        <x:v>Dec 2025</x:v>
      </x:c>
      <x:c r="D1037" t="str">
        <x:v>Actual</x:v>
      </x:c>
      <x:c r="E1037" t="str">
        <x:v>DB-104</x:v>
      </x:c>
      <x:c r="F1037" t="str">
        <x:v>SunNest Cooling Towel</x:v>
      </x:c>
      <x:c r="G1037" t="str">
        <x:v>Consumable repeat</x:v>
      </x:c>
      <x:c r="H1037" t="str">
        <x:v>Summer peak</x:v>
      </x:c>
      <x:c r="I1037" t="str">
        <x:v>Active</x:v>
      </x:c>
      <x:c r="J1037" t="str">
        <x:v>Shopify DTC</x:v>
      </x:c>
      <x:c r="K1037" t="str">
        <x:v>Consumer</x:v>
      </x:c>
      <x:c r="L1037" t="str">
        <x:v>All Geographies</x:v>
      </x:c>
      <x:c r="M1037" s="34" t="n">
        <x:v>2815</x:v>
      </x:c>
      <x:c r="N1037" s="28" t="n">
        <x:v>0.03312</x:v>
      </x:c>
      <x:c r="O1037" s="34" t="n">
        <x:v>93</x:v>
      </x:c>
      <x:c r="P1037" s="34" t="n">
        <x:v>1</x:v>
      </x:c>
      <x:c r="Q1037" s="34" t="n">
        <x:v>93</x:v>
      </x:c>
      <x:c r="R1037" s="33" t="n">
        <x:v>42</x:v>
      </x:c>
      <x:c r="S1037" s="38" t="n">
        <x:v>3.906</x:v>
      </x:c>
      <x:c r="T1037" s="38" t="n">
        <x:v>0.31248000000000004</x:v>
      </x:c>
      <x:c r="U1037" s="38" t="n">
        <x:v>0.17967600000000003</x:v>
      </x:c>
      <x:c r="V1037" s="38" t="n">
        <x:v>3.413844</x:v>
      </x:c>
      <x:c r="W1037" s="38" t="n">
        <x:v>1.39965</x:v>
      </x:c>
      <x:c r="X1037" s="38" t="n">
        <x:v>0.099001476</x:v>
      </x:c>
      <x:c r="Y1037" s="38" t="n">
        <x:v>0</x:v>
      </x:c>
      <x:c r="Z1037" s="38" t="n">
        <x:v>0.38595000000000007</x:v>
      </x:c>
      <x:c r="AA1037" s="38" t="n">
        <x:v>0.15344999999999998</x:v>
      </x:c>
      <x:c r="AB1037" s="38" t="n">
        <x:v>0.002604</x:v>
      </x:c>
      <x:c r="AC1037" s="38" t="n">
        <x:v>1.373188524</x:v>
      </x:c>
      <x:c r="AD1037" s="28" t="n">
        <x:v>0.4022411463441211</x:v>
      </x:c>
    </x:row>
    <x:row r="1038">
      <x:c r="A1038" s="32" t="n">
        <x:v>46020</x:v>
      </x:c>
      <x:c r="B1038" s="32" t="n">
        <x:v>45992</x:v>
      </x:c>
      <x:c r="C1038" t="str">
        <x:v>Dec 2025</x:v>
      </x:c>
      <x:c r="D1038" t="str">
        <x:v>Actual</x:v>
      </x:c>
      <x:c r="E1038" t="str">
        <x:v>DB-104</x:v>
      </x:c>
      <x:c r="F1038" t="str">
        <x:v>SunNest Cooling Towel</x:v>
      </x:c>
      <x:c r="G1038" t="str">
        <x:v>Consumable repeat</x:v>
      </x:c>
      <x:c r="H1038" t="str">
        <x:v>Summer peak</x:v>
      </x:c>
      <x:c r="I1038" t="str">
        <x:v>Active</x:v>
      </x:c>
      <x:c r="J1038" t="str">
        <x:v>Amazon Marketplace</x:v>
      </x:c>
      <x:c r="K1038" t="str">
        <x:v>Marketplace Consumer</x:v>
      </x:c>
      <x:c r="L1038" t="str">
        <x:v>All Geographies</x:v>
      </x:c>
      <x:c r="M1038" s="34" t="n">
        <x:v>1408</x:v>
      </x:c>
      <x:c r="N1038" s="28" t="n">
        <x:v>0.0390816</x:v>
      </x:c>
      <x:c r="O1038" s="34" t="n">
        <x:v>55</x:v>
      </x:c>
      <x:c r="P1038" s="34" t="n">
        <x:v>1</x:v>
      </x:c>
      <x:c r="Q1038" s="34" t="n">
        <x:v>55</x:v>
      </x:c>
      <x:c r="R1038" s="33" t="n">
        <x:v>42</x:v>
      </x:c>
      <x:c r="S1038" s="38" t="n">
        <x:v>2.31</x:v>
      </x:c>
      <x:c r="T1038" s="38" t="n">
        <x:v>0.1155</x:v>
      </x:c>
      <x:c r="U1038" s="38" t="n">
        <x:v>0.10972500000000002</x:v>
      </x:c>
      <x:c r="V1038" s="38" t="n">
        <x:v>2.084775</x:v>
      </x:c>
      <x:c r="W1038" s="38" t="n">
        <x:v>0.82775</x:v>
      </x:c>
      <x:c r="X1038" s="38" t="n">
        <x:v>0</x:v>
      </x:c>
      <x:c r="Y1038" s="38" t="n">
        <x:v>0.31271625</x:v>
      </x:c>
      <x:c r="Z1038" s="38" t="n">
        <x:v>0.286</x:v>
      </x:c>
      <x:c r="AA1038" s="38" t="n">
        <x:v>0.11825</x:v>
      </x:c>
      <x:c r="AB1038" s="38" t="n">
        <x:v>0.0015400000000000001</x:v>
      </x:c>
      <x:c r="AC1038" s="38" t="n">
        <x:v>0.53851875</x:v>
      </x:c>
      <x:c r="AD1038" s="28" t="n">
        <x:v>0.25831024930747926</x:v>
      </x:c>
    </x:row>
    <x:row r="1039">
      <x:c r="A1039" s="32" t="n">
        <x:v>46020</x:v>
      </x:c>
      <x:c r="B1039" s="32" t="n">
        <x:v>45992</x:v>
      </x:c>
      <x:c r="C1039" t="str">
        <x:v>Dec 2025</x:v>
      </x:c>
      <x:c r="D1039" t="str">
        <x:v>Actual</x:v>
      </x:c>
      <x:c r="E1039" t="str">
        <x:v>DB-104</x:v>
      </x:c>
      <x:c r="F1039" t="str">
        <x:v>SunNest Cooling Towel</x:v>
      </x:c>
      <x:c r="G1039" t="str">
        <x:v>Consumable repeat</x:v>
      </x:c>
      <x:c r="H1039" t="str">
        <x:v>Summer peak</x:v>
      </x:c>
      <x:c r="I1039" t="str">
        <x:v>Active</x:v>
      </x:c>
      <x:c r="J1039" t="str">
        <x:v>Wholesale</x:v>
      </x:c>
      <x:c r="K1039" t="str">
        <x:v>Retailer</x:v>
      </x:c>
      <x:c r="L1039" t="str">
        <x:v>All Geographies</x:v>
      </x:c>
      <x:c r="M1039" s="34" t="n">
        <x:v>845</x:v>
      </x:c>
      <x:c r="N1039" s="28" t="n">
        <x:v>0.018216000000000003</x:v>
      </x:c>
      <x:c r="O1039" s="34" t="n">
        <x:v>15</x:v>
      </x:c>
      <x:c r="P1039" s="34" t="n">
        <x:v>1</x:v>
      </x:c>
      <x:c r="Q1039" s="34" t="n">
        <x:v>15</x:v>
      </x:c>
      <x:c r="R1039" s="33" t="n">
        <x:v>42</x:v>
      </x:c>
      <x:c r="S1039" s="38" t="n">
        <x:v>0.63</x:v>
      </x:c>
      <x:c r="T1039" s="38" t="n">
        <x:v>0.22049999999999997</x:v>
      </x:c>
      <x:c r="U1039" s="38" t="n">
        <x:v>0.020475000000000004</x:v>
      </x:c>
      <x:c r="V1039" s="38" t="n">
        <x:v>0.389025</x:v>
      </x:c>
      <x:c r="W1039" s="38" t="n">
        <x:v>0.22575</x:v>
      </x:c>
      <x:c r="X1039" s="38" t="n">
        <x:v>0</x:v>
      </x:c>
      <x:c r="Y1039" s="38" t="n">
        <x:v>0</x:v>
      </x:c>
      <x:c r="Z1039" s="38" t="n">
        <x:v>0.0345</x:v>
      </x:c>
      <x:c r="AA1039" s="38" t="n">
        <x:v>0.01275</x:v>
      </x:c>
      <x:c r="AB1039" s="38" t="n">
        <x:v>0.00041999999999999996</x:v>
      </x:c>
      <x:c r="AC1039" s="38" t="n">
        <x:v>0.115605</x:v>
      </x:c>
      <x:c r="AD1039" s="28" t="n">
        <x:v>0.297165991902834</x:v>
      </x:c>
    </x:row>
    <x:row r="1040">
      <x:c r="A1040" s="32" t="n">
        <x:v>46020</x:v>
      </x:c>
      <x:c r="B1040" s="32" t="n">
        <x:v>45992</x:v>
      </x:c>
      <x:c r="C1040" t="str">
        <x:v>Dec 2025</x:v>
      </x:c>
      <x:c r="D1040" t="str">
        <x:v>Actual</x:v>
      </x:c>
      <x:c r="E1040" t="str">
        <x:v>DB-104</x:v>
      </x:c>
      <x:c r="F1040" t="str">
        <x:v>SunNest Cooling Towel</x:v>
      </x:c>
      <x:c r="G1040" t="str">
        <x:v>Consumable repeat</x:v>
      </x:c>
      <x:c r="H1040" t="str">
        <x:v>Summer peak</x:v>
      </x:c>
      <x:c r="I1040" t="str">
        <x:v>Active</x:v>
      </x:c>
      <x:c r="J1040" t="str">
        <x:v>TikTok Shop</x:v>
      </x:c>
      <x:c r="K1040" t="str">
        <x:v>Social Commerce</x:v>
      </x:c>
      <x:c r="L1040" t="str">
        <x:v>All Geographies</x:v>
      </x:c>
      <x:c r="M1040" s="34" t="n">
        <x:v>563</x:v>
      </x:c>
      <x:c r="N1040" s="28" t="n">
        <x:v>0.0417312</x:v>
      </x:c>
      <x:c r="O1040" s="34" t="n">
        <x:v>23</x:v>
      </x:c>
      <x:c r="P1040" s="34" t="n">
        <x:v>1</x:v>
      </x:c>
      <x:c r="Q1040" s="34" t="n">
        <x:v>23</x:v>
      </x:c>
      <x:c r="R1040" s="33" t="n">
        <x:v>42</x:v>
      </x:c>
      <x:c r="S1040" s="38" t="n">
        <x:v>0.966</x:v>
      </x:c>
      <x:c r="T1040" s="38" t="n">
        <x:v>0.11592</x:v>
      </x:c>
      <x:c r="U1040" s="38" t="n">
        <x:v>0.042504</x:v>
      </x:c>
      <x:c r="V1040" s="38" t="n">
        <x:v>0.807576</x:v>
      </x:c>
      <x:c r="W1040" s="38" t="n">
        <x:v>0.34615</x:v>
      </x:c>
      <x:c r="X1040" s="38" t="n">
        <x:v>0.023419704</x:v>
      </x:c>
      <x:c r="Y1040" s="38" t="n">
        <x:v>0.048454559999999994</x:v>
      </x:c>
      <x:c r="Z1040" s="38" t="n">
        <x:v>0.1173</x:v>
      </x:c>
      <x:c r="AA1040" s="38" t="n">
        <x:v>0.04025</x:v>
      </x:c>
      <x:c r="AB1040" s="38" t="n">
        <x:v>0.000644</x:v>
      </x:c>
      <x:c r="AC1040" s="38" t="n">
        <x:v>0.23135773599999995</x:v>
      </x:c>
      <x:c r="AD1040" s="28" t="n">
        <x:v>0.2864841649578491</x:v>
      </x:c>
    </x:row>
    <x:row r="1041">
      <x:c r="A1041" s="32" t="n">
        <x:v>46020</x:v>
      </x:c>
      <x:c r="B1041" s="32" t="n">
        <x:v>45992</x:v>
      </x:c>
      <x:c r="C1041" t="str">
        <x:v>Dec 2025</x:v>
      </x:c>
      <x:c r="D1041" t="str">
        <x:v>Actual</x:v>
      </x:c>
      <x:c r="E1041" t="str">
        <x:v>DB-105</x:v>
      </x:c>
      <x:c r="F1041" t="str">
        <x:v>DreamFuel Refill Pack</x:v>
      </x:c>
      <x:c r="G1041" t="str">
        <x:v>Subscription</x:v>
      </x:c>
      <x:c r="H1041" t="str">
        <x:v>None</x:v>
      </x:c>
      <x:c r="I1041" t="str">
        <x:v>Active</x:v>
      </x:c>
      <x:c r="J1041" t="str">
        <x:v>Shopify DTC</x:v>
      </x:c>
      <x:c r="K1041" t="str">
        <x:v>Consumer</x:v>
      </x:c>
      <x:c r="L1041" t="str">
        <x:v>All Geographies</x:v>
      </x:c>
      <x:c r="M1041" s="34" t="n">
        <x:v>4140</x:v>
      </x:c>
      <x:c r="N1041" s="28" t="n">
        <x:v>0.03888</x:v>
      </x:c>
      <x:c r="O1041" s="34" t="n">
        <x:v>161</x:v>
      </x:c>
      <x:c r="P1041" s="34" t="n">
        <x:v>1</x:v>
      </x:c>
      <x:c r="Q1041" s="34" t="n">
        <x:v>161</x:v>
      </x:c>
      <x:c r="R1041" s="33" t="n">
        <x:v>56</x:v>
      </x:c>
      <x:c r="S1041" s="38" t="n">
        <x:v>9.016</x:v>
      </x:c>
      <x:c r="T1041" s="38" t="n">
        <x:v>0.72128</x:v>
      </x:c>
      <x:c r="U1041" s="38" t="n">
        <x:v>0.1658944</x:v>
      </x:c>
      <x:c r="V1041" s="38" t="n">
        <x:v>8.128825599999999</x:v>
      </x:c>
      <x:c r="W1041" s="38" t="n">
        <x:v>2.9978200000000004</x:v>
      </x:c>
      <x:c r="X1041" s="38" t="n">
        <x:v>0.23573594239999998</x:v>
      </x:c>
      <x:c r="Y1041" s="38" t="n">
        <x:v>0</x:v>
      </x:c>
      <x:c r="Z1041" s="38" t="n">
        <x:v>0.6681500000000001</x:v>
      </x:c>
      <x:c r="AA1041" s="38" t="n">
        <x:v>0.26565</x:v>
      </x:c>
      <x:c r="AB1041" s="38" t="n">
        <x:v>0.0005796</x:v>
      </x:c>
      <x:c r="AC1041" s="38" t="n">
        <x:v>3.9608900575999986</x:v>
      </x:c>
      <x:c r="AD1041" s="28" t="n">
        <x:v>0.48726473570794765</x:v>
      </x:c>
    </x:row>
    <x:row r="1042">
      <x:c r="A1042" s="32" t="n">
        <x:v>46020</x:v>
      </x:c>
      <x:c r="B1042" s="32" t="n">
        <x:v>45992</x:v>
      </x:c>
      <x:c r="C1042" t="str">
        <x:v>Dec 2025</x:v>
      </x:c>
      <x:c r="D1042" t="str">
        <x:v>Actual</x:v>
      </x:c>
      <x:c r="E1042" t="str">
        <x:v>DB-105</x:v>
      </x:c>
      <x:c r="F1042" t="str">
        <x:v>DreamFuel Refill Pack</x:v>
      </x:c>
      <x:c r="G1042" t="str">
        <x:v>Subscription</x:v>
      </x:c>
      <x:c r="H1042" t="str">
        <x:v>None</x:v>
      </x:c>
      <x:c r="I1042" t="str">
        <x:v>Active</x:v>
      </x:c>
      <x:c r="J1042" t="str">
        <x:v>Amazon Marketplace</x:v>
      </x:c>
      <x:c r="K1042" t="str">
        <x:v>Marketplace Consumer</x:v>
      </x:c>
      <x:c r="L1042" t="str">
        <x:v>All Geographies</x:v>
      </x:c>
      <x:c r="M1042" s="34" t="n">
        <x:v>2070</x:v>
      </x:c>
      <x:c r="N1042" s="28" t="n">
        <x:v>0.0458784</x:v>
      </x:c>
      <x:c r="O1042" s="34" t="n">
        <x:v>95</x:v>
      </x:c>
      <x:c r="P1042" s="34" t="n">
        <x:v>1</x:v>
      </x:c>
      <x:c r="Q1042" s="34" t="n">
        <x:v>95</x:v>
      </x:c>
      <x:c r="R1042" s="33" t="n">
        <x:v>56</x:v>
      </x:c>
      <x:c r="S1042" s="38" t="n">
        <x:v>5.32</x:v>
      </x:c>
      <x:c r="T1042" s="38" t="n">
        <x:v>0.266</x:v>
      </x:c>
      <x:c r="U1042" s="38" t="n">
        <x:v>0.10108</x:v>
      </x:c>
      <x:c r="V1042" s="38" t="n">
        <x:v>4.952920000000001</x:v>
      </x:c>
      <x:c r="W1042" s="38" t="n">
        <x:v>1.7689000000000001</x:v>
      </x:c>
      <x:c r="X1042" s="38" t="n">
        <x:v>0</x:v>
      </x:c>
      <x:c r="Y1042" s="38" t="n">
        <x:v>0.7429380000000001</x:v>
      </x:c>
      <x:c r="Z1042" s="38" t="n">
        <x:v>0.494</x:v>
      </x:c>
      <x:c r="AA1042" s="38" t="n">
        <x:v>0.20425</x:v>
      </x:c>
      <x:c r="AB1042" s="38" t="n">
        <x:v>0.000342</x:v>
      </x:c>
      <x:c r="AC1042" s="38" t="n">
        <x:v>1.74249</x:v>
      </x:c>
      <x:c r="AD1042" s="28" t="n">
        <x:v>0.3518106490716587</x:v>
      </x:c>
    </x:row>
    <x:row r="1043">
      <x:c r="A1043" s="32" t="n">
        <x:v>46020</x:v>
      </x:c>
      <x:c r="B1043" s="32" t="n">
        <x:v>45992</x:v>
      </x:c>
      <x:c r="C1043" t="str">
        <x:v>Dec 2025</x:v>
      </x:c>
      <x:c r="D1043" t="str">
        <x:v>Actual</x:v>
      </x:c>
      <x:c r="E1043" t="str">
        <x:v>DB-105</x:v>
      </x:c>
      <x:c r="F1043" t="str">
        <x:v>DreamFuel Refill Pack</x:v>
      </x:c>
      <x:c r="G1043" t="str">
        <x:v>Subscription</x:v>
      </x:c>
      <x:c r="H1043" t="str">
        <x:v>None</x:v>
      </x:c>
      <x:c r="I1043" t="str">
        <x:v>Active</x:v>
      </x:c>
      <x:c r="J1043" t="str">
        <x:v>Wholesale</x:v>
      </x:c>
      <x:c r="K1043" t="str">
        <x:v>Retailer</x:v>
      </x:c>
      <x:c r="L1043" t="str">
        <x:v>All Geographies</x:v>
      </x:c>
      <x:c r="M1043" s="34" t="n">
        <x:v>1242</x:v>
      </x:c>
      <x:c r="N1043" s="28" t="n">
        <x:v>0.021384000000000004</x:v>
      </x:c>
      <x:c r="O1043" s="34" t="n">
        <x:v>27</x:v>
      </x:c>
      <x:c r="P1043" s="34" t="n">
        <x:v>1</x:v>
      </x:c>
      <x:c r="Q1043" s="34" t="n">
        <x:v>27</x:v>
      </x:c>
      <x:c r="R1043" s="33" t="n">
        <x:v>56</x:v>
      </x:c>
      <x:c r="S1043" s="38" t="n">
        <x:v>1.512</x:v>
      </x:c>
      <x:c r="T1043" s="38" t="n">
        <x:v>0.5292</x:v>
      </x:c>
      <x:c r="U1043" s="38" t="n">
        <x:v>0.019656</x:v>
      </x:c>
      <x:c r="V1043" s="38" t="n">
        <x:v>0.963144</x:v>
      </x:c>
      <x:c r="W1043" s="38" t="n">
        <x:v>0.50274</x:v>
      </x:c>
      <x:c r="X1043" s="38" t="n">
        <x:v>0</x:v>
      </x:c>
      <x:c r="Y1043" s="38" t="n">
        <x:v>0</x:v>
      </x:c>
      <x:c r="Z1043" s="38" t="n">
        <x:v>0.062099999999999995</x:v>
      </x:c>
      <x:c r="AA1043" s="38" t="n">
        <x:v>0.022949999999999998</x:v>
      </x:c>
      <x:c r="AB1043" s="38" t="n">
        <x:v>0.00009719999999999999</x:v>
      </x:c>
      <x:c r="AC1043" s="38" t="n">
        <x:v>0.37525680000000006</x:v>
      </x:c>
      <x:c r="AD1043" s="28" t="n">
        <x:v>0.3896165059430366</x:v>
      </x:c>
    </x:row>
    <x:row r="1044">
      <x:c r="A1044" s="32" t="n">
        <x:v>46020</x:v>
      </x:c>
      <x:c r="B1044" s="32" t="n">
        <x:v>45992</x:v>
      </x:c>
      <x:c r="C1044" t="str">
        <x:v>Dec 2025</x:v>
      </x:c>
      <x:c r="D1044" t="str">
        <x:v>Actual</x:v>
      </x:c>
      <x:c r="E1044" t="str">
        <x:v>DB-105</x:v>
      </x:c>
      <x:c r="F1044" t="str">
        <x:v>DreamFuel Refill Pack</x:v>
      </x:c>
      <x:c r="G1044" t="str">
        <x:v>Subscription</x:v>
      </x:c>
      <x:c r="H1044" t="str">
        <x:v>None</x:v>
      </x:c>
      <x:c r="I1044" t="str">
        <x:v>Active</x:v>
      </x:c>
      <x:c r="J1044" t="str">
        <x:v>TikTok Shop</x:v>
      </x:c>
      <x:c r="K1044" t="str">
        <x:v>Social Commerce</x:v>
      </x:c>
      <x:c r="L1044" t="str">
        <x:v>All Geographies</x:v>
      </x:c>
      <x:c r="M1044" s="34" t="n">
        <x:v>828</x:v>
      </x:c>
      <x:c r="N1044" s="28" t="n">
        <x:v>0.0489888</x:v>
      </x:c>
      <x:c r="O1044" s="34" t="n">
        <x:v>41</x:v>
      </x:c>
      <x:c r="P1044" s="34" t="n">
        <x:v>1</x:v>
      </x:c>
      <x:c r="Q1044" s="34" t="n">
        <x:v>41</x:v>
      </x:c>
      <x:c r="R1044" s="33" t="n">
        <x:v>56</x:v>
      </x:c>
      <x:c r="S1044" s="38" t="n">
        <x:v>2.296</x:v>
      </x:c>
      <x:c r="T1044" s="38" t="n">
        <x:v>0.27552</x:v>
      </x:c>
      <x:c r="U1044" s="38" t="n">
        <x:v>0.040409600000000004</x:v>
      </x:c>
      <x:c r="V1044" s="38" t="n">
        <x:v>1.9800704</x:v>
      </x:c>
      <x:c r="W1044" s="38" t="n">
        <x:v>0.7634200000000001</x:v>
      </x:c>
      <x:c r="X1044" s="38" t="n">
        <x:v>0.0574220416</x:v>
      </x:c>
      <x:c r="Y1044" s="38" t="n">
        <x:v>0.118804224</x:v>
      </x:c>
      <x:c r="Z1044" s="38" t="n">
        <x:v>0.2091</x:v>
      </x:c>
      <x:c r="AA1044" s="38" t="n">
        <x:v>0.07175</x:v>
      </x:c>
      <x:c r="AB1044" s="38" t="n">
        <x:v>0.00014759999999999998</x:v>
      </x:c>
      <x:c r="AC1044" s="38" t="n">
        <x:v>0.7594265343999997</x:v>
      </x:c>
      <x:c r="AD1044" s="28" t="n">
        <x:v>0.3835351179432811</x:v>
      </x:c>
    </x:row>
    <x:row r="1045">
      <x:c r="A1045" s="32" t="n">
        <x:v>46027</x:v>
      </x:c>
      <x:c r="B1045" s="32" t="n">
        <x:v>46023</x:v>
      </x:c>
      <x:c r="C1045" t="str">
        <x:v>Jan 2026</x:v>
      </x:c>
      <x:c r="D1045" t="str">
        <x:v>Forecast</x:v>
      </x:c>
      <x:c r="E1045" t="str">
        <x:v>DB-101</x:v>
      </x:c>
      <x:c r="F1045" t="str">
        <x:v>AeroSip Bottle</x:v>
      </x:c>
      <x:c r="G1045" t="str">
        <x:v>One-time purchase</x:v>
      </x:c>
      <x:c r="H1045" t="str">
        <x:v>None</x:v>
      </x:c>
      <x:c r="I1045" t="str">
        <x:v>Active</x:v>
      </x:c>
      <x:c r="J1045" t="str">
        <x:v>Shopify DTC</x:v>
      </x:c>
      <x:c r="K1045" t="str">
        <x:v>Consumer</x:v>
      </x:c>
      <x:c r="L1045" t="str">
        <x:v>All Geographies</x:v>
      </x:c>
      <x:c r="M1045" s="34" t="n">
        <x:v>7296</x:v>
      </x:c>
      <x:c r="N1045" s="28" t="n">
        <x:v>0.034199999999999994</x:v>
      </x:c>
      <x:c r="O1045" s="34" t="n">
        <x:v>250</x:v>
      </x:c>
      <x:c r="P1045" s="34" t="n">
        <x:v>1</x:v>
      </x:c>
      <x:c r="Q1045" s="34" t="n">
        <x:v>250</x:v>
      </x:c>
      <x:c r="R1045" s="33" t="n">
        <x:v>29</x:v>
      </x:c>
      <x:c r="S1045" s="38" t="n">
        <x:v>7.25</x:v>
      </x:c>
      <x:c r="T1045" s="38" t="n">
        <x:v>0.58</x:v>
      </x:c>
      <x:c r="U1045" s="38" t="n">
        <x:v>0.30015</x:v>
      </x:c>
      <x:c r="V1045" s="38" t="n">
        <x:v>6.36985</x:v>
      </x:c>
      <x:c r="W1045" s="38" t="n">
        <x:v>2.7</x:v>
      </x:c>
      <x:c r="X1045" s="38" t="n">
        <x:v>0.18472565</x:v>
      </x:c>
      <x:c r="Y1045" s="38" t="n">
        <x:v>0</x:v>
      </x:c>
      <x:c r="Z1045" s="38" t="n">
        <x:v>1.0375</x:v>
      </x:c>
      <x:c r="AA1045" s="38" t="n">
        <x:v>0.4125</x:v>
      </x:c>
      <x:c r="AB1045" s="38" t="n">
        <x:v>0.009</x:v>
      </x:c>
      <x:c r="AC1045" s="38" t="n">
        <x:v>2.0261243499999995</x:v>
      </x:c>
      <x:c r="AD1045" s="28" t="n">
        <x:v>0.31808038650831644</x:v>
      </x:c>
    </x:row>
    <x:row r="1046">
      <x:c r="A1046" s="32" t="n">
        <x:v>46027</x:v>
      </x:c>
      <x:c r="B1046" s="32" t="n">
        <x:v>46023</x:v>
      </x:c>
      <x:c r="C1046" t="str">
        <x:v>Jan 2026</x:v>
      </x:c>
      <x:c r="D1046" t="str">
        <x:v>Forecast</x:v>
      </x:c>
      <x:c r="E1046" t="str">
        <x:v>DB-101</x:v>
      </x:c>
      <x:c r="F1046" t="str">
        <x:v>AeroSip Bottle</x:v>
      </x:c>
      <x:c r="G1046" t="str">
        <x:v>One-time purchase</x:v>
      </x:c>
      <x:c r="H1046" t="str">
        <x:v>None</x:v>
      </x:c>
      <x:c r="I1046" t="str">
        <x:v>Active</x:v>
      </x:c>
      <x:c r="J1046" t="str">
        <x:v>Amazon Marketplace</x:v>
      </x:c>
      <x:c r="K1046" t="str">
        <x:v>Marketplace Consumer</x:v>
      </x:c>
      <x:c r="L1046" t="str">
        <x:v>All Geographies</x:v>
      </x:c>
      <x:c r="M1046" s="34" t="n">
        <x:v>3648</x:v>
      </x:c>
      <x:c r="N1046" s="28" t="n">
        <x:v>0.040355999999999996</x:v>
      </x:c>
      <x:c r="O1046" s="34" t="n">
        <x:v>147</x:v>
      </x:c>
      <x:c r="P1046" s="34" t="n">
        <x:v>1</x:v>
      </x:c>
      <x:c r="Q1046" s="34" t="n">
        <x:v>147</x:v>
      </x:c>
      <x:c r="R1046" s="33" t="n">
        <x:v>29</x:v>
      </x:c>
      <x:c r="S1046" s="38" t="n">
        <x:v>4.263</x:v>
      </x:c>
      <x:c r="T1046" s="38" t="n">
        <x:v>0.21315</x:v>
      </x:c>
      <x:c r="U1046" s="38" t="n">
        <x:v>0.18224325</x:v>
      </x:c>
      <x:c r="V1046" s="38" t="n">
        <x:v>3.86760675</x:v>
      </x:c>
      <x:c r="W1046" s="38" t="n">
        <x:v>1.5876000000000001</x:v>
      </x:c>
      <x:c r="X1046" s="38" t="n">
        <x:v>0</x:v>
      </x:c>
      <x:c r="Y1046" s="38" t="n">
        <x:v>0.5801410125</x:v>
      </x:c>
      <x:c r="Z1046" s="38" t="n">
        <x:v>0.7644</x:v>
      </x:c>
      <x:c r="AA1046" s="38" t="n">
        <x:v>0.31605</x:v>
      </x:c>
      <x:c r="AB1046" s="38" t="n">
        <x:v>0.005292</x:v>
      </x:c>
      <x:c r="AC1046" s="38" t="n">
        <x:v>0.6141237375000003</x:v>
      </x:c>
      <x:c r="AD1046" s="28" t="n">
        <x:v>0.15878649955815705</x:v>
      </x:c>
    </x:row>
    <x:row r="1047">
      <x:c r="A1047" s="32" t="n">
        <x:v>46027</x:v>
      </x:c>
      <x:c r="B1047" s="32" t="n">
        <x:v>46023</x:v>
      </x:c>
      <x:c r="C1047" t="str">
        <x:v>Jan 2026</x:v>
      </x:c>
      <x:c r="D1047" t="str">
        <x:v>Forecast</x:v>
      </x:c>
      <x:c r="E1047" t="str">
        <x:v>DB-101</x:v>
      </x:c>
      <x:c r="F1047" t="str">
        <x:v>AeroSip Bottle</x:v>
      </x:c>
      <x:c r="G1047" t="str">
        <x:v>One-time purchase</x:v>
      </x:c>
      <x:c r="H1047" t="str">
        <x:v>None</x:v>
      </x:c>
      <x:c r="I1047" t="str">
        <x:v>Active</x:v>
      </x:c>
      <x:c r="J1047" t="str">
        <x:v>Wholesale</x:v>
      </x:c>
      <x:c r="K1047" t="str">
        <x:v>Retailer</x:v>
      </x:c>
      <x:c r="L1047" t="str">
        <x:v>All Geographies</x:v>
      </x:c>
      <x:c r="M1047" s="34" t="n">
        <x:v>2189</x:v>
      </x:c>
      <x:c r="N1047" s="28" t="n">
        <x:v>0.01881</x:v>
      </x:c>
      <x:c r="O1047" s="34" t="n">
        <x:v>41</x:v>
      </x:c>
      <x:c r="P1047" s="34" t="n">
        <x:v>1</x:v>
      </x:c>
      <x:c r="Q1047" s="34" t="n">
        <x:v>41</x:v>
      </x:c>
      <x:c r="R1047" s="33" t="n">
        <x:v>29</x:v>
      </x:c>
      <x:c r="S1047" s="38" t="n">
        <x:v>1.189</x:v>
      </x:c>
      <x:c r="T1047" s="38" t="n">
        <x:v>0.41615</x:v>
      </x:c>
      <x:c r="U1047" s="38" t="n">
        <x:v>0.034778250000000004</x:v>
      </x:c>
      <x:c r="V1047" s="38" t="n">
        <x:v>0.73807175</x:v>
      </x:c>
      <x:c r="W1047" s="38" t="n">
        <x:v>0.4428</x:v>
      </x:c>
      <x:c r="X1047" s="38" t="n">
        <x:v>0</x:v>
      </x:c>
      <x:c r="Y1047" s="38" t="n">
        <x:v>0</x:v>
      </x:c>
      <x:c r="Z1047" s="38" t="n">
        <x:v>0.0943</x:v>
      </x:c>
      <x:c r="AA1047" s="38" t="n">
        <x:v>0.03485</x:v>
      </x:c>
      <x:c r="AB1047" s="38" t="n">
        <x:v>0.0014759999999999999</x:v>
      </x:c>
      <x:c r="AC1047" s="38" t="n">
        <x:v>0.16464575</x:v>
      </x:c>
      <x:c r="AD1047" s="28" t="n">
        <x:v>0.22307553432305194</x:v>
      </x:c>
    </x:row>
    <x:row r="1048">
      <x:c r="A1048" s="32" t="n">
        <x:v>46027</x:v>
      </x:c>
      <x:c r="B1048" s="32" t="n">
        <x:v>46023</x:v>
      </x:c>
      <x:c r="C1048" t="str">
        <x:v>Jan 2026</x:v>
      </x:c>
      <x:c r="D1048" t="str">
        <x:v>Forecast</x:v>
      </x:c>
      <x:c r="E1048" t="str">
        <x:v>DB-101</x:v>
      </x:c>
      <x:c r="F1048" t="str">
        <x:v>AeroSip Bottle</x:v>
      </x:c>
      <x:c r="G1048" t="str">
        <x:v>One-time purchase</x:v>
      </x:c>
      <x:c r="H1048" t="str">
        <x:v>None</x:v>
      </x:c>
      <x:c r="I1048" t="str">
        <x:v>Active</x:v>
      </x:c>
      <x:c r="J1048" t="str">
        <x:v>TikTok Shop</x:v>
      </x:c>
      <x:c r="K1048" t="str">
        <x:v>Social Commerce</x:v>
      </x:c>
      <x:c r="L1048" t="str">
        <x:v>All Geographies</x:v>
      </x:c>
      <x:c r="M1048" s="34" t="n">
        <x:v>1459</x:v>
      </x:c>
      <x:c r="N1048" s="28" t="n">
        <x:v>0.043092</x:v>
      </x:c>
      <x:c r="O1048" s="34" t="n">
        <x:v>63</x:v>
      </x:c>
      <x:c r="P1048" s="34" t="n">
        <x:v>1</x:v>
      </x:c>
      <x:c r="Q1048" s="34" t="n">
        <x:v>63</x:v>
      </x:c>
      <x:c r="R1048" s="33" t="n">
        <x:v>29</x:v>
      </x:c>
      <x:c r="S1048" s="38" t="n">
        <x:v>1.827</x:v>
      </x:c>
      <x:c r="T1048" s="38" t="n">
        <x:v>0.21924</x:v>
      </x:c>
      <x:c r="U1048" s="38" t="n">
        <x:v>0.07234919999999999</x:v>
      </x:c>
      <x:c r="V1048" s="38" t="n">
        <x:v>1.5354108</x:v>
      </x:c>
      <x:c r="W1048" s="38" t="n">
        <x:v>0.6804000000000001</x:v>
      </x:c>
      <x:c r="X1048" s="38" t="n">
        <x:v>0.044526913200000004</x:v>
      </x:c>
      <x:c r="Y1048" s="38" t="n">
        <x:v>0.09212464799999999</x:v>
      </x:c>
      <x:c r="Z1048" s="38" t="n">
        <x:v>0.3213</x:v>
      </x:c>
      <x:c r="AA1048" s="38" t="n">
        <x:v>0.11025</x:v>
      </x:c>
      <x:c r="AB1048" s="38" t="n">
        <x:v>0.0022679999999999996</x:v>
      </x:c>
      <x:c r="AC1048" s="38" t="n">
        <x:v>0.2845412387999999</x:v>
      </x:c>
      <x:c r="AD1048" s="28" t="n">
        <x:v>0.18531928966501987</x:v>
      </x:c>
    </x:row>
    <x:row r="1049">
      <x:c r="A1049" s="32" t="n">
        <x:v>46027</x:v>
      </x:c>
      <x:c r="B1049" s="32" t="n">
        <x:v>46023</x:v>
      </x:c>
      <x:c r="C1049" t="str">
        <x:v>Jan 2026</x:v>
      </x:c>
      <x:c r="D1049" t="str">
        <x:v>Forecast</x:v>
      </x:c>
      <x:c r="E1049" t="str">
        <x:v>DB-102</x:v>
      </x:c>
      <x:c r="F1049" t="str">
        <x:v>GlowPatch Balm</x:v>
      </x:c>
      <x:c r="G1049" t="str">
        <x:v>Consumable repeat</x:v>
      </x:c>
      <x:c r="H1049" t="str">
        <x:v>None</x:v>
      </x:c>
      <x:c r="I1049" t="str">
        <x:v>Active</x:v>
      </x:c>
      <x:c r="J1049" t="str">
        <x:v>Shopify DTC</x:v>
      </x:c>
      <x:c r="K1049" t="str">
        <x:v>Consumer</x:v>
      </x:c>
      <x:c r="L1049" t="str">
        <x:v>All Geographies</x:v>
      </x:c>
      <x:c r="M1049" s="34" t="n">
        <x:v>5893</x:v>
      </x:c>
      <x:c r="N1049" s="28" t="n">
        <x:v>0.04248</x:v>
      </x:c>
      <x:c r="O1049" s="34" t="n">
        <x:v>250</x:v>
      </x:c>
      <x:c r="P1049" s="34" t="n">
        <x:v>1</x:v>
      </x:c>
      <x:c r="Q1049" s="34" t="n">
        <x:v>250</x:v>
      </x:c>
      <x:c r="R1049" s="33" t="n">
        <x:v>18</x:v>
      </x:c>
      <x:c r="S1049" s="38" t="n">
        <x:v>4.5</x:v>
      </x:c>
      <x:c r="T1049" s="38" t="n">
        <x:v>0.36</x:v>
      </x:c>
      <x:c r="U1049" s="38" t="n">
        <x:v>0.1035</x:v>
      </x:c>
      <x:c r="V1049" s="38" t="n">
        <x:v>4.036499999999999</x:v>
      </x:c>
      <x:c r="W1049" s="38" t="n">
        <x:v>1.3525</x:v>
      </x:c>
      <x:c r="X1049" s="38" t="n">
        <x:v>0.11705849999999998</x:v>
      </x:c>
      <x:c r="Y1049" s="38" t="n">
        <x:v>0</x:v>
      </x:c>
      <x:c r="Z1049" s="38" t="n">
        <x:v>1.0375</x:v>
      </x:c>
      <x:c r="AA1049" s="38" t="n">
        <x:v>0.4125</x:v>
      </x:c>
      <x:c r="AB1049" s="38" t="n">
        <x:v>0.0015</x:v>
      </x:c>
      <x:c r="AC1049" s="38" t="n">
        <x:v>1.1154414999999989</x:v>
      </x:c>
      <x:c r="AD1049" s="28" t="n">
        <x:v>0.2763387835996529</x:v>
      </x:c>
    </x:row>
    <x:row r="1050">
      <x:c r="A1050" s="32" t="n">
        <x:v>46027</x:v>
      </x:c>
      <x:c r="B1050" s="32" t="n">
        <x:v>46023</x:v>
      </x:c>
      <x:c r="C1050" t="str">
        <x:v>Jan 2026</x:v>
      </x:c>
      <x:c r="D1050" t="str">
        <x:v>Forecast</x:v>
      </x:c>
      <x:c r="E1050" t="str">
        <x:v>DB-102</x:v>
      </x:c>
      <x:c r="F1050" t="str">
        <x:v>GlowPatch Balm</x:v>
      </x:c>
      <x:c r="G1050" t="str">
        <x:v>Consumable repeat</x:v>
      </x:c>
      <x:c r="H1050" t="str">
        <x:v>None</x:v>
      </x:c>
      <x:c r="I1050" t="str">
        <x:v>Active</x:v>
      </x:c>
      <x:c r="J1050" t="str">
        <x:v>Amazon Marketplace</x:v>
      </x:c>
      <x:c r="K1050" t="str">
        <x:v>Marketplace Consumer</x:v>
      </x:c>
      <x:c r="L1050" t="str">
        <x:v>All Geographies</x:v>
      </x:c>
      <x:c r="M1050" s="34" t="n">
        <x:v>2946</x:v>
      </x:c>
      <x:c r="N1050" s="28" t="n">
        <x:v>0.050126399999999995</x:v>
      </x:c>
      <x:c r="O1050" s="34" t="n">
        <x:v>148</x:v>
      </x:c>
      <x:c r="P1050" s="34" t="n">
        <x:v>1</x:v>
      </x:c>
      <x:c r="Q1050" s="34" t="n">
        <x:v>148</x:v>
      </x:c>
      <x:c r="R1050" s="33" t="n">
        <x:v>18</x:v>
      </x:c>
      <x:c r="S1050" s="38" t="n">
        <x:v>2.664</x:v>
      </x:c>
      <x:c r="T1050" s="38" t="n">
        <x:v>0.1332</x:v>
      </x:c>
      <x:c r="U1050" s="38" t="n">
        <x:v>0.06327</x:v>
      </x:c>
      <x:c r="V1050" s="38" t="n">
        <x:v>2.46753</x:v>
      </x:c>
      <x:c r="W1050" s="38" t="n">
        <x:v>0.8006800000000001</x:v>
      </x:c>
      <x:c r="X1050" s="38" t="n">
        <x:v>0</x:v>
      </x:c>
      <x:c r="Y1050" s="38" t="n">
        <x:v>0.3701295</x:v>
      </x:c>
      <x:c r="Z1050" s="38" t="n">
        <x:v>0.7696000000000001</x:v>
      </x:c>
      <x:c r="AA1050" s="38" t="n">
        <x:v>0.3182</x:v>
      </x:c>
      <x:c r="AB1050" s="38" t="n">
        <x:v>0.0008879999999999999</x:v>
      </x:c>
      <x:c r="AC1050" s="38" t="n">
        <x:v>0.2080324999999999</x:v>
      </x:c>
      <x:c r="AD1050" s="28" t="n">
        <x:v>0.084307992202729</x:v>
      </x:c>
    </x:row>
    <x:row r="1051">
      <x:c r="A1051" s="32" t="n">
        <x:v>46027</x:v>
      </x:c>
      <x:c r="B1051" s="32" t="n">
        <x:v>46023</x:v>
      </x:c>
      <x:c r="C1051" t="str">
        <x:v>Jan 2026</x:v>
      </x:c>
      <x:c r="D1051" t="str">
        <x:v>Forecast</x:v>
      </x:c>
      <x:c r="E1051" t="str">
        <x:v>DB-102</x:v>
      </x:c>
      <x:c r="F1051" t="str">
        <x:v>GlowPatch Balm</x:v>
      </x:c>
      <x:c r="G1051" t="str">
        <x:v>Consumable repeat</x:v>
      </x:c>
      <x:c r="H1051" t="str">
        <x:v>None</x:v>
      </x:c>
      <x:c r="I1051" t="str">
        <x:v>Active</x:v>
      </x:c>
      <x:c r="J1051" t="str">
        <x:v>Wholesale</x:v>
      </x:c>
      <x:c r="K1051" t="str">
        <x:v>Retailer</x:v>
      </x:c>
      <x:c r="L1051" t="str">
        <x:v>All Geographies</x:v>
      </x:c>
      <x:c r="M1051" s="34" t="n">
        <x:v>1768</x:v>
      </x:c>
      <x:c r="N1051" s="28" t="n">
        <x:v>0.023364</x:v>
      </x:c>
      <x:c r="O1051" s="34" t="n">
        <x:v>41</x:v>
      </x:c>
      <x:c r="P1051" s="34" t="n">
        <x:v>1</x:v>
      </x:c>
      <x:c r="Q1051" s="34" t="n">
        <x:v>41</x:v>
      </x:c>
      <x:c r="R1051" s="33" t="n">
        <x:v>18</x:v>
      </x:c>
      <x:c r="S1051" s="38" t="n">
        <x:v>0.738</x:v>
      </x:c>
      <x:c r="T1051" s="38" t="n">
        <x:v>0.2583</x:v>
      </x:c>
      <x:c r="U1051" s="38" t="n">
        <x:v>0.011992500000000001</x:v>
      </x:c>
      <x:c r="V1051" s="38" t="n">
        <x:v>0.4677075</x:v>
      </x:c>
      <x:c r="W1051" s="38" t="n">
        <x:v>0.22181</x:v>
      </x:c>
      <x:c r="X1051" s="38" t="n">
        <x:v>0</x:v>
      </x:c>
      <x:c r="Y1051" s="38" t="n">
        <x:v>0</x:v>
      </x:c>
      <x:c r="Z1051" s="38" t="n">
        <x:v>0.0943</x:v>
      </x:c>
      <x:c r="AA1051" s="38" t="n">
        <x:v>0.03485</x:v>
      </x:c>
      <x:c r="AB1051" s="38" t="n">
        <x:v>0.000246</x:v>
      </x:c>
      <x:c r="AC1051" s="38" t="n">
        <x:v>0.11650150000000001</x:v>
      </x:c>
      <x:c r="AD1051" s="28" t="n">
        <x:v>0.2490905106289722</x:v>
      </x:c>
    </x:row>
    <x:row r="1052">
      <x:c r="A1052" s="32" t="n">
        <x:v>46027</x:v>
      </x:c>
      <x:c r="B1052" s="32" t="n">
        <x:v>46023</x:v>
      </x:c>
      <x:c r="C1052" t="str">
        <x:v>Jan 2026</x:v>
      </x:c>
      <x:c r="D1052" t="str">
        <x:v>Forecast</x:v>
      </x:c>
      <x:c r="E1052" t="str">
        <x:v>DB-102</x:v>
      </x:c>
      <x:c r="F1052" t="str">
        <x:v>GlowPatch Balm</x:v>
      </x:c>
      <x:c r="G1052" t="str">
        <x:v>Consumable repeat</x:v>
      </x:c>
      <x:c r="H1052" t="str">
        <x:v>None</x:v>
      </x:c>
      <x:c r="I1052" t="str">
        <x:v>Active</x:v>
      </x:c>
      <x:c r="J1052" t="str">
        <x:v>TikTok Shop</x:v>
      </x:c>
      <x:c r="K1052" t="str">
        <x:v>Social Commerce</x:v>
      </x:c>
      <x:c r="L1052" t="str">
        <x:v>All Geographies</x:v>
      </x:c>
      <x:c r="M1052" s="34" t="n">
        <x:v>1179</x:v>
      </x:c>
      <x:c r="N1052" s="28" t="n">
        <x:v>0.0535248</x:v>
      </x:c>
      <x:c r="O1052" s="34" t="n">
        <x:v>63</x:v>
      </x:c>
      <x:c r="P1052" s="34" t="n">
        <x:v>1</x:v>
      </x:c>
      <x:c r="Q1052" s="34" t="n">
        <x:v>63</x:v>
      </x:c>
      <x:c r="R1052" s="33" t="n">
        <x:v>18</x:v>
      </x:c>
      <x:c r="S1052" s="38" t="n">
        <x:v>1.134</x:v>
      </x:c>
      <x:c r="T1052" s="38" t="n">
        <x:v>0.13607999999999998</x:v>
      </x:c>
      <x:c r="U1052" s="38" t="n">
        <x:v>0.024947999999999998</x:v>
      </x:c>
      <x:c r="V1052" s="38" t="n">
        <x:v>0.972972</x:v>
      </x:c>
      <x:c r="W1052" s="38" t="n">
        <x:v>0.34082999999999997</x:v>
      </x:c>
      <x:c r="X1052" s="38" t="n">
        <x:v>0.028216188</x:v>
      </x:c>
      <x:c r="Y1052" s="38" t="n">
        <x:v>0.05837832</x:v>
      </x:c>
      <x:c r="Z1052" s="38" t="n">
        <x:v>0.3213</x:v>
      </x:c>
      <x:c r="AA1052" s="38" t="n">
        <x:v>0.11025</x:v>
      </x:c>
      <x:c r="AB1052" s="38" t="n">
        <x:v>0.000378</x:v>
      </x:c>
      <x:c r="AC1052" s="38" t="n">
        <x:v>0.11361949199999999</x:v>
      </x:c>
      <x:c r="AD1052" s="28" t="n">
        <x:v>0.11677570577570577</x:v>
      </x:c>
    </x:row>
    <x:row r="1053">
      <x:c r="A1053" s="32" t="n">
        <x:v>46027</x:v>
      </x:c>
      <x:c r="B1053" s="32" t="n">
        <x:v>46023</x:v>
      </x:c>
      <x:c r="C1053" t="str">
        <x:v>Jan 2026</x:v>
      </x:c>
      <x:c r="D1053" t="str">
        <x:v>Forecast</x:v>
      </x:c>
      <x:c r="E1053" t="str">
        <x:v>DB-103</x:v>
      </x:c>
      <x:c r="F1053" t="str">
        <x:v>EmberTrail Camp Mug</x:v>
      </x:c>
      <x:c r="G1053" t="str">
        <x:v>One-time purchase</x:v>
      </x:c>
      <x:c r="H1053" t="str">
        <x:v>Winter peak</x:v>
      </x:c>
      <x:c r="I1053" t="str">
        <x:v>Active</x:v>
      </x:c>
      <x:c r="J1053" t="str">
        <x:v>Shopify DTC</x:v>
      </x:c>
      <x:c r="K1053" t="str">
        <x:v>Consumer</x:v>
      </x:c>
      <x:c r="L1053" t="str">
        <x:v>All Geographies</x:v>
      </x:c>
      <x:c r="M1053" s="34" t="n">
        <x:v>6162</x:v>
      </x:c>
      <x:c r="N1053" s="28" t="n">
        <x:v>0.0324</x:v>
      </x:c>
      <x:c r="O1053" s="34" t="n">
        <x:v>200</x:v>
      </x:c>
      <x:c r="P1053" s="34" t="n">
        <x:v>1</x:v>
      </x:c>
      <x:c r="Q1053" s="34" t="n">
        <x:v>200</x:v>
      </x:c>
      <x:c r="R1053" s="33" t="n">
        <x:v>34</x:v>
      </x:c>
      <x:c r="S1053" s="38" t="n">
        <x:v>6.8</x:v>
      </x:c>
      <x:c r="T1053" s="38" t="n">
        <x:v>0.544</x:v>
      </x:c>
      <x:c r="U1053" s="38" t="n">
        <x:v>0.34408</x:v>
      </x:c>
      <x:c r="V1053" s="38" t="n">
        <x:v>5.91192</x:v>
      </x:c>
      <x:c r="W1053" s="38" t="n">
        <x:v>2.734</x:v>
      </x:c>
      <x:c r="X1053" s="38" t="n">
        <x:v>0.17144568000000002</x:v>
      </x:c>
      <x:c r="Y1053" s="38" t="n">
        <x:v>0</x:v>
      </x:c>
      <x:c r="Z1053" s="38" t="n">
        <x:v>0.8300000000000001</x:v>
      </x:c>
      <x:c r="AA1053" s="38" t="n">
        <x:v>0.33</x:v>
      </x:c>
      <x:c r="AB1053" s="38" t="n">
        <x:v>0.011200000000000002</x:v>
      </x:c>
      <x:c r="AC1053" s="38" t="n">
        <x:v>1.83527432</x:v>
      </x:c>
      <x:c r="AD1053" s="28" t="n">
        <x:v>0.31043625759482535</x:v>
      </x:c>
    </x:row>
    <x:row r="1054">
      <x:c r="A1054" s="32" t="n">
        <x:v>46027</x:v>
      </x:c>
      <x:c r="B1054" s="32" t="n">
        <x:v>46023</x:v>
      </x:c>
      <x:c r="C1054" t="str">
        <x:v>Jan 2026</x:v>
      </x:c>
      <x:c r="D1054" t="str">
        <x:v>Forecast</x:v>
      </x:c>
      <x:c r="E1054" t="str">
        <x:v>DB-103</x:v>
      </x:c>
      <x:c r="F1054" t="str">
        <x:v>EmberTrail Camp Mug</x:v>
      </x:c>
      <x:c r="G1054" t="str">
        <x:v>One-time purchase</x:v>
      </x:c>
      <x:c r="H1054" t="str">
        <x:v>Winter peak</x:v>
      </x:c>
      <x:c r="I1054" t="str">
        <x:v>Active</x:v>
      </x:c>
      <x:c r="J1054" t="str">
        <x:v>Amazon Marketplace</x:v>
      </x:c>
      <x:c r="K1054" t="str">
        <x:v>Marketplace Consumer</x:v>
      </x:c>
      <x:c r="L1054" t="str">
        <x:v>All Geographies</x:v>
      </x:c>
      <x:c r="M1054" s="34" t="n">
        <x:v>3081</x:v>
      </x:c>
      <x:c r="N1054" s="28" t="n">
        <x:v>0.038231999999999995</x:v>
      </x:c>
      <x:c r="O1054" s="34" t="n">
        <x:v>118</x:v>
      </x:c>
      <x:c r="P1054" s="34" t="n">
        <x:v>1</x:v>
      </x:c>
      <x:c r="Q1054" s="34" t="n">
        <x:v>118</x:v>
      </x:c>
      <x:c r="R1054" s="33" t="n">
        <x:v>34</x:v>
      </x:c>
      <x:c r="S1054" s="38" t="n">
        <x:v>4.012</x:v>
      </x:c>
      <x:c r="T1054" s="38" t="n">
        <x:v>0.2006</x:v>
      </x:c>
      <x:c r="U1054" s="38" t="n">
        <x:v>0.20962699999999998</x:v>
      </x:c>
      <x:c r="V1054" s="38" t="n">
        <x:v>3.6017729999999997</x:v>
      </x:c>
      <x:c r="W1054" s="38" t="n">
        <x:v>1.61306</x:v>
      </x:c>
      <x:c r="X1054" s="38" t="n">
        <x:v>0</x:v>
      </x:c>
      <x:c r="Y1054" s="38" t="n">
        <x:v>0.5402659499999999</x:v>
      </x:c>
      <x:c r="Z1054" s="38" t="n">
        <x:v>0.6136</x:v>
      </x:c>
      <x:c r="AA1054" s="38" t="n">
        <x:v>0.2537</x:v>
      </x:c>
      <x:c r="AB1054" s="38" t="n">
        <x:v>0.006608</x:v>
      </x:c>
      <x:c r="AC1054" s="38" t="n">
        <x:v>0.57453905</x:v>
      </x:c>
      <x:c r="AD1054" s="28" t="n">
        <x:v>0.15951561911314235</x:v>
      </x:c>
    </x:row>
    <x:row r="1055">
      <x:c r="A1055" s="32" t="n">
        <x:v>46027</x:v>
      </x:c>
      <x:c r="B1055" s="32" t="n">
        <x:v>46023</x:v>
      </x:c>
      <x:c r="C1055" t="str">
        <x:v>Jan 2026</x:v>
      </x:c>
      <x:c r="D1055" t="str">
        <x:v>Forecast</x:v>
      </x:c>
      <x:c r="E1055" t="str">
        <x:v>DB-103</x:v>
      </x:c>
      <x:c r="F1055" t="str">
        <x:v>EmberTrail Camp Mug</x:v>
      </x:c>
      <x:c r="G1055" t="str">
        <x:v>One-time purchase</x:v>
      </x:c>
      <x:c r="H1055" t="str">
        <x:v>Winter peak</x:v>
      </x:c>
      <x:c r="I1055" t="str">
        <x:v>Active</x:v>
      </x:c>
      <x:c r="J1055" t="str">
        <x:v>Wholesale</x:v>
      </x:c>
      <x:c r="K1055" t="str">
        <x:v>Retailer</x:v>
      </x:c>
      <x:c r="L1055" t="str">
        <x:v>All Geographies</x:v>
      </x:c>
      <x:c r="M1055" s="34" t="n">
        <x:v>1849</x:v>
      </x:c>
      <x:c r="N1055" s="28" t="n">
        <x:v>0.017820000000000003</x:v>
      </x:c>
      <x:c r="O1055" s="34" t="n">
        <x:v>33</x:v>
      </x:c>
      <x:c r="P1055" s="34" t="n">
        <x:v>1</x:v>
      </x:c>
      <x:c r="Q1055" s="34" t="n">
        <x:v>33</x:v>
      </x:c>
      <x:c r="R1055" s="33" t="n">
        <x:v>34</x:v>
      </x:c>
      <x:c r="S1055" s="38" t="n">
        <x:v>1.122</x:v>
      </x:c>
      <x:c r="T1055" s="38" t="n">
        <x:v>0.3927</x:v>
      </x:c>
      <x:c r="U1055" s="38" t="n">
        <x:v>0.0401115</x:v>
      </x:c>
      <x:c r="V1055" s="38" t="n">
        <x:v>0.6891885000000001</x:v>
      </x:c>
      <x:c r="W1055" s="38" t="n">
        <x:v>0.45111</x:v>
      </x:c>
      <x:c r="X1055" s="38" t="n">
        <x:v>0</x:v>
      </x:c>
      <x:c r="Y1055" s="38" t="n">
        <x:v>0</x:v>
      </x:c>
      <x:c r="Z1055" s="38" t="n">
        <x:v>0.0759</x:v>
      </x:c>
      <x:c r="AA1055" s="38" t="n">
        <x:v>0.028050000000000002</x:v>
      </x:c>
      <x:c r="AB1055" s="38" t="n">
        <x:v>0.001848</x:v>
      </x:c>
      <x:c r="AC1055" s="38" t="n">
        <x:v>0.1322805000000001</x:v>
      </x:c>
      <x:c r="AD1055" s="28" t="n">
        <x:v>0.19193660370130972</x:v>
      </x:c>
    </x:row>
    <x:row r="1056">
      <x:c r="A1056" s="32" t="n">
        <x:v>46027</x:v>
      </x:c>
      <x:c r="B1056" s="32" t="n">
        <x:v>46023</x:v>
      </x:c>
      <x:c r="C1056" t="str">
        <x:v>Jan 2026</x:v>
      </x:c>
      <x:c r="D1056" t="str">
        <x:v>Forecast</x:v>
      </x:c>
      <x:c r="E1056" t="str">
        <x:v>DB-103</x:v>
      </x:c>
      <x:c r="F1056" t="str">
        <x:v>EmberTrail Camp Mug</x:v>
      </x:c>
      <x:c r="G1056" t="str">
        <x:v>One-time purchase</x:v>
      </x:c>
      <x:c r="H1056" t="str">
        <x:v>Winter peak</x:v>
      </x:c>
      <x:c r="I1056" t="str">
        <x:v>Active</x:v>
      </x:c>
      <x:c r="J1056" t="str">
        <x:v>TikTok Shop</x:v>
      </x:c>
      <x:c r="K1056" t="str">
        <x:v>Social Commerce</x:v>
      </x:c>
      <x:c r="L1056" t="str">
        <x:v>All Geographies</x:v>
      </x:c>
      <x:c r="M1056" s="34" t="n">
        <x:v>1232</x:v>
      </x:c>
      <x:c r="N1056" s="28" t="n">
        <x:v>0.040824</x:v>
      </x:c>
      <x:c r="O1056" s="34" t="n">
        <x:v>50</x:v>
      </x:c>
      <x:c r="P1056" s="34" t="n">
        <x:v>1</x:v>
      </x:c>
      <x:c r="Q1056" s="34" t="n">
        <x:v>50</x:v>
      </x:c>
      <x:c r="R1056" s="33" t="n">
        <x:v>34</x:v>
      </x:c>
      <x:c r="S1056" s="38" t="n">
        <x:v>1.7</x:v>
      </x:c>
      <x:c r="T1056" s="38" t="n">
        <x:v>0.204</x:v>
      </x:c>
      <x:c r="U1056" s="38" t="n">
        <x:v>0.08228</x:v>
      </x:c>
      <x:c r="V1056" s="38" t="n">
        <x:v>1.41372</x:v>
      </x:c>
      <x:c r="W1056" s="38" t="n">
        <x:v>0.6835</x:v>
      </x:c>
      <x:c r="X1056" s="38" t="n">
        <x:v>0.04099788000000001</x:v>
      </x:c>
      <x:c r="Y1056" s="38" t="n">
        <x:v>0.0848232</x:v>
      </x:c>
      <x:c r="Z1056" s="38" t="n">
        <x:v>0.25499999999999995</x:v>
      </x:c>
      <x:c r="AA1056" s="38" t="n">
        <x:v>0.0875</x:v>
      </x:c>
      <x:c r="AB1056" s="38" t="n">
        <x:v>0.0028000000000000004</x:v>
      </x:c>
      <x:c r="AC1056" s="38" t="n">
        <x:v>0.2590989200000001</x:v>
      </x:c>
      <x:c r="AD1056" s="28" t="n">
        <x:v>0.18327456639221354</x:v>
      </x:c>
    </x:row>
    <x:row r="1057">
      <x:c r="A1057" s="32" t="n">
        <x:v>46027</x:v>
      </x:c>
      <x:c r="B1057" s="32" t="n">
        <x:v>46023</x:v>
      </x:c>
      <x:c r="C1057" t="str">
        <x:v>Jan 2026</x:v>
      </x:c>
      <x:c r="D1057" t="str">
        <x:v>Forecast</x:v>
      </x:c>
      <x:c r="E1057" t="str">
        <x:v>DB-104</x:v>
      </x:c>
      <x:c r="F1057" t="str">
        <x:v>SunNest Cooling Towel</x:v>
      </x:c>
      <x:c r="G1057" t="str">
        <x:v>Consumable repeat</x:v>
      </x:c>
      <x:c r="H1057" t="str">
        <x:v>Summer peak</x:v>
      </x:c>
      <x:c r="I1057" t="str">
        <x:v>Active</x:v>
      </x:c>
      <x:c r="J1057" t="str">
        <x:v>Shopify DTC</x:v>
      </x:c>
      <x:c r="K1057" t="str">
        <x:v>Consumer</x:v>
      </x:c>
      <x:c r="L1057" t="str">
        <x:v>All Geographies</x:v>
      </x:c>
      <x:c r="M1057" s="34" t="n">
        <x:v>3578</x:v>
      </x:c>
      <x:c r="N1057" s="28" t="n">
        <x:v>0.03312</x:v>
      </x:c>
      <x:c r="O1057" s="34" t="n">
        <x:v>119</x:v>
      </x:c>
      <x:c r="P1057" s="34" t="n">
        <x:v>1</x:v>
      </x:c>
      <x:c r="Q1057" s="34" t="n">
        <x:v>119</x:v>
      </x:c>
      <x:c r="R1057" s="33" t="n">
        <x:v>42</x:v>
      </x:c>
      <x:c r="S1057" s="38" t="n">
        <x:v>4.998</x:v>
      </x:c>
      <x:c r="T1057" s="38" t="n">
        <x:v>0.39984000000000003</x:v>
      </x:c>
      <x:c r="U1057" s="38" t="n">
        <x:v>0.229908</x:v>
      </x:c>
      <x:c r="V1057" s="38" t="n">
        <x:v>4.368252</x:v>
      </x:c>
      <x:c r="W1057" s="38" t="n">
        <x:v>1.79095</x:v>
      </x:c>
      <x:c r="X1057" s="38" t="n">
        <x:v>0.12667930800000002</x:v>
      </x:c>
      <x:c r="Y1057" s="38" t="n">
        <x:v>0</x:v>
      </x:c>
      <x:c r="Z1057" s="38" t="n">
        <x:v>0.49385</x:v>
      </x:c>
      <x:c r="AA1057" s="38" t="n">
        <x:v>0.19635</x:v>
      </x:c>
      <x:c r="AB1057" s="38" t="n">
        <x:v>0.003332</x:v>
      </x:c>
      <x:c r="AC1057" s="38" t="n">
        <x:v>1.757090692</x:v>
      </x:c>
      <x:c r="AD1057" s="28" t="n">
        <x:v>0.40224114634412117</x:v>
      </x:c>
    </x:row>
    <x:row r="1058">
      <x:c r="A1058" s="32" t="n">
        <x:v>46027</x:v>
      </x:c>
      <x:c r="B1058" s="32" t="n">
        <x:v>46023</x:v>
      </x:c>
      <x:c r="C1058" t="str">
        <x:v>Jan 2026</x:v>
      </x:c>
      <x:c r="D1058" t="str">
        <x:v>Forecast</x:v>
      </x:c>
      <x:c r="E1058" t="str">
        <x:v>DB-104</x:v>
      </x:c>
      <x:c r="F1058" t="str">
        <x:v>SunNest Cooling Towel</x:v>
      </x:c>
      <x:c r="G1058" t="str">
        <x:v>Consumable repeat</x:v>
      </x:c>
      <x:c r="H1058" t="str">
        <x:v>Summer peak</x:v>
      </x:c>
      <x:c r="I1058" t="str">
        <x:v>Active</x:v>
      </x:c>
      <x:c r="J1058" t="str">
        <x:v>Amazon Marketplace</x:v>
      </x:c>
      <x:c r="K1058" t="str">
        <x:v>Marketplace Consumer</x:v>
      </x:c>
      <x:c r="L1058" t="str">
        <x:v>All Geographies</x:v>
      </x:c>
      <x:c r="M1058" s="34" t="n">
        <x:v>1789</x:v>
      </x:c>
      <x:c r="N1058" s="28" t="n">
        <x:v>0.0390816</x:v>
      </x:c>
      <x:c r="O1058" s="34" t="n">
        <x:v>70</x:v>
      </x:c>
      <x:c r="P1058" s="34" t="n">
        <x:v>1</x:v>
      </x:c>
      <x:c r="Q1058" s="34" t="n">
        <x:v>70</x:v>
      </x:c>
      <x:c r="R1058" s="33" t="n">
        <x:v>42</x:v>
      </x:c>
      <x:c r="S1058" s="38" t="n">
        <x:v>2.94</x:v>
      </x:c>
      <x:c r="T1058" s="38" t="n">
        <x:v>0.147</x:v>
      </x:c>
      <x:c r="U1058" s="38" t="n">
        <x:v>0.13965000000000002</x:v>
      </x:c>
      <x:c r="V1058" s="38" t="n">
        <x:v>2.65335</x:v>
      </x:c>
      <x:c r="W1058" s="38" t="n">
        <x:v>1.0535</x:v>
      </x:c>
      <x:c r="X1058" s="38" t="n">
        <x:v>0</x:v>
      </x:c>
      <x:c r="Y1058" s="38" t="n">
        <x:v>0.3980025</x:v>
      </x:c>
      <x:c r="Z1058" s="38" t="n">
        <x:v>0.364</x:v>
      </x:c>
      <x:c r="AA1058" s="38" t="n">
        <x:v>0.1505</x:v>
      </x:c>
      <x:c r="AB1058" s="38" t="n">
        <x:v>0.00196</x:v>
      </x:c>
      <x:c r="AC1058" s="38" t="n">
        <x:v>0.6853875</x:v>
      </x:c>
      <x:c r="AD1058" s="28" t="n">
        <x:v>0.25831024930747926</x:v>
      </x:c>
    </x:row>
    <x:row r="1059">
      <x:c r="A1059" s="32" t="n">
        <x:v>46027</x:v>
      </x:c>
      <x:c r="B1059" s="32" t="n">
        <x:v>46023</x:v>
      </x:c>
      <x:c r="C1059" t="str">
        <x:v>Jan 2026</x:v>
      </x:c>
      <x:c r="D1059" t="str">
        <x:v>Forecast</x:v>
      </x:c>
      <x:c r="E1059" t="str">
        <x:v>DB-104</x:v>
      </x:c>
      <x:c r="F1059" t="str">
        <x:v>SunNest Cooling Towel</x:v>
      </x:c>
      <x:c r="G1059" t="str">
        <x:v>Consumable repeat</x:v>
      </x:c>
      <x:c r="H1059" t="str">
        <x:v>Summer peak</x:v>
      </x:c>
      <x:c r="I1059" t="str">
        <x:v>Active</x:v>
      </x:c>
      <x:c r="J1059" t="str">
        <x:v>Wholesale</x:v>
      </x:c>
      <x:c r="K1059" t="str">
        <x:v>Retailer</x:v>
      </x:c>
      <x:c r="L1059" t="str">
        <x:v>All Geographies</x:v>
      </x:c>
      <x:c r="M1059" s="34" t="n">
        <x:v>1073</x:v>
      </x:c>
      <x:c r="N1059" s="28" t="n">
        <x:v>0.018216000000000003</x:v>
      </x:c>
      <x:c r="O1059" s="34" t="n">
        <x:v>20</x:v>
      </x:c>
      <x:c r="P1059" s="34" t="n">
        <x:v>1</x:v>
      </x:c>
      <x:c r="Q1059" s="34" t="n">
        <x:v>20</x:v>
      </x:c>
      <x:c r="R1059" s="33" t="n">
        <x:v>42</x:v>
      </x:c>
      <x:c r="S1059" s="38" t="n">
        <x:v>0.84</x:v>
      </x:c>
      <x:c r="T1059" s="38" t="n">
        <x:v>0.294</x:v>
      </x:c>
      <x:c r="U1059" s="38" t="n">
        <x:v>0.027300000000000005</x:v>
      </x:c>
      <x:c r="V1059" s="38" t="n">
        <x:v>0.5187</x:v>
      </x:c>
      <x:c r="W1059" s="38" t="n">
        <x:v>0.301</x:v>
      </x:c>
      <x:c r="X1059" s="38" t="n">
        <x:v>0</x:v>
      </x:c>
      <x:c r="Y1059" s="38" t="n">
        <x:v>0</x:v>
      </x:c>
      <x:c r="Z1059" s="38" t="n">
        <x:v>0.046</x:v>
      </x:c>
      <x:c r="AA1059" s="38" t="n">
        <x:v>0.017</x:v>
      </x:c>
      <x:c r="AB1059" s="38" t="n">
        <x:v>0.00056</x:v>
      </x:c>
      <x:c r="AC1059" s="38" t="n">
        <x:v>0.15414000000000005</x:v>
      </x:c>
      <x:c r="AD1059" s="28" t="n">
        <x:v>0.2971659919028341</x:v>
      </x:c>
    </x:row>
    <x:row r="1060">
      <x:c r="A1060" s="32" t="n">
        <x:v>46027</x:v>
      </x:c>
      <x:c r="B1060" s="32" t="n">
        <x:v>46023</x:v>
      </x:c>
      <x:c r="C1060" t="str">
        <x:v>Jan 2026</x:v>
      </x:c>
      <x:c r="D1060" t="str">
        <x:v>Forecast</x:v>
      </x:c>
      <x:c r="E1060" t="str">
        <x:v>DB-104</x:v>
      </x:c>
      <x:c r="F1060" t="str">
        <x:v>SunNest Cooling Towel</x:v>
      </x:c>
      <x:c r="G1060" t="str">
        <x:v>Consumable repeat</x:v>
      </x:c>
      <x:c r="H1060" t="str">
        <x:v>Summer peak</x:v>
      </x:c>
      <x:c r="I1060" t="str">
        <x:v>Active</x:v>
      </x:c>
      <x:c r="J1060" t="str">
        <x:v>TikTok Shop</x:v>
      </x:c>
      <x:c r="K1060" t="str">
        <x:v>Social Commerce</x:v>
      </x:c>
      <x:c r="L1060" t="str">
        <x:v>All Geographies</x:v>
      </x:c>
      <x:c r="M1060" s="34" t="n">
        <x:v>716</x:v>
      </x:c>
      <x:c r="N1060" s="28" t="n">
        <x:v>0.0417312</x:v>
      </x:c>
      <x:c r="O1060" s="34" t="n">
        <x:v>30</x:v>
      </x:c>
      <x:c r="P1060" s="34" t="n">
        <x:v>1</x:v>
      </x:c>
      <x:c r="Q1060" s="34" t="n">
        <x:v>30</x:v>
      </x:c>
      <x:c r="R1060" s="33" t="n">
        <x:v>42</x:v>
      </x:c>
      <x:c r="S1060" s="38" t="n">
        <x:v>1.26</x:v>
      </x:c>
      <x:c r="T1060" s="38" t="n">
        <x:v>0.1512</x:v>
      </x:c>
      <x:c r="U1060" s="38" t="n">
        <x:v>0.05544</x:v>
      </x:c>
      <x:c r="V1060" s="38" t="n">
        <x:v>1.05336</x:v>
      </x:c>
      <x:c r="W1060" s="38" t="n">
        <x:v>0.4515</x:v>
      </x:c>
      <x:c r="X1060" s="38" t="n">
        <x:v>0.030547440000000002</x:v>
      </x:c>
      <x:c r="Y1060" s="38" t="n">
        <x:v>0.0632016</x:v>
      </x:c>
      <x:c r="Z1060" s="38" t="n">
        <x:v>0.153</x:v>
      </x:c>
      <x:c r="AA1060" s="38" t="n">
        <x:v>0.0525</x:v>
      </x:c>
      <x:c r="AB1060" s="38" t="n">
        <x:v>0.0008399999999999999</x:v>
      </x:c>
      <x:c r="AC1060" s="38" t="n">
        <x:v>0.3017709600000001</x:v>
      </x:c>
      <x:c r="AD1060" s="28" t="n">
        <x:v>0.28648416495784923</x:v>
      </x:c>
    </x:row>
    <x:row r="1061">
      <x:c r="A1061" s="32" t="n">
        <x:v>46027</x:v>
      </x:c>
      <x:c r="B1061" s="32" t="n">
        <x:v>46023</x:v>
      </x:c>
      <x:c r="C1061" t="str">
        <x:v>Jan 2026</x:v>
      </x:c>
      <x:c r="D1061" t="str">
        <x:v>Forecast</x:v>
      </x:c>
      <x:c r="E1061" t="str">
        <x:v>DB-105</x:v>
      </x:c>
      <x:c r="F1061" t="str">
        <x:v>DreamFuel Refill Pack</x:v>
      </x:c>
      <x:c r="G1061" t="str">
        <x:v>Subscription</x:v>
      </x:c>
      <x:c r="H1061" t="str">
        <x:v>None</x:v>
      </x:c>
      <x:c r="I1061" t="str">
        <x:v>Active</x:v>
      </x:c>
      <x:c r="J1061" t="str">
        <x:v>Shopify DTC</x:v>
      </x:c>
      <x:c r="K1061" t="str">
        <x:v>Consumer</x:v>
      </x:c>
      <x:c r="L1061" t="str">
        <x:v>All Geographies</x:v>
      </x:c>
      <x:c r="M1061" s="34" t="n">
        <x:v>5051</x:v>
      </x:c>
      <x:c r="N1061" s="28" t="n">
        <x:v>0.03888</x:v>
      </x:c>
      <x:c r="O1061" s="34" t="n">
        <x:v>196</x:v>
      </x:c>
      <x:c r="P1061" s="34" t="n">
        <x:v>1</x:v>
      </x:c>
      <x:c r="Q1061" s="34" t="n">
        <x:v>196</x:v>
      </x:c>
      <x:c r="R1061" s="33" t="n">
        <x:v>56</x:v>
      </x:c>
      <x:c r="S1061" s="38" t="n">
        <x:v>10.976</x:v>
      </x:c>
      <x:c r="T1061" s="38" t="n">
        <x:v>0.8780800000000001</x:v>
      </x:c>
      <x:c r="U1061" s="38" t="n">
        <x:v>0.2019584</x:v>
      </x:c>
      <x:c r="V1061" s="38" t="n">
        <x:v>9.8959616</x:v>
      </x:c>
      <x:c r="W1061" s="38" t="n">
        <x:v>3.64952</x:v>
      </x:c>
      <x:c r="X1061" s="38" t="n">
        <x:v>0.2869828864</x:v>
      </x:c>
      <x:c r="Y1061" s="38" t="n">
        <x:v>0</x:v>
      </x:c>
      <x:c r="Z1061" s="38" t="n">
        <x:v>0.8134000000000001</x:v>
      </x:c>
      <x:c r="AA1061" s="38" t="n">
        <x:v>0.32339999999999997</x:v>
      </x:c>
      <x:c r="AB1061" s="38" t="n">
        <x:v>0.0007055999999999999</x:v>
      </x:c>
      <x:c r="AC1061" s="38" t="n">
        <x:v>4.8219531136</x:v>
      </x:c>
      <x:c r="AD1061" s="28" t="n">
        <x:v>0.4872647357079478</x:v>
      </x:c>
    </x:row>
    <x:row r="1062">
      <x:c r="A1062" s="32" t="n">
        <x:v>46027</x:v>
      </x:c>
      <x:c r="B1062" s="32" t="n">
        <x:v>46023</x:v>
      </x:c>
      <x:c r="C1062" t="str">
        <x:v>Jan 2026</x:v>
      </x:c>
      <x:c r="D1062" t="str">
        <x:v>Forecast</x:v>
      </x:c>
      <x:c r="E1062" t="str">
        <x:v>DB-105</x:v>
      </x:c>
      <x:c r="F1062" t="str">
        <x:v>DreamFuel Refill Pack</x:v>
      </x:c>
      <x:c r="G1062" t="str">
        <x:v>Subscription</x:v>
      </x:c>
      <x:c r="H1062" t="str">
        <x:v>None</x:v>
      </x:c>
      <x:c r="I1062" t="str">
        <x:v>Active</x:v>
      </x:c>
      <x:c r="J1062" t="str">
        <x:v>Amazon Marketplace</x:v>
      </x:c>
      <x:c r="K1062" t="str">
        <x:v>Marketplace Consumer</x:v>
      </x:c>
      <x:c r="L1062" t="str">
        <x:v>All Geographies</x:v>
      </x:c>
      <x:c r="M1062" s="34" t="n">
        <x:v>2525</x:v>
      </x:c>
      <x:c r="N1062" s="28" t="n">
        <x:v>0.0458784</x:v>
      </x:c>
      <x:c r="O1062" s="34" t="n">
        <x:v>116</x:v>
      </x:c>
      <x:c r="P1062" s="34" t="n">
        <x:v>1</x:v>
      </x:c>
      <x:c r="Q1062" s="34" t="n">
        <x:v>116</x:v>
      </x:c>
      <x:c r="R1062" s="33" t="n">
        <x:v>56</x:v>
      </x:c>
      <x:c r="S1062" s="38" t="n">
        <x:v>6.496</x:v>
      </x:c>
      <x:c r="T1062" s="38" t="n">
        <x:v>0.32480000000000003</x:v>
      </x:c>
      <x:c r="U1062" s="38" t="n">
        <x:v>0.12342400000000002</x:v>
      </x:c>
      <x:c r="V1062" s="38" t="n">
        <x:v>6.047776000000001</x:v>
      </x:c>
      <x:c r="W1062" s="38" t="n">
        <x:v>2.15992</x:v>
      </x:c>
      <x:c r="X1062" s="38" t="n">
        <x:v>0</x:v>
      </x:c>
      <x:c r="Y1062" s="38" t="n">
        <x:v>0.9071664</x:v>
      </x:c>
      <x:c r="Z1062" s="38" t="n">
        <x:v>0.6032000000000001</x:v>
      </x:c>
      <x:c r="AA1062" s="38" t="n">
        <x:v>0.24939999999999998</x:v>
      </x:c>
      <x:c r="AB1062" s="38" t="n">
        <x:v>0.0004176</x:v>
      </x:c>
      <x:c r="AC1062" s="38" t="n">
        <x:v>2.1276720000000005</x:v>
      </x:c>
      <x:c r="AD1062" s="28" t="n">
        <x:v>0.35181064907165877</x:v>
      </x:c>
    </x:row>
    <x:row r="1063">
      <x:c r="A1063" s="32" t="n">
        <x:v>46027</x:v>
      </x:c>
      <x:c r="B1063" s="32" t="n">
        <x:v>46023</x:v>
      </x:c>
      <x:c r="C1063" t="str">
        <x:v>Jan 2026</x:v>
      </x:c>
      <x:c r="D1063" t="str">
        <x:v>Forecast</x:v>
      </x:c>
      <x:c r="E1063" t="str">
        <x:v>DB-105</x:v>
      </x:c>
      <x:c r="F1063" t="str">
        <x:v>DreamFuel Refill Pack</x:v>
      </x:c>
      <x:c r="G1063" t="str">
        <x:v>Subscription</x:v>
      </x:c>
      <x:c r="H1063" t="str">
        <x:v>None</x:v>
      </x:c>
      <x:c r="I1063" t="str">
        <x:v>Active</x:v>
      </x:c>
      <x:c r="J1063" t="str">
        <x:v>Wholesale</x:v>
      </x:c>
      <x:c r="K1063" t="str">
        <x:v>Retailer</x:v>
      </x:c>
      <x:c r="L1063" t="str">
        <x:v>All Geographies</x:v>
      </x:c>
      <x:c r="M1063" s="34" t="n">
        <x:v>1515</x:v>
      </x:c>
      <x:c r="N1063" s="28" t="n">
        <x:v>0.021384000000000004</x:v>
      </x:c>
      <x:c r="O1063" s="34" t="n">
        <x:v>32</x:v>
      </x:c>
      <x:c r="P1063" s="34" t="n">
        <x:v>1</x:v>
      </x:c>
      <x:c r="Q1063" s="34" t="n">
        <x:v>32</x:v>
      </x:c>
      <x:c r="R1063" s="33" t="n">
        <x:v>56</x:v>
      </x:c>
      <x:c r="S1063" s="38" t="n">
        <x:v>1.792</x:v>
      </x:c>
      <x:c r="T1063" s="38" t="n">
        <x:v>0.6272</x:v>
      </x:c>
      <x:c r="U1063" s="38" t="n">
        <x:v>0.023296</x:v>
      </x:c>
      <x:c r="V1063" s="38" t="n">
        <x:v>1.141504</x:v>
      </x:c>
      <x:c r="W1063" s="38" t="n">
        <x:v>0.59584</x:v>
      </x:c>
      <x:c r="X1063" s="38" t="n">
        <x:v>0</x:v>
      </x:c>
      <x:c r="Y1063" s="38" t="n">
        <x:v>0</x:v>
      </x:c>
      <x:c r="Z1063" s="38" t="n">
        <x:v>0.0736</x:v>
      </x:c>
      <x:c r="AA1063" s="38" t="n">
        <x:v>0.0272</x:v>
      </x:c>
      <x:c r="AB1063" s="38" t="n">
        <x:v>0.0001152</x:v>
      </x:c>
      <x:c r="AC1063" s="38" t="n">
        <x:v>0.44474880000000006</x:v>
      </x:c>
      <x:c r="AD1063" s="28" t="n">
        <x:v>0.3896165059430366</x:v>
      </x:c>
    </x:row>
    <x:row r="1064">
      <x:c r="A1064" s="32" t="n">
        <x:v>46027</x:v>
      </x:c>
      <x:c r="B1064" s="32" t="n">
        <x:v>46023</x:v>
      </x:c>
      <x:c r="C1064" t="str">
        <x:v>Jan 2026</x:v>
      </x:c>
      <x:c r="D1064" t="str">
        <x:v>Forecast</x:v>
      </x:c>
      <x:c r="E1064" t="str">
        <x:v>DB-105</x:v>
      </x:c>
      <x:c r="F1064" t="str">
        <x:v>DreamFuel Refill Pack</x:v>
      </x:c>
      <x:c r="G1064" t="str">
        <x:v>Subscription</x:v>
      </x:c>
      <x:c r="H1064" t="str">
        <x:v>None</x:v>
      </x:c>
      <x:c r="I1064" t="str">
        <x:v>Active</x:v>
      </x:c>
      <x:c r="J1064" t="str">
        <x:v>TikTok Shop</x:v>
      </x:c>
      <x:c r="K1064" t="str">
        <x:v>Social Commerce</x:v>
      </x:c>
      <x:c r="L1064" t="str">
        <x:v>All Geographies</x:v>
      </x:c>
      <x:c r="M1064" s="34" t="n">
        <x:v>1010</x:v>
      </x:c>
      <x:c r="N1064" s="28" t="n">
        <x:v>0.0489888</x:v>
      </x:c>
      <x:c r="O1064" s="34" t="n">
        <x:v>49</x:v>
      </x:c>
      <x:c r="P1064" s="34" t="n">
        <x:v>1</x:v>
      </x:c>
      <x:c r="Q1064" s="34" t="n">
        <x:v>49</x:v>
      </x:c>
      <x:c r="R1064" s="33" t="n">
        <x:v>56</x:v>
      </x:c>
      <x:c r="S1064" s="38" t="n">
        <x:v>2.744</x:v>
      </x:c>
      <x:c r="T1064" s="38" t="n">
        <x:v>0.32928</x:v>
      </x:c>
      <x:c r="U1064" s="38" t="n">
        <x:v>0.0482944</x:v>
      </x:c>
      <x:c r="V1064" s="38" t="n">
        <x:v>2.3664256</x:v>
      </x:c>
      <x:c r="W1064" s="38" t="n">
        <x:v>0.91238</x:v>
      </x:c>
      <x:c r="X1064" s="38" t="n">
        <x:v>0.0686263424</x:v>
      </x:c>
      <x:c r="Y1064" s="38" t="n">
        <x:v>0.141985536</x:v>
      </x:c>
      <x:c r="Z1064" s="38" t="n">
        <x:v>0.24989999999999998</x:v>
      </x:c>
      <x:c r="AA1064" s="38" t="n">
        <x:v>0.08575</x:v>
      </x:c>
      <x:c r="AB1064" s="38" t="n">
        <x:v>0.00017639999999999998</x:v>
      </x:c>
      <x:c r="AC1064" s="38" t="n">
        <x:v>0.9076073216</x:v>
      </x:c>
      <x:c r="AD1064" s="28" t="n">
        <x:v>0.3835351179432812</x:v>
      </x:c>
    </x:row>
    <x:row r="1065">
      <x:c r="A1065" s="32" t="n">
        <x:v>46034</x:v>
      </x:c>
      <x:c r="B1065" s="32" t="n">
        <x:v>46023</x:v>
      </x:c>
      <x:c r="C1065" t="str">
        <x:v>Jan 2026</x:v>
      </x:c>
      <x:c r="D1065" t="str">
        <x:v>Forecast</x:v>
      </x:c>
      <x:c r="E1065" t="str">
        <x:v>DB-101</x:v>
      </x:c>
      <x:c r="F1065" t="str">
        <x:v>AeroSip Bottle</x:v>
      </x:c>
      <x:c r="G1065" t="str">
        <x:v>One-time purchase</x:v>
      </x:c>
      <x:c r="H1065" t="str">
        <x:v>None</x:v>
      </x:c>
      <x:c r="I1065" t="str">
        <x:v>Active</x:v>
      </x:c>
      <x:c r="J1065" t="str">
        <x:v>Shopify DTC</x:v>
      </x:c>
      <x:c r="K1065" t="str">
        <x:v>Consumer</x:v>
      </x:c>
      <x:c r="L1065" t="str">
        <x:v>All Geographies</x:v>
      </x:c>
      <x:c r="M1065" s="34" t="n">
        <x:v>7296</x:v>
      </x:c>
      <x:c r="N1065" s="28" t="n">
        <x:v>0.034199999999999994</x:v>
      </x:c>
      <x:c r="O1065" s="34" t="n">
        <x:v>250</x:v>
      </x:c>
      <x:c r="P1065" s="34" t="n">
        <x:v>1</x:v>
      </x:c>
      <x:c r="Q1065" s="34" t="n">
        <x:v>250</x:v>
      </x:c>
      <x:c r="R1065" s="33" t="n">
        <x:v>29</x:v>
      </x:c>
      <x:c r="S1065" s="38" t="n">
        <x:v>7.25</x:v>
      </x:c>
      <x:c r="T1065" s="38" t="n">
        <x:v>0.58</x:v>
      </x:c>
      <x:c r="U1065" s="38" t="n">
        <x:v>0.30015</x:v>
      </x:c>
      <x:c r="V1065" s="38" t="n">
        <x:v>6.36985</x:v>
      </x:c>
      <x:c r="W1065" s="38" t="n">
        <x:v>2.7</x:v>
      </x:c>
      <x:c r="X1065" s="38" t="n">
        <x:v>0.18472565</x:v>
      </x:c>
      <x:c r="Y1065" s="38" t="n">
        <x:v>0</x:v>
      </x:c>
      <x:c r="Z1065" s="38" t="n">
        <x:v>1.0375</x:v>
      </x:c>
      <x:c r="AA1065" s="38" t="n">
        <x:v>0.4125</x:v>
      </x:c>
      <x:c r="AB1065" s="38" t="n">
        <x:v>0.009</x:v>
      </x:c>
      <x:c r="AC1065" s="38" t="n">
        <x:v>2.0261243499999995</x:v>
      </x:c>
      <x:c r="AD1065" s="28" t="n">
        <x:v>0.31808038650831644</x:v>
      </x:c>
    </x:row>
    <x:row r="1066">
      <x:c r="A1066" s="32" t="n">
        <x:v>46034</x:v>
      </x:c>
      <x:c r="B1066" s="32" t="n">
        <x:v>46023</x:v>
      </x:c>
      <x:c r="C1066" t="str">
        <x:v>Jan 2026</x:v>
      </x:c>
      <x:c r="D1066" t="str">
        <x:v>Forecast</x:v>
      </x:c>
      <x:c r="E1066" t="str">
        <x:v>DB-101</x:v>
      </x:c>
      <x:c r="F1066" t="str">
        <x:v>AeroSip Bottle</x:v>
      </x:c>
      <x:c r="G1066" t="str">
        <x:v>One-time purchase</x:v>
      </x:c>
      <x:c r="H1066" t="str">
        <x:v>None</x:v>
      </x:c>
      <x:c r="I1066" t="str">
        <x:v>Active</x:v>
      </x:c>
      <x:c r="J1066" t="str">
        <x:v>Amazon Marketplace</x:v>
      </x:c>
      <x:c r="K1066" t="str">
        <x:v>Marketplace Consumer</x:v>
      </x:c>
      <x:c r="L1066" t="str">
        <x:v>All Geographies</x:v>
      </x:c>
      <x:c r="M1066" s="34" t="n">
        <x:v>3648</x:v>
      </x:c>
      <x:c r="N1066" s="28" t="n">
        <x:v>0.040355999999999996</x:v>
      </x:c>
      <x:c r="O1066" s="34" t="n">
        <x:v>147</x:v>
      </x:c>
      <x:c r="P1066" s="34" t="n">
        <x:v>1</x:v>
      </x:c>
      <x:c r="Q1066" s="34" t="n">
        <x:v>147</x:v>
      </x:c>
      <x:c r="R1066" s="33" t="n">
        <x:v>29</x:v>
      </x:c>
      <x:c r="S1066" s="38" t="n">
        <x:v>4.263</x:v>
      </x:c>
      <x:c r="T1066" s="38" t="n">
        <x:v>0.21315</x:v>
      </x:c>
      <x:c r="U1066" s="38" t="n">
        <x:v>0.18224325</x:v>
      </x:c>
      <x:c r="V1066" s="38" t="n">
        <x:v>3.86760675</x:v>
      </x:c>
      <x:c r="W1066" s="38" t="n">
        <x:v>1.5876000000000001</x:v>
      </x:c>
      <x:c r="X1066" s="38" t="n">
        <x:v>0</x:v>
      </x:c>
      <x:c r="Y1066" s="38" t="n">
        <x:v>0.5801410125</x:v>
      </x:c>
      <x:c r="Z1066" s="38" t="n">
        <x:v>0.7644</x:v>
      </x:c>
      <x:c r="AA1066" s="38" t="n">
        <x:v>0.31605</x:v>
      </x:c>
      <x:c r="AB1066" s="38" t="n">
        <x:v>0.005292</x:v>
      </x:c>
      <x:c r="AC1066" s="38" t="n">
        <x:v>0.6141237375000003</x:v>
      </x:c>
      <x:c r="AD1066" s="28" t="n">
        <x:v>0.15878649955815705</x:v>
      </x:c>
    </x:row>
    <x:row r="1067">
      <x:c r="A1067" s="32" t="n">
        <x:v>46034</x:v>
      </x:c>
      <x:c r="B1067" s="32" t="n">
        <x:v>46023</x:v>
      </x:c>
      <x:c r="C1067" t="str">
        <x:v>Jan 2026</x:v>
      </x:c>
      <x:c r="D1067" t="str">
        <x:v>Forecast</x:v>
      </x:c>
      <x:c r="E1067" t="str">
        <x:v>DB-101</x:v>
      </x:c>
      <x:c r="F1067" t="str">
        <x:v>AeroSip Bottle</x:v>
      </x:c>
      <x:c r="G1067" t="str">
        <x:v>One-time purchase</x:v>
      </x:c>
      <x:c r="H1067" t="str">
        <x:v>None</x:v>
      </x:c>
      <x:c r="I1067" t="str">
        <x:v>Active</x:v>
      </x:c>
      <x:c r="J1067" t="str">
        <x:v>Wholesale</x:v>
      </x:c>
      <x:c r="K1067" t="str">
        <x:v>Retailer</x:v>
      </x:c>
      <x:c r="L1067" t="str">
        <x:v>All Geographies</x:v>
      </x:c>
      <x:c r="M1067" s="34" t="n">
        <x:v>2189</x:v>
      </x:c>
      <x:c r="N1067" s="28" t="n">
        <x:v>0.01881</x:v>
      </x:c>
      <x:c r="O1067" s="34" t="n">
        <x:v>41</x:v>
      </x:c>
      <x:c r="P1067" s="34" t="n">
        <x:v>1</x:v>
      </x:c>
      <x:c r="Q1067" s="34" t="n">
        <x:v>41</x:v>
      </x:c>
      <x:c r="R1067" s="33" t="n">
        <x:v>29</x:v>
      </x:c>
      <x:c r="S1067" s="38" t="n">
        <x:v>1.189</x:v>
      </x:c>
      <x:c r="T1067" s="38" t="n">
        <x:v>0.41615</x:v>
      </x:c>
      <x:c r="U1067" s="38" t="n">
        <x:v>0.034778250000000004</x:v>
      </x:c>
      <x:c r="V1067" s="38" t="n">
        <x:v>0.73807175</x:v>
      </x:c>
      <x:c r="W1067" s="38" t="n">
        <x:v>0.4428</x:v>
      </x:c>
      <x:c r="X1067" s="38" t="n">
        <x:v>0</x:v>
      </x:c>
      <x:c r="Y1067" s="38" t="n">
        <x:v>0</x:v>
      </x:c>
      <x:c r="Z1067" s="38" t="n">
        <x:v>0.0943</x:v>
      </x:c>
      <x:c r="AA1067" s="38" t="n">
        <x:v>0.03485</x:v>
      </x:c>
      <x:c r="AB1067" s="38" t="n">
        <x:v>0.0014759999999999999</x:v>
      </x:c>
      <x:c r="AC1067" s="38" t="n">
        <x:v>0.16464575</x:v>
      </x:c>
      <x:c r="AD1067" s="28" t="n">
        <x:v>0.22307553432305194</x:v>
      </x:c>
    </x:row>
    <x:row r="1068">
      <x:c r="A1068" s="32" t="n">
        <x:v>46034</x:v>
      </x:c>
      <x:c r="B1068" s="32" t="n">
        <x:v>46023</x:v>
      </x:c>
      <x:c r="C1068" t="str">
        <x:v>Jan 2026</x:v>
      </x:c>
      <x:c r="D1068" t="str">
        <x:v>Forecast</x:v>
      </x:c>
      <x:c r="E1068" t="str">
        <x:v>DB-101</x:v>
      </x:c>
      <x:c r="F1068" t="str">
        <x:v>AeroSip Bottle</x:v>
      </x:c>
      <x:c r="G1068" t="str">
        <x:v>One-time purchase</x:v>
      </x:c>
      <x:c r="H1068" t="str">
        <x:v>None</x:v>
      </x:c>
      <x:c r="I1068" t="str">
        <x:v>Active</x:v>
      </x:c>
      <x:c r="J1068" t="str">
        <x:v>TikTok Shop</x:v>
      </x:c>
      <x:c r="K1068" t="str">
        <x:v>Social Commerce</x:v>
      </x:c>
      <x:c r="L1068" t="str">
        <x:v>All Geographies</x:v>
      </x:c>
      <x:c r="M1068" s="34" t="n">
        <x:v>1459</x:v>
      </x:c>
      <x:c r="N1068" s="28" t="n">
        <x:v>0.043092</x:v>
      </x:c>
      <x:c r="O1068" s="34" t="n">
        <x:v>63</x:v>
      </x:c>
      <x:c r="P1068" s="34" t="n">
        <x:v>1</x:v>
      </x:c>
      <x:c r="Q1068" s="34" t="n">
        <x:v>63</x:v>
      </x:c>
      <x:c r="R1068" s="33" t="n">
        <x:v>29</x:v>
      </x:c>
      <x:c r="S1068" s="38" t="n">
        <x:v>1.827</x:v>
      </x:c>
      <x:c r="T1068" s="38" t="n">
        <x:v>0.21924</x:v>
      </x:c>
      <x:c r="U1068" s="38" t="n">
        <x:v>0.07234919999999999</x:v>
      </x:c>
      <x:c r="V1068" s="38" t="n">
        <x:v>1.5354108</x:v>
      </x:c>
      <x:c r="W1068" s="38" t="n">
        <x:v>0.6804000000000001</x:v>
      </x:c>
      <x:c r="X1068" s="38" t="n">
        <x:v>0.044526913200000004</x:v>
      </x:c>
      <x:c r="Y1068" s="38" t="n">
        <x:v>0.09212464799999999</x:v>
      </x:c>
      <x:c r="Z1068" s="38" t="n">
        <x:v>0.3213</x:v>
      </x:c>
      <x:c r="AA1068" s="38" t="n">
        <x:v>0.11025</x:v>
      </x:c>
      <x:c r="AB1068" s="38" t="n">
        <x:v>0.0022679999999999996</x:v>
      </x:c>
      <x:c r="AC1068" s="38" t="n">
        <x:v>0.2845412387999999</x:v>
      </x:c>
      <x:c r="AD1068" s="28" t="n">
        <x:v>0.18531928966501987</x:v>
      </x:c>
    </x:row>
    <x:row r="1069">
      <x:c r="A1069" s="32" t="n">
        <x:v>46034</x:v>
      </x:c>
      <x:c r="B1069" s="32" t="n">
        <x:v>46023</x:v>
      </x:c>
      <x:c r="C1069" t="str">
        <x:v>Jan 2026</x:v>
      </x:c>
      <x:c r="D1069" t="str">
        <x:v>Forecast</x:v>
      </x:c>
      <x:c r="E1069" t="str">
        <x:v>DB-102</x:v>
      </x:c>
      <x:c r="F1069" t="str">
        <x:v>GlowPatch Balm</x:v>
      </x:c>
      <x:c r="G1069" t="str">
        <x:v>Consumable repeat</x:v>
      </x:c>
      <x:c r="H1069" t="str">
        <x:v>None</x:v>
      </x:c>
      <x:c r="I1069" t="str">
        <x:v>Active</x:v>
      </x:c>
      <x:c r="J1069" t="str">
        <x:v>Shopify DTC</x:v>
      </x:c>
      <x:c r="K1069" t="str">
        <x:v>Consumer</x:v>
      </x:c>
      <x:c r="L1069" t="str">
        <x:v>All Geographies</x:v>
      </x:c>
      <x:c r="M1069" s="34" t="n">
        <x:v>5893</x:v>
      </x:c>
      <x:c r="N1069" s="28" t="n">
        <x:v>0.04248</x:v>
      </x:c>
      <x:c r="O1069" s="34" t="n">
        <x:v>250</x:v>
      </x:c>
      <x:c r="P1069" s="34" t="n">
        <x:v>1</x:v>
      </x:c>
      <x:c r="Q1069" s="34" t="n">
        <x:v>250</x:v>
      </x:c>
      <x:c r="R1069" s="33" t="n">
        <x:v>18</x:v>
      </x:c>
      <x:c r="S1069" s="38" t="n">
        <x:v>4.5</x:v>
      </x:c>
      <x:c r="T1069" s="38" t="n">
        <x:v>0.36</x:v>
      </x:c>
      <x:c r="U1069" s="38" t="n">
        <x:v>0.1035</x:v>
      </x:c>
      <x:c r="V1069" s="38" t="n">
        <x:v>4.036499999999999</x:v>
      </x:c>
      <x:c r="W1069" s="38" t="n">
        <x:v>1.3525</x:v>
      </x:c>
      <x:c r="X1069" s="38" t="n">
        <x:v>0.11705849999999998</x:v>
      </x:c>
      <x:c r="Y1069" s="38" t="n">
        <x:v>0</x:v>
      </x:c>
      <x:c r="Z1069" s="38" t="n">
        <x:v>1.0375</x:v>
      </x:c>
      <x:c r="AA1069" s="38" t="n">
        <x:v>0.4125</x:v>
      </x:c>
      <x:c r="AB1069" s="38" t="n">
        <x:v>0.0015</x:v>
      </x:c>
      <x:c r="AC1069" s="38" t="n">
        <x:v>1.1154414999999989</x:v>
      </x:c>
      <x:c r="AD1069" s="28" t="n">
        <x:v>0.2763387835996529</x:v>
      </x:c>
    </x:row>
    <x:row r="1070">
      <x:c r="A1070" s="32" t="n">
        <x:v>46034</x:v>
      </x:c>
      <x:c r="B1070" s="32" t="n">
        <x:v>46023</x:v>
      </x:c>
      <x:c r="C1070" t="str">
        <x:v>Jan 2026</x:v>
      </x:c>
      <x:c r="D1070" t="str">
        <x:v>Forecast</x:v>
      </x:c>
      <x:c r="E1070" t="str">
        <x:v>DB-102</x:v>
      </x:c>
      <x:c r="F1070" t="str">
        <x:v>GlowPatch Balm</x:v>
      </x:c>
      <x:c r="G1070" t="str">
        <x:v>Consumable repeat</x:v>
      </x:c>
      <x:c r="H1070" t="str">
        <x:v>None</x:v>
      </x:c>
      <x:c r="I1070" t="str">
        <x:v>Active</x:v>
      </x:c>
      <x:c r="J1070" t="str">
        <x:v>Amazon Marketplace</x:v>
      </x:c>
      <x:c r="K1070" t="str">
        <x:v>Marketplace Consumer</x:v>
      </x:c>
      <x:c r="L1070" t="str">
        <x:v>All Geographies</x:v>
      </x:c>
      <x:c r="M1070" s="34" t="n">
        <x:v>2946</x:v>
      </x:c>
      <x:c r="N1070" s="28" t="n">
        <x:v>0.050126399999999995</x:v>
      </x:c>
      <x:c r="O1070" s="34" t="n">
        <x:v>148</x:v>
      </x:c>
      <x:c r="P1070" s="34" t="n">
        <x:v>1</x:v>
      </x:c>
      <x:c r="Q1070" s="34" t="n">
        <x:v>148</x:v>
      </x:c>
      <x:c r="R1070" s="33" t="n">
        <x:v>18</x:v>
      </x:c>
      <x:c r="S1070" s="38" t="n">
        <x:v>2.664</x:v>
      </x:c>
      <x:c r="T1070" s="38" t="n">
        <x:v>0.1332</x:v>
      </x:c>
      <x:c r="U1070" s="38" t="n">
        <x:v>0.06327</x:v>
      </x:c>
      <x:c r="V1070" s="38" t="n">
        <x:v>2.46753</x:v>
      </x:c>
      <x:c r="W1070" s="38" t="n">
        <x:v>0.8006800000000001</x:v>
      </x:c>
      <x:c r="X1070" s="38" t="n">
        <x:v>0</x:v>
      </x:c>
      <x:c r="Y1070" s="38" t="n">
        <x:v>0.3701295</x:v>
      </x:c>
      <x:c r="Z1070" s="38" t="n">
        <x:v>0.7696000000000001</x:v>
      </x:c>
      <x:c r="AA1070" s="38" t="n">
        <x:v>0.3182</x:v>
      </x:c>
      <x:c r="AB1070" s="38" t="n">
        <x:v>0.0008879999999999999</x:v>
      </x:c>
      <x:c r="AC1070" s="38" t="n">
        <x:v>0.2080324999999999</x:v>
      </x:c>
      <x:c r="AD1070" s="28" t="n">
        <x:v>0.084307992202729</x:v>
      </x:c>
    </x:row>
    <x:row r="1071">
      <x:c r="A1071" s="32" t="n">
        <x:v>46034</x:v>
      </x:c>
      <x:c r="B1071" s="32" t="n">
        <x:v>46023</x:v>
      </x:c>
      <x:c r="C1071" t="str">
        <x:v>Jan 2026</x:v>
      </x:c>
      <x:c r="D1071" t="str">
        <x:v>Forecast</x:v>
      </x:c>
      <x:c r="E1071" t="str">
        <x:v>DB-102</x:v>
      </x:c>
      <x:c r="F1071" t="str">
        <x:v>GlowPatch Balm</x:v>
      </x:c>
      <x:c r="G1071" t="str">
        <x:v>Consumable repeat</x:v>
      </x:c>
      <x:c r="H1071" t="str">
        <x:v>None</x:v>
      </x:c>
      <x:c r="I1071" t="str">
        <x:v>Active</x:v>
      </x:c>
      <x:c r="J1071" t="str">
        <x:v>Wholesale</x:v>
      </x:c>
      <x:c r="K1071" t="str">
        <x:v>Retailer</x:v>
      </x:c>
      <x:c r="L1071" t="str">
        <x:v>All Geographies</x:v>
      </x:c>
      <x:c r="M1071" s="34" t="n">
        <x:v>1768</x:v>
      </x:c>
      <x:c r="N1071" s="28" t="n">
        <x:v>0.023364</x:v>
      </x:c>
      <x:c r="O1071" s="34" t="n">
        <x:v>41</x:v>
      </x:c>
      <x:c r="P1071" s="34" t="n">
        <x:v>1</x:v>
      </x:c>
      <x:c r="Q1071" s="34" t="n">
        <x:v>41</x:v>
      </x:c>
      <x:c r="R1071" s="33" t="n">
        <x:v>18</x:v>
      </x:c>
      <x:c r="S1071" s="38" t="n">
        <x:v>0.738</x:v>
      </x:c>
      <x:c r="T1071" s="38" t="n">
        <x:v>0.2583</x:v>
      </x:c>
      <x:c r="U1071" s="38" t="n">
        <x:v>0.011992500000000001</x:v>
      </x:c>
      <x:c r="V1071" s="38" t="n">
        <x:v>0.4677075</x:v>
      </x:c>
      <x:c r="W1071" s="38" t="n">
        <x:v>0.22181</x:v>
      </x:c>
      <x:c r="X1071" s="38" t="n">
        <x:v>0</x:v>
      </x:c>
      <x:c r="Y1071" s="38" t="n">
        <x:v>0</x:v>
      </x:c>
      <x:c r="Z1071" s="38" t="n">
        <x:v>0.0943</x:v>
      </x:c>
      <x:c r="AA1071" s="38" t="n">
        <x:v>0.03485</x:v>
      </x:c>
      <x:c r="AB1071" s="38" t="n">
        <x:v>0.000246</x:v>
      </x:c>
      <x:c r="AC1071" s="38" t="n">
        <x:v>0.11650150000000001</x:v>
      </x:c>
      <x:c r="AD1071" s="28" t="n">
        <x:v>0.2490905106289722</x:v>
      </x:c>
    </x:row>
    <x:row r="1072">
      <x:c r="A1072" s="32" t="n">
        <x:v>46034</x:v>
      </x:c>
      <x:c r="B1072" s="32" t="n">
        <x:v>46023</x:v>
      </x:c>
      <x:c r="C1072" t="str">
        <x:v>Jan 2026</x:v>
      </x:c>
      <x:c r="D1072" t="str">
        <x:v>Forecast</x:v>
      </x:c>
      <x:c r="E1072" t="str">
        <x:v>DB-102</x:v>
      </x:c>
      <x:c r="F1072" t="str">
        <x:v>GlowPatch Balm</x:v>
      </x:c>
      <x:c r="G1072" t="str">
        <x:v>Consumable repeat</x:v>
      </x:c>
      <x:c r="H1072" t="str">
        <x:v>None</x:v>
      </x:c>
      <x:c r="I1072" t="str">
        <x:v>Active</x:v>
      </x:c>
      <x:c r="J1072" t="str">
        <x:v>TikTok Shop</x:v>
      </x:c>
      <x:c r="K1072" t="str">
        <x:v>Social Commerce</x:v>
      </x:c>
      <x:c r="L1072" t="str">
        <x:v>All Geographies</x:v>
      </x:c>
      <x:c r="M1072" s="34" t="n">
        <x:v>1179</x:v>
      </x:c>
      <x:c r="N1072" s="28" t="n">
        <x:v>0.0535248</x:v>
      </x:c>
      <x:c r="O1072" s="34" t="n">
        <x:v>63</x:v>
      </x:c>
      <x:c r="P1072" s="34" t="n">
        <x:v>1</x:v>
      </x:c>
      <x:c r="Q1072" s="34" t="n">
        <x:v>63</x:v>
      </x:c>
      <x:c r="R1072" s="33" t="n">
        <x:v>18</x:v>
      </x:c>
      <x:c r="S1072" s="38" t="n">
        <x:v>1.134</x:v>
      </x:c>
      <x:c r="T1072" s="38" t="n">
        <x:v>0.13607999999999998</x:v>
      </x:c>
      <x:c r="U1072" s="38" t="n">
        <x:v>0.024947999999999998</x:v>
      </x:c>
      <x:c r="V1072" s="38" t="n">
        <x:v>0.972972</x:v>
      </x:c>
      <x:c r="W1072" s="38" t="n">
        <x:v>0.34082999999999997</x:v>
      </x:c>
      <x:c r="X1072" s="38" t="n">
        <x:v>0.028216188</x:v>
      </x:c>
      <x:c r="Y1072" s="38" t="n">
        <x:v>0.05837832</x:v>
      </x:c>
      <x:c r="Z1072" s="38" t="n">
        <x:v>0.3213</x:v>
      </x:c>
      <x:c r="AA1072" s="38" t="n">
        <x:v>0.11025</x:v>
      </x:c>
      <x:c r="AB1072" s="38" t="n">
        <x:v>0.000378</x:v>
      </x:c>
      <x:c r="AC1072" s="38" t="n">
        <x:v>0.11361949199999999</x:v>
      </x:c>
      <x:c r="AD1072" s="28" t="n">
        <x:v>0.11677570577570577</x:v>
      </x:c>
    </x:row>
    <x:row r="1073">
      <x:c r="A1073" s="32" t="n">
        <x:v>46034</x:v>
      </x:c>
      <x:c r="B1073" s="32" t="n">
        <x:v>46023</x:v>
      </x:c>
      <x:c r="C1073" t="str">
        <x:v>Jan 2026</x:v>
      </x:c>
      <x:c r="D1073" t="str">
        <x:v>Forecast</x:v>
      </x:c>
      <x:c r="E1073" t="str">
        <x:v>DB-103</x:v>
      </x:c>
      <x:c r="F1073" t="str">
        <x:v>EmberTrail Camp Mug</x:v>
      </x:c>
      <x:c r="G1073" t="str">
        <x:v>One-time purchase</x:v>
      </x:c>
      <x:c r="H1073" t="str">
        <x:v>Winter peak</x:v>
      </x:c>
      <x:c r="I1073" t="str">
        <x:v>Active</x:v>
      </x:c>
      <x:c r="J1073" t="str">
        <x:v>Shopify DTC</x:v>
      </x:c>
      <x:c r="K1073" t="str">
        <x:v>Consumer</x:v>
      </x:c>
      <x:c r="L1073" t="str">
        <x:v>All Geographies</x:v>
      </x:c>
      <x:c r="M1073" s="34" t="n">
        <x:v>6162</x:v>
      </x:c>
      <x:c r="N1073" s="28" t="n">
        <x:v>0.0324</x:v>
      </x:c>
      <x:c r="O1073" s="34" t="n">
        <x:v>200</x:v>
      </x:c>
      <x:c r="P1073" s="34" t="n">
        <x:v>1</x:v>
      </x:c>
      <x:c r="Q1073" s="34" t="n">
        <x:v>200</x:v>
      </x:c>
      <x:c r="R1073" s="33" t="n">
        <x:v>34</x:v>
      </x:c>
      <x:c r="S1073" s="38" t="n">
        <x:v>6.8</x:v>
      </x:c>
      <x:c r="T1073" s="38" t="n">
        <x:v>0.544</x:v>
      </x:c>
      <x:c r="U1073" s="38" t="n">
        <x:v>0.34408</x:v>
      </x:c>
      <x:c r="V1073" s="38" t="n">
        <x:v>5.91192</x:v>
      </x:c>
      <x:c r="W1073" s="38" t="n">
        <x:v>2.734</x:v>
      </x:c>
      <x:c r="X1073" s="38" t="n">
        <x:v>0.17144568000000002</x:v>
      </x:c>
      <x:c r="Y1073" s="38" t="n">
        <x:v>0</x:v>
      </x:c>
      <x:c r="Z1073" s="38" t="n">
        <x:v>0.8300000000000001</x:v>
      </x:c>
      <x:c r="AA1073" s="38" t="n">
        <x:v>0.33</x:v>
      </x:c>
      <x:c r="AB1073" s="38" t="n">
        <x:v>0.011200000000000002</x:v>
      </x:c>
      <x:c r="AC1073" s="38" t="n">
        <x:v>1.83527432</x:v>
      </x:c>
      <x:c r="AD1073" s="28" t="n">
        <x:v>0.31043625759482535</x:v>
      </x:c>
    </x:row>
    <x:row r="1074">
      <x:c r="A1074" s="32" t="n">
        <x:v>46034</x:v>
      </x:c>
      <x:c r="B1074" s="32" t="n">
        <x:v>46023</x:v>
      </x:c>
      <x:c r="C1074" t="str">
        <x:v>Jan 2026</x:v>
      </x:c>
      <x:c r="D1074" t="str">
        <x:v>Forecast</x:v>
      </x:c>
      <x:c r="E1074" t="str">
        <x:v>DB-103</x:v>
      </x:c>
      <x:c r="F1074" t="str">
        <x:v>EmberTrail Camp Mug</x:v>
      </x:c>
      <x:c r="G1074" t="str">
        <x:v>One-time purchase</x:v>
      </x:c>
      <x:c r="H1074" t="str">
        <x:v>Winter peak</x:v>
      </x:c>
      <x:c r="I1074" t="str">
        <x:v>Active</x:v>
      </x:c>
      <x:c r="J1074" t="str">
        <x:v>Amazon Marketplace</x:v>
      </x:c>
      <x:c r="K1074" t="str">
        <x:v>Marketplace Consumer</x:v>
      </x:c>
      <x:c r="L1074" t="str">
        <x:v>All Geographies</x:v>
      </x:c>
      <x:c r="M1074" s="34" t="n">
        <x:v>3081</x:v>
      </x:c>
      <x:c r="N1074" s="28" t="n">
        <x:v>0.038231999999999995</x:v>
      </x:c>
      <x:c r="O1074" s="34" t="n">
        <x:v>118</x:v>
      </x:c>
      <x:c r="P1074" s="34" t="n">
        <x:v>1</x:v>
      </x:c>
      <x:c r="Q1074" s="34" t="n">
        <x:v>118</x:v>
      </x:c>
      <x:c r="R1074" s="33" t="n">
        <x:v>34</x:v>
      </x:c>
      <x:c r="S1074" s="38" t="n">
        <x:v>4.012</x:v>
      </x:c>
      <x:c r="T1074" s="38" t="n">
        <x:v>0.2006</x:v>
      </x:c>
      <x:c r="U1074" s="38" t="n">
        <x:v>0.20962699999999998</x:v>
      </x:c>
      <x:c r="V1074" s="38" t="n">
        <x:v>3.6017729999999997</x:v>
      </x:c>
      <x:c r="W1074" s="38" t="n">
        <x:v>1.61306</x:v>
      </x:c>
      <x:c r="X1074" s="38" t="n">
        <x:v>0</x:v>
      </x:c>
      <x:c r="Y1074" s="38" t="n">
        <x:v>0.5402659499999999</x:v>
      </x:c>
      <x:c r="Z1074" s="38" t="n">
        <x:v>0.6136</x:v>
      </x:c>
      <x:c r="AA1074" s="38" t="n">
        <x:v>0.2537</x:v>
      </x:c>
      <x:c r="AB1074" s="38" t="n">
        <x:v>0.006608</x:v>
      </x:c>
      <x:c r="AC1074" s="38" t="n">
        <x:v>0.57453905</x:v>
      </x:c>
      <x:c r="AD1074" s="28" t="n">
        <x:v>0.15951561911314235</x:v>
      </x:c>
    </x:row>
    <x:row r="1075">
      <x:c r="A1075" s="32" t="n">
        <x:v>46034</x:v>
      </x:c>
      <x:c r="B1075" s="32" t="n">
        <x:v>46023</x:v>
      </x:c>
      <x:c r="C1075" t="str">
        <x:v>Jan 2026</x:v>
      </x:c>
      <x:c r="D1075" t="str">
        <x:v>Forecast</x:v>
      </x:c>
      <x:c r="E1075" t="str">
        <x:v>DB-103</x:v>
      </x:c>
      <x:c r="F1075" t="str">
        <x:v>EmberTrail Camp Mug</x:v>
      </x:c>
      <x:c r="G1075" t="str">
        <x:v>One-time purchase</x:v>
      </x:c>
      <x:c r="H1075" t="str">
        <x:v>Winter peak</x:v>
      </x:c>
      <x:c r="I1075" t="str">
        <x:v>Active</x:v>
      </x:c>
      <x:c r="J1075" t="str">
        <x:v>Wholesale</x:v>
      </x:c>
      <x:c r="K1075" t="str">
        <x:v>Retailer</x:v>
      </x:c>
      <x:c r="L1075" t="str">
        <x:v>All Geographies</x:v>
      </x:c>
      <x:c r="M1075" s="34" t="n">
        <x:v>1849</x:v>
      </x:c>
      <x:c r="N1075" s="28" t="n">
        <x:v>0.017820000000000003</x:v>
      </x:c>
      <x:c r="O1075" s="34" t="n">
        <x:v>33</x:v>
      </x:c>
      <x:c r="P1075" s="34" t="n">
        <x:v>1</x:v>
      </x:c>
      <x:c r="Q1075" s="34" t="n">
        <x:v>33</x:v>
      </x:c>
      <x:c r="R1075" s="33" t="n">
        <x:v>34</x:v>
      </x:c>
      <x:c r="S1075" s="38" t="n">
        <x:v>1.122</x:v>
      </x:c>
      <x:c r="T1075" s="38" t="n">
        <x:v>0.3927</x:v>
      </x:c>
      <x:c r="U1075" s="38" t="n">
        <x:v>0.0401115</x:v>
      </x:c>
      <x:c r="V1075" s="38" t="n">
        <x:v>0.6891885000000001</x:v>
      </x:c>
      <x:c r="W1075" s="38" t="n">
        <x:v>0.45111</x:v>
      </x:c>
      <x:c r="X1075" s="38" t="n">
        <x:v>0</x:v>
      </x:c>
      <x:c r="Y1075" s="38" t="n">
        <x:v>0</x:v>
      </x:c>
      <x:c r="Z1075" s="38" t="n">
        <x:v>0.0759</x:v>
      </x:c>
      <x:c r="AA1075" s="38" t="n">
        <x:v>0.028050000000000002</x:v>
      </x:c>
      <x:c r="AB1075" s="38" t="n">
        <x:v>0.001848</x:v>
      </x:c>
      <x:c r="AC1075" s="38" t="n">
        <x:v>0.1322805000000001</x:v>
      </x:c>
      <x:c r="AD1075" s="28" t="n">
        <x:v>0.19193660370130972</x:v>
      </x:c>
    </x:row>
    <x:row r="1076">
      <x:c r="A1076" s="32" t="n">
        <x:v>46034</x:v>
      </x:c>
      <x:c r="B1076" s="32" t="n">
        <x:v>46023</x:v>
      </x:c>
      <x:c r="C1076" t="str">
        <x:v>Jan 2026</x:v>
      </x:c>
      <x:c r="D1076" t="str">
        <x:v>Forecast</x:v>
      </x:c>
      <x:c r="E1076" t="str">
        <x:v>DB-103</x:v>
      </x:c>
      <x:c r="F1076" t="str">
        <x:v>EmberTrail Camp Mug</x:v>
      </x:c>
      <x:c r="G1076" t="str">
        <x:v>One-time purchase</x:v>
      </x:c>
      <x:c r="H1076" t="str">
        <x:v>Winter peak</x:v>
      </x:c>
      <x:c r="I1076" t="str">
        <x:v>Active</x:v>
      </x:c>
      <x:c r="J1076" t="str">
        <x:v>TikTok Shop</x:v>
      </x:c>
      <x:c r="K1076" t="str">
        <x:v>Social Commerce</x:v>
      </x:c>
      <x:c r="L1076" t="str">
        <x:v>All Geographies</x:v>
      </x:c>
      <x:c r="M1076" s="34" t="n">
        <x:v>1232</x:v>
      </x:c>
      <x:c r="N1076" s="28" t="n">
        <x:v>0.040824</x:v>
      </x:c>
      <x:c r="O1076" s="34" t="n">
        <x:v>50</x:v>
      </x:c>
      <x:c r="P1076" s="34" t="n">
        <x:v>1</x:v>
      </x:c>
      <x:c r="Q1076" s="34" t="n">
        <x:v>50</x:v>
      </x:c>
      <x:c r="R1076" s="33" t="n">
        <x:v>34</x:v>
      </x:c>
      <x:c r="S1076" s="38" t="n">
        <x:v>1.7</x:v>
      </x:c>
      <x:c r="T1076" s="38" t="n">
        <x:v>0.204</x:v>
      </x:c>
      <x:c r="U1076" s="38" t="n">
        <x:v>0.08228</x:v>
      </x:c>
      <x:c r="V1076" s="38" t="n">
        <x:v>1.41372</x:v>
      </x:c>
      <x:c r="W1076" s="38" t="n">
        <x:v>0.6835</x:v>
      </x:c>
      <x:c r="X1076" s="38" t="n">
        <x:v>0.04099788000000001</x:v>
      </x:c>
      <x:c r="Y1076" s="38" t="n">
        <x:v>0.0848232</x:v>
      </x:c>
      <x:c r="Z1076" s="38" t="n">
        <x:v>0.25499999999999995</x:v>
      </x:c>
      <x:c r="AA1076" s="38" t="n">
        <x:v>0.0875</x:v>
      </x:c>
      <x:c r="AB1076" s="38" t="n">
        <x:v>0.0028000000000000004</x:v>
      </x:c>
      <x:c r="AC1076" s="38" t="n">
        <x:v>0.2590989200000001</x:v>
      </x:c>
      <x:c r="AD1076" s="28" t="n">
        <x:v>0.18327456639221354</x:v>
      </x:c>
    </x:row>
    <x:row r="1077">
      <x:c r="A1077" s="32" t="n">
        <x:v>46034</x:v>
      </x:c>
      <x:c r="B1077" s="32" t="n">
        <x:v>46023</x:v>
      </x:c>
      <x:c r="C1077" t="str">
        <x:v>Jan 2026</x:v>
      </x:c>
      <x:c r="D1077" t="str">
        <x:v>Forecast</x:v>
      </x:c>
      <x:c r="E1077" t="str">
        <x:v>DB-104</x:v>
      </x:c>
      <x:c r="F1077" t="str">
        <x:v>SunNest Cooling Towel</x:v>
      </x:c>
      <x:c r="G1077" t="str">
        <x:v>Consumable repeat</x:v>
      </x:c>
      <x:c r="H1077" t="str">
        <x:v>Summer peak</x:v>
      </x:c>
      <x:c r="I1077" t="str">
        <x:v>Active</x:v>
      </x:c>
      <x:c r="J1077" t="str">
        <x:v>Shopify DTC</x:v>
      </x:c>
      <x:c r="K1077" t="str">
        <x:v>Consumer</x:v>
      </x:c>
      <x:c r="L1077" t="str">
        <x:v>All Geographies</x:v>
      </x:c>
      <x:c r="M1077" s="34" t="n">
        <x:v>3578</x:v>
      </x:c>
      <x:c r="N1077" s="28" t="n">
        <x:v>0.03312</x:v>
      </x:c>
      <x:c r="O1077" s="34" t="n">
        <x:v>119</x:v>
      </x:c>
      <x:c r="P1077" s="34" t="n">
        <x:v>1</x:v>
      </x:c>
      <x:c r="Q1077" s="34" t="n">
        <x:v>119</x:v>
      </x:c>
      <x:c r="R1077" s="33" t="n">
        <x:v>42</x:v>
      </x:c>
      <x:c r="S1077" s="38" t="n">
        <x:v>4.998</x:v>
      </x:c>
      <x:c r="T1077" s="38" t="n">
        <x:v>0.39984000000000003</x:v>
      </x:c>
      <x:c r="U1077" s="38" t="n">
        <x:v>0.229908</x:v>
      </x:c>
      <x:c r="V1077" s="38" t="n">
        <x:v>4.368252</x:v>
      </x:c>
      <x:c r="W1077" s="38" t="n">
        <x:v>1.79095</x:v>
      </x:c>
      <x:c r="X1077" s="38" t="n">
        <x:v>0.12667930800000002</x:v>
      </x:c>
      <x:c r="Y1077" s="38" t="n">
        <x:v>0</x:v>
      </x:c>
      <x:c r="Z1077" s="38" t="n">
        <x:v>0.49385</x:v>
      </x:c>
      <x:c r="AA1077" s="38" t="n">
        <x:v>0.19635</x:v>
      </x:c>
      <x:c r="AB1077" s="38" t="n">
        <x:v>0.003332</x:v>
      </x:c>
      <x:c r="AC1077" s="38" t="n">
        <x:v>1.757090692</x:v>
      </x:c>
      <x:c r="AD1077" s="28" t="n">
        <x:v>0.40224114634412117</x:v>
      </x:c>
    </x:row>
    <x:row r="1078">
      <x:c r="A1078" s="32" t="n">
        <x:v>46034</x:v>
      </x:c>
      <x:c r="B1078" s="32" t="n">
        <x:v>46023</x:v>
      </x:c>
      <x:c r="C1078" t="str">
        <x:v>Jan 2026</x:v>
      </x:c>
      <x:c r="D1078" t="str">
        <x:v>Forecast</x:v>
      </x:c>
      <x:c r="E1078" t="str">
        <x:v>DB-104</x:v>
      </x:c>
      <x:c r="F1078" t="str">
        <x:v>SunNest Cooling Towel</x:v>
      </x:c>
      <x:c r="G1078" t="str">
        <x:v>Consumable repeat</x:v>
      </x:c>
      <x:c r="H1078" t="str">
        <x:v>Summer peak</x:v>
      </x:c>
      <x:c r="I1078" t="str">
        <x:v>Active</x:v>
      </x:c>
      <x:c r="J1078" t="str">
        <x:v>Amazon Marketplace</x:v>
      </x:c>
      <x:c r="K1078" t="str">
        <x:v>Marketplace Consumer</x:v>
      </x:c>
      <x:c r="L1078" t="str">
        <x:v>All Geographies</x:v>
      </x:c>
      <x:c r="M1078" s="34" t="n">
        <x:v>1789</x:v>
      </x:c>
      <x:c r="N1078" s="28" t="n">
        <x:v>0.0390816</x:v>
      </x:c>
      <x:c r="O1078" s="34" t="n">
        <x:v>70</x:v>
      </x:c>
      <x:c r="P1078" s="34" t="n">
        <x:v>1</x:v>
      </x:c>
      <x:c r="Q1078" s="34" t="n">
        <x:v>70</x:v>
      </x:c>
      <x:c r="R1078" s="33" t="n">
        <x:v>42</x:v>
      </x:c>
      <x:c r="S1078" s="38" t="n">
        <x:v>2.94</x:v>
      </x:c>
      <x:c r="T1078" s="38" t="n">
        <x:v>0.147</x:v>
      </x:c>
      <x:c r="U1078" s="38" t="n">
        <x:v>0.13965000000000002</x:v>
      </x:c>
      <x:c r="V1078" s="38" t="n">
        <x:v>2.65335</x:v>
      </x:c>
      <x:c r="W1078" s="38" t="n">
        <x:v>1.0535</x:v>
      </x:c>
      <x:c r="X1078" s="38" t="n">
        <x:v>0</x:v>
      </x:c>
      <x:c r="Y1078" s="38" t="n">
        <x:v>0.3980025</x:v>
      </x:c>
      <x:c r="Z1078" s="38" t="n">
        <x:v>0.364</x:v>
      </x:c>
      <x:c r="AA1078" s="38" t="n">
        <x:v>0.1505</x:v>
      </x:c>
      <x:c r="AB1078" s="38" t="n">
        <x:v>0.00196</x:v>
      </x:c>
      <x:c r="AC1078" s="38" t="n">
        <x:v>0.6853875</x:v>
      </x:c>
      <x:c r="AD1078" s="28" t="n">
        <x:v>0.25831024930747926</x:v>
      </x:c>
    </x:row>
    <x:row r="1079">
      <x:c r="A1079" s="32" t="n">
        <x:v>46034</x:v>
      </x:c>
      <x:c r="B1079" s="32" t="n">
        <x:v>46023</x:v>
      </x:c>
      <x:c r="C1079" t="str">
        <x:v>Jan 2026</x:v>
      </x:c>
      <x:c r="D1079" t="str">
        <x:v>Forecast</x:v>
      </x:c>
      <x:c r="E1079" t="str">
        <x:v>DB-104</x:v>
      </x:c>
      <x:c r="F1079" t="str">
        <x:v>SunNest Cooling Towel</x:v>
      </x:c>
      <x:c r="G1079" t="str">
        <x:v>Consumable repeat</x:v>
      </x:c>
      <x:c r="H1079" t="str">
        <x:v>Summer peak</x:v>
      </x:c>
      <x:c r="I1079" t="str">
        <x:v>Active</x:v>
      </x:c>
      <x:c r="J1079" t="str">
        <x:v>Wholesale</x:v>
      </x:c>
      <x:c r="K1079" t="str">
        <x:v>Retailer</x:v>
      </x:c>
      <x:c r="L1079" t="str">
        <x:v>All Geographies</x:v>
      </x:c>
      <x:c r="M1079" s="34" t="n">
        <x:v>1073</x:v>
      </x:c>
      <x:c r="N1079" s="28" t="n">
        <x:v>0.018216000000000003</x:v>
      </x:c>
      <x:c r="O1079" s="34" t="n">
        <x:v>20</x:v>
      </x:c>
      <x:c r="P1079" s="34" t="n">
        <x:v>1</x:v>
      </x:c>
      <x:c r="Q1079" s="34" t="n">
        <x:v>20</x:v>
      </x:c>
      <x:c r="R1079" s="33" t="n">
        <x:v>42</x:v>
      </x:c>
      <x:c r="S1079" s="38" t="n">
        <x:v>0.84</x:v>
      </x:c>
      <x:c r="T1079" s="38" t="n">
        <x:v>0.294</x:v>
      </x:c>
      <x:c r="U1079" s="38" t="n">
        <x:v>0.027300000000000005</x:v>
      </x:c>
      <x:c r="V1079" s="38" t="n">
        <x:v>0.5187</x:v>
      </x:c>
      <x:c r="W1079" s="38" t="n">
        <x:v>0.301</x:v>
      </x:c>
      <x:c r="X1079" s="38" t="n">
        <x:v>0</x:v>
      </x:c>
      <x:c r="Y1079" s="38" t="n">
        <x:v>0</x:v>
      </x:c>
      <x:c r="Z1079" s="38" t="n">
        <x:v>0.046</x:v>
      </x:c>
      <x:c r="AA1079" s="38" t="n">
        <x:v>0.017</x:v>
      </x:c>
      <x:c r="AB1079" s="38" t="n">
        <x:v>0.00056</x:v>
      </x:c>
      <x:c r="AC1079" s="38" t="n">
        <x:v>0.15414000000000005</x:v>
      </x:c>
      <x:c r="AD1079" s="28" t="n">
        <x:v>0.2971659919028341</x:v>
      </x:c>
    </x:row>
    <x:row r="1080">
      <x:c r="A1080" s="32" t="n">
        <x:v>46034</x:v>
      </x:c>
      <x:c r="B1080" s="32" t="n">
        <x:v>46023</x:v>
      </x:c>
      <x:c r="C1080" t="str">
        <x:v>Jan 2026</x:v>
      </x:c>
      <x:c r="D1080" t="str">
        <x:v>Forecast</x:v>
      </x:c>
      <x:c r="E1080" t="str">
        <x:v>DB-104</x:v>
      </x:c>
      <x:c r="F1080" t="str">
        <x:v>SunNest Cooling Towel</x:v>
      </x:c>
      <x:c r="G1080" t="str">
        <x:v>Consumable repeat</x:v>
      </x:c>
      <x:c r="H1080" t="str">
        <x:v>Summer peak</x:v>
      </x:c>
      <x:c r="I1080" t="str">
        <x:v>Active</x:v>
      </x:c>
      <x:c r="J1080" t="str">
        <x:v>TikTok Shop</x:v>
      </x:c>
      <x:c r="K1080" t="str">
        <x:v>Social Commerce</x:v>
      </x:c>
      <x:c r="L1080" t="str">
        <x:v>All Geographies</x:v>
      </x:c>
      <x:c r="M1080" s="34" t="n">
        <x:v>716</x:v>
      </x:c>
      <x:c r="N1080" s="28" t="n">
        <x:v>0.0417312</x:v>
      </x:c>
      <x:c r="O1080" s="34" t="n">
        <x:v>30</x:v>
      </x:c>
      <x:c r="P1080" s="34" t="n">
        <x:v>1</x:v>
      </x:c>
      <x:c r="Q1080" s="34" t="n">
        <x:v>30</x:v>
      </x:c>
      <x:c r="R1080" s="33" t="n">
        <x:v>42</x:v>
      </x:c>
      <x:c r="S1080" s="38" t="n">
        <x:v>1.26</x:v>
      </x:c>
      <x:c r="T1080" s="38" t="n">
        <x:v>0.1512</x:v>
      </x:c>
      <x:c r="U1080" s="38" t="n">
        <x:v>0.05544</x:v>
      </x:c>
      <x:c r="V1080" s="38" t="n">
        <x:v>1.05336</x:v>
      </x:c>
      <x:c r="W1080" s="38" t="n">
        <x:v>0.4515</x:v>
      </x:c>
      <x:c r="X1080" s="38" t="n">
        <x:v>0.030547440000000002</x:v>
      </x:c>
      <x:c r="Y1080" s="38" t="n">
        <x:v>0.0632016</x:v>
      </x:c>
      <x:c r="Z1080" s="38" t="n">
        <x:v>0.153</x:v>
      </x:c>
      <x:c r="AA1080" s="38" t="n">
        <x:v>0.0525</x:v>
      </x:c>
      <x:c r="AB1080" s="38" t="n">
        <x:v>0.0008399999999999999</x:v>
      </x:c>
      <x:c r="AC1080" s="38" t="n">
        <x:v>0.3017709600000001</x:v>
      </x:c>
      <x:c r="AD1080" s="28" t="n">
        <x:v>0.28648416495784923</x:v>
      </x:c>
    </x:row>
    <x:row r="1081">
      <x:c r="A1081" s="32" t="n">
        <x:v>46034</x:v>
      </x:c>
      <x:c r="B1081" s="32" t="n">
        <x:v>46023</x:v>
      </x:c>
      <x:c r="C1081" t="str">
        <x:v>Jan 2026</x:v>
      </x:c>
      <x:c r="D1081" t="str">
        <x:v>Forecast</x:v>
      </x:c>
      <x:c r="E1081" t="str">
        <x:v>DB-105</x:v>
      </x:c>
      <x:c r="F1081" t="str">
        <x:v>DreamFuel Refill Pack</x:v>
      </x:c>
      <x:c r="G1081" t="str">
        <x:v>Subscription</x:v>
      </x:c>
      <x:c r="H1081" t="str">
        <x:v>None</x:v>
      </x:c>
      <x:c r="I1081" t="str">
        <x:v>Active</x:v>
      </x:c>
      <x:c r="J1081" t="str">
        <x:v>Shopify DTC</x:v>
      </x:c>
      <x:c r="K1081" t="str">
        <x:v>Consumer</x:v>
      </x:c>
      <x:c r="L1081" t="str">
        <x:v>All Geographies</x:v>
      </x:c>
      <x:c r="M1081" s="34" t="n">
        <x:v>5051</x:v>
      </x:c>
      <x:c r="N1081" s="28" t="n">
        <x:v>0.03888</x:v>
      </x:c>
      <x:c r="O1081" s="34" t="n">
        <x:v>196</x:v>
      </x:c>
      <x:c r="P1081" s="34" t="n">
        <x:v>1</x:v>
      </x:c>
      <x:c r="Q1081" s="34" t="n">
        <x:v>196</x:v>
      </x:c>
      <x:c r="R1081" s="33" t="n">
        <x:v>56</x:v>
      </x:c>
      <x:c r="S1081" s="38" t="n">
        <x:v>10.976</x:v>
      </x:c>
      <x:c r="T1081" s="38" t="n">
        <x:v>0.8780800000000001</x:v>
      </x:c>
      <x:c r="U1081" s="38" t="n">
        <x:v>0.2019584</x:v>
      </x:c>
      <x:c r="V1081" s="38" t="n">
        <x:v>9.8959616</x:v>
      </x:c>
      <x:c r="W1081" s="38" t="n">
        <x:v>3.64952</x:v>
      </x:c>
      <x:c r="X1081" s="38" t="n">
        <x:v>0.2869828864</x:v>
      </x:c>
      <x:c r="Y1081" s="38" t="n">
        <x:v>0</x:v>
      </x:c>
      <x:c r="Z1081" s="38" t="n">
        <x:v>0.8134000000000001</x:v>
      </x:c>
      <x:c r="AA1081" s="38" t="n">
        <x:v>0.32339999999999997</x:v>
      </x:c>
      <x:c r="AB1081" s="38" t="n">
        <x:v>0.0007055999999999999</x:v>
      </x:c>
      <x:c r="AC1081" s="38" t="n">
        <x:v>4.8219531136</x:v>
      </x:c>
      <x:c r="AD1081" s="28" t="n">
        <x:v>0.4872647357079478</x:v>
      </x:c>
    </x:row>
    <x:row r="1082">
      <x:c r="A1082" s="32" t="n">
        <x:v>46034</x:v>
      </x:c>
      <x:c r="B1082" s="32" t="n">
        <x:v>46023</x:v>
      </x:c>
      <x:c r="C1082" t="str">
        <x:v>Jan 2026</x:v>
      </x:c>
      <x:c r="D1082" t="str">
        <x:v>Forecast</x:v>
      </x:c>
      <x:c r="E1082" t="str">
        <x:v>DB-105</x:v>
      </x:c>
      <x:c r="F1082" t="str">
        <x:v>DreamFuel Refill Pack</x:v>
      </x:c>
      <x:c r="G1082" t="str">
        <x:v>Subscription</x:v>
      </x:c>
      <x:c r="H1082" t="str">
        <x:v>None</x:v>
      </x:c>
      <x:c r="I1082" t="str">
        <x:v>Active</x:v>
      </x:c>
      <x:c r="J1082" t="str">
        <x:v>Amazon Marketplace</x:v>
      </x:c>
      <x:c r="K1082" t="str">
        <x:v>Marketplace Consumer</x:v>
      </x:c>
      <x:c r="L1082" t="str">
        <x:v>All Geographies</x:v>
      </x:c>
      <x:c r="M1082" s="34" t="n">
        <x:v>2525</x:v>
      </x:c>
      <x:c r="N1082" s="28" t="n">
        <x:v>0.0458784</x:v>
      </x:c>
      <x:c r="O1082" s="34" t="n">
        <x:v>116</x:v>
      </x:c>
      <x:c r="P1082" s="34" t="n">
        <x:v>1</x:v>
      </x:c>
      <x:c r="Q1082" s="34" t="n">
        <x:v>116</x:v>
      </x:c>
      <x:c r="R1082" s="33" t="n">
        <x:v>56</x:v>
      </x:c>
      <x:c r="S1082" s="38" t="n">
        <x:v>6.496</x:v>
      </x:c>
      <x:c r="T1082" s="38" t="n">
        <x:v>0.32480000000000003</x:v>
      </x:c>
      <x:c r="U1082" s="38" t="n">
        <x:v>0.12342400000000002</x:v>
      </x:c>
      <x:c r="V1082" s="38" t="n">
        <x:v>6.047776000000001</x:v>
      </x:c>
      <x:c r="W1082" s="38" t="n">
        <x:v>2.15992</x:v>
      </x:c>
      <x:c r="X1082" s="38" t="n">
        <x:v>0</x:v>
      </x:c>
      <x:c r="Y1082" s="38" t="n">
        <x:v>0.9071664</x:v>
      </x:c>
      <x:c r="Z1082" s="38" t="n">
        <x:v>0.6032000000000001</x:v>
      </x:c>
      <x:c r="AA1082" s="38" t="n">
        <x:v>0.24939999999999998</x:v>
      </x:c>
      <x:c r="AB1082" s="38" t="n">
        <x:v>0.0004176</x:v>
      </x:c>
      <x:c r="AC1082" s="38" t="n">
        <x:v>2.1276720000000005</x:v>
      </x:c>
      <x:c r="AD1082" s="28" t="n">
        <x:v>0.35181064907165877</x:v>
      </x:c>
    </x:row>
    <x:row r="1083">
      <x:c r="A1083" s="32" t="n">
        <x:v>46034</x:v>
      </x:c>
      <x:c r="B1083" s="32" t="n">
        <x:v>46023</x:v>
      </x:c>
      <x:c r="C1083" t="str">
        <x:v>Jan 2026</x:v>
      </x:c>
      <x:c r="D1083" t="str">
        <x:v>Forecast</x:v>
      </x:c>
      <x:c r="E1083" t="str">
        <x:v>DB-105</x:v>
      </x:c>
      <x:c r="F1083" t="str">
        <x:v>DreamFuel Refill Pack</x:v>
      </x:c>
      <x:c r="G1083" t="str">
        <x:v>Subscription</x:v>
      </x:c>
      <x:c r="H1083" t="str">
        <x:v>None</x:v>
      </x:c>
      <x:c r="I1083" t="str">
        <x:v>Active</x:v>
      </x:c>
      <x:c r="J1083" t="str">
        <x:v>Wholesale</x:v>
      </x:c>
      <x:c r="K1083" t="str">
        <x:v>Retailer</x:v>
      </x:c>
      <x:c r="L1083" t="str">
        <x:v>All Geographies</x:v>
      </x:c>
      <x:c r="M1083" s="34" t="n">
        <x:v>1515</x:v>
      </x:c>
      <x:c r="N1083" s="28" t="n">
        <x:v>0.021384000000000004</x:v>
      </x:c>
      <x:c r="O1083" s="34" t="n">
        <x:v>32</x:v>
      </x:c>
      <x:c r="P1083" s="34" t="n">
        <x:v>1</x:v>
      </x:c>
      <x:c r="Q1083" s="34" t="n">
        <x:v>32</x:v>
      </x:c>
      <x:c r="R1083" s="33" t="n">
        <x:v>56</x:v>
      </x:c>
      <x:c r="S1083" s="38" t="n">
        <x:v>1.792</x:v>
      </x:c>
      <x:c r="T1083" s="38" t="n">
        <x:v>0.6272</x:v>
      </x:c>
      <x:c r="U1083" s="38" t="n">
        <x:v>0.023296</x:v>
      </x:c>
      <x:c r="V1083" s="38" t="n">
        <x:v>1.141504</x:v>
      </x:c>
      <x:c r="W1083" s="38" t="n">
        <x:v>0.59584</x:v>
      </x:c>
      <x:c r="X1083" s="38" t="n">
        <x:v>0</x:v>
      </x:c>
      <x:c r="Y1083" s="38" t="n">
        <x:v>0</x:v>
      </x:c>
      <x:c r="Z1083" s="38" t="n">
        <x:v>0.0736</x:v>
      </x:c>
      <x:c r="AA1083" s="38" t="n">
        <x:v>0.0272</x:v>
      </x:c>
      <x:c r="AB1083" s="38" t="n">
        <x:v>0.0001152</x:v>
      </x:c>
      <x:c r="AC1083" s="38" t="n">
        <x:v>0.44474880000000006</x:v>
      </x:c>
      <x:c r="AD1083" s="28" t="n">
        <x:v>0.3896165059430366</x:v>
      </x:c>
    </x:row>
    <x:row r="1084">
      <x:c r="A1084" s="32" t="n">
        <x:v>46034</x:v>
      </x:c>
      <x:c r="B1084" s="32" t="n">
        <x:v>46023</x:v>
      </x:c>
      <x:c r="C1084" t="str">
        <x:v>Jan 2026</x:v>
      </x:c>
      <x:c r="D1084" t="str">
        <x:v>Forecast</x:v>
      </x:c>
      <x:c r="E1084" t="str">
        <x:v>DB-105</x:v>
      </x:c>
      <x:c r="F1084" t="str">
        <x:v>DreamFuel Refill Pack</x:v>
      </x:c>
      <x:c r="G1084" t="str">
        <x:v>Subscription</x:v>
      </x:c>
      <x:c r="H1084" t="str">
        <x:v>None</x:v>
      </x:c>
      <x:c r="I1084" t="str">
        <x:v>Active</x:v>
      </x:c>
      <x:c r="J1084" t="str">
        <x:v>TikTok Shop</x:v>
      </x:c>
      <x:c r="K1084" t="str">
        <x:v>Social Commerce</x:v>
      </x:c>
      <x:c r="L1084" t="str">
        <x:v>All Geographies</x:v>
      </x:c>
      <x:c r="M1084" s="34" t="n">
        <x:v>1010</x:v>
      </x:c>
      <x:c r="N1084" s="28" t="n">
        <x:v>0.0489888</x:v>
      </x:c>
      <x:c r="O1084" s="34" t="n">
        <x:v>49</x:v>
      </x:c>
      <x:c r="P1084" s="34" t="n">
        <x:v>1</x:v>
      </x:c>
      <x:c r="Q1084" s="34" t="n">
        <x:v>49</x:v>
      </x:c>
      <x:c r="R1084" s="33" t="n">
        <x:v>56</x:v>
      </x:c>
      <x:c r="S1084" s="38" t="n">
        <x:v>2.744</x:v>
      </x:c>
      <x:c r="T1084" s="38" t="n">
        <x:v>0.32928</x:v>
      </x:c>
      <x:c r="U1084" s="38" t="n">
        <x:v>0.0482944</x:v>
      </x:c>
      <x:c r="V1084" s="38" t="n">
        <x:v>2.3664256</x:v>
      </x:c>
      <x:c r="W1084" s="38" t="n">
        <x:v>0.91238</x:v>
      </x:c>
      <x:c r="X1084" s="38" t="n">
        <x:v>0.0686263424</x:v>
      </x:c>
      <x:c r="Y1084" s="38" t="n">
        <x:v>0.141985536</x:v>
      </x:c>
      <x:c r="Z1084" s="38" t="n">
        <x:v>0.24989999999999998</x:v>
      </x:c>
      <x:c r="AA1084" s="38" t="n">
        <x:v>0.08575</x:v>
      </x:c>
      <x:c r="AB1084" s="38" t="n">
        <x:v>0.00017639999999999998</x:v>
      </x:c>
      <x:c r="AC1084" s="38" t="n">
        <x:v>0.9076073216</x:v>
      </x:c>
      <x:c r="AD1084" s="28" t="n">
        <x:v>0.3835351179432812</x:v>
      </x:c>
    </x:row>
    <x:row r="1085">
      <x:c r="A1085" s="32" t="n">
        <x:v>46041</x:v>
      </x:c>
      <x:c r="B1085" s="32" t="n">
        <x:v>46023</x:v>
      </x:c>
      <x:c r="C1085" t="str">
        <x:v>Jan 2026</x:v>
      </x:c>
      <x:c r="D1085" t="str">
        <x:v>Forecast</x:v>
      </x:c>
      <x:c r="E1085" t="str">
        <x:v>DB-101</x:v>
      </x:c>
      <x:c r="F1085" t="str">
        <x:v>AeroSip Bottle</x:v>
      </x:c>
      <x:c r="G1085" t="str">
        <x:v>One-time purchase</x:v>
      </x:c>
      <x:c r="H1085" t="str">
        <x:v>None</x:v>
      </x:c>
      <x:c r="I1085" t="str">
        <x:v>Active</x:v>
      </x:c>
      <x:c r="J1085" t="str">
        <x:v>Shopify DTC</x:v>
      </x:c>
      <x:c r="K1085" t="str">
        <x:v>Consumer</x:v>
      </x:c>
      <x:c r="L1085" t="str">
        <x:v>All Geographies</x:v>
      </x:c>
      <x:c r="M1085" s="34" t="n">
        <x:v>7296</x:v>
      </x:c>
      <x:c r="N1085" s="28" t="n">
        <x:v>0.034199999999999994</x:v>
      </x:c>
      <x:c r="O1085" s="34" t="n">
        <x:v>250</x:v>
      </x:c>
      <x:c r="P1085" s="34" t="n">
        <x:v>1</x:v>
      </x:c>
      <x:c r="Q1085" s="34" t="n">
        <x:v>250</x:v>
      </x:c>
      <x:c r="R1085" s="33" t="n">
        <x:v>29</x:v>
      </x:c>
      <x:c r="S1085" s="38" t="n">
        <x:v>7.25</x:v>
      </x:c>
      <x:c r="T1085" s="38" t="n">
        <x:v>0.58</x:v>
      </x:c>
      <x:c r="U1085" s="38" t="n">
        <x:v>0.30015</x:v>
      </x:c>
      <x:c r="V1085" s="38" t="n">
        <x:v>6.36985</x:v>
      </x:c>
      <x:c r="W1085" s="38" t="n">
        <x:v>2.7</x:v>
      </x:c>
      <x:c r="X1085" s="38" t="n">
        <x:v>0.18472565</x:v>
      </x:c>
      <x:c r="Y1085" s="38" t="n">
        <x:v>0</x:v>
      </x:c>
      <x:c r="Z1085" s="38" t="n">
        <x:v>1.0375</x:v>
      </x:c>
      <x:c r="AA1085" s="38" t="n">
        <x:v>0.4125</x:v>
      </x:c>
      <x:c r="AB1085" s="38" t="n">
        <x:v>0.009</x:v>
      </x:c>
      <x:c r="AC1085" s="38" t="n">
        <x:v>2.0261243499999995</x:v>
      </x:c>
      <x:c r="AD1085" s="28" t="n">
        <x:v>0.31808038650831644</x:v>
      </x:c>
    </x:row>
    <x:row r="1086">
      <x:c r="A1086" s="32" t="n">
        <x:v>46041</x:v>
      </x:c>
      <x:c r="B1086" s="32" t="n">
        <x:v>46023</x:v>
      </x:c>
      <x:c r="C1086" t="str">
        <x:v>Jan 2026</x:v>
      </x:c>
      <x:c r="D1086" t="str">
        <x:v>Forecast</x:v>
      </x:c>
      <x:c r="E1086" t="str">
        <x:v>DB-101</x:v>
      </x:c>
      <x:c r="F1086" t="str">
        <x:v>AeroSip Bottle</x:v>
      </x:c>
      <x:c r="G1086" t="str">
        <x:v>One-time purchase</x:v>
      </x:c>
      <x:c r="H1086" t="str">
        <x:v>None</x:v>
      </x:c>
      <x:c r="I1086" t="str">
        <x:v>Active</x:v>
      </x:c>
      <x:c r="J1086" t="str">
        <x:v>Amazon Marketplace</x:v>
      </x:c>
      <x:c r="K1086" t="str">
        <x:v>Marketplace Consumer</x:v>
      </x:c>
      <x:c r="L1086" t="str">
        <x:v>All Geographies</x:v>
      </x:c>
      <x:c r="M1086" s="34" t="n">
        <x:v>3648</x:v>
      </x:c>
      <x:c r="N1086" s="28" t="n">
        <x:v>0.040355999999999996</x:v>
      </x:c>
      <x:c r="O1086" s="34" t="n">
        <x:v>147</x:v>
      </x:c>
      <x:c r="P1086" s="34" t="n">
        <x:v>1</x:v>
      </x:c>
      <x:c r="Q1086" s="34" t="n">
        <x:v>147</x:v>
      </x:c>
      <x:c r="R1086" s="33" t="n">
        <x:v>29</x:v>
      </x:c>
      <x:c r="S1086" s="38" t="n">
        <x:v>4.263</x:v>
      </x:c>
      <x:c r="T1086" s="38" t="n">
        <x:v>0.21315</x:v>
      </x:c>
      <x:c r="U1086" s="38" t="n">
        <x:v>0.18224325</x:v>
      </x:c>
      <x:c r="V1086" s="38" t="n">
        <x:v>3.86760675</x:v>
      </x:c>
      <x:c r="W1086" s="38" t="n">
        <x:v>1.5876000000000001</x:v>
      </x:c>
      <x:c r="X1086" s="38" t="n">
        <x:v>0</x:v>
      </x:c>
      <x:c r="Y1086" s="38" t="n">
        <x:v>0.5801410125</x:v>
      </x:c>
      <x:c r="Z1086" s="38" t="n">
        <x:v>0.7644</x:v>
      </x:c>
      <x:c r="AA1086" s="38" t="n">
        <x:v>0.31605</x:v>
      </x:c>
      <x:c r="AB1086" s="38" t="n">
        <x:v>0.005292</x:v>
      </x:c>
      <x:c r="AC1086" s="38" t="n">
        <x:v>0.6141237375000003</x:v>
      </x:c>
      <x:c r="AD1086" s="28" t="n">
        <x:v>0.15878649955815705</x:v>
      </x:c>
    </x:row>
    <x:row r="1087">
      <x:c r="A1087" s="32" t="n">
        <x:v>46041</x:v>
      </x:c>
      <x:c r="B1087" s="32" t="n">
        <x:v>46023</x:v>
      </x:c>
      <x:c r="C1087" t="str">
        <x:v>Jan 2026</x:v>
      </x:c>
      <x:c r="D1087" t="str">
        <x:v>Forecast</x:v>
      </x:c>
      <x:c r="E1087" t="str">
        <x:v>DB-101</x:v>
      </x:c>
      <x:c r="F1087" t="str">
        <x:v>AeroSip Bottle</x:v>
      </x:c>
      <x:c r="G1087" t="str">
        <x:v>One-time purchase</x:v>
      </x:c>
      <x:c r="H1087" t="str">
        <x:v>None</x:v>
      </x:c>
      <x:c r="I1087" t="str">
        <x:v>Active</x:v>
      </x:c>
      <x:c r="J1087" t="str">
        <x:v>Wholesale</x:v>
      </x:c>
      <x:c r="K1087" t="str">
        <x:v>Retailer</x:v>
      </x:c>
      <x:c r="L1087" t="str">
        <x:v>All Geographies</x:v>
      </x:c>
      <x:c r="M1087" s="34" t="n">
        <x:v>2189</x:v>
      </x:c>
      <x:c r="N1087" s="28" t="n">
        <x:v>0.01881</x:v>
      </x:c>
      <x:c r="O1087" s="34" t="n">
        <x:v>41</x:v>
      </x:c>
      <x:c r="P1087" s="34" t="n">
        <x:v>1</x:v>
      </x:c>
      <x:c r="Q1087" s="34" t="n">
        <x:v>41</x:v>
      </x:c>
      <x:c r="R1087" s="33" t="n">
        <x:v>29</x:v>
      </x:c>
      <x:c r="S1087" s="38" t="n">
        <x:v>1.189</x:v>
      </x:c>
      <x:c r="T1087" s="38" t="n">
        <x:v>0.41615</x:v>
      </x:c>
      <x:c r="U1087" s="38" t="n">
        <x:v>0.034778250000000004</x:v>
      </x:c>
      <x:c r="V1087" s="38" t="n">
        <x:v>0.73807175</x:v>
      </x:c>
      <x:c r="W1087" s="38" t="n">
        <x:v>0.4428</x:v>
      </x:c>
      <x:c r="X1087" s="38" t="n">
        <x:v>0</x:v>
      </x:c>
      <x:c r="Y1087" s="38" t="n">
        <x:v>0</x:v>
      </x:c>
      <x:c r="Z1087" s="38" t="n">
        <x:v>0.0943</x:v>
      </x:c>
      <x:c r="AA1087" s="38" t="n">
        <x:v>0.03485</x:v>
      </x:c>
      <x:c r="AB1087" s="38" t="n">
        <x:v>0.0014759999999999999</x:v>
      </x:c>
      <x:c r="AC1087" s="38" t="n">
        <x:v>0.16464575</x:v>
      </x:c>
      <x:c r="AD1087" s="28" t="n">
        <x:v>0.22307553432305194</x:v>
      </x:c>
    </x:row>
    <x:row r="1088">
      <x:c r="A1088" s="32" t="n">
        <x:v>46041</x:v>
      </x:c>
      <x:c r="B1088" s="32" t="n">
        <x:v>46023</x:v>
      </x:c>
      <x:c r="C1088" t="str">
        <x:v>Jan 2026</x:v>
      </x:c>
      <x:c r="D1088" t="str">
        <x:v>Forecast</x:v>
      </x:c>
      <x:c r="E1088" t="str">
        <x:v>DB-101</x:v>
      </x:c>
      <x:c r="F1088" t="str">
        <x:v>AeroSip Bottle</x:v>
      </x:c>
      <x:c r="G1088" t="str">
        <x:v>One-time purchase</x:v>
      </x:c>
      <x:c r="H1088" t="str">
        <x:v>None</x:v>
      </x:c>
      <x:c r="I1088" t="str">
        <x:v>Active</x:v>
      </x:c>
      <x:c r="J1088" t="str">
        <x:v>TikTok Shop</x:v>
      </x:c>
      <x:c r="K1088" t="str">
        <x:v>Social Commerce</x:v>
      </x:c>
      <x:c r="L1088" t="str">
        <x:v>All Geographies</x:v>
      </x:c>
      <x:c r="M1088" s="34" t="n">
        <x:v>1459</x:v>
      </x:c>
      <x:c r="N1088" s="28" t="n">
        <x:v>0.043092</x:v>
      </x:c>
      <x:c r="O1088" s="34" t="n">
        <x:v>63</x:v>
      </x:c>
      <x:c r="P1088" s="34" t="n">
        <x:v>1</x:v>
      </x:c>
      <x:c r="Q1088" s="34" t="n">
        <x:v>63</x:v>
      </x:c>
      <x:c r="R1088" s="33" t="n">
        <x:v>29</x:v>
      </x:c>
      <x:c r="S1088" s="38" t="n">
        <x:v>1.827</x:v>
      </x:c>
      <x:c r="T1088" s="38" t="n">
        <x:v>0.21924</x:v>
      </x:c>
      <x:c r="U1088" s="38" t="n">
        <x:v>0.07234919999999999</x:v>
      </x:c>
      <x:c r="V1088" s="38" t="n">
        <x:v>1.5354108</x:v>
      </x:c>
      <x:c r="W1088" s="38" t="n">
        <x:v>0.6804000000000001</x:v>
      </x:c>
      <x:c r="X1088" s="38" t="n">
        <x:v>0.044526913200000004</x:v>
      </x:c>
      <x:c r="Y1088" s="38" t="n">
        <x:v>0.09212464799999999</x:v>
      </x:c>
      <x:c r="Z1088" s="38" t="n">
        <x:v>0.3213</x:v>
      </x:c>
      <x:c r="AA1088" s="38" t="n">
        <x:v>0.11025</x:v>
      </x:c>
      <x:c r="AB1088" s="38" t="n">
        <x:v>0.0022679999999999996</x:v>
      </x:c>
      <x:c r="AC1088" s="38" t="n">
        <x:v>0.2845412387999999</x:v>
      </x:c>
      <x:c r="AD1088" s="28" t="n">
        <x:v>0.18531928966501987</x:v>
      </x:c>
    </x:row>
    <x:row r="1089">
      <x:c r="A1089" s="32" t="n">
        <x:v>46041</x:v>
      </x:c>
      <x:c r="B1089" s="32" t="n">
        <x:v>46023</x:v>
      </x:c>
      <x:c r="C1089" t="str">
        <x:v>Jan 2026</x:v>
      </x:c>
      <x:c r="D1089" t="str">
        <x:v>Forecast</x:v>
      </x:c>
      <x:c r="E1089" t="str">
        <x:v>DB-102</x:v>
      </x:c>
      <x:c r="F1089" t="str">
        <x:v>GlowPatch Balm</x:v>
      </x:c>
      <x:c r="G1089" t="str">
        <x:v>Consumable repeat</x:v>
      </x:c>
      <x:c r="H1089" t="str">
        <x:v>None</x:v>
      </x:c>
      <x:c r="I1089" t="str">
        <x:v>Active</x:v>
      </x:c>
      <x:c r="J1089" t="str">
        <x:v>Shopify DTC</x:v>
      </x:c>
      <x:c r="K1089" t="str">
        <x:v>Consumer</x:v>
      </x:c>
      <x:c r="L1089" t="str">
        <x:v>All Geographies</x:v>
      </x:c>
      <x:c r="M1089" s="34" t="n">
        <x:v>5893</x:v>
      </x:c>
      <x:c r="N1089" s="28" t="n">
        <x:v>0.04248</x:v>
      </x:c>
      <x:c r="O1089" s="34" t="n">
        <x:v>250</x:v>
      </x:c>
      <x:c r="P1089" s="34" t="n">
        <x:v>1</x:v>
      </x:c>
      <x:c r="Q1089" s="34" t="n">
        <x:v>250</x:v>
      </x:c>
      <x:c r="R1089" s="33" t="n">
        <x:v>18</x:v>
      </x:c>
      <x:c r="S1089" s="38" t="n">
        <x:v>4.5</x:v>
      </x:c>
      <x:c r="T1089" s="38" t="n">
        <x:v>0.36</x:v>
      </x:c>
      <x:c r="U1089" s="38" t="n">
        <x:v>0.1035</x:v>
      </x:c>
      <x:c r="V1089" s="38" t="n">
        <x:v>4.036499999999999</x:v>
      </x:c>
      <x:c r="W1089" s="38" t="n">
        <x:v>1.3525</x:v>
      </x:c>
      <x:c r="X1089" s="38" t="n">
        <x:v>0.11705849999999998</x:v>
      </x:c>
      <x:c r="Y1089" s="38" t="n">
        <x:v>0</x:v>
      </x:c>
      <x:c r="Z1089" s="38" t="n">
        <x:v>1.0375</x:v>
      </x:c>
      <x:c r="AA1089" s="38" t="n">
        <x:v>0.4125</x:v>
      </x:c>
      <x:c r="AB1089" s="38" t="n">
        <x:v>0.0015</x:v>
      </x:c>
      <x:c r="AC1089" s="38" t="n">
        <x:v>1.1154414999999989</x:v>
      </x:c>
      <x:c r="AD1089" s="28" t="n">
        <x:v>0.2763387835996529</x:v>
      </x:c>
    </x:row>
    <x:row r="1090">
      <x:c r="A1090" s="32" t="n">
        <x:v>46041</x:v>
      </x:c>
      <x:c r="B1090" s="32" t="n">
        <x:v>46023</x:v>
      </x:c>
      <x:c r="C1090" t="str">
        <x:v>Jan 2026</x:v>
      </x:c>
      <x:c r="D1090" t="str">
        <x:v>Forecast</x:v>
      </x:c>
      <x:c r="E1090" t="str">
        <x:v>DB-102</x:v>
      </x:c>
      <x:c r="F1090" t="str">
        <x:v>GlowPatch Balm</x:v>
      </x:c>
      <x:c r="G1090" t="str">
        <x:v>Consumable repeat</x:v>
      </x:c>
      <x:c r="H1090" t="str">
        <x:v>None</x:v>
      </x:c>
      <x:c r="I1090" t="str">
        <x:v>Active</x:v>
      </x:c>
      <x:c r="J1090" t="str">
        <x:v>Amazon Marketplace</x:v>
      </x:c>
      <x:c r="K1090" t="str">
        <x:v>Marketplace Consumer</x:v>
      </x:c>
      <x:c r="L1090" t="str">
        <x:v>All Geographies</x:v>
      </x:c>
      <x:c r="M1090" s="34" t="n">
        <x:v>2946</x:v>
      </x:c>
      <x:c r="N1090" s="28" t="n">
        <x:v>0.050126399999999995</x:v>
      </x:c>
      <x:c r="O1090" s="34" t="n">
        <x:v>148</x:v>
      </x:c>
      <x:c r="P1090" s="34" t="n">
        <x:v>1</x:v>
      </x:c>
      <x:c r="Q1090" s="34" t="n">
        <x:v>148</x:v>
      </x:c>
      <x:c r="R1090" s="33" t="n">
        <x:v>18</x:v>
      </x:c>
      <x:c r="S1090" s="38" t="n">
        <x:v>2.664</x:v>
      </x:c>
      <x:c r="T1090" s="38" t="n">
        <x:v>0.1332</x:v>
      </x:c>
      <x:c r="U1090" s="38" t="n">
        <x:v>0.06327</x:v>
      </x:c>
      <x:c r="V1090" s="38" t="n">
        <x:v>2.46753</x:v>
      </x:c>
      <x:c r="W1090" s="38" t="n">
        <x:v>0.8006800000000001</x:v>
      </x:c>
      <x:c r="X1090" s="38" t="n">
        <x:v>0</x:v>
      </x:c>
      <x:c r="Y1090" s="38" t="n">
        <x:v>0.3701295</x:v>
      </x:c>
      <x:c r="Z1090" s="38" t="n">
        <x:v>0.7696000000000001</x:v>
      </x:c>
      <x:c r="AA1090" s="38" t="n">
        <x:v>0.3182</x:v>
      </x:c>
      <x:c r="AB1090" s="38" t="n">
        <x:v>0.0008879999999999999</x:v>
      </x:c>
      <x:c r="AC1090" s="38" t="n">
        <x:v>0.2080324999999999</x:v>
      </x:c>
      <x:c r="AD1090" s="28" t="n">
        <x:v>0.084307992202729</x:v>
      </x:c>
    </x:row>
    <x:row r="1091">
      <x:c r="A1091" s="32" t="n">
        <x:v>46041</x:v>
      </x:c>
      <x:c r="B1091" s="32" t="n">
        <x:v>46023</x:v>
      </x:c>
      <x:c r="C1091" t="str">
        <x:v>Jan 2026</x:v>
      </x:c>
      <x:c r="D1091" t="str">
        <x:v>Forecast</x:v>
      </x:c>
      <x:c r="E1091" t="str">
        <x:v>DB-102</x:v>
      </x:c>
      <x:c r="F1091" t="str">
        <x:v>GlowPatch Balm</x:v>
      </x:c>
      <x:c r="G1091" t="str">
        <x:v>Consumable repeat</x:v>
      </x:c>
      <x:c r="H1091" t="str">
        <x:v>None</x:v>
      </x:c>
      <x:c r="I1091" t="str">
        <x:v>Active</x:v>
      </x:c>
      <x:c r="J1091" t="str">
        <x:v>Wholesale</x:v>
      </x:c>
      <x:c r="K1091" t="str">
        <x:v>Retailer</x:v>
      </x:c>
      <x:c r="L1091" t="str">
        <x:v>All Geographies</x:v>
      </x:c>
      <x:c r="M1091" s="34" t="n">
        <x:v>1768</x:v>
      </x:c>
      <x:c r="N1091" s="28" t="n">
        <x:v>0.023364</x:v>
      </x:c>
      <x:c r="O1091" s="34" t="n">
        <x:v>41</x:v>
      </x:c>
      <x:c r="P1091" s="34" t="n">
        <x:v>1</x:v>
      </x:c>
      <x:c r="Q1091" s="34" t="n">
        <x:v>41</x:v>
      </x:c>
      <x:c r="R1091" s="33" t="n">
        <x:v>18</x:v>
      </x:c>
      <x:c r="S1091" s="38" t="n">
        <x:v>0.738</x:v>
      </x:c>
      <x:c r="T1091" s="38" t="n">
        <x:v>0.2583</x:v>
      </x:c>
      <x:c r="U1091" s="38" t="n">
        <x:v>0.011992500000000001</x:v>
      </x:c>
      <x:c r="V1091" s="38" t="n">
        <x:v>0.4677075</x:v>
      </x:c>
      <x:c r="W1091" s="38" t="n">
        <x:v>0.22181</x:v>
      </x:c>
      <x:c r="X1091" s="38" t="n">
        <x:v>0</x:v>
      </x:c>
      <x:c r="Y1091" s="38" t="n">
        <x:v>0</x:v>
      </x:c>
      <x:c r="Z1091" s="38" t="n">
        <x:v>0.0943</x:v>
      </x:c>
      <x:c r="AA1091" s="38" t="n">
        <x:v>0.03485</x:v>
      </x:c>
      <x:c r="AB1091" s="38" t="n">
        <x:v>0.000246</x:v>
      </x:c>
      <x:c r="AC1091" s="38" t="n">
        <x:v>0.11650150000000001</x:v>
      </x:c>
      <x:c r="AD1091" s="28" t="n">
        <x:v>0.2490905106289722</x:v>
      </x:c>
    </x:row>
    <x:row r="1092">
      <x:c r="A1092" s="32" t="n">
        <x:v>46041</x:v>
      </x:c>
      <x:c r="B1092" s="32" t="n">
        <x:v>46023</x:v>
      </x:c>
      <x:c r="C1092" t="str">
        <x:v>Jan 2026</x:v>
      </x:c>
      <x:c r="D1092" t="str">
        <x:v>Forecast</x:v>
      </x:c>
      <x:c r="E1092" t="str">
        <x:v>DB-102</x:v>
      </x:c>
      <x:c r="F1092" t="str">
        <x:v>GlowPatch Balm</x:v>
      </x:c>
      <x:c r="G1092" t="str">
        <x:v>Consumable repeat</x:v>
      </x:c>
      <x:c r="H1092" t="str">
        <x:v>None</x:v>
      </x:c>
      <x:c r="I1092" t="str">
        <x:v>Active</x:v>
      </x:c>
      <x:c r="J1092" t="str">
        <x:v>TikTok Shop</x:v>
      </x:c>
      <x:c r="K1092" t="str">
        <x:v>Social Commerce</x:v>
      </x:c>
      <x:c r="L1092" t="str">
        <x:v>All Geographies</x:v>
      </x:c>
      <x:c r="M1092" s="34" t="n">
        <x:v>1179</x:v>
      </x:c>
      <x:c r="N1092" s="28" t="n">
        <x:v>0.0535248</x:v>
      </x:c>
      <x:c r="O1092" s="34" t="n">
        <x:v>63</x:v>
      </x:c>
      <x:c r="P1092" s="34" t="n">
        <x:v>1</x:v>
      </x:c>
      <x:c r="Q1092" s="34" t="n">
        <x:v>63</x:v>
      </x:c>
      <x:c r="R1092" s="33" t="n">
        <x:v>18</x:v>
      </x:c>
      <x:c r="S1092" s="38" t="n">
        <x:v>1.134</x:v>
      </x:c>
      <x:c r="T1092" s="38" t="n">
        <x:v>0.13607999999999998</x:v>
      </x:c>
      <x:c r="U1092" s="38" t="n">
        <x:v>0.024947999999999998</x:v>
      </x:c>
      <x:c r="V1092" s="38" t="n">
        <x:v>0.972972</x:v>
      </x:c>
      <x:c r="W1092" s="38" t="n">
        <x:v>0.34082999999999997</x:v>
      </x:c>
      <x:c r="X1092" s="38" t="n">
        <x:v>0.028216188</x:v>
      </x:c>
      <x:c r="Y1092" s="38" t="n">
        <x:v>0.05837832</x:v>
      </x:c>
      <x:c r="Z1092" s="38" t="n">
        <x:v>0.3213</x:v>
      </x:c>
      <x:c r="AA1092" s="38" t="n">
        <x:v>0.11025</x:v>
      </x:c>
      <x:c r="AB1092" s="38" t="n">
        <x:v>0.000378</x:v>
      </x:c>
      <x:c r="AC1092" s="38" t="n">
        <x:v>0.11361949199999999</x:v>
      </x:c>
      <x:c r="AD1092" s="28" t="n">
        <x:v>0.11677570577570577</x:v>
      </x:c>
    </x:row>
    <x:row r="1093">
      <x:c r="A1093" s="32" t="n">
        <x:v>46041</x:v>
      </x:c>
      <x:c r="B1093" s="32" t="n">
        <x:v>46023</x:v>
      </x:c>
      <x:c r="C1093" t="str">
        <x:v>Jan 2026</x:v>
      </x:c>
      <x:c r="D1093" t="str">
        <x:v>Forecast</x:v>
      </x:c>
      <x:c r="E1093" t="str">
        <x:v>DB-103</x:v>
      </x:c>
      <x:c r="F1093" t="str">
        <x:v>EmberTrail Camp Mug</x:v>
      </x:c>
      <x:c r="G1093" t="str">
        <x:v>One-time purchase</x:v>
      </x:c>
      <x:c r="H1093" t="str">
        <x:v>Winter peak</x:v>
      </x:c>
      <x:c r="I1093" t="str">
        <x:v>Active</x:v>
      </x:c>
      <x:c r="J1093" t="str">
        <x:v>Shopify DTC</x:v>
      </x:c>
      <x:c r="K1093" t="str">
        <x:v>Consumer</x:v>
      </x:c>
      <x:c r="L1093" t="str">
        <x:v>All Geographies</x:v>
      </x:c>
      <x:c r="M1093" s="34" t="n">
        <x:v>6162</x:v>
      </x:c>
      <x:c r="N1093" s="28" t="n">
        <x:v>0.0324</x:v>
      </x:c>
      <x:c r="O1093" s="34" t="n">
        <x:v>200</x:v>
      </x:c>
      <x:c r="P1093" s="34" t="n">
        <x:v>1</x:v>
      </x:c>
      <x:c r="Q1093" s="34" t="n">
        <x:v>200</x:v>
      </x:c>
      <x:c r="R1093" s="33" t="n">
        <x:v>34</x:v>
      </x:c>
      <x:c r="S1093" s="38" t="n">
        <x:v>6.8</x:v>
      </x:c>
      <x:c r="T1093" s="38" t="n">
        <x:v>0.544</x:v>
      </x:c>
      <x:c r="U1093" s="38" t="n">
        <x:v>0.34408</x:v>
      </x:c>
      <x:c r="V1093" s="38" t="n">
        <x:v>5.91192</x:v>
      </x:c>
      <x:c r="W1093" s="38" t="n">
        <x:v>2.734</x:v>
      </x:c>
      <x:c r="X1093" s="38" t="n">
        <x:v>0.17144568000000002</x:v>
      </x:c>
      <x:c r="Y1093" s="38" t="n">
        <x:v>0</x:v>
      </x:c>
      <x:c r="Z1093" s="38" t="n">
        <x:v>0.8300000000000001</x:v>
      </x:c>
      <x:c r="AA1093" s="38" t="n">
        <x:v>0.33</x:v>
      </x:c>
      <x:c r="AB1093" s="38" t="n">
        <x:v>0.011200000000000002</x:v>
      </x:c>
      <x:c r="AC1093" s="38" t="n">
        <x:v>1.83527432</x:v>
      </x:c>
      <x:c r="AD1093" s="28" t="n">
        <x:v>0.31043625759482535</x:v>
      </x:c>
    </x:row>
    <x:row r="1094">
      <x:c r="A1094" s="32" t="n">
        <x:v>46041</x:v>
      </x:c>
      <x:c r="B1094" s="32" t="n">
        <x:v>46023</x:v>
      </x:c>
      <x:c r="C1094" t="str">
        <x:v>Jan 2026</x:v>
      </x:c>
      <x:c r="D1094" t="str">
        <x:v>Forecast</x:v>
      </x:c>
      <x:c r="E1094" t="str">
        <x:v>DB-103</x:v>
      </x:c>
      <x:c r="F1094" t="str">
        <x:v>EmberTrail Camp Mug</x:v>
      </x:c>
      <x:c r="G1094" t="str">
        <x:v>One-time purchase</x:v>
      </x:c>
      <x:c r="H1094" t="str">
        <x:v>Winter peak</x:v>
      </x:c>
      <x:c r="I1094" t="str">
        <x:v>Active</x:v>
      </x:c>
      <x:c r="J1094" t="str">
        <x:v>Amazon Marketplace</x:v>
      </x:c>
      <x:c r="K1094" t="str">
        <x:v>Marketplace Consumer</x:v>
      </x:c>
      <x:c r="L1094" t="str">
        <x:v>All Geographies</x:v>
      </x:c>
      <x:c r="M1094" s="34" t="n">
        <x:v>3081</x:v>
      </x:c>
      <x:c r="N1094" s="28" t="n">
        <x:v>0.038231999999999995</x:v>
      </x:c>
      <x:c r="O1094" s="34" t="n">
        <x:v>118</x:v>
      </x:c>
      <x:c r="P1094" s="34" t="n">
        <x:v>1</x:v>
      </x:c>
      <x:c r="Q1094" s="34" t="n">
        <x:v>118</x:v>
      </x:c>
      <x:c r="R1094" s="33" t="n">
        <x:v>34</x:v>
      </x:c>
      <x:c r="S1094" s="38" t="n">
        <x:v>4.012</x:v>
      </x:c>
      <x:c r="T1094" s="38" t="n">
        <x:v>0.2006</x:v>
      </x:c>
      <x:c r="U1094" s="38" t="n">
        <x:v>0.20962699999999998</x:v>
      </x:c>
      <x:c r="V1094" s="38" t="n">
        <x:v>3.6017729999999997</x:v>
      </x:c>
      <x:c r="W1094" s="38" t="n">
        <x:v>1.61306</x:v>
      </x:c>
      <x:c r="X1094" s="38" t="n">
        <x:v>0</x:v>
      </x:c>
      <x:c r="Y1094" s="38" t="n">
        <x:v>0.5402659499999999</x:v>
      </x:c>
      <x:c r="Z1094" s="38" t="n">
        <x:v>0.6136</x:v>
      </x:c>
      <x:c r="AA1094" s="38" t="n">
        <x:v>0.2537</x:v>
      </x:c>
      <x:c r="AB1094" s="38" t="n">
        <x:v>0.006608</x:v>
      </x:c>
      <x:c r="AC1094" s="38" t="n">
        <x:v>0.57453905</x:v>
      </x:c>
      <x:c r="AD1094" s="28" t="n">
        <x:v>0.15951561911314235</x:v>
      </x:c>
    </x:row>
    <x:row r="1095">
      <x:c r="A1095" s="32" t="n">
        <x:v>46041</x:v>
      </x:c>
      <x:c r="B1095" s="32" t="n">
        <x:v>46023</x:v>
      </x:c>
      <x:c r="C1095" t="str">
        <x:v>Jan 2026</x:v>
      </x:c>
      <x:c r="D1095" t="str">
        <x:v>Forecast</x:v>
      </x:c>
      <x:c r="E1095" t="str">
        <x:v>DB-103</x:v>
      </x:c>
      <x:c r="F1095" t="str">
        <x:v>EmberTrail Camp Mug</x:v>
      </x:c>
      <x:c r="G1095" t="str">
        <x:v>One-time purchase</x:v>
      </x:c>
      <x:c r="H1095" t="str">
        <x:v>Winter peak</x:v>
      </x:c>
      <x:c r="I1095" t="str">
        <x:v>Active</x:v>
      </x:c>
      <x:c r="J1095" t="str">
        <x:v>Wholesale</x:v>
      </x:c>
      <x:c r="K1095" t="str">
        <x:v>Retailer</x:v>
      </x:c>
      <x:c r="L1095" t="str">
        <x:v>All Geographies</x:v>
      </x:c>
      <x:c r="M1095" s="34" t="n">
        <x:v>1849</x:v>
      </x:c>
      <x:c r="N1095" s="28" t="n">
        <x:v>0.017820000000000003</x:v>
      </x:c>
      <x:c r="O1095" s="34" t="n">
        <x:v>33</x:v>
      </x:c>
      <x:c r="P1095" s="34" t="n">
        <x:v>1</x:v>
      </x:c>
      <x:c r="Q1095" s="34" t="n">
        <x:v>33</x:v>
      </x:c>
      <x:c r="R1095" s="33" t="n">
        <x:v>34</x:v>
      </x:c>
      <x:c r="S1095" s="38" t="n">
        <x:v>1.122</x:v>
      </x:c>
      <x:c r="T1095" s="38" t="n">
        <x:v>0.3927</x:v>
      </x:c>
      <x:c r="U1095" s="38" t="n">
        <x:v>0.0401115</x:v>
      </x:c>
      <x:c r="V1095" s="38" t="n">
        <x:v>0.6891885000000001</x:v>
      </x:c>
      <x:c r="W1095" s="38" t="n">
        <x:v>0.45111</x:v>
      </x:c>
      <x:c r="X1095" s="38" t="n">
        <x:v>0</x:v>
      </x:c>
      <x:c r="Y1095" s="38" t="n">
        <x:v>0</x:v>
      </x:c>
      <x:c r="Z1095" s="38" t="n">
        <x:v>0.0759</x:v>
      </x:c>
      <x:c r="AA1095" s="38" t="n">
        <x:v>0.028050000000000002</x:v>
      </x:c>
      <x:c r="AB1095" s="38" t="n">
        <x:v>0.001848</x:v>
      </x:c>
      <x:c r="AC1095" s="38" t="n">
        <x:v>0.1322805000000001</x:v>
      </x:c>
      <x:c r="AD1095" s="28" t="n">
        <x:v>0.19193660370130972</x:v>
      </x:c>
    </x:row>
    <x:row r="1096">
      <x:c r="A1096" s="32" t="n">
        <x:v>46041</x:v>
      </x:c>
      <x:c r="B1096" s="32" t="n">
        <x:v>46023</x:v>
      </x:c>
      <x:c r="C1096" t="str">
        <x:v>Jan 2026</x:v>
      </x:c>
      <x:c r="D1096" t="str">
        <x:v>Forecast</x:v>
      </x:c>
      <x:c r="E1096" t="str">
        <x:v>DB-103</x:v>
      </x:c>
      <x:c r="F1096" t="str">
        <x:v>EmberTrail Camp Mug</x:v>
      </x:c>
      <x:c r="G1096" t="str">
        <x:v>One-time purchase</x:v>
      </x:c>
      <x:c r="H1096" t="str">
        <x:v>Winter peak</x:v>
      </x:c>
      <x:c r="I1096" t="str">
        <x:v>Active</x:v>
      </x:c>
      <x:c r="J1096" t="str">
        <x:v>TikTok Shop</x:v>
      </x:c>
      <x:c r="K1096" t="str">
        <x:v>Social Commerce</x:v>
      </x:c>
      <x:c r="L1096" t="str">
        <x:v>All Geographies</x:v>
      </x:c>
      <x:c r="M1096" s="34" t="n">
        <x:v>1232</x:v>
      </x:c>
      <x:c r="N1096" s="28" t="n">
        <x:v>0.040824</x:v>
      </x:c>
      <x:c r="O1096" s="34" t="n">
        <x:v>50</x:v>
      </x:c>
      <x:c r="P1096" s="34" t="n">
        <x:v>1</x:v>
      </x:c>
      <x:c r="Q1096" s="34" t="n">
        <x:v>50</x:v>
      </x:c>
      <x:c r="R1096" s="33" t="n">
        <x:v>34</x:v>
      </x:c>
      <x:c r="S1096" s="38" t="n">
        <x:v>1.7</x:v>
      </x:c>
      <x:c r="T1096" s="38" t="n">
        <x:v>0.204</x:v>
      </x:c>
      <x:c r="U1096" s="38" t="n">
        <x:v>0.08228</x:v>
      </x:c>
      <x:c r="V1096" s="38" t="n">
        <x:v>1.41372</x:v>
      </x:c>
      <x:c r="W1096" s="38" t="n">
        <x:v>0.6835</x:v>
      </x:c>
      <x:c r="X1096" s="38" t="n">
        <x:v>0.04099788000000001</x:v>
      </x:c>
      <x:c r="Y1096" s="38" t="n">
        <x:v>0.0848232</x:v>
      </x:c>
      <x:c r="Z1096" s="38" t="n">
        <x:v>0.25499999999999995</x:v>
      </x:c>
      <x:c r="AA1096" s="38" t="n">
        <x:v>0.0875</x:v>
      </x:c>
      <x:c r="AB1096" s="38" t="n">
        <x:v>0.0028000000000000004</x:v>
      </x:c>
      <x:c r="AC1096" s="38" t="n">
        <x:v>0.2590989200000001</x:v>
      </x:c>
      <x:c r="AD1096" s="28" t="n">
        <x:v>0.18327456639221354</x:v>
      </x:c>
    </x:row>
    <x:row r="1097">
      <x:c r="A1097" s="32" t="n">
        <x:v>46041</x:v>
      </x:c>
      <x:c r="B1097" s="32" t="n">
        <x:v>46023</x:v>
      </x:c>
      <x:c r="C1097" t="str">
        <x:v>Jan 2026</x:v>
      </x:c>
      <x:c r="D1097" t="str">
        <x:v>Forecast</x:v>
      </x:c>
      <x:c r="E1097" t="str">
        <x:v>DB-104</x:v>
      </x:c>
      <x:c r="F1097" t="str">
        <x:v>SunNest Cooling Towel</x:v>
      </x:c>
      <x:c r="G1097" t="str">
        <x:v>Consumable repeat</x:v>
      </x:c>
      <x:c r="H1097" t="str">
        <x:v>Summer peak</x:v>
      </x:c>
      <x:c r="I1097" t="str">
        <x:v>Active</x:v>
      </x:c>
      <x:c r="J1097" t="str">
        <x:v>Shopify DTC</x:v>
      </x:c>
      <x:c r="K1097" t="str">
        <x:v>Consumer</x:v>
      </x:c>
      <x:c r="L1097" t="str">
        <x:v>All Geographies</x:v>
      </x:c>
      <x:c r="M1097" s="34" t="n">
        <x:v>3578</x:v>
      </x:c>
      <x:c r="N1097" s="28" t="n">
        <x:v>0.03312</x:v>
      </x:c>
      <x:c r="O1097" s="34" t="n">
        <x:v>119</x:v>
      </x:c>
      <x:c r="P1097" s="34" t="n">
        <x:v>1</x:v>
      </x:c>
      <x:c r="Q1097" s="34" t="n">
        <x:v>119</x:v>
      </x:c>
      <x:c r="R1097" s="33" t="n">
        <x:v>42</x:v>
      </x:c>
      <x:c r="S1097" s="38" t="n">
        <x:v>4.998</x:v>
      </x:c>
      <x:c r="T1097" s="38" t="n">
        <x:v>0.39984000000000003</x:v>
      </x:c>
      <x:c r="U1097" s="38" t="n">
        <x:v>0.229908</x:v>
      </x:c>
      <x:c r="V1097" s="38" t="n">
        <x:v>4.368252</x:v>
      </x:c>
      <x:c r="W1097" s="38" t="n">
        <x:v>1.79095</x:v>
      </x:c>
      <x:c r="X1097" s="38" t="n">
        <x:v>0.12667930800000002</x:v>
      </x:c>
      <x:c r="Y1097" s="38" t="n">
        <x:v>0</x:v>
      </x:c>
      <x:c r="Z1097" s="38" t="n">
        <x:v>0.49385</x:v>
      </x:c>
      <x:c r="AA1097" s="38" t="n">
        <x:v>0.19635</x:v>
      </x:c>
      <x:c r="AB1097" s="38" t="n">
        <x:v>0.003332</x:v>
      </x:c>
      <x:c r="AC1097" s="38" t="n">
        <x:v>1.757090692</x:v>
      </x:c>
      <x:c r="AD1097" s="28" t="n">
        <x:v>0.40224114634412117</x:v>
      </x:c>
    </x:row>
    <x:row r="1098">
      <x:c r="A1098" s="32" t="n">
        <x:v>46041</x:v>
      </x:c>
      <x:c r="B1098" s="32" t="n">
        <x:v>46023</x:v>
      </x:c>
      <x:c r="C1098" t="str">
        <x:v>Jan 2026</x:v>
      </x:c>
      <x:c r="D1098" t="str">
        <x:v>Forecast</x:v>
      </x:c>
      <x:c r="E1098" t="str">
        <x:v>DB-104</x:v>
      </x:c>
      <x:c r="F1098" t="str">
        <x:v>SunNest Cooling Towel</x:v>
      </x:c>
      <x:c r="G1098" t="str">
        <x:v>Consumable repeat</x:v>
      </x:c>
      <x:c r="H1098" t="str">
        <x:v>Summer peak</x:v>
      </x:c>
      <x:c r="I1098" t="str">
        <x:v>Active</x:v>
      </x:c>
      <x:c r="J1098" t="str">
        <x:v>Amazon Marketplace</x:v>
      </x:c>
      <x:c r="K1098" t="str">
        <x:v>Marketplace Consumer</x:v>
      </x:c>
      <x:c r="L1098" t="str">
        <x:v>All Geographies</x:v>
      </x:c>
      <x:c r="M1098" s="34" t="n">
        <x:v>1789</x:v>
      </x:c>
      <x:c r="N1098" s="28" t="n">
        <x:v>0.0390816</x:v>
      </x:c>
      <x:c r="O1098" s="34" t="n">
        <x:v>70</x:v>
      </x:c>
      <x:c r="P1098" s="34" t="n">
        <x:v>1</x:v>
      </x:c>
      <x:c r="Q1098" s="34" t="n">
        <x:v>70</x:v>
      </x:c>
      <x:c r="R1098" s="33" t="n">
        <x:v>42</x:v>
      </x:c>
      <x:c r="S1098" s="38" t="n">
        <x:v>2.94</x:v>
      </x:c>
      <x:c r="T1098" s="38" t="n">
        <x:v>0.147</x:v>
      </x:c>
      <x:c r="U1098" s="38" t="n">
        <x:v>0.13965000000000002</x:v>
      </x:c>
      <x:c r="V1098" s="38" t="n">
        <x:v>2.65335</x:v>
      </x:c>
      <x:c r="W1098" s="38" t="n">
        <x:v>1.0535</x:v>
      </x:c>
      <x:c r="X1098" s="38" t="n">
        <x:v>0</x:v>
      </x:c>
      <x:c r="Y1098" s="38" t="n">
        <x:v>0.3980025</x:v>
      </x:c>
      <x:c r="Z1098" s="38" t="n">
        <x:v>0.364</x:v>
      </x:c>
      <x:c r="AA1098" s="38" t="n">
        <x:v>0.1505</x:v>
      </x:c>
      <x:c r="AB1098" s="38" t="n">
        <x:v>0.00196</x:v>
      </x:c>
      <x:c r="AC1098" s="38" t="n">
        <x:v>0.6853875</x:v>
      </x:c>
      <x:c r="AD1098" s="28" t="n">
        <x:v>0.25831024930747926</x:v>
      </x:c>
    </x:row>
    <x:row r="1099">
      <x:c r="A1099" s="32" t="n">
        <x:v>46041</x:v>
      </x:c>
      <x:c r="B1099" s="32" t="n">
        <x:v>46023</x:v>
      </x:c>
      <x:c r="C1099" t="str">
        <x:v>Jan 2026</x:v>
      </x:c>
      <x:c r="D1099" t="str">
        <x:v>Forecast</x:v>
      </x:c>
      <x:c r="E1099" t="str">
        <x:v>DB-104</x:v>
      </x:c>
      <x:c r="F1099" t="str">
        <x:v>SunNest Cooling Towel</x:v>
      </x:c>
      <x:c r="G1099" t="str">
        <x:v>Consumable repeat</x:v>
      </x:c>
      <x:c r="H1099" t="str">
        <x:v>Summer peak</x:v>
      </x:c>
      <x:c r="I1099" t="str">
        <x:v>Active</x:v>
      </x:c>
      <x:c r="J1099" t="str">
        <x:v>Wholesale</x:v>
      </x:c>
      <x:c r="K1099" t="str">
        <x:v>Retailer</x:v>
      </x:c>
      <x:c r="L1099" t="str">
        <x:v>All Geographies</x:v>
      </x:c>
      <x:c r="M1099" s="34" t="n">
        <x:v>1073</x:v>
      </x:c>
      <x:c r="N1099" s="28" t="n">
        <x:v>0.018216000000000003</x:v>
      </x:c>
      <x:c r="O1099" s="34" t="n">
        <x:v>20</x:v>
      </x:c>
      <x:c r="P1099" s="34" t="n">
        <x:v>1</x:v>
      </x:c>
      <x:c r="Q1099" s="34" t="n">
        <x:v>20</x:v>
      </x:c>
      <x:c r="R1099" s="33" t="n">
        <x:v>42</x:v>
      </x:c>
      <x:c r="S1099" s="38" t="n">
        <x:v>0.84</x:v>
      </x:c>
      <x:c r="T1099" s="38" t="n">
        <x:v>0.294</x:v>
      </x:c>
      <x:c r="U1099" s="38" t="n">
        <x:v>0.027300000000000005</x:v>
      </x:c>
      <x:c r="V1099" s="38" t="n">
        <x:v>0.5187</x:v>
      </x:c>
      <x:c r="W1099" s="38" t="n">
        <x:v>0.301</x:v>
      </x:c>
      <x:c r="X1099" s="38" t="n">
        <x:v>0</x:v>
      </x:c>
      <x:c r="Y1099" s="38" t="n">
        <x:v>0</x:v>
      </x:c>
      <x:c r="Z1099" s="38" t="n">
        <x:v>0.046</x:v>
      </x:c>
      <x:c r="AA1099" s="38" t="n">
        <x:v>0.017</x:v>
      </x:c>
      <x:c r="AB1099" s="38" t="n">
        <x:v>0.00056</x:v>
      </x:c>
      <x:c r="AC1099" s="38" t="n">
        <x:v>0.15414000000000005</x:v>
      </x:c>
      <x:c r="AD1099" s="28" t="n">
        <x:v>0.2971659919028341</x:v>
      </x:c>
    </x:row>
    <x:row r="1100">
      <x:c r="A1100" s="32" t="n">
        <x:v>46041</x:v>
      </x:c>
      <x:c r="B1100" s="32" t="n">
        <x:v>46023</x:v>
      </x:c>
      <x:c r="C1100" t="str">
        <x:v>Jan 2026</x:v>
      </x:c>
      <x:c r="D1100" t="str">
        <x:v>Forecast</x:v>
      </x:c>
      <x:c r="E1100" t="str">
        <x:v>DB-104</x:v>
      </x:c>
      <x:c r="F1100" t="str">
        <x:v>SunNest Cooling Towel</x:v>
      </x:c>
      <x:c r="G1100" t="str">
        <x:v>Consumable repeat</x:v>
      </x:c>
      <x:c r="H1100" t="str">
        <x:v>Summer peak</x:v>
      </x:c>
      <x:c r="I1100" t="str">
        <x:v>Active</x:v>
      </x:c>
      <x:c r="J1100" t="str">
        <x:v>TikTok Shop</x:v>
      </x:c>
      <x:c r="K1100" t="str">
        <x:v>Social Commerce</x:v>
      </x:c>
      <x:c r="L1100" t="str">
        <x:v>All Geographies</x:v>
      </x:c>
      <x:c r="M1100" s="34" t="n">
        <x:v>716</x:v>
      </x:c>
      <x:c r="N1100" s="28" t="n">
        <x:v>0.0417312</x:v>
      </x:c>
      <x:c r="O1100" s="34" t="n">
        <x:v>30</x:v>
      </x:c>
      <x:c r="P1100" s="34" t="n">
        <x:v>1</x:v>
      </x:c>
      <x:c r="Q1100" s="34" t="n">
        <x:v>30</x:v>
      </x:c>
      <x:c r="R1100" s="33" t="n">
        <x:v>42</x:v>
      </x:c>
      <x:c r="S1100" s="38" t="n">
        <x:v>1.26</x:v>
      </x:c>
      <x:c r="T1100" s="38" t="n">
        <x:v>0.1512</x:v>
      </x:c>
      <x:c r="U1100" s="38" t="n">
        <x:v>0.05544</x:v>
      </x:c>
      <x:c r="V1100" s="38" t="n">
        <x:v>1.05336</x:v>
      </x:c>
      <x:c r="W1100" s="38" t="n">
        <x:v>0.4515</x:v>
      </x:c>
      <x:c r="X1100" s="38" t="n">
        <x:v>0.030547440000000002</x:v>
      </x:c>
      <x:c r="Y1100" s="38" t="n">
        <x:v>0.0632016</x:v>
      </x:c>
      <x:c r="Z1100" s="38" t="n">
        <x:v>0.153</x:v>
      </x:c>
      <x:c r="AA1100" s="38" t="n">
        <x:v>0.0525</x:v>
      </x:c>
      <x:c r="AB1100" s="38" t="n">
        <x:v>0.0008399999999999999</x:v>
      </x:c>
      <x:c r="AC1100" s="38" t="n">
        <x:v>0.3017709600000001</x:v>
      </x:c>
      <x:c r="AD1100" s="28" t="n">
        <x:v>0.28648416495784923</x:v>
      </x:c>
    </x:row>
    <x:row r="1101">
      <x:c r="A1101" s="32" t="n">
        <x:v>46041</x:v>
      </x:c>
      <x:c r="B1101" s="32" t="n">
        <x:v>46023</x:v>
      </x:c>
      <x:c r="C1101" t="str">
        <x:v>Jan 2026</x:v>
      </x:c>
      <x:c r="D1101" t="str">
        <x:v>Forecast</x:v>
      </x:c>
      <x:c r="E1101" t="str">
        <x:v>DB-105</x:v>
      </x:c>
      <x:c r="F1101" t="str">
        <x:v>DreamFuel Refill Pack</x:v>
      </x:c>
      <x:c r="G1101" t="str">
        <x:v>Subscription</x:v>
      </x:c>
      <x:c r="H1101" t="str">
        <x:v>None</x:v>
      </x:c>
      <x:c r="I1101" t="str">
        <x:v>Active</x:v>
      </x:c>
      <x:c r="J1101" t="str">
        <x:v>Shopify DTC</x:v>
      </x:c>
      <x:c r="K1101" t="str">
        <x:v>Consumer</x:v>
      </x:c>
      <x:c r="L1101" t="str">
        <x:v>All Geographies</x:v>
      </x:c>
      <x:c r="M1101" s="34" t="n">
        <x:v>5051</x:v>
      </x:c>
      <x:c r="N1101" s="28" t="n">
        <x:v>0.03888</x:v>
      </x:c>
      <x:c r="O1101" s="34" t="n">
        <x:v>196</x:v>
      </x:c>
      <x:c r="P1101" s="34" t="n">
        <x:v>1</x:v>
      </x:c>
      <x:c r="Q1101" s="34" t="n">
        <x:v>196</x:v>
      </x:c>
      <x:c r="R1101" s="33" t="n">
        <x:v>56</x:v>
      </x:c>
      <x:c r="S1101" s="38" t="n">
        <x:v>10.976</x:v>
      </x:c>
      <x:c r="T1101" s="38" t="n">
        <x:v>0.8780800000000001</x:v>
      </x:c>
      <x:c r="U1101" s="38" t="n">
        <x:v>0.2019584</x:v>
      </x:c>
      <x:c r="V1101" s="38" t="n">
        <x:v>9.8959616</x:v>
      </x:c>
      <x:c r="W1101" s="38" t="n">
        <x:v>3.64952</x:v>
      </x:c>
      <x:c r="X1101" s="38" t="n">
        <x:v>0.2869828864</x:v>
      </x:c>
      <x:c r="Y1101" s="38" t="n">
        <x:v>0</x:v>
      </x:c>
      <x:c r="Z1101" s="38" t="n">
        <x:v>0.8134000000000001</x:v>
      </x:c>
      <x:c r="AA1101" s="38" t="n">
        <x:v>0.32339999999999997</x:v>
      </x:c>
      <x:c r="AB1101" s="38" t="n">
        <x:v>0.0007055999999999999</x:v>
      </x:c>
      <x:c r="AC1101" s="38" t="n">
        <x:v>4.8219531136</x:v>
      </x:c>
      <x:c r="AD1101" s="28" t="n">
        <x:v>0.4872647357079478</x:v>
      </x:c>
    </x:row>
    <x:row r="1102">
      <x:c r="A1102" s="32" t="n">
        <x:v>46041</x:v>
      </x:c>
      <x:c r="B1102" s="32" t="n">
        <x:v>46023</x:v>
      </x:c>
      <x:c r="C1102" t="str">
        <x:v>Jan 2026</x:v>
      </x:c>
      <x:c r="D1102" t="str">
        <x:v>Forecast</x:v>
      </x:c>
      <x:c r="E1102" t="str">
        <x:v>DB-105</x:v>
      </x:c>
      <x:c r="F1102" t="str">
        <x:v>DreamFuel Refill Pack</x:v>
      </x:c>
      <x:c r="G1102" t="str">
        <x:v>Subscription</x:v>
      </x:c>
      <x:c r="H1102" t="str">
        <x:v>None</x:v>
      </x:c>
      <x:c r="I1102" t="str">
        <x:v>Active</x:v>
      </x:c>
      <x:c r="J1102" t="str">
        <x:v>Amazon Marketplace</x:v>
      </x:c>
      <x:c r="K1102" t="str">
        <x:v>Marketplace Consumer</x:v>
      </x:c>
      <x:c r="L1102" t="str">
        <x:v>All Geographies</x:v>
      </x:c>
      <x:c r="M1102" s="34" t="n">
        <x:v>2525</x:v>
      </x:c>
      <x:c r="N1102" s="28" t="n">
        <x:v>0.0458784</x:v>
      </x:c>
      <x:c r="O1102" s="34" t="n">
        <x:v>116</x:v>
      </x:c>
      <x:c r="P1102" s="34" t="n">
        <x:v>1</x:v>
      </x:c>
      <x:c r="Q1102" s="34" t="n">
        <x:v>116</x:v>
      </x:c>
      <x:c r="R1102" s="33" t="n">
        <x:v>56</x:v>
      </x:c>
      <x:c r="S1102" s="38" t="n">
        <x:v>6.496</x:v>
      </x:c>
      <x:c r="T1102" s="38" t="n">
        <x:v>0.32480000000000003</x:v>
      </x:c>
      <x:c r="U1102" s="38" t="n">
        <x:v>0.12342400000000002</x:v>
      </x:c>
      <x:c r="V1102" s="38" t="n">
        <x:v>6.047776000000001</x:v>
      </x:c>
      <x:c r="W1102" s="38" t="n">
        <x:v>2.15992</x:v>
      </x:c>
      <x:c r="X1102" s="38" t="n">
        <x:v>0</x:v>
      </x:c>
      <x:c r="Y1102" s="38" t="n">
        <x:v>0.9071664</x:v>
      </x:c>
      <x:c r="Z1102" s="38" t="n">
        <x:v>0.6032000000000001</x:v>
      </x:c>
      <x:c r="AA1102" s="38" t="n">
        <x:v>0.24939999999999998</x:v>
      </x:c>
      <x:c r="AB1102" s="38" t="n">
        <x:v>0.0004176</x:v>
      </x:c>
      <x:c r="AC1102" s="38" t="n">
        <x:v>2.1276720000000005</x:v>
      </x:c>
      <x:c r="AD1102" s="28" t="n">
        <x:v>0.35181064907165877</x:v>
      </x:c>
    </x:row>
    <x:row r="1103">
      <x:c r="A1103" s="32" t="n">
        <x:v>46041</x:v>
      </x:c>
      <x:c r="B1103" s="32" t="n">
        <x:v>46023</x:v>
      </x:c>
      <x:c r="C1103" t="str">
        <x:v>Jan 2026</x:v>
      </x:c>
      <x:c r="D1103" t="str">
        <x:v>Forecast</x:v>
      </x:c>
      <x:c r="E1103" t="str">
        <x:v>DB-105</x:v>
      </x:c>
      <x:c r="F1103" t="str">
        <x:v>DreamFuel Refill Pack</x:v>
      </x:c>
      <x:c r="G1103" t="str">
        <x:v>Subscription</x:v>
      </x:c>
      <x:c r="H1103" t="str">
        <x:v>None</x:v>
      </x:c>
      <x:c r="I1103" t="str">
        <x:v>Active</x:v>
      </x:c>
      <x:c r="J1103" t="str">
        <x:v>Wholesale</x:v>
      </x:c>
      <x:c r="K1103" t="str">
        <x:v>Retailer</x:v>
      </x:c>
      <x:c r="L1103" t="str">
        <x:v>All Geographies</x:v>
      </x:c>
      <x:c r="M1103" s="34" t="n">
        <x:v>1515</x:v>
      </x:c>
      <x:c r="N1103" s="28" t="n">
        <x:v>0.021384000000000004</x:v>
      </x:c>
      <x:c r="O1103" s="34" t="n">
        <x:v>32</x:v>
      </x:c>
      <x:c r="P1103" s="34" t="n">
        <x:v>1</x:v>
      </x:c>
      <x:c r="Q1103" s="34" t="n">
        <x:v>32</x:v>
      </x:c>
      <x:c r="R1103" s="33" t="n">
        <x:v>56</x:v>
      </x:c>
      <x:c r="S1103" s="38" t="n">
        <x:v>1.792</x:v>
      </x:c>
      <x:c r="T1103" s="38" t="n">
        <x:v>0.6272</x:v>
      </x:c>
      <x:c r="U1103" s="38" t="n">
        <x:v>0.023296</x:v>
      </x:c>
      <x:c r="V1103" s="38" t="n">
        <x:v>1.141504</x:v>
      </x:c>
      <x:c r="W1103" s="38" t="n">
        <x:v>0.59584</x:v>
      </x:c>
      <x:c r="X1103" s="38" t="n">
        <x:v>0</x:v>
      </x:c>
      <x:c r="Y1103" s="38" t="n">
        <x:v>0</x:v>
      </x:c>
      <x:c r="Z1103" s="38" t="n">
        <x:v>0.0736</x:v>
      </x:c>
      <x:c r="AA1103" s="38" t="n">
        <x:v>0.0272</x:v>
      </x:c>
      <x:c r="AB1103" s="38" t="n">
        <x:v>0.0001152</x:v>
      </x:c>
      <x:c r="AC1103" s="38" t="n">
        <x:v>0.44474880000000006</x:v>
      </x:c>
      <x:c r="AD1103" s="28" t="n">
        <x:v>0.3896165059430366</x:v>
      </x:c>
    </x:row>
    <x:row r="1104">
      <x:c r="A1104" s="32" t="n">
        <x:v>46041</x:v>
      </x:c>
      <x:c r="B1104" s="32" t="n">
        <x:v>46023</x:v>
      </x:c>
      <x:c r="C1104" t="str">
        <x:v>Jan 2026</x:v>
      </x:c>
      <x:c r="D1104" t="str">
        <x:v>Forecast</x:v>
      </x:c>
      <x:c r="E1104" t="str">
        <x:v>DB-105</x:v>
      </x:c>
      <x:c r="F1104" t="str">
        <x:v>DreamFuel Refill Pack</x:v>
      </x:c>
      <x:c r="G1104" t="str">
        <x:v>Subscription</x:v>
      </x:c>
      <x:c r="H1104" t="str">
        <x:v>None</x:v>
      </x:c>
      <x:c r="I1104" t="str">
        <x:v>Active</x:v>
      </x:c>
      <x:c r="J1104" t="str">
        <x:v>TikTok Shop</x:v>
      </x:c>
      <x:c r="K1104" t="str">
        <x:v>Social Commerce</x:v>
      </x:c>
      <x:c r="L1104" t="str">
        <x:v>All Geographies</x:v>
      </x:c>
      <x:c r="M1104" s="34" t="n">
        <x:v>1010</x:v>
      </x:c>
      <x:c r="N1104" s="28" t="n">
        <x:v>0.0489888</x:v>
      </x:c>
      <x:c r="O1104" s="34" t="n">
        <x:v>49</x:v>
      </x:c>
      <x:c r="P1104" s="34" t="n">
        <x:v>1</x:v>
      </x:c>
      <x:c r="Q1104" s="34" t="n">
        <x:v>49</x:v>
      </x:c>
      <x:c r="R1104" s="33" t="n">
        <x:v>56</x:v>
      </x:c>
      <x:c r="S1104" s="38" t="n">
        <x:v>2.744</x:v>
      </x:c>
      <x:c r="T1104" s="38" t="n">
        <x:v>0.32928</x:v>
      </x:c>
      <x:c r="U1104" s="38" t="n">
        <x:v>0.0482944</x:v>
      </x:c>
      <x:c r="V1104" s="38" t="n">
        <x:v>2.3664256</x:v>
      </x:c>
      <x:c r="W1104" s="38" t="n">
        <x:v>0.91238</x:v>
      </x:c>
      <x:c r="X1104" s="38" t="n">
        <x:v>0.0686263424</x:v>
      </x:c>
      <x:c r="Y1104" s="38" t="n">
        <x:v>0.141985536</x:v>
      </x:c>
      <x:c r="Z1104" s="38" t="n">
        <x:v>0.24989999999999998</x:v>
      </x:c>
      <x:c r="AA1104" s="38" t="n">
        <x:v>0.08575</x:v>
      </x:c>
      <x:c r="AB1104" s="38" t="n">
        <x:v>0.00017639999999999998</x:v>
      </x:c>
      <x:c r="AC1104" s="38" t="n">
        <x:v>0.9076073216</x:v>
      </x:c>
      <x:c r="AD1104" s="28" t="n">
        <x:v>0.3835351179432812</x:v>
      </x:c>
    </x:row>
    <x:row r="1105">
      <x:c r="A1105" s="32" t="n">
        <x:v>46048</x:v>
      </x:c>
      <x:c r="B1105" s="32" t="n">
        <x:v>46023</x:v>
      </x:c>
      <x:c r="C1105" t="str">
        <x:v>Jan 2026</x:v>
      </x:c>
      <x:c r="D1105" t="str">
        <x:v>Forecast</x:v>
      </x:c>
      <x:c r="E1105" t="str">
        <x:v>DB-101</x:v>
      </x:c>
      <x:c r="F1105" t="str">
        <x:v>AeroSip Bottle</x:v>
      </x:c>
      <x:c r="G1105" t="str">
        <x:v>One-time purchase</x:v>
      </x:c>
      <x:c r="H1105" t="str">
        <x:v>None</x:v>
      </x:c>
      <x:c r="I1105" t="str">
        <x:v>Active</x:v>
      </x:c>
      <x:c r="J1105" t="str">
        <x:v>Shopify DTC</x:v>
      </x:c>
      <x:c r="K1105" t="str">
        <x:v>Consumer</x:v>
      </x:c>
      <x:c r="L1105" t="str">
        <x:v>All Geographies</x:v>
      </x:c>
      <x:c r="M1105" s="34" t="n">
        <x:v>7296</x:v>
      </x:c>
      <x:c r="N1105" s="28" t="n">
        <x:v>0.034199999999999994</x:v>
      </x:c>
      <x:c r="O1105" s="34" t="n">
        <x:v>250</x:v>
      </x:c>
      <x:c r="P1105" s="34" t="n">
        <x:v>1</x:v>
      </x:c>
      <x:c r="Q1105" s="34" t="n">
        <x:v>250</x:v>
      </x:c>
      <x:c r="R1105" s="33" t="n">
        <x:v>29</x:v>
      </x:c>
      <x:c r="S1105" s="38" t="n">
        <x:v>7.25</x:v>
      </x:c>
      <x:c r="T1105" s="38" t="n">
        <x:v>0.58</x:v>
      </x:c>
      <x:c r="U1105" s="38" t="n">
        <x:v>0.30015</x:v>
      </x:c>
      <x:c r="V1105" s="38" t="n">
        <x:v>6.36985</x:v>
      </x:c>
      <x:c r="W1105" s="38" t="n">
        <x:v>2.7</x:v>
      </x:c>
      <x:c r="X1105" s="38" t="n">
        <x:v>0.18472565</x:v>
      </x:c>
      <x:c r="Y1105" s="38" t="n">
        <x:v>0</x:v>
      </x:c>
      <x:c r="Z1105" s="38" t="n">
        <x:v>1.0375</x:v>
      </x:c>
      <x:c r="AA1105" s="38" t="n">
        <x:v>0.4125</x:v>
      </x:c>
      <x:c r="AB1105" s="38" t="n">
        <x:v>0.009</x:v>
      </x:c>
      <x:c r="AC1105" s="38" t="n">
        <x:v>2.0261243499999995</x:v>
      </x:c>
      <x:c r="AD1105" s="28" t="n">
        <x:v>0.31808038650831644</x:v>
      </x:c>
    </x:row>
    <x:row r="1106">
      <x:c r="A1106" s="32" t="n">
        <x:v>46048</x:v>
      </x:c>
      <x:c r="B1106" s="32" t="n">
        <x:v>46023</x:v>
      </x:c>
      <x:c r="C1106" t="str">
        <x:v>Jan 2026</x:v>
      </x:c>
      <x:c r="D1106" t="str">
        <x:v>Forecast</x:v>
      </x:c>
      <x:c r="E1106" t="str">
        <x:v>DB-101</x:v>
      </x:c>
      <x:c r="F1106" t="str">
        <x:v>AeroSip Bottle</x:v>
      </x:c>
      <x:c r="G1106" t="str">
        <x:v>One-time purchase</x:v>
      </x:c>
      <x:c r="H1106" t="str">
        <x:v>None</x:v>
      </x:c>
      <x:c r="I1106" t="str">
        <x:v>Active</x:v>
      </x:c>
      <x:c r="J1106" t="str">
        <x:v>Amazon Marketplace</x:v>
      </x:c>
      <x:c r="K1106" t="str">
        <x:v>Marketplace Consumer</x:v>
      </x:c>
      <x:c r="L1106" t="str">
        <x:v>All Geographies</x:v>
      </x:c>
      <x:c r="M1106" s="34" t="n">
        <x:v>3648</x:v>
      </x:c>
      <x:c r="N1106" s="28" t="n">
        <x:v>0.040355999999999996</x:v>
      </x:c>
      <x:c r="O1106" s="34" t="n">
        <x:v>147</x:v>
      </x:c>
      <x:c r="P1106" s="34" t="n">
        <x:v>1</x:v>
      </x:c>
      <x:c r="Q1106" s="34" t="n">
        <x:v>147</x:v>
      </x:c>
      <x:c r="R1106" s="33" t="n">
        <x:v>29</x:v>
      </x:c>
      <x:c r="S1106" s="38" t="n">
        <x:v>4.263</x:v>
      </x:c>
      <x:c r="T1106" s="38" t="n">
        <x:v>0.21315</x:v>
      </x:c>
      <x:c r="U1106" s="38" t="n">
        <x:v>0.18224325</x:v>
      </x:c>
      <x:c r="V1106" s="38" t="n">
        <x:v>3.86760675</x:v>
      </x:c>
      <x:c r="W1106" s="38" t="n">
        <x:v>1.5876000000000001</x:v>
      </x:c>
      <x:c r="X1106" s="38" t="n">
        <x:v>0</x:v>
      </x:c>
      <x:c r="Y1106" s="38" t="n">
        <x:v>0.5801410125</x:v>
      </x:c>
      <x:c r="Z1106" s="38" t="n">
        <x:v>0.7644</x:v>
      </x:c>
      <x:c r="AA1106" s="38" t="n">
        <x:v>0.31605</x:v>
      </x:c>
      <x:c r="AB1106" s="38" t="n">
        <x:v>0.005292</x:v>
      </x:c>
      <x:c r="AC1106" s="38" t="n">
        <x:v>0.6141237375000003</x:v>
      </x:c>
      <x:c r="AD1106" s="28" t="n">
        <x:v>0.15878649955815705</x:v>
      </x:c>
    </x:row>
    <x:row r="1107">
      <x:c r="A1107" s="32" t="n">
        <x:v>46048</x:v>
      </x:c>
      <x:c r="B1107" s="32" t="n">
        <x:v>46023</x:v>
      </x:c>
      <x:c r="C1107" t="str">
        <x:v>Jan 2026</x:v>
      </x:c>
      <x:c r="D1107" t="str">
        <x:v>Forecast</x:v>
      </x:c>
      <x:c r="E1107" t="str">
        <x:v>DB-101</x:v>
      </x:c>
      <x:c r="F1107" t="str">
        <x:v>AeroSip Bottle</x:v>
      </x:c>
      <x:c r="G1107" t="str">
        <x:v>One-time purchase</x:v>
      </x:c>
      <x:c r="H1107" t="str">
        <x:v>None</x:v>
      </x:c>
      <x:c r="I1107" t="str">
        <x:v>Active</x:v>
      </x:c>
      <x:c r="J1107" t="str">
        <x:v>Wholesale</x:v>
      </x:c>
      <x:c r="K1107" t="str">
        <x:v>Retailer</x:v>
      </x:c>
      <x:c r="L1107" t="str">
        <x:v>All Geographies</x:v>
      </x:c>
      <x:c r="M1107" s="34" t="n">
        <x:v>2189</x:v>
      </x:c>
      <x:c r="N1107" s="28" t="n">
        <x:v>0.01881</x:v>
      </x:c>
      <x:c r="O1107" s="34" t="n">
        <x:v>41</x:v>
      </x:c>
      <x:c r="P1107" s="34" t="n">
        <x:v>1</x:v>
      </x:c>
      <x:c r="Q1107" s="34" t="n">
        <x:v>41</x:v>
      </x:c>
      <x:c r="R1107" s="33" t="n">
        <x:v>29</x:v>
      </x:c>
      <x:c r="S1107" s="38" t="n">
        <x:v>1.189</x:v>
      </x:c>
      <x:c r="T1107" s="38" t="n">
        <x:v>0.41615</x:v>
      </x:c>
      <x:c r="U1107" s="38" t="n">
        <x:v>0.034778250000000004</x:v>
      </x:c>
      <x:c r="V1107" s="38" t="n">
        <x:v>0.73807175</x:v>
      </x:c>
      <x:c r="W1107" s="38" t="n">
        <x:v>0.4428</x:v>
      </x:c>
      <x:c r="X1107" s="38" t="n">
        <x:v>0</x:v>
      </x:c>
      <x:c r="Y1107" s="38" t="n">
        <x:v>0</x:v>
      </x:c>
      <x:c r="Z1107" s="38" t="n">
        <x:v>0.0943</x:v>
      </x:c>
      <x:c r="AA1107" s="38" t="n">
        <x:v>0.03485</x:v>
      </x:c>
      <x:c r="AB1107" s="38" t="n">
        <x:v>0.0014759999999999999</x:v>
      </x:c>
      <x:c r="AC1107" s="38" t="n">
        <x:v>0.16464575</x:v>
      </x:c>
      <x:c r="AD1107" s="28" t="n">
        <x:v>0.22307553432305194</x:v>
      </x:c>
    </x:row>
    <x:row r="1108">
      <x:c r="A1108" s="32" t="n">
        <x:v>46048</x:v>
      </x:c>
      <x:c r="B1108" s="32" t="n">
        <x:v>46023</x:v>
      </x:c>
      <x:c r="C1108" t="str">
        <x:v>Jan 2026</x:v>
      </x:c>
      <x:c r="D1108" t="str">
        <x:v>Forecast</x:v>
      </x:c>
      <x:c r="E1108" t="str">
        <x:v>DB-101</x:v>
      </x:c>
      <x:c r="F1108" t="str">
        <x:v>AeroSip Bottle</x:v>
      </x:c>
      <x:c r="G1108" t="str">
        <x:v>One-time purchase</x:v>
      </x:c>
      <x:c r="H1108" t="str">
        <x:v>None</x:v>
      </x:c>
      <x:c r="I1108" t="str">
        <x:v>Active</x:v>
      </x:c>
      <x:c r="J1108" t="str">
        <x:v>TikTok Shop</x:v>
      </x:c>
      <x:c r="K1108" t="str">
        <x:v>Social Commerce</x:v>
      </x:c>
      <x:c r="L1108" t="str">
        <x:v>All Geographies</x:v>
      </x:c>
      <x:c r="M1108" s="34" t="n">
        <x:v>1459</x:v>
      </x:c>
      <x:c r="N1108" s="28" t="n">
        <x:v>0.043092</x:v>
      </x:c>
      <x:c r="O1108" s="34" t="n">
        <x:v>63</x:v>
      </x:c>
      <x:c r="P1108" s="34" t="n">
        <x:v>1</x:v>
      </x:c>
      <x:c r="Q1108" s="34" t="n">
        <x:v>63</x:v>
      </x:c>
      <x:c r="R1108" s="33" t="n">
        <x:v>29</x:v>
      </x:c>
      <x:c r="S1108" s="38" t="n">
        <x:v>1.827</x:v>
      </x:c>
      <x:c r="T1108" s="38" t="n">
        <x:v>0.21924</x:v>
      </x:c>
      <x:c r="U1108" s="38" t="n">
        <x:v>0.07234919999999999</x:v>
      </x:c>
      <x:c r="V1108" s="38" t="n">
        <x:v>1.5354108</x:v>
      </x:c>
      <x:c r="W1108" s="38" t="n">
        <x:v>0.6804000000000001</x:v>
      </x:c>
      <x:c r="X1108" s="38" t="n">
        <x:v>0.044526913200000004</x:v>
      </x:c>
      <x:c r="Y1108" s="38" t="n">
        <x:v>0.09212464799999999</x:v>
      </x:c>
      <x:c r="Z1108" s="38" t="n">
        <x:v>0.3213</x:v>
      </x:c>
      <x:c r="AA1108" s="38" t="n">
        <x:v>0.11025</x:v>
      </x:c>
      <x:c r="AB1108" s="38" t="n">
        <x:v>0.0022679999999999996</x:v>
      </x:c>
      <x:c r="AC1108" s="38" t="n">
        <x:v>0.2845412387999999</x:v>
      </x:c>
      <x:c r="AD1108" s="28" t="n">
        <x:v>0.18531928966501987</x:v>
      </x:c>
    </x:row>
    <x:row r="1109">
      <x:c r="A1109" s="32" t="n">
        <x:v>46048</x:v>
      </x:c>
      <x:c r="B1109" s="32" t="n">
        <x:v>46023</x:v>
      </x:c>
      <x:c r="C1109" t="str">
        <x:v>Jan 2026</x:v>
      </x:c>
      <x:c r="D1109" t="str">
        <x:v>Forecast</x:v>
      </x:c>
      <x:c r="E1109" t="str">
        <x:v>DB-102</x:v>
      </x:c>
      <x:c r="F1109" t="str">
        <x:v>GlowPatch Balm</x:v>
      </x:c>
      <x:c r="G1109" t="str">
        <x:v>Consumable repeat</x:v>
      </x:c>
      <x:c r="H1109" t="str">
        <x:v>None</x:v>
      </x:c>
      <x:c r="I1109" t="str">
        <x:v>Active</x:v>
      </x:c>
      <x:c r="J1109" t="str">
        <x:v>Shopify DTC</x:v>
      </x:c>
      <x:c r="K1109" t="str">
        <x:v>Consumer</x:v>
      </x:c>
      <x:c r="L1109" t="str">
        <x:v>All Geographies</x:v>
      </x:c>
      <x:c r="M1109" s="34" t="n">
        <x:v>5893</x:v>
      </x:c>
      <x:c r="N1109" s="28" t="n">
        <x:v>0.04248</x:v>
      </x:c>
      <x:c r="O1109" s="34" t="n">
        <x:v>250</x:v>
      </x:c>
      <x:c r="P1109" s="34" t="n">
        <x:v>1</x:v>
      </x:c>
      <x:c r="Q1109" s="34" t="n">
        <x:v>250</x:v>
      </x:c>
      <x:c r="R1109" s="33" t="n">
        <x:v>18</x:v>
      </x:c>
      <x:c r="S1109" s="38" t="n">
        <x:v>4.5</x:v>
      </x:c>
      <x:c r="T1109" s="38" t="n">
        <x:v>0.36</x:v>
      </x:c>
      <x:c r="U1109" s="38" t="n">
        <x:v>0.1035</x:v>
      </x:c>
      <x:c r="V1109" s="38" t="n">
        <x:v>4.036499999999999</x:v>
      </x:c>
      <x:c r="W1109" s="38" t="n">
        <x:v>1.3525</x:v>
      </x:c>
      <x:c r="X1109" s="38" t="n">
        <x:v>0.11705849999999998</x:v>
      </x:c>
      <x:c r="Y1109" s="38" t="n">
        <x:v>0</x:v>
      </x:c>
      <x:c r="Z1109" s="38" t="n">
        <x:v>1.0375</x:v>
      </x:c>
      <x:c r="AA1109" s="38" t="n">
        <x:v>0.4125</x:v>
      </x:c>
      <x:c r="AB1109" s="38" t="n">
        <x:v>0.0015</x:v>
      </x:c>
      <x:c r="AC1109" s="38" t="n">
        <x:v>1.1154414999999989</x:v>
      </x:c>
      <x:c r="AD1109" s="28" t="n">
        <x:v>0.2763387835996529</x:v>
      </x:c>
    </x:row>
    <x:row r="1110">
      <x:c r="A1110" s="32" t="n">
        <x:v>46048</x:v>
      </x:c>
      <x:c r="B1110" s="32" t="n">
        <x:v>46023</x:v>
      </x:c>
      <x:c r="C1110" t="str">
        <x:v>Jan 2026</x:v>
      </x:c>
      <x:c r="D1110" t="str">
        <x:v>Forecast</x:v>
      </x:c>
      <x:c r="E1110" t="str">
        <x:v>DB-102</x:v>
      </x:c>
      <x:c r="F1110" t="str">
        <x:v>GlowPatch Balm</x:v>
      </x:c>
      <x:c r="G1110" t="str">
        <x:v>Consumable repeat</x:v>
      </x:c>
      <x:c r="H1110" t="str">
        <x:v>None</x:v>
      </x:c>
      <x:c r="I1110" t="str">
        <x:v>Active</x:v>
      </x:c>
      <x:c r="J1110" t="str">
        <x:v>Amazon Marketplace</x:v>
      </x:c>
      <x:c r="K1110" t="str">
        <x:v>Marketplace Consumer</x:v>
      </x:c>
      <x:c r="L1110" t="str">
        <x:v>All Geographies</x:v>
      </x:c>
      <x:c r="M1110" s="34" t="n">
        <x:v>2946</x:v>
      </x:c>
      <x:c r="N1110" s="28" t="n">
        <x:v>0.050126399999999995</x:v>
      </x:c>
      <x:c r="O1110" s="34" t="n">
        <x:v>148</x:v>
      </x:c>
      <x:c r="P1110" s="34" t="n">
        <x:v>1</x:v>
      </x:c>
      <x:c r="Q1110" s="34" t="n">
        <x:v>148</x:v>
      </x:c>
      <x:c r="R1110" s="33" t="n">
        <x:v>18</x:v>
      </x:c>
      <x:c r="S1110" s="38" t="n">
        <x:v>2.664</x:v>
      </x:c>
      <x:c r="T1110" s="38" t="n">
        <x:v>0.1332</x:v>
      </x:c>
      <x:c r="U1110" s="38" t="n">
        <x:v>0.06327</x:v>
      </x:c>
      <x:c r="V1110" s="38" t="n">
        <x:v>2.46753</x:v>
      </x:c>
      <x:c r="W1110" s="38" t="n">
        <x:v>0.8006800000000001</x:v>
      </x:c>
      <x:c r="X1110" s="38" t="n">
        <x:v>0</x:v>
      </x:c>
      <x:c r="Y1110" s="38" t="n">
        <x:v>0.3701295</x:v>
      </x:c>
      <x:c r="Z1110" s="38" t="n">
        <x:v>0.7696000000000001</x:v>
      </x:c>
      <x:c r="AA1110" s="38" t="n">
        <x:v>0.3182</x:v>
      </x:c>
      <x:c r="AB1110" s="38" t="n">
        <x:v>0.0008879999999999999</x:v>
      </x:c>
      <x:c r="AC1110" s="38" t="n">
        <x:v>0.2080324999999999</x:v>
      </x:c>
      <x:c r="AD1110" s="28" t="n">
        <x:v>0.084307992202729</x:v>
      </x:c>
    </x:row>
    <x:row r="1111">
      <x:c r="A1111" s="32" t="n">
        <x:v>46048</x:v>
      </x:c>
      <x:c r="B1111" s="32" t="n">
        <x:v>46023</x:v>
      </x:c>
      <x:c r="C1111" t="str">
        <x:v>Jan 2026</x:v>
      </x:c>
      <x:c r="D1111" t="str">
        <x:v>Forecast</x:v>
      </x:c>
      <x:c r="E1111" t="str">
        <x:v>DB-102</x:v>
      </x:c>
      <x:c r="F1111" t="str">
        <x:v>GlowPatch Balm</x:v>
      </x:c>
      <x:c r="G1111" t="str">
        <x:v>Consumable repeat</x:v>
      </x:c>
      <x:c r="H1111" t="str">
        <x:v>None</x:v>
      </x:c>
      <x:c r="I1111" t="str">
        <x:v>Active</x:v>
      </x:c>
      <x:c r="J1111" t="str">
        <x:v>Wholesale</x:v>
      </x:c>
      <x:c r="K1111" t="str">
        <x:v>Retailer</x:v>
      </x:c>
      <x:c r="L1111" t="str">
        <x:v>All Geographies</x:v>
      </x:c>
      <x:c r="M1111" s="34" t="n">
        <x:v>1768</x:v>
      </x:c>
      <x:c r="N1111" s="28" t="n">
        <x:v>0.023364</x:v>
      </x:c>
      <x:c r="O1111" s="34" t="n">
        <x:v>41</x:v>
      </x:c>
      <x:c r="P1111" s="34" t="n">
        <x:v>1</x:v>
      </x:c>
      <x:c r="Q1111" s="34" t="n">
        <x:v>41</x:v>
      </x:c>
      <x:c r="R1111" s="33" t="n">
        <x:v>18</x:v>
      </x:c>
      <x:c r="S1111" s="38" t="n">
        <x:v>0.738</x:v>
      </x:c>
      <x:c r="T1111" s="38" t="n">
        <x:v>0.2583</x:v>
      </x:c>
      <x:c r="U1111" s="38" t="n">
        <x:v>0.011992500000000001</x:v>
      </x:c>
      <x:c r="V1111" s="38" t="n">
        <x:v>0.4677075</x:v>
      </x:c>
      <x:c r="W1111" s="38" t="n">
        <x:v>0.22181</x:v>
      </x:c>
      <x:c r="X1111" s="38" t="n">
        <x:v>0</x:v>
      </x:c>
      <x:c r="Y1111" s="38" t="n">
        <x:v>0</x:v>
      </x:c>
      <x:c r="Z1111" s="38" t="n">
        <x:v>0.0943</x:v>
      </x:c>
      <x:c r="AA1111" s="38" t="n">
        <x:v>0.03485</x:v>
      </x:c>
      <x:c r="AB1111" s="38" t="n">
        <x:v>0.000246</x:v>
      </x:c>
      <x:c r="AC1111" s="38" t="n">
        <x:v>0.11650150000000001</x:v>
      </x:c>
      <x:c r="AD1111" s="28" t="n">
        <x:v>0.2490905106289722</x:v>
      </x:c>
    </x:row>
    <x:row r="1112">
      <x:c r="A1112" s="32" t="n">
        <x:v>46048</x:v>
      </x:c>
      <x:c r="B1112" s="32" t="n">
        <x:v>46023</x:v>
      </x:c>
      <x:c r="C1112" t="str">
        <x:v>Jan 2026</x:v>
      </x:c>
      <x:c r="D1112" t="str">
        <x:v>Forecast</x:v>
      </x:c>
      <x:c r="E1112" t="str">
        <x:v>DB-102</x:v>
      </x:c>
      <x:c r="F1112" t="str">
        <x:v>GlowPatch Balm</x:v>
      </x:c>
      <x:c r="G1112" t="str">
        <x:v>Consumable repeat</x:v>
      </x:c>
      <x:c r="H1112" t="str">
        <x:v>None</x:v>
      </x:c>
      <x:c r="I1112" t="str">
        <x:v>Active</x:v>
      </x:c>
      <x:c r="J1112" t="str">
        <x:v>TikTok Shop</x:v>
      </x:c>
      <x:c r="K1112" t="str">
        <x:v>Social Commerce</x:v>
      </x:c>
      <x:c r="L1112" t="str">
        <x:v>All Geographies</x:v>
      </x:c>
      <x:c r="M1112" s="34" t="n">
        <x:v>1179</x:v>
      </x:c>
      <x:c r="N1112" s="28" t="n">
        <x:v>0.0535248</x:v>
      </x:c>
      <x:c r="O1112" s="34" t="n">
        <x:v>63</x:v>
      </x:c>
      <x:c r="P1112" s="34" t="n">
        <x:v>1</x:v>
      </x:c>
      <x:c r="Q1112" s="34" t="n">
        <x:v>63</x:v>
      </x:c>
      <x:c r="R1112" s="33" t="n">
        <x:v>18</x:v>
      </x:c>
      <x:c r="S1112" s="38" t="n">
        <x:v>1.134</x:v>
      </x:c>
      <x:c r="T1112" s="38" t="n">
        <x:v>0.13607999999999998</x:v>
      </x:c>
      <x:c r="U1112" s="38" t="n">
        <x:v>0.024947999999999998</x:v>
      </x:c>
      <x:c r="V1112" s="38" t="n">
        <x:v>0.972972</x:v>
      </x:c>
      <x:c r="W1112" s="38" t="n">
        <x:v>0.34082999999999997</x:v>
      </x:c>
      <x:c r="X1112" s="38" t="n">
        <x:v>0.028216188</x:v>
      </x:c>
      <x:c r="Y1112" s="38" t="n">
        <x:v>0.05837832</x:v>
      </x:c>
      <x:c r="Z1112" s="38" t="n">
        <x:v>0.3213</x:v>
      </x:c>
      <x:c r="AA1112" s="38" t="n">
        <x:v>0.11025</x:v>
      </x:c>
      <x:c r="AB1112" s="38" t="n">
        <x:v>0.000378</x:v>
      </x:c>
      <x:c r="AC1112" s="38" t="n">
        <x:v>0.11361949199999999</x:v>
      </x:c>
      <x:c r="AD1112" s="28" t="n">
        <x:v>0.11677570577570577</x:v>
      </x:c>
    </x:row>
    <x:row r="1113">
      <x:c r="A1113" s="32" t="n">
        <x:v>46048</x:v>
      </x:c>
      <x:c r="B1113" s="32" t="n">
        <x:v>46023</x:v>
      </x:c>
      <x:c r="C1113" t="str">
        <x:v>Jan 2026</x:v>
      </x:c>
      <x:c r="D1113" t="str">
        <x:v>Forecast</x:v>
      </x:c>
      <x:c r="E1113" t="str">
        <x:v>DB-103</x:v>
      </x:c>
      <x:c r="F1113" t="str">
        <x:v>EmberTrail Camp Mug</x:v>
      </x:c>
      <x:c r="G1113" t="str">
        <x:v>One-time purchase</x:v>
      </x:c>
      <x:c r="H1113" t="str">
        <x:v>Winter peak</x:v>
      </x:c>
      <x:c r="I1113" t="str">
        <x:v>Active</x:v>
      </x:c>
      <x:c r="J1113" t="str">
        <x:v>Shopify DTC</x:v>
      </x:c>
      <x:c r="K1113" t="str">
        <x:v>Consumer</x:v>
      </x:c>
      <x:c r="L1113" t="str">
        <x:v>All Geographies</x:v>
      </x:c>
      <x:c r="M1113" s="34" t="n">
        <x:v>6162</x:v>
      </x:c>
      <x:c r="N1113" s="28" t="n">
        <x:v>0.0324</x:v>
      </x:c>
      <x:c r="O1113" s="34" t="n">
        <x:v>200</x:v>
      </x:c>
      <x:c r="P1113" s="34" t="n">
        <x:v>1</x:v>
      </x:c>
      <x:c r="Q1113" s="34" t="n">
        <x:v>200</x:v>
      </x:c>
      <x:c r="R1113" s="33" t="n">
        <x:v>34</x:v>
      </x:c>
      <x:c r="S1113" s="38" t="n">
        <x:v>6.8</x:v>
      </x:c>
      <x:c r="T1113" s="38" t="n">
        <x:v>0.544</x:v>
      </x:c>
      <x:c r="U1113" s="38" t="n">
        <x:v>0.34408</x:v>
      </x:c>
      <x:c r="V1113" s="38" t="n">
        <x:v>5.91192</x:v>
      </x:c>
      <x:c r="W1113" s="38" t="n">
        <x:v>2.734</x:v>
      </x:c>
      <x:c r="X1113" s="38" t="n">
        <x:v>0.17144568000000002</x:v>
      </x:c>
      <x:c r="Y1113" s="38" t="n">
        <x:v>0</x:v>
      </x:c>
      <x:c r="Z1113" s="38" t="n">
        <x:v>0.8300000000000001</x:v>
      </x:c>
      <x:c r="AA1113" s="38" t="n">
        <x:v>0.33</x:v>
      </x:c>
      <x:c r="AB1113" s="38" t="n">
        <x:v>0.011200000000000002</x:v>
      </x:c>
      <x:c r="AC1113" s="38" t="n">
        <x:v>1.83527432</x:v>
      </x:c>
      <x:c r="AD1113" s="28" t="n">
        <x:v>0.31043625759482535</x:v>
      </x:c>
    </x:row>
    <x:row r="1114">
      <x:c r="A1114" s="32" t="n">
        <x:v>46048</x:v>
      </x:c>
      <x:c r="B1114" s="32" t="n">
        <x:v>46023</x:v>
      </x:c>
      <x:c r="C1114" t="str">
        <x:v>Jan 2026</x:v>
      </x:c>
      <x:c r="D1114" t="str">
        <x:v>Forecast</x:v>
      </x:c>
      <x:c r="E1114" t="str">
        <x:v>DB-103</x:v>
      </x:c>
      <x:c r="F1114" t="str">
        <x:v>EmberTrail Camp Mug</x:v>
      </x:c>
      <x:c r="G1114" t="str">
        <x:v>One-time purchase</x:v>
      </x:c>
      <x:c r="H1114" t="str">
        <x:v>Winter peak</x:v>
      </x:c>
      <x:c r="I1114" t="str">
        <x:v>Active</x:v>
      </x:c>
      <x:c r="J1114" t="str">
        <x:v>Amazon Marketplace</x:v>
      </x:c>
      <x:c r="K1114" t="str">
        <x:v>Marketplace Consumer</x:v>
      </x:c>
      <x:c r="L1114" t="str">
        <x:v>All Geographies</x:v>
      </x:c>
      <x:c r="M1114" s="34" t="n">
        <x:v>3081</x:v>
      </x:c>
      <x:c r="N1114" s="28" t="n">
        <x:v>0.038231999999999995</x:v>
      </x:c>
      <x:c r="O1114" s="34" t="n">
        <x:v>118</x:v>
      </x:c>
      <x:c r="P1114" s="34" t="n">
        <x:v>1</x:v>
      </x:c>
      <x:c r="Q1114" s="34" t="n">
        <x:v>118</x:v>
      </x:c>
      <x:c r="R1114" s="33" t="n">
        <x:v>34</x:v>
      </x:c>
      <x:c r="S1114" s="38" t="n">
        <x:v>4.012</x:v>
      </x:c>
      <x:c r="T1114" s="38" t="n">
        <x:v>0.2006</x:v>
      </x:c>
      <x:c r="U1114" s="38" t="n">
        <x:v>0.20962699999999998</x:v>
      </x:c>
      <x:c r="V1114" s="38" t="n">
        <x:v>3.6017729999999997</x:v>
      </x:c>
      <x:c r="W1114" s="38" t="n">
        <x:v>1.61306</x:v>
      </x:c>
      <x:c r="X1114" s="38" t="n">
        <x:v>0</x:v>
      </x:c>
      <x:c r="Y1114" s="38" t="n">
        <x:v>0.5402659499999999</x:v>
      </x:c>
      <x:c r="Z1114" s="38" t="n">
        <x:v>0.6136</x:v>
      </x:c>
      <x:c r="AA1114" s="38" t="n">
        <x:v>0.2537</x:v>
      </x:c>
      <x:c r="AB1114" s="38" t="n">
        <x:v>0.006608</x:v>
      </x:c>
      <x:c r="AC1114" s="38" t="n">
        <x:v>0.57453905</x:v>
      </x:c>
      <x:c r="AD1114" s="28" t="n">
        <x:v>0.15951561911314235</x:v>
      </x:c>
    </x:row>
    <x:row r="1115">
      <x:c r="A1115" s="32" t="n">
        <x:v>46048</x:v>
      </x:c>
      <x:c r="B1115" s="32" t="n">
        <x:v>46023</x:v>
      </x:c>
      <x:c r="C1115" t="str">
        <x:v>Jan 2026</x:v>
      </x:c>
      <x:c r="D1115" t="str">
        <x:v>Forecast</x:v>
      </x:c>
      <x:c r="E1115" t="str">
        <x:v>DB-103</x:v>
      </x:c>
      <x:c r="F1115" t="str">
        <x:v>EmberTrail Camp Mug</x:v>
      </x:c>
      <x:c r="G1115" t="str">
        <x:v>One-time purchase</x:v>
      </x:c>
      <x:c r="H1115" t="str">
        <x:v>Winter peak</x:v>
      </x:c>
      <x:c r="I1115" t="str">
        <x:v>Active</x:v>
      </x:c>
      <x:c r="J1115" t="str">
        <x:v>Wholesale</x:v>
      </x:c>
      <x:c r="K1115" t="str">
        <x:v>Retailer</x:v>
      </x:c>
      <x:c r="L1115" t="str">
        <x:v>All Geographies</x:v>
      </x:c>
      <x:c r="M1115" s="34" t="n">
        <x:v>1849</x:v>
      </x:c>
      <x:c r="N1115" s="28" t="n">
        <x:v>0.017820000000000003</x:v>
      </x:c>
      <x:c r="O1115" s="34" t="n">
        <x:v>33</x:v>
      </x:c>
      <x:c r="P1115" s="34" t="n">
        <x:v>1</x:v>
      </x:c>
      <x:c r="Q1115" s="34" t="n">
        <x:v>33</x:v>
      </x:c>
      <x:c r="R1115" s="33" t="n">
        <x:v>34</x:v>
      </x:c>
      <x:c r="S1115" s="38" t="n">
        <x:v>1.122</x:v>
      </x:c>
      <x:c r="T1115" s="38" t="n">
        <x:v>0.3927</x:v>
      </x:c>
      <x:c r="U1115" s="38" t="n">
        <x:v>0.0401115</x:v>
      </x:c>
      <x:c r="V1115" s="38" t="n">
        <x:v>0.6891885000000001</x:v>
      </x:c>
      <x:c r="W1115" s="38" t="n">
        <x:v>0.45111</x:v>
      </x:c>
      <x:c r="X1115" s="38" t="n">
        <x:v>0</x:v>
      </x:c>
      <x:c r="Y1115" s="38" t="n">
        <x:v>0</x:v>
      </x:c>
      <x:c r="Z1115" s="38" t="n">
        <x:v>0.0759</x:v>
      </x:c>
      <x:c r="AA1115" s="38" t="n">
        <x:v>0.028050000000000002</x:v>
      </x:c>
      <x:c r="AB1115" s="38" t="n">
        <x:v>0.001848</x:v>
      </x:c>
      <x:c r="AC1115" s="38" t="n">
        <x:v>0.1322805000000001</x:v>
      </x:c>
      <x:c r="AD1115" s="28" t="n">
        <x:v>0.19193660370130972</x:v>
      </x:c>
    </x:row>
    <x:row r="1116">
      <x:c r="A1116" s="32" t="n">
        <x:v>46048</x:v>
      </x:c>
      <x:c r="B1116" s="32" t="n">
        <x:v>46023</x:v>
      </x:c>
      <x:c r="C1116" t="str">
        <x:v>Jan 2026</x:v>
      </x:c>
      <x:c r="D1116" t="str">
        <x:v>Forecast</x:v>
      </x:c>
      <x:c r="E1116" t="str">
        <x:v>DB-103</x:v>
      </x:c>
      <x:c r="F1116" t="str">
        <x:v>EmberTrail Camp Mug</x:v>
      </x:c>
      <x:c r="G1116" t="str">
        <x:v>One-time purchase</x:v>
      </x:c>
      <x:c r="H1116" t="str">
        <x:v>Winter peak</x:v>
      </x:c>
      <x:c r="I1116" t="str">
        <x:v>Active</x:v>
      </x:c>
      <x:c r="J1116" t="str">
        <x:v>TikTok Shop</x:v>
      </x:c>
      <x:c r="K1116" t="str">
        <x:v>Social Commerce</x:v>
      </x:c>
      <x:c r="L1116" t="str">
        <x:v>All Geographies</x:v>
      </x:c>
      <x:c r="M1116" s="34" t="n">
        <x:v>1232</x:v>
      </x:c>
      <x:c r="N1116" s="28" t="n">
        <x:v>0.040824</x:v>
      </x:c>
      <x:c r="O1116" s="34" t="n">
        <x:v>50</x:v>
      </x:c>
      <x:c r="P1116" s="34" t="n">
        <x:v>1</x:v>
      </x:c>
      <x:c r="Q1116" s="34" t="n">
        <x:v>50</x:v>
      </x:c>
      <x:c r="R1116" s="33" t="n">
        <x:v>34</x:v>
      </x:c>
      <x:c r="S1116" s="38" t="n">
        <x:v>1.7</x:v>
      </x:c>
      <x:c r="T1116" s="38" t="n">
        <x:v>0.204</x:v>
      </x:c>
      <x:c r="U1116" s="38" t="n">
        <x:v>0.08228</x:v>
      </x:c>
      <x:c r="V1116" s="38" t="n">
        <x:v>1.41372</x:v>
      </x:c>
      <x:c r="W1116" s="38" t="n">
        <x:v>0.6835</x:v>
      </x:c>
      <x:c r="X1116" s="38" t="n">
        <x:v>0.04099788000000001</x:v>
      </x:c>
      <x:c r="Y1116" s="38" t="n">
        <x:v>0.0848232</x:v>
      </x:c>
      <x:c r="Z1116" s="38" t="n">
        <x:v>0.25499999999999995</x:v>
      </x:c>
      <x:c r="AA1116" s="38" t="n">
        <x:v>0.0875</x:v>
      </x:c>
      <x:c r="AB1116" s="38" t="n">
        <x:v>0.0028000000000000004</x:v>
      </x:c>
      <x:c r="AC1116" s="38" t="n">
        <x:v>0.2590989200000001</x:v>
      </x:c>
      <x:c r="AD1116" s="28" t="n">
        <x:v>0.18327456639221354</x:v>
      </x:c>
    </x:row>
    <x:row r="1117">
      <x:c r="A1117" s="32" t="n">
        <x:v>46048</x:v>
      </x:c>
      <x:c r="B1117" s="32" t="n">
        <x:v>46023</x:v>
      </x:c>
      <x:c r="C1117" t="str">
        <x:v>Jan 2026</x:v>
      </x:c>
      <x:c r="D1117" t="str">
        <x:v>Forecast</x:v>
      </x:c>
      <x:c r="E1117" t="str">
        <x:v>DB-104</x:v>
      </x:c>
      <x:c r="F1117" t="str">
        <x:v>SunNest Cooling Towel</x:v>
      </x:c>
      <x:c r="G1117" t="str">
        <x:v>Consumable repeat</x:v>
      </x:c>
      <x:c r="H1117" t="str">
        <x:v>Summer peak</x:v>
      </x:c>
      <x:c r="I1117" t="str">
        <x:v>Active</x:v>
      </x:c>
      <x:c r="J1117" t="str">
        <x:v>Shopify DTC</x:v>
      </x:c>
      <x:c r="K1117" t="str">
        <x:v>Consumer</x:v>
      </x:c>
      <x:c r="L1117" t="str">
        <x:v>All Geographies</x:v>
      </x:c>
      <x:c r="M1117" s="34" t="n">
        <x:v>3578</x:v>
      </x:c>
      <x:c r="N1117" s="28" t="n">
        <x:v>0.03312</x:v>
      </x:c>
      <x:c r="O1117" s="34" t="n">
        <x:v>119</x:v>
      </x:c>
      <x:c r="P1117" s="34" t="n">
        <x:v>1</x:v>
      </x:c>
      <x:c r="Q1117" s="34" t="n">
        <x:v>119</x:v>
      </x:c>
      <x:c r="R1117" s="33" t="n">
        <x:v>42</x:v>
      </x:c>
      <x:c r="S1117" s="38" t="n">
        <x:v>4.998</x:v>
      </x:c>
      <x:c r="T1117" s="38" t="n">
        <x:v>0.39984000000000003</x:v>
      </x:c>
      <x:c r="U1117" s="38" t="n">
        <x:v>0.229908</x:v>
      </x:c>
      <x:c r="V1117" s="38" t="n">
        <x:v>4.368252</x:v>
      </x:c>
      <x:c r="W1117" s="38" t="n">
        <x:v>1.79095</x:v>
      </x:c>
      <x:c r="X1117" s="38" t="n">
        <x:v>0.12667930800000002</x:v>
      </x:c>
      <x:c r="Y1117" s="38" t="n">
        <x:v>0</x:v>
      </x:c>
      <x:c r="Z1117" s="38" t="n">
        <x:v>0.49385</x:v>
      </x:c>
      <x:c r="AA1117" s="38" t="n">
        <x:v>0.19635</x:v>
      </x:c>
      <x:c r="AB1117" s="38" t="n">
        <x:v>0.003332</x:v>
      </x:c>
      <x:c r="AC1117" s="38" t="n">
        <x:v>1.757090692</x:v>
      </x:c>
      <x:c r="AD1117" s="28" t="n">
        <x:v>0.40224114634412117</x:v>
      </x:c>
    </x:row>
    <x:row r="1118">
      <x:c r="A1118" s="32" t="n">
        <x:v>46048</x:v>
      </x:c>
      <x:c r="B1118" s="32" t="n">
        <x:v>46023</x:v>
      </x:c>
      <x:c r="C1118" t="str">
        <x:v>Jan 2026</x:v>
      </x:c>
      <x:c r="D1118" t="str">
        <x:v>Forecast</x:v>
      </x:c>
      <x:c r="E1118" t="str">
        <x:v>DB-104</x:v>
      </x:c>
      <x:c r="F1118" t="str">
        <x:v>SunNest Cooling Towel</x:v>
      </x:c>
      <x:c r="G1118" t="str">
        <x:v>Consumable repeat</x:v>
      </x:c>
      <x:c r="H1118" t="str">
        <x:v>Summer peak</x:v>
      </x:c>
      <x:c r="I1118" t="str">
        <x:v>Active</x:v>
      </x:c>
      <x:c r="J1118" t="str">
        <x:v>Amazon Marketplace</x:v>
      </x:c>
      <x:c r="K1118" t="str">
        <x:v>Marketplace Consumer</x:v>
      </x:c>
      <x:c r="L1118" t="str">
        <x:v>All Geographies</x:v>
      </x:c>
      <x:c r="M1118" s="34" t="n">
        <x:v>1789</x:v>
      </x:c>
      <x:c r="N1118" s="28" t="n">
        <x:v>0.0390816</x:v>
      </x:c>
      <x:c r="O1118" s="34" t="n">
        <x:v>70</x:v>
      </x:c>
      <x:c r="P1118" s="34" t="n">
        <x:v>1</x:v>
      </x:c>
      <x:c r="Q1118" s="34" t="n">
        <x:v>70</x:v>
      </x:c>
      <x:c r="R1118" s="33" t="n">
        <x:v>42</x:v>
      </x:c>
      <x:c r="S1118" s="38" t="n">
        <x:v>2.94</x:v>
      </x:c>
      <x:c r="T1118" s="38" t="n">
        <x:v>0.147</x:v>
      </x:c>
      <x:c r="U1118" s="38" t="n">
        <x:v>0.13965000000000002</x:v>
      </x:c>
      <x:c r="V1118" s="38" t="n">
        <x:v>2.65335</x:v>
      </x:c>
      <x:c r="W1118" s="38" t="n">
        <x:v>1.0535</x:v>
      </x:c>
      <x:c r="X1118" s="38" t="n">
        <x:v>0</x:v>
      </x:c>
      <x:c r="Y1118" s="38" t="n">
        <x:v>0.3980025</x:v>
      </x:c>
      <x:c r="Z1118" s="38" t="n">
        <x:v>0.364</x:v>
      </x:c>
      <x:c r="AA1118" s="38" t="n">
        <x:v>0.1505</x:v>
      </x:c>
      <x:c r="AB1118" s="38" t="n">
        <x:v>0.00196</x:v>
      </x:c>
      <x:c r="AC1118" s="38" t="n">
        <x:v>0.6853875</x:v>
      </x:c>
      <x:c r="AD1118" s="28" t="n">
        <x:v>0.25831024930747926</x:v>
      </x:c>
    </x:row>
    <x:row r="1119">
      <x:c r="A1119" s="32" t="n">
        <x:v>46048</x:v>
      </x:c>
      <x:c r="B1119" s="32" t="n">
        <x:v>46023</x:v>
      </x:c>
      <x:c r="C1119" t="str">
        <x:v>Jan 2026</x:v>
      </x:c>
      <x:c r="D1119" t="str">
        <x:v>Forecast</x:v>
      </x:c>
      <x:c r="E1119" t="str">
        <x:v>DB-104</x:v>
      </x:c>
      <x:c r="F1119" t="str">
        <x:v>SunNest Cooling Towel</x:v>
      </x:c>
      <x:c r="G1119" t="str">
        <x:v>Consumable repeat</x:v>
      </x:c>
      <x:c r="H1119" t="str">
        <x:v>Summer peak</x:v>
      </x:c>
      <x:c r="I1119" t="str">
        <x:v>Active</x:v>
      </x:c>
      <x:c r="J1119" t="str">
        <x:v>Wholesale</x:v>
      </x:c>
      <x:c r="K1119" t="str">
        <x:v>Retailer</x:v>
      </x:c>
      <x:c r="L1119" t="str">
        <x:v>All Geographies</x:v>
      </x:c>
      <x:c r="M1119" s="34" t="n">
        <x:v>1073</x:v>
      </x:c>
      <x:c r="N1119" s="28" t="n">
        <x:v>0.018216000000000003</x:v>
      </x:c>
      <x:c r="O1119" s="34" t="n">
        <x:v>20</x:v>
      </x:c>
      <x:c r="P1119" s="34" t="n">
        <x:v>1</x:v>
      </x:c>
      <x:c r="Q1119" s="34" t="n">
        <x:v>20</x:v>
      </x:c>
      <x:c r="R1119" s="33" t="n">
        <x:v>42</x:v>
      </x:c>
      <x:c r="S1119" s="38" t="n">
        <x:v>0.84</x:v>
      </x:c>
      <x:c r="T1119" s="38" t="n">
        <x:v>0.294</x:v>
      </x:c>
      <x:c r="U1119" s="38" t="n">
        <x:v>0.027300000000000005</x:v>
      </x:c>
      <x:c r="V1119" s="38" t="n">
        <x:v>0.5187</x:v>
      </x:c>
      <x:c r="W1119" s="38" t="n">
        <x:v>0.301</x:v>
      </x:c>
      <x:c r="X1119" s="38" t="n">
        <x:v>0</x:v>
      </x:c>
      <x:c r="Y1119" s="38" t="n">
        <x:v>0</x:v>
      </x:c>
      <x:c r="Z1119" s="38" t="n">
        <x:v>0.046</x:v>
      </x:c>
      <x:c r="AA1119" s="38" t="n">
        <x:v>0.017</x:v>
      </x:c>
      <x:c r="AB1119" s="38" t="n">
        <x:v>0.00056</x:v>
      </x:c>
      <x:c r="AC1119" s="38" t="n">
        <x:v>0.15414000000000005</x:v>
      </x:c>
      <x:c r="AD1119" s="28" t="n">
        <x:v>0.2971659919028341</x:v>
      </x:c>
    </x:row>
    <x:row r="1120">
      <x:c r="A1120" s="32" t="n">
        <x:v>46048</x:v>
      </x:c>
      <x:c r="B1120" s="32" t="n">
        <x:v>46023</x:v>
      </x:c>
      <x:c r="C1120" t="str">
        <x:v>Jan 2026</x:v>
      </x:c>
      <x:c r="D1120" t="str">
        <x:v>Forecast</x:v>
      </x:c>
      <x:c r="E1120" t="str">
        <x:v>DB-104</x:v>
      </x:c>
      <x:c r="F1120" t="str">
        <x:v>SunNest Cooling Towel</x:v>
      </x:c>
      <x:c r="G1120" t="str">
        <x:v>Consumable repeat</x:v>
      </x:c>
      <x:c r="H1120" t="str">
        <x:v>Summer peak</x:v>
      </x:c>
      <x:c r="I1120" t="str">
        <x:v>Active</x:v>
      </x:c>
      <x:c r="J1120" t="str">
        <x:v>TikTok Shop</x:v>
      </x:c>
      <x:c r="K1120" t="str">
        <x:v>Social Commerce</x:v>
      </x:c>
      <x:c r="L1120" t="str">
        <x:v>All Geographies</x:v>
      </x:c>
      <x:c r="M1120" s="34" t="n">
        <x:v>716</x:v>
      </x:c>
      <x:c r="N1120" s="28" t="n">
        <x:v>0.0417312</x:v>
      </x:c>
      <x:c r="O1120" s="34" t="n">
        <x:v>30</x:v>
      </x:c>
      <x:c r="P1120" s="34" t="n">
        <x:v>1</x:v>
      </x:c>
      <x:c r="Q1120" s="34" t="n">
        <x:v>30</x:v>
      </x:c>
      <x:c r="R1120" s="33" t="n">
        <x:v>42</x:v>
      </x:c>
      <x:c r="S1120" s="38" t="n">
        <x:v>1.26</x:v>
      </x:c>
      <x:c r="T1120" s="38" t="n">
        <x:v>0.1512</x:v>
      </x:c>
      <x:c r="U1120" s="38" t="n">
        <x:v>0.05544</x:v>
      </x:c>
      <x:c r="V1120" s="38" t="n">
        <x:v>1.05336</x:v>
      </x:c>
      <x:c r="W1120" s="38" t="n">
        <x:v>0.4515</x:v>
      </x:c>
      <x:c r="X1120" s="38" t="n">
        <x:v>0.030547440000000002</x:v>
      </x:c>
      <x:c r="Y1120" s="38" t="n">
        <x:v>0.0632016</x:v>
      </x:c>
      <x:c r="Z1120" s="38" t="n">
        <x:v>0.153</x:v>
      </x:c>
      <x:c r="AA1120" s="38" t="n">
        <x:v>0.0525</x:v>
      </x:c>
      <x:c r="AB1120" s="38" t="n">
        <x:v>0.0008399999999999999</x:v>
      </x:c>
      <x:c r="AC1120" s="38" t="n">
        <x:v>0.3017709600000001</x:v>
      </x:c>
      <x:c r="AD1120" s="28" t="n">
        <x:v>0.28648416495784923</x:v>
      </x:c>
    </x:row>
    <x:row r="1121">
      <x:c r="A1121" s="32" t="n">
        <x:v>46048</x:v>
      </x:c>
      <x:c r="B1121" s="32" t="n">
        <x:v>46023</x:v>
      </x:c>
      <x:c r="C1121" t="str">
        <x:v>Jan 2026</x:v>
      </x:c>
      <x:c r="D1121" t="str">
        <x:v>Forecast</x:v>
      </x:c>
      <x:c r="E1121" t="str">
        <x:v>DB-105</x:v>
      </x:c>
      <x:c r="F1121" t="str">
        <x:v>DreamFuel Refill Pack</x:v>
      </x:c>
      <x:c r="G1121" t="str">
        <x:v>Subscription</x:v>
      </x:c>
      <x:c r="H1121" t="str">
        <x:v>None</x:v>
      </x:c>
      <x:c r="I1121" t="str">
        <x:v>Active</x:v>
      </x:c>
      <x:c r="J1121" t="str">
        <x:v>Shopify DTC</x:v>
      </x:c>
      <x:c r="K1121" t="str">
        <x:v>Consumer</x:v>
      </x:c>
      <x:c r="L1121" t="str">
        <x:v>All Geographies</x:v>
      </x:c>
      <x:c r="M1121" s="34" t="n">
        <x:v>5051</x:v>
      </x:c>
      <x:c r="N1121" s="28" t="n">
        <x:v>0.03888</x:v>
      </x:c>
      <x:c r="O1121" s="34" t="n">
        <x:v>196</x:v>
      </x:c>
      <x:c r="P1121" s="34" t="n">
        <x:v>1</x:v>
      </x:c>
      <x:c r="Q1121" s="34" t="n">
        <x:v>196</x:v>
      </x:c>
      <x:c r="R1121" s="33" t="n">
        <x:v>56</x:v>
      </x:c>
      <x:c r="S1121" s="38" t="n">
        <x:v>10.976</x:v>
      </x:c>
      <x:c r="T1121" s="38" t="n">
        <x:v>0.8780800000000001</x:v>
      </x:c>
      <x:c r="U1121" s="38" t="n">
        <x:v>0.2019584</x:v>
      </x:c>
      <x:c r="V1121" s="38" t="n">
        <x:v>9.8959616</x:v>
      </x:c>
      <x:c r="W1121" s="38" t="n">
        <x:v>3.64952</x:v>
      </x:c>
      <x:c r="X1121" s="38" t="n">
        <x:v>0.2869828864</x:v>
      </x:c>
      <x:c r="Y1121" s="38" t="n">
        <x:v>0</x:v>
      </x:c>
      <x:c r="Z1121" s="38" t="n">
        <x:v>0.8134000000000001</x:v>
      </x:c>
      <x:c r="AA1121" s="38" t="n">
        <x:v>0.32339999999999997</x:v>
      </x:c>
      <x:c r="AB1121" s="38" t="n">
        <x:v>0.0007055999999999999</x:v>
      </x:c>
      <x:c r="AC1121" s="38" t="n">
        <x:v>4.8219531136</x:v>
      </x:c>
      <x:c r="AD1121" s="28" t="n">
        <x:v>0.4872647357079478</x:v>
      </x:c>
    </x:row>
    <x:row r="1122">
      <x:c r="A1122" s="32" t="n">
        <x:v>46048</x:v>
      </x:c>
      <x:c r="B1122" s="32" t="n">
        <x:v>46023</x:v>
      </x:c>
      <x:c r="C1122" t="str">
        <x:v>Jan 2026</x:v>
      </x:c>
      <x:c r="D1122" t="str">
        <x:v>Forecast</x:v>
      </x:c>
      <x:c r="E1122" t="str">
        <x:v>DB-105</x:v>
      </x:c>
      <x:c r="F1122" t="str">
        <x:v>DreamFuel Refill Pack</x:v>
      </x:c>
      <x:c r="G1122" t="str">
        <x:v>Subscription</x:v>
      </x:c>
      <x:c r="H1122" t="str">
        <x:v>None</x:v>
      </x:c>
      <x:c r="I1122" t="str">
        <x:v>Active</x:v>
      </x:c>
      <x:c r="J1122" t="str">
        <x:v>Amazon Marketplace</x:v>
      </x:c>
      <x:c r="K1122" t="str">
        <x:v>Marketplace Consumer</x:v>
      </x:c>
      <x:c r="L1122" t="str">
        <x:v>All Geographies</x:v>
      </x:c>
      <x:c r="M1122" s="34" t="n">
        <x:v>2525</x:v>
      </x:c>
      <x:c r="N1122" s="28" t="n">
        <x:v>0.0458784</x:v>
      </x:c>
      <x:c r="O1122" s="34" t="n">
        <x:v>116</x:v>
      </x:c>
      <x:c r="P1122" s="34" t="n">
        <x:v>1</x:v>
      </x:c>
      <x:c r="Q1122" s="34" t="n">
        <x:v>116</x:v>
      </x:c>
      <x:c r="R1122" s="33" t="n">
        <x:v>56</x:v>
      </x:c>
      <x:c r="S1122" s="38" t="n">
        <x:v>6.496</x:v>
      </x:c>
      <x:c r="T1122" s="38" t="n">
        <x:v>0.32480000000000003</x:v>
      </x:c>
      <x:c r="U1122" s="38" t="n">
        <x:v>0.12342400000000002</x:v>
      </x:c>
      <x:c r="V1122" s="38" t="n">
        <x:v>6.047776000000001</x:v>
      </x:c>
      <x:c r="W1122" s="38" t="n">
        <x:v>2.15992</x:v>
      </x:c>
      <x:c r="X1122" s="38" t="n">
        <x:v>0</x:v>
      </x:c>
      <x:c r="Y1122" s="38" t="n">
        <x:v>0.9071664</x:v>
      </x:c>
      <x:c r="Z1122" s="38" t="n">
        <x:v>0.6032000000000001</x:v>
      </x:c>
      <x:c r="AA1122" s="38" t="n">
        <x:v>0.24939999999999998</x:v>
      </x:c>
      <x:c r="AB1122" s="38" t="n">
        <x:v>0.0004176</x:v>
      </x:c>
      <x:c r="AC1122" s="38" t="n">
        <x:v>2.1276720000000005</x:v>
      </x:c>
      <x:c r="AD1122" s="28" t="n">
        <x:v>0.35181064907165877</x:v>
      </x:c>
    </x:row>
    <x:row r="1123">
      <x:c r="A1123" s="32" t="n">
        <x:v>46048</x:v>
      </x:c>
      <x:c r="B1123" s="32" t="n">
        <x:v>46023</x:v>
      </x:c>
      <x:c r="C1123" t="str">
        <x:v>Jan 2026</x:v>
      </x:c>
      <x:c r="D1123" t="str">
        <x:v>Forecast</x:v>
      </x:c>
      <x:c r="E1123" t="str">
        <x:v>DB-105</x:v>
      </x:c>
      <x:c r="F1123" t="str">
        <x:v>DreamFuel Refill Pack</x:v>
      </x:c>
      <x:c r="G1123" t="str">
        <x:v>Subscription</x:v>
      </x:c>
      <x:c r="H1123" t="str">
        <x:v>None</x:v>
      </x:c>
      <x:c r="I1123" t="str">
        <x:v>Active</x:v>
      </x:c>
      <x:c r="J1123" t="str">
        <x:v>Wholesale</x:v>
      </x:c>
      <x:c r="K1123" t="str">
        <x:v>Retailer</x:v>
      </x:c>
      <x:c r="L1123" t="str">
        <x:v>All Geographies</x:v>
      </x:c>
      <x:c r="M1123" s="34" t="n">
        <x:v>1515</x:v>
      </x:c>
      <x:c r="N1123" s="28" t="n">
        <x:v>0.021384000000000004</x:v>
      </x:c>
      <x:c r="O1123" s="34" t="n">
        <x:v>32</x:v>
      </x:c>
      <x:c r="P1123" s="34" t="n">
        <x:v>1</x:v>
      </x:c>
      <x:c r="Q1123" s="34" t="n">
        <x:v>32</x:v>
      </x:c>
      <x:c r="R1123" s="33" t="n">
        <x:v>56</x:v>
      </x:c>
      <x:c r="S1123" s="38" t="n">
        <x:v>1.792</x:v>
      </x:c>
      <x:c r="T1123" s="38" t="n">
        <x:v>0.6272</x:v>
      </x:c>
      <x:c r="U1123" s="38" t="n">
        <x:v>0.023296</x:v>
      </x:c>
      <x:c r="V1123" s="38" t="n">
        <x:v>1.141504</x:v>
      </x:c>
      <x:c r="W1123" s="38" t="n">
        <x:v>0.59584</x:v>
      </x:c>
      <x:c r="X1123" s="38" t="n">
        <x:v>0</x:v>
      </x:c>
      <x:c r="Y1123" s="38" t="n">
        <x:v>0</x:v>
      </x:c>
      <x:c r="Z1123" s="38" t="n">
        <x:v>0.0736</x:v>
      </x:c>
      <x:c r="AA1123" s="38" t="n">
        <x:v>0.0272</x:v>
      </x:c>
      <x:c r="AB1123" s="38" t="n">
        <x:v>0.0001152</x:v>
      </x:c>
      <x:c r="AC1123" s="38" t="n">
        <x:v>0.44474880000000006</x:v>
      </x:c>
      <x:c r="AD1123" s="28" t="n">
        <x:v>0.3896165059430366</x:v>
      </x:c>
    </x:row>
    <x:row r="1124">
      <x:c r="A1124" s="32" t="n">
        <x:v>46048</x:v>
      </x:c>
      <x:c r="B1124" s="32" t="n">
        <x:v>46023</x:v>
      </x:c>
      <x:c r="C1124" t="str">
        <x:v>Jan 2026</x:v>
      </x:c>
      <x:c r="D1124" t="str">
        <x:v>Forecast</x:v>
      </x:c>
      <x:c r="E1124" t="str">
        <x:v>DB-105</x:v>
      </x:c>
      <x:c r="F1124" t="str">
        <x:v>DreamFuel Refill Pack</x:v>
      </x:c>
      <x:c r="G1124" t="str">
        <x:v>Subscription</x:v>
      </x:c>
      <x:c r="H1124" t="str">
        <x:v>None</x:v>
      </x:c>
      <x:c r="I1124" t="str">
        <x:v>Active</x:v>
      </x:c>
      <x:c r="J1124" t="str">
        <x:v>TikTok Shop</x:v>
      </x:c>
      <x:c r="K1124" t="str">
        <x:v>Social Commerce</x:v>
      </x:c>
      <x:c r="L1124" t="str">
        <x:v>All Geographies</x:v>
      </x:c>
      <x:c r="M1124" s="34" t="n">
        <x:v>1010</x:v>
      </x:c>
      <x:c r="N1124" s="28" t="n">
        <x:v>0.0489888</x:v>
      </x:c>
      <x:c r="O1124" s="34" t="n">
        <x:v>49</x:v>
      </x:c>
      <x:c r="P1124" s="34" t="n">
        <x:v>1</x:v>
      </x:c>
      <x:c r="Q1124" s="34" t="n">
        <x:v>49</x:v>
      </x:c>
      <x:c r="R1124" s="33" t="n">
        <x:v>56</x:v>
      </x:c>
      <x:c r="S1124" s="38" t="n">
        <x:v>2.744</x:v>
      </x:c>
      <x:c r="T1124" s="38" t="n">
        <x:v>0.32928</x:v>
      </x:c>
      <x:c r="U1124" s="38" t="n">
        <x:v>0.0482944</x:v>
      </x:c>
      <x:c r="V1124" s="38" t="n">
        <x:v>2.3664256</x:v>
      </x:c>
      <x:c r="W1124" s="38" t="n">
        <x:v>0.91238</x:v>
      </x:c>
      <x:c r="X1124" s="38" t="n">
        <x:v>0.0686263424</x:v>
      </x:c>
      <x:c r="Y1124" s="38" t="n">
        <x:v>0.141985536</x:v>
      </x:c>
      <x:c r="Z1124" s="38" t="n">
        <x:v>0.24989999999999998</x:v>
      </x:c>
      <x:c r="AA1124" s="38" t="n">
        <x:v>0.08575</x:v>
      </x:c>
      <x:c r="AB1124" s="38" t="n">
        <x:v>0.00017639999999999998</x:v>
      </x:c>
      <x:c r="AC1124" s="38" t="n">
        <x:v>0.9076073216</x:v>
      </x:c>
      <x:c r="AD1124" s="28" t="n">
        <x:v>0.3835351179432812</x:v>
      </x:c>
    </x:row>
    <x:row r="1125">
      <x:c r="A1125" s="32" t="n">
        <x:v>46055</x:v>
      </x:c>
      <x:c r="B1125" s="32" t="n">
        <x:v>46054</x:v>
      </x:c>
      <x:c r="C1125" t="str">
        <x:v>Feb 2026</x:v>
      </x:c>
      <x:c r="D1125" t="str">
        <x:v>Forecast</x:v>
      </x:c>
      <x:c r="E1125" t="str">
        <x:v>DB-101</x:v>
      </x:c>
      <x:c r="F1125" t="str">
        <x:v>AeroSip Bottle</x:v>
      </x:c>
      <x:c r="G1125" t="str">
        <x:v>One-time purchase</x:v>
      </x:c>
      <x:c r="H1125" t="str">
        <x:v>None</x:v>
      </x:c>
      <x:c r="I1125" t="str">
        <x:v>Active</x:v>
      </x:c>
      <x:c r="J1125" t="str">
        <x:v>Shopify DTC</x:v>
      </x:c>
      <x:c r="K1125" t="str">
        <x:v>Consumer</x:v>
      </x:c>
      <x:c r="L1125" t="str">
        <x:v>All Geographies</x:v>
      </x:c>
      <x:c r="M1125" s="34" t="n">
        <x:v>7296</x:v>
      </x:c>
      <x:c r="N1125" s="28" t="n">
        <x:v>0.034199999999999994</x:v>
      </x:c>
      <x:c r="O1125" s="34" t="n">
        <x:v>250</x:v>
      </x:c>
      <x:c r="P1125" s="34" t="n">
        <x:v>1</x:v>
      </x:c>
      <x:c r="Q1125" s="34" t="n">
        <x:v>250</x:v>
      </x:c>
      <x:c r="R1125" s="33" t="n">
        <x:v>29</x:v>
      </x:c>
      <x:c r="S1125" s="38" t="n">
        <x:v>7.25</x:v>
      </x:c>
      <x:c r="T1125" s="38" t="n">
        <x:v>0.58</x:v>
      </x:c>
      <x:c r="U1125" s="38" t="n">
        <x:v>0.30015</x:v>
      </x:c>
      <x:c r="V1125" s="38" t="n">
        <x:v>6.36985</x:v>
      </x:c>
      <x:c r="W1125" s="38" t="n">
        <x:v>2.7</x:v>
      </x:c>
      <x:c r="X1125" s="38" t="n">
        <x:v>0.18472565</x:v>
      </x:c>
      <x:c r="Y1125" s="38" t="n">
        <x:v>0</x:v>
      </x:c>
      <x:c r="Z1125" s="38" t="n">
        <x:v>1.0375</x:v>
      </x:c>
      <x:c r="AA1125" s="38" t="n">
        <x:v>0.4125</x:v>
      </x:c>
      <x:c r="AB1125" s="38" t="n">
        <x:v>0.009</x:v>
      </x:c>
      <x:c r="AC1125" s="38" t="n">
        <x:v>2.0261243499999995</x:v>
      </x:c>
      <x:c r="AD1125" s="28" t="n">
        <x:v>0.31808038650831644</x:v>
      </x:c>
    </x:row>
    <x:row r="1126">
      <x:c r="A1126" s="32" t="n">
        <x:v>46055</x:v>
      </x:c>
      <x:c r="B1126" s="32" t="n">
        <x:v>46054</x:v>
      </x:c>
      <x:c r="C1126" t="str">
        <x:v>Feb 2026</x:v>
      </x:c>
      <x:c r="D1126" t="str">
        <x:v>Forecast</x:v>
      </x:c>
      <x:c r="E1126" t="str">
        <x:v>DB-101</x:v>
      </x:c>
      <x:c r="F1126" t="str">
        <x:v>AeroSip Bottle</x:v>
      </x:c>
      <x:c r="G1126" t="str">
        <x:v>One-time purchase</x:v>
      </x:c>
      <x:c r="H1126" t="str">
        <x:v>None</x:v>
      </x:c>
      <x:c r="I1126" t="str">
        <x:v>Active</x:v>
      </x:c>
      <x:c r="J1126" t="str">
        <x:v>Amazon Marketplace</x:v>
      </x:c>
      <x:c r="K1126" t="str">
        <x:v>Marketplace Consumer</x:v>
      </x:c>
      <x:c r="L1126" t="str">
        <x:v>All Geographies</x:v>
      </x:c>
      <x:c r="M1126" s="34" t="n">
        <x:v>3648</x:v>
      </x:c>
      <x:c r="N1126" s="28" t="n">
        <x:v>0.040355999999999996</x:v>
      </x:c>
      <x:c r="O1126" s="34" t="n">
        <x:v>147</x:v>
      </x:c>
      <x:c r="P1126" s="34" t="n">
        <x:v>1</x:v>
      </x:c>
      <x:c r="Q1126" s="34" t="n">
        <x:v>147</x:v>
      </x:c>
      <x:c r="R1126" s="33" t="n">
        <x:v>29</x:v>
      </x:c>
      <x:c r="S1126" s="38" t="n">
        <x:v>4.263</x:v>
      </x:c>
      <x:c r="T1126" s="38" t="n">
        <x:v>0.21315</x:v>
      </x:c>
      <x:c r="U1126" s="38" t="n">
        <x:v>0.18224325</x:v>
      </x:c>
      <x:c r="V1126" s="38" t="n">
        <x:v>3.86760675</x:v>
      </x:c>
      <x:c r="W1126" s="38" t="n">
        <x:v>1.5876000000000001</x:v>
      </x:c>
      <x:c r="X1126" s="38" t="n">
        <x:v>0</x:v>
      </x:c>
      <x:c r="Y1126" s="38" t="n">
        <x:v>0.5801410125</x:v>
      </x:c>
      <x:c r="Z1126" s="38" t="n">
        <x:v>0.7644</x:v>
      </x:c>
      <x:c r="AA1126" s="38" t="n">
        <x:v>0.31605</x:v>
      </x:c>
      <x:c r="AB1126" s="38" t="n">
        <x:v>0.005292</x:v>
      </x:c>
      <x:c r="AC1126" s="38" t="n">
        <x:v>0.6141237375000003</x:v>
      </x:c>
      <x:c r="AD1126" s="28" t="n">
        <x:v>0.15878649955815705</x:v>
      </x:c>
    </x:row>
    <x:row r="1127">
      <x:c r="A1127" s="32" t="n">
        <x:v>46055</x:v>
      </x:c>
      <x:c r="B1127" s="32" t="n">
        <x:v>46054</x:v>
      </x:c>
      <x:c r="C1127" t="str">
        <x:v>Feb 2026</x:v>
      </x:c>
      <x:c r="D1127" t="str">
        <x:v>Forecast</x:v>
      </x:c>
      <x:c r="E1127" t="str">
        <x:v>DB-101</x:v>
      </x:c>
      <x:c r="F1127" t="str">
        <x:v>AeroSip Bottle</x:v>
      </x:c>
      <x:c r="G1127" t="str">
        <x:v>One-time purchase</x:v>
      </x:c>
      <x:c r="H1127" t="str">
        <x:v>None</x:v>
      </x:c>
      <x:c r="I1127" t="str">
        <x:v>Active</x:v>
      </x:c>
      <x:c r="J1127" t="str">
        <x:v>Wholesale</x:v>
      </x:c>
      <x:c r="K1127" t="str">
        <x:v>Retailer</x:v>
      </x:c>
      <x:c r="L1127" t="str">
        <x:v>All Geographies</x:v>
      </x:c>
      <x:c r="M1127" s="34" t="n">
        <x:v>2189</x:v>
      </x:c>
      <x:c r="N1127" s="28" t="n">
        <x:v>0.01881</x:v>
      </x:c>
      <x:c r="O1127" s="34" t="n">
        <x:v>41</x:v>
      </x:c>
      <x:c r="P1127" s="34" t="n">
        <x:v>1</x:v>
      </x:c>
      <x:c r="Q1127" s="34" t="n">
        <x:v>41</x:v>
      </x:c>
      <x:c r="R1127" s="33" t="n">
        <x:v>29</x:v>
      </x:c>
      <x:c r="S1127" s="38" t="n">
        <x:v>1.189</x:v>
      </x:c>
      <x:c r="T1127" s="38" t="n">
        <x:v>0.41615</x:v>
      </x:c>
      <x:c r="U1127" s="38" t="n">
        <x:v>0.034778250000000004</x:v>
      </x:c>
      <x:c r="V1127" s="38" t="n">
        <x:v>0.73807175</x:v>
      </x:c>
      <x:c r="W1127" s="38" t="n">
        <x:v>0.4428</x:v>
      </x:c>
      <x:c r="X1127" s="38" t="n">
        <x:v>0</x:v>
      </x:c>
      <x:c r="Y1127" s="38" t="n">
        <x:v>0</x:v>
      </x:c>
      <x:c r="Z1127" s="38" t="n">
        <x:v>0.0943</x:v>
      </x:c>
      <x:c r="AA1127" s="38" t="n">
        <x:v>0.03485</x:v>
      </x:c>
      <x:c r="AB1127" s="38" t="n">
        <x:v>0.0014759999999999999</x:v>
      </x:c>
      <x:c r="AC1127" s="38" t="n">
        <x:v>0.16464575</x:v>
      </x:c>
      <x:c r="AD1127" s="28" t="n">
        <x:v>0.22307553432305194</x:v>
      </x:c>
    </x:row>
    <x:row r="1128">
      <x:c r="A1128" s="32" t="n">
        <x:v>46055</x:v>
      </x:c>
      <x:c r="B1128" s="32" t="n">
        <x:v>46054</x:v>
      </x:c>
      <x:c r="C1128" t="str">
        <x:v>Feb 2026</x:v>
      </x:c>
      <x:c r="D1128" t="str">
        <x:v>Forecast</x:v>
      </x:c>
      <x:c r="E1128" t="str">
        <x:v>DB-101</x:v>
      </x:c>
      <x:c r="F1128" t="str">
        <x:v>AeroSip Bottle</x:v>
      </x:c>
      <x:c r="G1128" t="str">
        <x:v>One-time purchase</x:v>
      </x:c>
      <x:c r="H1128" t="str">
        <x:v>None</x:v>
      </x:c>
      <x:c r="I1128" t="str">
        <x:v>Active</x:v>
      </x:c>
      <x:c r="J1128" t="str">
        <x:v>TikTok Shop</x:v>
      </x:c>
      <x:c r="K1128" t="str">
        <x:v>Social Commerce</x:v>
      </x:c>
      <x:c r="L1128" t="str">
        <x:v>All Geographies</x:v>
      </x:c>
      <x:c r="M1128" s="34" t="n">
        <x:v>1459</x:v>
      </x:c>
      <x:c r="N1128" s="28" t="n">
        <x:v>0.043092</x:v>
      </x:c>
      <x:c r="O1128" s="34" t="n">
        <x:v>63</x:v>
      </x:c>
      <x:c r="P1128" s="34" t="n">
        <x:v>1</x:v>
      </x:c>
      <x:c r="Q1128" s="34" t="n">
        <x:v>63</x:v>
      </x:c>
      <x:c r="R1128" s="33" t="n">
        <x:v>29</x:v>
      </x:c>
      <x:c r="S1128" s="38" t="n">
        <x:v>1.827</x:v>
      </x:c>
      <x:c r="T1128" s="38" t="n">
        <x:v>0.21924</x:v>
      </x:c>
      <x:c r="U1128" s="38" t="n">
        <x:v>0.07234919999999999</x:v>
      </x:c>
      <x:c r="V1128" s="38" t="n">
        <x:v>1.5354108</x:v>
      </x:c>
      <x:c r="W1128" s="38" t="n">
        <x:v>0.6804000000000001</x:v>
      </x:c>
      <x:c r="X1128" s="38" t="n">
        <x:v>0.044526913200000004</x:v>
      </x:c>
      <x:c r="Y1128" s="38" t="n">
        <x:v>0.09212464799999999</x:v>
      </x:c>
      <x:c r="Z1128" s="38" t="n">
        <x:v>0.3213</x:v>
      </x:c>
      <x:c r="AA1128" s="38" t="n">
        <x:v>0.11025</x:v>
      </x:c>
      <x:c r="AB1128" s="38" t="n">
        <x:v>0.0022679999999999996</x:v>
      </x:c>
      <x:c r="AC1128" s="38" t="n">
        <x:v>0.2845412387999999</x:v>
      </x:c>
      <x:c r="AD1128" s="28" t="n">
        <x:v>0.18531928966501987</x:v>
      </x:c>
    </x:row>
    <x:row r="1129">
      <x:c r="A1129" s="32" t="n">
        <x:v>46055</x:v>
      </x:c>
      <x:c r="B1129" s="32" t="n">
        <x:v>46054</x:v>
      </x:c>
      <x:c r="C1129" t="str">
        <x:v>Feb 2026</x:v>
      </x:c>
      <x:c r="D1129" t="str">
        <x:v>Forecast</x:v>
      </x:c>
      <x:c r="E1129" t="str">
        <x:v>DB-102</x:v>
      </x:c>
      <x:c r="F1129" t="str">
        <x:v>GlowPatch Balm</x:v>
      </x:c>
      <x:c r="G1129" t="str">
        <x:v>Consumable repeat</x:v>
      </x:c>
      <x:c r="H1129" t="str">
        <x:v>None</x:v>
      </x:c>
      <x:c r="I1129" t="str">
        <x:v>Active</x:v>
      </x:c>
      <x:c r="J1129" t="str">
        <x:v>Shopify DTC</x:v>
      </x:c>
      <x:c r="K1129" t="str">
        <x:v>Consumer</x:v>
      </x:c>
      <x:c r="L1129" t="str">
        <x:v>All Geographies</x:v>
      </x:c>
      <x:c r="M1129" s="34" t="n">
        <x:v>5893</x:v>
      </x:c>
      <x:c r="N1129" s="28" t="n">
        <x:v>0.04248</x:v>
      </x:c>
      <x:c r="O1129" s="34" t="n">
        <x:v>250</x:v>
      </x:c>
      <x:c r="P1129" s="34" t="n">
        <x:v>1</x:v>
      </x:c>
      <x:c r="Q1129" s="34" t="n">
        <x:v>250</x:v>
      </x:c>
      <x:c r="R1129" s="33" t="n">
        <x:v>18</x:v>
      </x:c>
      <x:c r="S1129" s="38" t="n">
        <x:v>4.5</x:v>
      </x:c>
      <x:c r="T1129" s="38" t="n">
        <x:v>0.36</x:v>
      </x:c>
      <x:c r="U1129" s="38" t="n">
        <x:v>0.1035</x:v>
      </x:c>
      <x:c r="V1129" s="38" t="n">
        <x:v>4.036499999999999</x:v>
      </x:c>
      <x:c r="W1129" s="38" t="n">
        <x:v>1.3525</x:v>
      </x:c>
      <x:c r="X1129" s="38" t="n">
        <x:v>0.11705849999999998</x:v>
      </x:c>
      <x:c r="Y1129" s="38" t="n">
        <x:v>0</x:v>
      </x:c>
      <x:c r="Z1129" s="38" t="n">
        <x:v>1.0375</x:v>
      </x:c>
      <x:c r="AA1129" s="38" t="n">
        <x:v>0.4125</x:v>
      </x:c>
      <x:c r="AB1129" s="38" t="n">
        <x:v>0.0015</x:v>
      </x:c>
      <x:c r="AC1129" s="38" t="n">
        <x:v>1.1154414999999989</x:v>
      </x:c>
      <x:c r="AD1129" s="28" t="n">
        <x:v>0.2763387835996529</x:v>
      </x:c>
    </x:row>
    <x:row r="1130">
      <x:c r="A1130" s="32" t="n">
        <x:v>46055</x:v>
      </x:c>
      <x:c r="B1130" s="32" t="n">
        <x:v>46054</x:v>
      </x:c>
      <x:c r="C1130" t="str">
        <x:v>Feb 2026</x:v>
      </x:c>
      <x:c r="D1130" t="str">
        <x:v>Forecast</x:v>
      </x:c>
      <x:c r="E1130" t="str">
        <x:v>DB-102</x:v>
      </x:c>
      <x:c r="F1130" t="str">
        <x:v>GlowPatch Balm</x:v>
      </x:c>
      <x:c r="G1130" t="str">
        <x:v>Consumable repeat</x:v>
      </x:c>
      <x:c r="H1130" t="str">
        <x:v>None</x:v>
      </x:c>
      <x:c r="I1130" t="str">
        <x:v>Active</x:v>
      </x:c>
      <x:c r="J1130" t="str">
        <x:v>Amazon Marketplace</x:v>
      </x:c>
      <x:c r="K1130" t="str">
        <x:v>Marketplace Consumer</x:v>
      </x:c>
      <x:c r="L1130" t="str">
        <x:v>All Geographies</x:v>
      </x:c>
      <x:c r="M1130" s="34" t="n">
        <x:v>2946</x:v>
      </x:c>
      <x:c r="N1130" s="28" t="n">
        <x:v>0.050126399999999995</x:v>
      </x:c>
      <x:c r="O1130" s="34" t="n">
        <x:v>148</x:v>
      </x:c>
      <x:c r="P1130" s="34" t="n">
        <x:v>1</x:v>
      </x:c>
      <x:c r="Q1130" s="34" t="n">
        <x:v>148</x:v>
      </x:c>
      <x:c r="R1130" s="33" t="n">
        <x:v>18</x:v>
      </x:c>
      <x:c r="S1130" s="38" t="n">
        <x:v>2.664</x:v>
      </x:c>
      <x:c r="T1130" s="38" t="n">
        <x:v>0.1332</x:v>
      </x:c>
      <x:c r="U1130" s="38" t="n">
        <x:v>0.06327</x:v>
      </x:c>
      <x:c r="V1130" s="38" t="n">
        <x:v>2.46753</x:v>
      </x:c>
      <x:c r="W1130" s="38" t="n">
        <x:v>0.8006800000000001</x:v>
      </x:c>
      <x:c r="X1130" s="38" t="n">
        <x:v>0</x:v>
      </x:c>
      <x:c r="Y1130" s="38" t="n">
        <x:v>0.3701295</x:v>
      </x:c>
      <x:c r="Z1130" s="38" t="n">
        <x:v>0.7696000000000001</x:v>
      </x:c>
      <x:c r="AA1130" s="38" t="n">
        <x:v>0.3182</x:v>
      </x:c>
      <x:c r="AB1130" s="38" t="n">
        <x:v>0.0008879999999999999</x:v>
      </x:c>
      <x:c r="AC1130" s="38" t="n">
        <x:v>0.2080324999999999</x:v>
      </x:c>
      <x:c r="AD1130" s="28" t="n">
        <x:v>0.084307992202729</x:v>
      </x:c>
    </x:row>
    <x:row r="1131">
      <x:c r="A1131" s="32" t="n">
        <x:v>46055</x:v>
      </x:c>
      <x:c r="B1131" s="32" t="n">
        <x:v>46054</x:v>
      </x:c>
      <x:c r="C1131" t="str">
        <x:v>Feb 2026</x:v>
      </x:c>
      <x:c r="D1131" t="str">
        <x:v>Forecast</x:v>
      </x:c>
      <x:c r="E1131" t="str">
        <x:v>DB-102</x:v>
      </x:c>
      <x:c r="F1131" t="str">
        <x:v>GlowPatch Balm</x:v>
      </x:c>
      <x:c r="G1131" t="str">
        <x:v>Consumable repeat</x:v>
      </x:c>
      <x:c r="H1131" t="str">
        <x:v>None</x:v>
      </x:c>
      <x:c r="I1131" t="str">
        <x:v>Active</x:v>
      </x:c>
      <x:c r="J1131" t="str">
        <x:v>Wholesale</x:v>
      </x:c>
      <x:c r="K1131" t="str">
        <x:v>Retailer</x:v>
      </x:c>
      <x:c r="L1131" t="str">
        <x:v>All Geographies</x:v>
      </x:c>
      <x:c r="M1131" s="34" t="n">
        <x:v>1768</x:v>
      </x:c>
      <x:c r="N1131" s="28" t="n">
        <x:v>0.023364</x:v>
      </x:c>
      <x:c r="O1131" s="34" t="n">
        <x:v>41</x:v>
      </x:c>
      <x:c r="P1131" s="34" t="n">
        <x:v>1</x:v>
      </x:c>
      <x:c r="Q1131" s="34" t="n">
        <x:v>41</x:v>
      </x:c>
      <x:c r="R1131" s="33" t="n">
        <x:v>18</x:v>
      </x:c>
      <x:c r="S1131" s="38" t="n">
        <x:v>0.738</x:v>
      </x:c>
      <x:c r="T1131" s="38" t="n">
        <x:v>0.2583</x:v>
      </x:c>
      <x:c r="U1131" s="38" t="n">
        <x:v>0.011992500000000001</x:v>
      </x:c>
      <x:c r="V1131" s="38" t="n">
        <x:v>0.4677075</x:v>
      </x:c>
      <x:c r="W1131" s="38" t="n">
        <x:v>0.22181</x:v>
      </x:c>
      <x:c r="X1131" s="38" t="n">
        <x:v>0</x:v>
      </x:c>
      <x:c r="Y1131" s="38" t="n">
        <x:v>0</x:v>
      </x:c>
      <x:c r="Z1131" s="38" t="n">
        <x:v>0.0943</x:v>
      </x:c>
      <x:c r="AA1131" s="38" t="n">
        <x:v>0.03485</x:v>
      </x:c>
      <x:c r="AB1131" s="38" t="n">
        <x:v>0.000246</x:v>
      </x:c>
      <x:c r="AC1131" s="38" t="n">
        <x:v>0.11650150000000001</x:v>
      </x:c>
      <x:c r="AD1131" s="28" t="n">
        <x:v>0.2490905106289722</x:v>
      </x:c>
    </x:row>
    <x:row r="1132">
      <x:c r="A1132" s="32" t="n">
        <x:v>46055</x:v>
      </x:c>
      <x:c r="B1132" s="32" t="n">
        <x:v>46054</x:v>
      </x:c>
      <x:c r="C1132" t="str">
        <x:v>Feb 2026</x:v>
      </x:c>
      <x:c r="D1132" t="str">
        <x:v>Forecast</x:v>
      </x:c>
      <x:c r="E1132" t="str">
        <x:v>DB-102</x:v>
      </x:c>
      <x:c r="F1132" t="str">
        <x:v>GlowPatch Balm</x:v>
      </x:c>
      <x:c r="G1132" t="str">
        <x:v>Consumable repeat</x:v>
      </x:c>
      <x:c r="H1132" t="str">
        <x:v>None</x:v>
      </x:c>
      <x:c r="I1132" t="str">
        <x:v>Active</x:v>
      </x:c>
      <x:c r="J1132" t="str">
        <x:v>TikTok Shop</x:v>
      </x:c>
      <x:c r="K1132" t="str">
        <x:v>Social Commerce</x:v>
      </x:c>
      <x:c r="L1132" t="str">
        <x:v>All Geographies</x:v>
      </x:c>
      <x:c r="M1132" s="34" t="n">
        <x:v>1179</x:v>
      </x:c>
      <x:c r="N1132" s="28" t="n">
        <x:v>0.0535248</x:v>
      </x:c>
      <x:c r="O1132" s="34" t="n">
        <x:v>63</x:v>
      </x:c>
      <x:c r="P1132" s="34" t="n">
        <x:v>1</x:v>
      </x:c>
      <x:c r="Q1132" s="34" t="n">
        <x:v>63</x:v>
      </x:c>
      <x:c r="R1132" s="33" t="n">
        <x:v>18</x:v>
      </x:c>
      <x:c r="S1132" s="38" t="n">
        <x:v>1.134</x:v>
      </x:c>
      <x:c r="T1132" s="38" t="n">
        <x:v>0.13607999999999998</x:v>
      </x:c>
      <x:c r="U1132" s="38" t="n">
        <x:v>0.024947999999999998</x:v>
      </x:c>
      <x:c r="V1132" s="38" t="n">
        <x:v>0.972972</x:v>
      </x:c>
      <x:c r="W1132" s="38" t="n">
        <x:v>0.34082999999999997</x:v>
      </x:c>
      <x:c r="X1132" s="38" t="n">
        <x:v>0.028216188</x:v>
      </x:c>
      <x:c r="Y1132" s="38" t="n">
        <x:v>0.05837832</x:v>
      </x:c>
      <x:c r="Z1132" s="38" t="n">
        <x:v>0.3213</x:v>
      </x:c>
      <x:c r="AA1132" s="38" t="n">
        <x:v>0.11025</x:v>
      </x:c>
      <x:c r="AB1132" s="38" t="n">
        <x:v>0.000378</x:v>
      </x:c>
      <x:c r="AC1132" s="38" t="n">
        <x:v>0.11361949199999999</x:v>
      </x:c>
      <x:c r="AD1132" s="28" t="n">
        <x:v>0.11677570577570577</x:v>
      </x:c>
    </x:row>
    <x:row r="1133">
      <x:c r="A1133" s="32" t="n">
        <x:v>46055</x:v>
      </x:c>
      <x:c r="B1133" s="32" t="n">
        <x:v>46054</x:v>
      </x:c>
      <x:c r="C1133" t="str">
        <x:v>Feb 2026</x:v>
      </x:c>
      <x:c r="D1133" t="str">
        <x:v>Forecast</x:v>
      </x:c>
      <x:c r="E1133" t="str">
        <x:v>DB-103</x:v>
      </x:c>
      <x:c r="F1133" t="str">
        <x:v>EmberTrail Camp Mug</x:v>
      </x:c>
      <x:c r="G1133" t="str">
        <x:v>One-time purchase</x:v>
      </x:c>
      <x:c r="H1133" t="str">
        <x:v>Winter peak</x:v>
      </x:c>
      <x:c r="I1133" t="str">
        <x:v>Active</x:v>
      </x:c>
      <x:c r="J1133" t="str">
        <x:v>Shopify DTC</x:v>
      </x:c>
      <x:c r="K1133" t="str">
        <x:v>Consumer</x:v>
      </x:c>
      <x:c r="L1133" t="str">
        <x:v>All Geographies</x:v>
      </x:c>
      <x:c r="M1133" s="34" t="n">
        <x:v>5455</x:v>
      </x:c>
      <x:c r="N1133" s="28" t="n">
        <x:v>0.0324</x:v>
      </x:c>
      <x:c r="O1133" s="34" t="n">
        <x:v>177</x:v>
      </x:c>
      <x:c r="P1133" s="34" t="n">
        <x:v>1</x:v>
      </x:c>
      <x:c r="Q1133" s="34" t="n">
        <x:v>177</x:v>
      </x:c>
      <x:c r="R1133" s="33" t="n">
        <x:v>34</x:v>
      </x:c>
      <x:c r="S1133" s="38" t="n">
        <x:v>6.018</x:v>
      </x:c>
      <x:c r="T1133" s="38" t="n">
        <x:v>0.48144</x:v>
      </x:c>
      <x:c r="U1133" s="38" t="n">
        <x:v>0.30451079999999997</x:v>
      </x:c>
      <x:c r="V1133" s="38" t="n">
        <x:v>5.2320492</x:v>
      </x:c>
      <x:c r="W1133" s="38" t="n">
        <x:v>2.4195900000000004</x:v>
      </x:c>
      <x:c r="X1133" s="38" t="n">
        <x:v>0.15172942679999998</x:v>
      </x:c>
      <x:c r="Y1133" s="38" t="n">
        <x:v>0</x:v>
      </x:c>
      <x:c r="Z1133" s="38" t="n">
        <x:v>0.73455</x:v>
      </x:c>
      <x:c r="AA1133" s="38" t="n">
        <x:v>0.29205000000000003</x:v>
      </x:c>
      <x:c r="AB1133" s="38" t="n">
        <x:v>0.009911999999999999</x:v>
      </x:c>
      <x:c r="AC1133" s="38" t="n">
        <x:v>1.6242177731999994</x:v>
      </x:c>
      <x:c r="AD1133" s="28" t="n">
        <x:v>0.3104362575948253</x:v>
      </x:c>
    </x:row>
    <x:row r="1134">
      <x:c r="A1134" s="32" t="n">
        <x:v>46055</x:v>
      </x:c>
      <x:c r="B1134" s="32" t="n">
        <x:v>46054</x:v>
      </x:c>
      <x:c r="C1134" t="str">
        <x:v>Feb 2026</x:v>
      </x:c>
      <x:c r="D1134" t="str">
        <x:v>Forecast</x:v>
      </x:c>
      <x:c r="E1134" t="str">
        <x:v>DB-103</x:v>
      </x:c>
      <x:c r="F1134" t="str">
        <x:v>EmberTrail Camp Mug</x:v>
      </x:c>
      <x:c r="G1134" t="str">
        <x:v>One-time purchase</x:v>
      </x:c>
      <x:c r="H1134" t="str">
        <x:v>Winter peak</x:v>
      </x:c>
      <x:c r="I1134" t="str">
        <x:v>Active</x:v>
      </x:c>
      <x:c r="J1134" t="str">
        <x:v>Amazon Marketplace</x:v>
      </x:c>
      <x:c r="K1134" t="str">
        <x:v>Marketplace Consumer</x:v>
      </x:c>
      <x:c r="L1134" t="str">
        <x:v>All Geographies</x:v>
      </x:c>
      <x:c r="M1134" s="34" t="n">
        <x:v>2727</x:v>
      </x:c>
      <x:c r="N1134" s="28" t="n">
        <x:v>0.038231999999999995</x:v>
      </x:c>
      <x:c r="O1134" s="34" t="n">
        <x:v>104</x:v>
      </x:c>
      <x:c r="P1134" s="34" t="n">
        <x:v>1</x:v>
      </x:c>
      <x:c r="Q1134" s="34" t="n">
        <x:v>104</x:v>
      </x:c>
      <x:c r="R1134" s="33" t="n">
        <x:v>34</x:v>
      </x:c>
      <x:c r="S1134" s="38" t="n">
        <x:v>3.536</x:v>
      </x:c>
      <x:c r="T1134" s="38" t="n">
        <x:v>0.1768</x:v>
      </x:c>
      <x:c r="U1134" s="38" t="n">
        <x:v>0.184756</x:v>
      </x:c>
      <x:c r="V1134" s="38" t="n">
        <x:v>3.174444</x:v>
      </x:c>
      <x:c r="W1134" s="38" t="n">
        <x:v>1.42168</x:v>
      </x:c>
      <x:c r="X1134" s="38" t="n">
        <x:v>0</x:v>
      </x:c>
      <x:c r="Y1134" s="38" t="n">
        <x:v>0.47616659999999994</x:v>
      </x:c>
      <x:c r="Z1134" s="38" t="n">
        <x:v>0.5408000000000001</x:v>
      </x:c>
      <x:c r="AA1134" s="38" t="n">
        <x:v>0.2236</x:v>
      </x:c>
      <x:c r="AB1134" s="38" t="n">
        <x:v>0.005824000000000001</x:v>
      </x:c>
      <x:c r="AC1134" s="38" t="n">
        <x:v>0.5063733999999996</x:v>
      </x:c>
      <x:c r="AD1134" s="28" t="n">
        <x:v>0.15951561911314222</x:v>
      </x:c>
    </x:row>
    <x:row r="1135">
      <x:c r="A1135" s="32" t="n">
        <x:v>46055</x:v>
      </x:c>
      <x:c r="B1135" s="32" t="n">
        <x:v>46054</x:v>
      </x:c>
      <x:c r="C1135" t="str">
        <x:v>Feb 2026</x:v>
      </x:c>
      <x:c r="D1135" t="str">
        <x:v>Forecast</x:v>
      </x:c>
      <x:c r="E1135" t="str">
        <x:v>DB-103</x:v>
      </x:c>
      <x:c r="F1135" t="str">
        <x:v>EmberTrail Camp Mug</x:v>
      </x:c>
      <x:c r="G1135" t="str">
        <x:v>One-time purchase</x:v>
      </x:c>
      <x:c r="H1135" t="str">
        <x:v>Winter peak</x:v>
      </x:c>
      <x:c r="I1135" t="str">
        <x:v>Active</x:v>
      </x:c>
      <x:c r="J1135" t="str">
        <x:v>Wholesale</x:v>
      </x:c>
      <x:c r="K1135" t="str">
        <x:v>Retailer</x:v>
      </x:c>
      <x:c r="L1135" t="str">
        <x:v>All Geographies</x:v>
      </x:c>
      <x:c r="M1135" s="34" t="n">
        <x:v>1636</x:v>
      </x:c>
      <x:c r="N1135" s="28" t="n">
        <x:v>0.017820000000000003</x:v>
      </x:c>
      <x:c r="O1135" s="34" t="n">
        <x:v>29</x:v>
      </x:c>
      <x:c r="P1135" s="34" t="n">
        <x:v>1</x:v>
      </x:c>
      <x:c r="Q1135" s="34" t="n">
        <x:v>29</x:v>
      </x:c>
      <x:c r="R1135" s="33" t="n">
        <x:v>34</x:v>
      </x:c>
      <x:c r="S1135" s="38" t="n">
        <x:v>0.986</x:v>
      </x:c>
      <x:c r="T1135" s="38" t="n">
        <x:v>0.34509999999999996</x:v>
      </x:c>
      <x:c r="U1135" s="38" t="n">
        <x:v>0.0352495</x:v>
      </x:c>
      <x:c r="V1135" s="38" t="n">
        <x:v>0.6056505</x:v>
      </x:c>
      <x:c r="W1135" s="38" t="n">
        <x:v>0.39643</x:v>
      </x:c>
      <x:c r="X1135" s="38" t="n">
        <x:v>0</x:v>
      </x:c>
      <x:c r="Y1135" s="38" t="n">
        <x:v>0</x:v>
      </x:c>
      <x:c r="Z1135" s="38" t="n">
        <x:v>0.0667</x:v>
      </x:c>
      <x:c r="AA1135" s="38" t="n">
        <x:v>0.02465</x:v>
      </x:c>
      <x:c r="AB1135" s="38" t="n">
        <x:v>0.001624</x:v>
      </x:c>
      <x:c r="AC1135" s="38" t="n">
        <x:v>0.11624649999999999</x:v>
      </x:c>
      <x:c r="AD1135" s="28" t="n">
        <x:v>0.19193660370130958</x:v>
      </x:c>
    </x:row>
    <x:row r="1136">
      <x:c r="A1136" s="32" t="n">
        <x:v>46055</x:v>
      </x:c>
      <x:c r="B1136" s="32" t="n">
        <x:v>46054</x:v>
      </x:c>
      <x:c r="C1136" t="str">
        <x:v>Feb 2026</x:v>
      </x:c>
      <x:c r="D1136" t="str">
        <x:v>Forecast</x:v>
      </x:c>
      <x:c r="E1136" t="str">
        <x:v>DB-103</x:v>
      </x:c>
      <x:c r="F1136" t="str">
        <x:v>EmberTrail Camp Mug</x:v>
      </x:c>
      <x:c r="G1136" t="str">
        <x:v>One-time purchase</x:v>
      </x:c>
      <x:c r="H1136" t="str">
        <x:v>Winter peak</x:v>
      </x:c>
      <x:c r="I1136" t="str">
        <x:v>Active</x:v>
      </x:c>
      <x:c r="J1136" t="str">
        <x:v>TikTok Shop</x:v>
      </x:c>
      <x:c r="K1136" t="str">
        <x:v>Social Commerce</x:v>
      </x:c>
      <x:c r="L1136" t="str">
        <x:v>All Geographies</x:v>
      </x:c>
      <x:c r="M1136" s="34" t="n">
        <x:v>1091</x:v>
      </x:c>
      <x:c r="N1136" s="28" t="n">
        <x:v>0.040824</x:v>
      </x:c>
      <x:c r="O1136" s="34" t="n">
        <x:v>45</x:v>
      </x:c>
      <x:c r="P1136" s="34" t="n">
        <x:v>1</x:v>
      </x:c>
      <x:c r="Q1136" s="34" t="n">
        <x:v>45</x:v>
      </x:c>
      <x:c r="R1136" s="33" t="n">
        <x:v>34</x:v>
      </x:c>
      <x:c r="S1136" s="38" t="n">
        <x:v>1.53</x:v>
      </x:c>
      <x:c r="T1136" s="38" t="n">
        <x:v>0.18359999999999999</x:v>
      </x:c>
      <x:c r="U1136" s="38" t="n">
        <x:v>0.074052</x:v>
      </x:c>
      <x:c r="V1136" s="38" t="n">
        <x:v>1.272348</x:v>
      </x:c>
      <x:c r="W1136" s="38" t="n">
        <x:v>0.61515</x:v>
      </x:c>
      <x:c r="X1136" s="38" t="n">
        <x:v>0.036898092</x:v>
      </x:c>
      <x:c r="Y1136" s="38" t="n">
        <x:v>0.07634088</x:v>
      </x:c>
      <x:c r="Z1136" s="38" t="n">
        <x:v>0.22949999999999998</x:v>
      </x:c>
      <x:c r="AA1136" s="38" t="n">
        <x:v>0.07875</x:v>
      </x:c>
      <x:c r="AB1136" s="38" t="n">
        <x:v>0.00252</x:v>
      </x:c>
      <x:c r="AC1136" s="38" t="n">
        <x:v>0.233189028</x:v>
      </x:c>
      <x:c r="AD1136" s="28" t="n">
        <x:v>0.18327456639221343</x:v>
      </x:c>
    </x:row>
    <x:row r="1137">
      <x:c r="A1137" s="32" t="n">
        <x:v>46055</x:v>
      </x:c>
      <x:c r="B1137" s="32" t="n">
        <x:v>46054</x:v>
      </x:c>
      <x:c r="C1137" t="str">
        <x:v>Feb 2026</x:v>
      </x:c>
      <x:c r="D1137" t="str">
        <x:v>Forecast</x:v>
      </x:c>
      <x:c r="E1137" t="str">
        <x:v>DB-104</x:v>
      </x:c>
      <x:c r="F1137" t="str">
        <x:v>SunNest Cooling Towel</x:v>
      </x:c>
      <x:c r="G1137" t="str">
        <x:v>Consumable repeat</x:v>
      </x:c>
      <x:c r="H1137" t="str">
        <x:v>Summer peak</x:v>
      </x:c>
      <x:c r="I1137" t="str">
        <x:v>Active</x:v>
      </x:c>
      <x:c r="J1137" t="str">
        <x:v>Shopify DTC</x:v>
      </x:c>
      <x:c r="K1137" t="str">
        <x:v>Consumer</x:v>
      </x:c>
      <x:c r="L1137" t="str">
        <x:v>All Geographies</x:v>
      </x:c>
      <x:c r="M1137" s="34" t="n">
        <x:v>3721</x:v>
      </x:c>
      <x:c r="N1137" s="28" t="n">
        <x:v>0.03312</x:v>
      </x:c>
      <x:c r="O1137" s="34" t="n">
        <x:v>123</x:v>
      </x:c>
      <x:c r="P1137" s="34" t="n">
        <x:v>1</x:v>
      </x:c>
      <x:c r="Q1137" s="34" t="n">
        <x:v>123</x:v>
      </x:c>
      <x:c r="R1137" s="33" t="n">
        <x:v>42</x:v>
      </x:c>
      <x:c r="S1137" s="38" t="n">
        <x:v>5.166</x:v>
      </x:c>
      <x:c r="T1137" s="38" t="n">
        <x:v>0.41328000000000004</x:v>
      </x:c>
      <x:c r="U1137" s="38" t="n">
        <x:v>0.23763600000000001</x:v>
      </x:c>
      <x:c r="V1137" s="38" t="n">
        <x:v>4.515084</x:v>
      </x:c>
      <x:c r="W1137" s="38" t="n">
        <x:v>1.85115</x:v>
      </x:c>
      <x:c r="X1137" s="38" t="n">
        <x:v>0.130937436</x:v>
      </x:c>
      <x:c r="Y1137" s="38" t="n">
        <x:v>0</x:v>
      </x:c>
      <x:c r="Z1137" s="38" t="n">
        <x:v>0.5104500000000001</x:v>
      </x:c>
      <x:c r="AA1137" s="38" t="n">
        <x:v>0.20295</x:v>
      </x:c>
      <x:c r="AB1137" s="38" t="n">
        <x:v>0.003444</x:v>
      </x:c>
      <x:c r="AC1137" s="38" t="n">
        <x:v>1.8161525639999998</x:v>
      </x:c>
      <x:c r="AD1137" s="28" t="n">
        <x:v>0.4022411463441211</x:v>
      </x:c>
    </x:row>
    <x:row r="1138">
      <x:c r="A1138" s="32" t="n">
        <x:v>46055</x:v>
      </x:c>
      <x:c r="B1138" s="32" t="n">
        <x:v>46054</x:v>
      </x:c>
      <x:c r="C1138" t="str">
        <x:v>Feb 2026</x:v>
      </x:c>
      <x:c r="D1138" t="str">
        <x:v>Forecast</x:v>
      </x:c>
      <x:c r="E1138" t="str">
        <x:v>DB-104</x:v>
      </x:c>
      <x:c r="F1138" t="str">
        <x:v>SunNest Cooling Towel</x:v>
      </x:c>
      <x:c r="G1138" t="str">
        <x:v>Consumable repeat</x:v>
      </x:c>
      <x:c r="H1138" t="str">
        <x:v>Summer peak</x:v>
      </x:c>
      <x:c r="I1138" t="str">
        <x:v>Active</x:v>
      </x:c>
      <x:c r="J1138" t="str">
        <x:v>Amazon Marketplace</x:v>
      </x:c>
      <x:c r="K1138" t="str">
        <x:v>Marketplace Consumer</x:v>
      </x:c>
      <x:c r="L1138" t="str">
        <x:v>All Geographies</x:v>
      </x:c>
      <x:c r="M1138" s="34" t="n">
        <x:v>1860</x:v>
      </x:c>
      <x:c r="N1138" s="28" t="n">
        <x:v>0.0390816</x:v>
      </x:c>
      <x:c r="O1138" s="34" t="n">
        <x:v>73</x:v>
      </x:c>
      <x:c r="P1138" s="34" t="n">
        <x:v>1</x:v>
      </x:c>
      <x:c r="Q1138" s="34" t="n">
        <x:v>73</x:v>
      </x:c>
      <x:c r="R1138" s="33" t="n">
        <x:v>42</x:v>
      </x:c>
      <x:c r="S1138" s="38" t="n">
        <x:v>3.066</x:v>
      </x:c>
      <x:c r="T1138" s="38" t="n">
        <x:v>0.1533</x:v>
      </x:c>
      <x:c r="U1138" s="38" t="n">
        <x:v>0.14563500000000001</x:v>
      </x:c>
      <x:c r="V1138" s="38" t="n">
        <x:v>2.767065</x:v>
      </x:c>
      <x:c r="W1138" s="38" t="n">
        <x:v>1.0986500000000001</x:v>
      </x:c>
      <x:c r="X1138" s="38" t="n">
        <x:v>0</x:v>
      </x:c>
      <x:c r="Y1138" s="38" t="n">
        <x:v>0.41505975</x:v>
      </x:c>
      <x:c r="Z1138" s="38" t="n">
        <x:v>0.37960000000000005</x:v>
      </x:c>
      <x:c r="AA1138" s="38" t="n">
        <x:v>0.15694999999999998</x:v>
      </x:c>
      <x:c r="AB1138" s="38" t="n">
        <x:v>0.0020440000000000002</x:v>
      </x:c>
      <x:c r="AC1138" s="38" t="n">
        <x:v>0.7147612499999999</x:v>
      </x:c>
      <x:c r="AD1138" s="28" t="n">
        <x:v>0.2583102493074792</x:v>
      </x:c>
    </x:row>
    <x:row r="1139">
      <x:c r="A1139" s="32" t="n">
        <x:v>46055</x:v>
      </x:c>
      <x:c r="B1139" s="32" t="n">
        <x:v>46054</x:v>
      </x:c>
      <x:c r="C1139" t="str">
        <x:v>Feb 2026</x:v>
      </x:c>
      <x:c r="D1139" t="str">
        <x:v>Forecast</x:v>
      </x:c>
      <x:c r="E1139" t="str">
        <x:v>DB-104</x:v>
      </x:c>
      <x:c r="F1139" t="str">
        <x:v>SunNest Cooling Towel</x:v>
      </x:c>
      <x:c r="G1139" t="str">
        <x:v>Consumable repeat</x:v>
      </x:c>
      <x:c r="H1139" t="str">
        <x:v>Summer peak</x:v>
      </x:c>
      <x:c r="I1139" t="str">
        <x:v>Active</x:v>
      </x:c>
      <x:c r="J1139" t="str">
        <x:v>Wholesale</x:v>
      </x:c>
      <x:c r="K1139" t="str">
        <x:v>Retailer</x:v>
      </x:c>
      <x:c r="L1139" t="str">
        <x:v>All Geographies</x:v>
      </x:c>
      <x:c r="M1139" s="34" t="n">
        <x:v>1116</x:v>
      </x:c>
      <x:c r="N1139" s="28" t="n">
        <x:v>0.018216000000000003</x:v>
      </x:c>
      <x:c r="O1139" s="34" t="n">
        <x:v>20</x:v>
      </x:c>
      <x:c r="P1139" s="34" t="n">
        <x:v>1</x:v>
      </x:c>
      <x:c r="Q1139" s="34" t="n">
        <x:v>20</x:v>
      </x:c>
      <x:c r="R1139" s="33" t="n">
        <x:v>42</x:v>
      </x:c>
      <x:c r="S1139" s="38" t="n">
        <x:v>0.84</x:v>
      </x:c>
      <x:c r="T1139" s="38" t="n">
        <x:v>0.294</x:v>
      </x:c>
      <x:c r="U1139" s="38" t="n">
        <x:v>0.027300000000000005</x:v>
      </x:c>
      <x:c r="V1139" s="38" t="n">
        <x:v>0.5187</x:v>
      </x:c>
      <x:c r="W1139" s="38" t="n">
        <x:v>0.301</x:v>
      </x:c>
      <x:c r="X1139" s="38" t="n">
        <x:v>0</x:v>
      </x:c>
      <x:c r="Y1139" s="38" t="n">
        <x:v>0</x:v>
      </x:c>
      <x:c r="Z1139" s="38" t="n">
        <x:v>0.046</x:v>
      </x:c>
      <x:c r="AA1139" s="38" t="n">
        <x:v>0.017</x:v>
      </x:c>
      <x:c r="AB1139" s="38" t="n">
        <x:v>0.00056</x:v>
      </x:c>
      <x:c r="AC1139" s="38" t="n">
        <x:v>0.15414000000000005</x:v>
      </x:c>
      <x:c r="AD1139" s="28" t="n">
        <x:v>0.2971659919028341</x:v>
      </x:c>
    </x:row>
    <x:row r="1140">
      <x:c r="A1140" s="32" t="n">
        <x:v>46055</x:v>
      </x:c>
      <x:c r="B1140" s="32" t="n">
        <x:v>46054</x:v>
      </x:c>
      <x:c r="C1140" t="str">
        <x:v>Feb 2026</x:v>
      </x:c>
      <x:c r="D1140" t="str">
        <x:v>Forecast</x:v>
      </x:c>
      <x:c r="E1140" t="str">
        <x:v>DB-104</x:v>
      </x:c>
      <x:c r="F1140" t="str">
        <x:v>SunNest Cooling Towel</x:v>
      </x:c>
      <x:c r="G1140" t="str">
        <x:v>Consumable repeat</x:v>
      </x:c>
      <x:c r="H1140" t="str">
        <x:v>Summer peak</x:v>
      </x:c>
      <x:c r="I1140" t="str">
        <x:v>Active</x:v>
      </x:c>
      <x:c r="J1140" t="str">
        <x:v>TikTok Shop</x:v>
      </x:c>
      <x:c r="K1140" t="str">
        <x:v>Social Commerce</x:v>
      </x:c>
      <x:c r="L1140" t="str">
        <x:v>All Geographies</x:v>
      </x:c>
      <x:c r="M1140" s="34" t="n">
        <x:v>744</x:v>
      </x:c>
      <x:c r="N1140" s="28" t="n">
        <x:v>0.0417312</x:v>
      </x:c>
      <x:c r="O1140" s="34" t="n">
        <x:v>31</x:v>
      </x:c>
      <x:c r="P1140" s="34" t="n">
        <x:v>1</x:v>
      </x:c>
      <x:c r="Q1140" s="34" t="n">
        <x:v>31</x:v>
      </x:c>
      <x:c r="R1140" s="33" t="n">
        <x:v>42</x:v>
      </x:c>
      <x:c r="S1140" s="38" t="n">
        <x:v>1.302</x:v>
      </x:c>
      <x:c r="T1140" s="38" t="n">
        <x:v>0.15624</x:v>
      </x:c>
      <x:c r="U1140" s="38" t="n">
        <x:v>0.057288000000000006</x:v>
      </x:c>
      <x:c r="V1140" s="38" t="n">
        <x:v>1.088472</x:v>
      </x:c>
      <x:c r="W1140" s="38" t="n">
        <x:v>0.46655</x:v>
      </x:c>
      <x:c r="X1140" s="38" t="n">
        <x:v>0.031565688</x:v>
      </x:c>
      <x:c r="Y1140" s="38" t="n">
        <x:v>0.06530832</x:v>
      </x:c>
      <x:c r="Z1140" s="38" t="n">
        <x:v>0.1581</x:v>
      </x:c>
      <x:c r="AA1140" s="38" t="n">
        <x:v>0.05425</x:v>
      </x:c>
      <x:c r="AB1140" s="38" t="n">
        <x:v>0.000868</x:v>
      </x:c>
      <x:c r="AC1140" s="38" t="n">
        <x:v>0.31182999200000006</x:v>
      </x:c>
      <x:c r="AD1140" s="28" t="n">
        <x:v>0.2864841649578492</x:v>
      </x:c>
    </x:row>
    <x:row r="1141">
      <x:c r="A1141" s="32" t="n">
        <x:v>46055</x:v>
      </x:c>
      <x:c r="B1141" s="32" t="n">
        <x:v>46054</x:v>
      </x:c>
      <x:c r="C1141" t="str">
        <x:v>Feb 2026</x:v>
      </x:c>
      <x:c r="D1141" t="str">
        <x:v>Forecast</x:v>
      </x:c>
      <x:c r="E1141" t="str">
        <x:v>DB-105</x:v>
      </x:c>
      <x:c r="F1141" t="str">
        <x:v>DreamFuel Refill Pack</x:v>
      </x:c>
      <x:c r="G1141" t="str">
        <x:v>Subscription</x:v>
      </x:c>
      <x:c r="H1141" t="str">
        <x:v>None</x:v>
      </x:c>
      <x:c r="I1141" t="str">
        <x:v>Active</x:v>
      </x:c>
      <x:c r="J1141" t="str">
        <x:v>Shopify DTC</x:v>
      </x:c>
      <x:c r="K1141" t="str">
        <x:v>Consumer</x:v>
      </x:c>
      <x:c r="L1141" t="str">
        <x:v>All Geographies</x:v>
      </x:c>
      <x:c r="M1141" s="34" t="n">
        <x:v>5051</x:v>
      </x:c>
      <x:c r="N1141" s="28" t="n">
        <x:v>0.03888</x:v>
      </x:c>
      <x:c r="O1141" s="34" t="n">
        <x:v>196</x:v>
      </x:c>
      <x:c r="P1141" s="34" t="n">
        <x:v>1</x:v>
      </x:c>
      <x:c r="Q1141" s="34" t="n">
        <x:v>196</x:v>
      </x:c>
      <x:c r="R1141" s="33" t="n">
        <x:v>56</x:v>
      </x:c>
      <x:c r="S1141" s="38" t="n">
        <x:v>10.976</x:v>
      </x:c>
      <x:c r="T1141" s="38" t="n">
        <x:v>0.8780800000000001</x:v>
      </x:c>
      <x:c r="U1141" s="38" t="n">
        <x:v>0.2019584</x:v>
      </x:c>
      <x:c r="V1141" s="38" t="n">
        <x:v>9.8959616</x:v>
      </x:c>
      <x:c r="W1141" s="38" t="n">
        <x:v>3.64952</x:v>
      </x:c>
      <x:c r="X1141" s="38" t="n">
        <x:v>0.2869828864</x:v>
      </x:c>
      <x:c r="Y1141" s="38" t="n">
        <x:v>0</x:v>
      </x:c>
      <x:c r="Z1141" s="38" t="n">
        <x:v>0.8134000000000001</x:v>
      </x:c>
      <x:c r="AA1141" s="38" t="n">
        <x:v>0.32339999999999997</x:v>
      </x:c>
      <x:c r="AB1141" s="38" t="n">
        <x:v>0.0007055999999999999</x:v>
      </x:c>
      <x:c r="AC1141" s="38" t="n">
        <x:v>4.8219531136</x:v>
      </x:c>
      <x:c r="AD1141" s="28" t="n">
        <x:v>0.4872647357079478</x:v>
      </x:c>
    </x:row>
    <x:row r="1142">
      <x:c r="A1142" s="32" t="n">
        <x:v>46055</x:v>
      </x:c>
      <x:c r="B1142" s="32" t="n">
        <x:v>46054</x:v>
      </x:c>
      <x:c r="C1142" t="str">
        <x:v>Feb 2026</x:v>
      </x:c>
      <x:c r="D1142" t="str">
        <x:v>Forecast</x:v>
      </x:c>
      <x:c r="E1142" t="str">
        <x:v>DB-105</x:v>
      </x:c>
      <x:c r="F1142" t="str">
        <x:v>DreamFuel Refill Pack</x:v>
      </x:c>
      <x:c r="G1142" t="str">
        <x:v>Subscription</x:v>
      </x:c>
      <x:c r="H1142" t="str">
        <x:v>None</x:v>
      </x:c>
      <x:c r="I1142" t="str">
        <x:v>Active</x:v>
      </x:c>
      <x:c r="J1142" t="str">
        <x:v>Amazon Marketplace</x:v>
      </x:c>
      <x:c r="K1142" t="str">
        <x:v>Marketplace Consumer</x:v>
      </x:c>
      <x:c r="L1142" t="str">
        <x:v>All Geographies</x:v>
      </x:c>
      <x:c r="M1142" s="34" t="n">
        <x:v>2525</x:v>
      </x:c>
      <x:c r="N1142" s="28" t="n">
        <x:v>0.0458784</x:v>
      </x:c>
      <x:c r="O1142" s="34" t="n">
        <x:v>116</x:v>
      </x:c>
      <x:c r="P1142" s="34" t="n">
        <x:v>1</x:v>
      </x:c>
      <x:c r="Q1142" s="34" t="n">
        <x:v>116</x:v>
      </x:c>
      <x:c r="R1142" s="33" t="n">
        <x:v>56</x:v>
      </x:c>
      <x:c r="S1142" s="38" t="n">
        <x:v>6.496</x:v>
      </x:c>
      <x:c r="T1142" s="38" t="n">
        <x:v>0.32480000000000003</x:v>
      </x:c>
      <x:c r="U1142" s="38" t="n">
        <x:v>0.12342400000000002</x:v>
      </x:c>
      <x:c r="V1142" s="38" t="n">
        <x:v>6.047776000000001</x:v>
      </x:c>
      <x:c r="W1142" s="38" t="n">
        <x:v>2.15992</x:v>
      </x:c>
      <x:c r="X1142" s="38" t="n">
        <x:v>0</x:v>
      </x:c>
      <x:c r="Y1142" s="38" t="n">
        <x:v>0.9071664</x:v>
      </x:c>
      <x:c r="Z1142" s="38" t="n">
        <x:v>0.6032000000000001</x:v>
      </x:c>
      <x:c r="AA1142" s="38" t="n">
        <x:v>0.24939999999999998</x:v>
      </x:c>
      <x:c r="AB1142" s="38" t="n">
        <x:v>0.0004176</x:v>
      </x:c>
      <x:c r="AC1142" s="38" t="n">
        <x:v>2.1276720000000005</x:v>
      </x:c>
      <x:c r="AD1142" s="28" t="n">
        <x:v>0.35181064907165877</x:v>
      </x:c>
    </x:row>
    <x:row r="1143">
      <x:c r="A1143" s="32" t="n">
        <x:v>46055</x:v>
      </x:c>
      <x:c r="B1143" s="32" t="n">
        <x:v>46054</x:v>
      </x:c>
      <x:c r="C1143" t="str">
        <x:v>Feb 2026</x:v>
      </x:c>
      <x:c r="D1143" t="str">
        <x:v>Forecast</x:v>
      </x:c>
      <x:c r="E1143" t="str">
        <x:v>DB-105</x:v>
      </x:c>
      <x:c r="F1143" t="str">
        <x:v>DreamFuel Refill Pack</x:v>
      </x:c>
      <x:c r="G1143" t="str">
        <x:v>Subscription</x:v>
      </x:c>
      <x:c r="H1143" t="str">
        <x:v>None</x:v>
      </x:c>
      <x:c r="I1143" t="str">
        <x:v>Active</x:v>
      </x:c>
      <x:c r="J1143" t="str">
        <x:v>Wholesale</x:v>
      </x:c>
      <x:c r="K1143" t="str">
        <x:v>Retailer</x:v>
      </x:c>
      <x:c r="L1143" t="str">
        <x:v>All Geographies</x:v>
      </x:c>
      <x:c r="M1143" s="34" t="n">
        <x:v>1515</x:v>
      </x:c>
      <x:c r="N1143" s="28" t="n">
        <x:v>0.021384000000000004</x:v>
      </x:c>
      <x:c r="O1143" s="34" t="n">
        <x:v>32</x:v>
      </x:c>
      <x:c r="P1143" s="34" t="n">
        <x:v>1</x:v>
      </x:c>
      <x:c r="Q1143" s="34" t="n">
        <x:v>32</x:v>
      </x:c>
      <x:c r="R1143" s="33" t="n">
        <x:v>56</x:v>
      </x:c>
      <x:c r="S1143" s="38" t="n">
        <x:v>1.792</x:v>
      </x:c>
      <x:c r="T1143" s="38" t="n">
        <x:v>0.6272</x:v>
      </x:c>
      <x:c r="U1143" s="38" t="n">
        <x:v>0.023296</x:v>
      </x:c>
      <x:c r="V1143" s="38" t="n">
        <x:v>1.141504</x:v>
      </x:c>
      <x:c r="W1143" s="38" t="n">
        <x:v>0.59584</x:v>
      </x:c>
      <x:c r="X1143" s="38" t="n">
        <x:v>0</x:v>
      </x:c>
      <x:c r="Y1143" s="38" t="n">
        <x:v>0</x:v>
      </x:c>
      <x:c r="Z1143" s="38" t="n">
        <x:v>0.0736</x:v>
      </x:c>
      <x:c r="AA1143" s="38" t="n">
        <x:v>0.0272</x:v>
      </x:c>
      <x:c r="AB1143" s="38" t="n">
        <x:v>0.0001152</x:v>
      </x:c>
      <x:c r="AC1143" s="38" t="n">
        <x:v>0.44474880000000006</x:v>
      </x:c>
      <x:c r="AD1143" s="28" t="n">
        <x:v>0.3896165059430366</x:v>
      </x:c>
    </x:row>
    <x:row r="1144">
      <x:c r="A1144" s="32" t="n">
        <x:v>46055</x:v>
      </x:c>
      <x:c r="B1144" s="32" t="n">
        <x:v>46054</x:v>
      </x:c>
      <x:c r="C1144" t="str">
        <x:v>Feb 2026</x:v>
      </x:c>
      <x:c r="D1144" t="str">
        <x:v>Forecast</x:v>
      </x:c>
      <x:c r="E1144" t="str">
        <x:v>DB-105</x:v>
      </x:c>
      <x:c r="F1144" t="str">
        <x:v>DreamFuel Refill Pack</x:v>
      </x:c>
      <x:c r="G1144" t="str">
        <x:v>Subscription</x:v>
      </x:c>
      <x:c r="H1144" t="str">
        <x:v>None</x:v>
      </x:c>
      <x:c r="I1144" t="str">
        <x:v>Active</x:v>
      </x:c>
      <x:c r="J1144" t="str">
        <x:v>TikTok Shop</x:v>
      </x:c>
      <x:c r="K1144" t="str">
        <x:v>Social Commerce</x:v>
      </x:c>
      <x:c r="L1144" t="str">
        <x:v>All Geographies</x:v>
      </x:c>
      <x:c r="M1144" s="34" t="n">
        <x:v>1010</x:v>
      </x:c>
      <x:c r="N1144" s="28" t="n">
        <x:v>0.0489888</x:v>
      </x:c>
      <x:c r="O1144" s="34" t="n">
        <x:v>49</x:v>
      </x:c>
      <x:c r="P1144" s="34" t="n">
        <x:v>1</x:v>
      </x:c>
      <x:c r="Q1144" s="34" t="n">
        <x:v>49</x:v>
      </x:c>
      <x:c r="R1144" s="33" t="n">
        <x:v>56</x:v>
      </x:c>
      <x:c r="S1144" s="38" t="n">
        <x:v>2.744</x:v>
      </x:c>
      <x:c r="T1144" s="38" t="n">
        <x:v>0.32928</x:v>
      </x:c>
      <x:c r="U1144" s="38" t="n">
        <x:v>0.0482944</x:v>
      </x:c>
      <x:c r="V1144" s="38" t="n">
        <x:v>2.3664256</x:v>
      </x:c>
      <x:c r="W1144" s="38" t="n">
        <x:v>0.91238</x:v>
      </x:c>
      <x:c r="X1144" s="38" t="n">
        <x:v>0.0686263424</x:v>
      </x:c>
      <x:c r="Y1144" s="38" t="n">
        <x:v>0.141985536</x:v>
      </x:c>
      <x:c r="Z1144" s="38" t="n">
        <x:v>0.24989999999999998</x:v>
      </x:c>
      <x:c r="AA1144" s="38" t="n">
        <x:v>0.08575</x:v>
      </x:c>
      <x:c r="AB1144" s="38" t="n">
        <x:v>0.00017639999999999998</x:v>
      </x:c>
      <x:c r="AC1144" s="38" t="n">
        <x:v>0.9076073216</x:v>
      </x:c>
      <x:c r="AD1144" s="28" t="n">
        <x:v>0.3835351179432812</x:v>
      </x:c>
    </x:row>
    <x:row r="1145">
      <x:c r="A1145" s="32" t="n">
        <x:v>46062</x:v>
      </x:c>
      <x:c r="B1145" s="32" t="n">
        <x:v>46054</x:v>
      </x:c>
      <x:c r="C1145" t="str">
        <x:v>Feb 2026</x:v>
      </x:c>
      <x:c r="D1145" t="str">
        <x:v>Forecast</x:v>
      </x:c>
      <x:c r="E1145" t="str">
        <x:v>DB-101</x:v>
      </x:c>
      <x:c r="F1145" t="str">
        <x:v>AeroSip Bottle</x:v>
      </x:c>
      <x:c r="G1145" t="str">
        <x:v>One-time purchase</x:v>
      </x:c>
      <x:c r="H1145" t="str">
        <x:v>None</x:v>
      </x:c>
      <x:c r="I1145" t="str">
        <x:v>Active</x:v>
      </x:c>
      <x:c r="J1145" t="str">
        <x:v>Shopify DTC</x:v>
      </x:c>
      <x:c r="K1145" t="str">
        <x:v>Consumer</x:v>
      </x:c>
      <x:c r="L1145" t="str">
        <x:v>All Geographies</x:v>
      </x:c>
      <x:c r="M1145" s="34" t="n">
        <x:v>7296</x:v>
      </x:c>
      <x:c r="N1145" s="28" t="n">
        <x:v>0.034199999999999994</x:v>
      </x:c>
      <x:c r="O1145" s="34" t="n">
        <x:v>250</x:v>
      </x:c>
      <x:c r="P1145" s="34" t="n">
        <x:v>1</x:v>
      </x:c>
      <x:c r="Q1145" s="34" t="n">
        <x:v>250</x:v>
      </x:c>
      <x:c r="R1145" s="33" t="n">
        <x:v>29</x:v>
      </x:c>
      <x:c r="S1145" s="38" t="n">
        <x:v>7.25</x:v>
      </x:c>
      <x:c r="T1145" s="38" t="n">
        <x:v>0.58</x:v>
      </x:c>
      <x:c r="U1145" s="38" t="n">
        <x:v>0.30015</x:v>
      </x:c>
      <x:c r="V1145" s="38" t="n">
        <x:v>6.36985</x:v>
      </x:c>
      <x:c r="W1145" s="38" t="n">
        <x:v>2.7</x:v>
      </x:c>
      <x:c r="X1145" s="38" t="n">
        <x:v>0.18472565</x:v>
      </x:c>
      <x:c r="Y1145" s="38" t="n">
        <x:v>0</x:v>
      </x:c>
      <x:c r="Z1145" s="38" t="n">
        <x:v>1.0375</x:v>
      </x:c>
      <x:c r="AA1145" s="38" t="n">
        <x:v>0.4125</x:v>
      </x:c>
      <x:c r="AB1145" s="38" t="n">
        <x:v>0.009</x:v>
      </x:c>
      <x:c r="AC1145" s="38" t="n">
        <x:v>2.0261243499999995</x:v>
      </x:c>
      <x:c r="AD1145" s="28" t="n">
        <x:v>0.31808038650831644</x:v>
      </x:c>
    </x:row>
    <x:row r="1146">
      <x:c r="A1146" s="32" t="n">
        <x:v>46062</x:v>
      </x:c>
      <x:c r="B1146" s="32" t="n">
        <x:v>46054</x:v>
      </x:c>
      <x:c r="C1146" t="str">
        <x:v>Feb 2026</x:v>
      </x:c>
      <x:c r="D1146" t="str">
        <x:v>Forecast</x:v>
      </x:c>
      <x:c r="E1146" t="str">
        <x:v>DB-101</x:v>
      </x:c>
      <x:c r="F1146" t="str">
        <x:v>AeroSip Bottle</x:v>
      </x:c>
      <x:c r="G1146" t="str">
        <x:v>One-time purchase</x:v>
      </x:c>
      <x:c r="H1146" t="str">
        <x:v>None</x:v>
      </x:c>
      <x:c r="I1146" t="str">
        <x:v>Active</x:v>
      </x:c>
      <x:c r="J1146" t="str">
        <x:v>Amazon Marketplace</x:v>
      </x:c>
      <x:c r="K1146" t="str">
        <x:v>Marketplace Consumer</x:v>
      </x:c>
      <x:c r="L1146" t="str">
        <x:v>All Geographies</x:v>
      </x:c>
      <x:c r="M1146" s="34" t="n">
        <x:v>3648</x:v>
      </x:c>
      <x:c r="N1146" s="28" t="n">
        <x:v>0.040355999999999996</x:v>
      </x:c>
      <x:c r="O1146" s="34" t="n">
        <x:v>147</x:v>
      </x:c>
      <x:c r="P1146" s="34" t="n">
        <x:v>1</x:v>
      </x:c>
      <x:c r="Q1146" s="34" t="n">
        <x:v>147</x:v>
      </x:c>
      <x:c r="R1146" s="33" t="n">
        <x:v>29</x:v>
      </x:c>
      <x:c r="S1146" s="38" t="n">
        <x:v>4.263</x:v>
      </x:c>
      <x:c r="T1146" s="38" t="n">
        <x:v>0.21315</x:v>
      </x:c>
      <x:c r="U1146" s="38" t="n">
        <x:v>0.18224325</x:v>
      </x:c>
      <x:c r="V1146" s="38" t="n">
        <x:v>3.86760675</x:v>
      </x:c>
      <x:c r="W1146" s="38" t="n">
        <x:v>1.5876000000000001</x:v>
      </x:c>
      <x:c r="X1146" s="38" t="n">
        <x:v>0</x:v>
      </x:c>
      <x:c r="Y1146" s="38" t="n">
        <x:v>0.5801410125</x:v>
      </x:c>
      <x:c r="Z1146" s="38" t="n">
        <x:v>0.7644</x:v>
      </x:c>
      <x:c r="AA1146" s="38" t="n">
        <x:v>0.31605</x:v>
      </x:c>
      <x:c r="AB1146" s="38" t="n">
        <x:v>0.005292</x:v>
      </x:c>
      <x:c r="AC1146" s="38" t="n">
        <x:v>0.6141237375000003</x:v>
      </x:c>
      <x:c r="AD1146" s="28" t="n">
        <x:v>0.15878649955815705</x:v>
      </x:c>
    </x:row>
    <x:row r="1147">
      <x:c r="A1147" s="32" t="n">
        <x:v>46062</x:v>
      </x:c>
      <x:c r="B1147" s="32" t="n">
        <x:v>46054</x:v>
      </x:c>
      <x:c r="C1147" t="str">
        <x:v>Feb 2026</x:v>
      </x:c>
      <x:c r="D1147" t="str">
        <x:v>Forecast</x:v>
      </x:c>
      <x:c r="E1147" t="str">
        <x:v>DB-101</x:v>
      </x:c>
      <x:c r="F1147" t="str">
        <x:v>AeroSip Bottle</x:v>
      </x:c>
      <x:c r="G1147" t="str">
        <x:v>One-time purchase</x:v>
      </x:c>
      <x:c r="H1147" t="str">
        <x:v>None</x:v>
      </x:c>
      <x:c r="I1147" t="str">
        <x:v>Active</x:v>
      </x:c>
      <x:c r="J1147" t="str">
        <x:v>Wholesale</x:v>
      </x:c>
      <x:c r="K1147" t="str">
        <x:v>Retailer</x:v>
      </x:c>
      <x:c r="L1147" t="str">
        <x:v>All Geographies</x:v>
      </x:c>
      <x:c r="M1147" s="34" t="n">
        <x:v>2189</x:v>
      </x:c>
      <x:c r="N1147" s="28" t="n">
        <x:v>0.01881</x:v>
      </x:c>
      <x:c r="O1147" s="34" t="n">
        <x:v>41</x:v>
      </x:c>
      <x:c r="P1147" s="34" t="n">
        <x:v>1</x:v>
      </x:c>
      <x:c r="Q1147" s="34" t="n">
        <x:v>41</x:v>
      </x:c>
      <x:c r="R1147" s="33" t="n">
        <x:v>29</x:v>
      </x:c>
      <x:c r="S1147" s="38" t="n">
        <x:v>1.189</x:v>
      </x:c>
      <x:c r="T1147" s="38" t="n">
        <x:v>0.41615</x:v>
      </x:c>
      <x:c r="U1147" s="38" t="n">
        <x:v>0.034778250000000004</x:v>
      </x:c>
      <x:c r="V1147" s="38" t="n">
        <x:v>0.73807175</x:v>
      </x:c>
      <x:c r="W1147" s="38" t="n">
        <x:v>0.4428</x:v>
      </x:c>
      <x:c r="X1147" s="38" t="n">
        <x:v>0</x:v>
      </x:c>
      <x:c r="Y1147" s="38" t="n">
        <x:v>0</x:v>
      </x:c>
      <x:c r="Z1147" s="38" t="n">
        <x:v>0.0943</x:v>
      </x:c>
      <x:c r="AA1147" s="38" t="n">
        <x:v>0.03485</x:v>
      </x:c>
      <x:c r="AB1147" s="38" t="n">
        <x:v>0.0014759999999999999</x:v>
      </x:c>
      <x:c r="AC1147" s="38" t="n">
        <x:v>0.16464575</x:v>
      </x:c>
      <x:c r="AD1147" s="28" t="n">
        <x:v>0.22307553432305194</x:v>
      </x:c>
    </x:row>
    <x:row r="1148">
      <x:c r="A1148" s="32" t="n">
        <x:v>46062</x:v>
      </x:c>
      <x:c r="B1148" s="32" t="n">
        <x:v>46054</x:v>
      </x:c>
      <x:c r="C1148" t="str">
        <x:v>Feb 2026</x:v>
      </x:c>
      <x:c r="D1148" t="str">
        <x:v>Forecast</x:v>
      </x:c>
      <x:c r="E1148" t="str">
        <x:v>DB-101</x:v>
      </x:c>
      <x:c r="F1148" t="str">
        <x:v>AeroSip Bottle</x:v>
      </x:c>
      <x:c r="G1148" t="str">
        <x:v>One-time purchase</x:v>
      </x:c>
      <x:c r="H1148" t="str">
        <x:v>None</x:v>
      </x:c>
      <x:c r="I1148" t="str">
        <x:v>Active</x:v>
      </x:c>
      <x:c r="J1148" t="str">
        <x:v>TikTok Shop</x:v>
      </x:c>
      <x:c r="K1148" t="str">
        <x:v>Social Commerce</x:v>
      </x:c>
      <x:c r="L1148" t="str">
        <x:v>All Geographies</x:v>
      </x:c>
      <x:c r="M1148" s="34" t="n">
        <x:v>1459</x:v>
      </x:c>
      <x:c r="N1148" s="28" t="n">
        <x:v>0.043092</x:v>
      </x:c>
      <x:c r="O1148" s="34" t="n">
        <x:v>63</x:v>
      </x:c>
      <x:c r="P1148" s="34" t="n">
        <x:v>1</x:v>
      </x:c>
      <x:c r="Q1148" s="34" t="n">
        <x:v>63</x:v>
      </x:c>
      <x:c r="R1148" s="33" t="n">
        <x:v>29</x:v>
      </x:c>
      <x:c r="S1148" s="38" t="n">
        <x:v>1.827</x:v>
      </x:c>
      <x:c r="T1148" s="38" t="n">
        <x:v>0.21924</x:v>
      </x:c>
      <x:c r="U1148" s="38" t="n">
        <x:v>0.07234919999999999</x:v>
      </x:c>
      <x:c r="V1148" s="38" t="n">
        <x:v>1.5354108</x:v>
      </x:c>
      <x:c r="W1148" s="38" t="n">
        <x:v>0.6804000000000001</x:v>
      </x:c>
      <x:c r="X1148" s="38" t="n">
        <x:v>0.044526913200000004</x:v>
      </x:c>
      <x:c r="Y1148" s="38" t="n">
        <x:v>0.09212464799999999</x:v>
      </x:c>
      <x:c r="Z1148" s="38" t="n">
        <x:v>0.3213</x:v>
      </x:c>
      <x:c r="AA1148" s="38" t="n">
        <x:v>0.11025</x:v>
      </x:c>
      <x:c r="AB1148" s="38" t="n">
        <x:v>0.0022679999999999996</x:v>
      </x:c>
      <x:c r="AC1148" s="38" t="n">
        <x:v>0.2845412387999999</x:v>
      </x:c>
      <x:c r="AD1148" s="28" t="n">
        <x:v>0.18531928966501987</x:v>
      </x:c>
    </x:row>
    <x:row r="1149">
      <x:c r="A1149" s="32" t="n">
        <x:v>46062</x:v>
      </x:c>
      <x:c r="B1149" s="32" t="n">
        <x:v>46054</x:v>
      </x:c>
      <x:c r="C1149" t="str">
        <x:v>Feb 2026</x:v>
      </x:c>
      <x:c r="D1149" t="str">
        <x:v>Forecast</x:v>
      </x:c>
      <x:c r="E1149" t="str">
        <x:v>DB-102</x:v>
      </x:c>
      <x:c r="F1149" t="str">
        <x:v>GlowPatch Balm</x:v>
      </x:c>
      <x:c r="G1149" t="str">
        <x:v>Consumable repeat</x:v>
      </x:c>
      <x:c r="H1149" t="str">
        <x:v>None</x:v>
      </x:c>
      <x:c r="I1149" t="str">
        <x:v>Active</x:v>
      </x:c>
      <x:c r="J1149" t="str">
        <x:v>Shopify DTC</x:v>
      </x:c>
      <x:c r="K1149" t="str">
        <x:v>Consumer</x:v>
      </x:c>
      <x:c r="L1149" t="str">
        <x:v>All Geographies</x:v>
      </x:c>
      <x:c r="M1149" s="34" t="n">
        <x:v>5893</x:v>
      </x:c>
      <x:c r="N1149" s="28" t="n">
        <x:v>0.04248</x:v>
      </x:c>
      <x:c r="O1149" s="34" t="n">
        <x:v>250</x:v>
      </x:c>
      <x:c r="P1149" s="34" t="n">
        <x:v>1</x:v>
      </x:c>
      <x:c r="Q1149" s="34" t="n">
        <x:v>250</x:v>
      </x:c>
      <x:c r="R1149" s="33" t="n">
        <x:v>18</x:v>
      </x:c>
      <x:c r="S1149" s="38" t="n">
        <x:v>4.5</x:v>
      </x:c>
      <x:c r="T1149" s="38" t="n">
        <x:v>0.36</x:v>
      </x:c>
      <x:c r="U1149" s="38" t="n">
        <x:v>0.1035</x:v>
      </x:c>
      <x:c r="V1149" s="38" t="n">
        <x:v>4.036499999999999</x:v>
      </x:c>
      <x:c r="W1149" s="38" t="n">
        <x:v>1.3525</x:v>
      </x:c>
      <x:c r="X1149" s="38" t="n">
        <x:v>0.11705849999999998</x:v>
      </x:c>
      <x:c r="Y1149" s="38" t="n">
        <x:v>0</x:v>
      </x:c>
      <x:c r="Z1149" s="38" t="n">
        <x:v>1.0375</x:v>
      </x:c>
      <x:c r="AA1149" s="38" t="n">
        <x:v>0.4125</x:v>
      </x:c>
      <x:c r="AB1149" s="38" t="n">
        <x:v>0.0015</x:v>
      </x:c>
      <x:c r="AC1149" s="38" t="n">
        <x:v>1.1154414999999989</x:v>
      </x:c>
      <x:c r="AD1149" s="28" t="n">
        <x:v>0.2763387835996529</x:v>
      </x:c>
    </x:row>
    <x:row r="1150">
      <x:c r="A1150" s="32" t="n">
        <x:v>46062</x:v>
      </x:c>
      <x:c r="B1150" s="32" t="n">
        <x:v>46054</x:v>
      </x:c>
      <x:c r="C1150" t="str">
        <x:v>Feb 2026</x:v>
      </x:c>
      <x:c r="D1150" t="str">
        <x:v>Forecast</x:v>
      </x:c>
      <x:c r="E1150" t="str">
        <x:v>DB-102</x:v>
      </x:c>
      <x:c r="F1150" t="str">
        <x:v>GlowPatch Balm</x:v>
      </x:c>
      <x:c r="G1150" t="str">
        <x:v>Consumable repeat</x:v>
      </x:c>
      <x:c r="H1150" t="str">
        <x:v>None</x:v>
      </x:c>
      <x:c r="I1150" t="str">
        <x:v>Active</x:v>
      </x:c>
      <x:c r="J1150" t="str">
        <x:v>Amazon Marketplace</x:v>
      </x:c>
      <x:c r="K1150" t="str">
        <x:v>Marketplace Consumer</x:v>
      </x:c>
      <x:c r="L1150" t="str">
        <x:v>All Geographies</x:v>
      </x:c>
      <x:c r="M1150" s="34" t="n">
        <x:v>2946</x:v>
      </x:c>
      <x:c r="N1150" s="28" t="n">
        <x:v>0.050126399999999995</x:v>
      </x:c>
      <x:c r="O1150" s="34" t="n">
        <x:v>148</x:v>
      </x:c>
      <x:c r="P1150" s="34" t="n">
        <x:v>1</x:v>
      </x:c>
      <x:c r="Q1150" s="34" t="n">
        <x:v>148</x:v>
      </x:c>
      <x:c r="R1150" s="33" t="n">
        <x:v>18</x:v>
      </x:c>
      <x:c r="S1150" s="38" t="n">
        <x:v>2.664</x:v>
      </x:c>
      <x:c r="T1150" s="38" t="n">
        <x:v>0.1332</x:v>
      </x:c>
      <x:c r="U1150" s="38" t="n">
        <x:v>0.06327</x:v>
      </x:c>
      <x:c r="V1150" s="38" t="n">
        <x:v>2.46753</x:v>
      </x:c>
      <x:c r="W1150" s="38" t="n">
        <x:v>0.8006800000000001</x:v>
      </x:c>
      <x:c r="X1150" s="38" t="n">
        <x:v>0</x:v>
      </x:c>
      <x:c r="Y1150" s="38" t="n">
        <x:v>0.3701295</x:v>
      </x:c>
      <x:c r="Z1150" s="38" t="n">
        <x:v>0.7696000000000001</x:v>
      </x:c>
      <x:c r="AA1150" s="38" t="n">
        <x:v>0.3182</x:v>
      </x:c>
      <x:c r="AB1150" s="38" t="n">
        <x:v>0.0008879999999999999</x:v>
      </x:c>
      <x:c r="AC1150" s="38" t="n">
        <x:v>0.2080324999999999</x:v>
      </x:c>
      <x:c r="AD1150" s="28" t="n">
        <x:v>0.084307992202729</x:v>
      </x:c>
    </x:row>
    <x:row r="1151">
      <x:c r="A1151" s="32" t="n">
        <x:v>46062</x:v>
      </x:c>
      <x:c r="B1151" s="32" t="n">
        <x:v>46054</x:v>
      </x:c>
      <x:c r="C1151" t="str">
        <x:v>Feb 2026</x:v>
      </x:c>
      <x:c r="D1151" t="str">
        <x:v>Forecast</x:v>
      </x:c>
      <x:c r="E1151" t="str">
        <x:v>DB-102</x:v>
      </x:c>
      <x:c r="F1151" t="str">
        <x:v>GlowPatch Balm</x:v>
      </x:c>
      <x:c r="G1151" t="str">
        <x:v>Consumable repeat</x:v>
      </x:c>
      <x:c r="H1151" t="str">
        <x:v>None</x:v>
      </x:c>
      <x:c r="I1151" t="str">
        <x:v>Active</x:v>
      </x:c>
      <x:c r="J1151" t="str">
        <x:v>Wholesale</x:v>
      </x:c>
      <x:c r="K1151" t="str">
        <x:v>Retailer</x:v>
      </x:c>
      <x:c r="L1151" t="str">
        <x:v>All Geographies</x:v>
      </x:c>
      <x:c r="M1151" s="34" t="n">
        <x:v>1768</x:v>
      </x:c>
      <x:c r="N1151" s="28" t="n">
        <x:v>0.023364</x:v>
      </x:c>
      <x:c r="O1151" s="34" t="n">
        <x:v>41</x:v>
      </x:c>
      <x:c r="P1151" s="34" t="n">
        <x:v>1</x:v>
      </x:c>
      <x:c r="Q1151" s="34" t="n">
        <x:v>41</x:v>
      </x:c>
      <x:c r="R1151" s="33" t="n">
        <x:v>18</x:v>
      </x:c>
      <x:c r="S1151" s="38" t="n">
        <x:v>0.738</x:v>
      </x:c>
      <x:c r="T1151" s="38" t="n">
        <x:v>0.2583</x:v>
      </x:c>
      <x:c r="U1151" s="38" t="n">
        <x:v>0.011992500000000001</x:v>
      </x:c>
      <x:c r="V1151" s="38" t="n">
        <x:v>0.4677075</x:v>
      </x:c>
      <x:c r="W1151" s="38" t="n">
        <x:v>0.22181</x:v>
      </x:c>
      <x:c r="X1151" s="38" t="n">
        <x:v>0</x:v>
      </x:c>
      <x:c r="Y1151" s="38" t="n">
        <x:v>0</x:v>
      </x:c>
      <x:c r="Z1151" s="38" t="n">
        <x:v>0.0943</x:v>
      </x:c>
      <x:c r="AA1151" s="38" t="n">
        <x:v>0.03485</x:v>
      </x:c>
      <x:c r="AB1151" s="38" t="n">
        <x:v>0.000246</x:v>
      </x:c>
      <x:c r="AC1151" s="38" t="n">
        <x:v>0.11650150000000001</x:v>
      </x:c>
      <x:c r="AD1151" s="28" t="n">
        <x:v>0.2490905106289722</x:v>
      </x:c>
    </x:row>
    <x:row r="1152">
      <x:c r="A1152" s="32" t="n">
        <x:v>46062</x:v>
      </x:c>
      <x:c r="B1152" s="32" t="n">
        <x:v>46054</x:v>
      </x:c>
      <x:c r="C1152" t="str">
        <x:v>Feb 2026</x:v>
      </x:c>
      <x:c r="D1152" t="str">
        <x:v>Forecast</x:v>
      </x:c>
      <x:c r="E1152" t="str">
        <x:v>DB-102</x:v>
      </x:c>
      <x:c r="F1152" t="str">
        <x:v>GlowPatch Balm</x:v>
      </x:c>
      <x:c r="G1152" t="str">
        <x:v>Consumable repeat</x:v>
      </x:c>
      <x:c r="H1152" t="str">
        <x:v>None</x:v>
      </x:c>
      <x:c r="I1152" t="str">
        <x:v>Active</x:v>
      </x:c>
      <x:c r="J1152" t="str">
        <x:v>TikTok Shop</x:v>
      </x:c>
      <x:c r="K1152" t="str">
        <x:v>Social Commerce</x:v>
      </x:c>
      <x:c r="L1152" t="str">
        <x:v>All Geographies</x:v>
      </x:c>
      <x:c r="M1152" s="34" t="n">
        <x:v>1179</x:v>
      </x:c>
      <x:c r="N1152" s="28" t="n">
        <x:v>0.0535248</x:v>
      </x:c>
      <x:c r="O1152" s="34" t="n">
        <x:v>63</x:v>
      </x:c>
      <x:c r="P1152" s="34" t="n">
        <x:v>1</x:v>
      </x:c>
      <x:c r="Q1152" s="34" t="n">
        <x:v>63</x:v>
      </x:c>
      <x:c r="R1152" s="33" t="n">
        <x:v>18</x:v>
      </x:c>
      <x:c r="S1152" s="38" t="n">
        <x:v>1.134</x:v>
      </x:c>
      <x:c r="T1152" s="38" t="n">
        <x:v>0.13607999999999998</x:v>
      </x:c>
      <x:c r="U1152" s="38" t="n">
        <x:v>0.024947999999999998</x:v>
      </x:c>
      <x:c r="V1152" s="38" t="n">
        <x:v>0.972972</x:v>
      </x:c>
      <x:c r="W1152" s="38" t="n">
        <x:v>0.34082999999999997</x:v>
      </x:c>
      <x:c r="X1152" s="38" t="n">
        <x:v>0.028216188</x:v>
      </x:c>
      <x:c r="Y1152" s="38" t="n">
        <x:v>0.05837832</x:v>
      </x:c>
      <x:c r="Z1152" s="38" t="n">
        <x:v>0.3213</x:v>
      </x:c>
      <x:c r="AA1152" s="38" t="n">
        <x:v>0.11025</x:v>
      </x:c>
      <x:c r="AB1152" s="38" t="n">
        <x:v>0.000378</x:v>
      </x:c>
      <x:c r="AC1152" s="38" t="n">
        <x:v>0.11361949199999999</x:v>
      </x:c>
      <x:c r="AD1152" s="28" t="n">
        <x:v>0.11677570577570577</x:v>
      </x:c>
    </x:row>
    <x:row r="1153">
      <x:c r="A1153" s="32" t="n">
        <x:v>46062</x:v>
      </x:c>
      <x:c r="B1153" s="32" t="n">
        <x:v>46054</x:v>
      </x:c>
      <x:c r="C1153" t="str">
        <x:v>Feb 2026</x:v>
      </x:c>
      <x:c r="D1153" t="str">
        <x:v>Forecast</x:v>
      </x:c>
      <x:c r="E1153" t="str">
        <x:v>DB-103</x:v>
      </x:c>
      <x:c r="F1153" t="str">
        <x:v>EmberTrail Camp Mug</x:v>
      </x:c>
      <x:c r="G1153" t="str">
        <x:v>One-time purchase</x:v>
      </x:c>
      <x:c r="H1153" t="str">
        <x:v>Winter peak</x:v>
      </x:c>
      <x:c r="I1153" t="str">
        <x:v>Active</x:v>
      </x:c>
      <x:c r="J1153" t="str">
        <x:v>Shopify DTC</x:v>
      </x:c>
      <x:c r="K1153" t="str">
        <x:v>Consumer</x:v>
      </x:c>
      <x:c r="L1153" t="str">
        <x:v>All Geographies</x:v>
      </x:c>
      <x:c r="M1153" s="34" t="n">
        <x:v>5455</x:v>
      </x:c>
      <x:c r="N1153" s="28" t="n">
        <x:v>0.0324</x:v>
      </x:c>
      <x:c r="O1153" s="34" t="n">
        <x:v>177</x:v>
      </x:c>
      <x:c r="P1153" s="34" t="n">
        <x:v>1</x:v>
      </x:c>
      <x:c r="Q1153" s="34" t="n">
        <x:v>177</x:v>
      </x:c>
      <x:c r="R1153" s="33" t="n">
        <x:v>34</x:v>
      </x:c>
      <x:c r="S1153" s="38" t="n">
        <x:v>6.018</x:v>
      </x:c>
      <x:c r="T1153" s="38" t="n">
        <x:v>0.48144</x:v>
      </x:c>
      <x:c r="U1153" s="38" t="n">
        <x:v>0.30451079999999997</x:v>
      </x:c>
      <x:c r="V1153" s="38" t="n">
        <x:v>5.2320492</x:v>
      </x:c>
      <x:c r="W1153" s="38" t="n">
        <x:v>2.4195900000000004</x:v>
      </x:c>
      <x:c r="X1153" s="38" t="n">
        <x:v>0.15172942679999998</x:v>
      </x:c>
      <x:c r="Y1153" s="38" t="n">
        <x:v>0</x:v>
      </x:c>
      <x:c r="Z1153" s="38" t="n">
        <x:v>0.73455</x:v>
      </x:c>
      <x:c r="AA1153" s="38" t="n">
        <x:v>0.29205000000000003</x:v>
      </x:c>
      <x:c r="AB1153" s="38" t="n">
        <x:v>0.009911999999999999</x:v>
      </x:c>
      <x:c r="AC1153" s="38" t="n">
        <x:v>1.6242177731999994</x:v>
      </x:c>
      <x:c r="AD1153" s="28" t="n">
        <x:v>0.3104362575948253</x:v>
      </x:c>
    </x:row>
    <x:row r="1154">
      <x:c r="A1154" s="32" t="n">
        <x:v>46062</x:v>
      </x:c>
      <x:c r="B1154" s="32" t="n">
        <x:v>46054</x:v>
      </x:c>
      <x:c r="C1154" t="str">
        <x:v>Feb 2026</x:v>
      </x:c>
      <x:c r="D1154" t="str">
        <x:v>Forecast</x:v>
      </x:c>
      <x:c r="E1154" t="str">
        <x:v>DB-103</x:v>
      </x:c>
      <x:c r="F1154" t="str">
        <x:v>EmberTrail Camp Mug</x:v>
      </x:c>
      <x:c r="G1154" t="str">
        <x:v>One-time purchase</x:v>
      </x:c>
      <x:c r="H1154" t="str">
        <x:v>Winter peak</x:v>
      </x:c>
      <x:c r="I1154" t="str">
        <x:v>Active</x:v>
      </x:c>
      <x:c r="J1154" t="str">
        <x:v>Amazon Marketplace</x:v>
      </x:c>
      <x:c r="K1154" t="str">
        <x:v>Marketplace Consumer</x:v>
      </x:c>
      <x:c r="L1154" t="str">
        <x:v>All Geographies</x:v>
      </x:c>
      <x:c r="M1154" s="34" t="n">
        <x:v>2727</x:v>
      </x:c>
      <x:c r="N1154" s="28" t="n">
        <x:v>0.038231999999999995</x:v>
      </x:c>
      <x:c r="O1154" s="34" t="n">
        <x:v>104</x:v>
      </x:c>
      <x:c r="P1154" s="34" t="n">
        <x:v>1</x:v>
      </x:c>
      <x:c r="Q1154" s="34" t="n">
        <x:v>104</x:v>
      </x:c>
      <x:c r="R1154" s="33" t="n">
        <x:v>34</x:v>
      </x:c>
      <x:c r="S1154" s="38" t="n">
        <x:v>3.536</x:v>
      </x:c>
      <x:c r="T1154" s="38" t="n">
        <x:v>0.1768</x:v>
      </x:c>
      <x:c r="U1154" s="38" t="n">
        <x:v>0.184756</x:v>
      </x:c>
      <x:c r="V1154" s="38" t="n">
        <x:v>3.174444</x:v>
      </x:c>
      <x:c r="W1154" s="38" t="n">
        <x:v>1.42168</x:v>
      </x:c>
      <x:c r="X1154" s="38" t="n">
        <x:v>0</x:v>
      </x:c>
      <x:c r="Y1154" s="38" t="n">
        <x:v>0.47616659999999994</x:v>
      </x:c>
      <x:c r="Z1154" s="38" t="n">
        <x:v>0.5408000000000001</x:v>
      </x:c>
      <x:c r="AA1154" s="38" t="n">
        <x:v>0.2236</x:v>
      </x:c>
      <x:c r="AB1154" s="38" t="n">
        <x:v>0.005824000000000001</x:v>
      </x:c>
      <x:c r="AC1154" s="38" t="n">
        <x:v>0.5063733999999996</x:v>
      </x:c>
      <x:c r="AD1154" s="28" t="n">
        <x:v>0.15951561911314222</x:v>
      </x:c>
    </x:row>
    <x:row r="1155">
      <x:c r="A1155" s="32" t="n">
        <x:v>46062</x:v>
      </x:c>
      <x:c r="B1155" s="32" t="n">
        <x:v>46054</x:v>
      </x:c>
      <x:c r="C1155" t="str">
        <x:v>Feb 2026</x:v>
      </x:c>
      <x:c r="D1155" t="str">
        <x:v>Forecast</x:v>
      </x:c>
      <x:c r="E1155" t="str">
        <x:v>DB-103</x:v>
      </x:c>
      <x:c r="F1155" t="str">
        <x:v>EmberTrail Camp Mug</x:v>
      </x:c>
      <x:c r="G1155" t="str">
        <x:v>One-time purchase</x:v>
      </x:c>
      <x:c r="H1155" t="str">
        <x:v>Winter peak</x:v>
      </x:c>
      <x:c r="I1155" t="str">
        <x:v>Active</x:v>
      </x:c>
      <x:c r="J1155" t="str">
        <x:v>Wholesale</x:v>
      </x:c>
      <x:c r="K1155" t="str">
        <x:v>Retailer</x:v>
      </x:c>
      <x:c r="L1155" t="str">
        <x:v>All Geographies</x:v>
      </x:c>
      <x:c r="M1155" s="34" t="n">
        <x:v>1636</x:v>
      </x:c>
      <x:c r="N1155" s="28" t="n">
        <x:v>0.017820000000000003</x:v>
      </x:c>
      <x:c r="O1155" s="34" t="n">
        <x:v>29</x:v>
      </x:c>
      <x:c r="P1155" s="34" t="n">
        <x:v>1</x:v>
      </x:c>
      <x:c r="Q1155" s="34" t="n">
        <x:v>29</x:v>
      </x:c>
      <x:c r="R1155" s="33" t="n">
        <x:v>34</x:v>
      </x:c>
      <x:c r="S1155" s="38" t="n">
        <x:v>0.986</x:v>
      </x:c>
      <x:c r="T1155" s="38" t="n">
        <x:v>0.34509999999999996</x:v>
      </x:c>
      <x:c r="U1155" s="38" t="n">
        <x:v>0.0352495</x:v>
      </x:c>
      <x:c r="V1155" s="38" t="n">
        <x:v>0.6056505</x:v>
      </x:c>
      <x:c r="W1155" s="38" t="n">
        <x:v>0.39643</x:v>
      </x:c>
      <x:c r="X1155" s="38" t="n">
        <x:v>0</x:v>
      </x:c>
      <x:c r="Y1155" s="38" t="n">
        <x:v>0</x:v>
      </x:c>
      <x:c r="Z1155" s="38" t="n">
        <x:v>0.0667</x:v>
      </x:c>
      <x:c r="AA1155" s="38" t="n">
        <x:v>0.02465</x:v>
      </x:c>
      <x:c r="AB1155" s="38" t="n">
        <x:v>0.001624</x:v>
      </x:c>
      <x:c r="AC1155" s="38" t="n">
        <x:v>0.11624649999999999</x:v>
      </x:c>
      <x:c r="AD1155" s="28" t="n">
        <x:v>0.19193660370130958</x:v>
      </x:c>
    </x:row>
    <x:row r="1156">
      <x:c r="A1156" s="32" t="n">
        <x:v>46062</x:v>
      </x:c>
      <x:c r="B1156" s="32" t="n">
        <x:v>46054</x:v>
      </x:c>
      <x:c r="C1156" t="str">
        <x:v>Feb 2026</x:v>
      </x:c>
      <x:c r="D1156" t="str">
        <x:v>Forecast</x:v>
      </x:c>
      <x:c r="E1156" t="str">
        <x:v>DB-103</x:v>
      </x:c>
      <x:c r="F1156" t="str">
        <x:v>EmberTrail Camp Mug</x:v>
      </x:c>
      <x:c r="G1156" t="str">
        <x:v>One-time purchase</x:v>
      </x:c>
      <x:c r="H1156" t="str">
        <x:v>Winter peak</x:v>
      </x:c>
      <x:c r="I1156" t="str">
        <x:v>Active</x:v>
      </x:c>
      <x:c r="J1156" t="str">
        <x:v>TikTok Shop</x:v>
      </x:c>
      <x:c r="K1156" t="str">
        <x:v>Social Commerce</x:v>
      </x:c>
      <x:c r="L1156" t="str">
        <x:v>All Geographies</x:v>
      </x:c>
      <x:c r="M1156" s="34" t="n">
        <x:v>1091</x:v>
      </x:c>
      <x:c r="N1156" s="28" t="n">
        <x:v>0.040824</x:v>
      </x:c>
      <x:c r="O1156" s="34" t="n">
        <x:v>45</x:v>
      </x:c>
      <x:c r="P1156" s="34" t="n">
        <x:v>1</x:v>
      </x:c>
      <x:c r="Q1156" s="34" t="n">
        <x:v>45</x:v>
      </x:c>
      <x:c r="R1156" s="33" t="n">
        <x:v>34</x:v>
      </x:c>
      <x:c r="S1156" s="38" t="n">
        <x:v>1.53</x:v>
      </x:c>
      <x:c r="T1156" s="38" t="n">
        <x:v>0.18359999999999999</x:v>
      </x:c>
      <x:c r="U1156" s="38" t="n">
        <x:v>0.074052</x:v>
      </x:c>
      <x:c r="V1156" s="38" t="n">
        <x:v>1.272348</x:v>
      </x:c>
      <x:c r="W1156" s="38" t="n">
        <x:v>0.61515</x:v>
      </x:c>
      <x:c r="X1156" s="38" t="n">
        <x:v>0.036898092</x:v>
      </x:c>
      <x:c r="Y1156" s="38" t="n">
        <x:v>0.07634088</x:v>
      </x:c>
      <x:c r="Z1156" s="38" t="n">
        <x:v>0.22949999999999998</x:v>
      </x:c>
      <x:c r="AA1156" s="38" t="n">
        <x:v>0.07875</x:v>
      </x:c>
      <x:c r="AB1156" s="38" t="n">
        <x:v>0.00252</x:v>
      </x:c>
      <x:c r="AC1156" s="38" t="n">
        <x:v>0.233189028</x:v>
      </x:c>
      <x:c r="AD1156" s="28" t="n">
        <x:v>0.18327456639221343</x:v>
      </x:c>
    </x:row>
    <x:row r="1157">
      <x:c r="A1157" s="32" t="n">
        <x:v>46062</x:v>
      </x:c>
      <x:c r="B1157" s="32" t="n">
        <x:v>46054</x:v>
      </x:c>
      <x:c r="C1157" t="str">
        <x:v>Feb 2026</x:v>
      </x:c>
      <x:c r="D1157" t="str">
        <x:v>Forecast</x:v>
      </x:c>
      <x:c r="E1157" t="str">
        <x:v>DB-104</x:v>
      </x:c>
      <x:c r="F1157" t="str">
        <x:v>SunNest Cooling Towel</x:v>
      </x:c>
      <x:c r="G1157" t="str">
        <x:v>Consumable repeat</x:v>
      </x:c>
      <x:c r="H1157" t="str">
        <x:v>Summer peak</x:v>
      </x:c>
      <x:c r="I1157" t="str">
        <x:v>Active</x:v>
      </x:c>
      <x:c r="J1157" t="str">
        <x:v>Shopify DTC</x:v>
      </x:c>
      <x:c r="K1157" t="str">
        <x:v>Consumer</x:v>
      </x:c>
      <x:c r="L1157" t="str">
        <x:v>All Geographies</x:v>
      </x:c>
      <x:c r="M1157" s="34" t="n">
        <x:v>3721</x:v>
      </x:c>
      <x:c r="N1157" s="28" t="n">
        <x:v>0.03312</x:v>
      </x:c>
      <x:c r="O1157" s="34" t="n">
        <x:v>123</x:v>
      </x:c>
      <x:c r="P1157" s="34" t="n">
        <x:v>1</x:v>
      </x:c>
      <x:c r="Q1157" s="34" t="n">
        <x:v>123</x:v>
      </x:c>
      <x:c r="R1157" s="33" t="n">
        <x:v>42</x:v>
      </x:c>
      <x:c r="S1157" s="38" t="n">
        <x:v>5.166</x:v>
      </x:c>
      <x:c r="T1157" s="38" t="n">
        <x:v>0.41328000000000004</x:v>
      </x:c>
      <x:c r="U1157" s="38" t="n">
        <x:v>0.23763600000000001</x:v>
      </x:c>
      <x:c r="V1157" s="38" t="n">
        <x:v>4.515084</x:v>
      </x:c>
      <x:c r="W1157" s="38" t="n">
        <x:v>1.85115</x:v>
      </x:c>
      <x:c r="X1157" s="38" t="n">
        <x:v>0.130937436</x:v>
      </x:c>
      <x:c r="Y1157" s="38" t="n">
        <x:v>0</x:v>
      </x:c>
      <x:c r="Z1157" s="38" t="n">
        <x:v>0.5104500000000001</x:v>
      </x:c>
      <x:c r="AA1157" s="38" t="n">
        <x:v>0.20295</x:v>
      </x:c>
      <x:c r="AB1157" s="38" t="n">
        <x:v>0.003444</x:v>
      </x:c>
      <x:c r="AC1157" s="38" t="n">
        <x:v>1.8161525639999998</x:v>
      </x:c>
      <x:c r="AD1157" s="28" t="n">
        <x:v>0.4022411463441211</x:v>
      </x:c>
    </x:row>
    <x:row r="1158">
      <x:c r="A1158" s="32" t="n">
        <x:v>46062</x:v>
      </x:c>
      <x:c r="B1158" s="32" t="n">
        <x:v>46054</x:v>
      </x:c>
      <x:c r="C1158" t="str">
        <x:v>Feb 2026</x:v>
      </x:c>
      <x:c r="D1158" t="str">
        <x:v>Forecast</x:v>
      </x:c>
      <x:c r="E1158" t="str">
        <x:v>DB-104</x:v>
      </x:c>
      <x:c r="F1158" t="str">
        <x:v>SunNest Cooling Towel</x:v>
      </x:c>
      <x:c r="G1158" t="str">
        <x:v>Consumable repeat</x:v>
      </x:c>
      <x:c r="H1158" t="str">
        <x:v>Summer peak</x:v>
      </x:c>
      <x:c r="I1158" t="str">
        <x:v>Active</x:v>
      </x:c>
      <x:c r="J1158" t="str">
        <x:v>Amazon Marketplace</x:v>
      </x:c>
      <x:c r="K1158" t="str">
        <x:v>Marketplace Consumer</x:v>
      </x:c>
      <x:c r="L1158" t="str">
        <x:v>All Geographies</x:v>
      </x:c>
      <x:c r="M1158" s="34" t="n">
        <x:v>1860</x:v>
      </x:c>
      <x:c r="N1158" s="28" t="n">
        <x:v>0.0390816</x:v>
      </x:c>
      <x:c r="O1158" s="34" t="n">
        <x:v>73</x:v>
      </x:c>
      <x:c r="P1158" s="34" t="n">
        <x:v>1</x:v>
      </x:c>
      <x:c r="Q1158" s="34" t="n">
        <x:v>73</x:v>
      </x:c>
      <x:c r="R1158" s="33" t="n">
        <x:v>42</x:v>
      </x:c>
      <x:c r="S1158" s="38" t="n">
        <x:v>3.066</x:v>
      </x:c>
      <x:c r="T1158" s="38" t="n">
        <x:v>0.1533</x:v>
      </x:c>
      <x:c r="U1158" s="38" t="n">
        <x:v>0.14563500000000001</x:v>
      </x:c>
      <x:c r="V1158" s="38" t="n">
        <x:v>2.767065</x:v>
      </x:c>
      <x:c r="W1158" s="38" t="n">
        <x:v>1.0986500000000001</x:v>
      </x:c>
      <x:c r="X1158" s="38" t="n">
        <x:v>0</x:v>
      </x:c>
      <x:c r="Y1158" s="38" t="n">
        <x:v>0.41505975</x:v>
      </x:c>
      <x:c r="Z1158" s="38" t="n">
        <x:v>0.37960000000000005</x:v>
      </x:c>
      <x:c r="AA1158" s="38" t="n">
        <x:v>0.15694999999999998</x:v>
      </x:c>
      <x:c r="AB1158" s="38" t="n">
        <x:v>0.0020440000000000002</x:v>
      </x:c>
      <x:c r="AC1158" s="38" t="n">
        <x:v>0.7147612499999999</x:v>
      </x:c>
      <x:c r="AD1158" s="28" t="n">
        <x:v>0.2583102493074792</x:v>
      </x:c>
    </x:row>
    <x:row r="1159">
      <x:c r="A1159" s="32" t="n">
        <x:v>46062</x:v>
      </x:c>
      <x:c r="B1159" s="32" t="n">
        <x:v>46054</x:v>
      </x:c>
      <x:c r="C1159" t="str">
        <x:v>Feb 2026</x:v>
      </x:c>
      <x:c r="D1159" t="str">
        <x:v>Forecast</x:v>
      </x:c>
      <x:c r="E1159" t="str">
        <x:v>DB-104</x:v>
      </x:c>
      <x:c r="F1159" t="str">
        <x:v>SunNest Cooling Towel</x:v>
      </x:c>
      <x:c r="G1159" t="str">
        <x:v>Consumable repeat</x:v>
      </x:c>
      <x:c r="H1159" t="str">
        <x:v>Summer peak</x:v>
      </x:c>
      <x:c r="I1159" t="str">
        <x:v>Active</x:v>
      </x:c>
      <x:c r="J1159" t="str">
        <x:v>Wholesale</x:v>
      </x:c>
      <x:c r="K1159" t="str">
        <x:v>Retailer</x:v>
      </x:c>
      <x:c r="L1159" t="str">
        <x:v>All Geographies</x:v>
      </x:c>
      <x:c r="M1159" s="34" t="n">
        <x:v>1116</x:v>
      </x:c>
      <x:c r="N1159" s="28" t="n">
        <x:v>0.018216000000000003</x:v>
      </x:c>
      <x:c r="O1159" s="34" t="n">
        <x:v>20</x:v>
      </x:c>
      <x:c r="P1159" s="34" t="n">
        <x:v>1</x:v>
      </x:c>
      <x:c r="Q1159" s="34" t="n">
        <x:v>20</x:v>
      </x:c>
      <x:c r="R1159" s="33" t="n">
        <x:v>42</x:v>
      </x:c>
      <x:c r="S1159" s="38" t="n">
        <x:v>0.84</x:v>
      </x:c>
      <x:c r="T1159" s="38" t="n">
        <x:v>0.294</x:v>
      </x:c>
      <x:c r="U1159" s="38" t="n">
        <x:v>0.027300000000000005</x:v>
      </x:c>
      <x:c r="V1159" s="38" t="n">
        <x:v>0.5187</x:v>
      </x:c>
      <x:c r="W1159" s="38" t="n">
        <x:v>0.301</x:v>
      </x:c>
      <x:c r="X1159" s="38" t="n">
        <x:v>0</x:v>
      </x:c>
      <x:c r="Y1159" s="38" t="n">
        <x:v>0</x:v>
      </x:c>
      <x:c r="Z1159" s="38" t="n">
        <x:v>0.046</x:v>
      </x:c>
      <x:c r="AA1159" s="38" t="n">
        <x:v>0.017</x:v>
      </x:c>
      <x:c r="AB1159" s="38" t="n">
        <x:v>0.00056</x:v>
      </x:c>
      <x:c r="AC1159" s="38" t="n">
        <x:v>0.15414000000000005</x:v>
      </x:c>
      <x:c r="AD1159" s="28" t="n">
        <x:v>0.2971659919028341</x:v>
      </x:c>
    </x:row>
    <x:row r="1160">
      <x:c r="A1160" s="32" t="n">
        <x:v>46062</x:v>
      </x:c>
      <x:c r="B1160" s="32" t="n">
        <x:v>46054</x:v>
      </x:c>
      <x:c r="C1160" t="str">
        <x:v>Feb 2026</x:v>
      </x:c>
      <x:c r="D1160" t="str">
        <x:v>Forecast</x:v>
      </x:c>
      <x:c r="E1160" t="str">
        <x:v>DB-104</x:v>
      </x:c>
      <x:c r="F1160" t="str">
        <x:v>SunNest Cooling Towel</x:v>
      </x:c>
      <x:c r="G1160" t="str">
        <x:v>Consumable repeat</x:v>
      </x:c>
      <x:c r="H1160" t="str">
        <x:v>Summer peak</x:v>
      </x:c>
      <x:c r="I1160" t="str">
        <x:v>Active</x:v>
      </x:c>
      <x:c r="J1160" t="str">
        <x:v>TikTok Shop</x:v>
      </x:c>
      <x:c r="K1160" t="str">
        <x:v>Social Commerce</x:v>
      </x:c>
      <x:c r="L1160" t="str">
        <x:v>All Geographies</x:v>
      </x:c>
      <x:c r="M1160" s="34" t="n">
        <x:v>744</x:v>
      </x:c>
      <x:c r="N1160" s="28" t="n">
        <x:v>0.0417312</x:v>
      </x:c>
      <x:c r="O1160" s="34" t="n">
        <x:v>31</x:v>
      </x:c>
      <x:c r="P1160" s="34" t="n">
        <x:v>1</x:v>
      </x:c>
      <x:c r="Q1160" s="34" t="n">
        <x:v>31</x:v>
      </x:c>
      <x:c r="R1160" s="33" t="n">
        <x:v>42</x:v>
      </x:c>
      <x:c r="S1160" s="38" t="n">
        <x:v>1.302</x:v>
      </x:c>
      <x:c r="T1160" s="38" t="n">
        <x:v>0.15624</x:v>
      </x:c>
      <x:c r="U1160" s="38" t="n">
        <x:v>0.057288000000000006</x:v>
      </x:c>
      <x:c r="V1160" s="38" t="n">
        <x:v>1.088472</x:v>
      </x:c>
      <x:c r="W1160" s="38" t="n">
        <x:v>0.46655</x:v>
      </x:c>
      <x:c r="X1160" s="38" t="n">
        <x:v>0.031565688</x:v>
      </x:c>
      <x:c r="Y1160" s="38" t="n">
        <x:v>0.06530832</x:v>
      </x:c>
      <x:c r="Z1160" s="38" t="n">
        <x:v>0.1581</x:v>
      </x:c>
      <x:c r="AA1160" s="38" t="n">
        <x:v>0.05425</x:v>
      </x:c>
      <x:c r="AB1160" s="38" t="n">
        <x:v>0.000868</x:v>
      </x:c>
      <x:c r="AC1160" s="38" t="n">
        <x:v>0.31182999200000006</x:v>
      </x:c>
      <x:c r="AD1160" s="28" t="n">
        <x:v>0.2864841649578492</x:v>
      </x:c>
    </x:row>
    <x:row r="1161">
      <x:c r="A1161" s="32" t="n">
        <x:v>46062</x:v>
      </x:c>
      <x:c r="B1161" s="32" t="n">
        <x:v>46054</x:v>
      </x:c>
      <x:c r="C1161" t="str">
        <x:v>Feb 2026</x:v>
      </x:c>
      <x:c r="D1161" t="str">
        <x:v>Forecast</x:v>
      </x:c>
      <x:c r="E1161" t="str">
        <x:v>DB-105</x:v>
      </x:c>
      <x:c r="F1161" t="str">
        <x:v>DreamFuel Refill Pack</x:v>
      </x:c>
      <x:c r="G1161" t="str">
        <x:v>Subscription</x:v>
      </x:c>
      <x:c r="H1161" t="str">
        <x:v>None</x:v>
      </x:c>
      <x:c r="I1161" t="str">
        <x:v>Active</x:v>
      </x:c>
      <x:c r="J1161" t="str">
        <x:v>Shopify DTC</x:v>
      </x:c>
      <x:c r="K1161" t="str">
        <x:v>Consumer</x:v>
      </x:c>
      <x:c r="L1161" t="str">
        <x:v>All Geographies</x:v>
      </x:c>
      <x:c r="M1161" s="34" t="n">
        <x:v>5051</x:v>
      </x:c>
      <x:c r="N1161" s="28" t="n">
        <x:v>0.03888</x:v>
      </x:c>
      <x:c r="O1161" s="34" t="n">
        <x:v>196</x:v>
      </x:c>
      <x:c r="P1161" s="34" t="n">
        <x:v>1</x:v>
      </x:c>
      <x:c r="Q1161" s="34" t="n">
        <x:v>196</x:v>
      </x:c>
      <x:c r="R1161" s="33" t="n">
        <x:v>56</x:v>
      </x:c>
      <x:c r="S1161" s="38" t="n">
        <x:v>10.976</x:v>
      </x:c>
      <x:c r="T1161" s="38" t="n">
        <x:v>0.8780800000000001</x:v>
      </x:c>
      <x:c r="U1161" s="38" t="n">
        <x:v>0.2019584</x:v>
      </x:c>
      <x:c r="V1161" s="38" t="n">
        <x:v>9.8959616</x:v>
      </x:c>
      <x:c r="W1161" s="38" t="n">
        <x:v>3.64952</x:v>
      </x:c>
      <x:c r="X1161" s="38" t="n">
        <x:v>0.2869828864</x:v>
      </x:c>
      <x:c r="Y1161" s="38" t="n">
        <x:v>0</x:v>
      </x:c>
      <x:c r="Z1161" s="38" t="n">
        <x:v>0.8134000000000001</x:v>
      </x:c>
      <x:c r="AA1161" s="38" t="n">
        <x:v>0.32339999999999997</x:v>
      </x:c>
      <x:c r="AB1161" s="38" t="n">
        <x:v>0.0007055999999999999</x:v>
      </x:c>
      <x:c r="AC1161" s="38" t="n">
        <x:v>4.8219531136</x:v>
      </x:c>
      <x:c r="AD1161" s="28" t="n">
        <x:v>0.4872647357079478</x:v>
      </x:c>
    </x:row>
    <x:row r="1162">
      <x:c r="A1162" s="32" t="n">
        <x:v>46062</x:v>
      </x:c>
      <x:c r="B1162" s="32" t="n">
        <x:v>46054</x:v>
      </x:c>
      <x:c r="C1162" t="str">
        <x:v>Feb 2026</x:v>
      </x:c>
      <x:c r="D1162" t="str">
        <x:v>Forecast</x:v>
      </x:c>
      <x:c r="E1162" t="str">
        <x:v>DB-105</x:v>
      </x:c>
      <x:c r="F1162" t="str">
        <x:v>DreamFuel Refill Pack</x:v>
      </x:c>
      <x:c r="G1162" t="str">
        <x:v>Subscription</x:v>
      </x:c>
      <x:c r="H1162" t="str">
        <x:v>None</x:v>
      </x:c>
      <x:c r="I1162" t="str">
        <x:v>Active</x:v>
      </x:c>
      <x:c r="J1162" t="str">
        <x:v>Amazon Marketplace</x:v>
      </x:c>
      <x:c r="K1162" t="str">
        <x:v>Marketplace Consumer</x:v>
      </x:c>
      <x:c r="L1162" t="str">
        <x:v>All Geographies</x:v>
      </x:c>
      <x:c r="M1162" s="34" t="n">
        <x:v>2525</x:v>
      </x:c>
      <x:c r="N1162" s="28" t="n">
        <x:v>0.0458784</x:v>
      </x:c>
      <x:c r="O1162" s="34" t="n">
        <x:v>116</x:v>
      </x:c>
      <x:c r="P1162" s="34" t="n">
        <x:v>1</x:v>
      </x:c>
      <x:c r="Q1162" s="34" t="n">
        <x:v>116</x:v>
      </x:c>
      <x:c r="R1162" s="33" t="n">
        <x:v>56</x:v>
      </x:c>
      <x:c r="S1162" s="38" t="n">
        <x:v>6.496</x:v>
      </x:c>
      <x:c r="T1162" s="38" t="n">
        <x:v>0.32480000000000003</x:v>
      </x:c>
      <x:c r="U1162" s="38" t="n">
        <x:v>0.12342400000000002</x:v>
      </x:c>
      <x:c r="V1162" s="38" t="n">
        <x:v>6.047776000000001</x:v>
      </x:c>
      <x:c r="W1162" s="38" t="n">
        <x:v>2.15992</x:v>
      </x:c>
      <x:c r="X1162" s="38" t="n">
        <x:v>0</x:v>
      </x:c>
      <x:c r="Y1162" s="38" t="n">
        <x:v>0.9071664</x:v>
      </x:c>
      <x:c r="Z1162" s="38" t="n">
        <x:v>0.6032000000000001</x:v>
      </x:c>
      <x:c r="AA1162" s="38" t="n">
        <x:v>0.24939999999999998</x:v>
      </x:c>
      <x:c r="AB1162" s="38" t="n">
        <x:v>0.0004176</x:v>
      </x:c>
      <x:c r="AC1162" s="38" t="n">
        <x:v>2.1276720000000005</x:v>
      </x:c>
      <x:c r="AD1162" s="28" t="n">
        <x:v>0.35181064907165877</x:v>
      </x:c>
    </x:row>
    <x:row r="1163">
      <x:c r="A1163" s="32" t="n">
        <x:v>46062</x:v>
      </x:c>
      <x:c r="B1163" s="32" t="n">
        <x:v>46054</x:v>
      </x:c>
      <x:c r="C1163" t="str">
        <x:v>Feb 2026</x:v>
      </x:c>
      <x:c r="D1163" t="str">
        <x:v>Forecast</x:v>
      </x:c>
      <x:c r="E1163" t="str">
        <x:v>DB-105</x:v>
      </x:c>
      <x:c r="F1163" t="str">
        <x:v>DreamFuel Refill Pack</x:v>
      </x:c>
      <x:c r="G1163" t="str">
        <x:v>Subscription</x:v>
      </x:c>
      <x:c r="H1163" t="str">
        <x:v>None</x:v>
      </x:c>
      <x:c r="I1163" t="str">
        <x:v>Active</x:v>
      </x:c>
      <x:c r="J1163" t="str">
        <x:v>Wholesale</x:v>
      </x:c>
      <x:c r="K1163" t="str">
        <x:v>Retailer</x:v>
      </x:c>
      <x:c r="L1163" t="str">
        <x:v>All Geographies</x:v>
      </x:c>
      <x:c r="M1163" s="34" t="n">
        <x:v>1515</x:v>
      </x:c>
      <x:c r="N1163" s="28" t="n">
        <x:v>0.021384000000000004</x:v>
      </x:c>
      <x:c r="O1163" s="34" t="n">
        <x:v>32</x:v>
      </x:c>
      <x:c r="P1163" s="34" t="n">
        <x:v>1</x:v>
      </x:c>
      <x:c r="Q1163" s="34" t="n">
        <x:v>32</x:v>
      </x:c>
      <x:c r="R1163" s="33" t="n">
        <x:v>56</x:v>
      </x:c>
      <x:c r="S1163" s="38" t="n">
        <x:v>1.792</x:v>
      </x:c>
      <x:c r="T1163" s="38" t="n">
        <x:v>0.6272</x:v>
      </x:c>
      <x:c r="U1163" s="38" t="n">
        <x:v>0.023296</x:v>
      </x:c>
      <x:c r="V1163" s="38" t="n">
        <x:v>1.141504</x:v>
      </x:c>
      <x:c r="W1163" s="38" t="n">
        <x:v>0.59584</x:v>
      </x:c>
      <x:c r="X1163" s="38" t="n">
        <x:v>0</x:v>
      </x:c>
      <x:c r="Y1163" s="38" t="n">
        <x:v>0</x:v>
      </x:c>
      <x:c r="Z1163" s="38" t="n">
        <x:v>0.0736</x:v>
      </x:c>
      <x:c r="AA1163" s="38" t="n">
        <x:v>0.0272</x:v>
      </x:c>
      <x:c r="AB1163" s="38" t="n">
        <x:v>0.0001152</x:v>
      </x:c>
      <x:c r="AC1163" s="38" t="n">
        <x:v>0.44474880000000006</x:v>
      </x:c>
      <x:c r="AD1163" s="28" t="n">
        <x:v>0.3896165059430366</x:v>
      </x:c>
    </x:row>
    <x:row r="1164">
      <x:c r="A1164" s="32" t="n">
        <x:v>46062</x:v>
      </x:c>
      <x:c r="B1164" s="32" t="n">
        <x:v>46054</x:v>
      </x:c>
      <x:c r="C1164" t="str">
        <x:v>Feb 2026</x:v>
      </x:c>
      <x:c r="D1164" t="str">
        <x:v>Forecast</x:v>
      </x:c>
      <x:c r="E1164" t="str">
        <x:v>DB-105</x:v>
      </x:c>
      <x:c r="F1164" t="str">
        <x:v>DreamFuel Refill Pack</x:v>
      </x:c>
      <x:c r="G1164" t="str">
        <x:v>Subscription</x:v>
      </x:c>
      <x:c r="H1164" t="str">
        <x:v>None</x:v>
      </x:c>
      <x:c r="I1164" t="str">
        <x:v>Active</x:v>
      </x:c>
      <x:c r="J1164" t="str">
        <x:v>TikTok Shop</x:v>
      </x:c>
      <x:c r="K1164" t="str">
        <x:v>Social Commerce</x:v>
      </x:c>
      <x:c r="L1164" t="str">
        <x:v>All Geographies</x:v>
      </x:c>
      <x:c r="M1164" s="34" t="n">
        <x:v>1010</x:v>
      </x:c>
      <x:c r="N1164" s="28" t="n">
        <x:v>0.0489888</x:v>
      </x:c>
      <x:c r="O1164" s="34" t="n">
        <x:v>49</x:v>
      </x:c>
      <x:c r="P1164" s="34" t="n">
        <x:v>1</x:v>
      </x:c>
      <x:c r="Q1164" s="34" t="n">
        <x:v>49</x:v>
      </x:c>
      <x:c r="R1164" s="33" t="n">
        <x:v>56</x:v>
      </x:c>
      <x:c r="S1164" s="38" t="n">
        <x:v>2.744</x:v>
      </x:c>
      <x:c r="T1164" s="38" t="n">
        <x:v>0.32928</x:v>
      </x:c>
      <x:c r="U1164" s="38" t="n">
        <x:v>0.0482944</x:v>
      </x:c>
      <x:c r="V1164" s="38" t="n">
        <x:v>2.3664256</x:v>
      </x:c>
      <x:c r="W1164" s="38" t="n">
        <x:v>0.91238</x:v>
      </x:c>
      <x:c r="X1164" s="38" t="n">
        <x:v>0.0686263424</x:v>
      </x:c>
      <x:c r="Y1164" s="38" t="n">
        <x:v>0.141985536</x:v>
      </x:c>
      <x:c r="Z1164" s="38" t="n">
        <x:v>0.24989999999999998</x:v>
      </x:c>
      <x:c r="AA1164" s="38" t="n">
        <x:v>0.08575</x:v>
      </x:c>
      <x:c r="AB1164" s="38" t="n">
        <x:v>0.00017639999999999998</x:v>
      </x:c>
      <x:c r="AC1164" s="38" t="n">
        <x:v>0.9076073216</x:v>
      </x:c>
      <x:c r="AD1164" s="28" t="n">
        <x:v>0.3835351179432812</x:v>
      </x:c>
    </x:row>
    <x:row r="1165">
      <x:c r="A1165" s="32" t="n">
        <x:v>46069</x:v>
      </x:c>
      <x:c r="B1165" s="32" t="n">
        <x:v>46054</x:v>
      </x:c>
      <x:c r="C1165" t="str">
        <x:v>Feb 2026</x:v>
      </x:c>
      <x:c r="D1165" t="str">
        <x:v>Forecast</x:v>
      </x:c>
      <x:c r="E1165" t="str">
        <x:v>DB-101</x:v>
      </x:c>
      <x:c r="F1165" t="str">
        <x:v>AeroSip Bottle</x:v>
      </x:c>
      <x:c r="G1165" t="str">
        <x:v>One-time purchase</x:v>
      </x:c>
      <x:c r="H1165" t="str">
        <x:v>None</x:v>
      </x:c>
      <x:c r="I1165" t="str">
        <x:v>Active</x:v>
      </x:c>
      <x:c r="J1165" t="str">
        <x:v>Shopify DTC</x:v>
      </x:c>
      <x:c r="K1165" t="str">
        <x:v>Consumer</x:v>
      </x:c>
      <x:c r="L1165" t="str">
        <x:v>All Geographies</x:v>
      </x:c>
      <x:c r="M1165" s="34" t="n">
        <x:v>7296</x:v>
      </x:c>
      <x:c r="N1165" s="28" t="n">
        <x:v>0.034199999999999994</x:v>
      </x:c>
      <x:c r="O1165" s="34" t="n">
        <x:v>250</x:v>
      </x:c>
      <x:c r="P1165" s="34" t="n">
        <x:v>1</x:v>
      </x:c>
      <x:c r="Q1165" s="34" t="n">
        <x:v>250</x:v>
      </x:c>
      <x:c r="R1165" s="33" t="n">
        <x:v>29</x:v>
      </x:c>
      <x:c r="S1165" s="38" t="n">
        <x:v>7.25</x:v>
      </x:c>
      <x:c r="T1165" s="38" t="n">
        <x:v>0.58</x:v>
      </x:c>
      <x:c r="U1165" s="38" t="n">
        <x:v>0.30015</x:v>
      </x:c>
      <x:c r="V1165" s="38" t="n">
        <x:v>6.36985</x:v>
      </x:c>
      <x:c r="W1165" s="38" t="n">
        <x:v>2.7</x:v>
      </x:c>
      <x:c r="X1165" s="38" t="n">
        <x:v>0.18472565</x:v>
      </x:c>
      <x:c r="Y1165" s="38" t="n">
        <x:v>0</x:v>
      </x:c>
      <x:c r="Z1165" s="38" t="n">
        <x:v>1.0375</x:v>
      </x:c>
      <x:c r="AA1165" s="38" t="n">
        <x:v>0.4125</x:v>
      </x:c>
      <x:c r="AB1165" s="38" t="n">
        <x:v>0.009</x:v>
      </x:c>
      <x:c r="AC1165" s="38" t="n">
        <x:v>2.0261243499999995</x:v>
      </x:c>
      <x:c r="AD1165" s="28" t="n">
        <x:v>0.31808038650831644</x:v>
      </x:c>
    </x:row>
    <x:row r="1166">
      <x:c r="A1166" s="32" t="n">
        <x:v>46069</x:v>
      </x:c>
      <x:c r="B1166" s="32" t="n">
        <x:v>46054</x:v>
      </x:c>
      <x:c r="C1166" t="str">
        <x:v>Feb 2026</x:v>
      </x:c>
      <x:c r="D1166" t="str">
        <x:v>Forecast</x:v>
      </x:c>
      <x:c r="E1166" t="str">
        <x:v>DB-101</x:v>
      </x:c>
      <x:c r="F1166" t="str">
        <x:v>AeroSip Bottle</x:v>
      </x:c>
      <x:c r="G1166" t="str">
        <x:v>One-time purchase</x:v>
      </x:c>
      <x:c r="H1166" t="str">
        <x:v>None</x:v>
      </x:c>
      <x:c r="I1166" t="str">
        <x:v>Active</x:v>
      </x:c>
      <x:c r="J1166" t="str">
        <x:v>Amazon Marketplace</x:v>
      </x:c>
      <x:c r="K1166" t="str">
        <x:v>Marketplace Consumer</x:v>
      </x:c>
      <x:c r="L1166" t="str">
        <x:v>All Geographies</x:v>
      </x:c>
      <x:c r="M1166" s="34" t="n">
        <x:v>3648</x:v>
      </x:c>
      <x:c r="N1166" s="28" t="n">
        <x:v>0.040355999999999996</x:v>
      </x:c>
      <x:c r="O1166" s="34" t="n">
        <x:v>147</x:v>
      </x:c>
      <x:c r="P1166" s="34" t="n">
        <x:v>1</x:v>
      </x:c>
      <x:c r="Q1166" s="34" t="n">
        <x:v>147</x:v>
      </x:c>
      <x:c r="R1166" s="33" t="n">
        <x:v>29</x:v>
      </x:c>
      <x:c r="S1166" s="38" t="n">
        <x:v>4.263</x:v>
      </x:c>
      <x:c r="T1166" s="38" t="n">
        <x:v>0.21315</x:v>
      </x:c>
      <x:c r="U1166" s="38" t="n">
        <x:v>0.18224325</x:v>
      </x:c>
      <x:c r="V1166" s="38" t="n">
        <x:v>3.86760675</x:v>
      </x:c>
      <x:c r="W1166" s="38" t="n">
        <x:v>1.5876000000000001</x:v>
      </x:c>
      <x:c r="X1166" s="38" t="n">
        <x:v>0</x:v>
      </x:c>
      <x:c r="Y1166" s="38" t="n">
        <x:v>0.5801410125</x:v>
      </x:c>
      <x:c r="Z1166" s="38" t="n">
        <x:v>0.7644</x:v>
      </x:c>
      <x:c r="AA1166" s="38" t="n">
        <x:v>0.31605</x:v>
      </x:c>
      <x:c r="AB1166" s="38" t="n">
        <x:v>0.005292</x:v>
      </x:c>
      <x:c r="AC1166" s="38" t="n">
        <x:v>0.6141237375000003</x:v>
      </x:c>
      <x:c r="AD1166" s="28" t="n">
        <x:v>0.15878649955815705</x:v>
      </x:c>
    </x:row>
    <x:row r="1167">
      <x:c r="A1167" s="32" t="n">
        <x:v>46069</x:v>
      </x:c>
      <x:c r="B1167" s="32" t="n">
        <x:v>46054</x:v>
      </x:c>
      <x:c r="C1167" t="str">
        <x:v>Feb 2026</x:v>
      </x:c>
      <x:c r="D1167" t="str">
        <x:v>Forecast</x:v>
      </x:c>
      <x:c r="E1167" t="str">
        <x:v>DB-101</x:v>
      </x:c>
      <x:c r="F1167" t="str">
        <x:v>AeroSip Bottle</x:v>
      </x:c>
      <x:c r="G1167" t="str">
        <x:v>One-time purchase</x:v>
      </x:c>
      <x:c r="H1167" t="str">
        <x:v>None</x:v>
      </x:c>
      <x:c r="I1167" t="str">
        <x:v>Active</x:v>
      </x:c>
      <x:c r="J1167" t="str">
        <x:v>Wholesale</x:v>
      </x:c>
      <x:c r="K1167" t="str">
        <x:v>Retailer</x:v>
      </x:c>
      <x:c r="L1167" t="str">
        <x:v>All Geographies</x:v>
      </x:c>
      <x:c r="M1167" s="34" t="n">
        <x:v>2189</x:v>
      </x:c>
      <x:c r="N1167" s="28" t="n">
        <x:v>0.01881</x:v>
      </x:c>
      <x:c r="O1167" s="34" t="n">
        <x:v>41</x:v>
      </x:c>
      <x:c r="P1167" s="34" t="n">
        <x:v>1</x:v>
      </x:c>
      <x:c r="Q1167" s="34" t="n">
        <x:v>41</x:v>
      </x:c>
      <x:c r="R1167" s="33" t="n">
        <x:v>29</x:v>
      </x:c>
      <x:c r="S1167" s="38" t="n">
        <x:v>1.189</x:v>
      </x:c>
      <x:c r="T1167" s="38" t="n">
        <x:v>0.41615</x:v>
      </x:c>
      <x:c r="U1167" s="38" t="n">
        <x:v>0.034778250000000004</x:v>
      </x:c>
      <x:c r="V1167" s="38" t="n">
        <x:v>0.73807175</x:v>
      </x:c>
      <x:c r="W1167" s="38" t="n">
        <x:v>0.4428</x:v>
      </x:c>
      <x:c r="X1167" s="38" t="n">
        <x:v>0</x:v>
      </x:c>
      <x:c r="Y1167" s="38" t="n">
        <x:v>0</x:v>
      </x:c>
      <x:c r="Z1167" s="38" t="n">
        <x:v>0.0943</x:v>
      </x:c>
      <x:c r="AA1167" s="38" t="n">
        <x:v>0.03485</x:v>
      </x:c>
      <x:c r="AB1167" s="38" t="n">
        <x:v>0.0014759999999999999</x:v>
      </x:c>
      <x:c r="AC1167" s="38" t="n">
        <x:v>0.16464575</x:v>
      </x:c>
      <x:c r="AD1167" s="28" t="n">
        <x:v>0.22307553432305194</x:v>
      </x:c>
    </x:row>
    <x:row r="1168">
      <x:c r="A1168" s="32" t="n">
        <x:v>46069</x:v>
      </x:c>
      <x:c r="B1168" s="32" t="n">
        <x:v>46054</x:v>
      </x:c>
      <x:c r="C1168" t="str">
        <x:v>Feb 2026</x:v>
      </x:c>
      <x:c r="D1168" t="str">
        <x:v>Forecast</x:v>
      </x:c>
      <x:c r="E1168" t="str">
        <x:v>DB-101</x:v>
      </x:c>
      <x:c r="F1168" t="str">
        <x:v>AeroSip Bottle</x:v>
      </x:c>
      <x:c r="G1168" t="str">
        <x:v>One-time purchase</x:v>
      </x:c>
      <x:c r="H1168" t="str">
        <x:v>None</x:v>
      </x:c>
      <x:c r="I1168" t="str">
        <x:v>Active</x:v>
      </x:c>
      <x:c r="J1168" t="str">
        <x:v>TikTok Shop</x:v>
      </x:c>
      <x:c r="K1168" t="str">
        <x:v>Social Commerce</x:v>
      </x:c>
      <x:c r="L1168" t="str">
        <x:v>All Geographies</x:v>
      </x:c>
      <x:c r="M1168" s="34" t="n">
        <x:v>1459</x:v>
      </x:c>
      <x:c r="N1168" s="28" t="n">
        <x:v>0.043092</x:v>
      </x:c>
      <x:c r="O1168" s="34" t="n">
        <x:v>63</x:v>
      </x:c>
      <x:c r="P1168" s="34" t="n">
        <x:v>1</x:v>
      </x:c>
      <x:c r="Q1168" s="34" t="n">
        <x:v>63</x:v>
      </x:c>
      <x:c r="R1168" s="33" t="n">
        <x:v>29</x:v>
      </x:c>
      <x:c r="S1168" s="38" t="n">
        <x:v>1.827</x:v>
      </x:c>
      <x:c r="T1168" s="38" t="n">
        <x:v>0.21924</x:v>
      </x:c>
      <x:c r="U1168" s="38" t="n">
        <x:v>0.07234919999999999</x:v>
      </x:c>
      <x:c r="V1168" s="38" t="n">
        <x:v>1.5354108</x:v>
      </x:c>
      <x:c r="W1168" s="38" t="n">
        <x:v>0.6804000000000001</x:v>
      </x:c>
      <x:c r="X1168" s="38" t="n">
        <x:v>0.044526913200000004</x:v>
      </x:c>
      <x:c r="Y1168" s="38" t="n">
        <x:v>0.09212464799999999</x:v>
      </x:c>
      <x:c r="Z1168" s="38" t="n">
        <x:v>0.3213</x:v>
      </x:c>
      <x:c r="AA1168" s="38" t="n">
        <x:v>0.11025</x:v>
      </x:c>
      <x:c r="AB1168" s="38" t="n">
        <x:v>0.0022679999999999996</x:v>
      </x:c>
      <x:c r="AC1168" s="38" t="n">
        <x:v>0.2845412387999999</x:v>
      </x:c>
      <x:c r="AD1168" s="28" t="n">
        <x:v>0.18531928966501987</x:v>
      </x:c>
    </x:row>
    <x:row r="1169">
      <x:c r="A1169" s="32" t="n">
        <x:v>46069</x:v>
      </x:c>
      <x:c r="B1169" s="32" t="n">
        <x:v>46054</x:v>
      </x:c>
      <x:c r="C1169" t="str">
        <x:v>Feb 2026</x:v>
      </x:c>
      <x:c r="D1169" t="str">
        <x:v>Forecast</x:v>
      </x:c>
      <x:c r="E1169" t="str">
        <x:v>DB-102</x:v>
      </x:c>
      <x:c r="F1169" t="str">
        <x:v>GlowPatch Balm</x:v>
      </x:c>
      <x:c r="G1169" t="str">
        <x:v>Consumable repeat</x:v>
      </x:c>
      <x:c r="H1169" t="str">
        <x:v>None</x:v>
      </x:c>
      <x:c r="I1169" t="str">
        <x:v>Active</x:v>
      </x:c>
      <x:c r="J1169" t="str">
        <x:v>Shopify DTC</x:v>
      </x:c>
      <x:c r="K1169" t="str">
        <x:v>Consumer</x:v>
      </x:c>
      <x:c r="L1169" t="str">
        <x:v>All Geographies</x:v>
      </x:c>
      <x:c r="M1169" s="34" t="n">
        <x:v>5893</x:v>
      </x:c>
      <x:c r="N1169" s="28" t="n">
        <x:v>0.04248</x:v>
      </x:c>
      <x:c r="O1169" s="34" t="n">
        <x:v>250</x:v>
      </x:c>
      <x:c r="P1169" s="34" t="n">
        <x:v>1</x:v>
      </x:c>
      <x:c r="Q1169" s="34" t="n">
        <x:v>250</x:v>
      </x:c>
      <x:c r="R1169" s="33" t="n">
        <x:v>18</x:v>
      </x:c>
      <x:c r="S1169" s="38" t="n">
        <x:v>4.5</x:v>
      </x:c>
      <x:c r="T1169" s="38" t="n">
        <x:v>0.36</x:v>
      </x:c>
      <x:c r="U1169" s="38" t="n">
        <x:v>0.1035</x:v>
      </x:c>
      <x:c r="V1169" s="38" t="n">
        <x:v>4.036499999999999</x:v>
      </x:c>
      <x:c r="W1169" s="38" t="n">
        <x:v>1.3525</x:v>
      </x:c>
      <x:c r="X1169" s="38" t="n">
        <x:v>0.11705849999999998</x:v>
      </x:c>
      <x:c r="Y1169" s="38" t="n">
        <x:v>0</x:v>
      </x:c>
      <x:c r="Z1169" s="38" t="n">
        <x:v>1.0375</x:v>
      </x:c>
      <x:c r="AA1169" s="38" t="n">
        <x:v>0.4125</x:v>
      </x:c>
      <x:c r="AB1169" s="38" t="n">
        <x:v>0.0015</x:v>
      </x:c>
      <x:c r="AC1169" s="38" t="n">
        <x:v>1.1154414999999989</x:v>
      </x:c>
      <x:c r="AD1169" s="28" t="n">
        <x:v>0.2763387835996529</x:v>
      </x:c>
    </x:row>
    <x:row r="1170">
      <x:c r="A1170" s="32" t="n">
        <x:v>46069</x:v>
      </x:c>
      <x:c r="B1170" s="32" t="n">
        <x:v>46054</x:v>
      </x:c>
      <x:c r="C1170" t="str">
        <x:v>Feb 2026</x:v>
      </x:c>
      <x:c r="D1170" t="str">
        <x:v>Forecast</x:v>
      </x:c>
      <x:c r="E1170" t="str">
        <x:v>DB-102</x:v>
      </x:c>
      <x:c r="F1170" t="str">
        <x:v>GlowPatch Balm</x:v>
      </x:c>
      <x:c r="G1170" t="str">
        <x:v>Consumable repeat</x:v>
      </x:c>
      <x:c r="H1170" t="str">
        <x:v>None</x:v>
      </x:c>
      <x:c r="I1170" t="str">
        <x:v>Active</x:v>
      </x:c>
      <x:c r="J1170" t="str">
        <x:v>Amazon Marketplace</x:v>
      </x:c>
      <x:c r="K1170" t="str">
        <x:v>Marketplace Consumer</x:v>
      </x:c>
      <x:c r="L1170" t="str">
        <x:v>All Geographies</x:v>
      </x:c>
      <x:c r="M1170" s="34" t="n">
        <x:v>2946</x:v>
      </x:c>
      <x:c r="N1170" s="28" t="n">
        <x:v>0.050126399999999995</x:v>
      </x:c>
      <x:c r="O1170" s="34" t="n">
        <x:v>148</x:v>
      </x:c>
      <x:c r="P1170" s="34" t="n">
        <x:v>1</x:v>
      </x:c>
      <x:c r="Q1170" s="34" t="n">
        <x:v>148</x:v>
      </x:c>
      <x:c r="R1170" s="33" t="n">
        <x:v>18</x:v>
      </x:c>
      <x:c r="S1170" s="38" t="n">
        <x:v>2.664</x:v>
      </x:c>
      <x:c r="T1170" s="38" t="n">
        <x:v>0.1332</x:v>
      </x:c>
      <x:c r="U1170" s="38" t="n">
        <x:v>0.06327</x:v>
      </x:c>
      <x:c r="V1170" s="38" t="n">
        <x:v>2.46753</x:v>
      </x:c>
      <x:c r="W1170" s="38" t="n">
        <x:v>0.8006800000000001</x:v>
      </x:c>
      <x:c r="X1170" s="38" t="n">
        <x:v>0</x:v>
      </x:c>
      <x:c r="Y1170" s="38" t="n">
        <x:v>0.3701295</x:v>
      </x:c>
      <x:c r="Z1170" s="38" t="n">
        <x:v>0.7696000000000001</x:v>
      </x:c>
      <x:c r="AA1170" s="38" t="n">
        <x:v>0.3182</x:v>
      </x:c>
      <x:c r="AB1170" s="38" t="n">
        <x:v>0.0008879999999999999</x:v>
      </x:c>
      <x:c r="AC1170" s="38" t="n">
        <x:v>0.2080324999999999</x:v>
      </x:c>
      <x:c r="AD1170" s="28" t="n">
        <x:v>0.084307992202729</x:v>
      </x:c>
    </x:row>
    <x:row r="1171">
      <x:c r="A1171" s="32" t="n">
        <x:v>46069</x:v>
      </x:c>
      <x:c r="B1171" s="32" t="n">
        <x:v>46054</x:v>
      </x:c>
      <x:c r="C1171" t="str">
        <x:v>Feb 2026</x:v>
      </x:c>
      <x:c r="D1171" t="str">
        <x:v>Forecast</x:v>
      </x:c>
      <x:c r="E1171" t="str">
        <x:v>DB-102</x:v>
      </x:c>
      <x:c r="F1171" t="str">
        <x:v>GlowPatch Balm</x:v>
      </x:c>
      <x:c r="G1171" t="str">
        <x:v>Consumable repeat</x:v>
      </x:c>
      <x:c r="H1171" t="str">
        <x:v>None</x:v>
      </x:c>
      <x:c r="I1171" t="str">
        <x:v>Active</x:v>
      </x:c>
      <x:c r="J1171" t="str">
        <x:v>Wholesale</x:v>
      </x:c>
      <x:c r="K1171" t="str">
        <x:v>Retailer</x:v>
      </x:c>
      <x:c r="L1171" t="str">
        <x:v>All Geographies</x:v>
      </x:c>
      <x:c r="M1171" s="34" t="n">
        <x:v>1768</x:v>
      </x:c>
      <x:c r="N1171" s="28" t="n">
        <x:v>0.023364</x:v>
      </x:c>
      <x:c r="O1171" s="34" t="n">
        <x:v>41</x:v>
      </x:c>
      <x:c r="P1171" s="34" t="n">
        <x:v>1</x:v>
      </x:c>
      <x:c r="Q1171" s="34" t="n">
        <x:v>41</x:v>
      </x:c>
      <x:c r="R1171" s="33" t="n">
        <x:v>18</x:v>
      </x:c>
      <x:c r="S1171" s="38" t="n">
        <x:v>0.738</x:v>
      </x:c>
      <x:c r="T1171" s="38" t="n">
        <x:v>0.2583</x:v>
      </x:c>
      <x:c r="U1171" s="38" t="n">
        <x:v>0.011992500000000001</x:v>
      </x:c>
      <x:c r="V1171" s="38" t="n">
        <x:v>0.4677075</x:v>
      </x:c>
      <x:c r="W1171" s="38" t="n">
        <x:v>0.22181</x:v>
      </x:c>
      <x:c r="X1171" s="38" t="n">
        <x:v>0</x:v>
      </x:c>
      <x:c r="Y1171" s="38" t="n">
        <x:v>0</x:v>
      </x:c>
      <x:c r="Z1171" s="38" t="n">
        <x:v>0.0943</x:v>
      </x:c>
      <x:c r="AA1171" s="38" t="n">
        <x:v>0.03485</x:v>
      </x:c>
      <x:c r="AB1171" s="38" t="n">
        <x:v>0.000246</x:v>
      </x:c>
      <x:c r="AC1171" s="38" t="n">
        <x:v>0.11650150000000001</x:v>
      </x:c>
      <x:c r="AD1171" s="28" t="n">
        <x:v>0.2490905106289722</x:v>
      </x:c>
    </x:row>
    <x:row r="1172">
      <x:c r="A1172" s="32" t="n">
        <x:v>46069</x:v>
      </x:c>
      <x:c r="B1172" s="32" t="n">
        <x:v>46054</x:v>
      </x:c>
      <x:c r="C1172" t="str">
        <x:v>Feb 2026</x:v>
      </x:c>
      <x:c r="D1172" t="str">
        <x:v>Forecast</x:v>
      </x:c>
      <x:c r="E1172" t="str">
        <x:v>DB-102</x:v>
      </x:c>
      <x:c r="F1172" t="str">
        <x:v>GlowPatch Balm</x:v>
      </x:c>
      <x:c r="G1172" t="str">
        <x:v>Consumable repeat</x:v>
      </x:c>
      <x:c r="H1172" t="str">
        <x:v>None</x:v>
      </x:c>
      <x:c r="I1172" t="str">
        <x:v>Active</x:v>
      </x:c>
      <x:c r="J1172" t="str">
        <x:v>TikTok Shop</x:v>
      </x:c>
      <x:c r="K1172" t="str">
        <x:v>Social Commerce</x:v>
      </x:c>
      <x:c r="L1172" t="str">
        <x:v>All Geographies</x:v>
      </x:c>
      <x:c r="M1172" s="34" t="n">
        <x:v>1179</x:v>
      </x:c>
      <x:c r="N1172" s="28" t="n">
        <x:v>0.0535248</x:v>
      </x:c>
      <x:c r="O1172" s="34" t="n">
        <x:v>63</x:v>
      </x:c>
      <x:c r="P1172" s="34" t="n">
        <x:v>1</x:v>
      </x:c>
      <x:c r="Q1172" s="34" t="n">
        <x:v>63</x:v>
      </x:c>
      <x:c r="R1172" s="33" t="n">
        <x:v>18</x:v>
      </x:c>
      <x:c r="S1172" s="38" t="n">
        <x:v>1.134</x:v>
      </x:c>
      <x:c r="T1172" s="38" t="n">
        <x:v>0.13607999999999998</x:v>
      </x:c>
      <x:c r="U1172" s="38" t="n">
        <x:v>0.024947999999999998</x:v>
      </x:c>
      <x:c r="V1172" s="38" t="n">
        <x:v>0.972972</x:v>
      </x:c>
      <x:c r="W1172" s="38" t="n">
        <x:v>0.34082999999999997</x:v>
      </x:c>
      <x:c r="X1172" s="38" t="n">
        <x:v>0.028216188</x:v>
      </x:c>
      <x:c r="Y1172" s="38" t="n">
        <x:v>0.05837832</x:v>
      </x:c>
      <x:c r="Z1172" s="38" t="n">
        <x:v>0.3213</x:v>
      </x:c>
      <x:c r="AA1172" s="38" t="n">
        <x:v>0.11025</x:v>
      </x:c>
      <x:c r="AB1172" s="38" t="n">
        <x:v>0.000378</x:v>
      </x:c>
      <x:c r="AC1172" s="38" t="n">
        <x:v>0.11361949199999999</x:v>
      </x:c>
      <x:c r="AD1172" s="28" t="n">
        <x:v>0.11677570577570577</x:v>
      </x:c>
    </x:row>
    <x:row r="1173">
      <x:c r="A1173" s="32" t="n">
        <x:v>46069</x:v>
      </x:c>
      <x:c r="B1173" s="32" t="n">
        <x:v>46054</x:v>
      </x:c>
      <x:c r="C1173" t="str">
        <x:v>Feb 2026</x:v>
      </x:c>
      <x:c r="D1173" t="str">
        <x:v>Forecast</x:v>
      </x:c>
      <x:c r="E1173" t="str">
        <x:v>DB-103</x:v>
      </x:c>
      <x:c r="F1173" t="str">
        <x:v>EmberTrail Camp Mug</x:v>
      </x:c>
      <x:c r="G1173" t="str">
        <x:v>One-time purchase</x:v>
      </x:c>
      <x:c r="H1173" t="str">
        <x:v>Winter peak</x:v>
      </x:c>
      <x:c r="I1173" t="str">
        <x:v>Active</x:v>
      </x:c>
      <x:c r="J1173" t="str">
        <x:v>Shopify DTC</x:v>
      </x:c>
      <x:c r="K1173" t="str">
        <x:v>Consumer</x:v>
      </x:c>
      <x:c r="L1173" t="str">
        <x:v>All Geographies</x:v>
      </x:c>
      <x:c r="M1173" s="34" t="n">
        <x:v>5455</x:v>
      </x:c>
      <x:c r="N1173" s="28" t="n">
        <x:v>0.0324</x:v>
      </x:c>
      <x:c r="O1173" s="34" t="n">
        <x:v>177</x:v>
      </x:c>
      <x:c r="P1173" s="34" t="n">
        <x:v>1</x:v>
      </x:c>
      <x:c r="Q1173" s="34" t="n">
        <x:v>177</x:v>
      </x:c>
      <x:c r="R1173" s="33" t="n">
        <x:v>34</x:v>
      </x:c>
      <x:c r="S1173" s="38" t="n">
        <x:v>6.018</x:v>
      </x:c>
      <x:c r="T1173" s="38" t="n">
        <x:v>0.48144</x:v>
      </x:c>
      <x:c r="U1173" s="38" t="n">
        <x:v>0.30451079999999997</x:v>
      </x:c>
      <x:c r="V1173" s="38" t="n">
        <x:v>5.2320492</x:v>
      </x:c>
      <x:c r="W1173" s="38" t="n">
        <x:v>2.4195900000000004</x:v>
      </x:c>
      <x:c r="X1173" s="38" t="n">
        <x:v>0.15172942679999998</x:v>
      </x:c>
      <x:c r="Y1173" s="38" t="n">
        <x:v>0</x:v>
      </x:c>
      <x:c r="Z1173" s="38" t="n">
        <x:v>0.73455</x:v>
      </x:c>
      <x:c r="AA1173" s="38" t="n">
        <x:v>0.29205000000000003</x:v>
      </x:c>
      <x:c r="AB1173" s="38" t="n">
        <x:v>0.009911999999999999</x:v>
      </x:c>
      <x:c r="AC1173" s="38" t="n">
        <x:v>1.6242177731999994</x:v>
      </x:c>
      <x:c r="AD1173" s="28" t="n">
        <x:v>0.3104362575948253</x:v>
      </x:c>
    </x:row>
    <x:row r="1174">
      <x:c r="A1174" s="32" t="n">
        <x:v>46069</x:v>
      </x:c>
      <x:c r="B1174" s="32" t="n">
        <x:v>46054</x:v>
      </x:c>
      <x:c r="C1174" t="str">
        <x:v>Feb 2026</x:v>
      </x:c>
      <x:c r="D1174" t="str">
        <x:v>Forecast</x:v>
      </x:c>
      <x:c r="E1174" t="str">
        <x:v>DB-103</x:v>
      </x:c>
      <x:c r="F1174" t="str">
        <x:v>EmberTrail Camp Mug</x:v>
      </x:c>
      <x:c r="G1174" t="str">
        <x:v>One-time purchase</x:v>
      </x:c>
      <x:c r="H1174" t="str">
        <x:v>Winter peak</x:v>
      </x:c>
      <x:c r="I1174" t="str">
        <x:v>Active</x:v>
      </x:c>
      <x:c r="J1174" t="str">
        <x:v>Amazon Marketplace</x:v>
      </x:c>
      <x:c r="K1174" t="str">
        <x:v>Marketplace Consumer</x:v>
      </x:c>
      <x:c r="L1174" t="str">
        <x:v>All Geographies</x:v>
      </x:c>
      <x:c r="M1174" s="34" t="n">
        <x:v>2727</x:v>
      </x:c>
      <x:c r="N1174" s="28" t="n">
        <x:v>0.038231999999999995</x:v>
      </x:c>
      <x:c r="O1174" s="34" t="n">
        <x:v>104</x:v>
      </x:c>
      <x:c r="P1174" s="34" t="n">
        <x:v>1</x:v>
      </x:c>
      <x:c r="Q1174" s="34" t="n">
        <x:v>104</x:v>
      </x:c>
      <x:c r="R1174" s="33" t="n">
        <x:v>34</x:v>
      </x:c>
      <x:c r="S1174" s="38" t="n">
        <x:v>3.536</x:v>
      </x:c>
      <x:c r="T1174" s="38" t="n">
        <x:v>0.1768</x:v>
      </x:c>
      <x:c r="U1174" s="38" t="n">
        <x:v>0.184756</x:v>
      </x:c>
      <x:c r="V1174" s="38" t="n">
        <x:v>3.174444</x:v>
      </x:c>
      <x:c r="W1174" s="38" t="n">
        <x:v>1.42168</x:v>
      </x:c>
      <x:c r="X1174" s="38" t="n">
        <x:v>0</x:v>
      </x:c>
      <x:c r="Y1174" s="38" t="n">
        <x:v>0.47616659999999994</x:v>
      </x:c>
      <x:c r="Z1174" s="38" t="n">
        <x:v>0.5408000000000001</x:v>
      </x:c>
      <x:c r="AA1174" s="38" t="n">
        <x:v>0.2236</x:v>
      </x:c>
      <x:c r="AB1174" s="38" t="n">
        <x:v>0.005824000000000001</x:v>
      </x:c>
      <x:c r="AC1174" s="38" t="n">
        <x:v>0.5063733999999996</x:v>
      </x:c>
      <x:c r="AD1174" s="28" t="n">
        <x:v>0.15951561911314222</x:v>
      </x:c>
    </x:row>
    <x:row r="1175">
      <x:c r="A1175" s="32" t="n">
        <x:v>46069</x:v>
      </x:c>
      <x:c r="B1175" s="32" t="n">
        <x:v>46054</x:v>
      </x:c>
      <x:c r="C1175" t="str">
        <x:v>Feb 2026</x:v>
      </x:c>
      <x:c r="D1175" t="str">
        <x:v>Forecast</x:v>
      </x:c>
      <x:c r="E1175" t="str">
        <x:v>DB-103</x:v>
      </x:c>
      <x:c r="F1175" t="str">
        <x:v>EmberTrail Camp Mug</x:v>
      </x:c>
      <x:c r="G1175" t="str">
        <x:v>One-time purchase</x:v>
      </x:c>
      <x:c r="H1175" t="str">
        <x:v>Winter peak</x:v>
      </x:c>
      <x:c r="I1175" t="str">
        <x:v>Active</x:v>
      </x:c>
      <x:c r="J1175" t="str">
        <x:v>Wholesale</x:v>
      </x:c>
      <x:c r="K1175" t="str">
        <x:v>Retailer</x:v>
      </x:c>
      <x:c r="L1175" t="str">
        <x:v>All Geographies</x:v>
      </x:c>
      <x:c r="M1175" s="34" t="n">
        <x:v>1636</x:v>
      </x:c>
      <x:c r="N1175" s="28" t="n">
        <x:v>0.017820000000000003</x:v>
      </x:c>
      <x:c r="O1175" s="34" t="n">
        <x:v>29</x:v>
      </x:c>
      <x:c r="P1175" s="34" t="n">
        <x:v>1</x:v>
      </x:c>
      <x:c r="Q1175" s="34" t="n">
        <x:v>29</x:v>
      </x:c>
      <x:c r="R1175" s="33" t="n">
        <x:v>34</x:v>
      </x:c>
      <x:c r="S1175" s="38" t="n">
        <x:v>0.986</x:v>
      </x:c>
      <x:c r="T1175" s="38" t="n">
        <x:v>0.34509999999999996</x:v>
      </x:c>
      <x:c r="U1175" s="38" t="n">
        <x:v>0.0352495</x:v>
      </x:c>
      <x:c r="V1175" s="38" t="n">
        <x:v>0.6056505</x:v>
      </x:c>
      <x:c r="W1175" s="38" t="n">
        <x:v>0.39643</x:v>
      </x:c>
      <x:c r="X1175" s="38" t="n">
        <x:v>0</x:v>
      </x:c>
      <x:c r="Y1175" s="38" t="n">
        <x:v>0</x:v>
      </x:c>
      <x:c r="Z1175" s="38" t="n">
        <x:v>0.0667</x:v>
      </x:c>
      <x:c r="AA1175" s="38" t="n">
        <x:v>0.02465</x:v>
      </x:c>
      <x:c r="AB1175" s="38" t="n">
        <x:v>0.001624</x:v>
      </x:c>
      <x:c r="AC1175" s="38" t="n">
        <x:v>0.11624649999999999</x:v>
      </x:c>
      <x:c r="AD1175" s="28" t="n">
        <x:v>0.19193660370130958</x:v>
      </x:c>
    </x:row>
    <x:row r="1176">
      <x:c r="A1176" s="32" t="n">
        <x:v>46069</x:v>
      </x:c>
      <x:c r="B1176" s="32" t="n">
        <x:v>46054</x:v>
      </x:c>
      <x:c r="C1176" t="str">
        <x:v>Feb 2026</x:v>
      </x:c>
      <x:c r="D1176" t="str">
        <x:v>Forecast</x:v>
      </x:c>
      <x:c r="E1176" t="str">
        <x:v>DB-103</x:v>
      </x:c>
      <x:c r="F1176" t="str">
        <x:v>EmberTrail Camp Mug</x:v>
      </x:c>
      <x:c r="G1176" t="str">
        <x:v>One-time purchase</x:v>
      </x:c>
      <x:c r="H1176" t="str">
        <x:v>Winter peak</x:v>
      </x:c>
      <x:c r="I1176" t="str">
        <x:v>Active</x:v>
      </x:c>
      <x:c r="J1176" t="str">
        <x:v>TikTok Shop</x:v>
      </x:c>
      <x:c r="K1176" t="str">
        <x:v>Social Commerce</x:v>
      </x:c>
      <x:c r="L1176" t="str">
        <x:v>All Geographies</x:v>
      </x:c>
      <x:c r="M1176" s="34" t="n">
        <x:v>1091</x:v>
      </x:c>
      <x:c r="N1176" s="28" t="n">
        <x:v>0.040824</x:v>
      </x:c>
      <x:c r="O1176" s="34" t="n">
        <x:v>45</x:v>
      </x:c>
      <x:c r="P1176" s="34" t="n">
        <x:v>1</x:v>
      </x:c>
      <x:c r="Q1176" s="34" t="n">
        <x:v>45</x:v>
      </x:c>
      <x:c r="R1176" s="33" t="n">
        <x:v>34</x:v>
      </x:c>
      <x:c r="S1176" s="38" t="n">
        <x:v>1.53</x:v>
      </x:c>
      <x:c r="T1176" s="38" t="n">
        <x:v>0.18359999999999999</x:v>
      </x:c>
      <x:c r="U1176" s="38" t="n">
        <x:v>0.074052</x:v>
      </x:c>
      <x:c r="V1176" s="38" t="n">
        <x:v>1.272348</x:v>
      </x:c>
      <x:c r="W1176" s="38" t="n">
        <x:v>0.61515</x:v>
      </x:c>
      <x:c r="X1176" s="38" t="n">
        <x:v>0.036898092</x:v>
      </x:c>
      <x:c r="Y1176" s="38" t="n">
        <x:v>0.07634088</x:v>
      </x:c>
      <x:c r="Z1176" s="38" t="n">
        <x:v>0.22949999999999998</x:v>
      </x:c>
      <x:c r="AA1176" s="38" t="n">
        <x:v>0.07875</x:v>
      </x:c>
      <x:c r="AB1176" s="38" t="n">
        <x:v>0.00252</x:v>
      </x:c>
      <x:c r="AC1176" s="38" t="n">
        <x:v>0.233189028</x:v>
      </x:c>
      <x:c r="AD1176" s="28" t="n">
        <x:v>0.18327456639221343</x:v>
      </x:c>
    </x:row>
    <x:row r="1177">
      <x:c r="A1177" s="32" t="n">
        <x:v>46069</x:v>
      </x:c>
      <x:c r="B1177" s="32" t="n">
        <x:v>46054</x:v>
      </x:c>
      <x:c r="C1177" t="str">
        <x:v>Feb 2026</x:v>
      </x:c>
      <x:c r="D1177" t="str">
        <x:v>Forecast</x:v>
      </x:c>
      <x:c r="E1177" t="str">
        <x:v>DB-104</x:v>
      </x:c>
      <x:c r="F1177" t="str">
        <x:v>SunNest Cooling Towel</x:v>
      </x:c>
      <x:c r="G1177" t="str">
        <x:v>Consumable repeat</x:v>
      </x:c>
      <x:c r="H1177" t="str">
        <x:v>Summer peak</x:v>
      </x:c>
      <x:c r="I1177" t="str">
        <x:v>Active</x:v>
      </x:c>
      <x:c r="J1177" t="str">
        <x:v>Shopify DTC</x:v>
      </x:c>
      <x:c r="K1177" t="str">
        <x:v>Consumer</x:v>
      </x:c>
      <x:c r="L1177" t="str">
        <x:v>All Geographies</x:v>
      </x:c>
      <x:c r="M1177" s="34" t="n">
        <x:v>3721</x:v>
      </x:c>
      <x:c r="N1177" s="28" t="n">
        <x:v>0.03312</x:v>
      </x:c>
      <x:c r="O1177" s="34" t="n">
        <x:v>123</x:v>
      </x:c>
      <x:c r="P1177" s="34" t="n">
        <x:v>1</x:v>
      </x:c>
      <x:c r="Q1177" s="34" t="n">
        <x:v>123</x:v>
      </x:c>
      <x:c r="R1177" s="33" t="n">
        <x:v>42</x:v>
      </x:c>
      <x:c r="S1177" s="38" t="n">
        <x:v>5.166</x:v>
      </x:c>
      <x:c r="T1177" s="38" t="n">
        <x:v>0.41328000000000004</x:v>
      </x:c>
      <x:c r="U1177" s="38" t="n">
        <x:v>0.23763600000000001</x:v>
      </x:c>
      <x:c r="V1177" s="38" t="n">
        <x:v>4.515084</x:v>
      </x:c>
      <x:c r="W1177" s="38" t="n">
        <x:v>1.85115</x:v>
      </x:c>
      <x:c r="X1177" s="38" t="n">
        <x:v>0.130937436</x:v>
      </x:c>
      <x:c r="Y1177" s="38" t="n">
        <x:v>0</x:v>
      </x:c>
      <x:c r="Z1177" s="38" t="n">
        <x:v>0.5104500000000001</x:v>
      </x:c>
      <x:c r="AA1177" s="38" t="n">
        <x:v>0.20295</x:v>
      </x:c>
      <x:c r="AB1177" s="38" t="n">
        <x:v>0.003444</x:v>
      </x:c>
      <x:c r="AC1177" s="38" t="n">
        <x:v>1.8161525639999998</x:v>
      </x:c>
      <x:c r="AD1177" s="28" t="n">
        <x:v>0.4022411463441211</x:v>
      </x:c>
    </x:row>
    <x:row r="1178">
      <x:c r="A1178" s="32" t="n">
        <x:v>46069</x:v>
      </x:c>
      <x:c r="B1178" s="32" t="n">
        <x:v>46054</x:v>
      </x:c>
      <x:c r="C1178" t="str">
        <x:v>Feb 2026</x:v>
      </x:c>
      <x:c r="D1178" t="str">
        <x:v>Forecast</x:v>
      </x:c>
      <x:c r="E1178" t="str">
        <x:v>DB-104</x:v>
      </x:c>
      <x:c r="F1178" t="str">
        <x:v>SunNest Cooling Towel</x:v>
      </x:c>
      <x:c r="G1178" t="str">
        <x:v>Consumable repeat</x:v>
      </x:c>
      <x:c r="H1178" t="str">
        <x:v>Summer peak</x:v>
      </x:c>
      <x:c r="I1178" t="str">
        <x:v>Active</x:v>
      </x:c>
      <x:c r="J1178" t="str">
        <x:v>Amazon Marketplace</x:v>
      </x:c>
      <x:c r="K1178" t="str">
        <x:v>Marketplace Consumer</x:v>
      </x:c>
      <x:c r="L1178" t="str">
        <x:v>All Geographies</x:v>
      </x:c>
      <x:c r="M1178" s="34" t="n">
        <x:v>1860</x:v>
      </x:c>
      <x:c r="N1178" s="28" t="n">
        <x:v>0.0390816</x:v>
      </x:c>
      <x:c r="O1178" s="34" t="n">
        <x:v>73</x:v>
      </x:c>
      <x:c r="P1178" s="34" t="n">
        <x:v>1</x:v>
      </x:c>
      <x:c r="Q1178" s="34" t="n">
        <x:v>73</x:v>
      </x:c>
      <x:c r="R1178" s="33" t="n">
        <x:v>42</x:v>
      </x:c>
      <x:c r="S1178" s="38" t="n">
        <x:v>3.066</x:v>
      </x:c>
      <x:c r="T1178" s="38" t="n">
        <x:v>0.1533</x:v>
      </x:c>
      <x:c r="U1178" s="38" t="n">
        <x:v>0.14563500000000001</x:v>
      </x:c>
      <x:c r="V1178" s="38" t="n">
        <x:v>2.767065</x:v>
      </x:c>
      <x:c r="W1178" s="38" t="n">
        <x:v>1.0986500000000001</x:v>
      </x:c>
      <x:c r="X1178" s="38" t="n">
        <x:v>0</x:v>
      </x:c>
      <x:c r="Y1178" s="38" t="n">
        <x:v>0.41505975</x:v>
      </x:c>
      <x:c r="Z1178" s="38" t="n">
        <x:v>0.37960000000000005</x:v>
      </x:c>
      <x:c r="AA1178" s="38" t="n">
        <x:v>0.15694999999999998</x:v>
      </x:c>
      <x:c r="AB1178" s="38" t="n">
        <x:v>0.0020440000000000002</x:v>
      </x:c>
      <x:c r="AC1178" s="38" t="n">
        <x:v>0.7147612499999999</x:v>
      </x:c>
      <x:c r="AD1178" s="28" t="n">
        <x:v>0.2583102493074792</x:v>
      </x:c>
    </x:row>
    <x:row r="1179">
      <x:c r="A1179" s="32" t="n">
        <x:v>46069</x:v>
      </x:c>
      <x:c r="B1179" s="32" t="n">
        <x:v>46054</x:v>
      </x:c>
      <x:c r="C1179" t="str">
        <x:v>Feb 2026</x:v>
      </x:c>
      <x:c r="D1179" t="str">
        <x:v>Forecast</x:v>
      </x:c>
      <x:c r="E1179" t="str">
        <x:v>DB-104</x:v>
      </x:c>
      <x:c r="F1179" t="str">
        <x:v>SunNest Cooling Towel</x:v>
      </x:c>
      <x:c r="G1179" t="str">
        <x:v>Consumable repeat</x:v>
      </x:c>
      <x:c r="H1179" t="str">
        <x:v>Summer peak</x:v>
      </x:c>
      <x:c r="I1179" t="str">
        <x:v>Active</x:v>
      </x:c>
      <x:c r="J1179" t="str">
        <x:v>Wholesale</x:v>
      </x:c>
      <x:c r="K1179" t="str">
        <x:v>Retailer</x:v>
      </x:c>
      <x:c r="L1179" t="str">
        <x:v>All Geographies</x:v>
      </x:c>
      <x:c r="M1179" s="34" t="n">
        <x:v>1116</x:v>
      </x:c>
      <x:c r="N1179" s="28" t="n">
        <x:v>0.018216000000000003</x:v>
      </x:c>
      <x:c r="O1179" s="34" t="n">
        <x:v>20</x:v>
      </x:c>
      <x:c r="P1179" s="34" t="n">
        <x:v>1</x:v>
      </x:c>
      <x:c r="Q1179" s="34" t="n">
        <x:v>20</x:v>
      </x:c>
      <x:c r="R1179" s="33" t="n">
        <x:v>42</x:v>
      </x:c>
      <x:c r="S1179" s="38" t="n">
        <x:v>0.84</x:v>
      </x:c>
      <x:c r="T1179" s="38" t="n">
        <x:v>0.294</x:v>
      </x:c>
      <x:c r="U1179" s="38" t="n">
        <x:v>0.027300000000000005</x:v>
      </x:c>
      <x:c r="V1179" s="38" t="n">
        <x:v>0.5187</x:v>
      </x:c>
      <x:c r="W1179" s="38" t="n">
        <x:v>0.301</x:v>
      </x:c>
      <x:c r="X1179" s="38" t="n">
        <x:v>0</x:v>
      </x:c>
      <x:c r="Y1179" s="38" t="n">
        <x:v>0</x:v>
      </x:c>
      <x:c r="Z1179" s="38" t="n">
        <x:v>0.046</x:v>
      </x:c>
      <x:c r="AA1179" s="38" t="n">
        <x:v>0.017</x:v>
      </x:c>
      <x:c r="AB1179" s="38" t="n">
        <x:v>0.00056</x:v>
      </x:c>
      <x:c r="AC1179" s="38" t="n">
        <x:v>0.15414000000000005</x:v>
      </x:c>
      <x:c r="AD1179" s="28" t="n">
        <x:v>0.2971659919028341</x:v>
      </x:c>
    </x:row>
    <x:row r="1180">
      <x:c r="A1180" s="32" t="n">
        <x:v>46069</x:v>
      </x:c>
      <x:c r="B1180" s="32" t="n">
        <x:v>46054</x:v>
      </x:c>
      <x:c r="C1180" t="str">
        <x:v>Feb 2026</x:v>
      </x:c>
      <x:c r="D1180" t="str">
        <x:v>Forecast</x:v>
      </x:c>
      <x:c r="E1180" t="str">
        <x:v>DB-104</x:v>
      </x:c>
      <x:c r="F1180" t="str">
        <x:v>SunNest Cooling Towel</x:v>
      </x:c>
      <x:c r="G1180" t="str">
        <x:v>Consumable repeat</x:v>
      </x:c>
      <x:c r="H1180" t="str">
        <x:v>Summer peak</x:v>
      </x:c>
      <x:c r="I1180" t="str">
        <x:v>Active</x:v>
      </x:c>
      <x:c r="J1180" t="str">
        <x:v>TikTok Shop</x:v>
      </x:c>
      <x:c r="K1180" t="str">
        <x:v>Social Commerce</x:v>
      </x:c>
      <x:c r="L1180" t="str">
        <x:v>All Geographies</x:v>
      </x:c>
      <x:c r="M1180" s="34" t="n">
        <x:v>744</x:v>
      </x:c>
      <x:c r="N1180" s="28" t="n">
        <x:v>0.0417312</x:v>
      </x:c>
      <x:c r="O1180" s="34" t="n">
        <x:v>31</x:v>
      </x:c>
      <x:c r="P1180" s="34" t="n">
        <x:v>1</x:v>
      </x:c>
      <x:c r="Q1180" s="34" t="n">
        <x:v>31</x:v>
      </x:c>
      <x:c r="R1180" s="33" t="n">
        <x:v>42</x:v>
      </x:c>
      <x:c r="S1180" s="38" t="n">
        <x:v>1.302</x:v>
      </x:c>
      <x:c r="T1180" s="38" t="n">
        <x:v>0.15624</x:v>
      </x:c>
      <x:c r="U1180" s="38" t="n">
        <x:v>0.057288000000000006</x:v>
      </x:c>
      <x:c r="V1180" s="38" t="n">
        <x:v>1.088472</x:v>
      </x:c>
      <x:c r="W1180" s="38" t="n">
        <x:v>0.46655</x:v>
      </x:c>
      <x:c r="X1180" s="38" t="n">
        <x:v>0.031565688</x:v>
      </x:c>
      <x:c r="Y1180" s="38" t="n">
        <x:v>0.06530832</x:v>
      </x:c>
      <x:c r="Z1180" s="38" t="n">
        <x:v>0.1581</x:v>
      </x:c>
      <x:c r="AA1180" s="38" t="n">
        <x:v>0.05425</x:v>
      </x:c>
      <x:c r="AB1180" s="38" t="n">
        <x:v>0.000868</x:v>
      </x:c>
      <x:c r="AC1180" s="38" t="n">
        <x:v>0.31182999200000006</x:v>
      </x:c>
      <x:c r="AD1180" s="28" t="n">
        <x:v>0.2864841649578492</x:v>
      </x:c>
    </x:row>
    <x:row r="1181">
      <x:c r="A1181" s="32" t="n">
        <x:v>46069</x:v>
      </x:c>
      <x:c r="B1181" s="32" t="n">
        <x:v>46054</x:v>
      </x:c>
      <x:c r="C1181" t="str">
        <x:v>Feb 2026</x:v>
      </x:c>
      <x:c r="D1181" t="str">
        <x:v>Forecast</x:v>
      </x:c>
      <x:c r="E1181" t="str">
        <x:v>DB-105</x:v>
      </x:c>
      <x:c r="F1181" t="str">
        <x:v>DreamFuel Refill Pack</x:v>
      </x:c>
      <x:c r="G1181" t="str">
        <x:v>Subscription</x:v>
      </x:c>
      <x:c r="H1181" t="str">
        <x:v>None</x:v>
      </x:c>
      <x:c r="I1181" t="str">
        <x:v>Active</x:v>
      </x:c>
      <x:c r="J1181" t="str">
        <x:v>Shopify DTC</x:v>
      </x:c>
      <x:c r="K1181" t="str">
        <x:v>Consumer</x:v>
      </x:c>
      <x:c r="L1181" t="str">
        <x:v>All Geographies</x:v>
      </x:c>
      <x:c r="M1181" s="34" t="n">
        <x:v>5051</x:v>
      </x:c>
      <x:c r="N1181" s="28" t="n">
        <x:v>0.03888</x:v>
      </x:c>
      <x:c r="O1181" s="34" t="n">
        <x:v>196</x:v>
      </x:c>
      <x:c r="P1181" s="34" t="n">
        <x:v>1</x:v>
      </x:c>
      <x:c r="Q1181" s="34" t="n">
        <x:v>196</x:v>
      </x:c>
      <x:c r="R1181" s="33" t="n">
        <x:v>56</x:v>
      </x:c>
      <x:c r="S1181" s="38" t="n">
        <x:v>10.976</x:v>
      </x:c>
      <x:c r="T1181" s="38" t="n">
        <x:v>0.8780800000000001</x:v>
      </x:c>
      <x:c r="U1181" s="38" t="n">
        <x:v>0.2019584</x:v>
      </x:c>
      <x:c r="V1181" s="38" t="n">
        <x:v>9.8959616</x:v>
      </x:c>
      <x:c r="W1181" s="38" t="n">
        <x:v>3.64952</x:v>
      </x:c>
      <x:c r="X1181" s="38" t="n">
        <x:v>0.2869828864</x:v>
      </x:c>
      <x:c r="Y1181" s="38" t="n">
        <x:v>0</x:v>
      </x:c>
      <x:c r="Z1181" s="38" t="n">
        <x:v>0.8134000000000001</x:v>
      </x:c>
      <x:c r="AA1181" s="38" t="n">
        <x:v>0.32339999999999997</x:v>
      </x:c>
      <x:c r="AB1181" s="38" t="n">
        <x:v>0.0007055999999999999</x:v>
      </x:c>
      <x:c r="AC1181" s="38" t="n">
        <x:v>4.8219531136</x:v>
      </x:c>
      <x:c r="AD1181" s="28" t="n">
        <x:v>0.4872647357079478</x:v>
      </x:c>
    </x:row>
    <x:row r="1182">
      <x:c r="A1182" s="32" t="n">
        <x:v>46069</x:v>
      </x:c>
      <x:c r="B1182" s="32" t="n">
        <x:v>46054</x:v>
      </x:c>
      <x:c r="C1182" t="str">
        <x:v>Feb 2026</x:v>
      </x:c>
      <x:c r="D1182" t="str">
        <x:v>Forecast</x:v>
      </x:c>
      <x:c r="E1182" t="str">
        <x:v>DB-105</x:v>
      </x:c>
      <x:c r="F1182" t="str">
        <x:v>DreamFuel Refill Pack</x:v>
      </x:c>
      <x:c r="G1182" t="str">
        <x:v>Subscription</x:v>
      </x:c>
      <x:c r="H1182" t="str">
        <x:v>None</x:v>
      </x:c>
      <x:c r="I1182" t="str">
        <x:v>Active</x:v>
      </x:c>
      <x:c r="J1182" t="str">
        <x:v>Amazon Marketplace</x:v>
      </x:c>
      <x:c r="K1182" t="str">
        <x:v>Marketplace Consumer</x:v>
      </x:c>
      <x:c r="L1182" t="str">
        <x:v>All Geographies</x:v>
      </x:c>
      <x:c r="M1182" s="34" t="n">
        <x:v>2525</x:v>
      </x:c>
      <x:c r="N1182" s="28" t="n">
        <x:v>0.0458784</x:v>
      </x:c>
      <x:c r="O1182" s="34" t="n">
        <x:v>116</x:v>
      </x:c>
      <x:c r="P1182" s="34" t="n">
        <x:v>1</x:v>
      </x:c>
      <x:c r="Q1182" s="34" t="n">
        <x:v>116</x:v>
      </x:c>
      <x:c r="R1182" s="33" t="n">
        <x:v>56</x:v>
      </x:c>
      <x:c r="S1182" s="38" t="n">
        <x:v>6.496</x:v>
      </x:c>
      <x:c r="T1182" s="38" t="n">
        <x:v>0.32480000000000003</x:v>
      </x:c>
      <x:c r="U1182" s="38" t="n">
        <x:v>0.12342400000000002</x:v>
      </x:c>
      <x:c r="V1182" s="38" t="n">
        <x:v>6.047776000000001</x:v>
      </x:c>
      <x:c r="W1182" s="38" t="n">
        <x:v>2.15992</x:v>
      </x:c>
      <x:c r="X1182" s="38" t="n">
        <x:v>0</x:v>
      </x:c>
      <x:c r="Y1182" s="38" t="n">
        <x:v>0.9071664</x:v>
      </x:c>
      <x:c r="Z1182" s="38" t="n">
        <x:v>0.6032000000000001</x:v>
      </x:c>
      <x:c r="AA1182" s="38" t="n">
        <x:v>0.24939999999999998</x:v>
      </x:c>
      <x:c r="AB1182" s="38" t="n">
        <x:v>0.0004176</x:v>
      </x:c>
      <x:c r="AC1182" s="38" t="n">
        <x:v>2.1276720000000005</x:v>
      </x:c>
      <x:c r="AD1182" s="28" t="n">
        <x:v>0.35181064907165877</x:v>
      </x:c>
    </x:row>
    <x:row r="1183">
      <x:c r="A1183" s="32" t="n">
        <x:v>46069</x:v>
      </x:c>
      <x:c r="B1183" s="32" t="n">
        <x:v>46054</x:v>
      </x:c>
      <x:c r="C1183" t="str">
        <x:v>Feb 2026</x:v>
      </x:c>
      <x:c r="D1183" t="str">
        <x:v>Forecast</x:v>
      </x:c>
      <x:c r="E1183" t="str">
        <x:v>DB-105</x:v>
      </x:c>
      <x:c r="F1183" t="str">
        <x:v>DreamFuel Refill Pack</x:v>
      </x:c>
      <x:c r="G1183" t="str">
        <x:v>Subscription</x:v>
      </x:c>
      <x:c r="H1183" t="str">
        <x:v>None</x:v>
      </x:c>
      <x:c r="I1183" t="str">
        <x:v>Active</x:v>
      </x:c>
      <x:c r="J1183" t="str">
        <x:v>Wholesale</x:v>
      </x:c>
      <x:c r="K1183" t="str">
        <x:v>Retailer</x:v>
      </x:c>
      <x:c r="L1183" t="str">
        <x:v>All Geographies</x:v>
      </x:c>
      <x:c r="M1183" s="34" t="n">
        <x:v>1515</x:v>
      </x:c>
      <x:c r="N1183" s="28" t="n">
        <x:v>0.021384000000000004</x:v>
      </x:c>
      <x:c r="O1183" s="34" t="n">
        <x:v>32</x:v>
      </x:c>
      <x:c r="P1183" s="34" t="n">
        <x:v>1</x:v>
      </x:c>
      <x:c r="Q1183" s="34" t="n">
        <x:v>32</x:v>
      </x:c>
      <x:c r="R1183" s="33" t="n">
        <x:v>56</x:v>
      </x:c>
      <x:c r="S1183" s="38" t="n">
        <x:v>1.792</x:v>
      </x:c>
      <x:c r="T1183" s="38" t="n">
        <x:v>0.6272</x:v>
      </x:c>
      <x:c r="U1183" s="38" t="n">
        <x:v>0.023296</x:v>
      </x:c>
      <x:c r="V1183" s="38" t="n">
        <x:v>1.141504</x:v>
      </x:c>
      <x:c r="W1183" s="38" t="n">
        <x:v>0.59584</x:v>
      </x:c>
      <x:c r="X1183" s="38" t="n">
        <x:v>0</x:v>
      </x:c>
      <x:c r="Y1183" s="38" t="n">
        <x:v>0</x:v>
      </x:c>
      <x:c r="Z1183" s="38" t="n">
        <x:v>0.0736</x:v>
      </x:c>
      <x:c r="AA1183" s="38" t="n">
        <x:v>0.0272</x:v>
      </x:c>
      <x:c r="AB1183" s="38" t="n">
        <x:v>0.0001152</x:v>
      </x:c>
      <x:c r="AC1183" s="38" t="n">
        <x:v>0.44474880000000006</x:v>
      </x:c>
      <x:c r="AD1183" s="28" t="n">
        <x:v>0.3896165059430366</x:v>
      </x:c>
    </x:row>
    <x:row r="1184">
      <x:c r="A1184" s="32" t="n">
        <x:v>46069</x:v>
      </x:c>
      <x:c r="B1184" s="32" t="n">
        <x:v>46054</x:v>
      </x:c>
      <x:c r="C1184" t="str">
        <x:v>Feb 2026</x:v>
      </x:c>
      <x:c r="D1184" t="str">
        <x:v>Forecast</x:v>
      </x:c>
      <x:c r="E1184" t="str">
        <x:v>DB-105</x:v>
      </x:c>
      <x:c r="F1184" t="str">
        <x:v>DreamFuel Refill Pack</x:v>
      </x:c>
      <x:c r="G1184" t="str">
        <x:v>Subscription</x:v>
      </x:c>
      <x:c r="H1184" t="str">
        <x:v>None</x:v>
      </x:c>
      <x:c r="I1184" t="str">
        <x:v>Active</x:v>
      </x:c>
      <x:c r="J1184" t="str">
        <x:v>TikTok Shop</x:v>
      </x:c>
      <x:c r="K1184" t="str">
        <x:v>Social Commerce</x:v>
      </x:c>
      <x:c r="L1184" t="str">
        <x:v>All Geographies</x:v>
      </x:c>
      <x:c r="M1184" s="34" t="n">
        <x:v>1010</x:v>
      </x:c>
      <x:c r="N1184" s="28" t="n">
        <x:v>0.0489888</x:v>
      </x:c>
      <x:c r="O1184" s="34" t="n">
        <x:v>49</x:v>
      </x:c>
      <x:c r="P1184" s="34" t="n">
        <x:v>1</x:v>
      </x:c>
      <x:c r="Q1184" s="34" t="n">
        <x:v>49</x:v>
      </x:c>
      <x:c r="R1184" s="33" t="n">
        <x:v>56</x:v>
      </x:c>
      <x:c r="S1184" s="38" t="n">
        <x:v>2.744</x:v>
      </x:c>
      <x:c r="T1184" s="38" t="n">
        <x:v>0.32928</x:v>
      </x:c>
      <x:c r="U1184" s="38" t="n">
        <x:v>0.0482944</x:v>
      </x:c>
      <x:c r="V1184" s="38" t="n">
        <x:v>2.3664256</x:v>
      </x:c>
      <x:c r="W1184" s="38" t="n">
        <x:v>0.91238</x:v>
      </x:c>
      <x:c r="X1184" s="38" t="n">
        <x:v>0.0686263424</x:v>
      </x:c>
      <x:c r="Y1184" s="38" t="n">
        <x:v>0.141985536</x:v>
      </x:c>
      <x:c r="Z1184" s="38" t="n">
        <x:v>0.24989999999999998</x:v>
      </x:c>
      <x:c r="AA1184" s="38" t="n">
        <x:v>0.08575</x:v>
      </x:c>
      <x:c r="AB1184" s="38" t="n">
        <x:v>0.00017639999999999998</x:v>
      </x:c>
      <x:c r="AC1184" s="38" t="n">
        <x:v>0.9076073216</x:v>
      </x:c>
      <x:c r="AD1184" s="28" t="n">
        <x:v>0.3835351179432812</x:v>
      </x:c>
    </x:row>
    <x:row r="1185">
      <x:c r="A1185" s="32" t="n">
        <x:v>46076</x:v>
      </x:c>
      <x:c r="B1185" s="32" t="n">
        <x:v>46054</x:v>
      </x:c>
      <x:c r="C1185" t="str">
        <x:v>Feb 2026</x:v>
      </x:c>
      <x:c r="D1185" t="str">
        <x:v>Forecast</x:v>
      </x:c>
      <x:c r="E1185" t="str">
        <x:v>DB-101</x:v>
      </x:c>
      <x:c r="F1185" t="str">
        <x:v>AeroSip Bottle</x:v>
      </x:c>
      <x:c r="G1185" t="str">
        <x:v>One-time purchase</x:v>
      </x:c>
      <x:c r="H1185" t="str">
        <x:v>None</x:v>
      </x:c>
      <x:c r="I1185" t="str">
        <x:v>Active</x:v>
      </x:c>
      <x:c r="J1185" t="str">
        <x:v>Shopify DTC</x:v>
      </x:c>
      <x:c r="K1185" t="str">
        <x:v>Consumer</x:v>
      </x:c>
      <x:c r="L1185" t="str">
        <x:v>All Geographies</x:v>
      </x:c>
      <x:c r="M1185" s="34" t="n">
        <x:v>7296</x:v>
      </x:c>
      <x:c r="N1185" s="28" t="n">
        <x:v>0.034199999999999994</x:v>
      </x:c>
      <x:c r="O1185" s="34" t="n">
        <x:v>250</x:v>
      </x:c>
      <x:c r="P1185" s="34" t="n">
        <x:v>1</x:v>
      </x:c>
      <x:c r="Q1185" s="34" t="n">
        <x:v>250</x:v>
      </x:c>
      <x:c r="R1185" s="33" t="n">
        <x:v>29</x:v>
      </x:c>
      <x:c r="S1185" s="38" t="n">
        <x:v>7.25</x:v>
      </x:c>
      <x:c r="T1185" s="38" t="n">
        <x:v>0.58</x:v>
      </x:c>
      <x:c r="U1185" s="38" t="n">
        <x:v>0.30015</x:v>
      </x:c>
      <x:c r="V1185" s="38" t="n">
        <x:v>6.36985</x:v>
      </x:c>
      <x:c r="W1185" s="38" t="n">
        <x:v>2.7</x:v>
      </x:c>
      <x:c r="X1185" s="38" t="n">
        <x:v>0.18472565</x:v>
      </x:c>
      <x:c r="Y1185" s="38" t="n">
        <x:v>0</x:v>
      </x:c>
      <x:c r="Z1185" s="38" t="n">
        <x:v>1.0375</x:v>
      </x:c>
      <x:c r="AA1185" s="38" t="n">
        <x:v>0.4125</x:v>
      </x:c>
      <x:c r="AB1185" s="38" t="n">
        <x:v>0.009</x:v>
      </x:c>
      <x:c r="AC1185" s="38" t="n">
        <x:v>2.0261243499999995</x:v>
      </x:c>
      <x:c r="AD1185" s="28" t="n">
        <x:v>0.31808038650831644</x:v>
      </x:c>
    </x:row>
    <x:row r="1186">
      <x:c r="A1186" s="32" t="n">
        <x:v>46076</x:v>
      </x:c>
      <x:c r="B1186" s="32" t="n">
        <x:v>46054</x:v>
      </x:c>
      <x:c r="C1186" t="str">
        <x:v>Feb 2026</x:v>
      </x:c>
      <x:c r="D1186" t="str">
        <x:v>Forecast</x:v>
      </x:c>
      <x:c r="E1186" t="str">
        <x:v>DB-101</x:v>
      </x:c>
      <x:c r="F1186" t="str">
        <x:v>AeroSip Bottle</x:v>
      </x:c>
      <x:c r="G1186" t="str">
        <x:v>One-time purchase</x:v>
      </x:c>
      <x:c r="H1186" t="str">
        <x:v>None</x:v>
      </x:c>
      <x:c r="I1186" t="str">
        <x:v>Active</x:v>
      </x:c>
      <x:c r="J1186" t="str">
        <x:v>Amazon Marketplace</x:v>
      </x:c>
      <x:c r="K1186" t="str">
        <x:v>Marketplace Consumer</x:v>
      </x:c>
      <x:c r="L1186" t="str">
        <x:v>All Geographies</x:v>
      </x:c>
      <x:c r="M1186" s="34" t="n">
        <x:v>3648</x:v>
      </x:c>
      <x:c r="N1186" s="28" t="n">
        <x:v>0.040355999999999996</x:v>
      </x:c>
      <x:c r="O1186" s="34" t="n">
        <x:v>147</x:v>
      </x:c>
      <x:c r="P1186" s="34" t="n">
        <x:v>1</x:v>
      </x:c>
      <x:c r="Q1186" s="34" t="n">
        <x:v>147</x:v>
      </x:c>
      <x:c r="R1186" s="33" t="n">
        <x:v>29</x:v>
      </x:c>
      <x:c r="S1186" s="38" t="n">
        <x:v>4.263</x:v>
      </x:c>
      <x:c r="T1186" s="38" t="n">
        <x:v>0.21315</x:v>
      </x:c>
      <x:c r="U1186" s="38" t="n">
        <x:v>0.18224325</x:v>
      </x:c>
      <x:c r="V1186" s="38" t="n">
        <x:v>3.86760675</x:v>
      </x:c>
      <x:c r="W1186" s="38" t="n">
        <x:v>1.5876000000000001</x:v>
      </x:c>
      <x:c r="X1186" s="38" t="n">
        <x:v>0</x:v>
      </x:c>
      <x:c r="Y1186" s="38" t="n">
        <x:v>0.5801410125</x:v>
      </x:c>
      <x:c r="Z1186" s="38" t="n">
        <x:v>0.7644</x:v>
      </x:c>
      <x:c r="AA1186" s="38" t="n">
        <x:v>0.31605</x:v>
      </x:c>
      <x:c r="AB1186" s="38" t="n">
        <x:v>0.005292</x:v>
      </x:c>
      <x:c r="AC1186" s="38" t="n">
        <x:v>0.6141237375000003</x:v>
      </x:c>
      <x:c r="AD1186" s="28" t="n">
        <x:v>0.15878649955815705</x:v>
      </x:c>
    </x:row>
    <x:row r="1187">
      <x:c r="A1187" s="32" t="n">
        <x:v>46076</x:v>
      </x:c>
      <x:c r="B1187" s="32" t="n">
        <x:v>46054</x:v>
      </x:c>
      <x:c r="C1187" t="str">
        <x:v>Feb 2026</x:v>
      </x:c>
      <x:c r="D1187" t="str">
        <x:v>Forecast</x:v>
      </x:c>
      <x:c r="E1187" t="str">
        <x:v>DB-101</x:v>
      </x:c>
      <x:c r="F1187" t="str">
        <x:v>AeroSip Bottle</x:v>
      </x:c>
      <x:c r="G1187" t="str">
        <x:v>One-time purchase</x:v>
      </x:c>
      <x:c r="H1187" t="str">
        <x:v>None</x:v>
      </x:c>
      <x:c r="I1187" t="str">
        <x:v>Active</x:v>
      </x:c>
      <x:c r="J1187" t="str">
        <x:v>Wholesale</x:v>
      </x:c>
      <x:c r="K1187" t="str">
        <x:v>Retailer</x:v>
      </x:c>
      <x:c r="L1187" t="str">
        <x:v>All Geographies</x:v>
      </x:c>
      <x:c r="M1187" s="34" t="n">
        <x:v>2189</x:v>
      </x:c>
      <x:c r="N1187" s="28" t="n">
        <x:v>0.01881</x:v>
      </x:c>
      <x:c r="O1187" s="34" t="n">
        <x:v>41</x:v>
      </x:c>
      <x:c r="P1187" s="34" t="n">
        <x:v>1</x:v>
      </x:c>
      <x:c r="Q1187" s="34" t="n">
        <x:v>41</x:v>
      </x:c>
      <x:c r="R1187" s="33" t="n">
        <x:v>29</x:v>
      </x:c>
      <x:c r="S1187" s="38" t="n">
        <x:v>1.189</x:v>
      </x:c>
      <x:c r="T1187" s="38" t="n">
        <x:v>0.41615</x:v>
      </x:c>
      <x:c r="U1187" s="38" t="n">
        <x:v>0.034778250000000004</x:v>
      </x:c>
      <x:c r="V1187" s="38" t="n">
        <x:v>0.73807175</x:v>
      </x:c>
      <x:c r="W1187" s="38" t="n">
        <x:v>0.4428</x:v>
      </x:c>
      <x:c r="X1187" s="38" t="n">
        <x:v>0</x:v>
      </x:c>
      <x:c r="Y1187" s="38" t="n">
        <x:v>0</x:v>
      </x:c>
      <x:c r="Z1187" s="38" t="n">
        <x:v>0.0943</x:v>
      </x:c>
      <x:c r="AA1187" s="38" t="n">
        <x:v>0.03485</x:v>
      </x:c>
      <x:c r="AB1187" s="38" t="n">
        <x:v>0.0014759999999999999</x:v>
      </x:c>
      <x:c r="AC1187" s="38" t="n">
        <x:v>0.16464575</x:v>
      </x:c>
      <x:c r="AD1187" s="28" t="n">
        <x:v>0.22307553432305194</x:v>
      </x:c>
    </x:row>
    <x:row r="1188">
      <x:c r="A1188" s="32" t="n">
        <x:v>46076</x:v>
      </x:c>
      <x:c r="B1188" s="32" t="n">
        <x:v>46054</x:v>
      </x:c>
      <x:c r="C1188" t="str">
        <x:v>Feb 2026</x:v>
      </x:c>
      <x:c r="D1188" t="str">
        <x:v>Forecast</x:v>
      </x:c>
      <x:c r="E1188" t="str">
        <x:v>DB-101</x:v>
      </x:c>
      <x:c r="F1188" t="str">
        <x:v>AeroSip Bottle</x:v>
      </x:c>
      <x:c r="G1188" t="str">
        <x:v>One-time purchase</x:v>
      </x:c>
      <x:c r="H1188" t="str">
        <x:v>None</x:v>
      </x:c>
      <x:c r="I1188" t="str">
        <x:v>Active</x:v>
      </x:c>
      <x:c r="J1188" t="str">
        <x:v>TikTok Shop</x:v>
      </x:c>
      <x:c r="K1188" t="str">
        <x:v>Social Commerce</x:v>
      </x:c>
      <x:c r="L1188" t="str">
        <x:v>All Geographies</x:v>
      </x:c>
      <x:c r="M1188" s="34" t="n">
        <x:v>1459</x:v>
      </x:c>
      <x:c r="N1188" s="28" t="n">
        <x:v>0.043092</x:v>
      </x:c>
      <x:c r="O1188" s="34" t="n">
        <x:v>63</x:v>
      </x:c>
      <x:c r="P1188" s="34" t="n">
        <x:v>1</x:v>
      </x:c>
      <x:c r="Q1188" s="34" t="n">
        <x:v>63</x:v>
      </x:c>
      <x:c r="R1188" s="33" t="n">
        <x:v>29</x:v>
      </x:c>
      <x:c r="S1188" s="38" t="n">
        <x:v>1.827</x:v>
      </x:c>
      <x:c r="T1188" s="38" t="n">
        <x:v>0.21924</x:v>
      </x:c>
      <x:c r="U1188" s="38" t="n">
        <x:v>0.07234919999999999</x:v>
      </x:c>
      <x:c r="V1188" s="38" t="n">
        <x:v>1.5354108</x:v>
      </x:c>
      <x:c r="W1188" s="38" t="n">
        <x:v>0.6804000000000001</x:v>
      </x:c>
      <x:c r="X1188" s="38" t="n">
        <x:v>0.044526913200000004</x:v>
      </x:c>
      <x:c r="Y1188" s="38" t="n">
        <x:v>0.09212464799999999</x:v>
      </x:c>
      <x:c r="Z1188" s="38" t="n">
        <x:v>0.3213</x:v>
      </x:c>
      <x:c r="AA1188" s="38" t="n">
        <x:v>0.11025</x:v>
      </x:c>
      <x:c r="AB1188" s="38" t="n">
        <x:v>0.0022679999999999996</x:v>
      </x:c>
      <x:c r="AC1188" s="38" t="n">
        <x:v>0.2845412387999999</x:v>
      </x:c>
      <x:c r="AD1188" s="28" t="n">
        <x:v>0.18531928966501987</x:v>
      </x:c>
    </x:row>
    <x:row r="1189">
      <x:c r="A1189" s="32" t="n">
        <x:v>46076</x:v>
      </x:c>
      <x:c r="B1189" s="32" t="n">
        <x:v>46054</x:v>
      </x:c>
      <x:c r="C1189" t="str">
        <x:v>Feb 2026</x:v>
      </x:c>
      <x:c r="D1189" t="str">
        <x:v>Forecast</x:v>
      </x:c>
      <x:c r="E1189" t="str">
        <x:v>DB-102</x:v>
      </x:c>
      <x:c r="F1189" t="str">
        <x:v>GlowPatch Balm</x:v>
      </x:c>
      <x:c r="G1189" t="str">
        <x:v>Consumable repeat</x:v>
      </x:c>
      <x:c r="H1189" t="str">
        <x:v>None</x:v>
      </x:c>
      <x:c r="I1189" t="str">
        <x:v>Active</x:v>
      </x:c>
      <x:c r="J1189" t="str">
        <x:v>Shopify DTC</x:v>
      </x:c>
      <x:c r="K1189" t="str">
        <x:v>Consumer</x:v>
      </x:c>
      <x:c r="L1189" t="str">
        <x:v>All Geographies</x:v>
      </x:c>
      <x:c r="M1189" s="34" t="n">
        <x:v>5893</x:v>
      </x:c>
      <x:c r="N1189" s="28" t="n">
        <x:v>0.04248</x:v>
      </x:c>
      <x:c r="O1189" s="34" t="n">
        <x:v>250</x:v>
      </x:c>
      <x:c r="P1189" s="34" t="n">
        <x:v>1</x:v>
      </x:c>
      <x:c r="Q1189" s="34" t="n">
        <x:v>250</x:v>
      </x:c>
      <x:c r="R1189" s="33" t="n">
        <x:v>18</x:v>
      </x:c>
      <x:c r="S1189" s="38" t="n">
        <x:v>4.5</x:v>
      </x:c>
      <x:c r="T1189" s="38" t="n">
        <x:v>0.36</x:v>
      </x:c>
      <x:c r="U1189" s="38" t="n">
        <x:v>0.1035</x:v>
      </x:c>
      <x:c r="V1189" s="38" t="n">
        <x:v>4.036499999999999</x:v>
      </x:c>
      <x:c r="W1189" s="38" t="n">
        <x:v>1.3525</x:v>
      </x:c>
      <x:c r="X1189" s="38" t="n">
        <x:v>0.11705849999999998</x:v>
      </x:c>
      <x:c r="Y1189" s="38" t="n">
        <x:v>0</x:v>
      </x:c>
      <x:c r="Z1189" s="38" t="n">
        <x:v>1.0375</x:v>
      </x:c>
      <x:c r="AA1189" s="38" t="n">
        <x:v>0.4125</x:v>
      </x:c>
      <x:c r="AB1189" s="38" t="n">
        <x:v>0.0015</x:v>
      </x:c>
      <x:c r="AC1189" s="38" t="n">
        <x:v>1.1154414999999989</x:v>
      </x:c>
      <x:c r="AD1189" s="28" t="n">
        <x:v>0.2763387835996529</x:v>
      </x:c>
    </x:row>
    <x:row r="1190">
      <x:c r="A1190" s="32" t="n">
        <x:v>46076</x:v>
      </x:c>
      <x:c r="B1190" s="32" t="n">
        <x:v>46054</x:v>
      </x:c>
      <x:c r="C1190" t="str">
        <x:v>Feb 2026</x:v>
      </x:c>
      <x:c r="D1190" t="str">
        <x:v>Forecast</x:v>
      </x:c>
      <x:c r="E1190" t="str">
        <x:v>DB-102</x:v>
      </x:c>
      <x:c r="F1190" t="str">
        <x:v>GlowPatch Balm</x:v>
      </x:c>
      <x:c r="G1190" t="str">
        <x:v>Consumable repeat</x:v>
      </x:c>
      <x:c r="H1190" t="str">
        <x:v>None</x:v>
      </x:c>
      <x:c r="I1190" t="str">
        <x:v>Active</x:v>
      </x:c>
      <x:c r="J1190" t="str">
        <x:v>Amazon Marketplace</x:v>
      </x:c>
      <x:c r="K1190" t="str">
        <x:v>Marketplace Consumer</x:v>
      </x:c>
      <x:c r="L1190" t="str">
        <x:v>All Geographies</x:v>
      </x:c>
      <x:c r="M1190" s="34" t="n">
        <x:v>2946</x:v>
      </x:c>
      <x:c r="N1190" s="28" t="n">
        <x:v>0.050126399999999995</x:v>
      </x:c>
      <x:c r="O1190" s="34" t="n">
        <x:v>148</x:v>
      </x:c>
      <x:c r="P1190" s="34" t="n">
        <x:v>1</x:v>
      </x:c>
      <x:c r="Q1190" s="34" t="n">
        <x:v>148</x:v>
      </x:c>
      <x:c r="R1190" s="33" t="n">
        <x:v>18</x:v>
      </x:c>
      <x:c r="S1190" s="38" t="n">
        <x:v>2.664</x:v>
      </x:c>
      <x:c r="T1190" s="38" t="n">
        <x:v>0.1332</x:v>
      </x:c>
      <x:c r="U1190" s="38" t="n">
        <x:v>0.06327</x:v>
      </x:c>
      <x:c r="V1190" s="38" t="n">
        <x:v>2.46753</x:v>
      </x:c>
      <x:c r="W1190" s="38" t="n">
        <x:v>0.8006800000000001</x:v>
      </x:c>
      <x:c r="X1190" s="38" t="n">
        <x:v>0</x:v>
      </x:c>
      <x:c r="Y1190" s="38" t="n">
        <x:v>0.3701295</x:v>
      </x:c>
      <x:c r="Z1190" s="38" t="n">
        <x:v>0.7696000000000001</x:v>
      </x:c>
      <x:c r="AA1190" s="38" t="n">
        <x:v>0.3182</x:v>
      </x:c>
      <x:c r="AB1190" s="38" t="n">
        <x:v>0.0008879999999999999</x:v>
      </x:c>
      <x:c r="AC1190" s="38" t="n">
        <x:v>0.2080324999999999</x:v>
      </x:c>
      <x:c r="AD1190" s="28" t="n">
        <x:v>0.084307992202729</x:v>
      </x:c>
    </x:row>
    <x:row r="1191">
      <x:c r="A1191" s="32" t="n">
        <x:v>46076</x:v>
      </x:c>
      <x:c r="B1191" s="32" t="n">
        <x:v>46054</x:v>
      </x:c>
      <x:c r="C1191" t="str">
        <x:v>Feb 2026</x:v>
      </x:c>
      <x:c r="D1191" t="str">
        <x:v>Forecast</x:v>
      </x:c>
      <x:c r="E1191" t="str">
        <x:v>DB-102</x:v>
      </x:c>
      <x:c r="F1191" t="str">
        <x:v>GlowPatch Balm</x:v>
      </x:c>
      <x:c r="G1191" t="str">
        <x:v>Consumable repeat</x:v>
      </x:c>
      <x:c r="H1191" t="str">
        <x:v>None</x:v>
      </x:c>
      <x:c r="I1191" t="str">
        <x:v>Active</x:v>
      </x:c>
      <x:c r="J1191" t="str">
        <x:v>Wholesale</x:v>
      </x:c>
      <x:c r="K1191" t="str">
        <x:v>Retailer</x:v>
      </x:c>
      <x:c r="L1191" t="str">
        <x:v>All Geographies</x:v>
      </x:c>
      <x:c r="M1191" s="34" t="n">
        <x:v>1768</x:v>
      </x:c>
      <x:c r="N1191" s="28" t="n">
        <x:v>0.023364</x:v>
      </x:c>
      <x:c r="O1191" s="34" t="n">
        <x:v>41</x:v>
      </x:c>
      <x:c r="P1191" s="34" t="n">
        <x:v>1</x:v>
      </x:c>
      <x:c r="Q1191" s="34" t="n">
        <x:v>41</x:v>
      </x:c>
      <x:c r="R1191" s="33" t="n">
        <x:v>18</x:v>
      </x:c>
      <x:c r="S1191" s="38" t="n">
        <x:v>0.738</x:v>
      </x:c>
      <x:c r="T1191" s="38" t="n">
        <x:v>0.2583</x:v>
      </x:c>
      <x:c r="U1191" s="38" t="n">
        <x:v>0.011992500000000001</x:v>
      </x:c>
      <x:c r="V1191" s="38" t="n">
        <x:v>0.4677075</x:v>
      </x:c>
      <x:c r="W1191" s="38" t="n">
        <x:v>0.22181</x:v>
      </x:c>
      <x:c r="X1191" s="38" t="n">
        <x:v>0</x:v>
      </x:c>
      <x:c r="Y1191" s="38" t="n">
        <x:v>0</x:v>
      </x:c>
      <x:c r="Z1191" s="38" t="n">
        <x:v>0.0943</x:v>
      </x:c>
      <x:c r="AA1191" s="38" t="n">
        <x:v>0.03485</x:v>
      </x:c>
      <x:c r="AB1191" s="38" t="n">
        <x:v>0.000246</x:v>
      </x:c>
      <x:c r="AC1191" s="38" t="n">
        <x:v>0.11650150000000001</x:v>
      </x:c>
      <x:c r="AD1191" s="28" t="n">
        <x:v>0.2490905106289722</x:v>
      </x:c>
    </x:row>
    <x:row r="1192">
      <x:c r="A1192" s="32" t="n">
        <x:v>46076</x:v>
      </x:c>
      <x:c r="B1192" s="32" t="n">
        <x:v>46054</x:v>
      </x:c>
      <x:c r="C1192" t="str">
        <x:v>Feb 2026</x:v>
      </x:c>
      <x:c r="D1192" t="str">
        <x:v>Forecast</x:v>
      </x:c>
      <x:c r="E1192" t="str">
        <x:v>DB-102</x:v>
      </x:c>
      <x:c r="F1192" t="str">
        <x:v>GlowPatch Balm</x:v>
      </x:c>
      <x:c r="G1192" t="str">
        <x:v>Consumable repeat</x:v>
      </x:c>
      <x:c r="H1192" t="str">
        <x:v>None</x:v>
      </x:c>
      <x:c r="I1192" t="str">
        <x:v>Active</x:v>
      </x:c>
      <x:c r="J1192" t="str">
        <x:v>TikTok Shop</x:v>
      </x:c>
      <x:c r="K1192" t="str">
        <x:v>Social Commerce</x:v>
      </x:c>
      <x:c r="L1192" t="str">
        <x:v>All Geographies</x:v>
      </x:c>
      <x:c r="M1192" s="34" t="n">
        <x:v>1179</x:v>
      </x:c>
      <x:c r="N1192" s="28" t="n">
        <x:v>0.0535248</x:v>
      </x:c>
      <x:c r="O1192" s="34" t="n">
        <x:v>63</x:v>
      </x:c>
      <x:c r="P1192" s="34" t="n">
        <x:v>1</x:v>
      </x:c>
      <x:c r="Q1192" s="34" t="n">
        <x:v>63</x:v>
      </x:c>
      <x:c r="R1192" s="33" t="n">
        <x:v>18</x:v>
      </x:c>
      <x:c r="S1192" s="38" t="n">
        <x:v>1.134</x:v>
      </x:c>
      <x:c r="T1192" s="38" t="n">
        <x:v>0.13607999999999998</x:v>
      </x:c>
      <x:c r="U1192" s="38" t="n">
        <x:v>0.024947999999999998</x:v>
      </x:c>
      <x:c r="V1192" s="38" t="n">
        <x:v>0.972972</x:v>
      </x:c>
      <x:c r="W1192" s="38" t="n">
        <x:v>0.34082999999999997</x:v>
      </x:c>
      <x:c r="X1192" s="38" t="n">
        <x:v>0.028216188</x:v>
      </x:c>
      <x:c r="Y1192" s="38" t="n">
        <x:v>0.05837832</x:v>
      </x:c>
      <x:c r="Z1192" s="38" t="n">
        <x:v>0.3213</x:v>
      </x:c>
      <x:c r="AA1192" s="38" t="n">
        <x:v>0.11025</x:v>
      </x:c>
      <x:c r="AB1192" s="38" t="n">
        <x:v>0.000378</x:v>
      </x:c>
      <x:c r="AC1192" s="38" t="n">
        <x:v>0.11361949199999999</x:v>
      </x:c>
      <x:c r="AD1192" s="28" t="n">
        <x:v>0.11677570577570577</x:v>
      </x:c>
    </x:row>
    <x:row r="1193">
      <x:c r="A1193" s="32" t="n">
        <x:v>46076</x:v>
      </x:c>
      <x:c r="B1193" s="32" t="n">
        <x:v>46054</x:v>
      </x:c>
      <x:c r="C1193" t="str">
        <x:v>Feb 2026</x:v>
      </x:c>
      <x:c r="D1193" t="str">
        <x:v>Forecast</x:v>
      </x:c>
      <x:c r="E1193" t="str">
        <x:v>DB-103</x:v>
      </x:c>
      <x:c r="F1193" t="str">
        <x:v>EmberTrail Camp Mug</x:v>
      </x:c>
      <x:c r="G1193" t="str">
        <x:v>One-time purchase</x:v>
      </x:c>
      <x:c r="H1193" t="str">
        <x:v>Winter peak</x:v>
      </x:c>
      <x:c r="I1193" t="str">
        <x:v>Active</x:v>
      </x:c>
      <x:c r="J1193" t="str">
        <x:v>Shopify DTC</x:v>
      </x:c>
      <x:c r="K1193" t="str">
        <x:v>Consumer</x:v>
      </x:c>
      <x:c r="L1193" t="str">
        <x:v>All Geographies</x:v>
      </x:c>
      <x:c r="M1193" s="34" t="n">
        <x:v>5455</x:v>
      </x:c>
      <x:c r="N1193" s="28" t="n">
        <x:v>0.0324</x:v>
      </x:c>
      <x:c r="O1193" s="34" t="n">
        <x:v>177</x:v>
      </x:c>
      <x:c r="P1193" s="34" t="n">
        <x:v>1</x:v>
      </x:c>
      <x:c r="Q1193" s="34" t="n">
        <x:v>177</x:v>
      </x:c>
      <x:c r="R1193" s="33" t="n">
        <x:v>34</x:v>
      </x:c>
      <x:c r="S1193" s="38" t="n">
        <x:v>6.018</x:v>
      </x:c>
      <x:c r="T1193" s="38" t="n">
        <x:v>0.48144</x:v>
      </x:c>
      <x:c r="U1193" s="38" t="n">
        <x:v>0.30451079999999997</x:v>
      </x:c>
      <x:c r="V1193" s="38" t="n">
        <x:v>5.2320492</x:v>
      </x:c>
      <x:c r="W1193" s="38" t="n">
        <x:v>2.4195900000000004</x:v>
      </x:c>
      <x:c r="X1193" s="38" t="n">
        <x:v>0.15172942679999998</x:v>
      </x:c>
      <x:c r="Y1193" s="38" t="n">
        <x:v>0</x:v>
      </x:c>
      <x:c r="Z1193" s="38" t="n">
        <x:v>0.73455</x:v>
      </x:c>
      <x:c r="AA1193" s="38" t="n">
        <x:v>0.29205000000000003</x:v>
      </x:c>
      <x:c r="AB1193" s="38" t="n">
        <x:v>0.009911999999999999</x:v>
      </x:c>
      <x:c r="AC1193" s="38" t="n">
        <x:v>1.6242177731999994</x:v>
      </x:c>
      <x:c r="AD1193" s="28" t="n">
        <x:v>0.3104362575948253</x:v>
      </x:c>
    </x:row>
    <x:row r="1194">
      <x:c r="A1194" s="32" t="n">
        <x:v>46076</x:v>
      </x:c>
      <x:c r="B1194" s="32" t="n">
        <x:v>46054</x:v>
      </x:c>
      <x:c r="C1194" t="str">
        <x:v>Feb 2026</x:v>
      </x:c>
      <x:c r="D1194" t="str">
        <x:v>Forecast</x:v>
      </x:c>
      <x:c r="E1194" t="str">
        <x:v>DB-103</x:v>
      </x:c>
      <x:c r="F1194" t="str">
        <x:v>EmberTrail Camp Mug</x:v>
      </x:c>
      <x:c r="G1194" t="str">
        <x:v>One-time purchase</x:v>
      </x:c>
      <x:c r="H1194" t="str">
        <x:v>Winter peak</x:v>
      </x:c>
      <x:c r="I1194" t="str">
        <x:v>Active</x:v>
      </x:c>
      <x:c r="J1194" t="str">
        <x:v>Amazon Marketplace</x:v>
      </x:c>
      <x:c r="K1194" t="str">
        <x:v>Marketplace Consumer</x:v>
      </x:c>
      <x:c r="L1194" t="str">
        <x:v>All Geographies</x:v>
      </x:c>
      <x:c r="M1194" s="34" t="n">
        <x:v>2727</x:v>
      </x:c>
      <x:c r="N1194" s="28" t="n">
        <x:v>0.038231999999999995</x:v>
      </x:c>
      <x:c r="O1194" s="34" t="n">
        <x:v>104</x:v>
      </x:c>
      <x:c r="P1194" s="34" t="n">
        <x:v>1</x:v>
      </x:c>
      <x:c r="Q1194" s="34" t="n">
        <x:v>104</x:v>
      </x:c>
      <x:c r="R1194" s="33" t="n">
        <x:v>34</x:v>
      </x:c>
      <x:c r="S1194" s="38" t="n">
        <x:v>3.536</x:v>
      </x:c>
      <x:c r="T1194" s="38" t="n">
        <x:v>0.1768</x:v>
      </x:c>
      <x:c r="U1194" s="38" t="n">
        <x:v>0.184756</x:v>
      </x:c>
      <x:c r="V1194" s="38" t="n">
        <x:v>3.174444</x:v>
      </x:c>
      <x:c r="W1194" s="38" t="n">
        <x:v>1.42168</x:v>
      </x:c>
      <x:c r="X1194" s="38" t="n">
        <x:v>0</x:v>
      </x:c>
      <x:c r="Y1194" s="38" t="n">
        <x:v>0.47616659999999994</x:v>
      </x:c>
      <x:c r="Z1194" s="38" t="n">
        <x:v>0.5408000000000001</x:v>
      </x:c>
      <x:c r="AA1194" s="38" t="n">
        <x:v>0.2236</x:v>
      </x:c>
      <x:c r="AB1194" s="38" t="n">
        <x:v>0.005824000000000001</x:v>
      </x:c>
      <x:c r="AC1194" s="38" t="n">
        <x:v>0.5063733999999996</x:v>
      </x:c>
      <x:c r="AD1194" s="28" t="n">
        <x:v>0.15951561911314222</x:v>
      </x:c>
    </x:row>
    <x:row r="1195">
      <x:c r="A1195" s="32" t="n">
        <x:v>46076</x:v>
      </x:c>
      <x:c r="B1195" s="32" t="n">
        <x:v>46054</x:v>
      </x:c>
      <x:c r="C1195" t="str">
        <x:v>Feb 2026</x:v>
      </x:c>
      <x:c r="D1195" t="str">
        <x:v>Forecast</x:v>
      </x:c>
      <x:c r="E1195" t="str">
        <x:v>DB-103</x:v>
      </x:c>
      <x:c r="F1195" t="str">
        <x:v>EmberTrail Camp Mug</x:v>
      </x:c>
      <x:c r="G1195" t="str">
        <x:v>One-time purchase</x:v>
      </x:c>
      <x:c r="H1195" t="str">
        <x:v>Winter peak</x:v>
      </x:c>
      <x:c r="I1195" t="str">
        <x:v>Active</x:v>
      </x:c>
      <x:c r="J1195" t="str">
        <x:v>Wholesale</x:v>
      </x:c>
      <x:c r="K1195" t="str">
        <x:v>Retailer</x:v>
      </x:c>
      <x:c r="L1195" t="str">
        <x:v>All Geographies</x:v>
      </x:c>
      <x:c r="M1195" s="34" t="n">
        <x:v>1636</x:v>
      </x:c>
      <x:c r="N1195" s="28" t="n">
        <x:v>0.017820000000000003</x:v>
      </x:c>
      <x:c r="O1195" s="34" t="n">
        <x:v>29</x:v>
      </x:c>
      <x:c r="P1195" s="34" t="n">
        <x:v>1</x:v>
      </x:c>
      <x:c r="Q1195" s="34" t="n">
        <x:v>29</x:v>
      </x:c>
      <x:c r="R1195" s="33" t="n">
        <x:v>34</x:v>
      </x:c>
      <x:c r="S1195" s="38" t="n">
        <x:v>0.986</x:v>
      </x:c>
      <x:c r="T1195" s="38" t="n">
        <x:v>0.34509999999999996</x:v>
      </x:c>
      <x:c r="U1195" s="38" t="n">
        <x:v>0.0352495</x:v>
      </x:c>
      <x:c r="V1195" s="38" t="n">
        <x:v>0.6056505</x:v>
      </x:c>
      <x:c r="W1195" s="38" t="n">
        <x:v>0.39643</x:v>
      </x:c>
      <x:c r="X1195" s="38" t="n">
        <x:v>0</x:v>
      </x:c>
      <x:c r="Y1195" s="38" t="n">
        <x:v>0</x:v>
      </x:c>
      <x:c r="Z1195" s="38" t="n">
        <x:v>0.0667</x:v>
      </x:c>
      <x:c r="AA1195" s="38" t="n">
        <x:v>0.02465</x:v>
      </x:c>
      <x:c r="AB1195" s="38" t="n">
        <x:v>0.001624</x:v>
      </x:c>
      <x:c r="AC1195" s="38" t="n">
        <x:v>0.11624649999999999</x:v>
      </x:c>
      <x:c r="AD1195" s="28" t="n">
        <x:v>0.19193660370130958</x:v>
      </x:c>
    </x:row>
    <x:row r="1196">
      <x:c r="A1196" s="32" t="n">
        <x:v>46076</x:v>
      </x:c>
      <x:c r="B1196" s="32" t="n">
        <x:v>46054</x:v>
      </x:c>
      <x:c r="C1196" t="str">
        <x:v>Feb 2026</x:v>
      </x:c>
      <x:c r="D1196" t="str">
        <x:v>Forecast</x:v>
      </x:c>
      <x:c r="E1196" t="str">
        <x:v>DB-103</x:v>
      </x:c>
      <x:c r="F1196" t="str">
        <x:v>EmberTrail Camp Mug</x:v>
      </x:c>
      <x:c r="G1196" t="str">
        <x:v>One-time purchase</x:v>
      </x:c>
      <x:c r="H1196" t="str">
        <x:v>Winter peak</x:v>
      </x:c>
      <x:c r="I1196" t="str">
        <x:v>Active</x:v>
      </x:c>
      <x:c r="J1196" t="str">
        <x:v>TikTok Shop</x:v>
      </x:c>
      <x:c r="K1196" t="str">
        <x:v>Social Commerce</x:v>
      </x:c>
      <x:c r="L1196" t="str">
        <x:v>All Geographies</x:v>
      </x:c>
      <x:c r="M1196" s="34" t="n">
        <x:v>1091</x:v>
      </x:c>
      <x:c r="N1196" s="28" t="n">
        <x:v>0.040824</x:v>
      </x:c>
      <x:c r="O1196" s="34" t="n">
        <x:v>45</x:v>
      </x:c>
      <x:c r="P1196" s="34" t="n">
        <x:v>1</x:v>
      </x:c>
      <x:c r="Q1196" s="34" t="n">
        <x:v>45</x:v>
      </x:c>
      <x:c r="R1196" s="33" t="n">
        <x:v>34</x:v>
      </x:c>
      <x:c r="S1196" s="38" t="n">
        <x:v>1.53</x:v>
      </x:c>
      <x:c r="T1196" s="38" t="n">
        <x:v>0.18359999999999999</x:v>
      </x:c>
      <x:c r="U1196" s="38" t="n">
        <x:v>0.074052</x:v>
      </x:c>
      <x:c r="V1196" s="38" t="n">
        <x:v>1.272348</x:v>
      </x:c>
      <x:c r="W1196" s="38" t="n">
        <x:v>0.61515</x:v>
      </x:c>
      <x:c r="X1196" s="38" t="n">
        <x:v>0.036898092</x:v>
      </x:c>
      <x:c r="Y1196" s="38" t="n">
        <x:v>0.07634088</x:v>
      </x:c>
      <x:c r="Z1196" s="38" t="n">
        <x:v>0.22949999999999998</x:v>
      </x:c>
      <x:c r="AA1196" s="38" t="n">
        <x:v>0.07875</x:v>
      </x:c>
      <x:c r="AB1196" s="38" t="n">
        <x:v>0.00252</x:v>
      </x:c>
      <x:c r="AC1196" s="38" t="n">
        <x:v>0.233189028</x:v>
      </x:c>
      <x:c r="AD1196" s="28" t="n">
        <x:v>0.18327456639221343</x:v>
      </x:c>
    </x:row>
    <x:row r="1197">
      <x:c r="A1197" s="32" t="n">
        <x:v>46076</x:v>
      </x:c>
      <x:c r="B1197" s="32" t="n">
        <x:v>46054</x:v>
      </x:c>
      <x:c r="C1197" t="str">
        <x:v>Feb 2026</x:v>
      </x:c>
      <x:c r="D1197" t="str">
        <x:v>Forecast</x:v>
      </x:c>
      <x:c r="E1197" t="str">
        <x:v>DB-104</x:v>
      </x:c>
      <x:c r="F1197" t="str">
        <x:v>SunNest Cooling Towel</x:v>
      </x:c>
      <x:c r="G1197" t="str">
        <x:v>Consumable repeat</x:v>
      </x:c>
      <x:c r="H1197" t="str">
        <x:v>Summer peak</x:v>
      </x:c>
      <x:c r="I1197" t="str">
        <x:v>Active</x:v>
      </x:c>
      <x:c r="J1197" t="str">
        <x:v>Shopify DTC</x:v>
      </x:c>
      <x:c r="K1197" t="str">
        <x:v>Consumer</x:v>
      </x:c>
      <x:c r="L1197" t="str">
        <x:v>All Geographies</x:v>
      </x:c>
      <x:c r="M1197" s="34" t="n">
        <x:v>3721</x:v>
      </x:c>
      <x:c r="N1197" s="28" t="n">
        <x:v>0.03312</x:v>
      </x:c>
      <x:c r="O1197" s="34" t="n">
        <x:v>123</x:v>
      </x:c>
      <x:c r="P1197" s="34" t="n">
        <x:v>1</x:v>
      </x:c>
      <x:c r="Q1197" s="34" t="n">
        <x:v>123</x:v>
      </x:c>
      <x:c r="R1197" s="33" t="n">
        <x:v>42</x:v>
      </x:c>
      <x:c r="S1197" s="38" t="n">
        <x:v>5.166</x:v>
      </x:c>
      <x:c r="T1197" s="38" t="n">
        <x:v>0.41328000000000004</x:v>
      </x:c>
      <x:c r="U1197" s="38" t="n">
        <x:v>0.23763600000000001</x:v>
      </x:c>
      <x:c r="V1197" s="38" t="n">
        <x:v>4.515084</x:v>
      </x:c>
      <x:c r="W1197" s="38" t="n">
        <x:v>1.85115</x:v>
      </x:c>
      <x:c r="X1197" s="38" t="n">
        <x:v>0.130937436</x:v>
      </x:c>
      <x:c r="Y1197" s="38" t="n">
        <x:v>0</x:v>
      </x:c>
      <x:c r="Z1197" s="38" t="n">
        <x:v>0.5104500000000001</x:v>
      </x:c>
      <x:c r="AA1197" s="38" t="n">
        <x:v>0.20295</x:v>
      </x:c>
      <x:c r="AB1197" s="38" t="n">
        <x:v>0.003444</x:v>
      </x:c>
      <x:c r="AC1197" s="38" t="n">
        <x:v>1.8161525639999998</x:v>
      </x:c>
      <x:c r="AD1197" s="28" t="n">
        <x:v>0.4022411463441211</x:v>
      </x:c>
    </x:row>
    <x:row r="1198">
      <x:c r="A1198" s="32" t="n">
        <x:v>46076</x:v>
      </x:c>
      <x:c r="B1198" s="32" t="n">
        <x:v>46054</x:v>
      </x:c>
      <x:c r="C1198" t="str">
        <x:v>Feb 2026</x:v>
      </x:c>
      <x:c r="D1198" t="str">
        <x:v>Forecast</x:v>
      </x:c>
      <x:c r="E1198" t="str">
        <x:v>DB-104</x:v>
      </x:c>
      <x:c r="F1198" t="str">
        <x:v>SunNest Cooling Towel</x:v>
      </x:c>
      <x:c r="G1198" t="str">
        <x:v>Consumable repeat</x:v>
      </x:c>
      <x:c r="H1198" t="str">
        <x:v>Summer peak</x:v>
      </x:c>
      <x:c r="I1198" t="str">
        <x:v>Active</x:v>
      </x:c>
      <x:c r="J1198" t="str">
        <x:v>Amazon Marketplace</x:v>
      </x:c>
      <x:c r="K1198" t="str">
        <x:v>Marketplace Consumer</x:v>
      </x:c>
      <x:c r="L1198" t="str">
        <x:v>All Geographies</x:v>
      </x:c>
      <x:c r="M1198" s="34" t="n">
        <x:v>1860</x:v>
      </x:c>
      <x:c r="N1198" s="28" t="n">
        <x:v>0.0390816</x:v>
      </x:c>
      <x:c r="O1198" s="34" t="n">
        <x:v>73</x:v>
      </x:c>
      <x:c r="P1198" s="34" t="n">
        <x:v>1</x:v>
      </x:c>
      <x:c r="Q1198" s="34" t="n">
        <x:v>73</x:v>
      </x:c>
      <x:c r="R1198" s="33" t="n">
        <x:v>42</x:v>
      </x:c>
      <x:c r="S1198" s="38" t="n">
        <x:v>3.066</x:v>
      </x:c>
      <x:c r="T1198" s="38" t="n">
        <x:v>0.1533</x:v>
      </x:c>
      <x:c r="U1198" s="38" t="n">
        <x:v>0.14563500000000001</x:v>
      </x:c>
      <x:c r="V1198" s="38" t="n">
        <x:v>2.767065</x:v>
      </x:c>
      <x:c r="W1198" s="38" t="n">
        <x:v>1.0986500000000001</x:v>
      </x:c>
      <x:c r="X1198" s="38" t="n">
        <x:v>0</x:v>
      </x:c>
      <x:c r="Y1198" s="38" t="n">
        <x:v>0.41505975</x:v>
      </x:c>
      <x:c r="Z1198" s="38" t="n">
        <x:v>0.37960000000000005</x:v>
      </x:c>
      <x:c r="AA1198" s="38" t="n">
        <x:v>0.15694999999999998</x:v>
      </x:c>
      <x:c r="AB1198" s="38" t="n">
        <x:v>0.0020440000000000002</x:v>
      </x:c>
      <x:c r="AC1198" s="38" t="n">
        <x:v>0.7147612499999999</x:v>
      </x:c>
      <x:c r="AD1198" s="28" t="n">
        <x:v>0.2583102493074792</x:v>
      </x:c>
    </x:row>
    <x:row r="1199">
      <x:c r="A1199" s="32" t="n">
        <x:v>46076</x:v>
      </x:c>
      <x:c r="B1199" s="32" t="n">
        <x:v>46054</x:v>
      </x:c>
      <x:c r="C1199" t="str">
        <x:v>Feb 2026</x:v>
      </x:c>
      <x:c r="D1199" t="str">
        <x:v>Forecast</x:v>
      </x:c>
      <x:c r="E1199" t="str">
        <x:v>DB-104</x:v>
      </x:c>
      <x:c r="F1199" t="str">
        <x:v>SunNest Cooling Towel</x:v>
      </x:c>
      <x:c r="G1199" t="str">
        <x:v>Consumable repeat</x:v>
      </x:c>
      <x:c r="H1199" t="str">
        <x:v>Summer peak</x:v>
      </x:c>
      <x:c r="I1199" t="str">
        <x:v>Active</x:v>
      </x:c>
      <x:c r="J1199" t="str">
        <x:v>Wholesale</x:v>
      </x:c>
      <x:c r="K1199" t="str">
        <x:v>Retailer</x:v>
      </x:c>
      <x:c r="L1199" t="str">
        <x:v>All Geographies</x:v>
      </x:c>
      <x:c r="M1199" s="34" t="n">
        <x:v>1116</x:v>
      </x:c>
      <x:c r="N1199" s="28" t="n">
        <x:v>0.018216000000000003</x:v>
      </x:c>
      <x:c r="O1199" s="34" t="n">
        <x:v>20</x:v>
      </x:c>
      <x:c r="P1199" s="34" t="n">
        <x:v>1</x:v>
      </x:c>
      <x:c r="Q1199" s="34" t="n">
        <x:v>20</x:v>
      </x:c>
      <x:c r="R1199" s="33" t="n">
        <x:v>42</x:v>
      </x:c>
      <x:c r="S1199" s="38" t="n">
        <x:v>0.84</x:v>
      </x:c>
      <x:c r="T1199" s="38" t="n">
        <x:v>0.294</x:v>
      </x:c>
      <x:c r="U1199" s="38" t="n">
        <x:v>0.027300000000000005</x:v>
      </x:c>
      <x:c r="V1199" s="38" t="n">
        <x:v>0.5187</x:v>
      </x:c>
      <x:c r="W1199" s="38" t="n">
        <x:v>0.301</x:v>
      </x:c>
      <x:c r="X1199" s="38" t="n">
        <x:v>0</x:v>
      </x:c>
      <x:c r="Y1199" s="38" t="n">
        <x:v>0</x:v>
      </x:c>
      <x:c r="Z1199" s="38" t="n">
        <x:v>0.046</x:v>
      </x:c>
      <x:c r="AA1199" s="38" t="n">
        <x:v>0.017</x:v>
      </x:c>
      <x:c r="AB1199" s="38" t="n">
        <x:v>0.00056</x:v>
      </x:c>
      <x:c r="AC1199" s="38" t="n">
        <x:v>0.15414000000000005</x:v>
      </x:c>
      <x:c r="AD1199" s="28" t="n">
        <x:v>0.2971659919028341</x:v>
      </x:c>
    </x:row>
    <x:row r="1200">
      <x:c r="A1200" s="32" t="n">
        <x:v>46076</x:v>
      </x:c>
      <x:c r="B1200" s="32" t="n">
        <x:v>46054</x:v>
      </x:c>
      <x:c r="C1200" t="str">
        <x:v>Feb 2026</x:v>
      </x:c>
      <x:c r="D1200" t="str">
        <x:v>Forecast</x:v>
      </x:c>
      <x:c r="E1200" t="str">
        <x:v>DB-104</x:v>
      </x:c>
      <x:c r="F1200" t="str">
        <x:v>SunNest Cooling Towel</x:v>
      </x:c>
      <x:c r="G1200" t="str">
        <x:v>Consumable repeat</x:v>
      </x:c>
      <x:c r="H1200" t="str">
        <x:v>Summer peak</x:v>
      </x:c>
      <x:c r="I1200" t="str">
        <x:v>Active</x:v>
      </x:c>
      <x:c r="J1200" t="str">
        <x:v>TikTok Shop</x:v>
      </x:c>
      <x:c r="K1200" t="str">
        <x:v>Social Commerce</x:v>
      </x:c>
      <x:c r="L1200" t="str">
        <x:v>All Geographies</x:v>
      </x:c>
      <x:c r="M1200" s="34" t="n">
        <x:v>744</x:v>
      </x:c>
      <x:c r="N1200" s="28" t="n">
        <x:v>0.0417312</x:v>
      </x:c>
      <x:c r="O1200" s="34" t="n">
        <x:v>31</x:v>
      </x:c>
      <x:c r="P1200" s="34" t="n">
        <x:v>1</x:v>
      </x:c>
      <x:c r="Q1200" s="34" t="n">
        <x:v>31</x:v>
      </x:c>
      <x:c r="R1200" s="33" t="n">
        <x:v>42</x:v>
      </x:c>
      <x:c r="S1200" s="38" t="n">
        <x:v>1.302</x:v>
      </x:c>
      <x:c r="T1200" s="38" t="n">
        <x:v>0.15624</x:v>
      </x:c>
      <x:c r="U1200" s="38" t="n">
        <x:v>0.057288000000000006</x:v>
      </x:c>
      <x:c r="V1200" s="38" t="n">
        <x:v>1.088472</x:v>
      </x:c>
      <x:c r="W1200" s="38" t="n">
        <x:v>0.46655</x:v>
      </x:c>
      <x:c r="X1200" s="38" t="n">
        <x:v>0.031565688</x:v>
      </x:c>
      <x:c r="Y1200" s="38" t="n">
        <x:v>0.06530832</x:v>
      </x:c>
      <x:c r="Z1200" s="38" t="n">
        <x:v>0.1581</x:v>
      </x:c>
      <x:c r="AA1200" s="38" t="n">
        <x:v>0.05425</x:v>
      </x:c>
      <x:c r="AB1200" s="38" t="n">
        <x:v>0.000868</x:v>
      </x:c>
      <x:c r="AC1200" s="38" t="n">
        <x:v>0.31182999200000006</x:v>
      </x:c>
      <x:c r="AD1200" s="28" t="n">
        <x:v>0.2864841649578492</x:v>
      </x:c>
    </x:row>
    <x:row r="1201">
      <x:c r="A1201" s="32" t="n">
        <x:v>46076</x:v>
      </x:c>
      <x:c r="B1201" s="32" t="n">
        <x:v>46054</x:v>
      </x:c>
      <x:c r="C1201" t="str">
        <x:v>Feb 2026</x:v>
      </x:c>
      <x:c r="D1201" t="str">
        <x:v>Forecast</x:v>
      </x:c>
      <x:c r="E1201" t="str">
        <x:v>DB-105</x:v>
      </x:c>
      <x:c r="F1201" t="str">
        <x:v>DreamFuel Refill Pack</x:v>
      </x:c>
      <x:c r="G1201" t="str">
        <x:v>Subscription</x:v>
      </x:c>
      <x:c r="H1201" t="str">
        <x:v>None</x:v>
      </x:c>
      <x:c r="I1201" t="str">
        <x:v>Active</x:v>
      </x:c>
      <x:c r="J1201" t="str">
        <x:v>Shopify DTC</x:v>
      </x:c>
      <x:c r="K1201" t="str">
        <x:v>Consumer</x:v>
      </x:c>
      <x:c r="L1201" t="str">
        <x:v>All Geographies</x:v>
      </x:c>
      <x:c r="M1201" s="34" t="n">
        <x:v>5051</x:v>
      </x:c>
      <x:c r="N1201" s="28" t="n">
        <x:v>0.03888</x:v>
      </x:c>
      <x:c r="O1201" s="34" t="n">
        <x:v>196</x:v>
      </x:c>
      <x:c r="P1201" s="34" t="n">
        <x:v>1</x:v>
      </x:c>
      <x:c r="Q1201" s="34" t="n">
        <x:v>196</x:v>
      </x:c>
      <x:c r="R1201" s="33" t="n">
        <x:v>56</x:v>
      </x:c>
      <x:c r="S1201" s="38" t="n">
        <x:v>10.976</x:v>
      </x:c>
      <x:c r="T1201" s="38" t="n">
        <x:v>0.8780800000000001</x:v>
      </x:c>
      <x:c r="U1201" s="38" t="n">
        <x:v>0.2019584</x:v>
      </x:c>
      <x:c r="V1201" s="38" t="n">
        <x:v>9.8959616</x:v>
      </x:c>
      <x:c r="W1201" s="38" t="n">
        <x:v>3.64952</x:v>
      </x:c>
      <x:c r="X1201" s="38" t="n">
        <x:v>0.2869828864</x:v>
      </x:c>
      <x:c r="Y1201" s="38" t="n">
        <x:v>0</x:v>
      </x:c>
      <x:c r="Z1201" s="38" t="n">
        <x:v>0.8134000000000001</x:v>
      </x:c>
      <x:c r="AA1201" s="38" t="n">
        <x:v>0.32339999999999997</x:v>
      </x:c>
      <x:c r="AB1201" s="38" t="n">
        <x:v>0.0007055999999999999</x:v>
      </x:c>
      <x:c r="AC1201" s="38" t="n">
        <x:v>4.8219531136</x:v>
      </x:c>
      <x:c r="AD1201" s="28" t="n">
        <x:v>0.4872647357079478</x:v>
      </x:c>
    </x:row>
    <x:row r="1202">
      <x:c r="A1202" s="32" t="n">
        <x:v>46076</x:v>
      </x:c>
      <x:c r="B1202" s="32" t="n">
        <x:v>46054</x:v>
      </x:c>
      <x:c r="C1202" t="str">
        <x:v>Feb 2026</x:v>
      </x:c>
      <x:c r="D1202" t="str">
        <x:v>Forecast</x:v>
      </x:c>
      <x:c r="E1202" t="str">
        <x:v>DB-105</x:v>
      </x:c>
      <x:c r="F1202" t="str">
        <x:v>DreamFuel Refill Pack</x:v>
      </x:c>
      <x:c r="G1202" t="str">
        <x:v>Subscription</x:v>
      </x:c>
      <x:c r="H1202" t="str">
        <x:v>None</x:v>
      </x:c>
      <x:c r="I1202" t="str">
        <x:v>Active</x:v>
      </x:c>
      <x:c r="J1202" t="str">
        <x:v>Amazon Marketplace</x:v>
      </x:c>
      <x:c r="K1202" t="str">
        <x:v>Marketplace Consumer</x:v>
      </x:c>
      <x:c r="L1202" t="str">
        <x:v>All Geographies</x:v>
      </x:c>
      <x:c r="M1202" s="34" t="n">
        <x:v>2525</x:v>
      </x:c>
      <x:c r="N1202" s="28" t="n">
        <x:v>0.0458784</x:v>
      </x:c>
      <x:c r="O1202" s="34" t="n">
        <x:v>116</x:v>
      </x:c>
      <x:c r="P1202" s="34" t="n">
        <x:v>1</x:v>
      </x:c>
      <x:c r="Q1202" s="34" t="n">
        <x:v>116</x:v>
      </x:c>
      <x:c r="R1202" s="33" t="n">
        <x:v>56</x:v>
      </x:c>
      <x:c r="S1202" s="38" t="n">
        <x:v>6.496</x:v>
      </x:c>
      <x:c r="T1202" s="38" t="n">
        <x:v>0.32480000000000003</x:v>
      </x:c>
      <x:c r="U1202" s="38" t="n">
        <x:v>0.12342400000000002</x:v>
      </x:c>
      <x:c r="V1202" s="38" t="n">
        <x:v>6.047776000000001</x:v>
      </x:c>
      <x:c r="W1202" s="38" t="n">
        <x:v>2.15992</x:v>
      </x:c>
      <x:c r="X1202" s="38" t="n">
        <x:v>0</x:v>
      </x:c>
      <x:c r="Y1202" s="38" t="n">
        <x:v>0.9071664</x:v>
      </x:c>
      <x:c r="Z1202" s="38" t="n">
        <x:v>0.6032000000000001</x:v>
      </x:c>
      <x:c r="AA1202" s="38" t="n">
        <x:v>0.24939999999999998</x:v>
      </x:c>
      <x:c r="AB1202" s="38" t="n">
        <x:v>0.0004176</x:v>
      </x:c>
      <x:c r="AC1202" s="38" t="n">
        <x:v>2.1276720000000005</x:v>
      </x:c>
      <x:c r="AD1202" s="28" t="n">
        <x:v>0.35181064907165877</x:v>
      </x:c>
    </x:row>
    <x:row r="1203">
      <x:c r="A1203" s="32" t="n">
        <x:v>46076</x:v>
      </x:c>
      <x:c r="B1203" s="32" t="n">
        <x:v>46054</x:v>
      </x:c>
      <x:c r="C1203" t="str">
        <x:v>Feb 2026</x:v>
      </x:c>
      <x:c r="D1203" t="str">
        <x:v>Forecast</x:v>
      </x:c>
      <x:c r="E1203" t="str">
        <x:v>DB-105</x:v>
      </x:c>
      <x:c r="F1203" t="str">
        <x:v>DreamFuel Refill Pack</x:v>
      </x:c>
      <x:c r="G1203" t="str">
        <x:v>Subscription</x:v>
      </x:c>
      <x:c r="H1203" t="str">
        <x:v>None</x:v>
      </x:c>
      <x:c r="I1203" t="str">
        <x:v>Active</x:v>
      </x:c>
      <x:c r="J1203" t="str">
        <x:v>Wholesale</x:v>
      </x:c>
      <x:c r="K1203" t="str">
        <x:v>Retailer</x:v>
      </x:c>
      <x:c r="L1203" t="str">
        <x:v>All Geographies</x:v>
      </x:c>
      <x:c r="M1203" s="34" t="n">
        <x:v>1515</x:v>
      </x:c>
      <x:c r="N1203" s="28" t="n">
        <x:v>0.021384000000000004</x:v>
      </x:c>
      <x:c r="O1203" s="34" t="n">
        <x:v>32</x:v>
      </x:c>
      <x:c r="P1203" s="34" t="n">
        <x:v>1</x:v>
      </x:c>
      <x:c r="Q1203" s="34" t="n">
        <x:v>32</x:v>
      </x:c>
      <x:c r="R1203" s="33" t="n">
        <x:v>56</x:v>
      </x:c>
      <x:c r="S1203" s="38" t="n">
        <x:v>1.792</x:v>
      </x:c>
      <x:c r="T1203" s="38" t="n">
        <x:v>0.6272</x:v>
      </x:c>
      <x:c r="U1203" s="38" t="n">
        <x:v>0.023296</x:v>
      </x:c>
      <x:c r="V1203" s="38" t="n">
        <x:v>1.141504</x:v>
      </x:c>
      <x:c r="W1203" s="38" t="n">
        <x:v>0.59584</x:v>
      </x:c>
      <x:c r="X1203" s="38" t="n">
        <x:v>0</x:v>
      </x:c>
      <x:c r="Y1203" s="38" t="n">
        <x:v>0</x:v>
      </x:c>
      <x:c r="Z1203" s="38" t="n">
        <x:v>0.0736</x:v>
      </x:c>
      <x:c r="AA1203" s="38" t="n">
        <x:v>0.0272</x:v>
      </x:c>
      <x:c r="AB1203" s="38" t="n">
        <x:v>0.0001152</x:v>
      </x:c>
      <x:c r="AC1203" s="38" t="n">
        <x:v>0.44474880000000006</x:v>
      </x:c>
      <x:c r="AD1203" s="28" t="n">
        <x:v>0.3896165059430366</x:v>
      </x:c>
    </x:row>
    <x:row r="1204">
      <x:c r="A1204" s="32" t="n">
        <x:v>46076</x:v>
      </x:c>
      <x:c r="B1204" s="32" t="n">
        <x:v>46054</x:v>
      </x:c>
      <x:c r="C1204" t="str">
        <x:v>Feb 2026</x:v>
      </x:c>
      <x:c r="D1204" t="str">
        <x:v>Forecast</x:v>
      </x:c>
      <x:c r="E1204" t="str">
        <x:v>DB-105</x:v>
      </x:c>
      <x:c r="F1204" t="str">
        <x:v>DreamFuel Refill Pack</x:v>
      </x:c>
      <x:c r="G1204" t="str">
        <x:v>Subscription</x:v>
      </x:c>
      <x:c r="H1204" t="str">
        <x:v>None</x:v>
      </x:c>
      <x:c r="I1204" t="str">
        <x:v>Active</x:v>
      </x:c>
      <x:c r="J1204" t="str">
        <x:v>TikTok Shop</x:v>
      </x:c>
      <x:c r="K1204" t="str">
        <x:v>Social Commerce</x:v>
      </x:c>
      <x:c r="L1204" t="str">
        <x:v>All Geographies</x:v>
      </x:c>
      <x:c r="M1204" s="34" t="n">
        <x:v>1010</x:v>
      </x:c>
      <x:c r="N1204" s="28" t="n">
        <x:v>0.0489888</x:v>
      </x:c>
      <x:c r="O1204" s="34" t="n">
        <x:v>49</x:v>
      </x:c>
      <x:c r="P1204" s="34" t="n">
        <x:v>1</x:v>
      </x:c>
      <x:c r="Q1204" s="34" t="n">
        <x:v>49</x:v>
      </x:c>
      <x:c r="R1204" s="33" t="n">
        <x:v>56</x:v>
      </x:c>
      <x:c r="S1204" s="38" t="n">
        <x:v>2.744</x:v>
      </x:c>
      <x:c r="T1204" s="38" t="n">
        <x:v>0.32928</x:v>
      </x:c>
      <x:c r="U1204" s="38" t="n">
        <x:v>0.0482944</x:v>
      </x:c>
      <x:c r="V1204" s="38" t="n">
        <x:v>2.3664256</x:v>
      </x:c>
      <x:c r="W1204" s="38" t="n">
        <x:v>0.91238</x:v>
      </x:c>
      <x:c r="X1204" s="38" t="n">
        <x:v>0.0686263424</x:v>
      </x:c>
      <x:c r="Y1204" s="38" t="n">
        <x:v>0.141985536</x:v>
      </x:c>
      <x:c r="Z1204" s="38" t="n">
        <x:v>0.24989999999999998</x:v>
      </x:c>
      <x:c r="AA1204" s="38" t="n">
        <x:v>0.08575</x:v>
      </x:c>
      <x:c r="AB1204" s="38" t="n">
        <x:v>0.00017639999999999998</x:v>
      </x:c>
      <x:c r="AC1204" s="38" t="n">
        <x:v>0.9076073216</x:v>
      </x:c>
      <x:c r="AD1204" s="28" t="n">
        <x:v>0.3835351179432812</x:v>
      </x:c>
    </x:row>
    <x:row r="1205">
      <x:c r="A1205" s="32" t="n">
        <x:v>46083</x:v>
      </x:c>
      <x:c r="B1205" s="32" t="n">
        <x:v>46082</x:v>
      </x:c>
      <x:c r="C1205" t="str">
        <x:v>Mar 2026</x:v>
      </x:c>
      <x:c r="D1205" t="str">
        <x:v>Forecast</x:v>
      </x:c>
      <x:c r="E1205" t="str">
        <x:v>DB-101</x:v>
      </x:c>
      <x:c r="F1205" t="str">
        <x:v>AeroSip Bottle</x:v>
      </x:c>
      <x:c r="G1205" t="str">
        <x:v>One-time purchase</x:v>
      </x:c>
      <x:c r="H1205" t="str">
        <x:v>None</x:v>
      </x:c>
      <x:c r="I1205" t="str">
        <x:v>Active</x:v>
      </x:c>
      <x:c r="J1205" t="str">
        <x:v>Shopify DTC</x:v>
      </x:c>
      <x:c r="K1205" t="str">
        <x:v>Consumer</x:v>
      </x:c>
      <x:c r="L1205" t="str">
        <x:v>All Geographies</x:v>
      </x:c>
      <x:c r="M1205" s="34" t="n">
        <x:v>7296</x:v>
      </x:c>
      <x:c r="N1205" s="28" t="n">
        <x:v>0.034199999999999994</x:v>
      </x:c>
      <x:c r="O1205" s="34" t="n">
        <x:v>250</x:v>
      </x:c>
      <x:c r="P1205" s="34" t="n">
        <x:v>1</x:v>
      </x:c>
      <x:c r="Q1205" s="34" t="n">
        <x:v>250</x:v>
      </x:c>
      <x:c r="R1205" s="33" t="n">
        <x:v>29</x:v>
      </x:c>
      <x:c r="S1205" s="38" t="n">
        <x:v>7.25</x:v>
      </x:c>
      <x:c r="T1205" s="38" t="n">
        <x:v>0.58</x:v>
      </x:c>
      <x:c r="U1205" s="38" t="n">
        <x:v>0.30015</x:v>
      </x:c>
      <x:c r="V1205" s="38" t="n">
        <x:v>6.36985</x:v>
      </x:c>
      <x:c r="W1205" s="38" t="n">
        <x:v>2.7</x:v>
      </x:c>
      <x:c r="X1205" s="38" t="n">
        <x:v>0.18472565</x:v>
      </x:c>
      <x:c r="Y1205" s="38" t="n">
        <x:v>0</x:v>
      </x:c>
      <x:c r="Z1205" s="38" t="n">
        <x:v>1.0375</x:v>
      </x:c>
      <x:c r="AA1205" s="38" t="n">
        <x:v>0.4125</x:v>
      </x:c>
      <x:c r="AB1205" s="38" t="n">
        <x:v>0.009</x:v>
      </x:c>
      <x:c r="AC1205" s="38" t="n">
        <x:v>2.0261243499999995</x:v>
      </x:c>
      <x:c r="AD1205" s="28" t="n">
        <x:v>0.31808038650831644</x:v>
      </x:c>
    </x:row>
    <x:row r="1206">
      <x:c r="A1206" s="32" t="n">
        <x:v>46083</x:v>
      </x:c>
      <x:c r="B1206" s="32" t="n">
        <x:v>46082</x:v>
      </x:c>
      <x:c r="C1206" t="str">
        <x:v>Mar 2026</x:v>
      </x:c>
      <x:c r="D1206" t="str">
        <x:v>Forecast</x:v>
      </x:c>
      <x:c r="E1206" t="str">
        <x:v>DB-101</x:v>
      </x:c>
      <x:c r="F1206" t="str">
        <x:v>AeroSip Bottle</x:v>
      </x:c>
      <x:c r="G1206" t="str">
        <x:v>One-time purchase</x:v>
      </x:c>
      <x:c r="H1206" t="str">
        <x:v>None</x:v>
      </x:c>
      <x:c r="I1206" t="str">
        <x:v>Active</x:v>
      </x:c>
      <x:c r="J1206" t="str">
        <x:v>Amazon Marketplace</x:v>
      </x:c>
      <x:c r="K1206" t="str">
        <x:v>Marketplace Consumer</x:v>
      </x:c>
      <x:c r="L1206" t="str">
        <x:v>All Geographies</x:v>
      </x:c>
      <x:c r="M1206" s="34" t="n">
        <x:v>3648</x:v>
      </x:c>
      <x:c r="N1206" s="28" t="n">
        <x:v>0.040355999999999996</x:v>
      </x:c>
      <x:c r="O1206" s="34" t="n">
        <x:v>147</x:v>
      </x:c>
      <x:c r="P1206" s="34" t="n">
        <x:v>1</x:v>
      </x:c>
      <x:c r="Q1206" s="34" t="n">
        <x:v>147</x:v>
      </x:c>
      <x:c r="R1206" s="33" t="n">
        <x:v>29</x:v>
      </x:c>
      <x:c r="S1206" s="38" t="n">
        <x:v>4.263</x:v>
      </x:c>
      <x:c r="T1206" s="38" t="n">
        <x:v>0.21315</x:v>
      </x:c>
      <x:c r="U1206" s="38" t="n">
        <x:v>0.18224325</x:v>
      </x:c>
      <x:c r="V1206" s="38" t="n">
        <x:v>3.86760675</x:v>
      </x:c>
      <x:c r="W1206" s="38" t="n">
        <x:v>1.5876000000000001</x:v>
      </x:c>
      <x:c r="X1206" s="38" t="n">
        <x:v>0</x:v>
      </x:c>
      <x:c r="Y1206" s="38" t="n">
        <x:v>0.5801410125</x:v>
      </x:c>
      <x:c r="Z1206" s="38" t="n">
        <x:v>0.7644</x:v>
      </x:c>
      <x:c r="AA1206" s="38" t="n">
        <x:v>0.31605</x:v>
      </x:c>
      <x:c r="AB1206" s="38" t="n">
        <x:v>0.005292</x:v>
      </x:c>
      <x:c r="AC1206" s="38" t="n">
        <x:v>0.6141237375000003</x:v>
      </x:c>
      <x:c r="AD1206" s="28" t="n">
        <x:v>0.15878649955815705</x:v>
      </x:c>
    </x:row>
    <x:row r="1207">
      <x:c r="A1207" s="32" t="n">
        <x:v>46083</x:v>
      </x:c>
      <x:c r="B1207" s="32" t="n">
        <x:v>46082</x:v>
      </x:c>
      <x:c r="C1207" t="str">
        <x:v>Mar 2026</x:v>
      </x:c>
      <x:c r="D1207" t="str">
        <x:v>Forecast</x:v>
      </x:c>
      <x:c r="E1207" t="str">
        <x:v>DB-101</x:v>
      </x:c>
      <x:c r="F1207" t="str">
        <x:v>AeroSip Bottle</x:v>
      </x:c>
      <x:c r="G1207" t="str">
        <x:v>One-time purchase</x:v>
      </x:c>
      <x:c r="H1207" t="str">
        <x:v>None</x:v>
      </x:c>
      <x:c r="I1207" t="str">
        <x:v>Active</x:v>
      </x:c>
      <x:c r="J1207" t="str">
        <x:v>Wholesale</x:v>
      </x:c>
      <x:c r="K1207" t="str">
        <x:v>Retailer</x:v>
      </x:c>
      <x:c r="L1207" t="str">
        <x:v>All Geographies</x:v>
      </x:c>
      <x:c r="M1207" s="34" t="n">
        <x:v>2189</x:v>
      </x:c>
      <x:c r="N1207" s="28" t="n">
        <x:v>0.01881</x:v>
      </x:c>
      <x:c r="O1207" s="34" t="n">
        <x:v>41</x:v>
      </x:c>
      <x:c r="P1207" s="34" t="n">
        <x:v>1</x:v>
      </x:c>
      <x:c r="Q1207" s="34" t="n">
        <x:v>41</x:v>
      </x:c>
      <x:c r="R1207" s="33" t="n">
        <x:v>29</x:v>
      </x:c>
      <x:c r="S1207" s="38" t="n">
        <x:v>1.189</x:v>
      </x:c>
      <x:c r="T1207" s="38" t="n">
        <x:v>0.41615</x:v>
      </x:c>
      <x:c r="U1207" s="38" t="n">
        <x:v>0.034778250000000004</x:v>
      </x:c>
      <x:c r="V1207" s="38" t="n">
        <x:v>0.73807175</x:v>
      </x:c>
      <x:c r="W1207" s="38" t="n">
        <x:v>0.4428</x:v>
      </x:c>
      <x:c r="X1207" s="38" t="n">
        <x:v>0</x:v>
      </x:c>
      <x:c r="Y1207" s="38" t="n">
        <x:v>0</x:v>
      </x:c>
      <x:c r="Z1207" s="38" t="n">
        <x:v>0.0943</x:v>
      </x:c>
      <x:c r="AA1207" s="38" t="n">
        <x:v>0.03485</x:v>
      </x:c>
      <x:c r="AB1207" s="38" t="n">
        <x:v>0.0014759999999999999</x:v>
      </x:c>
      <x:c r="AC1207" s="38" t="n">
        <x:v>0.16464575</x:v>
      </x:c>
      <x:c r="AD1207" s="28" t="n">
        <x:v>0.22307553432305194</x:v>
      </x:c>
    </x:row>
    <x:row r="1208">
      <x:c r="A1208" s="32" t="n">
        <x:v>46083</x:v>
      </x:c>
      <x:c r="B1208" s="32" t="n">
        <x:v>46082</x:v>
      </x:c>
      <x:c r="C1208" t="str">
        <x:v>Mar 2026</x:v>
      </x:c>
      <x:c r="D1208" t="str">
        <x:v>Forecast</x:v>
      </x:c>
      <x:c r="E1208" t="str">
        <x:v>DB-101</x:v>
      </x:c>
      <x:c r="F1208" t="str">
        <x:v>AeroSip Bottle</x:v>
      </x:c>
      <x:c r="G1208" t="str">
        <x:v>One-time purchase</x:v>
      </x:c>
      <x:c r="H1208" t="str">
        <x:v>None</x:v>
      </x:c>
      <x:c r="I1208" t="str">
        <x:v>Active</x:v>
      </x:c>
      <x:c r="J1208" t="str">
        <x:v>TikTok Shop</x:v>
      </x:c>
      <x:c r="K1208" t="str">
        <x:v>Social Commerce</x:v>
      </x:c>
      <x:c r="L1208" t="str">
        <x:v>All Geographies</x:v>
      </x:c>
      <x:c r="M1208" s="34" t="n">
        <x:v>1459</x:v>
      </x:c>
      <x:c r="N1208" s="28" t="n">
        <x:v>0.043092</x:v>
      </x:c>
      <x:c r="O1208" s="34" t="n">
        <x:v>63</x:v>
      </x:c>
      <x:c r="P1208" s="34" t="n">
        <x:v>1</x:v>
      </x:c>
      <x:c r="Q1208" s="34" t="n">
        <x:v>63</x:v>
      </x:c>
      <x:c r="R1208" s="33" t="n">
        <x:v>29</x:v>
      </x:c>
      <x:c r="S1208" s="38" t="n">
        <x:v>1.827</x:v>
      </x:c>
      <x:c r="T1208" s="38" t="n">
        <x:v>0.21924</x:v>
      </x:c>
      <x:c r="U1208" s="38" t="n">
        <x:v>0.07234919999999999</x:v>
      </x:c>
      <x:c r="V1208" s="38" t="n">
        <x:v>1.5354108</x:v>
      </x:c>
      <x:c r="W1208" s="38" t="n">
        <x:v>0.6804000000000001</x:v>
      </x:c>
      <x:c r="X1208" s="38" t="n">
        <x:v>0.044526913200000004</x:v>
      </x:c>
      <x:c r="Y1208" s="38" t="n">
        <x:v>0.09212464799999999</x:v>
      </x:c>
      <x:c r="Z1208" s="38" t="n">
        <x:v>0.3213</x:v>
      </x:c>
      <x:c r="AA1208" s="38" t="n">
        <x:v>0.11025</x:v>
      </x:c>
      <x:c r="AB1208" s="38" t="n">
        <x:v>0.0022679999999999996</x:v>
      </x:c>
      <x:c r="AC1208" s="38" t="n">
        <x:v>0.2845412387999999</x:v>
      </x:c>
      <x:c r="AD1208" s="28" t="n">
        <x:v>0.18531928966501987</x:v>
      </x:c>
    </x:row>
    <x:row r="1209">
      <x:c r="A1209" s="32" t="n">
        <x:v>46083</x:v>
      </x:c>
      <x:c r="B1209" s="32" t="n">
        <x:v>46082</x:v>
      </x:c>
      <x:c r="C1209" t="str">
        <x:v>Mar 2026</x:v>
      </x:c>
      <x:c r="D1209" t="str">
        <x:v>Forecast</x:v>
      </x:c>
      <x:c r="E1209" t="str">
        <x:v>DB-102</x:v>
      </x:c>
      <x:c r="F1209" t="str">
        <x:v>GlowPatch Balm</x:v>
      </x:c>
      <x:c r="G1209" t="str">
        <x:v>Consumable repeat</x:v>
      </x:c>
      <x:c r="H1209" t="str">
        <x:v>None</x:v>
      </x:c>
      <x:c r="I1209" t="str">
        <x:v>Active</x:v>
      </x:c>
      <x:c r="J1209" t="str">
        <x:v>Shopify DTC</x:v>
      </x:c>
      <x:c r="K1209" t="str">
        <x:v>Consumer</x:v>
      </x:c>
      <x:c r="L1209" t="str">
        <x:v>All Geographies</x:v>
      </x:c>
      <x:c r="M1209" s="34" t="n">
        <x:v>5893</x:v>
      </x:c>
      <x:c r="N1209" s="28" t="n">
        <x:v>0.04248</x:v>
      </x:c>
      <x:c r="O1209" s="34" t="n">
        <x:v>250</x:v>
      </x:c>
      <x:c r="P1209" s="34" t="n">
        <x:v>1</x:v>
      </x:c>
      <x:c r="Q1209" s="34" t="n">
        <x:v>250</x:v>
      </x:c>
      <x:c r="R1209" s="33" t="n">
        <x:v>18</x:v>
      </x:c>
      <x:c r="S1209" s="38" t="n">
        <x:v>4.5</x:v>
      </x:c>
      <x:c r="T1209" s="38" t="n">
        <x:v>0.36</x:v>
      </x:c>
      <x:c r="U1209" s="38" t="n">
        <x:v>0.1035</x:v>
      </x:c>
      <x:c r="V1209" s="38" t="n">
        <x:v>4.036499999999999</x:v>
      </x:c>
      <x:c r="W1209" s="38" t="n">
        <x:v>1.3525</x:v>
      </x:c>
      <x:c r="X1209" s="38" t="n">
        <x:v>0.11705849999999998</x:v>
      </x:c>
      <x:c r="Y1209" s="38" t="n">
        <x:v>0</x:v>
      </x:c>
      <x:c r="Z1209" s="38" t="n">
        <x:v>1.0375</x:v>
      </x:c>
      <x:c r="AA1209" s="38" t="n">
        <x:v>0.4125</x:v>
      </x:c>
      <x:c r="AB1209" s="38" t="n">
        <x:v>0.0015</x:v>
      </x:c>
      <x:c r="AC1209" s="38" t="n">
        <x:v>1.1154414999999989</x:v>
      </x:c>
      <x:c r="AD1209" s="28" t="n">
        <x:v>0.2763387835996529</x:v>
      </x:c>
    </x:row>
    <x:row r="1210">
      <x:c r="A1210" s="32" t="n">
        <x:v>46083</x:v>
      </x:c>
      <x:c r="B1210" s="32" t="n">
        <x:v>46082</x:v>
      </x:c>
      <x:c r="C1210" t="str">
        <x:v>Mar 2026</x:v>
      </x:c>
      <x:c r="D1210" t="str">
        <x:v>Forecast</x:v>
      </x:c>
      <x:c r="E1210" t="str">
        <x:v>DB-102</x:v>
      </x:c>
      <x:c r="F1210" t="str">
        <x:v>GlowPatch Balm</x:v>
      </x:c>
      <x:c r="G1210" t="str">
        <x:v>Consumable repeat</x:v>
      </x:c>
      <x:c r="H1210" t="str">
        <x:v>None</x:v>
      </x:c>
      <x:c r="I1210" t="str">
        <x:v>Active</x:v>
      </x:c>
      <x:c r="J1210" t="str">
        <x:v>Amazon Marketplace</x:v>
      </x:c>
      <x:c r="K1210" t="str">
        <x:v>Marketplace Consumer</x:v>
      </x:c>
      <x:c r="L1210" t="str">
        <x:v>All Geographies</x:v>
      </x:c>
      <x:c r="M1210" s="34" t="n">
        <x:v>2946</x:v>
      </x:c>
      <x:c r="N1210" s="28" t="n">
        <x:v>0.050126399999999995</x:v>
      </x:c>
      <x:c r="O1210" s="34" t="n">
        <x:v>148</x:v>
      </x:c>
      <x:c r="P1210" s="34" t="n">
        <x:v>1</x:v>
      </x:c>
      <x:c r="Q1210" s="34" t="n">
        <x:v>148</x:v>
      </x:c>
      <x:c r="R1210" s="33" t="n">
        <x:v>18</x:v>
      </x:c>
      <x:c r="S1210" s="38" t="n">
        <x:v>2.664</x:v>
      </x:c>
      <x:c r="T1210" s="38" t="n">
        <x:v>0.1332</x:v>
      </x:c>
      <x:c r="U1210" s="38" t="n">
        <x:v>0.06327</x:v>
      </x:c>
      <x:c r="V1210" s="38" t="n">
        <x:v>2.46753</x:v>
      </x:c>
      <x:c r="W1210" s="38" t="n">
        <x:v>0.8006800000000001</x:v>
      </x:c>
      <x:c r="X1210" s="38" t="n">
        <x:v>0</x:v>
      </x:c>
      <x:c r="Y1210" s="38" t="n">
        <x:v>0.3701295</x:v>
      </x:c>
      <x:c r="Z1210" s="38" t="n">
        <x:v>0.7696000000000001</x:v>
      </x:c>
      <x:c r="AA1210" s="38" t="n">
        <x:v>0.3182</x:v>
      </x:c>
      <x:c r="AB1210" s="38" t="n">
        <x:v>0.0008879999999999999</x:v>
      </x:c>
      <x:c r="AC1210" s="38" t="n">
        <x:v>0.2080324999999999</x:v>
      </x:c>
      <x:c r="AD1210" s="28" t="n">
        <x:v>0.084307992202729</x:v>
      </x:c>
    </x:row>
    <x:row r="1211">
      <x:c r="A1211" s="32" t="n">
        <x:v>46083</x:v>
      </x:c>
      <x:c r="B1211" s="32" t="n">
        <x:v>46082</x:v>
      </x:c>
      <x:c r="C1211" t="str">
        <x:v>Mar 2026</x:v>
      </x:c>
      <x:c r="D1211" t="str">
        <x:v>Forecast</x:v>
      </x:c>
      <x:c r="E1211" t="str">
        <x:v>DB-102</x:v>
      </x:c>
      <x:c r="F1211" t="str">
        <x:v>GlowPatch Balm</x:v>
      </x:c>
      <x:c r="G1211" t="str">
        <x:v>Consumable repeat</x:v>
      </x:c>
      <x:c r="H1211" t="str">
        <x:v>None</x:v>
      </x:c>
      <x:c r="I1211" t="str">
        <x:v>Active</x:v>
      </x:c>
      <x:c r="J1211" t="str">
        <x:v>Wholesale</x:v>
      </x:c>
      <x:c r="K1211" t="str">
        <x:v>Retailer</x:v>
      </x:c>
      <x:c r="L1211" t="str">
        <x:v>All Geographies</x:v>
      </x:c>
      <x:c r="M1211" s="34" t="n">
        <x:v>1768</x:v>
      </x:c>
      <x:c r="N1211" s="28" t="n">
        <x:v>0.023364</x:v>
      </x:c>
      <x:c r="O1211" s="34" t="n">
        <x:v>41</x:v>
      </x:c>
      <x:c r="P1211" s="34" t="n">
        <x:v>1</x:v>
      </x:c>
      <x:c r="Q1211" s="34" t="n">
        <x:v>41</x:v>
      </x:c>
      <x:c r="R1211" s="33" t="n">
        <x:v>18</x:v>
      </x:c>
      <x:c r="S1211" s="38" t="n">
        <x:v>0.738</x:v>
      </x:c>
      <x:c r="T1211" s="38" t="n">
        <x:v>0.2583</x:v>
      </x:c>
      <x:c r="U1211" s="38" t="n">
        <x:v>0.011992500000000001</x:v>
      </x:c>
      <x:c r="V1211" s="38" t="n">
        <x:v>0.4677075</x:v>
      </x:c>
      <x:c r="W1211" s="38" t="n">
        <x:v>0.22181</x:v>
      </x:c>
      <x:c r="X1211" s="38" t="n">
        <x:v>0</x:v>
      </x:c>
      <x:c r="Y1211" s="38" t="n">
        <x:v>0</x:v>
      </x:c>
      <x:c r="Z1211" s="38" t="n">
        <x:v>0.0943</x:v>
      </x:c>
      <x:c r="AA1211" s="38" t="n">
        <x:v>0.03485</x:v>
      </x:c>
      <x:c r="AB1211" s="38" t="n">
        <x:v>0.000246</x:v>
      </x:c>
      <x:c r="AC1211" s="38" t="n">
        <x:v>0.11650150000000001</x:v>
      </x:c>
      <x:c r="AD1211" s="28" t="n">
        <x:v>0.2490905106289722</x:v>
      </x:c>
    </x:row>
    <x:row r="1212">
      <x:c r="A1212" s="32" t="n">
        <x:v>46083</x:v>
      </x:c>
      <x:c r="B1212" s="32" t="n">
        <x:v>46082</x:v>
      </x:c>
      <x:c r="C1212" t="str">
        <x:v>Mar 2026</x:v>
      </x:c>
      <x:c r="D1212" t="str">
        <x:v>Forecast</x:v>
      </x:c>
      <x:c r="E1212" t="str">
        <x:v>DB-102</x:v>
      </x:c>
      <x:c r="F1212" t="str">
        <x:v>GlowPatch Balm</x:v>
      </x:c>
      <x:c r="G1212" t="str">
        <x:v>Consumable repeat</x:v>
      </x:c>
      <x:c r="H1212" t="str">
        <x:v>None</x:v>
      </x:c>
      <x:c r="I1212" t="str">
        <x:v>Active</x:v>
      </x:c>
      <x:c r="J1212" t="str">
        <x:v>TikTok Shop</x:v>
      </x:c>
      <x:c r="K1212" t="str">
        <x:v>Social Commerce</x:v>
      </x:c>
      <x:c r="L1212" t="str">
        <x:v>All Geographies</x:v>
      </x:c>
      <x:c r="M1212" s="34" t="n">
        <x:v>1179</x:v>
      </x:c>
      <x:c r="N1212" s="28" t="n">
        <x:v>0.0535248</x:v>
      </x:c>
      <x:c r="O1212" s="34" t="n">
        <x:v>63</x:v>
      </x:c>
      <x:c r="P1212" s="34" t="n">
        <x:v>1</x:v>
      </x:c>
      <x:c r="Q1212" s="34" t="n">
        <x:v>63</x:v>
      </x:c>
      <x:c r="R1212" s="33" t="n">
        <x:v>18</x:v>
      </x:c>
      <x:c r="S1212" s="38" t="n">
        <x:v>1.134</x:v>
      </x:c>
      <x:c r="T1212" s="38" t="n">
        <x:v>0.13607999999999998</x:v>
      </x:c>
      <x:c r="U1212" s="38" t="n">
        <x:v>0.024947999999999998</x:v>
      </x:c>
      <x:c r="V1212" s="38" t="n">
        <x:v>0.972972</x:v>
      </x:c>
      <x:c r="W1212" s="38" t="n">
        <x:v>0.34082999999999997</x:v>
      </x:c>
      <x:c r="X1212" s="38" t="n">
        <x:v>0.028216188</x:v>
      </x:c>
      <x:c r="Y1212" s="38" t="n">
        <x:v>0.05837832</x:v>
      </x:c>
      <x:c r="Z1212" s="38" t="n">
        <x:v>0.3213</x:v>
      </x:c>
      <x:c r="AA1212" s="38" t="n">
        <x:v>0.11025</x:v>
      </x:c>
      <x:c r="AB1212" s="38" t="n">
        <x:v>0.000378</x:v>
      </x:c>
      <x:c r="AC1212" s="38" t="n">
        <x:v>0.11361949199999999</x:v>
      </x:c>
      <x:c r="AD1212" s="28" t="n">
        <x:v>0.11677570577570577</x:v>
      </x:c>
    </x:row>
    <x:row r="1213">
      <x:c r="A1213" s="32" t="n">
        <x:v>46083</x:v>
      </x:c>
      <x:c r="B1213" s="32" t="n">
        <x:v>46082</x:v>
      </x:c>
      <x:c r="C1213" t="str">
        <x:v>Mar 2026</x:v>
      </x:c>
      <x:c r="D1213" t="str">
        <x:v>Forecast</x:v>
      </x:c>
      <x:c r="E1213" t="str">
        <x:v>DB-103</x:v>
      </x:c>
      <x:c r="F1213" t="str">
        <x:v>EmberTrail Camp Mug</x:v>
      </x:c>
      <x:c r="G1213" t="str">
        <x:v>One-time purchase</x:v>
      </x:c>
      <x:c r="H1213" t="str">
        <x:v>Winter peak</x:v>
      </x:c>
      <x:c r="I1213" t="str">
        <x:v>Active</x:v>
      </x:c>
      <x:c r="J1213" t="str">
        <x:v>Shopify DTC</x:v>
      </x:c>
      <x:c r="K1213" t="str">
        <x:v>Consumer</x:v>
      </x:c>
      <x:c r="L1213" t="str">
        <x:v>All Geographies</x:v>
      </x:c>
      <x:c r="M1213" s="34" t="n">
        <x:v>4647</x:v>
      </x:c>
      <x:c r="N1213" s="28" t="n">
        <x:v>0.0324</x:v>
      </x:c>
      <x:c r="O1213" s="34" t="n">
        <x:v>151</x:v>
      </x:c>
      <x:c r="P1213" s="34" t="n">
        <x:v>1</x:v>
      </x:c>
      <x:c r="Q1213" s="34" t="n">
        <x:v>151</x:v>
      </x:c>
      <x:c r="R1213" s="33" t="n">
        <x:v>34</x:v>
      </x:c>
      <x:c r="S1213" s="38" t="n">
        <x:v>5.134</x:v>
      </x:c>
      <x:c r="T1213" s="38" t="n">
        <x:v>0.41072000000000003</x:v>
      </x:c>
      <x:c r="U1213" s="38" t="n">
        <x:v>0.2597804</x:v>
      </x:c>
      <x:c r="V1213" s="38" t="n">
        <x:v>4.4634996</x:v>
      </x:c>
      <x:c r="W1213" s="38" t="n">
        <x:v>2.0641700000000003</x:v>
      </x:c>
      <x:c r="X1213" s="38" t="n">
        <x:v>0.1294414884</x:v>
      </x:c>
      <x:c r="Y1213" s="38" t="n">
        <x:v>0</x:v>
      </x:c>
      <x:c r="Z1213" s="38" t="n">
        <x:v>0.62665</x:v>
      </x:c>
      <x:c r="AA1213" s="38" t="n">
        <x:v>0.24914999999999998</x:v>
      </x:c>
      <x:c r="AB1213" s="38" t="n">
        <x:v>0.008456</x:v>
      </x:c>
      <x:c r="AC1213" s="38" t="n">
        <x:v>1.3856321115999992</x:v>
      </x:c>
      <x:c r="AD1213" s="28" t="n">
        <x:v>0.31043625759482524</x:v>
      </x:c>
    </x:row>
    <x:row r="1214">
      <x:c r="A1214" s="32" t="n">
        <x:v>46083</x:v>
      </x:c>
      <x:c r="B1214" s="32" t="n">
        <x:v>46082</x:v>
      </x:c>
      <x:c r="C1214" t="str">
        <x:v>Mar 2026</x:v>
      </x:c>
      <x:c r="D1214" t="str">
        <x:v>Forecast</x:v>
      </x:c>
      <x:c r="E1214" t="str">
        <x:v>DB-103</x:v>
      </x:c>
      <x:c r="F1214" t="str">
        <x:v>EmberTrail Camp Mug</x:v>
      </x:c>
      <x:c r="G1214" t="str">
        <x:v>One-time purchase</x:v>
      </x:c>
      <x:c r="H1214" t="str">
        <x:v>Winter peak</x:v>
      </x:c>
      <x:c r="I1214" t="str">
        <x:v>Active</x:v>
      </x:c>
      <x:c r="J1214" t="str">
        <x:v>Amazon Marketplace</x:v>
      </x:c>
      <x:c r="K1214" t="str">
        <x:v>Marketplace Consumer</x:v>
      </x:c>
      <x:c r="L1214" t="str">
        <x:v>All Geographies</x:v>
      </x:c>
      <x:c r="M1214" s="34" t="n">
        <x:v>2323</x:v>
      </x:c>
      <x:c r="N1214" s="28" t="n">
        <x:v>0.038231999999999995</x:v>
      </x:c>
      <x:c r="O1214" s="34" t="n">
        <x:v>89</x:v>
      </x:c>
      <x:c r="P1214" s="34" t="n">
        <x:v>1</x:v>
      </x:c>
      <x:c r="Q1214" s="34" t="n">
        <x:v>89</x:v>
      </x:c>
      <x:c r="R1214" s="33" t="n">
        <x:v>34</x:v>
      </x:c>
      <x:c r="S1214" s="38" t="n">
        <x:v>3.026</x:v>
      </x:c>
      <x:c r="T1214" s="38" t="n">
        <x:v>0.1513</x:v>
      </x:c>
      <x:c r="U1214" s="38" t="n">
        <x:v>0.15810849999999999</x:v>
      </x:c>
      <x:c r="V1214" s="38" t="n">
        <x:v>2.7165915</x:v>
      </x:c>
      <x:c r="W1214" s="38" t="n">
        <x:v>1.2166299999999999</x:v>
      </x:c>
      <x:c r="X1214" s="38" t="n">
        <x:v>0</x:v>
      </x:c>
      <x:c r="Y1214" s="38" t="n">
        <x:v>0.40748872499999994</x:v>
      </x:c>
      <x:c r="Z1214" s="38" t="n">
        <x:v>0.4628</x:v>
      </x:c>
      <x:c r="AA1214" s="38" t="n">
        <x:v>0.19135</x:v>
      </x:c>
      <x:c r="AB1214" s="38" t="n">
        <x:v>0.004984</x:v>
      </x:c>
      <x:c r="AC1214" s="38" t="n">
        <x:v>0.43333877500000006</x:v>
      </x:c>
      <x:c r="AD1214" s="28" t="n">
        <x:v>0.15951561911314235</x:v>
      </x:c>
    </x:row>
    <x:row r="1215">
      <x:c r="A1215" s="32" t="n">
        <x:v>46083</x:v>
      </x:c>
      <x:c r="B1215" s="32" t="n">
        <x:v>46082</x:v>
      </x:c>
      <x:c r="C1215" t="str">
        <x:v>Mar 2026</x:v>
      </x:c>
      <x:c r="D1215" t="str">
        <x:v>Forecast</x:v>
      </x:c>
      <x:c r="E1215" t="str">
        <x:v>DB-103</x:v>
      </x:c>
      <x:c r="F1215" t="str">
        <x:v>EmberTrail Camp Mug</x:v>
      </x:c>
      <x:c r="G1215" t="str">
        <x:v>One-time purchase</x:v>
      </x:c>
      <x:c r="H1215" t="str">
        <x:v>Winter peak</x:v>
      </x:c>
      <x:c r="I1215" t="str">
        <x:v>Active</x:v>
      </x:c>
      <x:c r="J1215" t="str">
        <x:v>Wholesale</x:v>
      </x:c>
      <x:c r="K1215" t="str">
        <x:v>Retailer</x:v>
      </x:c>
      <x:c r="L1215" t="str">
        <x:v>All Geographies</x:v>
      </x:c>
      <x:c r="M1215" s="34" t="n">
        <x:v>1394</x:v>
      </x:c>
      <x:c r="N1215" s="28" t="n">
        <x:v>0.017820000000000003</x:v>
      </x:c>
      <x:c r="O1215" s="34" t="n">
        <x:v>25</x:v>
      </x:c>
      <x:c r="P1215" s="34" t="n">
        <x:v>1</x:v>
      </x:c>
      <x:c r="Q1215" s="34" t="n">
        <x:v>25</x:v>
      </x:c>
      <x:c r="R1215" s="33" t="n">
        <x:v>34</x:v>
      </x:c>
      <x:c r="S1215" s="38" t="n">
        <x:v>0.85</x:v>
      </x:c>
      <x:c r="T1215" s="38" t="n">
        <x:v>0.2975</x:v>
      </x:c>
      <x:c r="U1215" s="38" t="n">
        <x:v>0.0303875</x:v>
      </x:c>
      <x:c r="V1215" s="38" t="n">
        <x:v>0.5221125</x:v>
      </x:c>
      <x:c r="W1215" s="38" t="n">
        <x:v>0.34175</x:v>
      </x:c>
      <x:c r="X1215" s="38" t="n">
        <x:v>0</x:v>
      </x:c>
      <x:c r="Y1215" s="38" t="n">
        <x:v>0</x:v>
      </x:c>
      <x:c r="Z1215" s="38" t="n">
        <x:v>0.057499999999999996</x:v>
      </x:c>
      <x:c r="AA1215" s="38" t="n">
        <x:v>0.02125</x:v>
      </x:c>
      <x:c r="AB1215" s="38" t="n">
        <x:v>0.0014000000000000002</x:v>
      </x:c>
      <x:c r="AC1215" s="38" t="n">
        <x:v>0.10021249999999998</x:v>
      </x:c>
      <x:c r="AD1215" s="28" t="n">
        <x:v>0.19193660370130955</x:v>
      </x:c>
    </x:row>
    <x:row r="1216">
      <x:c r="A1216" s="32" t="n">
        <x:v>46083</x:v>
      </x:c>
      <x:c r="B1216" s="32" t="n">
        <x:v>46082</x:v>
      </x:c>
      <x:c r="C1216" t="str">
        <x:v>Mar 2026</x:v>
      </x:c>
      <x:c r="D1216" t="str">
        <x:v>Forecast</x:v>
      </x:c>
      <x:c r="E1216" t="str">
        <x:v>DB-103</x:v>
      </x:c>
      <x:c r="F1216" t="str">
        <x:v>EmberTrail Camp Mug</x:v>
      </x:c>
      <x:c r="G1216" t="str">
        <x:v>One-time purchase</x:v>
      </x:c>
      <x:c r="H1216" t="str">
        <x:v>Winter peak</x:v>
      </x:c>
      <x:c r="I1216" t="str">
        <x:v>Active</x:v>
      </x:c>
      <x:c r="J1216" t="str">
        <x:v>TikTok Shop</x:v>
      </x:c>
      <x:c r="K1216" t="str">
        <x:v>Social Commerce</x:v>
      </x:c>
      <x:c r="L1216" t="str">
        <x:v>All Geographies</x:v>
      </x:c>
      <x:c r="M1216" s="34" t="n">
        <x:v>929</x:v>
      </x:c>
      <x:c r="N1216" s="28" t="n">
        <x:v>0.040824</x:v>
      </x:c>
      <x:c r="O1216" s="34" t="n">
        <x:v>38</x:v>
      </x:c>
      <x:c r="P1216" s="34" t="n">
        <x:v>1</x:v>
      </x:c>
      <x:c r="Q1216" s="34" t="n">
        <x:v>38</x:v>
      </x:c>
      <x:c r="R1216" s="33" t="n">
        <x:v>34</x:v>
      </x:c>
      <x:c r="S1216" s="38" t="n">
        <x:v>1.292</x:v>
      </x:c>
      <x:c r="T1216" s="38" t="n">
        <x:v>0.15504</x:v>
      </x:c>
      <x:c r="U1216" s="38" t="n">
        <x:v>0.0625328</x:v>
      </x:c>
      <x:c r="V1216" s="38" t="n">
        <x:v>1.0744272</x:v>
      </x:c>
      <x:c r="W1216" s="38" t="n">
        <x:v>0.51946</x:v>
      </x:c>
      <x:c r="X1216" s="38" t="n">
        <x:v>0.0311583888</x:v>
      </x:c>
      <x:c r="Y1216" s="38" t="n">
        <x:v>0.064465632</x:v>
      </x:c>
      <x:c r="Z1216" s="38" t="n">
        <x:v>0.19379999999999997</x:v>
      </x:c>
      <x:c r="AA1216" s="38" t="n">
        <x:v>0.0665</x:v>
      </x:c>
      <x:c r="AB1216" s="38" t="n">
        <x:v>0.002128</x:v>
      </x:c>
      <x:c r="AC1216" s="38" t="n">
        <x:v>0.19691517919999993</x:v>
      </x:c>
      <x:c r="AD1216" s="28" t="n">
        <x:v>0.1832745663922134</x:v>
      </x:c>
    </x:row>
    <x:row r="1217">
      <x:c r="A1217" s="32" t="n">
        <x:v>46083</x:v>
      </x:c>
      <x:c r="B1217" s="32" t="n">
        <x:v>46082</x:v>
      </x:c>
      <x:c r="C1217" t="str">
        <x:v>Mar 2026</x:v>
      </x:c>
      <x:c r="D1217" t="str">
        <x:v>Forecast</x:v>
      </x:c>
      <x:c r="E1217" t="str">
        <x:v>DB-104</x:v>
      </x:c>
      <x:c r="F1217" t="str">
        <x:v>SunNest Cooling Towel</x:v>
      </x:c>
      <x:c r="G1217" t="str">
        <x:v>Consumable repeat</x:v>
      </x:c>
      <x:c r="H1217" t="str">
        <x:v>Summer peak</x:v>
      </x:c>
      <x:c r="I1217" t="str">
        <x:v>Active</x:v>
      </x:c>
      <x:c r="J1217" t="str">
        <x:v>Shopify DTC</x:v>
      </x:c>
      <x:c r="K1217" t="str">
        <x:v>Consumer</x:v>
      </x:c>
      <x:c r="L1217" t="str">
        <x:v>All Geographies</x:v>
      </x:c>
      <x:c r="M1217" s="34" t="n">
        <x:v>4198</x:v>
      </x:c>
      <x:c r="N1217" s="28" t="n">
        <x:v>0.03312</x:v>
      </x:c>
      <x:c r="O1217" s="34" t="n">
        <x:v>139</x:v>
      </x:c>
      <x:c r="P1217" s="34" t="n">
        <x:v>1</x:v>
      </x:c>
      <x:c r="Q1217" s="34" t="n">
        <x:v>139</x:v>
      </x:c>
      <x:c r="R1217" s="33" t="n">
        <x:v>42</x:v>
      </x:c>
      <x:c r="S1217" s="38" t="n">
        <x:v>5.838</x:v>
      </x:c>
      <x:c r="T1217" s="38" t="n">
        <x:v>0.46704</x:v>
      </x:c>
      <x:c r="U1217" s="38" t="n">
        <x:v>0.268548</x:v>
      </x:c>
      <x:c r="V1217" s="38" t="n">
        <x:v>5.102412</x:v>
      </x:c>
      <x:c r="W1217" s="38" t="n">
        <x:v>2.09195</x:v>
      </x:c>
      <x:c r="X1217" s="38" t="n">
        <x:v>0.14796994800000002</x:v>
      </x:c>
      <x:c r="Y1217" s="38" t="n">
        <x:v>0</x:v>
      </x:c>
      <x:c r="Z1217" s="38" t="n">
        <x:v>0.57685</x:v>
      </x:c>
      <x:c r="AA1217" s="38" t="n">
        <x:v>0.22935</x:v>
      </x:c>
      <x:c r="AB1217" s="38" t="n">
        <x:v>0.003892</x:v>
      </x:c>
      <x:c r="AC1217" s="38" t="n">
        <x:v>2.052400052</x:v>
      </x:c>
      <x:c r="AD1217" s="28" t="n">
        <x:v>0.4022411463441211</x:v>
      </x:c>
    </x:row>
    <x:row r="1218">
      <x:c r="A1218" s="32" t="n">
        <x:v>46083</x:v>
      </x:c>
      <x:c r="B1218" s="32" t="n">
        <x:v>46082</x:v>
      </x:c>
      <x:c r="C1218" t="str">
        <x:v>Mar 2026</x:v>
      </x:c>
      <x:c r="D1218" t="str">
        <x:v>Forecast</x:v>
      </x:c>
      <x:c r="E1218" t="str">
        <x:v>DB-104</x:v>
      </x:c>
      <x:c r="F1218" t="str">
        <x:v>SunNest Cooling Towel</x:v>
      </x:c>
      <x:c r="G1218" t="str">
        <x:v>Consumable repeat</x:v>
      </x:c>
      <x:c r="H1218" t="str">
        <x:v>Summer peak</x:v>
      </x:c>
      <x:c r="I1218" t="str">
        <x:v>Active</x:v>
      </x:c>
      <x:c r="J1218" t="str">
        <x:v>Amazon Marketplace</x:v>
      </x:c>
      <x:c r="K1218" t="str">
        <x:v>Marketplace Consumer</x:v>
      </x:c>
      <x:c r="L1218" t="str">
        <x:v>All Geographies</x:v>
      </x:c>
      <x:c r="M1218" s="34" t="n">
        <x:v>2099</x:v>
      </x:c>
      <x:c r="N1218" s="28" t="n">
        <x:v>0.0390816</x:v>
      </x:c>
      <x:c r="O1218" s="34" t="n">
        <x:v>82</x:v>
      </x:c>
      <x:c r="P1218" s="34" t="n">
        <x:v>1</x:v>
      </x:c>
      <x:c r="Q1218" s="34" t="n">
        <x:v>82</x:v>
      </x:c>
      <x:c r="R1218" s="33" t="n">
        <x:v>42</x:v>
      </x:c>
      <x:c r="S1218" s="38" t="n">
        <x:v>3.444</x:v>
      </x:c>
      <x:c r="T1218" s="38" t="n">
        <x:v>0.17220000000000002</x:v>
      </x:c>
      <x:c r="U1218" s="38" t="n">
        <x:v>0.16359</x:v>
      </x:c>
      <x:c r="V1218" s="38" t="n">
        <x:v>3.1082099999999997</x:v>
      </x:c>
      <x:c r="W1218" s="38" t="n">
        <x:v>1.2341000000000002</x:v>
      </x:c>
      <x:c r="X1218" s="38" t="n">
        <x:v>0</x:v>
      </x:c>
      <x:c r="Y1218" s="38" t="n">
        <x:v>0.4662314999999999</x:v>
      </x:c>
      <x:c r="Z1218" s="38" t="n">
        <x:v>0.42640000000000006</x:v>
      </x:c>
      <x:c r="AA1218" s="38" t="n">
        <x:v>0.17629999999999998</x:v>
      </x:c>
      <x:c r="AB1218" s="38" t="n">
        <x:v>0.002296</x:v>
      </x:c>
      <x:c r="AC1218" s="38" t="n">
        <x:v>0.8028824999999995</x:v>
      </x:c>
      <x:c r="AD1218" s="28" t="n">
        <x:v>0.2583102493074791</x:v>
      </x:c>
    </x:row>
    <x:row r="1219">
      <x:c r="A1219" s="32" t="n">
        <x:v>46083</x:v>
      </x:c>
      <x:c r="B1219" s="32" t="n">
        <x:v>46082</x:v>
      </x:c>
      <x:c r="C1219" t="str">
        <x:v>Mar 2026</x:v>
      </x:c>
      <x:c r="D1219" t="str">
        <x:v>Forecast</x:v>
      </x:c>
      <x:c r="E1219" t="str">
        <x:v>DB-104</x:v>
      </x:c>
      <x:c r="F1219" t="str">
        <x:v>SunNest Cooling Towel</x:v>
      </x:c>
      <x:c r="G1219" t="str">
        <x:v>Consumable repeat</x:v>
      </x:c>
      <x:c r="H1219" t="str">
        <x:v>Summer peak</x:v>
      </x:c>
      <x:c r="I1219" t="str">
        <x:v>Active</x:v>
      </x:c>
      <x:c r="J1219" t="str">
        <x:v>Wholesale</x:v>
      </x:c>
      <x:c r="K1219" t="str">
        <x:v>Retailer</x:v>
      </x:c>
      <x:c r="L1219" t="str">
        <x:v>All Geographies</x:v>
      </x:c>
      <x:c r="M1219" s="34" t="n">
        <x:v>1259</x:v>
      </x:c>
      <x:c r="N1219" s="28" t="n">
        <x:v>0.018216000000000003</x:v>
      </x:c>
      <x:c r="O1219" s="34" t="n">
        <x:v>23</x:v>
      </x:c>
      <x:c r="P1219" s="34" t="n">
        <x:v>1</x:v>
      </x:c>
      <x:c r="Q1219" s="34" t="n">
        <x:v>23</x:v>
      </x:c>
      <x:c r="R1219" s="33" t="n">
        <x:v>42</x:v>
      </x:c>
      <x:c r="S1219" s="38" t="n">
        <x:v>0.966</x:v>
      </x:c>
      <x:c r="T1219" s="38" t="n">
        <x:v>0.33809999999999996</x:v>
      </x:c>
      <x:c r="U1219" s="38" t="n">
        <x:v>0.031395</x:v>
      </x:c>
      <x:c r="V1219" s="38" t="n">
        <x:v>0.5965050000000001</x:v>
      </x:c>
      <x:c r="W1219" s="38" t="n">
        <x:v>0.34615</x:v>
      </x:c>
      <x:c r="X1219" s="38" t="n">
        <x:v>0</x:v>
      </x:c>
      <x:c r="Y1219" s="38" t="n">
        <x:v>0</x:v>
      </x:c>
      <x:c r="Z1219" s="38" t="n">
        <x:v>0.052899999999999996</x:v>
      </x:c>
      <x:c r="AA1219" s="38" t="n">
        <x:v>0.01955</x:v>
      </x:c>
      <x:c r="AB1219" s="38" t="n">
        <x:v>0.000644</x:v>
      </x:c>
      <x:c r="AC1219" s="38" t="n">
        <x:v>0.17726100000000003</x:v>
      </x:c>
      <x:c r="AD1219" s="28" t="n">
        <x:v>0.29716599190283405</x:v>
      </x:c>
    </x:row>
    <x:row r="1220">
      <x:c r="A1220" s="32" t="n">
        <x:v>46083</x:v>
      </x:c>
      <x:c r="B1220" s="32" t="n">
        <x:v>46082</x:v>
      </x:c>
      <x:c r="C1220" t="str">
        <x:v>Mar 2026</x:v>
      </x:c>
      <x:c r="D1220" t="str">
        <x:v>Forecast</x:v>
      </x:c>
      <x:c r="E1220" t="str">
        <x:v>DB-104</x:v>
      </x:c>
      <x:c r="F1220" t="str">
        <x:v>SunNest Cooling Towel</x:v>
      </x:c>
      <x:c r="G1220" t="str">
        <x:v>Consumable repeat</x:v>
      </x:c>
      <x:c r="H1220" t="str">
        <x:v>Summer peak</x:v>
      </x:c>
      <x:c r="I1220" t="str">
        <x:v>Active</x:v>
      </x:c>
      <x:c r="J1220" t="str">
        <x:v>TikTok Shop</x:v>
      </x:c>
      <x:c r="K1220" t="str">
        <x:v>Social Commerce</x:v>
      </x:c>
      <x:c r="L1220" t="str">
        <x:v>All Geographies</x:v>
      </x:c>
      <x:c r="M1220" s="34" t="n">
        <x:v>840</x:v>
      </x:c>
      <x:c r="N1220" s="28" t="n">
        <x:v>0.0417312</x:v>
      </x:c>
      <x:c r="O1220" s="34" t="n">
        <x:v>35</x:v>
      </x:c>
      <x:c r="P1220" s="34" t="n">
        <x:v>1</x:v>
      </x:c>
      <x:c r="Q1220" s="34" t="n">
        <x:v>35</x:v>
      </x:c>
      <x:c r="R1220" s="33" t="n">
        <x:v>42</x:v>
      </x:c>
      <x:c r="S1220" s="38" t="n">
        <x:v>1.47</x:v>
      </x:c>
      <x:c r="T1220" s="38" t="n">
        <x:v>0.1764</x:v>
      </x:c>
      <x:c r="U1220" s="38" t="n">
        <x:v>0.06468</x:v>
      </x:c>
      <x:c r="V1220" s="38" t="n">
        <x:v>1.22892</x:v>
      </x:c>
      <x:c r="W1220" s="38" t="n">
        <x:v>0.52675</x:v>
      </x:c>
      <x:c r="X1220" s="38" t="n">
        <x:v>0.03563868</x:v>
      </x:c>
      <x:c r="Y1220" s="38" t="n">
        <x:v>0.0737352</x:v>
      </x:c>
      <x:c r="Z1220" s="38" t="n">
        <x:v>0.1785</x:v>
      </x:c>
      <x:c r="AA1220" s="38" t="n">
        <x:v>0.06125</x:v>
      </x:c>
      <x:c r="AB1220" s="38" t="n">
        <x:v>0.00098</x:v>
      </x:c>
      <x:c r="AC1220" s="38" t="n">
        <x:v>0.3520661199999999</x:v>
      </x:c>
      <x:c r="AD1220" s="28" t="n">
        <x:v>0.2864841649578491</x:v>
      </x:c>
    </x:row>
    <x:row r="1221">
      <x:c r="A1221" s="32" t="n">
        <x:v>46083</x:v>
      </x:c>
      <x:c r="B1221" s="32" t="n">
        <x:v>46082</x:v>
      </x:c>
      <x:c r="C1221" t="str">
        <x:v>Mar 2026</x:v>
      </x:c>
      <x:c r="D1221" t="str">
        <x:v>Forecast</x:v>
      </x:c>
      <x:c r="E1221" t="str">
        <x:v>DB-105</x:v>
      </x:c>
      <x:c r="F1221" t="str">
        <x:v>DreamFuel Refill Pack</x:v>
      </x:c>
      <x:c r="G1221" t="str">
        <x:v>Subscription</x:v>
      </x:c>
      <x:c r="H1221" t="str">
        <x:v>None</x:v>
      </x:c>
      <x:c r="I1221" t="str">
        <x:v>Active</x:v>
      </x:c>
      <x:c r="J1221" t="str">
        <x:v>Shopify DTC</x:v>
      </x:c>
      <x:c r="K1221" t="str">
        <x:v>Consumer</x:v>
      </x:c>
      <x:c r="L1221" t="str">
        <x:v>All Geographies</x:v>
      </x:c>
      <x:c r="M1221" s="34" t="n">
        <x:v>5051</x:v>
      </x:c>
      <x:c r="N1221" s="28" t="n">
        <x:v>0.03888</x:v>
      </x:c>
      <x:c r="O1221" s="34" t="n">
        <x:v>196</x:v>
      </x:c>
      <x:c r="P1221" s="34" t="n">
        <x:v>1</x:v>
      </x:c>
      <x:c r="Q1221" s="34" t="n">
        <x:v>196</x:v>
      </x:c>
      <x:c r="R1221" s="33" t="n">
        <x:v>56</x:v>
      </x:c>
      <x:c r="S1221" s="38" t="n">
        <x:v>10.976</x:v>
      </x:c>
      <x:c r="T1221" s="38" t="n">
        <x:v>0.8780800000000001</x:v>
      </x:c>
      <x:c r="U1221" s="38" t="n">
        <x:v>0.2019584</x:v>
      </x:c>
      <x:c r="V1221" s="38" t="n">
        <x:v>9.8959616</x:v>
      </x:c>
      <x:c r="W1221" s="38" t="n">
        <x:v>3.64952</x:v>
      </x:c>
      <x:c r="X1221" s="38" t="n">
        <x:v>0.2869828864</x:v>
      </x:c>
      <x:c r="Y1221" s="38" t="n">
        <x:v>0</x:v>
      </x:c>
      <x:c r="Z1221" s="38" t="n">
        <x:v>0.8134000000000001</x:v>
      </x:c>
      <x:c r="AA1221" s="38" t="n">
        <x:v>0.32339999999999997</x:v>
      </x:c>
      <x:c r="AB1221" s="38" t="n">
        <x:v>0.0007055999999999999</x:v>
      </x:c>
      <x:c r="AC1221" s="38" t="n">
        <x:v>4.8219531136</x:v>
      </x:c>
      <x:c r="AD1221" s="28" t="n">
        <x:v>0.4872647357079478</x:v>
      </x:c>
    </x:row>
    <x:row r="1222">
      <x:c r="A1222" s="32" t="n">
        <x:v>46083</x:v>
      </x:c>
      <x:c r="B1222" s="32" t="n">
        <x:v>46082</x:v>
      </x:c>
      <x:c r="C1222" t="str">
        <x:v>Mar 2026</x:v>
      </x:c>
      <x:c r="D1222" t="str">
        <x:v>Forecast</x:v>
      </x:c>
      <x:c r="E1222" t="str">
        <x:v>DB-105</x:v>
      </x:c>
      <x:c r="F1222" t="str">
        <x:v>DreamFuel Refill Pack</x:v>
      </x:c>
      <x:c r="G1222" t="str">
        <x:v>Subscription</x:v>
      </x:c>
      <x:c r="H1222" t="str">
        <x:v>None</x:v>
      </x:c>
      <x:c r="I1222" t="str">
        <x:v>Active</x:v>
      </x:c>
      <x:c r="J1222" t="str">
        <x:v>Amazon Marketplace</x:v>
      </x:c>
      <x:c r="K1222" t="str">
        <x:v>Marketplace Consumer</x:v>
      </x:c>
      <x:c r="L1222" t="str">
        <x:v>All Geographies</x:v>
      </x:c>
      <x:c r="M1222" s="34" t="n">
        <x:v>2525</x:v>
      </x:c>
      <x:c r="N1222" s="28" t="n">
        <x:v>0.0458784</x:v>
      </x:c>
      <x:c r="O1222" s="34" t="n">
        <x:v>116</x:v>
      </x:c>
      <x:c r="P1222" s="34" t="n">
        <x:v>1</x:v>
      </x:c>
      <x:c r="Q1222" s="34" t="n">
        <x:v>116</x:v>
      </x:c>
      <x:c r="R1222" s="33" t="n">
        <x:v>56</x:v>
      </x:c>
      <x:c r="S1222" s="38" t="n">
        <x:v>6.496</x:v>
      </x:c>
      <x:c r="T1222" s="38" t="n">
        <x:v>0.32480000000000003</x:v>
      </x:c>
      <x:c r="U1222" s="38" t="n">
        <x:v>0.12342400000000002</x:v>
      </x:c>
      <x:c r="V1222" s="38" t="n">
        <x:v>6.047776000000001</x:v>
      </x:c>
      <x:c r="W1222" s="38" t="n">
        <x:v>2.15992</x:v>
      </x:c>
      <x:c r="X1222" s="38" t="n">
        <x:v>0</x:v>
      </x:c>
      <x:c r="Y1222" s="38" t="n">
        <x:v>0.9071664</x:v>
      </x:c>
      <x:c r="Z1222" s="38" t="n">
        <x:v>0.6032000000000001</x:v>
      </x:c>
      <x:c r="AA1222" s="38" t="n">
        <x:v>0.24939999999999998</x:v>
      </x:c>
      <x:c r="AB1222" s="38" t="n">
        <x:v>0.0004176</x:v>
      </x:c>
      <x:c r="AC1222" s="38" t="n">
        <x:v>2.1276720000000005</x:v>
      </x:c>
      <x:c r="AD1222" s="28" t="n">
        <x:v>0.35181064907165877</x:v>
      </x:c>
    </x:row>
    <x:row r="1223">
      <x:c r="A1223" s="32" t="n">
        <x:v>46083</x:v>
      </x:c>
      <x:c r="B1223" s="32" t="n">
        <x:v>46082</x:v>
      </x:c>
      <x:c r="C1223" t="str">
        <x:v>Mar 2026</x:v>
      </x:c>
      <x:c r="D1223" t="str">
        <x:v>Forecast</x:v>
      </x:c>
      <x:c r="E1223" t="str">
        <x:v>DB-105</x:v>
      </x:c>
      <x:c r="F1223" t="str">
        <x:v>DreamFuel Refill Pack</x:v>
      </x:c>
      <x:c r="G1223" t="str">
        <x:v>Subscription</x:v>
      </x:c>
      <x:c r="H1223" t="str">
        <x:v>None</x:v>
      </x:c>
      <x:c r="I1223" t="str">
        <x:v>Active</x:v>
      </x:c>
      <x:c r="J1223" t="str">
        <x:v>Wholesale</x:v>
      </x:c>
      <x:c r="K1223" t="str">
        <x:v>Retailer</x:v>
      </x:c>
      <x:c r="L1223" t="str">
        <x:v>All Geographies</x:v>
      </x:c>
      <x:c r="M1223" s="34" t="n">
        <x:v>1515</x:v>
      </x:c>
      <x:c r="N1223" s="28" t="n">
        <x:v>0.021384000000000004</x:v>
      </x:c>
      <x:c r="O1223" s="34" t="n">
        <x:v>32</x:v>
      </x:c>
      <x:c r="P1223" s="34" t="n">
        <x:v>1</x:v>
      </x:c>
      <x:c r="Q1223" s="34" t="n">
        <x:v>32</x:v>
      </x:c>
      <x:c r="R1223" s="33" t="n">
        <x:v>56</x:v>
      </x:c>
      <x:c r="S1223" s="38" t="n">
        <x:v>1.792</x:v>
      </x:c>
      <x:c r="T1223" s="38" t="n">
        <x:v>0.6272</x:v>
      </x:c>
      <x:c r="U1223" s="38" t="n">
        <x:v>0.023296</x:v>
      </x:c>
      <x:c r="V1223" s="38" t="n">
        <x:v>1.141504</x:v>
      </x:c>
      <x:c r="W1223" s="38" t="n">
        <x:v>0.59584</x:v>
      </x:c>
      <x:c r="X1223" s="38" t="n">
        <x:v>0</x:v>
      </x:c>
      <x:c r="Y1223" s="38" t="n">
        <x:v>0</x:v>
      </x:c>
      <x:c r="Z1223" s="38" t="n">
        <x:v>0.0736</x:v>
      </x:c>
      <x:c r="AA1223" s="38" t="n">
        <x:v>0.0272</x:v>
      </x:c>
      <x:c r="AB1223" s="38" t="n">
        <x:v>0.0001152</x:v>
      </x:c>
      <x:c r="AC1223" s="38" t="n">
        <x:v>0.44474880000000006</x:v>
      </x:c>
      <x:c r="AD1223" s="28" t="n">
        <x:v>0.3896165059430366</x:v>
      </x:c>
    </x:row>
    <x:row r="1224">
      <x:c r="A1224" s="32" t="n">
        <x:v>46083</x:v>
      </x:c>
      <x:c r="B1224" s="32" t="n">
        <x:v>46082</x:v>
      </x:c>
      <x:c r="C1224" t="str">
        <x:v>Mar 2026</x:v>
      </x:c>
      <x:c r="D1224" t="str">
        <x:v>Forecast</x:v>
      </x:c>
      <x:c r="E1224" t="str">
        <x:v>DB-105</x:v>
      </x:c>
      <x:c r="F1224" t="str">
        <x:v>DreamFuel Refill Pack</x:v>
      </x:c>
      <x:c r="G1224" t="str">
        <x:v>Subscription</x:v>
      </x:c>
      <x:c r="H1224" t="str">
        <x:v>None</x:v>
      </x:c>
      <x:c r="I1224" t="str">
        <x:v>Active</x:v>
      </x:c>
      <x:c r="J1224" t="str">
        <x:v>TikTok Shop</x:v>
      </x:c>
      <x:c r="K1224" t="str">
        <x:v>Social Commerce</x:v>
      </x:c>
      <x:c r="L1224" t="str">
        <x:v>All Geographies</x:v>
      </x:c>
      <x:c r="M1224" s="34" t="n">
        <x:v>1010</x:v>
      </x:c>
      <x:c r="N1224" s="28" t="n">
        <x:v>0.0489888</x:v>
      </x:c>
      <x:c r="O1224" s="34" t="n">
        <x:v>49</x:v>
      </x:c>
      <x:c r="P1224" s="34" t="n">
        <x:v>1</x:v>
      </x:c>
      <x:c r="Q1224" s="34" t="n">
        <x:v>49</x:v>
      </x:c>
      <x:c r="R1224" s="33" t="n">
        <x:v>56</x:v>
      </x:c>
      <x:c r="S1224" s="38" t="n">
        <x:v>2.744</x:v>
      </x:c>
      <x:c r="T1224" s="38" t="n">
        <x:v>0.32928</x:v>
      </x:c>
      <x:c r="U1224" s="38" t="n">
        <x:v>0.0482944</x:v>
      </x:c>
      <x:c r="V1224" s="38" t="n">
        <x:v>2.3664256</x:v>
      </x:c>
      <x:c r="W1224" s="38" t="n">
        <x:v>0.91238</x:v>
      </x:c>
      <x:c r="X1224" s="38" t="n">
        <x:v>0.0686263424</x:v>
      </x:c>
      <x:c r="Y1224" s="38" t="n">
        <x:v>0.141985536</x:v>
      </x:c>
      <x:c r="Z1224" s="38" t="n">
        <x:v>0.24989999999999998</x:v>
      </x:c>
      <x:c r="AA1224" s="38" t="n">
        <x:v>0.08575</x:v>
      </x:c>
      <x:c r="AB1224" s="38" t="n">
        <x:v>0.00017639999999999998</x:v>
      </x:c>
      <x:c r="AC1224" s="38" t="n">
        <x:v>0.9076073216</x:v>
      </x:c>
      <x:c r="AD1224" s="28" t="n">
        <x:v>0.3835351179432812</x:v>
      </x:c>
    </x:row>
    <x:row r="1225">
      <x:c r="A1225" s="32" t="n">
        <x:v>46090</x:v>
      </x:c>
      <x:c r="B1225" s="32" t="n">
        <x:v>46082</x:v>
      </x:c>
      <x:c r="C1225" t="str">
        <x:v>Mar 2026</x:v>
      </x:c>
      <x:c r="D1225" t="str">
        <x:v>Forecast</x:v>
      </x:c>
      <x:c r="E1225" t="str">
        <x:v>DB-101</x:v>
      </x:c>
      <x:c r="F1225" t="str">
        <x:v>AeroSip Bottle</x:v>
      </x:c>
      <x:c r="G1225" t="str">
        <x:v>One-time purchase</x:v>
      </x:c>
      <x:c r="H1225" t="str">
        <x:v>None</x:v>
      </x:c>
      <x:c r="I1225" t="str">
        <x:v>Active</x:v>
      </x:c>
      <x:c r="J1225" t="str">
        <x:v>Shopify DTC</x:v>
      </x:c>
      <x:c r="K1225" t="str">
        <x:v>Consumer</x:v>
      </x:c>
      <x:c r="L1225" t="str">
        <x:v>All Geographies</x:v>
      </x:c>
      <x:c r="M1225" s="34" t="n">
        <x:v>7296</x:v>
      </x:c>
      <x:c r="N1225" s="28" t="n">
        <x:v>0.034199999999999994</x:v>
      </x:c>
      <x:c r="O1225" s="34" t="n">
        <x:v>250</x:v>
      </x:c>
      <x:c r="P1225" s="34" t="n">
        <x:v>1</x:v>
      </x:c>
      <x:c r="Q1225" s="34" t="n">
        <x:v>250</x:v>
      </x:c>
      <x:c r="R1225" s="33" t="n">
        <x:v>29</x:v>
      </x:c>
      <x:c r="S1225" s="38" t="n">
        <x:v>7.25</x:v>
      </x:c>
      <x:c r="T1225" s="38" t="n">
        <x:v>0.58</x:v>
      </x:c>
      <x:c r="U1225" s="38" t="n">
        <x:v>0.30015</x:v>
      </x:c>
      <x:c r="V1225" s="38" t="n">
        <x:v>6.36985</x:v>
      </x:c>
      <x:c r="W1225" s="38" t="n">
        <x:v>2.7</x:v>
      </x:c>
      <x:c r="X1225" s="38" t="n">
        <x:v>0.18472565</x:v>
      </x:c>
      <x:c r="Y1225" s="38" t="n">
        <x:v>0</x:v>
      </x:c>
      <x:c r="Z1225" s="38" t="n">
        <x:v>1.0375</x:v>
      </x:c>
      <x:c r="AA1225" s="38" t="n">
        <x:v>0.4125</x:v>
      </x:c>
      <x:c r="AB1225" s="38" t="n">
        <x:v>0.009</x:v>
      </x:c>
      <x:c r="AC1225" s="38" t="n">
        <x:v>2.0261243499999995</x:v>
      </x:c>
      <x:c r="AD1225" s="28" t="n">
        <x:v>0.31808038650831644</x:v>
      </x:c>
    </x:row>
    <x:row r="1226">
      <x:c r="A1226" s="32" t="n">
        <x:v>46090</x:v>
      </x:c>
      <x:c r="B1226" s="32" t="n">
        <x:v>46082</x:v>
      </x:c>
      <x:c r="C1226" t="str">
        <x:v>Mar 2026</x:v>
      </x:c>
      <x:c r="D1226" t="str">
        <x:v>Forecast</x:v>
      </x:c>
      <x:c r="E1226" t="str">
        <x:v>DB-101</x:v>
      </x:c>
      <x:c r="F1226" t="str">
        <x:v>AeroSip Bottle</x:v>
      </x:c>
      <x:c r="G1226" t="str">
        <x:v>One-time purchase</x:v>
      </x:c>
      <x:c r="H1226" t="str">
        <x:v>None</x:v>
      </x:c>
      <x:c r="I1226" t="str">
        <x:v>Active</x:v>
      </x:c>
      <x:c r="J1226" t="str">
        <x:v>Amazon Marketplace</x:v>
      </x:c>
      <x:c r="K1226" t="str">
        <x:v>Marketplace Consumer</x:v>
      </x:c>
      <x:c r="L1226" t="str">
        <x:v>All Geographies</x:v>
      </x:c>
      <x:c r="M1226" s="34" t="n">
        <x:v>3648</x:v>
      </x:c>
      <x:c r="N1226" s="28" t="n">
        <x:v>0.040355999999999996</x:v>
      </x:c>
      <x:c r="O1226" s="34" t="n">
        <x:v>147</x:v>
      </x:c>
      <x:c r="P1226" s="34" t="n">
        <x:v>1</x:v>
      </x:c>
      <x:c r="Q1226" s="34" t="n">
        <x:v>147</x:v>
      </x:c>
      <x:c r="R1226" s="33" t="n">
        <x:v>29</x:v>
      </x:c>
      <x:c r="S1226" s="38" t="n">
        <x:v>4.263</x:v>
      </x:c>
      <x:c r="T1226" s="38" t="n">
        <x:v>0.21315</x:v>
      </x:c>
      <x:c r="U1226" s="38" t="n">
        <x:v>0.18224325</x:v>
      </x:c>
      <x:c r="V1226" s="38" t="n">
        <x:v>3.86760675</x:v>
      </x:c>
      <x:c r="W1226" s="38" t="n">
        <x:v>1.5876000000000001</x:v>
      </x:c>
      <x:c r="X1226" s="38" t="n">
        <x:v>0</x:v>
      </x:c>
      <x:c r="Y1226" s="38" t="n">
        <x:v>0.5801410125</x:v>
      </x:c>
      <x:c r="Z1226" s="38" t="n">
        <x:v>0.7644</x:v>
      </x:c>
      <x:c r="AA1226" s="38" t="n">
        <x:v>0.31605</x:v>
      </x:c>
      <x:c r="AB1226" s="38" t="n">
        <x:v>0.005292</x:v>
      </x:c>
      <x:c r="AC1226" s="38" t="n">
        <x:v>0.6141237375000003</x:v>
      </x:c>
      <x:c r="AD1226" s="28" t="n">
        <x:v>0.15878649955815705</x:v>
      </x:c>
    </x:row>
    <x:row r="1227">
      <x:c r="A1227" s="32" t="n">
        <x:v>46090</x:v>
      </x:c>
      <x:c r="B1227" s="32" t="n">
        <x:v>46082</x:v>
      </x:c>
      <x:c r="C1227" t="str">
        <x:v>Mar 2026</x:v>
      </x:c>
      <x:c r="D1227" t="str">
        <x:v>Forecast</x:v>
      </x:c>
      <x:c r="E1227" t="str">
        <x:v>DB-101</x:v>
      </x:c>
      <x:c r="F1227" t="str">
        <x:v>AeroSip Bottle</x:v>
      </x:c>
      <x:c r="G1227" t="str">
        <x:v>One-time purchase</x:v>
      </x:c>
      <x:c r="H1227" t="str">
        <x:v>None</x:v>
      </x:c>
      <x:c r="I1227" t="str">
        <x:v>Active</x:v>
      </x:c>
      <x:c r="J1227" t="str">
        <x:v>Wholesale</x:v>
      </x:c>
      <x:c r="K1227" t="str">
        <x:v>Retailer</x:v>
      </x:c>
      <x:c r="L1227" t="str">
        <x:v>All Geographies</x:v>
      </x:c>
      <x:c r="M1227" s="34" t="n">
        <x:v>2189</x:v>
      </x:c>
      <x:c r="N1227" s="28" t="n">
        <x:v>0.01881</x:v>
      </x:c>
      <x:c r="O1227" s="34" t="n">
        <x:v>41</x:v>
      </x:c>
      <x:c r="P1227" s="34" t="n">
        <x:v>1</x:v>
      </x:c>
      <x:c r="Q1227" s="34" t="n">
        <x:v>41</x:v>
      </x:c>
      <x:c r="R1227" s="33" t="n">
        <x:v>29</x:v>
      </x:c>
      <x:c r="S1227" s="38" t="n">
        <x:v>1.189</x:v>
      </x:c>
      <x:c r="T1227" s="38" t="n">
        <x:v>0.41615</x:v>
      </x:c>
      <x:c r="U1227" s="38" t="n">
        <x:v>0.034778250000000004</x:v>
      </x:c>
      <x:c r="V1227" s="38" t="n">
        <x:v>0.73807175</x:v>
      </x:c>
      <x:c r="W1227" s="38" t="n">
        <x:v>0.4428</x:v>
      </x:c>
      <x:c r="X1227" s="38" t="n">
        <x:v>0</x:v>
      </x:c>
      <x:c r="Y1227" s="38" t="n">
        <x:v>0</x:v>
      </x:c>
      <x:c r="Z1227" s="38" t="n">
        <x:v>0.0943</x:v>
      </x:c>
      <x:c r="AA1227" s="38" t="n">
        <x:v>0.03485</x:v>
      </x:c>
      <x:c r="AB1227" s="38" t="n">
        <x:v>0.0014759999999999999</x:v>
      </x:c>
      <x:c r="AC1227" s="38" t="n">
        <x:v>0.16464575</x:v>
      </x:c>
      <x:c r="AD1227" s="28" t="n">
        <x:v>0.22307553432305194</x:v>
      </x:c>
    </x:row>
    <x:row r="1228">
      <x:c r="A1228" s="32" t="n">
        <x:v>46090</x:v>
      </x:c>
      <x:c r="B1228" s="32" t="n">
        <x:v>46082</x:v>
      </x:c>
      <x:c r="C1228" t="str">
        <x:v>Mar 2026</x:v>
      </x:c>
      <x:c r="D1228" t="str">
        <x:v>Forecast</x:v>
      </x:c>
      <x:c r="E1228" t="str">
        <x:v>DB-101</x:v>
      </x:c>
      <x:c r="F1228" t="str">
        <x:v>AeroSip Bottle</x:v>
      </x:c>
      <x:c r="G1228" t="str">
        <x:v>One-time purchase</x:v>
      </x:c>
      <x:c r="H1228" t="str">
        <x:v>None</x:v>
      </x:c>
      <x:c r="I1228" t="str">
        <x:v>Active</x:v>
      </x:c>
      <x:c r="J1228" t="str">
        <x:v>TikTok Shop</x:v>
      </x:c>
      <x:c r="K1228" t="str">
        <x:v>Social Commerce</x:v>
      </x:c>
      <x:c r="L1228" t="str">
        <x:v>All Geographies</x:v>
      </x:c>
      <x:c r="M1228" s="34" t="n">
        <x:v>1459</x:v>
      </x:c>
      <x:c r="N1228" s="28" t="n">
        <x:v>0.043092</x:v>
      </x:c>
      <x:c r="O1228" s="34" t="n">
        <x:v>63</x:v>
      </x:c>
      <x:c r="P1228" s="34" t="n">
        <x:v>1</x:v>
      </x:c>
      <x:c r="Q1228" s="34" t="n">
        <x:v>63</x:v>
      </x:c>
      <x:c r="R1228" s="33" t="n">
        <x:v>29</x:v>
      </x:c>
      <x:c r="S1228" s="38" t="n">
        <x:v>1.827</x:v>
      </x:c>
      <x:c r="T1228" s="38" t="n">
        <x:v>0.21924</x:v>
      </x:c>
      <x:c r="U1228" s="38" t="n">
        <x:v>0.07234919999999999</x:v>
      </x:c>
      <x:c r="V1228" s="38" t="n">
        <x:v>1.5354108</x:v>
      </x:c>
      <x:c r="W1228" s="38" t="n">
        <x:v>0.6804000000000001</x:v>
      </x:c>
      <x:c r="X1228" s="38" t="n">
        <x:v>0.044526913200000004</x:v>
      </x:c>
      <x:c r="Y1228" s="38" t="n">
        <x:v>0.09212464799999999</x:v>
      </x:c>
      <x:c r="Z1228" s="38" t="n">
        <x:v>0.3213</x:v>
      </x:c>
      <x:c r="AA1228" s="38" t="n">
        <x:v>0.11025</x:v>
      </x:c>
      <x:c r="AB1228" s="38" t="n">
        <x:v>0.0022679999999999996</x:v>
      </x:c>
      <x:c r="AC1228" s="38" t="n">
        <x:v>0.2845412387999999</x:v>
      </x:c>
      <x:c r="AD1228" s="28" t="n">
        <x:v>0.18531928966501987</x:v>
      </x:c>
    </x:row>
    <x:row r="1229">
      <x:c r="A1229" s="32" t="n">
        <x:v>46090</x:v>
      </x:c>
      <x:c r="B1229" s="32" t="n">
        <x:v>46082</x:v>
      </x:c>
      <x:c r="C1229" t="str">
        <x:v>Mar 2026</x:v>
      </x:c>
      <x:c r="D1229" t="str">
        <x:v>Forecast</x:v>
      </x:c>
      <x:c r="E1229" t="str">
        <x:v>DB-102</x:v>
      </x:c>
      <x:c r="F1229" t="str">
        <x:v>GlowPatch Balm</x:v>
      </x:c>
      <x:c r="G1229" t="str">
        <x:v>Consumable repeat</x:v>
      </x:c>
      <x:c r="H1229" t="str">
        <x:v>None</x:v>
      </x:c>
      <x:c r="I1229" t="str">
        <x:v>Active</x:v>
      </x:c>
      <x:c r="J1229" t="str">
        <x:v>Shopify DTC</x:v>
      </x:c>
      <x:c r="K1229" t="str">
        <x:v>Consumer</x:v>
      </x:c>
      <x:c r="L1229" t="str">
        <x:v>All Geographies</x:v>
      </x:c>
      <x:c r="M1229" s="34" t="n">
        <x:v>5893</x:v>
      </x:c>
      <x:c r="N1229" s="28" t="n">
        <x:v>0.04248</x:v>
      </x:c>
      <x:c r="O1229" s="34" t="n">
        <x:v>250</x:v>
      </x:c>
      <x:c r="P1229" s="34" t="n">
        <x:v>1</x:v>
      </x:c>
      <x:c r="Q1229" s="34" t="n">
        <x:v>250</x:v>
      </x:c>
      <x:c r="R1229" s="33" t="n">
        <x:v>18</x:v>
      </x:c>
      <x:c r="S1229" s="38" t="n">
        <x:v>4.5</x:v>
      </x:c>
      <x:c r="T1229" s="38" t="n">
        <x:v>0.36</x:v>
      </x:c>
      <x:c r="U1229" s="38" t="n">
        <x:v>0.1035</x:v>
      </x:c>
      <x:c r="V1229" s="38" t="n">
        <x:v>4.036499999999999</x:v>
      </x:c>
      <x:c r="W1229" s="38" t="n">
        <x:v>1.3525</x:v>
      </x:c>
      <x:c r="X1229" s="38" t="n">
        <x:v>0.11705849999999998</x:v>
      </x:c>
      <x:c r="Y1229" s="38" t="n">
        <x:v>0</x:v>
      </x:c>
      <x:c r="Z1229" s="38" t="n">
        <x:v>1.0375</x:v>
      </x:c>
      <x:c r="AA1229" s="38" t="n">
        <x:v>0.4125</x:v>
      </x:c>
      <x:c r="AB1229" s="38" t="n">
        <x:v>0.0015</x:v>
      </x:c>
      <x:c r="AC1229" s="38" t="n">
        <x:v>1.1154414999999989</x:v>
      </x:c>
      <x:c r="AD1229" s="28" t="n">
        <x:v>0.2763387835996529</x:v>
      </x:c>
    </x:row>
    <x:row r="1230">
      <x:c r="A1230" s="32" t="n">
        <x:v>46090</x:v>
      </x:c>
      <x:c r="B1230" s="32" t="n">
        <x:v>46082</x:v>
      </x:c>
      <x:c r="C1230" t="str">
        <x:v>Mar 2026</x:v>
      </x:c>
      <x:c r="D1230" t="str">
        <x:v>Forecast</x:v>
      </x:c>
      <x:c r="E1230" t="str">
        <x:v>DB-102</x:v>
      </x:c>
      <x:c r="F1230" t="str">
        <x:v>GlowPatch Balm</x:v>
      </x:c>
      <x:c r="G1230" t="str">
        <x:v>Consumable repeat</x:v>
      </x:c>
      <x:c r="H1230" t="str">
        <x:v>None</x:v>
      </x:c>
      <x:c r="I1230" t="str">
        <x:v>Active</x:v>
      </x:c>
      <x:c r="J1230" t="str">
        <x:v>Amazon Marketplace</x:v>
      </x:c>
      <x:c r="K1230" t="str">
        <x:v>Marketplace Consumer</x:v>
      </x:c>
      <x:c r="L1230" t="str">
        <x:v>All Geographies</x:v>
      </x:c>
      <x:c r="M1230" s="34" t="n">
        <x:v>2946</x:v>
      </x:c>
      <x:c r="N1230" s="28" t="n">
        <x:v>0.050126399999999995</x:v>
      </x:c>
      <x:c r="O1230" s="34" t="n">
        <x:v>148</x:v>
      </x:c>
      <x:c r="P1230" s="34" t="n">
        <x:v>1</x:v>
      </x:c>
      <x:c r="Q1230" s="34" t="n">
        <x:v>148</x:v>
      </x:c>
      <x:c r="R1230" s="33" t="n">
        <x:v>18</x:v>
      </x:c>
      <x:c r="S1230" s="38" t="n">
        <x:v>2.664</x:v>
      </x:c>
      <x:c r="T1230" s="38" t="n">
        <x:v>0.1332</x:v>
      </x:c>
      <x:c r="U1230" s="38" t="n">
        <x:v>0.06327</x:v>
      </x:c>
      <x:c r="V1230" s="38" t="n">
        <x:v>2.46753</x:v>
      </x:c>
      <x:c r="W1230" s="38" t="n">
        <x:v>0.8006800000000001</x:v>
      </x:c>
      <x:c r="X1230" s="38" t="n">
        <x:v>0</x:v>
      </x:c>
      <x:c r="Y1230" s="38" t="n">
        <x:v>0.3701295</x:v>
      </x:c>
      <x:c r="Z1230" s="38" t="n">
        <x:v>0.7696000000000001</x:v>
      </x:c>
      <x:c r="AA1230" s="38" t="n">
        <x:v>0.3182</x:v>
      </x:c>
      <x:c r="AB1230" s="38" t="n">
        <x:v>0.0008879999999999999</x:v>
      </x:c>
      <x:c r="AC1230" s="38" t="n">
        <x:v>0.2080324999999999</x:v>
      </x:c>
      <x:c r="AD1230" s="28" t="n">
        <x:v>0.084307992202729</x:v>
      </x:c>
    </x:row>
    <x:row r="1231">
      <x:c r="A1231" s="32" t="n">
        <x:v>46090</x:v>
      </x:c>
      <x:c r="B1231" s="32" t="n">
        <x:v>46082</x:v>
      </x:c>
      <x:c r="C1231" t="str">
        <x:v>Mar 2026</x:v>
      </x:c>
      <x:c r="D1231" t="str">
        <x:v>Forecast</x:v>
      </x:c>
      <x:c r="E1231" t="str">
        <x:v>DB-102</x:v>
      </x:c>
      <x:c r="F1231" t="str">
        <x:v>GlowPatch Balm</x:v>
      </x:c>
      <x:c r="G1231" t="str">
        <x:v>Consumable repeat</x:v>
      </x:c>
      <x:c r="H1231" t="str">
        <x:v>None</x:v>
      </x:c>
      <x:c r="I1231" t="str">
        <x:v>Active</x:v>
      </x:c>
      <x:c r="J1231" t="str">
        <x:v>Wholesale</x:v>
      </x:c>
      <x:c r="K1231" t="str">
        <x:v>Retailer</x:v>
      </x:c>
      <x:c r="L1231" t="str">
        <x:v>All Geographies</x:v>
      </x:c>
      <x:c r="M1231" s="34" t="n">
        <x:v>1768</x:v>
      </x:c>
      <x:c r="N1231" s="28" t="n">
        <x:v>0.023364</x:v>
      </x:c>
      <x:c r="O1231" s="34" t="n">
        <x:v>41</x:v>
      </x:c>
      <x:c r="P1231" s="34" t="n">
        <x:v>1</x:v>
      </x:c>
      <x:c r="Q1231" s="34" t="n">
        <x:v>41</x:v>
      </x:c>
      <x:c r="R1231" s="33" t="n">
        <x:v>18</x:v>
      </x:c>
      <x:c r="S1231" s="38" t="n">
        <x:v>0.738</x:v>
      </x:c>
      <x:c r="T1231" s="38" t="n">
        <x:v>0.2583</x:v>
      </x:c>
      <x:c r="U1231" s="38" t="n">
        <x:v>0.011992500000000001</x:v>
      </x:c>
      <x:c r="V1231" s="38" t="n">
        <x:v>0.4677075</x:v>
      </x:c>
      <x:c r="W1231" s="38" t="n">
        <x:v>0.22181</x:v>
      </x:c>
      <x:c r="X1231" s="38" t="n">
        <x:v>0</x:v>
      </x:c>
      <x:c r="Y1231" s="38" t="n">
        <x:v>0</x:v>
      </x:c>
      <x:c r="Z1231" s="38" t="n">
        <x:v>0.0943</x:v>
      </x:c>
      <x:c r="AA1231" s="38" t="n">
        <x:v>0.03485</x:v>
      </x:c>
      <x:c r="AB1231" s="38" t="n">
        <x:v>0.000246</x:v>
      </x:c>
      <x:c r="AC1231" s="38" t="n">
        <x:v>0.11650150000000001</x:v>
      </x:c>
      <x:c r="AD1231" s="28" t="n">
        <x:v>0.2490905106289722</x:v>
      </x:c>
    </x:row>
    <x:row r="1232">
      <x:c r="A1232" s="32" t="n">
        <x:v>46090</x:v>
      </x:c>
      <x:c r="B1232" s="32" t="n">
        <x:v>46082</x:v>
      </x:c>
      <x:c r="C1232" t="str">
        <x:v>Mar 2026</x:v>
      </x:c>
      <x:c r="D1232" t="str">
        <x:v>Forecast</x:v>
      </x:c>
      <x:c r="E1232" t="str">
        <x:v>DB-102</x:v>
      </x:c>
      <x:c r="F1232" t="str">
        <x:v>GlowPatch Balm</x:v>
      </x:c>
      <x:c r="G1232" t="str">
        <x:v>Consumable repeat</x:v>
      </x:c>
      <x:c r="H1232" t="str">
        <x:v>None</x:v>
      </x:c>
      <x:c r="I1232" t="str">
        <x:v>Active</x:v>
      </x:c>
      <x:c r="J1232" t="str">
        <x:v>TikTok Shop</x:v>
      </x:c>
      <x:c r="K1232" t="str">
        <x:v>Social Commerce</x:v>
      </x:c>
      <x:c r="L1232" t="str">
        <x:v>All Geographies</x:v>
      </x:c>
      <x:c r="M1232" s="34" t="n">
        <x:v>1179</x:v>
      </x:c>
      <x:c r="N1232" s="28" t="n">
        <x:v>0.0535248</x:v>
      </x:c>
      <x:c r="O1232" s="34" t="n">
        <x:v>63</x:v>
      </x:c>
      <x:c r="P1232" s="34" t="n">
        <x:v>1</x:v>
      </x:c>
      <x:c r="Q1232" s="34" t="n">
        <x:v>63</x:v>
      </x:c>
      <x:c r="R1232" s="33" t="n">
        <x:v>18</x:v>
      </x:c>
      <x:c r="S1232" s="38" t="n">
        <x:v>1.134</x:v>
      </x:c>
      <x:c r="T1232" s="38" t="n">
        <x:v>0.13607999999999998</x:v>
      </x:c>
      <x:c r="U1232" s="38" t="n">
        <x:v>0.024947999999999998</x:v>
      </x:c>
      <x:c r="V1232" s="38" t="n">
        <x:v>0.972972</x:v>
      </x:c>
      <x:c r="W1232" s="38" t="n">
        <x:v>0.34082999999999997</x:v>
      </x:c>
      <x:c r="X1232" s="38" t="n">
        <x:v>0.028216188</x:v>
      </x:c>
      <x:c r="Y1232" s="38" t="n">
        <x:v>0.05837832</x:v>
      </x:c>
      <x:c r="Z1232" s="38" t="n">
        <x:v>0.3213</x:v>
      </x:c>
      <x:c r="AA1232" s="38" t="n">
        <x:v>0.11025</x:v>
      </x:c>
      <x:c r="AB1232" s="38" t="n">
        <x:v>0.000378</x:v>
      </x:c>
      <x:c r="AC1232" s="38" t="n">
        <x:v>0.11361949199999999</x:v>
      </x:c>
      <x:c r="AD1232" s="28" t="n">
        <x:v>0.11677570577570577</x:v>
      </x:c>
    </x:row>
    <x:row r="1233">
      <x:c r="A1233" s="32" t="n">
        <x:v>46090</x:v>
      </x:c>
      <x:c r="B1233" s="32" t="n">
        <x:v>46082</x:v>
      </x:c>
      <x:c r="C1233" t="str">
        <x:v>Mar 2026</x:v>
      </x:c>
      <x:c r="D1233" t="str">
        <x:v>Forecast</x:v>
      </x:c>
      <x:c r="E1233" t="str">
        <x:v>DB-103</x:v>
      </x:c>
      <x:c r="F1233" t="str">
        <x:v>EmberTrail Camp Mug</x:v>
      </x:c>
      <x:c r="G1233" t="str">
        <x:v>One-time purchase</x:v>
      </x:c>
      <x:c r="H1233" t="str">
        <x:v>Winter peak</x:v>
      </x:c>
      <x:c r="I1233" t="str">
        <x:v>Active</x:v>
      </x:c>
      <x:c r="J1233" t="str">
        <x:v>Shopify DTC</x:v>
      </x:c>
      <x:c r="K1233" t="str">
        <x:v>Consumer</x:v>
      </x:c>
      <x:c r="L1233" t="str">
        <x:v>All Geographies</x:v>
      </x:c>
      <x:c r="M1233" s="34" t="n">
        <x:v>4647</x:v>
      </x:c>
      <x:c r="N1233" s="28" t="n">
        <x:v>0.0324</x:v>
      </x:c>
      <x:c r="O1233" s="34" t="n">
        <x:v>151</x:v>
      </x:c>
      <x:c r="P1233" s="34" t="n">
        <x:v>1</x:v>
      </x:c>
      <x:c r="Q1233" s="34" t="n">
        <x:v>151</x:v>
      </x:c>
      <x:c r="R1233" s="33" t="n">
        <x:v>34</x:v>
      </x:c>
      <x:c r="S1233" s="38" t="n">
        <x:v>5.134</x:v>
      </x:c>
      <x:c r="T1233" s="38" t="n">
        <x:v>0.41072000000000003</x:v>
      </x:c>
      <x:c r="U1233" s="38" t="n">
        <x:v>0.2597804</x:v>
      </x:c>
      <x:c r="V1233" s="38" t="n">
        <x:v>4.4634996</x:v>
      </x:c>
      <x:c r="W1233" s="38" t="n">
        <x:v>2.0641700000000003</x:v>
      </x:c>
      <x:c r="X1233" s="38" t="n">
        <x:v>0.1294414884</x:v>
      </x:c>
      <x:c r="Y1233" s="38" t="n">
        <x:v>0</x:v>
      </x:c>
      <x:c r="Z1233" s="38" t="n">
        <x:v>0.62665</x:v>
      </x:c>
      <x:c r="AA1233" s="38" t="n">
        <x:v>0.24914999999999998</x:v>
      </x:c>
      <x:c r="AB1233" s="38" t="n">
        <x:v>0.008456</x:v>
      </x:c>
      <x:c r="AC1233" s="38" t="n">
        <x:v>1.3856321115999992</x:v>
      </x:c>
      <x:c r="AD1233" s="28" t="n">
        <x:v>0.31043625759482524</x:v>
      </x:c>
    </x:row>
    <x:row r="1234">
      <x:c r="A1234" s="32" t="n">
        <x:v>46090</x:v>
      </x:c>
      <x:c r="B1234" s="32" t="n">
        <x:v>46082</x:v>
      </x:c>
      <x:c r="C1234" t="str">
        <x:v>Mar 2026</x:v>
      </x:c>
      <x:c r="D1234" t="str">
        <x:v>Forecast</x:v>
      </x:c>
      <x:c r="E1234" t="str">
        <x:v>DB-103</x:v>
      </x:c>
      <x:c r="F1234" t="str">
        <x:v>EmberTrail Camp Mug</x:v>
      </x:c>
      <x:c r="G1234" t="str">
        <x:v>One-time purchase</x:v>
      </x:c>
      <x:c r="H1234" t="str">
        <x:v>Winter peak</x:v>
      </x:c>
      <x:c r="I1234" t="str">
        <x:v>Active</x:v>
      </x:c>
      <x:c r="J1234" t="str">
        <x:v>Amazon Marketplace</x:v>
      </x:c>
      <x:c r="K1234" t="str">
        <x:v>Marketplace Consumer</x:v>
      </x:c>
      <x:c r="L1234" t="str">
        <x:v>All Geographies</x:v>
      </x:c>
      <x:c r="M1234" s="34" t="n">
        <x:v>2323</x:v>
      </x:c>
      <x:c r="N1234" s="28" t="n">
        <x:v>0.038231999999999995</x:v>
      </x:c>
      <x:c r="O1234" s="34" t="n">
        <x:v>89</x:v>
      </x:c>
      <x:c r="P1234" s="34" t="n">
        <x:v>1</x:v>
      </x:c>
      <x:c r="Q1234" s="34" t="n">
        <x:v>89</x:v>
      </x:c>
      <x:c r="R1234" s="33" t="n">
        <x:v>34</x:v>
      </x:c>
      <x:c r="S1234" s="38" t="n">
        <x:v>3.026</x:v>
      </x:c>
      <x:c r="T1234" s="38" t="n">
        <x:v>0.1513</x:v>
      </x:c>
      <x:c r="U1234" s="38" t="n">
        <x:v>0.15810849999999999</x:v>
      </x:c>
      <x:c r="V1234" s="38" t="n">
        <x:v>2.7165915</x:v>
      </x:c>
      <x:c r="W1234" s="38" t="n">
        <x:v>1.2166299999999999</x:v>
      </x:c>
      <x:c r="X1234" s="38" t="n">
        <x:v>0</x:v>
      </x:c>
      <x:c r="Y1234" s="38" t="n">
        <x:v>0.40748872499999994</x:v>
      </x:c>
      <x:c r="Z1234" s="38" t="n">
        <x:v>0.4628</x:v>
      </x:c>
      <x:c r="AA1234" s="38" t="n">
        <x:v>0.19135</x:v>
      </x:c>
      <x:c r="AB1234" s="38" t="n">
        <x:v>0.004984</x:v>
      </x:c>
      <x:c r="AC1234" s="38" t="n">
        <x:v>0.43333877500000006</x:v>
      </x:c>
      <x:c r="AD1234" s="28" t="n">
        <x:v>0.15951561911314235</x:v>
      </x:c>
    </x:row>
    <x:row r="1235">
      <x:c r="A1235" s="32" t="n">
        <x:v>46090</x:v>
      </x:c>
      <x:c r="B1235" s="32" t="n">
        <x:v>46082</x:v>
      </x:c>
      <x:c r="C1235" t="str">
        <x:v>Mar 2026</x:v>
      </x:c>
      <x:c r="D1235" t="str">
        <x:v>Forecast</x:v>
      </x:c>
      <x:c r="E1235" t="str">
        <x:v>DB-103</x:v>
      </x:c>
      <x:c r="F1235" t="str">
        <x:v>EmberTrail Camp Mug</x:v>
      </x:c>
      <x:c r="G1235" t="str">
        <x:v>One-time purchase</x:v>
      </x:c>
      <x:c r="H1235" t="str">
        <x:v>Winter peak</x:v>
      </x:c>
      <x:c r="I1235" t="str">
        <x:v>Active</x:v>
      </x:c>
      <x:c r="J1235" t="str">
        <x:v>Wholesale</x:v>
      </x:c>
      <x:c r="K1235" t="str">
        <x:v>Retailer</x:v>
      </x:c>
      <x:c r="L1235" t="str">
        <x:v>All Geographies</x:v>
      </x:c>
      <x:c r="M1235" s="34" t="n">
        <x:v>1394</x:v>
      </x:c>
      <x:c r="N1235" s="28" t="n">
        <x:v>0.017820000000000003</x:v>
      </x:c>
      <x:c r="O1235" s="34" t="n">
        <x:v>25</x:v>
      </x:c>
      <x:c r="P1235" s="34" t="n">
        <x:v>1</x:v>
      </x:c>
      <x:c r="Q1235" s="34" t="n">
        <x:v>25</x:v>
      </x:c>
      <x:c r="R1235" s="33" t="n">
        <x:v>34</x:v>
      </x:c>
      <x:c r="S1235" s="38" t="n">
        <x:v>0.85</x:v>
      </x:c>
      <x:c r="T1235" s="38" t="n">
        <x:v>0.2975</x:v>
      </x:c>
      <x:c r="U1235" s="38" t="n">
        <x:v>0.0303875</x:v>
      </x:c>
      <x:c r="V1235" s="38" t="n">
        <x:v>0.5221125</x:v>
      </x:c>
      <x:c r="W1235" s="38" t="n">
        <x:v>0.34175</x:v>
      </x:c>
      <x:c r="X1235" s="38" t="n">
        <x:v>0</x:v>
      </x:c>
      <x:c r="Y1235" s="38" t="n">
        <x:v>0</x:v>
      </x:c>
      <x:c r="Z1235" s="38" t="n">
        <x:v>0.057499999999999996</x:v>
      </x:c>
      <x:c r="AA1235" s="38" t="n">
        <x:v>0.02125</x:v>
      </x:c>
      <x:c r="AB1235" s="38" t="n">
        <x:v>0.0014000000000000002</x:v>
      </x:c>
      <x:c r="AC1235" s="38" t="n">
        <x:v>0.10021249999999998</x:v>
      </x:c>
      <x:c r="AD1235" s="28" t="n">
        <x:v>0.19193660370130955</x:v>
      </x:c>
    </x:row>
    <x:row r="1236">
      <x:c r="A1236" s="32" t="n">
        <x:v>46090</x:v>
      </x:c>
      <x:c r="B1236" s="32" t="n">
        <x:v>46082</x:v>
      </x:c>
      <x:c r="C1236" t="str">
        <x:v>Mar 2026</x:v>
      </x:c>
      <x:c r="D1236" t="str">
        <x:v>Forecast</x:v>
      </x:c>
      <x:c r="E1236" t="str">
        <x:v>DB-103</x:v>
      </x:c>
      <x:c r="F1236" t="str">
        <x:v>EmberTrail Camp Mug</x:v>
      </x:c>
      <x:c r="G1236" t="str">
        <x:v>One-time purchase</x:v>
      </x:c>
      <x:c r="H1236" t="str">
        <x:v>Winter peak</x:v>
      </x:c>
      <x:c r="I1236" t="str">
        <x:v>Active</x:v>
      </x:c>
      <x:c r="J1236" t="str">
        <x:v>TikTok Shop</x:v>
      </x:c>
      <x:c r="K1236" t="str">
        <x:v>Social Commerce</x:v>
      </x:c>
      <x:c r="L1236" t="str">
        <x:v>All Geographies</x:v>
      </x:c>
      <x:c r="M1236" s="34" t="n">
        <x:v>929</x:v>
      </x:c>
      <x:c r="N1236" s="28" t="n">
        <x:v>0.040824</x:v>
      </x:c>
      <x:c r="O1236" s="34" t="n">
        <x:v>38</x:v>
      </x:c>
      <x:c r="P1236" s="34" t="n">
        <x:v>1</x:v>
      </x:c>
      <x:c r="Q1236" s="34" t="n">
        <x:v>38</x:v>
      </x:c>
      <x:c r="R1236" s="33" t="n">
        <x:v>34</x:v>
      </x:c>
      <x:c r="S1236" s="38" t="n">
        <x:v>1.292</x:v>
      </x:c>
      <x:c r="T1236" s="38" t="n">
        <x:v>0.15504</x:v>
      </x:c>
      <x:c r="U1236" s="38" t="n">
        <x:v>0.0625328</x:v>
      </x:c>
      <x:c r="V1236" s="38" t="n">
        <x:v>1.0744272</x:v>
      </x:c>
      <x:c r="W1236" s="38" t="n">
        <x:v>0.51946</x:v>
      </x:c>
      <x:c r="X1236" s="38" t="n">
        <x:v>0.0311583888</x:v>
      </x:c>
      <x:c r="Y1236" s="38" t="n">
        <x:v>0.064465632</x:v>
      </x:c>
      <x:c r="Z1236" s="38" t="n">
        <x:v>0.19379999999999997</x:v>
      </x:c>
      <x:c r="AA1236" s="38" t="n">
        <x:v>0.0665</x:v>
      </x:c>
      <x:c r="AB1236" s="38" t="n">
        <x:v>0.002128</x:v>
      </x:c>
      <x:c r="AC1236" s="38" t="n">
        <x:v>0.19691517919999993</x:v>
      </x:c>
      <x:c r="AD1236" s="28" t="n">
        <x:v>0.1832745663922134</x:v>
      </x:c>
    </x:row>
    <x:row r="1237">
      <x:c r="A1237" s="32" t="n">
        <x:v>46090</x:v>
      </x:c>
      <x:c r="B1237" s="32" t="n">
        <x:v>46082</x:v>
      </x:c>
      <x:c r="C1237" t="str">
        <x:v>Mar 2026</x:v>
      </x:c>
      <x:c r="D1237" t="str">
        <x:v>Forecast</x:v>
      </x:c>
      <x:c r="E1237" t="str">
        <x:v>DB-104</x:v>
      </x:c>
      <x:c r="F1237" t="str">
        <x:v>SunNest Cooling Towel</x:v>
      </x:c>
      <x:c r="G1237" t="str">
        <x:v>Consumable repeat</x:v>
      </x:c>
      <x:c r="H1237" t="str">
        <x:v>Summer peak</x:v>
      </x:c>
      <x:c r="I1237" t="str">
        <x:v>Active</x:v>
      </x:c>
      <x:c r="J1237" t="str">
        <x:v>Shopify DTC</x:v>
      </x:c>
      <x:c r="K1237" t="str">
        <x:v>Consumer</x:v>
      </x:c>
      <x:c r="L1237" t="str">
        <x:v>All Geographies</x:v>
      </x:c>
      <x:c r="M1237" s="34" t="n">
        <x:v>4198</x:v>
      </x:c>
      <x:c r="N1237" s="28" t="n">
        <x:v>0.03312</x:v>
      </x:c>
      <x:c r="O1237" s="34" t="n">
        <x:v>139</x:v>
      </x:c>
      <x:c r="P1237" s="34" t="n">
        <x:v>1</x:v>
      </x:c>
      <x:c r="Q1237" s="34" t="n">
        <x:v>139</x:v>
      </x:c>
      <x:c r="R1237" s="33" t="n">
        <x:v>42</x:v>
      </x:c>
      <x:c r="S1237" s="38" t="n">
        <x:v>5.838</x:v>
      </x:c>
      <x:c r="T1237" s="38" t="n">
        <x:v>0.46704</x:v>
      </x:c>
      <x:c r="U1237" s="38" t="n">
        <x:v>0.268548</x:v>
      </x:c>
      <x:c r="V1237" s="38" t="n">
        <x:v>5.102412</x:v>
      </x:c>
      <x:c r="W1237" s="38" t="n">
        <x:v>2.09195</x:v>
      </x:c>
      <x:c r="X1237" s="38" t="n">
        <x:v>0.14796994800000002</x:v>
      </x:c>
      <x:c r="Y1237" s="38" t="n">
        <x:v>0</x:v>
      </x:c>
      <x:c r="Z1237" s="38" t="n">
        <x:v>0.57685</x:v>
      </x:c>
      <x:c r="AA1237" s="38" t="n">
        <x:v>0.22935</x:v>
      </x:c>
      <x:c r="AB1237" s="38" t="n">
        <x:v>0.003892</x:v>
      </x:c>
      <x:c r="AC1237" s="38" t="n">
        <x:v>2.052400052</x:v>
      </x:c>
      <x:c r="AD1237" s="28" t="n">
        <x:v>0.4022411463441211</x:v>
      </x:c>
    </x:row>
    <x:row r="1238">
      <x:c r="A1238" s="32" t="n">
        <x:v>46090</x:v>
      </x:c>
      <x:c r="B1238" s="32" t="n">
        <x:v>46082</x:v>
      </x:c>
      <x:c r="C1238" t="str">
        <x:v>Mar 2026</x:v>
      </x:c>
      <x:c r="D1238" t="str">
        <x:v>Forecast</x:v>
      </x:c>
      <x:c r="E1238" t="str">
        <x:v>DB-104</x:v>
      </x:c>
      <x:c r="F1238" t="str">
        <x:v>SunNest Cooling Towel</x:v>
      </x:c>
      <x:c r="G1238" t="str">
        <x:v>Consumable repeat</x:v>
      </x:c>
      <x:c r="H1238" t="str">
        <x:v>Summer peak</x:v>
      </x:c>
      <x:c r="I1238" t="str">
        <x:v>Active</x:v>
      </x:c>
      <x:c r="J1238" t="str">
        <x:v>Amazon Marketplace</x:v>
      </x:c>
      <x:c r="K1238" t="str">
        <x:v>Marketplace Consumer</x:v>
      </x:c>
      <x:c r="L1238" t="str">
        <x:v>All Geographies</x:v>
      </x:c>
      <x:c r="M1238" s="34" t="n">
        <x:v>2099</x:v>
      </x:c>
      <x:c r="N1238" s="28" t="n">
        <x:v>0.0390816</x:v>
      </x:c>
      <x:c r="O1238" s="34" t="n">
        <x:v>82</x:v>
      </x:c>
      <x:c r="P1238" s="34" t="n">
        <x:v>1</x:v>
      </x:c>
      <x:c r="Q1238" s="34" t="n">
        <x:v>82</x:v>
      </x:c>
      <x:c r="R1238" s="33" t="n">
        <x:v>42</x:v>
      </x:c>
      <x:c r="S1238" s="38" t="n">
        <x:v>3.444</x:v>
      </x:c>
      <x:c r="T1238" s="38" t="n">
        <x:v>0.17220000000000002</x:v>
      </x:c>
      <x:c r="U1238" s="38" t="n">
        <x:v>0.16359</x:v>
      </x:c>
      <x:c r="V1238" s="38" t="n">
        <x:v>3.1082099999999997</x:v>
      </x:c>
      <x:c r="W1238" s="38" t="n">
        <x:v>1.2341000000000002</x:v>
      </x:c>
      <x:c r="X1238" s="38" t="n">
        <x:v>0</x:v>
      </x:c>
      <x:c r="Y1238" s="38" t="n">
        <x:v>0.4662314999999999</x:v>
      </x:c>
      <x:c r="Z1238" s="38" t="n">
        <x:v>0.42640000000000006</x:v>
      </x:c>
      <x:c r="AA1238" s="38" t="n">
        <x:v>0.17629999999999998</x:v>
      </x:c>
      <x:c r="AB1238" s="38" t="n">
        <x:v>0.002296</x:v>
      </x:c>
      <x:c r="AC1238" s="38" t="n">
        <x:v>0.8028824999999995</x:v>
      </x:c>
      <x:c r="AD1238" s="28" t="n">
        <x:v>0.2583102493074791</x:v>
      </x:c>
    </x:row>
    <x:row r="1239">
      <x:c r="A1239" s="32" t="n">
        <x:v>46090</x:v>
      </x:c>
      <x:c r="B1239" s="32" t="n">
        <x:v>46082</x:v>
      </x:c>
      <x:c r="C1239" t="str">
        <x:v>Mar 2026</x:v>
      </x:c>
      <x:c r="D1239" t="str">
        <x:v>Forecast</x:v>
      </x:c>
      <x:c r="E1239" t="str">
        <x:v>DB-104</x:v>
      </x:c>
      <x:c r="F1239" t="str">
        <x:v>SunNest Cooling Towel</x:v>
      </x:c>
      <x:c r="G1239" t="str">
        <x:v>Consumable repeat</x:v>
      </x:c>
      <x:c r="H1239" t="str">
        <x:v>Summer peak</x:v>
      </x:c>
      <x:c r="I1239" t="str">
        <x:v>Active</x:v>
      </x:c>
      <x:c r="J1239" t="str">
        <x:v>Wholesale</x:v>
      </x:c>
      <x:c r="K1239" t="str">
        <x:v>Retailer</x:v>
      </x:c>
      <x:c r="L1239" t="str">
        <x:v>All Geographies</x:v>
      </x:c>
      <x:c r="M1239" s="34" t="n">
        <x:v>1259</x:v>
      </x:c>
      <x:c r="N1239" s="28" t="n">
        <x:v>0.018216000000000003</x:v>
      </x:c>
      <x:c r="O1239" s="34" t="n">
        <x:v>23</x:v>
      </x:c>
      <x:c r="P1239" s="34" t="n">
        <x:v>1</x:v>
      </x:c>
      <x:c r="Q1239" s="34" t="n">
        <x:v>23</x:v>
      </x:c>
      <x:c r="R1239" s="33" t="n">
        <x:v>42</x:v>
      </x:c>
      <x:c r="S1239" s="38" t="n">
        <x:v>0.966</x:v>
      </x:c>
      <x:c r="T1239" s="38" t="n">
        <x:v>0.33809999999999996</x:v>
      </x:c>
      <x:c r="U1239" s="38" t="n">
        <x:v>0.031395</x:v>
      </x:c>
      <x:c r="V1239" s="38" t="n">
        <x:v>0.5965050000000001</x:v>
      </x:c>
      <x:c r="W1239" s="38" t="n">
        <x:v>0.34615</x:v>
      </x:c>
      <x:c r="X1239" s="38" t="n">
        <x:v>0</x:v>
      </x:c>
      <x:c r="Y1239" s="38" t="n">
        <x:v>0</x:v>
      </x:c>
      <x:c r="Z1239" s="38" t="n">
        <x:v>0.052899999999999996</x:v>
      </x:c>
      <x:c r="AA1239" s="38" t="n">
        <x:v>0.01955</x:v>
      </x:c>
      <x:c r="AB1239" s="38" t="n">
        <x:v>0.000644</x:v>
      </x:c>
      <x:c r="AC1239" s="38" t="n">
        <x:v>0.17726100000000003</x:v>
      </x:c>
      <x:c r="AD1239" s="28" t="n">
        <x:v>0.29716599190283405</x:v>
      </x:c>
    </x:row>
    <x:row r="1240">
      <x:c r="A1240" s="32" t="n">
        <x:v>46090</x:v>
      </x:c>
      <x:c r="B1240" s="32" t="n">
        <x:v>46082</x:v>
      </x:c>
      <x:c r="C1240" t="str">
        <x:v>Mar 2026</x:v>
      </x:c>
      <x:c r="D1240" t="str">
        <x:v>Forecast</x:v>
      </x:c>
      <x:c r="E1240" t="str">
        <x:v>DB-104</x:v>
      </x:c>
      <x:c r="F1240" t="str">
        <x:v>SunNest Cooling Towel</x:v>
      </x:c>
      <x:c r="G1240" t="str">
        <x:v>Consumable repeat</x:v>
      </x:c>
      <x:c r="H1240" t="str">
        <x:v>Summer peak</x:v>
      </x:c>
      <x:c r="I1240" t="str">
        <x:v>Active</x:v>
      </x:c>
      <x:c r="J1240" t="str">
        <x:v>TikTok Shop</x:v>
      </x:c>
      <x:c r="K1240" t="str">
        <x:v>Social Commerce</x:v>
      </x:c>
      <x:c r="L1240" t="str">
        <x:v>All Geographies</x:v>
      </x:c>
      <x:c r="M1240" s="34" t="n">
        <x:v>840</x:v>
      </x:c>
      <x:c r="N1240" s="28" t="n">
        <x:v>0.0417312</x:v>
      </x:c>
      <x:c r="O1240" s="34" t="n">
        <x:v>35</x:v>
      </x:c>
      <x:c r="P1240" s="34" t="n">
        <x:v>1</x:v>
      </x:c>
      <x:c r="Q1240" s="34" t="n">
        <x:v>35</x:v>
      </x:c>
      <x:c r="R1240" s="33" t="n">
        <x:v>42</x:v>
      </x:c>
      <x:c r="S1240" s="38" t="n">
        <x:v>1.47</x:v>
      </x:c>
      <x:c r="T1240" s="38" t="n">
        <x:v>0.1764</x:v>
      </x:c>
      <x:c r="U1240" s="38" t="n">
        <x:v>0.06468</x:v>
      </x:c>
      <x:c r="V1240" s="38" t="n">
        <x:v>1.22892</x:v>
      </x:c>
      <x:c r="W1240" s="38" t="n">
        <x:v>0.52675</x:v>
      </x:c>
      <x:c r="X1240" s="38" t="n">
        <x:v>0.03563868</x:v>
      </x:c>
      <x:c r="Y1240" s="38" t="n">
        <x:v>0.0737352</x:v>
      </x:c>
      <x:c r="Z1240" s="38" t="n">
        <x:v>0.1785</x:v>
      </x:c>
      <x:c r="AA1240" s="38" t="n">
        <x:v>0.06125</x:v>
      </x:c>
      <x:c r="AB1240" s="38" t="n">
        <x:v>0.00098</x:v>
      </x:c>
      <x:c r="AC1240" s="38" t="n">
        <x:v>0.3520661199999999</x:v>
      </x:c>
      <x:c r="AD1240" s="28" t="n">
        <x:v>0.2864841649578491</x:v>
      </x:c>
    </x:row>
    <x:row r="1241">
      <x:c r="A1241" s="32" t="n">
        <x:v>46090</x:v>
      </x:c>
      <x:c r="B1241" s="32" t="n">
        <x:v>46082</x:v>
      </x:c>
      <x:c r="C1241" t="str">
        <x:v>Mar 2026</x:v>
      </x:c>
      <x:c r="D1241" t="str">
        <x:v>Forecast</x:v>
      </x:c>
      <x:c r="E1241" t="str">
        <x:v>DB-105</x:v>
      </x:c>
      <x:c r="F1241" t="str">
        <x:v>DreamFuel Refill Pack</x:v>
      </x:c>
      <x:c r="G1241" t="str">
        <x:v>Subscription</x:v>
      </x:c>
      <x:c r="H1241" t="str">
        <x:v>None</x:v>
      </x:c>
      <x:c r="I1241" t="str">
        <x:v>Active</x:v>
      </x:c>
      <x:c r="J1241" t="str">
        <x:v>Shopify DTC</x:v>
      </x:c>
      <x:c r="K1241" t="str">
        <x:v>Consumer</x:v>
      </x:c>
      <x:c r="L1241" t="str">
        <x:v>All Geographies</x:v>
      </x:c>
      <x:c r="M1241" s="34" t="n">
        <x:v>5051</x:v>
      </x:c>
      <x:c r="N1241" s="28" t="n">
        <x:v>0.03888</x:v>
      </x:c>
      <x:c r="O1241" s="34" t="n">
        <x:v>196</x:v>
      </x:c>
      <x:c r="P1241" s="34" t="n">
        <x:v>1</x:v>
      </x:c>
      <x:c r="Q1241" s="34" t="n">
        <x:v>196</x:v>
      </x:c>
      <x:c r="R1241" s="33" t="n">
        <x:v>56</x:v>
      </x:c>
      <x:c r="S1241" s="38" t="n">
        <x:v>10.976</x:v>
      </x:c>
      <x:c r="T1241" s="38" t="n">
        <x:v>0.8780800000000001</x:v>
      </x:c>
      <x:c r="U1241" s="38" t="n">
        <x:v>0.2019584</x:v>
      </x:c>
      <x:c r="V1241" s="38" t="n">
        <x:v>9.8959616</x:v>
      </x:c>
      <x:c r="W1241" s="38" t="n">
        <x:v>3.64952</x:v>
      </x:c>
      <x:c r="X1241" s="38" t="n">
        <x:v>0.2869828864</x:v>
      </x:c>
      <x:c r="Y1241" s="38" t="n">
        <x:v>0</x:v>
      </x:c>
      <x:c r="Z1241" s="38" t="n">
        <x:v>0.8134000000000001</x:v>
      </x:c>
      <x:c r="AA1241" s="38" t="n">
        <x:v>0.32339999999999997</x:v>
      </x:c>
      <x:c r="AB1241" s="38" t="n">
        <x:v>0.0007055999999999999</x:v>
      </x:c>
      <x:c r="AC1241" s="38" t="n">
        <x:v>4.8219531136</x:v>
      </x:c>
      <x:c r="AD1241" s="28" t="n">
        <x:v>0.4872647357079478</x:v>
      </x:c>
    </x:row>
    <x:row r="1242">
      <x:c r="A1242" s="32" t="n">
        <x:v>46090</x:v>
      </x:c>
      <x:c r="B1242" s="32" t="n">
        <x:v>46082</x:v>
      </x:c>
      <x:c r="C1242" t="str">
        <x:v>Mar 2026</x:v>
      </x:c>
      <x:c r="D1242" t="str">
        <x:v>Forecast</x:v>
      </x:c>
      <x:c r="E1242" t="str">
        <x:v>DB-105</x:v>
      </x:c>
      <x:c r="F1242" t="str">
        <x:v>DreamFuel Refill Pack</x:v>
      </x:c>
      <x:c r="G1242" t="str">
        <x:v>Subscription</x:v>
      </x:c>
      <x:c r="H1242" t="str">
        <x:v>None</x:v>
      </x:c>
      <x:c r="I1242" t="str">
        <x:v>Active</x:v>
      </x:c>
      <x:c r="J1242" t="str">
        <x:v>Amazon Marketplace</x:v>
      </x:c>
      <x:c r="K1242" t="str">
        <x:v>Marketplace Consumer</x:v>
      </x:c>
      <x:c r="L1242" t="str">
        <x:v>All Geographies</x:v>
      </x:c>
      <x:c r="M1242" s="34" t="n">
        <x:v>2525</x:v>
      </x:c>
      <x:c r="N1242" s="28" t="n">
        <x:v>0.0458784</x:v>
      </x:c>
      <x:c r="O1242" s="34" t="n">
        <x:v>116</x:v>
      </x:c>
      <x:c r="P1242" s="34" t="n">
        <x:v>1</x:v>
      </x:c>
      <x:c r="Q1242" s="34" t="n">
        <x:v>116</x:v>
      </x:c>
      <x:c r="R1242" s="33" t="n">
        <x:v>56</x:v>
      </x:c>
      <x:c r="S1242" s="38" t="n">
        <x:v>6.496</x:v>
      </x:c>
      <x:c r="T1242" s="38" t="n">
        <x:v>0.32480000000000003</x:v>
      </x:c>
      <x:c r="U1242" s="38" t="n">
        <x:v>0.12342400000000002</x:v>
      </x:c>
      <x:c r="V1242" s="38" t="n">
        <x:v>6.047776000000001</x:v>
      </x:c>
      <x:c r="W1242" s="38" t="n">
        <x:v>2.15992</x:v>
      </x:c>
      <x:c r="X1242" s="38" t="n">
        <x:v>0</x:v>
      </x:c>
      <x:c r="Y1242" s="38" t="n">
        <x:v>0.9071664</x:v>
      </x:c>
      <x:c r="Z1242" s="38" t="n">
        <x:v>0.6032000000000001</x:v>
      </x:c>
      <x:c r="AA1242" s="38" t="n">
        <x:v>0.24939999999999998</x:v>
      </x:c>
      <x:c r="AB1242" s="38" t="n">
        <x:v>0.0004176</x:v>
      </x:c>
      <x:c r="AC1242" s="38" t="n">
        <x:v>2.1276720000000005</x:v>
      </x:c>
      <x:c r="AD1242" s="28" t="n">
        <x:v>0.35181064907165877</x:v>
      </x:c>
    </x:row>
    <x:row r="1243">
      <x:c r="A1243" s="32" t="n">
        <x:v>46090</x:v>
      </x:c>
      <x:c r="B1243" s="32" t="n">
        <x:v>46082</x:v>
      </x:c>
      <x:c r="C1243" t="str">
        <x:v>Mar 2026</x:v>
      </x:c>
      <x:c r="D1243" t="str">
        <x:v>Forecast</x:v>
      </x:c>
      <x:c r="E1243" t="str">
        <x:v>DB-105</x:v>
      </x:c>
      <x:c r="F1243" t="str">
        <x:v>DreamFuel Refill Pack</x:v>
      </x:c>
      <x:c r="G1243" t="str">
        <x:v>Subscription</x:v>
      </x:c>
      <x:c r="H1243" t="str">
        <x:v>None</x:v>
      </x:c>
      <x:c r="I1243" t="str">
        <x:v>Active</x:v>
      </x:c>
      <x:c r="J1243" t="str">
        <x:v>Wholesale</x:v>
      </x:c>
      <x:c r="K1243" t="str">
        <x:v>Retailer</x:v>
      </x:c>
      <x:c r="L1243" t="str">
        <x:v>All Geographies</x:v>
      </x:c>
      <x:c r="M1243" s="34" t="n">
        <x:v>1515</x:v>
      </x:c>
      <x:c r="N1243" s="28" t="n">
        <x:v>0.021384000000000004</x:v>
      </x:c>
      <x:c r="O1243" s="34" t="n">
        <x:v>32</x:v>
      </x:c>
      <x:c r="P1243" s="34" t="n">
        <x:v>1</x:v>
      </x:c>
      <x:c r="Q1243" s="34" t="n">
        <x:v>32</x:v>
      </x:c>
      <x:c r="R1243" s="33" t="n">
        <x:v>56</x:v>
      </x:c>
      <x:c r="S1243" s="38" t="n">
        <x:v>1.792</x:v>
      </x:c>
      <x:c r="T1243" s="38" t="n">
        <x:v>0.6272</x:v>
      </x:c>
      <x:c r="U1243" s="38" t="n">
        <x:v>0.023296</x:v>
      </x:c>
      <x:c r="V1243" s="38" t="n">
        <x:v>1.141504</x:v>
      </x:c>
      <x:c r="W1243" s="38" t="n">
        <x:v>0.59584</x:v>
      </x:c>
      <x:c r="X1243" s="38" t="n">
        <x:v>0</x:v>
      </x:c>
      <x:c r="Y1243" s="38" t="n">
        <x:v>0</x:v>
      </x:c>
      <x:c r="Z1243" s="38" t="n">
        <x:v>0.0736</x:v>
      </x:c>
      <x:c r="AA1243" s="38" t="n">
        <x:v>0.0272</x:v>
      </x:c>
      <x:c r="AB1243" s="38" t="n">
        <x:v>0.0001152</x:v>
      </x:c>
      <x:c r="AC1243" s="38" t="n">
        <x:v>0.44474880000000006</x:v>
      </x:c>
      <x:c r="AD1243" s="28" t="n">
        <x:v>0.3896165059430366</x:v>
      </x:c>
    </x:row>
    <x:row r="1244">
      <x:c r="A1244" s="32" t="n">
        <x:v>46090</x:v>
      </x:c>
      <x:c r="B1244" s="32" t="n">
        <x:v>46082</x:v>
      </x:c>
      <x:c r="C1244" t="str">
        <x:v>Mar 2026</x:v>
      </x:c>
      <x:c r="D1244" t="str">
        <x:v>Forecast</x:v>
      </x:c>
      <x:c r="E1244" t="str">
        <x:v>DB-105</x:v>
      </x:c>
      <x:c r="F1244" t="str">
        <x:v>DreamFuel Refill Pack</x:v>
      </x:c>
      <x:c r="G1244" t="str">
        <x:v>Subscription</x:v>
      </x:c>
      <x:c r="H1244" t="str">
        <x:v>None</x:v>
      </x:c>
      <x:c r="I1244" t="str">
        <x:v>Active</x:v>
      </x:c>
      <x:c r="J1244" t="str">
        <x:v>TikTok Shop</x:v>
      </x:c>
      <x:c r="K1244" t="str">
        <x:v>Social Commerce</x:v>
      </x:c>
      <x:c r="L1244" t="str">
        <x:v>All Geographies</x:v>
      </x:c>
      <x:c r="M1244" s="34" t="n">
        <x:v>1010</x:v>
      </x:c>
      <x:c r="N1244" s="28" t="n">
        <x:v>0.0489888</x:v>
      </x:c>
      <x:c r="O1244" s="34" t="n">
        <x:v>49</x:v>
      </x:c>
      <x:c r="P1244" s="34" t="n">
        <x:v>1</x:v>
      </x:c>
      <x:c r="Q1244" s="34" t="n">
        <x:v>49</x:v>
      </x:c>
      <x:c r="R1244" s="33" t="n">
        <x:v>56</x:v>
      </x:c>
      <x:c r="S1244" s="38" t="n">
        <x:v>2.744</x:v>
      </x:c>
      <x:c r="T1244" s="38" t="n">
        <x:v>0.32928</x:v>
      </x:c>
      <x:c r="U1244" s="38" t="n">
        <x:v>0.0482944</x:v>
      </x:c>
      <x:c r="V1244" s="38" t="n">
        <x:v>2.3664256</x:v>
      </x:c>
      <x:c r="W1244" s="38" t="n">
        <x:v>0.91238</x:v>
      </x:c>
      <x:c r="X1244" s="38" t="n">
        <x:v>0.0686263424</x:v>
      </x:c>
      <x:c r="Y1244" s="38" t="n">
        <x:v>0.141985536</x:v>
      </x:c>
      <x:c r="Z1244" s="38" t="n">
        <x:v>0.24989999999999998</x:v>
      </x:c>
      <x:c r="AA1244" s="38" t="n">
        <x:v>0.08575</x:v>
      </x:c>
      <x:c r="AB1244" s="38" t="n">
        <x:v>0.00017639999999999998</x:v>
      </x:c>
      <x:c r="AC1244" s="38" t="n">
        <x:v>0.9076073216</x:v>
      </x:c>
      <x:c r="AD1244" s="28" t="n">
        <x:v>0.3835351179432812</x:v>
      </x:c>
    </x:row>
    <x:row r="1245">
      <x:c r="A1245" s="32" t="n">
        <x:v>46097</x:v>
      </x:c>
      <x:c r="B1245" s="32" t="n">
        <x:v>46082</x:v>
      </x:c>
      <x:c r="C1245" t="str">
        <x:v>Mar 2026</x:v>
      </x:c>
      <x:c r="D1245" t="str">
        <x:v>Forecast</x:v>
      </x:c>
      <x:c r="E1245" t="str">
        <x:v>DB-101</x:v>
      </x:c>
      <x:c r="F1245" t="str">
        <x:v>AeroSip Bottle</x:v>
      </x:c>
      <x:c r="G1245" t="str">
        <x:v>One-time purchase</x:v>
      </x:c>
      <x:c r="H1245" t="str">
        <x:v>None</x:v>
      </x:c>
      <x:c r="I1245" t="str">
        <x:v>Active</x:v>
      </x:c>
      <x:c r="J1245" t="str">
        <x:v>Shopify DTC</x:v>
      </x:c>
      <x:c r="K1245" t="str">
        <x:v>Consumer</x:v>
      </x:c>
      <x:c r="L1245" t="str">
        <x:v>All Geographies</x:v>
      </x:c>
      <x:c r="M1245" s="34" t="n">
        <x:v>7296</x:v>
      </x:c>
      <x:c r="N1245" s="28" t="n">
        <x:v>0.034199999999999994</x:v>
      </x:c>
      <x:c r="O1245" s="34" t="n">
        <x:v>250</x:v>
      </x:c>
      <x:c r="P1245" s="34" t="n">
        <x:v>1</x:v>
      </x:c>
      <x:c r="Q1245" s="34" t="n">
        <x:v>250</x:v>
      </x:c>
      <x:c r="R1245" s="33" t="n">
        <x:v>29</x:v>
      </x:c>
      <x:c r="S1245" s="38" t="n">
        <x:v>7.25</x:v>
      </x:c>
      <x:c r="T1245" s="38" t="n">
        <x:v>0.58</x:v>
      </x:c>
      <x:c r="U1245" s="38" t="n">
        <x:v>0.30015</x:v>
      </x:c>
      <x:c r="V1245" s="38" t="n">
        <x:v>6.36985</x:v>
      </x:c>
      <x:c r="W1245" s="38" t="n">
        <x:v>2.7</x:v>
      </x:c>
      <x:c r="X1245" s="38" t="n">
        <x:v>0.18472565</x:v>
      </x:c>
      <x:c r="Y1245" s="38" t="n">
        <x:v>0</x:v>
      </x:c>
      <x:c r="Z1245" s="38" t="n">
        <x:v>1.0375</x:v>
      </x:c>
      <x:c r="AA1245" s="38" t="n">
        <x:v>0.4125</x:v>
      </x:c>
      <x:c r="AB1245" s="38" t="n">
        <x:v>0.009</x:v>
      </x:c>
      <x:c r="AC1245" s="38" t="n">
        <x:v>2.0261243499999995</x:v>
      </x:c>
      <x:c r="AD1245" s="28" t="n">
        <x:v>0.31808038650831644</x:v>
      </x:c>
    </x:row>
    <x:row r="1246">
      <x:c r="A1246" s="32" t="n">
        <x:v>46097</x:v>
      </x:c>
      <x:c r="B1246" s="32" t="n">
        <x:v>46082</x:v>
      </x:c>
      <x:c r="C1246" t="str">
        <x:v>Mar 2026</x:v>
      </x:c>
      <x:c r="D1246" t="str">
        <x:v>Forecast</x:v>
      </x:c>
      <x:c r="E1246" t="str">
        <x:v>DB-101</x:v>
      </x:c>
      <x:c r="F1246" t="str">
        <x:v>AeroSip Bottle</x:v>
      </x:c>
      <x:c r="G1246" t="str">
        <x:v>One-time purchase</x:v>
      </x:c>
      <x:c r="H1246" t="str">
        <x:v>None</x:v>
      </x:c>
      <x:c r="I1246" t="str">
        <x:v>Active</x:v>
      </x:c>
      <x:c r="J1246" t="str">
        <x:v>Amazon Marketplace</x:v>
      </x:c>
      <x:c r="K1246" t="str">
        <x:v>Marketplace Consumer</x:v>
      </x:c>
      <x:c r="L1246" t="str">
        <x:v>All Geographies</x:v>
      </x:c>
      <x:c r="M1246" s="34" t="n">
        <x:v>3648</x:v>
      </x:c>
      <x:c r="N1246" s="28" t="n">
        <x:v>0.040355999999999996</x:v>
      </x:c>
      <x:c r="O1246" s="34" t="n">
        <x:v>147</x:v>
      </x:c>
      <x:c r="P1246" s="34" t="n">
        <x:v>1</x:v>
      </x:c>
      <x:c r="Q1246" s="34" t="n">
        <x:v>147</x:v>
      </x:c>
      <x:c r="R1246" s="33" t="n">
        <x:v>29</x:v>
      </x:c>
      <x:c r="S1246" s="38" t="n">
        <x:v>4.263</x:v>
      </x:c>
      <x:c r="T1246" s="38" t="n">
        <x:v>0.21315</x:v>
      </x:c>
      <x:c r="U1246" s="38" t="n">
        <x:v>0.18224325</x:v>
      </x:c>
      <x:c r="V1246" s="38" t="n">
        <x:v>3.86760675</x:v>
      </x:c>
      <x:c r="W1246" s="38" t="n">
        <x:v>1.5876000000000001</x:v>
      </x:c>
      <x:c r="X1246" s="38" t="n">
        <x:v>0</x:v>
      </x:c>
      <x:c r="Y1246" s="38" t="n">
        <x:v>0.5801410125</x:v>
      </x:c>
      <x:c r="Z1246" s="38" t="n">
        <x:v>0.7644</x:v>
      </x:c>
      <x:c r="AA1246" s="38" t="n">
        <x:v>0.31605</x:v>
      </x:c>
      <x:c r="AB1246" s="38" t="n">
        <x:v>0.005292</x:v>
      </x:c>
      <x:c r="AC1246" s="38" t="n">
        <x:v>0.6141237375000003</x:v>
      </x:c>
      <x:c r="AD1246" s="28" t="n">
        <x:v>0.15878649955815705</x:v>
      </x:c>
    </x:row>
    <x:row r="1247">
      <x:c r="A1247" s="32" t="n">
        <x:v>46097</x:v>
      </x:c>
      <x:c r="B1247" s="32" t="n">
        <x:v>46082</x:v>
      </x:c>
      <x:c r="C1247" t="str">
        <x:v>Mar 2026</x:v>
      </x:c>
      <x:c r="D1247" t="str">
        <x:v>Forecast</x:v>
      </x:c>
      <x:c r="E1247" t="str">
        <x:v>DB-101</x:v>
      </x:c>
      <x:c r="F1247" t="str">
        <x:v>AeroSip Bottle</x:v>
      </x:c>
      <x:c r="G1247" t="str">
        <x:v>One-time purchase</x:v>
      </x:c>
      <x:c r="H1247" t="str">
        <x:v>None</x:v>
      </x:c>
      <x:c r="I1247" t="str">
        <x:v>Active</x:v>
      </x:c>
      <x:c r="J1247" t="str">
        <x:v>Wholesale</x:v>
      </x:c>
      <x:c r="K1247" t="str">
        <x:v>Retailer</x:v>
      </x:c>
      <x:c r="L1247" t="str">
        <x:v>All Geographies</x:v>
      </x:c>
      <x:c r="M1247" s="34" t="n">
        <x:v>2189</x:v>
      </x:c>
      <x:c r="N1247" s="28" t="n">
        <x:v>0.01881</x:v>
      </x:c>
      <x:c r="O1247" s="34" t="n">
        <x:v>41</x:v>
      </x:c>
      <x:c r="P1247" s="34" t="n">
        <x:v>1</x:v>
      </x:c>
      <x:c r="Q1247" s="34" t="n">
        <x:v>41</x:v>
      </x:c>
      <x:c r="R1247" s="33" t="n">
        <x:v>29</x:v>
      </x:c>
      <x:c r="S1247" s="38" t="n">
        <x:v>1.189</x:v>
      </x:c>
      <x:c r="T1247" s="38" t="n">
        <x:v>0.41615</x:v>
      </x:c>
      <x:c r="U1247" s="38" t="n">
        <x:v>0.034778250000000004</x:v>
      </x:c>
      <x:c r="V1247" s="38" t="n">
        <x:v>0.73807175</x:v>
      </x:c>
      <x:c r="W1247" s="38" t="n">
        <x:v>0.4428</x:v>
      </x:c>
      <x:c r="X1247" s="38" t="n">
        <x:v>0</x:v>
      </x:c>
      <x:c r="Y1247" s="38" t="n">
        <x:v>0</x:v>
      </x:c>
      <x:c r="Z1247" s="38" t="n">
        <x:v>0.0943</x:v>
      </x:c>
      <x:c r="AA1247" s="38" t="n">
        <x:v>0.03485</x:v>
      </x:c>
      <x:c r="AB1247" s="38" t="n">
        <x:v>0.0014759999999999999</x:v>
      </x:c>
      <x:c r="AC1247" s="38" t="n">
        <x:v>0.16464575</x:v>
      </x:c>
      <x:c r="AD1247" s="28" t="n">
        <x:v>0.22307553432305194</x:v>
      </x:c>
    </x:row>
    <x:row r="1248">
      <x:c r="A1248" s="32" t="n">
        <x:v>46097</x:v>
      </x:c>
      <x:c r="B1248" s="32" t="n">
        <x:v>46082</x:v>
      </x:c>
      <x:c r="C1248" t="str">
        <x:v>Mar 2026</x:v>
      </x:c>
      <x:c r="D1248" t="str">
        <x:v>Forecast</x:v>
      </x:c>
      <x:c r="E1248" t="str">
        <x:v>DB-101</x:v>
      </x:c>
      <x:c r="F1248" t="str">
        <x:v>AeroSip Bottle</x:v>
      </x:c>
      <x:c r="G1248" t="str">
        <x:v>One-time purchase</x:v>
      </x:c>
      <x:c r="H1248" t="str">
        <x:v>None</x:v>
      </x:c>
      <x:c r="I1248" t="str">
        <x:v>Active</x:v>
      </x:c>
      <x:c r="J1248" t="str">
        <x:v>TikTok Shop</x:v>
      </x:c>
      <x:c r="K1248" t="str">
        <x:v>Social Commerce</x:v>
      </x:c>
      <x:c r="L1248" t="str">
        <x:v>All Geographies</x:v>
      </x:c>
      <x:c r="M1248" s="34" t="n">
        <x:v>1459</x:v>
      </x:c>
      <x:c r="N1248" s="28" t="n">
        <x:v>0.043092</x:v>
      </x:c>
      <x:c r="O1248" s="34" t="n">
        <x:v>63</x:v>
      </x:c>
      <x:c r="P1248" s="34" t="n">
        <x:v>1</x:v>
      </x:c>
      <x:c r="Q1248" s="34" t="n">
        <x:v>63</x:v>
      </x:c>
      <x:c r="R1248" s="33" t="n">
        <x:v>29</x:v>
      </x:c>
      <x:c r="S1248" s="38" t="n">
        <x:v>1.827</x:v>
      </x:c>
      <x:c r="T1248" s="38" t="n">
        <x:v>0.21924</x:v>
      </x:c>
      <x:c r="U1248" s="38" t="n">
        <x:v>0.07234919999999999</x:v>
      </x:c>
      <x:c r="V1248" s="38" t="n">
        <x:v>1.5354108</x:v>
      </x:c>
      <x:c r="W1248" s="38" t="n">
        <x:v>0.6804000000000001</x:v>
      </x:c>
      <x:c r="X1248" s="38" t="n">
        <x:v>0.044526913200000004</x:v>
      </x:c>
      <x:c r="Y1248" s="38" t="n">
        <x:v>0.09212464799999999</x:v>
      </x:c>
      <x:c r="Z1248" s="38" t="n">
        <x:v>0.3213</x:v>
      </x:c>
      <x:c r="AA1248" s="38" t="n">
        <x:v>0.11025</x:v>
      </x:c>
      <x:c r="AB1248" s="38" t="n">
        <x:v>0.0022679999999999996</x:v>
      </x:c>
      <x:c r="AC1248" s="38" t="n">
        <x:v>0.2845412387999999</x:v>
      </x:c>
      <x:c r="AD1248" s="28" t="n">
        <x:v>0.18531928966501987</x:v>
      </x:c>
    </x:row>
    <x:row r="1249">
      <x:c r="A1249" s="32" t="n">
        <x:v>46097</x:v>
      </x:c>
      <x:c r="B1249" s="32" t="n">
        <x:v>46082</x:v>
      </x:c>
      <x:c r="C1249" t="str">
        <x:v>Mar 2026</x:v>
      </x:c>
      <x:c r="D1249" t="str">
        <x:v>Forecast</x:v>
      </x:c>
      <x:c r="E1249" t="str">
        <x:v>DB-102</x:v>
      </x:c>
      <x:c r="F1249" t="str">
        <x:v>GlowPatch Balm</x:v>
      </x:c>
      <x:c r="G1249" t="str">
        <x:v>Consumable repeat</x:v>
      </x:c>
      <x:c r="H1249" t="str">
        <x:v>None</x:v>
      </x:c>
      <x:c r="I1249" t="str">
        <x:v>Active</x:v>
      </x:c>
      <x:c r="J1249" t="str">
        <x:v>Shopify DTC</x:v>
      </x:c>
      <x:c r="K1249" t="str">
        <x:v>Consumer</x:v>
      </x:c>
      <x:c r="L1249" t="str">
        <x:v>All Geographies</x:v>
      </x:c>
      <x:c r="M1249" s="34" t="n">
        <x:v>5893</x:v>
      </x:c>
      <x:c r="N1249" s="28" t="n">
        <x:v>0.04248</x:v>
      </x:c>
      <x:c r="O1249" s="34" t="n">
        <x:v>250</x:v>
      </x:c>
      <x:c r="P1249" s="34" t="n">
        <x:v>1</x:v>
      </x:c>
      <x:c r="Q1249" s="34" t="n">
        <x:v>250</x:v>
      </x:c>
      <x:c r="R1249" s="33" t="n">
        <x:v>18</x:v>
      </x:c>
      <x:c r="S1249" s="38" t="n">
        <x:v>4.5</x:v>
      </x:c>
      <x:c r="T1249" s="38" t="n">
        <x:v>0.36</x:v>
      </x:c>
      <x:c r="U1249" s="38" t="n">
        <x:v>0.1035</x:v>
      </x:c>
      <x:c r="V1249" s="38" t="n">
        <x:v>4.036499999999999</x:v>
      </x:c>
      <x:c r="W1249" s="38" t="n">
        <x:v>1.3525</x:v>
      </x:c>
      <x:c r="X1249" s="38" t="n">
        <x:v>0.11705849999999998</x:v>
      </x:c>
      <x:c r="Y1249" s="38" t="n">
        <x:v>0</x:v>
      </x:c>
      <x:c r="Z1249" s="38" t="n">
        <x:v>1.0375</x:v>
      </x:c>
      <x:c r="AA1249" s="38" t="n">
        <x:v>0.4125</x:v>
      </x:c>
      <x:c r="AB1249" s="38" t="n">
        <x:v>0.0015</x:v>
      </x:c>
      <x:c r="AC1249" s="38" t="n">
        <x:v>1.1154414999999989</x:v>
      </x:c>
      <x:c r="AD1249" s="28" t="n">
        <x:v>0.2763387835996529</x:v>
      </x:c>
    </x:row>
    <x:row r="1250">
      <x:c r="A1250" s="32" t="n">
        <x:v>46097</x:v>
      </x:c>
      <x:c r="B1250" s="32" t="n">
        <x:v>46082</x:v>
      </x:c>
      <x:c r="C1250" t="str">
        <x:v>Mar 2026</x:v>
      </x:c>
      <x:c r="D1250" t="str">
        <x:v>Forecast</x:v>
      </x:c>
      <x:c r="E1250" t="str">
        <x:v>DB-102</x:v>
      </x:c>
      <x:c r="F1250" t="str">
        <x:v>GlowPatch Balm</x:v>
      </x:c>
      <x:c r="G1250" t="str">
        <x:v>Consumable repeat</x:v>
      </x:c>
      <x:c r="H1250" t="str">
        <x:v>None</x:v>
      </x:c>
      <x:c r="I1250" t="str">
        <x:v>Active</x:v>
      </x:c>
      <x:c r="J1250" t="str">
        <x:v>Amazon Marketplace</x:v>
      </x:c>
      <x:c r="K1250" t="str">
        <x:v>Marketplace Consumer</x:v>
      </x:c>
      <x:c r="L1250" t="str">
        <x:v>All Geographies</x:v>
      </x:c>
      <x:c r="M1250" s="34" t="n">
        <x:v>2946</x:v>
      </x:c>
      <x:c r="N1250" s="28" t="n">
        <x:v>0.050126399999999995</x:v>
      </x:c>
      <x:c r="O1250" s="34" t="n">
        <x:v>148</x:v>
      </x:c>
      <x:c r="P1250" s="34" t="n">
        <x:v>1</x:v>
      </x:c>
      <x:c r="Q1250" s="34" t="n">
        <x:v>148</x:v>
      </x:c>
      <x:c r="R1250" s="33" t="n">
        <x:v>18</x:v>
      </x:c>
      <x:c r="S1250" s="38" t="n">
        <x:v>2.664</x:v>
      </x:c>
      <x:c r="T1250" s="38" t="n">
        <x:v>0.1332</x:v>
      </x:c>
      <x:c r="U1250" s="38" t="n">
        <x:v>0.06327</x:v>
      </x:c>
      <x:c r="V1250" s="38" t="n">
        <x:v>2.46753</x:v>
      </x:c>
      <x:c r="W1250" s="38" t="n">
        <x:v>0.8006800000000001</x:v>
      </x:c>
      <x:c r="X1250" s="38" t="n">
        <x:v>0</x:v>
      </x:c>
      <x:c r="Y1250" s="38" t="n">
        <x:v>0.3701295</x:v>
      </x:c>
      <x:c r="Z1250" s="38" t="n">
        <x:v>0.7696000000000001</x:v>
      </x:c>
      <x:c r="AA1250" s="38" t="n">
        <x:v>0.3182</x:v>
      </x:c>
      <x:c r="AB1250" s="38" t="n">
        <x:v>0.0008879999999999999</x:v>
      </x:c>
      <x:c r="AC1250" s="38" t="n">
        <x:v>0.2080324999999999</x:v>
      </x:c>
      <x:c r="AD1250" s="28" t="n">
        <x:v>0.084307992202729</x:v>
      </x:c>
    </x:row>
    <x:row r="1251">
      <x:c r="A1251" s="32" t="n">
        <x:v>46097</x:v>
      </x:c>
      <x:c r="B1251" s="32" t="n">
        <x:v>46082</x:v>
      </x:c>
      <x:c r="C1251" t="str">
        <x:v>Mar 2026</x:v>
      </x:c>
      <x:c r="D1251" t="str">
        <x:v>Forecast</x:v>
      </x:c>
      <x:c r="E1251" t="str">
        <x:v>DB-102</x:v>
      </x:c>
      <x:c r="F1251" t="str">
        <x:v>GlowPatch Balm</x:v>
      </x:c>
      <x:c r="G1251" t="str">
        <x:v>Consumable repeat</x:v>
      </x:c>
      <x:c r="H1251" t="str">
        <x:v>None</x:v>
      </x:c>
      <x:c r="I1251" t="str">
        <x:v>Active</x:v>
      </x:c>
      <x:c r="J1251" t="str">
        <x:v>Wholesale</x:v>
      </x:c>
      <x:c r="K1251" t="str">
        <x:v>Retailer</x:v>
      </x:c>
      <x:c r="L1251" t="str">
        <x:v>All Geographies</x:v>
      </x:c>
      <x:c r="M1251" s="34" t="n">
        <x:v>1768</x:v>
      </x:c>
      <x:c r="N1251" s="28" t="n">
        <x:v>0.023364</x:v>
      </x:c>
      <x:c r="O1251" s="34" t="n">
        <x:v>41</x:v>
      </x:c>
      <x:c r="P1251" s="34" t="n">
        <x:v>1</x:v>
      </x:c>
      <x:c r="Q1251" s="34" t="n">
        <x:v>41</x:v>
      </x:c>
      <x:c r="R1251" s="33" t="n">
        <x:v>18</x:v>
      </x:c>
      <x:c r="S1251" s="38" t="n">
        <x:v>0.738</x:v>
      </x:c>
      <x:c r="T1251" s="38" t="n">
        <x:v>0.2583</x:v>
      </x:c>
      <x:c r="U1251" s="38" t="n">
        <x:v>0.011992500000000001</x:v>
      </x:c>
      <x:c r="V1251" s="38" t="n">
        <x:v>0.4677075</x:v>
      </x:c>
      <x:c r="W1251" s="38" t="n">
        <x:v>0.22181</x:v>
      </x:c>
      <x:c r="X1251" s="38" t="n">
        <x:v>0</x:v>
      </x:c>
      <x:c r="Y1251" s="38" t="n">
        <x:v>0</x:v>
      </x:c>
      <x:c r="Z1251" s="38" t="n">
        <x:v>0.0943</x:v>
      </x:c>
      <x:c r="AA1251" s="38" t="n">
        <x:v>0.03485</x:v>
      </x:c>
      <x:c r="AB1251" s="38" t="n">
        <x:v>0.000246</x:v>
      </x:c>
      <x:c r="AC1251" s="38" t="n">
        <x:v>0.11650150000000001</x:v>
      </x:c>
      <x:c r="AD1251" s="28" t="n">
        <x:v>0.2490905106289722</x:v>
      </x:c>
    </x:row>
    <x:row r="1252">
      <x:c r="A1252" s="32" t="n">
        <x:v>46097</x:v>
      </x:c>
      <x:c r="B1252" s="32" t="n">
        <x:v>46082</x:v>
      </x:c>
      <x:c r="C1252" t="str">
        <x:v>Mar 2026</x:v>
      </x:c>
      <x:c r="D1252" t="str">
        <x:v>Forecast</x:v>
      </x:c>
      <x:c r="E1252" t="str">
        <x:v>DB-102</x:v>
      </x:c>
      <x:c r="F1252" t="str">
        <x:v>GlowPatch Balm</x:v>
      </x:c>
      <x:c r="G1252" t="str">
        <x:v>Consumable repeat</x:v>
      </x:c>
      <x:c r="H1252" t="str">
        <x:v>None</x:v>
      </x:c>
      <x:c r="I1252" t="str">
        <x:v>Active</x:v>
      </x:c>
      <x:c r="J1252" t="str">
        <x:v>TikTok Shop</x:v>
      </x:c>
      <x:c r="K1252" t="str">
        <x:v>Social Commerce</x:v>
      </x:c>
      <x:c r="L1252" t="str">
        <x:v>All Geographies</x:v>
      </x:c>
      <x:c r="M1252" s="34" t="n">
        <x:v>1179</x:v>
      </x:c>
      <x:c r="N1252" s="28" t="n">
        <x:v>0.0535248</x:v>
      </x:c>
      <x:c r="O1252" s="34" t="n">
        <x:v>63</x:v>
      </x:c>
      <x:c r="P1252" s="34" t="n">
        <x:v>1</x:v>
      </x:c>
      <x:c r="Q1252" s="34" t="n">
        <x:v>63</x:v>
      </x:c>
      <x:c r="R1252" s="33" t="n">
        <x:v>18</x:v>
      </x:c>
      <x:c r="S1252" s="38" t="n">
        <x:v>1.134</x:v>
      </x:c>
      <x:c r="T1252" s="38" t="n">
        <x:v>0.13607999999999998</x:v>
      </x:c>
      <x:c r="U1252" s="38" t="n">
        <x:v>0.024947999999999998</x:v>
      </x:c>
      <x:c r="V1252" s="38" t="n">
        <x:v>0.972972</x:v>
      </x:c>
      <x:c r="W1252" s="38" t="n">
        <x:v>0.34082999999999997</x:v>
      </x:c>
      <x:c r="X1252" s="38" t="n">
        <x:v>0.028216188</x:v>
      </x:c>
      <x:c r="Y1252" s="38" t="n">
        <x:v>0.05837832</x:v>
      </x:c>
      <x:c r="Z1252" s="38" t="n">
        <x:v>0.3213</x:v>
      </x:c>
      <x:c r="AA1252" s="38" t="n">
        <x:v>0.11025</x:v>
      </x:c>
      <x:c r="AB1252" s="38" t="n">
        <x:v>0.000378</x:v>
      </x:c>
      <x:c r="AC1252" s="38" t="n">
        <x:v>0.11361949199999999</x:v>
      </x:c>
      <x:c r="AD1252" s="28" t="n">
        <x:v>0.11677570577570577</x:v>
      </x:c>
    </x:row>
    <x:row r="1253">
      <x:c r="A1253" s="32" t="n">
        <x:v>46097</x:v>
      </x:c>
      <x:c r="B1253" s="32" t="n">
        <x:v>46082</x:v>
      </x:c>
      <x:c r="C1253" t="str">
        <x:v>Mar 2026</x:v>
      </x:c>
      <x:c r="D1253" t="str">
        <x:v>Forecast</x:v>
      </x:c>
      <x:c r="E1253" t="str">
        <x:v>DB-103</x:v>
      </x:c>
      <x:c r="F1253" t="str">
        <x:v>EmberTrail Camp Mug</x:v>
      </x:c>
      <x:c r="G1253" t="str">
        <x:v>One-time purchase</x:v>
      </x:c>
      <x:c r="H1253" t="str">
        <x:v>Winter peak</x:v>
      </x:c>
      <x:c r="I1253" t="str">
        <x:v>Active</x:v>
      </x:c>
      <x:c r="J1253" t="str">
        <x:v>Shopify DTC</x:v>
      </x:c>
      <x:c r="K1253" t="str">
        <x:v>Consumer</x:v>
      </x:c>
      <x:c r="L1253" t="str">
        <x:v>All Geographies</x:v>
      </x:c>
      <x:c r="M1253" s="34" t="n">
        <x:v>4647</x:v>
      </x:c>
      <x:c r="N1253" s="28" t="n">
        <x:v>0.0324</x:v>
      </x:c>
      <x:c r="O1253" s="34" t="n">
        <x:v>151</x:v>
      </x:c>
      <x:c r="P1253" s="34" t="n">
        <x:v>1</x:v>
      </x:c>
      <x:c r="Q1253" s="34" t="n">
        <x:v>151</x:v>
      </x:c>
      <x:c r="R1253" s="33" t="n">
        <x:v>34</x:v>
      </x:c>
      <x:c r="S1253" s="38" t="n">
        <x:v>5.134</x:v>
      </x:c>
      <x:c r="T1253" s="38" t="n">
        <x:v>0.41072000000000003</x:v>
      </x:c>
      <x:c r="U1253" s="38" t="n">
        <x:v>0.2597804</x:v>
      </x:c>
      <x:c r="V1253" s="38" t="n">
        <x:v>4.4634996</x:v>
      </x:c>
      <x:c r="W1253" s="38" t="n">
        <x:v>2.0641700000000003</x:v>
      </x:c>
      <x:c r="X1253" s="38" t="n">
        <x:v>0.1294414884</x:v>
      </x:c>
      <x:c r="Y1253" s="38" t="n">
        <x:v>0</x:v>
      </x:c>
      <x:c r="Z1253" s="38" t="n">
        <x:v>0.62665</x:v>
      </x:c>
      <x:c r="AA1253" s="38" t="n">
        <x:v>0.24914999999999998</x:v>
      </x:c>
      <x:c r="AB1253" s="38" t="n">
        <x:v>0.008456</x:v>
      </x:c>
      <x:c r="AC1253" s="38" t="n">
        <x:v>1.3856321115999992</x:v>
      </x:c>
      <x:c r="AD1253" s="28" t="n">
        <x:v>0.31043625759482524</x:v>
      </x:c>
    </x:row>
    <x:row r="1254">
      <x:c r="A1254" s="32" t="n">
        <x:v>46097</x:v>
      </x:c>
      <x:c r="B1254" s="32" t="n">
        <x:v>46082</x:v>
      </x:c>
      <x:c r="C1254" t="str">
        <x:v>Mar 2026</x:v>
      </x:c>
      <x:c r="D1254" t="str">
        <x:v>Forecast</x:v>
      </x:c>
      <x:c r="E1254" t="str">
        <x:v>DB-103</x:v>
      </x:c>
      <x:c r="F1254" t="str">
        <x:v>EmberTrail Camp Mug</x:v>
      </x:c>
      <x:c r="G1254" t="str">
        <x:v>One-time purchase</x:v>
      </x:c>
      <x:c r="H1254" t="str">
        <x:v>Winter peak</x:v>
      </x:c>
      <x:c r="I1254" t="str">
        <x:v>Active</x:v>
      </x:c>
      <x:c r="J1254" t="str">
        <x:v>Amazon Marketplace</x:v>
      </x:c>
      <x:c r="K1254" t="str">
        <x:v>Marketplace Consumer</x:v>
      </x:c>
      <x:c r="L1254" t="str">
        <x:v>All Geographies</x:v>
      </x:c>
      <x:c r="M1254" s="34" t="n">
        <x:v>2323</x:v>
      </x:c>
      <x:c r="N1254" s="28" t="n">
        <x:v>0.038231999999999995</x:v>
      </x:c>
      <x:c r="O1254" s="34" t="n">
        <x:v>89</x:v>
      </x:c>
      <x:c r="P1254" s="34" t="n">
        <x:v>1</x:v>
      </x:c>
      <x:c r="Q1254" s="34" t="n">
        <x:v>89</x:v>
      </x:c>
      <x:c r="R1254" s="33" t="n">
        <x:v>34</x:v>
      </x:c>
      <x:c r="S1254" s="38" t="n">
        <x:v>3.026</x:v>
      </x:c>
      <x:c r="T1254" s="38" t="n">
        <x:v>0.1513</x:v>
      </x:c>
      <x:c r="U1254" s="38" t="n">
        <x:v>0.15810849999999999</x:v>
      </x:c>
      <x:c r="V1254" s="38" t="n">
        <x:v>2.7165915</x:v>
      </x:c>
      <x:c r="W1254" s="38" t="n">
        <x:v>1.2166299999999999</x:v>
      </x:c>
      <x:c r="X1254" s="38" t="n">
        <x:v>0</x:v>
      </x:c>
      <x:c r="Y1254" s="38" t="n">
        <x:v>0.40748872499999994</x:v>
      </x:c>
      <x:c r="Z1254" s="38" t="n">
        <x:v>0.4628</x:v>
      </x:c>
      <x:c r="AA1254" s="38" t="n">
        <x:v>0.19135</x:v>
      </x:c>
      <x:c r="AB1254" s="38" t="n">
        <x:v>0.004984</x:v>
      </x:c>
      <x:c r="AC1254" s="38" t="n">
        <x:v>0.43333877500000006</x:v>
      </x:c>
      <x:c r="AD1254" s="28" t="n">
        <x:v>0.15951561911314235</x:v>
      </x:c>
    </x:row>
    <x:row r="1255">
      <x:c r="A1255" s="32" t="n">
        <x:v>46097</x:v>
      </x:c>
      <x:c r="B1255" s="32" t="n">
        <x:v>46082</x:v>
      </x:c>
      <x:c r="C1255" t="str">
        <x:v>Mar 2026</x:v>
      </x:c>
      <x:c r="D1255" t="str">
        <x:v>Forecast</x:v>
      </x:c>
      <x:c r="E1255" t="str">
        <x:v>DB-103</x:v>
      </x:c>
      <x:c r="F1255" t="str">
        <x:v>EmberTrail Camp Mug</x:v>
      </x:c>
      <x:c r="G1255" t="str">
        <x:v>One-time purchase</x:v>
      </x:c>
      <x:c r="H1255" t="str">
        <x:v>Winter peak</x:v>
      </x:c>
      <x:c r="I1255" t="str">
        <x:v>Active</x:v>
      </x:c>
      <x:c r="J1255" t="str">
        <x:v>Wholesale</x:v>
      </x:c>
      <x:c r="K1255" t="str">
        <x:v>Retailer</x:v>
      </x:c>
      <x:c r="L1255" t="str">
        <x:v>All Geographies</x:v>
      </x:c>
      <x:c r="M1255" s="34" t="n">
        <x:v>1394</x:v>
      </x:c>
      <x:c r="N1255" s="28" t="n">
        <x:v>0.017820000000000003</x:v>
      </x:c>
      <x:c r="O1255" s="34" t="n">
        <x:v>25</x:v>
      </x:c>
      <x:c r="P1255" s="34" t="n">
        <x:v>1</x:v>
      </x:c>
      <x:c r="Q1255" s="34" t="n">
        <x:v>25</x:v>
      </x:c>
      <x:c r="R1255" s="33" t="n">
        <x:v>34</x:v>
      </x:c>
      <x:c r="S1255" s="38" t="n">
        <x:v>0.85</x:v>
      </x:c>
      <x:c r="T1255" s="38" t="n">
        <x:v>0.2975</x:v>
      </x:c>
      <x:c r="U1255" s="38" t="n">
        <x:v>0.0303875</x:v>
      </x:c>
      <x:c r="V1255" s="38" t="n">
        <x:v>0.5221125</x:v>
      </x:c>
      <x:c r="W1255" s="38" t="n">
        <x:v>0.34175</x:v>
      </x:c>
      <x:c r="X1255" s="38" t="n">
        <x:v>0</x:v>
      </x:c>
      <x:c r="Y1255" s="38" t="n">
        <x:v>0</x:v>
      </x:c>
      <x:c r="Z1255" s="38" t="n">
        <x:v>0.057499999999999996</x:v>
      </x:c>
      <x:c r="AA1255" s="38" t="n">
        <x:v>0.02125</x:v>
      </x:c>
      <x:c r="AB1255" s="38" t="n">
        <x:v>0.0014000000000000002</x:v>
      </x:c>
      <x:c r="AC1255" s="38" t="n">
        <x:v>0.10021249999999998</x:v>
      </x:c>
      <x:c r="AD1255" s="28" t="n">
        <x:v>0.19193660370130955</x:v>
      </x:c>
    </x:row>
    <x:row r="1256">
      <x:c r="A1256" s="32" t="n">
        <x:v>46097</x:v>
      </x:c>
      <x:c r="B1256" s="32" t="n">
        <x:v>46082</x:v>
      </x:c>
      <x:c r="C1256" t="str">
        <x:v>Mar 2026</x:v>
      </x:c>
      <x:c r="D1256" t="str">
        <x:v>Forecast</x:v>
      </x:c>
      <x:c r="E1256" t="str">
        <x:v>DB-103</x:v>
      </x:c>
      <x:c r="F1256" t="str">
        <x:v>EmberTrail Camp Mug</x:v>
      </x:c>
      <x:c r="G1256" t="str">
        <x:v>One-time purchase</x:v>
      </x:c>
      <x:c r="H1256" t="str">
        <x:v>Winter peak</x:v>
      </x:c>
      <x:c r="I1256" t="str">
        <x:v>Active</x:v>
      </x:c>
      <x:c r="J1256" t="str">
        <x:v>TikTok Shop</x:v>
      </x:c>
      <x:c r="K1256" t="str">
        <x:v>Social Commerce</x:v>
      </x:c>
      <x:c r="L1256" t="str">
        <x:v>All Geographies</x:v>
      </x:c>
      <x:c r="M1256" s="34" t="n">
        <x:v>929</x:v>
      </x:c>
      <x:c r="N1256" s="28" t="n">
        <x:v>0.040824</x:v>
      </x:c>
      <x:c r="O1256" s="34" t="n">
        <x:v>38</x:v>
      </x:c>
      <x:c r="P1256" s="34" t="n">
        <x:v>1</x:v>
      </x:c>
      <x:c r="Q1256" s="34" t="n">
        <x:v>38</x:v>
      </x:c>
      <x:c r="R1256" s="33" t="n">
        <x:v>34</x:v>
      </x:c>
      <x:c r="S1256" s="38" t="n">
        <x:v>1.292</x:v>
      </x:c>
      <x:c r="T1256" s="38" t="n">
        <x:v>0.15504</x:v>
      </x:c>
      <x:c r="U1256" s="38" t="n">
        <x:v>0.0625328</x:v>
      </x:c>
      <x:c r="V1256" s="38" t="n">
        <x:v>1.0744272</x:v>
      </x:c>
      <x:c r="W1256" s="38" t="n">
        <x:v>0.51946</x:v>
      </x:c>
      <x:c r="X1256" s="38" t="n">
        <x:v>0.0311583888</x:v>
      </x:c>
      <x:c r="Y1256" s="38" t="n">
        <x:v>0.064465632</x:v>
      </x:c>
      <x:c r="Z1256" s="38" t="n">
        <x:v>0.19379999999999997</x:v>
      </x:c>
      <x:c r="AA1256" s="38" t="n">
        <x:v>0.0665</x:v>
      </x:c>
      <x:c r="AB1256" s="38" t="n">
        <x:v>0.002128</x:v>
      </x:c>
      <x:c r="AC1256" s="38" t="n">
        <x:v>0.19691517919999993</x:v>
      </x:c>
      <x:c r="AD1256" s="28" t="n">
        <x:v>0.1832745663922134</x:v>
      </x:c>
    </x:row>
    <x:row r="1257">
      <x:c r="A1257" s="32" t="n">
        <x:v>46097</x:v>
      </x:c>
      <x:c r="B1257" s="32" t="n">
        <x:v>46082</x:v>
      </x:c>
      <x:c r="C1257" t="str">
        <x:v>Mar 2026</x:v>
      </x:c>
      <x:c r="D1257" t="str">
        <x:v>Forecast</x:v>
      </x:c>
      <x:c r="E1257" t="str">
        <x:v>DB-104</x:v>
      </x:c>
      <x:c r="F1257" t="str">
        <x:v>SunNest Cooling Towel</x:v>
      </x:c>
      <x:c r="G1257" t="str">
        <x:v>Consumable repeat</x:v>
      </x:c>
      <x:c r="H1257" t="str">
        <x:v>Summer peak</x:v>
      </x:c>
      <x:c r="I1257" t="str">
        <x:v>Active</x:v>
      </x:c>
      <x:c r="J1257" t="str">
        <x:v>Shopify DTC</x:v>
      </x:c>
      <x:c r="K1257" t="str">
        <x:v>Consumer</x:v>
      </x:c>
      <x:c r="L1257" t="str">
        <x:v>All Geographies</x:v>
      </x:c>
      <x:c r="M1257" s="34" t="n">
        <x:v>4198</x:v>
      </x:c>
      <x:c r="N1257" s="28" t="n">
        <x:v>0.03312</x:v>
      </x:c>
      <x:c r="O1257" s="34" t="n">
        <x:v>139</x:v>
      </x:c>
      <x:c r="P1257" s="34" t="n">
        <x:v>1</x:v>
      </x:c>
      <x:c r="Q1257" s="34" t="n">
        <x:v>139</x:v>
      </x:c>
      <x:c r="R1257" s="33" t="n">
        <x:v>42</x:v>
      </x:c>
      <x:c r="S1257" s="38" t="n">
        <x:v>5.838</x:v>
      </x:c>
      <x:c r="T1257" s="38" t="n">
        <x:v>0.46704</x:v>
      </x:c>
      <x:c r="U1257" s="38" t="n">
        <x:v>0.268548</x:v>
      </x:c>
      <x:c r="V1257" s="38" t="n">
        <x:v>5.102412</x:v>
      </x:c>
      <x:c r="W1257" s="38" t="n">
        <x:v>2.09195</x:v>
      </x:c>
      <x:c r="X1257" s="38" t="n">
        <x:v>0.14796994800000002</x:v>
      </x:c>
      <x:c r="Y1257" s="38" t="n">
        <x:v>0</x:v>
      </x:c>
      <x:c r="Z1257" s="38" t="n">
        <x:v>0.57685</x:v>
      </x:c>
      <x:c r="AA1257" s="38" t="n">
        <x:v>0.22935</x:v>
      </x:c>
      <x:c r="AB1257" s="38" t="n">
        <x:v>0.003892</x:v>
      </x:c>
      <x:c r="AC1257" s="38" t="n">
        <x:v>2.052400052</x:v>
      </x:c>
      <x:c r="AD1257" s="28" t="n">
        <x:v>0.4022411463441211</x:v>
      </x:c>
    </x:row>
    <x:row r="1258">
      <x:c r="A1258" s="32" t="n">
        <x:v>46097</x:v>
      </x:c>
      <x:c r="B1258" s="32" t="n">
        <x:v>46082</x:v>
      </x:c>
      <x:c r="C1258" t="str">
        <x:v>Mar 2026</x:v>
      </x:c>
      <x:c r="D1258" t="str">
        <x:v>Forecast</x:v>
      </x:c>
      <x:c r="E1258" t="str">
        <x:v>DB-104</x:v>
      </x:c>
      <x:c r="F1258" t="str">
        <x:v>SunNest Cooling Towel</x:v>
      </x:c>
      <x:c r="G1258" t="str">
        <x:v>Consumable repeat</x:v>
      </x:c>
      <x:c r="H1258" t="str">
        <x:v>Summer peak</x:v>
      </x:c>
      <x:c r="I1258" t="str">
        <x:v>Active</x:v>
      </x:c>
      <x:c r="J1258" t="str">
        <x:v>Amazon Marketplace</x:v>
      </x:c>
      <x:c r="K1258" t="str">
        <x:v>Marketplace Consumer</x:v>
      </x:c>
      <x:c r="L1258" t="str">
        <x:v>All Geographies</x:v>
      </x:c>
      <x:c r="M1258" s="34" t="n">
        <x:v>2099</x:v>
      </x:c>
      <x:c r="N1258" s="28" t="n">
        <x:v>0.0390816</x:v>
      </x:c>
      <x:c r="O1258" s="34" t="n">
        <x:v>82</x:v>
      </x:c>
      <x:c r="P1258" s="34" t="n">
        <x:v>1</x:v>
      </x:c>
      <x:c r="Q1258" s="34" t="n">
        <x:v>82</x:v>
      </x:c>
      <x:c r="R1258" s="33" t="n">
        <x:v>42</x:v>
      </x:c>
      <x:c r="S1258" s="38" t="n">
        <x:v>3.444</x:v>
      </x:c>
      <x:c r="T1258" s="38" t="n">
        <x:v>0.17220000000000002</x:v>
      </x:c>
      <x:c r="U1258" s="38" t="n">
        <x:v>0.16359</x:v>
      </x:c>
      <x:c r="V1258" s="38" t="n">
        <x:v>3.1082099999999997</x:v>
      </x:c>
      <x:c r="W1258" s="38" t="n">
        <x:v>1.2341000000000002</x:v>
      </x:c>
      <x:c r="X1258" s="38" t="n">
        <x:v>0</x:v>
      </x:c>
      <x:c r="Y1258" s="38" t="n">
        <x:v>0.4662314999999999</x:v>
      </x:c>
      <x:c r="Z1258" s="38" t="n">
        <x:v>0.42640000000000006</x:v>
      </x:c>
      <x:c r="AA1258" s="38" t="n">
        <x:v>0.17629999999999998</x:v>
      </x:c>
      <x:c r="AB1258" s="38" t="n">
        <x:v>0.002296</x:v>
      </x:c>
      <x:c r="AC1258" s="38" t="n">
        <x:v>0.8028824999999995</x:v>
      </x:c>
      <x:c r="AD1258" s="28" t="n">
        <x:v>0.2583102493074791</x:v>
      </x:c>
    </x:row>
    <x:row r="1259">
      <x:c r="A1259" s="32" t="n">
        <x:v>46097</x:v>
      </x:c>
      <x:c r="B1259" s="32" t="n">
        <x:v>46082</x:v>
      </x:c>
      <x:c r="C1259" t="str">
        <x:v>Mar 2026</x:v>
      </x:c>
      <x:c r="D1259" t="str">
        <x:v>Forecast</x:v>
      </x:c>
      <x:c r="E1259" t="str">
        <x:v>DB-104</x:v>
      </x:c>
      <x:c r="F1259" t="str">
        <x:v>SunNest Cooling Towel</x:v>
      </x:c>
      <x:c r="G1259" t="str">
        <x:v>Consumable repeat</x:v>
      </x:c>
      <x:c r="H1259" t="str">
        <x:v>Summer peak</x:v>
      </x:c>
      <x:c r="I1259" t="str">
        <x:v>Active</x:v>
      </x:c>
      <x:c r="J1259" t="str">
        <x:v>Wholesale</x:v>
      </x:c>
      <x:c r="K1259" t="str">
        <x:v>Retailer</x:v>
      </x:c>
      <x:c r="L1259" t="str">
        <x:v>All Geographies</x:v>
      </x:c>
      <x:c r="M1259" s="34" t="n">
        <x:v>1259</x:v>
      </x:c>
      <x:c r="N1259" s="28" t="n">
        <x:v>0.018216000000000003</x:v>
      </x:c>
      <x:c r="O1259" s="34" t="n">
        <x:v>23</x:v>
      </x:c>
      <x:c r="P1259" s="34" t="n">
        <x:v>1</x:v>
      </x:c>
      <x:c r="Q1259" s="34" t="n">
        <x:v>23</x:v>
      </x:c>
      <x:c r="R1259" s="33" t="n">
        <x:v>42</x:v>
      </x:c>
      <x:c r="S1259" s="38" t="n">
        <x:v>0.966</x:v>
      </x:c>
      <x:c r="T1259" s="38" t="n">
        <x:v>0.33809999999999996</x:v>
      </x:c>
      <x:c r="U1259" s="38" t="n">
        <x:v>0.031395</x:v>
      </x:c>
      <x:c r="V1259" s="38" t="n">
        <x:v>0.5965050000000001</x:v>
      </x:c>
      <x:c r="W1259" s="38" t="n">
        <x:v>0.34615</x:v>
      </x:c>
      <x:c r="X1259" s="38" t="n">
        <x:v>0</x:v>
      </x:c>
      <x:c r="Y1259" s="38" t="n">
        <x:v>0</x:v>
      </x:c>
      <x:c r="Z1259" s="38" t="n">
        <x:v>0.052899999999999996</x:v>
      </x:c>
      <x:c r="AA1259" s="38" t="n">
        <x:v>0.01955</x:v>
      </x:c>
      <x:c r="AB1259" s="38" t="n">
        <x:v>0.000644</x:v>
      </x:c>
      <x:c r="AC1259" s="38" t="n">
        <x:v>0.17726100000000003</x:v>
      </x:c>
      <x:c r="AD1259" s="28" t="n">
        <x:v>0.29716599190283405</x:v>
      </x:c>
    </x:row>
    <x:row r="1260">
      <x:c r="A1260" s="32" t="n">
        <x:v>46097</x:v>
      </x:c>
      <x:c r="B1260" s="32" t="n">
        <x:v>46082</x:v>
      </x:c>
      <x:c r="C1260" t="str">
        <x:v>Mar 2026</x:v>
      </x:c>
      <x:c r="D1260" t="str">
        <x:v>Forecast</x:v>
      </x:c>
      <x:c r="E1260" t="str">
        <x:v>DB-104</x:v>
      </x:c>
      <x:c r="F1260" t="str">
        <x:v>SunNest Cooling Towel</x:v>
      </x:c>
      <x:c r="G1260" t="str">
        <x:v>Consumable repeat</x:v>
      </x:c>
      <x:c r="H1260" t="str">
        <x:v>Summer peak</x:v>
      </x:c>
      <x:c r="I1260" t="str">
        <x:v>Active</x:v>
      </x:c>
      <x:c r="J1260" t="str">
        <x:v>TikTok Shop</x:v>
      </x:c>
      <x:c r="K1260" t="str">
        <x:v>Social Commerce</x:v>
      </x:c>
      <x:c r="L1260" t="str">
        <x:v>All Geographies</x:v>
      </x:c>
      <x:c r="M1260" s="34" t="n">
        <x:v>840</x:v>
      </x:c>
      <x:c r="N1260" s="28" t="n">
        <x:v>0.0417312</x:v>
      </x:c>
      <x:c r="O1260" s="34" t="n">
        <x:v>35</x:v>
      </x:c>
      <x:c r="P1260" s="34" t="n">
        <x:v>1</x:v>
      </x:c>
      <x:c r="Q1260" s="34" t="n">
        <x:v>35</x:v>
      </x:c>
      <x:c r="R1260" s="33" t="n">
        <x:v>42</x:v>
      </x:c>
      <x:c r="S1260" s="38" t="n">
        <x:v>1.47</x:v>
      </x:c>
      <x:c r="T1260" s="38" t="n">
        <x:v>0.1764</x:v>
      </x:c>
      <x:c r="U1260" s="38" t="n">
        <x:v>0.06468</x:v>
      </x:c>
      <x:c r="V1260" s="38" t="n">
        <x:v>1.22892</x:v>
      </x:c>
      <x:c r="W1260" s="38" t="n">
        <x:v>0.52675</x:v>
      </x:c>
      <x:c r="X1260" s="38" t="n">
        <x:v>0.03563868</x:v>
      </x:c>
      <x:c r="Y1260" s="38" t="n">
        <x:v>0.0737352</x:v>
      </x:c>
      <x:c r="Z1260" s="38" t="n">
        <x:v>0.1785</x:v>
      </x:c>
      <x:c r="AA1260" s="38" t="n">
        <x:v>0.06125</x:v>
      </x:c>
      <x:c r="AB1260" s="38" t="n">
        <x:v>0.00098</x:v>
      </x:c>
      <x:c r="AC1260" s="38" t="n">
        <x:v>0.3520661199999999</x:v>
      </x:c>
      <x:c r="AD1260" s="28" t="n">
        <x:v>0.2864841649578491</x:v>
      </x:c>
    </x:row>
    <x:row r="1261">
      <x:c r="A1261" s="32" t="n">
        <x:v>46097</x:v>
      </x:c>
      <x:c r="B1261" s="32" t="n">
        <x:v>46082</x:v>
      </x:c>
      <x:c r="C1261" t="str">
        <x:v>Mar 2026</x:v>
      </x:c>
      <x:c r="D1261" t="str">
        <x:v>Forecast</x:v>
      </x:c>
      <x:c r="E1261" t="str">
        <x:v>DB-105</x:v>
      </x:c>
      <x:c r="F1261" t="str">
        <x:v>DreamFuel Refill Pack</x:v>
      </x:c>
      <x:c r="G1261" t="str">
        <x:v>Subscription</x:v>
      </x:c>
      <x:c r="H1261" t="str">
        <x:v>None</x:v>
      </x:c>
      <x:c r="I1261" t="str">
        <x:v>Active</x:v>
      </x:c>
      <x:c r="J1261" t="str">
        <x:v>Shopify DTC</x:v>
      </x:c>
      <x:c r="K1261" t="str">
        <x:v>Consumer</x:v>
      </x:c>
      <x:c r="L1261" t="str">
        <x:v>All Geographies</x:v>
      </x:c>
      <x:c r="M1261" s="34" t="n">
        <x:v>5051</x:v>
      </x:c>
      <x:c r="N1261" s="28" t="n">
        <x:v>0.03888</x:v>
      </x:c>
      <x:c r="O1261" s="34" t="n">
        <x:v>196</x:v>
      </x:c>
      <x:c r="P1261" s="34" t="n">
        <x:v>1</x:v>
      </x:c>
      <x:c r="Q1261" s="34" t="n">
        <x:v>196</x:v>
      </x:c>
      <x:c r="R1261" s="33" t="n">
        <x:v>56</x:v>
      </x:c>
      <x:c r="S1261" s="38" t="n">
        <x:v>10.976</x:v>
      </x:c>
      <x:c r="T1261" s="38" t="n">
        <x:v>0.8780800000000001</x:v>
      </x:c>
      <x:c r="U1261" s="38" t="n">
        <x:v>0.2019584</x:v>
      </x:c>
      <x:c r="V1261" s="38" t="n">
        <x:v>9.8959616</x:v>
      </x:c>
      <x:c r="W1261" s="38" t="n">
        <x:v>3.64952</x:v>
      </x:c>
      <x:c r="X1261" s="38" t="n">
        <x:v>0.2869828864</x:v>
      </x:c>
      <x:c r="Y1261" s="38" t="n">
        <x:v>0</x:v>
      </x:c>
      <x:c r="Z1261" s="38" t="n">
        <x:v>0.8134000000000001</x:v>
      </x:c>
      <x:c r="AA1261" s="38" t="n">
        <x:v>0.32339999999999997</x:v>
      </x:c>
      <x:c r="AB1261" s="38" t="n">
        <x:v>0.0007055999999999999</x:v>
      </x:c>
      <x:c r="AC1261" s="38" t="n">
        <x:v>4.8219531136</x:v>
      </x:c>
      <x:c r="AD1261" s="28" t="n">
        <x:v>0.4872647357079478</x:v>
      </x:c>
    </x:row>
    <x:row r="1262">
      <x:c r="A1262" s="32" t="n">
        <x:v>46097</x:v>
      </x:c>
      <x:c r="B1262" s="32" t="n">
        <x:v>46082</x:v>
      </x:c>
      <x:c r="C1262" t="str">
        <x:v>Mar 2026</x:v>
      </x:c>
      <x:c r="D1262" t="str">
        <x:v>Forecast</x:v>
      </x:c>
      <x:c r="E1262" t="str">
        <x:v>DB-105</x:v>
      </x:c>
      <x:c r="F1262" t="str">
        <x:v>DreamFuel Refill Pack</x:v>
      </x:c>
      <x:c r="G1262" t="str">
        <x:v>Subscription</x:v>
      </x:c>
      <x:c r="H1262" t="str">
        <x:v>None</x:v>
      </x:c>
      <x:c r="I1262" t="str">
        <x:v>Active</x:v>
      </x:c>
      <x:c r="J1262" t="str">
        <x:v>Amazon Marketplace</x:v>
      </x:c>
      <x:c r="K1262" t="str">
        <x:v>Marketplace Consumer</x:v>
      </x:c>
      <x:c r="L1262" t="str">
        <x:v>All Geographies</x:v>
      </x:c>
      <x:c r="M1262" s="34" t="n">
        <x:v>2525</x:v>
      </x:c>
      <x:c r="N1262" s="28" t="n">
        <x:v>0.0458784</x:v>
      </x:c>
      <x:c r="O1262" s="34" t="n">
        <x:v>116</x:v>
      </x:c>
      <x:c r="P1262" s="34" t="n">
        <x:v>1</x:v>
      </x:c>
      <x:c r="Q1262" s="34" t="n">
        <x:v>116</x:v>
      </x:c>
      <x:c r="R1262" s="33" t="n">
        <x:v>56</x:v>
      </x:c>
      <x:c r="S1262" s="38" t="n">
        <x:v>6.496</x:v>
      </x:c>
      <x:c r="T1262" s="38" t="n">
        <x:v>0.32480000000000003</x:v>
      </x:c>
      <x:c r="U1262" s="38" t="n">
        <x:v>0.12342400000000002</x:v>
      </x:c>
      <x:c r="V1262" s="38" t="n">
        <x:v>6.047776000000001</x:v>
      </x:c>
      <x:c r="W1262" s="38" t="n">
        <x:v>2.15992</x:v>
      </x:c>
      <x:c r="X1262" s="38" t="n">
        <x:v>0</x:v>
      </x:c>
      <x:c r="Y1262" s="38" t="n">
        <x:v>0.9071664</x:v>
      </x:c>
      <x:c r="Z1262" s="38" t="n">
        <x:v>0.6032000000000001</x:v>
      </x:c>
      <x:c r="AA1262" s="38" t="n">
        <x:v>0.24939999999999998</x:v>
      </x:c>
      <x:c r="AB1262" s="38" t="n">
        <x:v>0.0004176</x:v>
      </x:c>
      <x:c r="AC1262" s="38" t="n">
        <x:v>2.1276720000000005</x:v>
      </x:c>
      <x:c r="AD1262" s="28" t="n">
        <x:v>0.35181064907165877</x:v>
      </x:c>
    </x:row>
    <x:row r="1263">
      <x:c r="A1263" s="32" t="n">
        <x:v>46097</x:v>
      </x:c>
      <x:c r="B1263" s="32" t="n">
        <x:v>46082</x:v>
      </x:c>
      <x:c r="C1263" t="str">
        <x:v>Mar 2026</x:v>
      </x:c>
      <x:c r="D1263" t="str">
        <x:v>Forecast</x:v>
      </x:c>
      <x:c r="E1263" t="str">
        <x:v>DB-105</x:v>
      </x:c>
      <x:c r="F1263" t="str">
        <x:v>DreamFuel Refill Pack</x:v>
      </x:c>
      <x:c r="G1263" t="str">
        <x:v>Subscription</x:v>
      </x:c>
      <x:c r="H1263" t="str">
        <x:v>None</x:v>
      </x:c>
      <x:c r="I1263" t="str">
        <x:v>Active</x:v>
      </x:c>
      <x:c r="J1263" t="str">
        <x:v>Wholesale</x:v>
      </x:c>
      <x:c r="K1263" t="str">
        <x:v>Retailer</x:v>
      </x:c>
      <x:c r="L1263" t="str">
        <x:v>All Geographies</x:v>
      </x:c>
      <x:c r="M1263" s="34" t="n">
        <x:v>1515</x:v>
      </x:c>
      <x:c r="N1263" s="28" t="n">
        <x:v>0.021384000000000004</x:v>
      </x:c>
      <x:c r="O1263" s="34" t="n">
        <x:v>32</x:v>
      </x:c>
      <x:c r="P1263" s="34" t="n">
        <x:v>1</x:v>
      </x:c>
      <x:c r="Q1263" s="34" t="n">
        <x:v>32</x:v>
      </x:c>
      <x:c r="R1263" s="33" t="n">
        <x:v>56</x:v>
      </x:c>
      <x:c r="S1263" s="38" t="n">
        <x:v>1.792</x:v>
      </x:c>
      <x:c r="T1263" s="38" t="n">
        <x:v>0.6272</x:v>
      </x:c>
      <x:c r="U1263" s="38" t="n">
        <x:v>0.023296</x:v>
      </x:c>
      <x:c r="V1263" s="38" t="n">
        <x:v>1.141504</x:v>
      </x:c>
      <x:c r="W1263" s="38" t="n">
        <x:v>0.59584</x:v>
      </x:c>
      <x:c r="X1263" s="38" t="n">
        <x:v>0</x:v>
      </x:c>
      <x:c r="Y1263" s="38" t="n">
        <x:v>0</x:v>
      </x:c>
      <x:c r="Z1263" s="38" t="n">
        <x:v>0.0736</x:v>
      </x:c>
      <x:c r="AA1263" s="38" t="n">
        <x:v>0.0272</x:v>
      </x:c>
      <x:c r="AB1263" s="38" t="n">
        <x:v>0.0001152</x:v>
      </x:c>
      <x:c r="AC1263" s="38" t="n">
        <x:v>0.44474880000000006</x:v>
      </x:c>
      <x:c r="AD1263" s="28" t="n">
        <x:v>0.3896165059430366</x:v>
      </x:c>
    </x:row>
    <x:row r="1264">
      <x:c r="A1264" s="32" t="n">
        <x:v>46097</x:v>
      </x:c>
      <x:c r="B1264" s="32" t="n">
        <x:v>46082</x:v>
      </x:c>
      <x:c r="C1264" t="str">
        <x:v>Mar 2026</x:v>
      </x:c>
      <x:c r="D1264" t="str">
        <x:v>Forecast</x:v>
      </x:c>
      <x:c r="E1264" t="str">
        <x:v>DB-105</x:v>
      </x:c>
      <x:c r="F1264" t="str">
        <x:v>DreamFuel Refill Pack</x:v>
      </x:c>
      <x:c r="G1264" t="str">
        <x:v>Subscription</x:v>
      </x:c>
      <x:c r="H1264" t="str">
        <x:v>None</x:v>
      </x:c>
      <x:c r="I1264" t="str">
        <x:v>Active</x:v>
      </x:c>
      <x:c r="J1264" t="str">
        <x:v>TikTok Shop</x:v>
      </x:c>
      <x:c r="K1264" t="str">
        <x:v>Social Commerce</x:v>
      </x:c>
      <x:c r="L1264" t="str">
        <x:v>All Geographies</x:v>
      </x:c>
      <x:c r="M1264" s="34" t="n">
        <x:v>1010</x:v>
      </x:c>
      <x:c r="N1264" s="28" t="n">
        <x:v>0.0489888</x:v>
      </x:c>
      <x:c r="O1264" s="34" t="n">
        <x:v>49</x:v>
      </x:c>
      <x:c r="P1264" s="34" t="n">
        <x:v>1</x:v>
      </x:c>
      <x:c r="Q1264" s="34" t="n">
        <x:v>49</x:v>
      </x:c>
      <x:c r="R1264" s="33" t="n">
        <x:v>56</x:v>
      </x:c>
      <x:c r="S1264" s="38" t="n">
        <x:v>2.744</x:v>
      </x:c>
      <x:c r="T1264" s="38" t="n">
        <x:v>0.32928</x:v>
      </x:c>
      <x:c r="U1264" s="38" t="n">
        <x:v>0.0482944</x:v>
      </x:c>
      <x:c r="V1264" s="38" t="n">
        <x:v>2.3664256</x:v>
      </x:c>
      <x:c r="W1264" s="38" t="n">
        <x:v>0.91238</x:v>
      </x:c>
      <x:c r="X1264" s="38" t="n">
        <x:v>0.0686263424</x:v>
      </x:c>
      <x:c r="Y1264" s="38" t="n">
        <x:v>0.141985536</x:v>
      </x:c>
      <x:c r="Z1264" s="38" t="n">
        <x:v>0.24989999999999998</x:v>
      </x:c>
      <x:c r="AA1264" s="38" t="n">
        <x:v>0.08575</x:v>
      </x:c>
      <x:c r="AB1264" s="38" t="n">
        <x:v>0.00017639999999999998</x:v>
      </x:c>
      <x:c r="AC1264" s="38" t="n">
        <x:v>0.9076073216</x:v>
      </x:c>
      <x:c r="AD1264" s="28" t="n">
        <x:v>0.3835351179432812</x:v>
      </x:c>
    </x:row>
    <x:row r="1265">
      <x:c r="A1265" s="32" t="n">
        <x:v>46104</x:v>
      </x:c>
      <x:c r="B1265" s="32" t="n">
        <x:v>46082</x:v>
      </x:c>
      <x:c r="C1265" t="str">
        <x:v>Mar 2026</x:v>
      </x:c>
      <x:c r="D1265" t="str">
        <x:v>Forecast</x:v>
      </x:c>
      <x:c r="E1265" t="str">
        <x:v>DB-101</x:v>
      </x:c>
      <x:c r="F1265" t="str">
        <x:v>AeroSip Bottle</x:v>
      </x:c>
      <x:c r="G1265" t="str">
        <x:v>One-time purchase</x:v>
      </x:c>
      <x:c r="H1265" t="str">
        <x:v>None</x:v>
      </x:c>
      <x:c r="I1265" t="str">
        <x:v>Active</x:v>
      </x:c>
      <x:c r="J1265" t="str">
        <x:v>Shopify DTC</x:v>
      </x:c>
      <x:c r="K1265" t="str">
        <x:v>Consumer</x:v>
      </x:c>
      <x:c r="L1265" t="str">
        <x:v>All Geographies</x:v>
      </x:c>
      <x:c r="M1265" s="34" t="n">
        <x:v>7296</x:v>
      </x:c>
      <x:c r="N1265" s="28" t="n">
        <x:v>0.034199999999999994</x:v>
      </x:c>
      <x:c r="O1265" s="34" t="n">
        <x:v>250</x:v>
      </x:c>
      <x:c r="P1265" s="34" t="n">
        <x:v>1</x:v>
      </x:c>
      <x:c r="Q1265" s="34" t="n">
        <x:v>250</x:v>
      </x:c>
      <x:c r="R1265" s="33" t="n">
        <x:v>29</x:v>
      </x:c>
      <x:c r="S1265" s="38" t="n">
        <x:v>7.25</x:v>
      </x:c>
      <x:c r="T1265" s="38" t="n">
        <x:v>0.58</x:v>
      </x:c>
      <x:c r="U1265" s="38" t="n">
        <x:v>0.30015</x:v>
      </x:c>
      <x:c r="V1265" s="38" t="n">
        <x:v>6.36985</x:v>
      </x:c>
      <x:c r="W1265" s="38" t="n">
        <x:v>2.7</x:v>
      </x:c>
      <x:c r="X1265" s="38" t="n">
        <x:v>0.18472565</x:v>
      </x:c>
      <x:c r="Y1265" s="38" t="n">
        <x:v>0</x:v>
      </x:c>
      <x:c r="Z1265" s="38" t="n">
        <x:v>1.0375</x:v>
      </x:c>
      <x:c r="AA1265" s="38" t="n">
        <x:v>0.4125</x:v>
      </x:c>
      <x:c r="AB1265" s="38" t="n">
        <x:v>0.009</x:v>
      </x:c>
      <x:c r="AC1265" s="38" t="n">
        <x:v>2.0261243499999995</x:v>
      </x:c>
      <x:c r="AD1265" s="28" t="n">
        <x:v>0.31808038650831644</x:v>
      </x:c>
    </x:row>
    <x:row r="1266">
      <x:c r="A1266" s="32" t="n">
        <x:v>46104</x:v>
      </x:c>
      <x:c r="B1266" s="32" t="n">
        <x:v>46082</x:v>
      </x:c>
      <x:c r="C1266" t="str">
        <x:v>Mar 2026</x:v>
      </x:c>
      <x:c r="D1266" t="str">
        <x:v>Forecast</x:v>
      </x:c>
      <x:c r="E1266" t="str">
        <x:v>DB-101</x:v>
      </x:c>
      <x:c r="F1266" t="str">
        <x:v>AeroSip Bottle</x:v>
      </x:c>
      <x:c r="G1266" t="str">
        <x:v>One-time purchase</x:v>
      </x:c>
      <x:c r="H1266" t="str">
        <x:v>None</x:v>
      </x:c>
      <x:c r="I1266" t="str">
        <x:v>Active</x:v>
      </x:c>
      <x:c r="J1266" t="str">
        <x:v>Amazon Marketplace</x:v>
      </x:c>
      <x:c r="K1266" t="str">
        <x:v>Marketplace Consumer</x:v>
      </x:c>
      <x:c r="L1266" t="str">
        <x:v>All Geographies</x:v>
      </x:c>
      <x:c r="M1266" s="34" t="n">
        <x:v>3648</x:v>
      </x:c>
      <x:c r="N1266" s="28" t="n">
        <x:v>0.040355999999999996</x:v>
      </x:c>
      <x:c r="O1266" s="34" t="n">
        <x:v>147</x:v>
      </x:c>
      <x:c r="P1266" s="34" t="n">
        <x:v>1</x:v>
      </x:c>
      <x:c r="Q1266" s="34" t="n">
        <x:v>147</x:v>
      </x:c>
      <x:c r="R1266" s="33" t="n">
        <x:v>29</x:v>
      </x:c>
      <x:c r="S1266" s="38" t="n">
        <x:v>4.263</x:v>
      </x:c>
      <x:c r="T1266" s="38" t="n">
        <x:v>0.21315</x:v>
      </x:c>
      <x:c r="U1266" s="38" t="n">
        <x:v>0.18224325</x:v>
      </x:c>
      <x:c r="V1266" s="38" t="n">
        <x:v>3.86760675</x:v>
      </x:c>
      <x:c r="W1266" s="38" t="n">
        <x:v>1.5876000000000001</x:v>
      </x:c>
      <x:c r="X1266" s="38" t="n">
        <x:v>0</x:v>
      </x:c>
      <x:c r="Y1266" s="38" t="n">
        <x:v>0.5801410125</x:v>
      </x:c>
      <x:c r="Z1266" s="38" t="n">
        <x:v>0.7644</x:v>
      </x:c>
      <x:c r="AA1266" s="38" t="n">
        <x:v>0.31605</x:v>
      </x:c>
      <x:c r="AB1266" s="38" t="n">
        <x:v>0.005292</x:v>
      </x:c>
      <x:c r="AC1266" s="38" t="n">
        <x:v>0.6141237375000003</x:v>
      </x:c>
      <x:c r="AD1266" s="28" t="n">
        <x:v>0.15878649955815705</x:v>
      </x:c>
    </x:row>
    <x:row r="1267">
      <x:c r="A1267" s="32" t="n">
        <x:v>46104</x:v>
      </x:c>
      <x:c r="B1267" s="32" t="n">
        <x:v>46082</x:v>
      </x:c>
      <x:c r="C1267" t="str">
        <x:v>Mar 2026</x:v>
      </x:c>
      <x:c r="D1267" t="str">
        <x:v>Forecast</x:v>
      </x:c>
      <x:c r="E1267" t="str">
        <x:v>DB-101</x:v>
      </x:c>
      <x:c r="F1267" t="str">
        <x:v>AeroSip Bottle</x:v>
      </x:c>
      <x:c r="G1267" t="str">
        <x:v>One-time purchase</x:v>
      </x:c>
      <x:c r="H1267" t="str">
        <x:v>None</x:v>
      </x:c>
      <x:c r="I1267" t="str">
        <x:v>Active</x:v>
      </x:c>
      <x:c r="J1267" t="str">
        <x:v>Wholesale</x:v>
      </x:c>
      <x:c r="K1267" t="str">
        <x:v>Retailer</x:v>
      </x:c>
      <x:c r="L1267" t="str">
        <x:v>All Geographies</x:v>
      </x:c>
      <x:c r="M1267" s="34" t="n">
        <x:v>2189</x:v>
      </x:c>
      <x:c r="N1267" s="28" t="n">
        <x:v>0.01881</x:v>
      </x:c>
      <x:c r="O1267" s="34" t="n">
        <x:v>41</x:v>
      </x:c>
      <x:c r="P1267" s="34" t="n">
        <x:v>1</x:v>
      </x:c>
      <x:c r="Q1267" s="34" t="n">
        <x:v>41</x:v>
      </x:c>
      <x:c r="R1267" s="33" t="n">
        <x:v>29</x:v>
      </x:c>
      <x:c r="S1267" s="38" t="n">
        <x:v>1.189</x:v>
      </x:c>
      <x:c r="T1267" s="38" t="n">
        <x:v>0.41615</x:v>
      </x:c>
      <x:c r="U1267" s="38" t="n">
        <x:v>0.034778250000000004</x:v>
      </x:c>
      <x:c r="V1267" s="38" t="n">
        <x:v>0.73807175</x:v>
      </x:c>
      <x:c r="W1267" s="38" t="n">
        <x:v>0.4428</x:v>
      </x:c>
      <x:c r="X1267" s="38" t="n">
        <x:v>0</x:v>
      </x:c>
      <x:c r="Y1267" s="38" t="n">
        <x:v>0</x:v>
      </x:c>
      <x:c r="Z1267" s="38" t="n">
        <x:v>0.0943</x:v>
      </x:c>
      <x:c r="AA1267" s="38" t="n">
        <x:v>0.03485</x:v>
      </x:c>
      <x:c r="AB1267" s="38" t="n">
        <x:v>0.0014759999999999999</x:v>
      </x:c>
      <x:c r="AC1267" s="38" t="n">
        <x:v>0.16464575</x:v>
      </x:c>
      <x:c r="AD1267" s="28" t="n">
        <x:v>0.22307553432305194</x:v>
      </x:c>
    </x:row>
    <x:row r="1268">
      <x:c r="A1268" s="32" t="n">
        <x:v>46104</x:v>
      </x:c>
      <x:c r="B1268" s="32" t="n">
        <x:v>46082</x:v>
      </x:c>
      <x:c r="C1268" t="str">
        <x:v>Mar 2026</x:v>
      </x:c>
      <x:c r="D1268" t="str">
        <x:v>Forecast</x:v>
      </x:c>
      <x:c r="E1268" t="str">
        <x:v>DB-101</x:v>
      </x:c>
      <x:c r="F1268" t="str">
        <x:v>AeroSip Bottle</x:v>
      </x:c>
      <x:c r="G1268" t="str">
        <x:v>One-time purchase</x:v>
      </x:c>
      <x:c r="H1268" t="str">
        <x:v>None</x:v>
      </x:c>
      <x:c r="I1268" t="str">
        <x:v>Active</x:v>
      </x:c>
      <x:c r="J1268" t="str">
        <x:v>TikTok Shop</x:v>
      </x:c>
      <x:c r="K1268" t="str">
        <x:v>Social Commerce</x:v>
      </x:c>
      <x:c r="L1268" t="str">
        <x:v>All Geographies</x:v>
      </x:c>
      <x:c r="M1268" s="34" t="n">
        <x:v>1459</x:v>
      </x:c>
      <x:c r="N1268" s="28" t="n">
        <x:v>0.043092</x:v>
      </x:c>
      <x:c r="O1268" s="34" t="n">
        <x:v>63</x:v>
      </x:c>
      <x:c r="P1268" s="34" t="n">
        <x:v>1</x:v>
      </x:c>
      <x:c r="Q1268" s="34" t="n">
        <x:v>63</x:v>
      </x:c>
      <x:c r="R1268" s="33" t="n">
        <x:v>29</x:v>
      </x:c>
      <x:c r="S1268" s="38" t="n">
        <x:v>1.827</x:v>
      </x:c>
      <x:c r="T1268" s="38" t="n">
        <x:v>0.21924</x:v>
      </x:c>
      <x:c r="U1268" s="38" t="n">
        <x:v>0.07234919999999999</x:v>
      </x:c>
      <x:c r="V1268" s="38" t="n">
        <x:v>1.5354108</x:v>
      </x:c>
      <x:c r="W1268" s="38" t="n">
        <x:v>0.6804000000000001</x:v>
      </x:c>
      <x:c r="X1268" s="38" t="n">
        <x:v>0.044526913200000004</x:v>
      </x:c>
      <x:c r="Y1268" s="38" t="n">
        <x:v>0.09212464799999999</x:v>
      </x:c>
      <x:c r="Z1268" s="38" t="n">
        <x:v>0.3213</x:v>
      </x:c>
      <x:c r="AA1268" s="38" t="n">
        <x:v>0.11025</x:v>
      </x:c>
      <x:c r="AB1268" s="38" t="n">
        <x:v>0.0022679999999999996</x:v>
      </x:c>
      <x:c r="AC1268" s="38" t="n">
        <x:v>0.2845412387999999</x:v>
      </x:c>
      <x:c r="AD1268" s="28" t="n">
        <x:v>0.18531928966501987</x:v>
      </x:c>
    </x:row>
    <x:row r="1269">
      <x:c r="A1269" s="32" t="n">
        <x:v>46104</x:v>
      </x:c>
      <x:c r="B1269" s="32" t="n">
        <x:v>46082</x:v>
      </x:c>
      <x:c r="C1269" t="str">
        <x:v>Mar 2026</x:v>
      </x:c>
      <x:c r="D1269" t="str">
        <x:v>Forecast</x:v>
      </x:c>
      <x:c r="E1269" t="str">
        <x:v>DB-102</x:v>
      </x:c>
      <x:c r="F1269" t="str">
        <x:v>GlowPatch Balm</x:v>
      </x:c>
      <x:c r="G1269" t="str">
        <x:v>Consumable repeat</x:v>
      </x:c>
      <x:c r="H1269" t="str">
        <x:v>None</x:v>
      </x:c>
      <x:c r="I1269" t="str">
        <x:v>Active</x:v>
      </x:c>
      <x:c r="J1269" t="str">
        <x:v>Shopify DTC</x:v>
      </x:c>
      <x:c r="K1269" t="str">
        <x:v>Consumer</x:v>
      </x:c>
      <x:c r="L1269" t="str">
        <x:v>All Geographies</x:v>
      </x:c>
      <x:c r="M1269" s="34" t="n">
        <x:v>5893</x:v>
      </x:c>
      <x:c r="N1269" s="28" t="n">
        <x:v>0.04248</x:v>
      </x:c>
      <x:c r="O1269" s="34" t="n">
        <x:v>250</x:v>
      </x:c>
      <x:c r="P1269" s="34" t="n">
        <x:v>1</x:v>
      </x:c>
      <x:c r="Q1269" s="34" t="n">
        <x:v>250</x:v>
      </x:c>
      <x:c r="R1269" s="33" t="n">
        <x:v>18</x:v>
      </x:c>
      <x:c r="S1269" s="38" t="n">
        <x:v>4.5</x:v>
      </x:c>
      <x:c r="T1269" s="38" t="n">
        <x:v>0.36</x:v>
      </x:c>
      <x:c r="U1269" s="38" t="n">
        <x:v>0.1035</x:v>
      </x:c>
      <x:c r="V1269" s="38" t="n">
        <x:v>4.036499999999999</x:v>
      </x:c>
      <x:c r="W1269" s="38" t="n">
        <x:v>1.3525</x:v>
      </x:c>
      <x:c r="X1269" s="38" t="n">
        <x:v>0.11705849999999998</x:v>
      </x:c>
      <x:c r="Y1269" s="38" t="n">
        <x:v>0</x:v>
      </x:c>
      <x:c r="Z1269" s="38" t="n">
        <x:v>1.0375</x:v>
      </x:c>
      <x:c r="AA1269" s="38" t="n">
        <x:v>0.4125</x:v>
      </x:c>
      <x:c r="AB1269" s="38" t="n">
        <x:v>0.0015</x:v>
      </x:c>
      <x:c r="AC1269" s="38" t="n">
        <x:v>1.1154414999999989</x:v>
      </x:c>
      <x:c r="AD1269" s="28" t="n">
        <x:v>0.2763387835996529</x:v>
      </x:c>
    </x:row>
    <x:row r="1270">
      <x:c r="A1270" s="32" t="n">
        <x:v>46104</x:v>
      </x:c>
      <x:c r="B1270" s="32" t="n">
        <x:v>46082</x:v>
      </x:c>
      <x:c r="C1270" t="str">
        <x:v>Mar 2026</x:v>
      </x:c>
      <x:c r="D1270" t="str">
        <x:v>Forecast</x:v>
      </x:c>
      <x:c r="E1270" t="str">
        <x:v>DB-102</x:v>
      </x:c>
      <x:c r="F1270" t="str">
        <x:v>GlowPatch Balm</x:v>
      </x:c>
      <x:c r="G1270" t="str">
        <x:v>Consumable repeat</x:v>
      </x:c>
      <x:c r="H1270" t="str">
        <x:v>None</x:v>
      </x:c>
      <x:c r="I1270" t="str">
        <x:v>Active</x:v>
      </x:c>
      <x:c r="J1270" t="str">
        <x:v>Amazon Marketplace</x:v>
      </x:c>
      <x:c r="K1270" t="str">
        <x:v>Marketplace Consumer</x:v>
      </x:c>
      <x:c r="L1270" t="str">
        <x:v>All Geographies</x:v>
      </x:c>
      <x:c r="M1270" s="34" t="n">
        <x:v>2946</x:v>
      </x:c>
      <x:c r="N1270" s="28" t="n">
        <x:v>0.050126399999999995</x:v>
      </x:c>
      <x:c r="O1270" s="34" t="n">
        <x:v>148</x:v>
      </x:c>
      <x:c r="P1270" s="34" t="n">
        <x:v>1</x:v>
      </x:c>
      <x:c r="Q1270" s="34" t="n">
        <x:v>148</x:v>
      </x:c>
      <x:c r="R1270" s="33" t="n">
        <x:v>18</x:v>
      </x:c>
      <x:c r="S1270" s="38" t="n">
        <x:v>2.664</x:v>
      </x:c>
      <x:c r="T1270" s="38" t="n">
        <x:v>0.1332</x:v>
      </x:c>
      <x:c r="U1270" s="38" t="n">
        <x:v>0.06327</x:v>
      </x:c>
      <x:c r="V1270" s="38" t="n">
        <x:v>2.46753</x:v>
      </x:c>
      <x:c r="W1270" s="38" t="n">
        <x:v>0.8006800000000001</x:v>
      </x:c>
      <x:c r="X1270" s="38" t="n">
        <x:v>0</x:v>
      </x:c>
      <x:c r="Y1270" s="38" t="n">
        <x:v>0.3701295</x:v>
      </x:c>
      <x:c r="Z1270" s="38" t="n">
        <x:v>0.7696000000000001</x:v>
      </x:c>
      <x:c r="AA1270" s="38" t="n">
        <x:v>0.3182</x:v>
      </x:c>
      <x:c r="AB1270" s="38" t="n">
        <x:v>0.0008879999999999999</x:v>
      </x:c>
      <x:c r="AC1270" s="38" t="n">
        <x:v>0.2080324999999999</x:v>
      </x:c>
      <x:c r="AD1270" s="28" t="n">
        <x:v>0.084307992202729</x:v>
      </x:c>
    </x:row>
    <x:row r="1271">
      <x:c r="A1271" s="32" t="n">
        <x:v>46104</x:v>
      </x:c>
      <x:c r="B1271" s="32" t="n">
        <x:v>46082</x:v>
      </x:c>
      <x:c r="C1271" t="str">
        <x:v>Mar 2026</x:v>
      </x:c>
      <x:c r="D1271" t="str">
        <x:v>Forecast</x:v>
      </x:c>
      <x:c r="E1271" t="str">
        <x:v>DB-102</x:v>
      </x:c>
      <x:c r="F1271" t="str">
        <x:v>GlowPatch Balm</x:v>
      </x:c>
      <x:c r="G1271" t="str">
        <x:v>Consumable repeat</x:v>
      </x:c>
      <x:c r="H1271" t="str">
        <x:v>None</x:v>
      </x:c>
      <x:c r="I1271" t="str">
        <x:v>Active</x:v>
      </x:c>
      <x:c r="J1271" t="str">
        <x:v>Wholesale</x:v>
      </x:c>
      <x:c r="K1271" t="str">
        <x:v>Retailer</x:v>
      </x:c>
      <x:c r="L1271" t="str">
        <x:v>All Geographies</x:v>
      </x:c>
      <x:c r="M1271" s="34" t="n">
        <x:v>1768</x:v>
      </x:c>
      <x:c r="N1271" s="28" t="n">
        <x:v>0.023364</x:v>
      </x:c>
      <x:c r="O1271" s="34" t="n">
        <x:v>41</x:v>
      </x:c>
      <x:c r="P1271" s="34" t="n">
        <x:v>1</x:v>
      </x:c>
      <x:c r="Q1271" s="34" t="n">
        <x:v>41</x:v>
      </x:c>
      <x:c r="R1271" s="33" t="n">
        <x:v>18</x:v>
      </x:c>
      <x:c r="S1271" s="38" t="n">
        <x:v>0.738</x:v>
      </x:c>
      <x:c r="T1271" s="38" t="n">
        <x:v>0.2583</x:v>
      </x:c>
      <x:c r="U1271" s="38" t="n">
        <x:v>0.011992500000000001</x:v>
      </x:c>
      <x:c r="V1271" s="38" t="n">
        <x:v>0.4677075</x:v>
      </x:c>
      <x:c r="W1271" s="38" t="n">
        <x:v>0.22181</x:v>
      </x:c>
      <x:c r="X1271" s="38" t="n">
        <x:v>0</x:v>
      </x:c>
      <x:c r="Y1271" s="38" t="n">
        <x:v>0</x:v>
      </x:c>
      <x:c r="Z1271" s="38" t="n">
        <x:v>0.0943</x:v>
      </x:c>
      <x:c r="AA1271" s="38" t="n">
        <x:v>0.03485</x:v>
      </x:c>
      <x:c r="AB1271" s="38" t="n">
        <x:v>0.000246</x:v>
      </x:c>
      <x:c r="AC1271" s="38" t="n">
        <x:v>0.11650150000000001</x:v>
      </x:c>
      <x:c r="AD1271" s="28" t="n">
        <x:v>0.2490905106289722</x:v>
      </x:c>
    </x:row>
    <x:row r="1272">
      <x:c r="A1272" s="32" t="n">
        <x:v>46104</x:v>
      </x:c>
      <x:c r="B1272" s="32" t="n">
        <x:v>46082</x:v>
      </x:c>
      <x:c r="C1272" t="str">
        <x:v>Mar 2026</x:v>
      </x:c>
      <x:c r="D1272" t="str">
        <x:v>Forecast</x:v>
      </x:c>
      <x:c r="E1272" t="str">
        <x:v>DB-102</x:v>
      </x:c>
      <x:c r="F1272" t="str">
        <x:v>GlowPatch Balm</x:v>
      </x:c>
      <x:c r="G1272" t="str">
        <x:v>Consumable repeat</x:v>
      </x:c>
      <x:c r="H1272" t="str">
        <x:v>None</x:v>
      </x:c>
      <x:c r="I1272" t="str">
        <x:v>Active</x:v>
      </x:c>
      <x:c r="J1272" t="str">
        <x:v>TikTok Shop</x:v>
      </x:c>
      <x:c r="K1272" t="str">
        <x:v>Social Commerce</x:v>
      </x:c>
      <x:c r="L1272" t="str">
        <x:v>All Geographies</x:v>
      </x:c>
      <x:c r="M1272" s="34" t="n">
        <x:v>1179</x:v>
      </x:c>
      <x:c r="N1272" s="28" t="n">
        <x:v>0.0535248</x:v>
      </x:c>
      <x:c r="O1272" s="34" t="n">
        <x:v>63</x:v>
      </x:c>
      <x:c r="P1272" s="34" t="n">
        <x:v>1</x:v>
      </x:c>
      <x:c r="Q1272" s="34" t="n">
        <x:v>63</x:v>
      </x:c>
      <x:c r="R1272" s="33" t="n">
        <x:v>18</x:v>
      </x:c>
      <x:c r="S1272" s="38" t="n">
        <x:v>1.134</x:v>
      </x:c>
      <x:c r="T1272" s="38" t="n">
        <x:v>0.13607999999999998</x:v>
      </x:c>
      <x:c r="U1272" s="38" t="n">
        <x:v>0.024947999999999998</x:v>
      </x:c>
      <x:c r="V1272" s="38" t="n">
        <x:v>0.972972</x:v>
      </x:c>
      <x:c r="W1272" s="38" t="n">
        <x:v>0.34082999999999997</x:v>
      </x:c>
      <x:c r="X1272" s="38" t="n">
        <x:v>0.028216188</x:v>
      </x:c>
      <x:c r="Y1272" s="38" t="n">
        <x:v>0.05837832</x:v>
      </x:c>
      <x:c r="Z1272" s="38" t="n">
        <x:v>0.3213</x:v>
      </x:c>
      <x:c r="AA1272" s="38" t="n">
        <x:v>0.11025</x:v>
      </x:c>
      <x:c r="AB1272" s="38" t="n">
        <x:v>0.000378</x:v>
      </x:c>
      <x:c r="AC1272" s="38" t="n">
        <x:v>0.11361949199999999</x:v>
      </x:c>
      <x:c r="AD1272" s="28" t="n">
        <x:v>0.11677570577570577</x:v>
      </x:c>
    </x:row>
    <x:row r="1273">
      <x:c r="A1273" s="32" t="n">
        <x:v>46104</x:v>
      </x:c>
      <x:c r="B1273" s="32" t="n">
        <x:v>46082</x:v>
      </x:c>
      <x:c r="C1273" t="str">
        <x:v>Mar 2026</x:v>
      </x:c>
      <x:c r="D1273" t="str">
        <x:v>Forecast</x:v>
      </x:c>
      <x:c r="E1273" t="str">
        <x:v>DB-103</x:v>
      </x:c>
      <x:c r="F1273" t="str">
        <x:v>EmberTrail Camp Mug</x:v>
      </x:c>
      <x:c r="G1273" t="str">
        <x:v>One-time purchase</x:v>
      </x:c>
      <x:c r="H1273" t="str">
        <x:v>Winter peak</x:v>
      </x:c>
      <x:c r="I1273" t="str">
        <x:v>Active</x:v>
      </x:c>
      <x:c r="J1273" t="str">
        <x:v>Shopify DTC</x:v>
      </x:c>
      <x:c r="K1273" t="str">
        <x:v>Consumer</x:v>
      </x:c>
      <x:c r="L1273" t="str">
        <x:v>All Geographies</x:v>
      </x:c>
      <x:c r="M1273" s="34" t="n">
        <x:v>4647</x:v>
      </x:c>
      <x:c r="N1273" s="28" t="n">
        <x:v>0.0324</x:v>
      </x:c>
      <x:c r="O1273" s="34" t="n">
        <x:v>151</x:v>
      </x:c>
      <x:c r="P1273" s="34" t="n">
        <x:v>1</x:v>
      </x:c>
      <x:c r="Q1273" s="34" t="n">
        <x:v>151</x:v>
      </x:c>
      <x:c r="R1273" s="33" t="n">
        <x:v>34</x:v>
      </x:c>
      <x:c r="S1273" s="38" t="n">
        <x:v>5.134</x:v>
      </x:c>
      <x:c r="T1273" s="38" t="n">
        <x:v>0.41072000000000003</x:v>
      </x:c>
      <x:c r="U1273" s="38" t="n">
        <x:v>0.2597804</x:v>
      </x:c>
      <x:c r="V1273" s="38" t="n">
        <x:v>4.4634996</x:v>
      </x:c>
      <x:c r="W1273" s="38" t="n">
        <x:v>2.0641700000000003</x:v>
      </x:c>
      <x:c r="X1273" s="38" t="n">
        <x:v>0.1294414884</x:v>
      </x:c>
      <x:c r="Y1273" s="38" t="n">
        <x:v>0</x:v>
      </x:c>
      <x:c r="Z1273" s="38" t="n">
        <x:v>0.62665</x:v>
      </x:c>
      <x:c r="AA1273" s="38" t="n">
        <x:v>0.24914999999999998</x:v>
      </x:c>
      <x:c r="AB1273" s="38" t="n">
        <x:v>0.008456</x:v>
      </x:c>
      <x:c r="AC1273" s="38" t="n">
        <x:v>1.3856321115999992</x:v>
      </x:c>
      <x:c r="AD1273" s="28" t="n">
        <x:v>0.31043625759482524</x:v>
      </x:c>
    </x:row>
    <x:row r="1274">
      <x:c r="A1274" s="32" t="n">
        <x:v>46104</x:v>
      </x:c>
      <x:c r="B1274" s="32" t="n">
        <x:v>46082</x:v>
      </x:c>
      <x:c r="C1274" t="str">
        <x:v>Mar 2026</x:v>
      </x:c>
      <x:c r="D1274" t="str">
        <x:v>Forecast</x:v>
      </x:c>
      <x:c r="E1274" t="str">
        <x:v>DB-103</x:v>
      </x:c>
      <x:c r="F1274" t="str">
        <x:v>EmberTrail Camp Mug</x:v>
      </x:c>
      <x:c r="G1274" t="str">
        <x:v>One-time purchase</x:v>
      </x:c>
      <x:c r="H1274" t="str">
        <x:v>Winter peak</x:v>
      </x:c>
      <x:c r="I1274" t="str">
        <x:v>Active</x:v>
      </x:c>
      <x:c r="J1274" t="str">
        <x:v>Amazon Marketplace</x:v>
      </x:c>
      <x:c r="K1274" t="str">
        <x:v>Marketplace Consumer</x:v>
      </x:c>
      <x:c r="L1274" t="str">
        <x:v>All Geographies</x:v>
      </x:c>
      <x:c r="M1274" s="34" t="n">
        <x:v>2323</x:v>
      </x:c>
      <x:c r="N1274" s="28" t="n">
        <x:v>0.038231999999999995</x:v>
      </x:c>
      <x:c r="O1274" s="34" t="n">
        <x:v>89</x:v>
      </x:c>
      <x:c r="P1274" s="34" t="n">
        <x:v>1</x:v>
      </x:c>
      <x:c r="Q1274" s="34" t="n">
        <x:v>89</x:v>
      </x:c>
      <x:c r="R1274" s="33" t="n">
        <x:v>34</x:v>
      </x:c>
      <x:c r="S1274" s="38" t="n">
        <x:v>3.026</x:v>
      </x:c>
      <x:c r="T1274" s="38" t="n">
        <x:v>0.1513</x:v>
      </x:c>
      <x:c r="U1274" s="38" t="n">
        <x:v>0.15810849999999999</x:v>
      </x:c>
      <x:c r="V1274" s="38" t="n">
        <x:v>2.7165915</x:v>
      </x:c>
      <x:c r="W1274" s="38" t="n">
        <x:v>1.2166299999999999</x:v>
      </x:c>
      <x:c r="X1274" s="38" t="n">
        <x:v>0</x:v>
      </x:c>
      <x:c r="Y1274" s="38" t="n">
        <x:v>0.40748872499999994</x:v>
      </x:c>
      <x:c r="Z1274" s="38" t="n">
        <x:v>0.4628</x:v>
      </x:c>
      <x:c r="AA1274" s="38" t="n">
        <x:v>0.19135</x:v>
      </x:c>
      <x:c r="AB1274" s="38" t="n">
        <x:v>0.004984</x:v>
      </x:c>
      <x:c r="AC1274" s="38" t="n">
        <x:v>0.43333877500000006</x:v>
      </x:c>
      <x:c r="AD1274" s="28" t="n">
        <x:v>0.15951561911314235</x:v>
      </x:c>
    </x:row>
    <x:row r="1275">
      <x:c r="A1275" s="32" t="n">
        <x:v>46104</x:v>
      </x:c>
      <x:c r="B1275" s="32" t="n">
        <x:v>46082</x:v>
      </x:c>
      <x:c r="C1275" t="str">
        <x:v>Mar 2026</x:v>
      </x:c>
      <x:c r="D1275" t="str">
        <x:v>Forecast</x:v>
      </x:c>
      <x:c r="E1275" t="str">
        <x:v>DB-103</x:v>
      </x:c>
      <x:c r="F1275" t="str">
        <x:v>EmberTrail Camp Mug</x:v>
      </x:c>
      <x:c r="G1275" t="str">
        <x:v>One-time purchase</x:v>
      </x:c>
      <x:c r="H1275" t="str">
        <x:v>Winter peak</x:v>
      </x:c>
      <x:c r="I1275" t="str">
        <x:v>Active</x:v>
      </x:c>
      <x:c r="J1275" t="str">
        <x:v>Wholesale</x:v>
      </x:c>
      <x:c r="K1275" t="str">
        <x:v>Retailer</x:v>
      </x:c>
      <x:c r="L1275" t="str">
        <x:v>All Geographies</x:v>
      </x:c>
      <x:c r="M1275" s="34" t="n">
        <x:v>1394</x:v>
      </x:c>
      <x:c r="N1275" s="28" t="n">
        <x:v>0.017820000000000003</x:v>
      </x:c>
      <x:c r="O1275" s="34" t="n">
        <x:v>25</x:v>
      </x:c>
      <x:c r="P1275" s="34" t="n">
        <x:v>1</x:v>
      </x:c>
      <x:c r="Q1275" s="34" t="n">
        <x:v>25</x:v>
      </x:c>
      <x:c r="R1275" s="33" t="n">
        <x:v>34</x:v>
      </x:c>
      <x:c r="S1275" s="38" t="n">
        <x:v>0.85</x:v>
      </x:c>
      <x:c r="T1275" s="38" t="n">
        <x:v>0.2975</x:v>
      </x:c>
      <x:c r="U1275" s="38" t="n">
        <x:v>0.0303875</x:v>
      </x:c>
      <x:c r="V1275" s="38" t="n">
        <x:v>0.5221125</x:v>
      </x:c>
      <x:c r="W1275" s="38" t="n">
        <x:v>0.34175</x:v>
      </x:c>
      <x:c r="X1275" s="38" t="n">
        <x:v>0</x:v>
      </x:c>
      <x:c r="Y1275" s="38" t="n">
        <x:v>0</x:v>
      </x:c>
      <x:c r="Z1275" s="38" t="n">
        <x:v>0.057499999999999996</x:v>
      </x:c>
      <x:c r="AA1275" s="38" t="n">
        <x:v>0.02125</x:v>
      </x:c>
      <x:c r="AB1275" s="38" t="n">
        <x:v>0.0014000000000000002</x:v>
      </x:c>
      <x:c r="AC1275" s="38" t="n">
        <x:v>0.10021249999999998</x:v>
      </x:c>
      <x:c r="AD1275" s="28" t="n">
        <x:v>0.19193660370130955</x:v>
      </x:c>
    </x:row>
    <x:row r="1276">
      <x:c r="A1276" s="32" t="n">
        <x:v>46104</x:v>
      </x:c>
      <x:c r="B1276" s="32" t="n">
        <x:v>46082</x:v>
      </x:c>
      <x:c r="C1276" t="str">
        <x:v>Mar 2026</x:v>
      </x:c>
      <x:c r="D1276" t="str">
        <x:v>Forecast</x:v>
      </x:c>
      <x:c r="E1276" t="str">
        <x:v>DB-103</x:v>
      </x:c>
      <x:c r="F1276" t="str">
        <x:v>EmberTrail Camp Mug</x:v>
      </x:c>
      <x:c r="G1276" t="str">
        <x:v>One-time purchase</x:v>
      </x:c>
      <x:c r="H1276" t="str">
        <x:v>Winter peak</x:v>
      </x:c>
      <x:c r="I1276" t="str">
        <x:v>Active</x:v>
      </x:c>
      <x:c r="J1276" t="str">
        <x:v>TikTok Shop</x:v>
      </x:c>
      <x:c r="K1276" t="str">
        <x:v>Social Commerce</x:v>
      </x:c>
      <x:c r="L1276" t="str">
        <x:v>All Geographies</x:v>
      </x:c>
      <x:c r="M1276" s="34" t="n">
        <x:v>929</x:v>
      </x:c>
      <x:c r="N1276" s="28" t="n">
        <x:v>0.040824</x:v>
      </x:c>
      <x:c r="O1276" s="34" t="n">
        <x:v>38</x:v>
      </x:c>
      <x:c r="P1276" s="34" t="n">
        <x:v>1</x:v>
      </x:c>
      <x:c r="Q1276" s="34" t="n">
        <x:v>38</x:v>
      </x:c>
      <x:c r="R1276" s="33" t="n">
        <x:v>34</x:v>
      </x:c>
      <x:c r="S1276" s="38" t="n">
        <x:v>1.292</x:v>
      </x:c>
      <x:c r="T1276" s="38" t="n">
        <x:v>0.15504</x:v>
      </x:c>
      <x:c r="U1276" s="38" t="n">
        <x:v>0.0625328</x:v>
      </x:c>
      <x:c r="V1276" s="38" t="n">
        <x:v>1.0744272</x:v>
      </x:c>
      <x:c r="W1276" s="38" t="n">
        <x:v>0.51946</x:v>
      </x:c>
      <x:c r="X1276" s="38" t="n">
        <x:v>0.0311583888</x:v>
      </x:c>
      <x:c r="Y1276" s="38" t="n">
        <x:v>0.064465632</x:v>
      </x:c>
      <x:c r="Z1276" s="38" t="n">
        <x:v>0.19379999999999997</x:v>
      </x:c>
      <x:c r="AA1276" s="38" t="n">
        <x:v>0.0665</x:v>
      </x:c>
      <x:c r="AB1276" s="38" t="n">
        <x:v>0.002128</x:v>
      </x:c>
      <x:c r="AC1276" s="38" t="n">
        <x:v>0.19691517919999993</x:v>
      </x:c>
      <x:c r="AD1276" s="28" t="n">
        <x:v>0.1832745663922134</x:v>
      </x:c>
    </x:row>
    <x:row r="1277">
      <x:c r="A1277" s="32" t="n">
        <x:v>46104</x:v>
      </x:c>
      <x:c r="B1277" s="32" t="n">
        <x:v>46082</x:v>
      </x:c>
      <x:c r="C1277" t="str">
        <x:v>Mar 2026</x:v>
      </x:c>
      <x:c r="D1277" t="str">
        <x:v>Forecast</x:v>
      </x:c>
      <x:c r="E1277" t="str">
        <x:v>DB-104</x:v>
      </x:c>
      <x:c r="F1277" t="str">
        <x:v>SunNest Cooling Towel</x:v>
      </x:c>
      <x:c r="G1277" t="str">
        <x:v>Consumable repeat</x:v>
      </x:c>
      <x:c r="H1277" t="str">
        <x:v>Summer peak</x:v>
      </x:c>
      <x:c r="I1277" t="str">
        <x:v>Active</x:v>
      </x:c>
      <x:c r="J1277" t="str">
        <x:v>Shopify DTC</x:v>
      </x:c>
      <x:c r="K1277" t="str">
        <x:v>Consumer</x:v>
      </x:c>
      <x:c r="L1277" t="str">
        <x:v>All Geographies</x:v>
      </x:c>
      <x:c r="M1277" s="34" t="n">
        <x:v>4198</x:v>
      </x:c>
      <x:c r="N1277" s="28" t="n">
        <x:v>0.03312</x:v>
      </x:c>
      <x:c r="O1277" s="34" t="n">
        <x:v>139</x:v>
      </x:c>
      <x:c r="P1277" s="34" t="n">
        <x:v>1</x:v>
      </x:c>
      <x:c r="Q1277" s="34" t="n">
        <x:v>139</x:v>
      </x:c>
      <x:c r="R1277" s="33" t="n">
        <x:v>42</x:v>
      </x:c>
      <x:c r="S1277" s="38" t="n">
        <x:v>5.838</x:v>
      </x:c>
      <x:c r="T1277" s="38" t="n">
        <x:v>0.46704</x:v>
      </x:c>
      <x:c r="U1277" s="38" t="n">
        <x:v>0.268548</x:v>
      </x:c>
      <x:c r="V1277" s="38" t="n">
        <x:v>5.102412</x:v>
      </x:c>
      <x:c r="W1277" s="38" t="n">
        <x:v>2.09195</x:v>
      </x:c>
      <x:c r="X1277" s="38" t="n">
        <x:v>0.14796994800000002</x:v>
      </x:c>
      <x:c r="Y1277" s="38" t="n">
        <x:v>0</x:v>
      </x:c>
      <x:c r="Z1277" s="38" t="n">
        <x:v>0.57685</x:v>
      </x:c>
      <x:c r="AA1277" s="38" t="n">
        <x:v>0.22935</x:v>
      </x:c>
      <x:c r="AB1277" s="38" t="n">
        <x:v>0.003892</x:v>
      </x:c>
      <x:c r="AC1277" s="38" t="n">
        <x:v>2.052400052</x:v>
      </x:c>
      <x:c r="AD1277" s="28" t="n">
        <x:v>0.4022411463441211</x:v>
      </x:c>
    </x:row>
    <x:row r="1278">
      <x:c r="A1278" s="32" t="n">
        <x:v>46104</x:v>
      </x:c>
      <x:c r="B1278" s="32" t="n">
        <x:v>46082</x:v>
      </x:c>
      <x:c r="C1278" t="str">
        <x:v>Mar 2026</x:v>
      </x:c>
      <x:c r="D1278" t="str">
        <x:v>Forecast</x:v>
      </x:c>
      <x:c r="E1278" t="str">
        <x:v>DB-104</x:v>
      </x:c>
      <x:c r="F1278" t="str">
        <x:v>SunNest Cooling Towel</x:v>
      </x:c>
      <x:c r="G1278" t="str">
        <x:v>Consumable repeat</x:v>
      </x:c>
      <x:c r="H1278" t="str">
        <x:v>Summer peak</x:v>
      </x:c>
      <x:c r="I1278" t="str">
        <x:v>Active</x:v>
      </x:c>
      <x:c r="J1278" t="str">
        <x:v>Amazon Marketplace</x:v>
      </x:c>
      <x:c r="K1278" t="str">
        <x:v>Marketplace Consumer</x:v>
      </x:c>
      <x:c r="L1278" t="str">
        <x:v>All Geographies</x:v>
      </x:c>
      <x:c r="M1278" s="34" t="n">
        <x:v>2099</x:v>
      </x:c>
      <x:c r="N1278" s="28" t="n">
        <x:v>0.0390816</x:v>
      </x:c>
      <x:c r="O1278" s="34" t="n">
        <x:v>82</x:v>
      </x:c>
      <x:c r="P1278" s="34" t="n">
        <x:v>1</x:v>
      </x:c>
      <x:c r="Q1278" s="34" t="n">
        <x:v>82</x:v>
      </x:c>
      <x:c r="R1278" s="33" t="n">
        <x:v>42</x:v>
      </x:c>
      <x:c r="S1278" s="38" t="n">
        <x:v>3.444</x:v>
      </x:c>
      <x:c r="T1278" s="38" t="n">
        <x:v>0.17220000000000002</x:v>
      </x:c>
      <x:c r="U1278" s="38" t="n">
        <x:v>0.16359</x:v>
      </x:c>
      <x:c r="V1278" s="38" t="n">
        <x:v>3.1082099999999997</x:v>
      </x:c>
      <x:c r="W1278" s="38" t="n">
        <x:v>1.2341000000000002</x:v>
      </x:c>
      <x:c r="X1278" s="38" t="n">
        <x:v>0</x:v>
      </x:c>
      <x:c r="Y1278" s="38" t="n">
        <x:v>0.4662314999999999</x:v>
      </x:c>
      <x:c r="Z1278" s="38" t="n">
        <x:v>0.42640000000000006</x:v>
      </x:c>
      <x:c r="AA1278" s="38" t="n">
        <x:v>0.17629999999999998</x:v>
      </x:c>
      <x:c r="AB1278" s="38" t="n">
        <x:v>0.002296</x:v>
      </x:c>
      <x:c r="AC1278" s="38" t="n">
        <x:v>0.8028824999999995</x:v>
      </x:c>
      <x:c r="AD1278" s="28" t="n">
        <x:v>0.2583102493074791</x:v>
      </x:c>
    </x:row>
    <x:row r="1279">
      <x:c r="A1279" s="32" t="n">
        <x:v>46104</x:v>
      </x:c>
      <x:c r="B1279" s="32" t="n">
        <x:v>46082</x:v>
      </x:c>
      <x:c r="C1279" t="str">
        <x:v>Mar 2026</x:v>
      </x:c>
      <x:c r="D1279" t="str">
        <x:v>Forecast</x:v>
      </x:c>
      <x:c r="E1279" t="str">
        <x:v>DB-104</x:v>
      </x:c>
      <x:c r="F1279" t="str">
        <x:v>SunNest Cooling Towel</x:v>
      </x:c>
      <x:c r="G1279" t="str">
        <x:v>Consumable repeat</x:v>
      </x:c>
      <x:c r="H1279" t="str">
        <x:v>Summer peak</x:v>
      </x:c>
      <x:c r="I1279" t="str">
        <x:v>Active</x:v>
      </x:c>
      <x:c r="J1279" t="str">
        <x:v>Wholesale</x:v>
      </x:c>
      <x:c r="K1279" t="str">
        <x:v>Retailer</x:v>
      </x:c>
      <x:c r="L1279" t="str">
        <x:v>All Geographies</x:v>
      </x:c>
      <x:c r="M1279" s="34" t="n">
        <x:v>1259</x:v>
      </x:c>
      <x:c r="N1279" s="28" t="n">
        <x:v>0.018216000000000003</x:v>
      </x:c>
      <x:c r="O1279" s="34" t="n">
        <x:v>23</x:v>
      </x:c>
      <x:c r="P1279" s="34" t="n">
        <x:v>1</x:v>
      </x:c>
      <x:c r="Q1279" s="34" t="n">
        <x:v>23</x:v>
      </x:c>
      <x:c r="R1279" s="33" t="n">
        <x:v>42</x:v>
      </x:c>
      <x:c r="S1279" s="38" t="n">
        <x:v>0.966</x:v>
      </x:c>
      <x:c r="T1279" s="38" t="n">
        <x:v>0.33809999999999996</x:v>
      </x:c>
      <x:c r="U1279" s="38" t="n">
        <x:v>0.031395</x:v>
      </x:c>
      <x:c r="V1279" s="38" t="n">
        <x:v>0.5965050000000001</x:v>
      </x:c>
      <x:c r="W1279" s="38" t="n">
        <x:v>0.34615</x:v>
      </x:c>
      <x:c r="X1279" s="38" t="n">
        <x:v>0</x:v>
      </x:c>
      <x:c r="Y1279" s="38" t="n">
        <x:v>0</x:v>
      </x:c>
      <x:c r="Z1279" s="38" t="n">
        <x:v>0.052899999999999996</x:v>
      </x:c>
      <x:c r="AA1279" s="38" t="n">
        <x:v>0.01955</x:v>
      </x:c>
      <x:c r="AB1279" s="38" t="n">
        <x:v>0.000644</x:v>
      </x:c>
      <x:c r="AC1279" s="38" t="n">
        <x:v>0.17726100000000003</x:v>
      </x:c>
      <x:c r="AD1279" s="28" t="n">
        <x:v>0.29716599190283405</x:v>
      </x:c>
    </x:row>
    <x:row r="1280">
      <x:c r="A1280" s="32" t="n">
        <x:v>46104</x:v>
      </x:c>
      <x:c r="B1280" s="32" t="n">
        <x:v>46082</x:v>
      </x:c>
      <x:c r="C1280" t="str">
        <x:v>Mar 2026</x:v>
      </x:c>
      <x:c r="D1280" t="str">
        <x:v>Forecast</x:v>
      </x:c>
      <x:c r="E1280" t="str">
        <x:v>DB-104</x:v>
      </x:c>
      <x:c r="F1280" t="str">
        <x:v>SunNest Cooling Towel</x:v>
      </x:c>
      <x:c r="G1280" t="str">
        <x:v>Consumable repeat</x:v>
      </x:c>
      <x:c r="H1280" t="str">
        <x:v>Summer peak</x:v>
      </x:c>
      <x:c r="I1280" t="str">
        <x:v>Active</x:v>
      </x:c>
      <x:c r="J1280" t="str">
        <x:v>TikTok Shop</x:v>
      </x:c>
      <x:c r="K1280" t="str">
        <x:v>Social Commerce</x:v>
      </x:c>
      <x:c r="L1280" t="str">
        <x:v>All Geographies</x:v>
      </x:c>
      <x:c r="M1280" s="34" t="n">
        <x:v>840</x:v>
      </x:c>
      <x:c r="N1280" s="28" t="n">
        <x:v>0.0417312</x:v>
      </x:c>
      <x:c r="O1280" s="34" t="n">
        <x:v>35</x:v>
      </x:c>
      <x:c r="P1280" s="34" t="n">
        <x:v>1</x:v>
      </x:c>
      <x:c r="Q1280" s="34" t="n">
        <x:v>35</x:v>
      </x:c>
      <x:c r="R1280" s="33" t="n">
        <x:v>42</x:v>
      </x:c>
      <x:c r="S1280" s="38" t="n">
        <x:v>1.47</x:v>
      </x:c>
      <x:c r="T1280" s="38" t="n">
        <x:v>0.1764</x:v>
      </x:c>
      <x:c r="U1280" s="38" t="n">
        <x:v>0.06468</x:v>
      </x:c>
      <x:c r="V1280" s="38" t="n">
        <x:v>1.22892</x:v>
      </x:c>
      <x:c r="W1280" s="38" t="n">
        <x:v>0.52675</x:v>
      </x:c>
      <x:c r="X1280" s="38" t="n">
        <x:v>0.03563868</x:v>
      </x:c>
      <x:c r="Y1280" s="38" t="n">
        <x:v>0.0737352</x:v>
      </x:c>
      <x:c r="Z1280" s="38" t="n">
        <x:v>0.1785</x:v>
      </x:c>
      <x:c r="AA1280" s="38" t="n">
        <x:v>0.06125</x:v>
      </x:c>
      <x:c r="AB1280" s="38" t="n">
        <x:v>0.00098</x:v>
      </x:c>
      <x:c r="AC1280" s="38" t="n">
        <x:v>0.3520661199999999</x:v>
      </x:c>
      <x:c r="AD1280" s="28" t="n">
        <x:v>0.2864841649578491</x:v>
      </x:c>
    </x:row>
    <x:row r="1281">
      <x:c r="A1281" s="32" t="n">
        <x:v>46104</x:v>
      </x:c>
      <x:c r="B1281" s="32" t="n">
        <x:v>46082</x:v>
      </x:c>
      <x:c r="C1281" t="str">
        <x:v>Mar 2026</x:v>
      </x:c>
      <x:c r="D1281" t="str">
        <x:v>Forecast</x:v>
      </x:c>
      <x:c r="E1281" t="str">
        <x:v>DB-105</x:v>
      </x:c>
      <x:c r="F1281" t="str">
        <x:v>DreamFuel Refill Pack</x:v>
      </x:c>
      <x:c r="G1281" t="str">
        <x:v>Subscription</x:v>
      </x:c>
      <x:c r="H1281" t="str">
        <x:v>None</x:v>
      </x:c>
      <x:c r="I1281" t="str">
        <x:v>Active</x:v>
      </x:c>
      <x:c r="J1281" t="str">
        <x:v>Shopify DTC</x:v>
      </x:c>
      <x:c r="K1281" t="str">
        <x:v>Consumer</x:v>
      </x:c>
      <x:c r="L1281" t="str">
        <x:v>All Geographies</x:v>
      </x:c>
      <x:c r="M1281" s="34" t="n">
        <x:v>5051</x:v>
      </x:c>
      <x:c r="N1281" s="28" t="n">
        <x:v>0.03888</x:v>
      </x:c>
      <x:c r="O1281" s="34" t="n">
        <x:v>196</x:v>
      </x:c>
      <x:c r="P1281" s="34" t="n">
        <x:v>1</x:v>
      </x:c>
      <x:c r="Q1281" s="34" t="n">
        <x:v>196</x:v>
      </x:c>
      <x:c r="R1281" s="33" t="n">
        <x:v>56</x:v>
      </x:c>
      <x:c r="S1281" s="38" t="n">
        <x:v>10.976</x:v>
      </x:c>
      <x:c r="T1281" s="38" t="n">
        <x:v>0.8780800000000001</x:v>
      </x:c>
      <x:c r="U1281" s="38" t="n">
        <x:v>0.2019584</x:v>
      </x:c>
      <x:c r="V1281" s="38" t="n">
        <x:v>9.8959616</x:v>
      </x:c>
      <x:c r="W1281" s="38" t="n">
        <x:v>3.64952</x:v>
      </x:c>
      <x:c r="X1281" s="38" t="n">
        <x:v>0.2869828864</x:v>
      </x:c>
      <x:c r="Y1281" s="38" t="n">
        <x:v>0</x:v>
      </x:c>
      <x:c r="Z1281" s="38" t="n">
        <x:v>0.8134000000000001</x:v>
      </x:c>
      <x:c r="AA1281" s="38" t="n">
        <x:v>0.32339999999999997</x:v>
      </x:c>
      <x:c r="AB1281" s="38" t="n">
        <x:v>0.0007055999999999999</x:v>
      </x:c>
      <x:c r="AC1281" s="38" t="n">
        <x:v>4.8219531136</x:v>
      </x:c>
      <x:c r="AD1281" s="28" t="n">
        <x:v>0.4872647357079478</x:v>
      </x:c>
    </x:row>
    <x:row r="1282">
      <x:c r="A1282" s="32" t="n">
        <x:v>46104</x:v>
      </x:c>
      <x:c r="B1282" s="32" t="n">
        <x:v>46082</x:v>
      </x:c>
      <x:c r="C1282" t="str">
        <x:v>Mar 2026</x:v>
      </x:c>
      <x:c r="D1282" t="str">
        <x:v>Forecast</x:v>
      </x:c>
      <x:c r="E1282" t="str">
        <x:v>DB-105</x:v>
      </x:c>
      <x:c r="F1282" t="str">
        <x:v>DreamFuel Refill Pack</x:v>
      </x:c>
      <x:c r="G1282" t="str">
        <x:v>Subscription</x:v>
      </x:c>
      <x:c r="H1282" t="str">
        <x:v>None</x:v>
      </x:c>
      <x:c r="I1282" t="str">
        <x:v>Active</x:v>
      </x:c>
      <x:c r="J1282" t="str">
        <x:v>Amazon Marketplace</x:v>
      </x:c>
      <x:c r="K1282" t="str">
        <x:v>Marketplace Consumer</x:v>
      </x:c>
      <x:c r="L1282" t="str">
        <x:v>All Geographies</x:v>
      </x:c>
      <x:c r="M1282" s="34" t="n">
        <x:v>2525</x:v>
      </x:c>
      <x:c r="N1282" s="28" t="n">
        <x:v>0.0458784</x:v>
      </x:c>
      <x:c r="O1282" s="34" t="n">
        <x:v>116</x:v>
      </x:c>
      <x:c r="P1282" s="34" t="n">
        <x:v>1</x:v>
      </x:c>
      <x:c r="Q1282" s="34" t="n">
        <x:v>116</x:v>
      </x:c>
      <x:c r="R1282" s="33" t="n">
        <x:v>56</x:v>
      </x:c>
      <x:c r="S1282" s="38" t="n">
        <x:v>6.496</x:v>
      </x:c>
      <x:c r="T1282" s="38" t="n">
        <x:v>0.32480000000000003</x:v>
      </x:c>
      <x:c r="U1282" s="38" t="n">
        <x:v>0.12342400000000002</x:v>
      </x:c>
      <x:c r="V1282" s="38" t="n">
        <x:v>6.047776000000001</x:v>
      </x:c>
      <x:c r="W1282" s="38" t="n">
        <x:v>2.15992</x:v>
      </x:c>
      <x:c r="X1282" s="38" t="n">
        <x:v>0</x:v>
      </x:c>
      <x:c r="Y1282" s="38" t="n">
        <x:v>0.9071664</x:v>
      </x:c>
      <x:c r="Z1282" s="38" t="n">
        <x:v>0.6032000000000001</x:v>
      </x:c>
      <x:c r="AA1282" s="38" t="n">
        <x:v>0.24939999999999998</x:v>
      </x:c>
      <x:c r="AB1282" s="38" t="n">
        <x:v>0.0004176</x:v>
      </x:c>
      <x:c r="AC1282" s="38" t="n">
        <x:v>2.1276720000000005</x:v>
      </x:c>
      <x:c r="AD1282" s="28" t="n">
        <x:v>0.35181064907165877</x:v>
      </x:c>
    </x:row>
    <x:row r="1283">
      <x:c r="A1283" s="32" t="n">
        <x:v>46104</x:v>
      </x:c>
      <x:c r="B1283" s="32" t="n">
        <x:v>46082</x:v>
      </x:c>
      <x:c r="C1283" t="str">
        <x:v>Mar 2026</x:v>
      </x:c>
      <x:c r="D1283" t="str">
        <x:v>Forecast</x:v>
      </x:c>
      <x:c r="E1283" t="str">
        <x:v>DB-105</x:v>
      </x:c>
      <x:c r="F1283" t="str">
        <x:v>DreamFuel Refill Pack</x:v>
      </x:c>
      <x:c r="G1283" t="str">
        <x:v>Subscription</x:v>
      </x:c>
      <x:c r="H1283" t="str">
        <x:v>None</x:v>
      </x:c>
      <x:c r="I1283" t="str">
        <x:v>Active</x:v>
      </x:c>
      <x:c r="J1283" t="str">
        <x:v>Wholesale</x:v>
      </x:c>
      <x:c r="K1283" t="str">
        <x:v>Retailer</x:v>
      </x:c>
      <x:c r="L1283" t="str">
        <x:v>All Geographies</x:v>
      </x:c>
      <x:c r="M1283" s="34" t="n">
        <x:v>1515</x:v>
      </x:c>
      <x:c r="N1283" s="28" t="n">
        <x:v>0.021384000000000004</x:v>
      </x:c>
      <x:c r="O1283" s="34" t="n">
        <x:v>32</x:v>
      </x:c>
      <x:c r="P1283" s="34" t="n">
        <x:v>1</x:v>
      </x:c>
      <x:c r="Q1283" s="34" t="n">
        <x:v>32</x:v>
      </x:c>
      <x:c r="R1283" s="33" t="n">
        <x:v>56</x:v>
      </x:c>
      <x:c r="S1283" s="38" t="n">
        <x:v>1.792</x:v>
      </x:c>
      <x:c r="T1283" s="38" t="n">
        <x:v>0.6272</x:v>
      </x:c>
      <x:c r="U1283" s="38" t="n">
        <x:v>0.023296</x:v>
      </x:c>
      <x:c r="V1283" s="38" t="n">
        <x:v>1.141504</x:v>
      </x:c>
      <x:c r="W1283" s="38" t="n">
        <x:v>0.59584</x:v>
      </x:c>
      <x:c r="X1283" s="38" t="n">
        <x:v>0</x:v>
      </x:c>
      <x:c r="Y1283" s="38" t="n">
        <x:v>0</x:v>
      </x:c>
      <x:c r="Z1283" s="38" t="n">
        <x:v>0.0736</x:v>
      </x:c>
      <x:c r="AA1283" s="38" t="n">
        <x:v>0.0272</x:v>
      </x:c>
      <x:c r="AB1283" s="38" t="n">
        <x:v>0.0001152</x:v>
      </x:c>
      <x:c r="AC1283" s="38" t="n">
        <x:v>0.44474880000000006</x:v>
      </x:c>
      <x:c r="AD1283" s="28" t="n">
        <x:v>0.3896165059430366</x:v>
      </x:c>
    </x:row>
    <x:row r="1284">
      <x:c r="A1284" s="32" t="n">
        <x:v>46104</x:v>
      </x:c>
      <x:c r="B1284" s="32" t="n">
        <x:v>46082</x:v>
      </x:c>
      <x:c r="C1284" t="str">
        <x:v>Mar 2026</x:v>
      </x:c>
      <x:c r="D1284" t="str">
        <x:v>Forecast</x:v>
      </x:c>
      <x:c r="E1284" t="str">
        <x:v>DB-105</x:v>
      </x:c>
      <x:c r="F1284" t="str">
        <x:v>DreamFuel Refill Pack</x:v>
      </x:c>
      <x:c r="G1284" t="str">
        <x:v>Subscription</x:v>
      </x:c>
      <x:c r="H1284" t="str">
        <x:v>None</x:v>
      </x:c>
      <x:c r="I1284" t="str">
        <x:v>Active</x:v>
      </x:c>
      <x:c r="J1284" t="str">
        <x:v>TikTok Shop</x:v>
      </x:c>
      <x:c r="K1284" t="str">
        <x:v>Social Commerce</x:v>
      </x:c>
      <x:c r="L1284" t="str">
        <x:v>All Geographies</x:v>
      </x:c>
      <x:c r="M1284" s="34" t="n">
        <x:v>1010</x:v>
      </x:c>
      <x:c r="N1284" s="28" t="n">
        <x:v>0.0489888</x:v>
      </x:c>
      <x:c r="O1284" s="34" t="n">
        <x:v>49</x:v>
      </x:c>
      <x:c r="P1284" s="34" t="n">
        <x:v>1</x:v>
      </x:c>
      <x:c r="Q1284" s="34" t="n">
        <x:v>49</x:v>
      </x:c>
      <x:c r="R1284" s="33" t="n">
        <x:v>56</x:v>
      </x:c>
      <x:c r="S1284" s="38" t="n">
        <x:v>2.744</x:v>
      </x:c>
      <x:c r="T1284" s="38" t="n">
        <x:v>0.32928</x:v>
      </x:c>
      <x:c r="U1284" s="38" t="n">
        <x:v>0.0482944</x:v>
      </x:c>
      <x:c r="V1284" s="38" t="n">
        <x:v>2.3664256</x:v>
      </x:c>
      <x:c r="W1284" s="38" t="n">
        <x:v>0.91238</x:v>
      </x:c>
      <x:c r="X1284" s="38" t="n">
        <x:v>0.0686263424</x:v>
      </x:c>
      <x:c r="Y1284" s="38" t="n">
        <x:v>0.141985536</x:v>
      </x:c>
      <x:c r="Z1284" s="38" t="n">
        <x:v>0.24989999999999998</x:v>
      </x:c>
      <x:c r="AA1284" s="38" t="n">
        <x:v>0.08575</x:v>
      </x:c>
      <x:c r="AB1284" s="38" t="n">
        <x:v>0.00017639999999999998</x:v>
      </x:c>
      <x:c r="AC1284" s="38" t="n">
        <x:v>0.9076073216</x:v>
      </x:c>
      <x:c r="AD1284" s="28" t="n">
        <x:v>0.3835351179432812</x:v>
      </x:c>
    </x:row>
    <x:row r="1285">
      <x:c r="A1285" s="32" t="n">
        <x:v>46111</x:v>
      </x:c>
      <x:c r="B1285" s="32" t="n">
        <x:v>46082</x:v>
      </x:c>
      <x:c r="C1285" t="str">
        <x:v>Mar 2026</x:v>
      </x:c>
      <x:c r="D1285" t="str">
        <x:v>Forecast</x:v>
      </x:c>
      <x:c r="E1285" t="str">
        <x:v>DB-101</x:v>
      </x:c>
      <x:c r="F1285" t="str">
        <x:v>AeroSip Bottle</x:v>
      </x:c>
      <x:c r="G1285" t="str">
        <x:v>One-time purchase</x:v>
      </x:c>
      <x:c r="H1285" t="str">
        <x:v>None</x:v>
      </x:c>
      <x:c r="I1285" t="str">
        <x:v>Active</x:v>
      </x:c>
      <x:c r="J1285" t="str">
        <x:v>Shopify DTC</x:v>
      </x:c>
      <x:c r="K1285" t="str">
        <x:v>Consumer</x:v>
      </x:c>
      <x:c r="L1285" t="str">
        <x:v>All Geographies</x:v>
      </x:c>
      <x:c r="M1285" s="34" t="n">
        <x:v>7296</x:v>
      </x:c>
      <x:c r="N1285" s="28" t="n">
        <x:v>0.034199999999999994</x:v>
      </x:c>
      <x:c r="O1285" s="34" t="n">
        <x:v>250</x:v>
      </x:c>
      <x:c r="P1285" s="34" t="n">
        <x:v>1</x:v>
      </x:c>
      <x:c r="Q1285" s="34" t="n">
        <x:v>250</x:v>
      </x:c>
      <x:c r="R1285" s="33" t="n">
        <x:v>29</x:v>
      </x:c>
      <x:c r="S1285" s="38" t="n">
        <x:v>7.25</x:v>
      </x:c>
      <x:c r="T1285" s="38" t="n">
        <x:v>0.58</x:v>
      </x:c>
      <x:c r="U1285" s="38" t="n">
        <x:v>0.30015</x:v>
      </x:c>
      <x:c r="V1285" s="38" t="n">
        <x:v>6.36985</x:v>
      </x:c>
      <x:c r="W1285" s="38" t="n">
        <x:v>2.7</x:v>
      </x:c>
      <x:c r="X1285" s="38" t="n">
        <x:v>0.18472565</x:v>
      </x:c>
      <x:c r="Y1285" s="38" t="n">
        <x:v>0</x:v>
      </x:c>
      <x:c r="Z1285" s="38" t="n">
        <x:v>1.0375</x:v>
      </x:c>
      <x:c r="AA1285" s="38" t="n">
        <x:v>0.4125</x:v>
      </x:c>
      <x:c r="AB1285" s="38" t="n">
        <x:v>0.009</x:v>
      </x:c>
      <x:c r="AC1285" s="38" t="n">
        <x:v>2.0261243499999995</x:v>
      </x:c>
      <x:c r="AD1285" s="28" t="n">
        <x:v>0.31808038650831644</x:v>
      </x:c>
    </x:row>
    <x:row r="1286">
      <x:c r="A1286" s="32" t="n">
        <x:v>46111</x:v>
      </x:c>
      <x:c r="B1286" s="32" t="n">
        <x:v>46082</x:v>
      </x:c>
      <x:c r="C1286" t="str">
        <x:v>Mar 2026</x:v>
      </x:c>
      <x:c r="D1286" t="str">
        <x:v>Forecast</x:v>
      </x:c>
      <x:c r="E1286" t="str">
        <x:v>DB-101</x:v>
      </x:c>
      <x:c r="F1286" t="str">
        <x:v>AeroSip Bottle</x:v>
      </x:c>
      <x:c r="G1286" t="str">
        <x:v>One-time purchase</x:v>
      </x:c>
      <x:c r="H1286" t="str">
        <x:v>None</x:v>
      </x:c>
      <x:c r="I1286" t="str">
        <x:v>Active</x:v>
      </x:c>
      <x:c r="J1286" t="str">
        <x:v>Amazon Marketplace</x:v>
      </x:c>
      <x:c r="K1286" t="str">
        <x:v>Marketplace Consumer</x:v>
      </x:c>
      <x:c r="L1286" t="str">
        <x:v>All Geographies</x:v>
      </x:c>
      <x:c r="M1286" s="34" t="n">
        <x:v>3648</x:v>
      </x:c>
      <x:c r="N1286" s="28" t="n">
        <x:v>0.040355999999999996</x:v>
      </x:c>
      <x:c r="O1286" s="34" t="n">
        <x:v>147</x:v>
      </x:c>
      <x:c r="P1286" s="34" t="n">
        <x:v>1</x:v>
      </x:c>
      <x:c r="Q1286" s="34" t="n">
        <x:v>147</x:v>
      </x:c>
      <x:c r="R1286" s="33" t="n">
        <x:v>29</x:v>
      </x:c>
      <x:c r="S1286" s="38" t="n">
        <x:v>4.263</x:v>
      </x:c>
      <x:c r="T1286" s="38" t="n">
        <x:v>0.21315</x:v>
      </x:c>
      <x:c r="U1286" s="38" t="n">
        <x:v>0.18224325</x:v>
      </x:c>
      <x:c r="V1286" s="38" t="n">
        <x:v>3.86760675</x:v>
      </x:c>
      <x:c r="W1286" s="38" t="n">
        <x:v>1.5876000000000001</x:v>
      </x:c>
      <x:c r="X1286" s="38" t="n">
        <x:v>0</x:v>
      </x:c>
      <x:c r="Y1286" s="38" t="n">
        <x:v>0.5801410125</x:v>
      </x:c>
      <x:c r="Z1286" s="38" t="n">
        <x:v>0.7644</x:v>
      </x:c>
      <x:c r="AA1286" s="38" t="n">
        <x:v>0.31605</x:v>
      </x:c>
      <x:c r="AB1286" s="38" t="n">
        <x:v>0.005292</x:v>
      </x:c>
      <x:c r="AC1286" s="38" t="n">
        <x:v>0.6141237375000003</x:v>
      </x:c>
      <x:c r="AD1286" s="28" t="n">
        <x:v>0.15878649955815705</x:v>
      </x:c>
    </x:row>
    <x:row r="1287">
      <x:c r="A1287" s="32" t="n">
        <x:v>46111</x:v>
      </x:c>
      <x:c r="B1287" s="32" t="n">
        <x:v>46082</x:v>
      </x:c>
      <x:c r="C1287" t="str">
        <x:v>Mar 2026</x:v>
      </x:c>
      <x:c r="D1287" t="str">
        <x:v>Forecast</x:v>
      </x:c>
      <x:c r="E1287" t="str">
        <x:v>DB-101</x:v>
      </x:c>
      <x:c r="F1287" t="str">
        <x:v>AeroSip Bottle</x:v>
      </x:c>
      <x:c r="G1287" t="str">
        <x:v>One-time purchase</x:v>
      </x:c>
      <x:c r="H1287" t="str">
        <x:v>None</x:v>
      </x:c>
      <x:c r="I1287" t="str">
        <x:v>Active</x:v>
      </x:c>
      <x:c r="J1287" t="str">
        <x:v>Wholesale</x:v>
      </x:c>
      <x:c r="K1287" t="str">
        <x:v>Retailer</x:v>
      </x:c>
      <x:c r="L1287" t="str">
        <x:v>All Geographies</x:v>
      </x:c>
      <x:c r="M1287" s="34" t="n">
        <x:v>2189</x:v>
      </x:c>
      <x:c r="N1287" s="28" t="n">
        <x:v>0.01881</x:v>
      </x:c>
      <x:c r="O1287" s="34" t="n">
        <x:v>41</x:v>
      </x:c>
      <x:c r="P1287" s="34" t="n">
        <x:v>1</x:v>
      </x:c>
      <x:c r="Q1287" s="34" t="n">
        <x:v>41</x:v>
      </x:c>
      <x:c r="R1287" s="33" t="n">
        <x:v>29</x:v>
      </x:c>
      <x:c r="S1287" s="38" t="n">
        <x:v>1.189</x:v>
      </x:c>
      <x:c r="T1287" s="38" t="n">
        <x:v>0.41615</x:v>
      </x:c>
      <x:c r="U1287" s="38" t="n">
        <x:v>0.034778250000000004</x:v>
      </x:c>
      <x:c r="V1287" s="38" t="n">
        <x:v>0.73807175</x:v>
      </x:c>
      <x:c r="W1287" s="38" t="n">
        <x:v>0.4428</x:v>
      </x:c>
      <x:c r="X1287" s="38" t="n">
        <x:v>0</x:v>
      </x:c>
      <x:c r="Y1287" s="38" t="n">
        <x:v>0</x:v>
      </x:c>
      <x:c r="Z1287" s="38" t="n">
        <x:v>0.0943</x:v>
      </x:c>
      <x:c r="AA1287" s="38" t="n">
        <x:v>0.03485</x:v>
      </x:c>
      <x:c r="AB1287" s="38" t="n">
        <x:v>0.0014759999999999999</x:v>
      </x:c>
      <x:c r="AC1287" s="38" t="n">
        <x:v>0.16464575</x:v>
      </x:c>
      <x:c r="AD1287" s="28" t="n">
        <x:v>0.22307553432305194</x:v>
      </x:c>
    </x:row>
    <x:row r="1288">
      <x:c r="A1288" s="32" t="n">
        <x:v>46111</x:v>
      </x:c>
      <x:c r="B1288" s="32" t="n">
        <x:v>46082</x:v>
      </x:c>
      <x:c r="C1288" t="str">
        <x:v>Mar 2026</x:v>
      </x:c>
      <x:c r="D1288" t="str">
        <x:v>Forecast</x:v>
      </x:c>
      <x:c r="E1288" t="str">
        <x:v>DB-101</x:v>
      </x:c>
      <x:c r="F1288" t="str">
        <x:v>AeroSip Bottle</x:v>
      </x:c>
      <x:c r="G1288" t="str">
        <x:v>One-time purchase</x:v>
      </x:c>
      <x:c r="H1288" t="str">
        <x:v>None</x:v>
      </x:c>
      <x:c r="I1288" t="str">
        <x:v>Active</x:v>
      </x:c>
      <x:c r="J1288" t="str">
        <x:v>TikTok Shop</x:v>
      </x:c>
      <x:c r="K1288" t="str">
        <x:v>Social Commerce</x:v>
      </x:c>
      <x:c r="L1288" t="str">
        <x:v>All Geographies</x:v>
      </x:c>
      <x:c r="M1288" s="34" t="n">
        <x:v>1459</x:v>
      </x:c>
      <x:c r="N1288" s="28" t="n">
        <x:v>0.043092</x:v>
      </x:c>
      <x:c r="O1288" s="34" t="n">
        <x:v>63</x:v>
      </x:c>
      <x:c r="P1288" s="34" t="n">
        <x:v>1</x:v>
      </x:c>
      <x:c r="Q1288" s="34" t="n">
        <x:v>63</x:v>
      </x:c>
      <x:c r="R1288" s="33" t="n">
        <x:v>29</x:v>
      </x:c>
      <x:c r="S1288" s="38" t="n">
        <x:v>1.827</x:v>
      </x:c>
      <x:c r="T1288" s="38" t="n">
        <x:v>0.21924</x:v>
      </x:c>
      <x:c r="U1288" s="38" t="n">
        <x:v>0.07234919999999999</x:v>
      </x:c>
      <x:c r="V1288" s="38" t="n">
        <x:v>1.5354108</x:v>
      </x:c>
      <x:c r="W1288" s="38" t="n">
        <x:v>0.6804000000000001</x:v>
      </x:c>
      <x:c r="X1288" s="38" t="n">
        <x:v>0.044526913200000004</x:v>
      </x:c>
      <x:c r="Y1288" s="38" t="n">
        <x:v>0.09212464799999999</x:v>
      </x:c>
      <x:c r="Z1288" s="38" t="n">
        <x:v>0.3213</x:v>
      </x:c>
      <x:c r="AA1288" s="38" t="n">
        <x:v>0.11025</x:v>
      </x:c>
      <x:c r="AB1288" s="38" t="n">
        <x:v>0.0022679999999999996</x:v>
      </x:c>
      <x:c r="AC1288" s="38" t="n">
        <x:v>0.2845412387999999</x:v>
      </x:c>
      <x:c r="AD1288" s="28" t="n">
        <x:v>0.18531928966501987</x:v>
      </x:c>
    </x:row>
    <x:row r="1289">
      <x:c r="A1289" s="32" t="n">
        <x:v>46111</x:v>
      </x:c>
      <x:c r="B1289" s="32" t="n">
        <x:v>46082</x:v>
      </x:c>
      <x:c r="C1289" t="str">
        <x:v>Mar 2026</x:v>
      </x:c>
      <x:c r="D1289" t="str">
        <x:v>Forecast</x:v>
      </x:c>
      <x:c r="E1289" t="str">
        <x:v>DB-102</x:v>
      </x:c>
      <x:c r="F1289" t="str">
        <x:v>GlowPatch Balm</x:v>
      </x:c>
      <x:c r="G1289" t="str">
        <x:v>Consumable repeat</x:v>
      </x:c>
      <x:c r="H1289" t="str">
        <x:v>None</x:v>
      </x:c>
      <x:c r="I1289" t="str">
        <x:v>Active</x:v>
      </x:c>
      <x:c r="J1289" t="str">
        <x:v>Shopify DTC</x:v>
      </x:c>
      <x:c r="K1289" t="str">
        <x:v>Consumer</x:v>
      </x:c>
      <x:c r="L1289" t="str">
        <x:v>All Geographies</x:v>
      </x:c>
      <x:c r="M1289" s="34" t="n">
        <x:v>5893</x:v>
      </x:c>
      <x:c r="N1289" s="28" t="n">
        <x:v>0.04248</x:v>
      </x:c>
      <x:c r="O1289" s="34" t="n">
        <x:v>250</x:v>
      </x:c>
      <x:c r="P1289" s="34" t="n">
        <x:v>1</x:v>
      </x:c>
      <x:c r="Q1289" s="34" t="n">
        <x:v>250</x:v>
      </x:c>
      <x:c r="R1289" s="33" t="n">
        <x:v>18</x:v>
      </x:c>
      <x:c r="S1289" s="38" t="n">
        <x:v>4.5</x:v>
      </x:c>
      <x:c r="T1289" s="38" t="n">
        <x:v>0.36</x:v>
      </x:c>
      <x:c r="U1289" s="38" t="n">
        <x:v>0.1035</x:v>
      </x:c>
      <x:c r="V1289" s="38" t="n">
        <x:v>4.036499999999999</x:v>
      </x:c>
      <x:c r="W1289" s="38" t="n">
        <x:v>1.3525</x:v>
      </x:c>
      <x:c r="X1289" s="38" t="n">
        <x:v>0.11705849999999998</x:v>
      </x:c>
      <x:c r="Y1289" s="38" t="n">
        <x:v>0</x:v>
      </x:c>
      <x:c r="Z1289" s="38" t="n">
        <x:v>1.0375</x:v>
      </x:c>
      <x:c r="AA1289" s="38" t="n">
        <x:v>0.4125</x:v>
      </x:c>
      <x:c r="AB1289" s="38" t="n">
        <x:v>0.0015</x:v>
      </x:c>
      <x:c r="AC1289" s="38" t="n">
        <x:v>1.1154414999999989</x:v>
      </x:c>
      <x:c r="AD1289" s="28" t="n">
        <x:v>0.2763387835996529</x:v>
      </x:c>
    </x:row>
    <x:row r="1290">
      <x:c r="A1290" s="32" t="n">
        <x:v>46111</x:v>
      </x:c>
      <x:c r="B1290" s="32" t="n">
        <x:v>46082</x:v>
      </x:c>
      <x:c r="C1290" t="str">
        <x:v>Mar 2026</x:v>
      </x:c>
      <x:c r="D1290" t="str">
        <x:v>Forecast</x:v>
      </x:c>
      <x:c r="E1290" t="str">
        <x:v>DB-102</x:v>
      </x:c>
      <x:c r="F1290" t="str">
        <x:v>GlowPatch Balm</x:v>
      </x:c>
      <x:c r="G1290" t="str">
        <x:v>Consumable repeat</x:v>
      </x:c>
      <x:c r="H1290" t="str">
        <x:v>None</x:v>
      </x:c>
      <x:c r="I1290" t="str">
        <x:v>Active</x:v>
      </x:c>
      <x:c r="J1290" t="str">
        <x:v>Amazon Marketplace</x:v>
      </x:c>
      <x:c r="K1290" t="str">
        <x:v>Marketplace Consumer</x:v>
      </x:c>
      <x:c r="L1290" t="str">
        <x:v>All Geographies</x:v>
      </x:c>
      <x:c r="M1290" s="34" t="n">
        <x:v>2946</x:v>
      </x:c>
      <x:c r="N1290" s="28" t="n">
        <x:v>0.050126399999999995</x:v>
      </x:c>
      <x:c r="O1290" s="34" t="n">
        <x:v>148</x:v>
      </x:c>
      <x:c r="P1290" s="34" t="n">
        <x:v>1</x:v>
      </x:c>
      <x:c r="Q1290" s="34" t="n">
        <x:v>148</x:v>
      </x:c>
      <x:c r="R1290" s="33" t="n">
        <x:v>18</x:v>
      </x:c>
      <x:c r="S1290" s="38" t="n">
        <x:v>2.664</x:v>
      </x:c>
      <x:c r="T1290" s="38" t="n">
        <x:v>0.1332</x:v>
      </x:c>
      <x:c r="U1290" s="38" t="n">
        <x:v>0.06327</x:v>
      </x:c>
      <x:c r="V1290" s="38" t="n">
        <x:v>2.46753</x:v>
      </x:c>
      <x:c r="W1290" s="38" t="n">
        <x:v>0.8006800000000001</x:v>
      </x:c>
      <x:c r="X1290" s="38" t="n">
        <x:v>0</x:v>
      </x:c>
      <x:c r="Y1290" s="38" t="n">
        <x:v>0.3701295</x:v>
      </x:c>
      <x:c r="Z1290" s="38" t="n">
        <x:v>0.7696000000000001</x:v>
      </x:c>
      <x:c r="AA1290" s="38" t="n">
        <x:v>0.3182</x:v>
      </x:c>
      <x:c r="AB1290" s="38" t="n">
        <x:v>0.0008879999999999999</x:v>
      </x:c>
      <x:c r="AC1290" s="38" t="n">
        <x:v>0.2080324999999999</x:v>
      </x:c>
      <x:c r="AD1290" s="28" t="n">
        <x:v>0.084307992202729</x:v>
      </x:c>
    </x:row>
    <x:row r="1291">
      <x:c r="A1291" s="32" t="n">
        <x:v>46111</x:v>
      </x:c>
      <x:c r="B1291" s="32" t="n">
        <x:v>46082</x:v>
      </x:c>
      <x:c r="C1291" t="str">
        <x:v>Mar 2026</x:v>
      </x:c>
      <x:c r="D1291" t="str">
        <x:v>Forecast</x:v>
      </x:c>
      <x:c r="E1291" t="str">
        <x:v>DB-102</x:v>
      </x:c>
      <x:c r="F1291" t="str">
        <x:v>GlowPatch Balm</x:v>
      </x:c>
      <x:c r="G1291" t="str">
        <x:v>Consumable repeat</x:v>
      </x:c>
      <x:c r="H1291" t="str">
        <x:v>None</x:v>
      </x:c>
      <x:c r="I1291" t="str">
        <x:v>Active</x:v>
      </x:c>
      <x:c r="J1291" t="str">
        <x:v>Wholesale</x:v>
      </x:c>
      <x:c r="K1291" t="str">
        <x:v>Retailer</x:v>
      </x:c>
      <x:c r="L1291" t="str">
        <x:v>All Geographies</x:v>
      </x:c>
      <x:c r="M1291" s="34" t="n">
        <x:v>1768</x:v>
      </x:c>
      <x:c r="N1291" s="28" t="n">
        <x:v>0.023364</x:v>
      </x:c>
      <x:c r="O1291" s="34" t="n">
        <x:v>41</x:v>
      </x:c>
      <x:c r="P1291" s="34" t="n">
        <x:v>1</x:v>
      </x:c>
      <x:c r="Q1291" s="34" t="n">
        <x:v>41</x:v>
      </x:c>
      <x:c r="R1291" s="33" t="n">
        <x:v>18</x:v>
      </x:c>
      <x:c r="S1291" s="38" t="n">
        <x:v>0.738</x:v>
      </x:c>
      <x:c r="T1291" s="38" t="n">
        <x:v>0.2583</x:v>
      </x:c>
      <x:c r="U1291" s="38" t="n">
        <x:v>0.011992500000000001</x:v>
      </x:c>
      <x:c r="V1291" s="38" t="n">
        <x:v>0.4677075</x:v>
      </x:c>
      <x:c r="W1291" s="38" t="n">
        <x:v>0.22181</x:v>
      </x:c>
      <x:c r="X1291" s="38" t="n">
        <x:v>0</x:v>
      </x:c>
      <x:c r="Y1291" s="38" t="n">
        <x:v>0</x:v>
      </x:c>
      <x:c r="Z1291" s="38" t="n">
        <x:v>0.0943</x:v>
      </x:c>
      <x:c r="AA1291" s="38" t="n">
        <x:v>0.03485</x:v>
      </x:c>
      <x:c r="AB1291" s="38" t="n">
        <x:v>0.000246</x:v>
      </x:c>
      <x:c r="AC1291" s="38" t="n">
        <x:v>0.11650150000000001</x:v>
      </x:c>
      <x:c r="AD1291" s="28" t="n">
        <x:v>0.2490905106289722</x:v>
      </x:c>
    </x:row>
    <x:row r="1292">
      <x:c r="A1292" s="32" t="n">
        <x:v>46111</x:v>
      </x:c>
      <x:c r="B1292" s="32" t="n">
        <x:v>46082</x:v>
      </x:c>
      <x:c r="C1292" t="str">
        <x:v>Mar 2026</x:v>
      </x:c>
      <x:c r="D1292" t="str">
        <x:v>Forecast</x:v>
      </x:c>
      <x:c r="E1292" t="str">
        <x:v>DB-102</x:v>
      </x:c>
      <x:c r="F1292" t="str">
        <x:v>GlowPatch Balm</x:v>
      </x:c>
      <x:c r="G1292" t="str">
        <x:v>Consumable repeat</x:v>
      </x:c>
      <x:c r="H1292" t="str">
        <x:v>None</x:v>
      </x:c>
      <x:c r="I1292" t="str">
        <x:v>Active</x:v>
      </x:c>
      <x:c r="J1292" t="str">
        <x:v>TikTok Shop</x:v>
      </x:c>
      <x:c r="K1292" t="str">
        <x:v>Social Commerce</x:v>
      </x:c>
      <x:c r="L1292" t="str">
        <x:v>All Geographies</x:v>
      </x:c>
      <x:c r="M1292" s="34" t="n">
        <x:v>1179</x:v>
      </x:c>
      <x:c r="N1292" s="28" t="n">
        <x:v>0.0535248</x:v>
      </x:c>
      <x:c r="O1292" s="34" t="n">
        <x:v>63</x:v>
      </x:c>
      <x:c r="P1292" s="34" t="n">
        <x:v>1</x:v>
      </x:c>
      <x:c r="Q1292" s="34" t="n">
        <x:v>63</x:v>
      </x:c>
      <x:c r="R1292" s="33" t="n">
        <x:v>18</x:v>
      </x:c>
      <x:c r="S1292" s="38" t="n">
        <x:v>1.134</x:v>
      </x:c>
      <x:c r="T1292" s="38" t="n">
        <x:v>0.13607999999999998</x:v>
      </x:c>
      <x:c r="U1292" s="38" t="n">
        <x:v>0.024947999999999998</x:v>
      </x:c>
      <x:c r="V1292" s="38" t="n">
        <x:v>0.972972</x:v>
      </x:c>
      <x:c r="W1292" s="38" t="n">
        <x:v>0.34082999999999997</x:v>
      </x:c>
      <x:c r="X1292" s="38" t="n">
        <x:v>0.028216188</x:v>
      </x:c>
      <x:c r="Y1292" s="38" t="n">
        <x:v>0.05837832</x:v>
      </x:c>
      <x:c r="Z1292" s="38" t="n">
        <x:v>0.3213</x:v>
      </x:c>
      <x:c r="AA1292" s="38" t="n">
        <x:v>0.11025</x:v>
      </x:c>
      <x:c r="AB1292" s="38" t="n">
        <x:v>0.000378</x:v>
      </x:c>
      <x:c r="AC1292" s="38" t="n">
        <x:v>0.11361949199999999</x:v>
      </x:c>
      <x:c r="AD1292" s="28" t="n">
        <x:v>0.11677570577570577</x:v>
      </x:c>
    </x:row>
    <x:row r="1293">
      <x:c r="A1293" s="32" t="n">
        <x:v>46111</x:v>
      </x:c>
      <x:c r="B1293" s="32" t="n">
        <x:v>46082</x:v>
      </x:c>
      <x:c r="C1293" t="str">
        <x:v>Mar 2026</x:v>
      </x:c>
      <x:c r="D1293" t="str">
        <x:v>Forecast</x:v>
      </x:c>
      <x:c r="E1293" t="str">
        <x:v>DB-103</x:v>
      </x:c>
      <x:c r="F1293" t="str">
        <x:v>EmberTrail Camp Mug</x:v>
      </x:c>
      <x:c r="G1293" t="str">
        <x:v>One-time purchase</x:v>
      </x:c>
      <x:c r="H1293" t="str">
        <x:v>Winter peak</x:v>
      </x:c>
      <x:c r="I1293" t="str">
        <x:v>Active</x:v>
      </x:c>
      <x:c r="J1293" t="str">
        <x:v>Shopify DTC</x:v>
      </x:c>
      <x:c r="K1293" t="str">
        <x:v>Consumer</x:v>
      </x:c>
      <x:c r="L1293" t="str">
        <x:v>All Geographies</x:v>
      </x:c>
      <x:c r="M1293" s="34" t="n">
        <x:v>4647</x:v>
      </x:c>
      <x:c r="N1293" s="28" t="n">
        <x:v>0.0324</x:v>
      </x:c>
      <x:c r="O1293" s="34" t="n">
        <x:v>151</x:v>
      </x:c>
      <x:c r="P1293" s="34" t="n">
        <x:v>1</x:v>
      </x:c>
      <x:c r="Q1293" s="34" t="n">
        <x:v>151</x:v>
      </x:c>
      <x:c r="R1293" s="33" t="n">
        <x:v>34</x:v>
      </x:c>
      <x:c r="S1293" s="38" t="n">
        <x:v>5.134</x:v>
      </x:c>
      <x:c r="T1293" s="38" t="n">
        <x:v>0.41072000000000003</x:v>
      </x:c>
      <x:c r="U1293" s="38" t="n">
        <x:v>0.2597804</x:v>
      </x:c>
      <x:c r="V1293" s="38" t="n">
        <x:v>4.4634996</x:v>
      </x:c>
      <x:c r="W1293" s="38" t="n">
        <x:v>2.0641700000000003</x:v>
      </x:c>
      <x:c r="X1293" s="38" t="n">
        <x:v>0.1294414884</x:v>
      </x:c>
      <x:c r="Y1293" s="38" t="n">
        <x:v>0</x:v>
      </x:c>
      <x:c r="Z1293" s="38" t="n">
        <x:v>0.62665</x:v>
      </x:c>
      <x:c r="AA1293" s="38" t="n">
        <x:v>0.24914999999999998</x:v>
      </x:c>
      <x:c r="AB1293" s="38" t="n">
        <x:v>0.008456</x:v>
      </x:c>
      <x:c r="AC1293" s="38" t="n">
        <x:v>1.3856321115999992</x:v>
      </x:c>
      <x:c r="AD1293" s="28" t="n">
        <x:v>0.31043625759482524</x:v>
      </x:c>
    </x:row>
    <x:row r="1294">
      <x:c r="A1294" s="32" t="n">
        <x:v>46111</x:v>
      </x:c>
      <x:c r="B1294" s="32" t="n">
        <x:v>46082</x:v>
      </x:c>
      <x:c r="C1294" t="str">
        <x:v>Mar 2026</x:v>
      </x:c>
      <x:c r="D1294" t="str">
        <x:v>Forecast</x:v>
      </x:c>
      <x:c r="E1294" t="str">
        <x:v>DB-103</x:v>
      </x:c>
      <x:c r="F1294" t="str">
        <x:v>EmberTrail Camp Mug</x:v>
      </x:c>
      <x:c r="G1294" t="str">
        <x:v>One-time purchase</x:v>
      </x:c>
      <x:c r="H1294" t="str">
        <x:v>Winter peak</x:v>
      </x:c>
      <x:c r="I1294" t="str">
        <x:v>Active</x:v>
      </x:c>
      <x:c r="J1294" t="str">
        <x:v>Amazon Marketplace</x:v>
      </x:c>
      <x:c r="K1294" t="str">
        <x:v>Marketplace Consumer</x:v>
      </x:c>
      <x:c r="L1294" t="str">
        <x:v>All Geographies</x:v>
      </x:c>
      <x:c r="M1294" s="34" t="n">
        <x:v>2323</x:v>
      </x:c>
      <x:c r="N1294" s="28" t="n">
        <x:v>0.038231999999999995</x:v>
      </x:c>
      <x:c r="O1294" s="34" t="n">
        <x:v>89</x:v>
      </x:c>
      <x:c r="P1294" s="34" t="n">
        <x:v>1</x:v>
      </x:c>
      <x:c r="Q1294" s="34" t="n">
        <x:v>89</x:v>
      </x:c>
      <x:c r="R1294" s="33" t="n">
        <x:v>34</x:v>
      </x:c>
      <x:c r="S1294" s="38" t="n">
        <x:v>3.026</x:v>
      </x:c>
      <x:c r="T1294" s="38" t="n">
        <x:v>0.1513</x:v>
      </x:c>
      <x:c r="U1294" s="38" t="n">
        <x:v>0.15810849999999999</x:v>
      </x:c>
      <x:c r="V1294" s="38" t="n">
        <x:v>2.7165915</x:v>
      </x:c>
      <x:c r="W1294" s="38" t="n">
        <x:v>1.2166299999999999</x:v>
      </x:c>
      <x:c r="X1294" s="38" t="n">
        <x:v>0</x:v>
      </x:c>
      <x:c r="Y1294" s="38" t="n">
        <x:v>0.40748872499999994</x:v>
      </x:c>
      <x:c r="Z1294" s="38" t="n">
        <x:v>0.4628</x:v>
      </x:c>
      <x:c r="AA1294" s="38" t="n">
        <x:v>0.19135</x:v>
      </x:c>
      <x:c r="AB1294" s="38" t="n">
        <x:v>0.004984</x:v>
      </x:c>
      <x:c r="AC1294" s="38" t="n">
        <x:v>0.43333877500000006</x:v>
      </x:c>
      <x:c r="AD1294" s="28" t="n">
        <x:v>0.15951561911314235</x:v>
      </x:c>
    </x:row>
    <x:row r="1295">
      <x:c r="A1295" s="32" t="n">
        <x:v>46111</x:v>
      </x:c>
      <x:c r="B1295" s="32" t="n">
        <x:v>46082</x:v>
      </x:c>
      <x:c r="C1295" t="str">
        <x:v>Mar 2026</x:v>
      </x:c>
      <x:c r="D1295" t="str">
        <x:v>Forecast</x:v>
      </x:c>
      <x:c r="E1295" t="str">
        <x:v>DB-103</x:v>
      </x:c>
      <x:c r="F1295" t="str">
        <x:v>EmberTrail Camp Mug</x:v>
      </x:c>
      <x:c r="G1295" t="str">
        <x:v>One-time purchase</x:v>
      </x:c>
      <x:c r="H1295" t="str">
        <x:v>Winter peak</x:v>
      </x:c>
      <x:c r="I1295" t="str">
        <x:v>Active</x:v>
      </x:c>
      <x:c r="J1295" t="str">
        <x:v>Wholesale</x:v>
      </x:c>
      <x:c r="K1295" t="str">
        <x:v>Retailer</x:v>
      </x:c>
      <x:c r="L1295" t="str">
        <x:v>All Geographies</x:v>
      </x:c>
      <x:c r="M1295" s="34" t="n">
        <x:v>1394</x:v>
      </x:c>
      <x:c r="N1295" s="28" t="n">
        <x:v>0.017820000000000003</x:v>
      </x:c>
      <x:c r="O1295" s="34" t="n">
        <x:v>25</x:v>
      </x:c>
      <x:c r="P1295" s="34" t="n">
        <x:v>1</x:v>
      </x:c>
      <x:c r="Q1295" s="34" t="n">
        <x:v>25</x:v>
      </x:c>
      <x:c r="R1295" s="33" t="n">
        <x:v>34</x:v>
      </x:c>
      <x:c r="S1295" s="38" t="n">
        <x:v>0.85</x:v>
      </x:c>
      <x:c r="T1295" s="38" t="n">
        <x:v>0.2975</x:v>
      </x:c>
      <x:c r="U1295" s="38" t="n">
        <x:v>0.0303875</x:v>
      </x:c>
      <x:c r="V1295" s="38" t="n">
        <x:v>0.5221125</x:v>
      </x:c>
      <x:c r="W1295" s="38" t="n">
        <x:v>0.34175</x:v>
      </x:c>
      <x:c r="X1295" s="38" t="n">
        <x:v>0</x:v>
      </x:c>
      <x:c r="Y1295" s="38" t="n">
        <x:v>0</x:v>
      </x:c>
      <x:c r="Z1295" s="38" t="n">
        <x:v>0.057499999999999996</x:v>
      </x:c>
      <x:c r="AA1295" s="38" t="n">
        <x:v>0.02125</x:v>
      </x:c>
      <x:c r="AB1295" s="38" t="n">
        <x:v>0.0014000000000000002</x:v>
      </x:c>
      <x:c r="AC1295" s="38" t="n">
        <x:v>0.10021249999999998</x:v>
      </x:c>
      <x:c r="AD1295" s="28" t="n">
        <x:v>0.19193660370130955</x:v>
      </x:c>
    </x:row>
    <x:row r="1296">
      <x:c r="A1296" s="32" t="n">
        <x:v>46111</x:v>
      </x:c>
      <x:c r="B1296" s="32" t="n">
        <x:v>46082</x:v>
      </x:c>
      <x:c r="C1296" t="str">
        <x:v>Mar 2026</x:v>
      </x:c>
      <x:c r="D1296" t="str">
        <x:v>Forecast</x:v>
      </x:c>
      <x:c r="E1296" t="str">
        <x:v>DB-103</x:v>
      </x:c>
      <x:c r="F1296" t="str">
        <x:v>EmberTrail Camp Mug</x:v>
      </x:c>
      <x:c r="G1296" t="str">
        <x:v>One-time purchase</x:v>
      </x:c>
      <x:c r="H1296" t="str">
        <x:v>Winter peak</x:v>
      </x:c>
      <x:c r="I1296" t="str">
        <x:v>Active</x:v>
      </x:c>
      <x:c r="J1296" t="str">
        <x:v>TikTok Shop</x:v>
      </x:c>
      <x:c r="K1296" t="str">
        <x:v>Social Commerce</x:v>
      </x:c>
      <x:c r="L1296" t="str">
        <x:v>All Geographies</x:v>
      </x:c>
      <x:c r="M1296" s="34" t="n">
        <x:v>929</x:v>
      </x:c>
      <x:c r="N1296" s="28" t="n">
        <x:v>0.040824</x:v>
      </x:c>
      <x:c r="O1296" s="34" t="n">
        <x:v>38</x:v>
      </x:c>
      <x:c r="P1296" s="34" t="n">
        <x:v>1</x:v>
      </x:c>
      <x:c r="Q1296" s="34" t="n">
        <x:v>38</x:v>
      </x:c>
      <x:c r="R1296" s="33" t="n">
        <x:v>34</x:v>
      </x:c>
      <x:c r="S1296" s="38" t="n">
        <x:v>1.292</x:v>
      </x:c>
      <x:c r="T1296" s="38" t="n">
        <x:v>0.15504</x:v>
      </x:c>
      <x:c r="U1296" s="38" t="n">
        <x:v>0.0625328</x:v>
      </x:c>
      <x:c r="V1296" s="38" t="n">
        <x:v>1.0744272</x:v>
      </x:c>
      <x:c r="W1296" s="38" t="n">
        <x:v>0.51946</x:v>
      </x:c>
      <x:c r="X1296" s="38" t="n">
        <x:v>0.0311583888</x:v>
      </x:c>
      <x:c r="Y1296" s="38" t="n">
        <x:v>0.064465632</x:v>
      </x:c>
      <x:c r="Z1296" s="38" t="n">
        <x:v>0.19379999999999997</x:v>
      </x:c>
      <x:c r="AA1296" s="38" t="n">
        <x:v>0.0665</x:v>
      </x:c>
      <x:c r="AB1296" s="38" t="n">
        <x:v>0.002128</x:v>
      </x:c>
      <x:c r="AC1296" s="38" t="n">
        <x:v>0.19691517919999993</x:v>
      </x:c>
      <x:c r="AD1296" s="28" t="n">
        <x:v>0.1832745663922134</x:v>
      </x:c>
    </x:row>
    <x:row r="1297">
      <x:c r="A1297" s="32" t="n">
        <x:v>46111</x:v>
      </x:c>
      <x:c r="B1297" s="32" t="n">
        <x:v>46082</x:v>
      </x:c>
      <x:c r="C1297" t="str">
        <x:v>Mar 2026</x:v>
      </x:c>
      <x:c r="D1297" t="str">
        <x:v>Forecast</x:v>
      </x:c>
      <x:c r="E1297" t="str">
        <x:v>DB-104</x:v>
      </x:c>
      <x:c r="F1297" t="str">
        <x:v>SunNest Cooling Towel</x:v>
      </x:c>
      <x:c r="G1297" t="str">
        <x:v>Consumable repeat</x:v>
      </x:c>
      <x:c r="H1297" t="str">
        <x:v>Summer peak</x:v>
      </x:c>
      <x:c r="I1297" t="str">
        <x:v>Active</x:v>
      </x:c>
      <x:c r="J1297" t="str">
        <x:v>Shopify DTC</x:v>
      </x:c>
      <x:c r="K1297" t="str">
        <x:v>Consumer</x:v>
      </x:c>
      <x:c r="L1297" t="str">
        <x:v>All Geographies</x:v>
      </x:c>
      <x:c r="M1297" s="34" t="n">
        <x:v>4198</x:v>
      </x:c>
      <x:c r="N1297" s="28" t="n">
        <x:v>0.03312</x:v>
      </x:c>
      <x:c r="O1297" s="34" t="n">
        <x:v>139</x:v>
      </x:c>
      <x:c r="P1297" s="34" t="n">
        <x:v>1</x:v>
      </x:c>
      <x:c r="Q1297" s="34" t="n">
        <x:v>139</x:v>
      </x:c>
      <x:c r="R1297" s="33" t="n">
        <x:v>42</x:v>
      </x:c>
      <x:c r="S1297" s="38" t="n">
        <x:v>5.838</x:v>
      </x:c>
      <x:c r="T1297" s="38" t="n">
        <x:v>0.46704</x:v>
      </x:c>
      <x:c r="U1297" s="38" t="n">
        <x:v>0.268548</x:v>
      </x:c>
      <x:c r="V1297" s="38" t="n">
        <x:v>5.102412</x:v>
      </x:c>
      <x:c r="W1297" s="38" t="n">
        <x:v>2.09195</x:v>
      </x:c>
      <x:c r="X1297" s="38" t="n">
        <x:v>0.14796994800000002</x:v>
      </x:c>
      <x:c r="Y1297" s="38" t="n">
        <x:v>0</x:v>
      </x:c>
      <x:c r="Z1297" s="38" t="n">
        <x:v>0.57685</x:v>
      </x:c>
      <x:c r="AA1297" s="38" t="n">
        <x:v>0.22935</x:v>
      </x:c>
      <x:c r="AB1297" s="38" t="n">
        <x:v>0.003892</x:v>
      </x:c>
      <x:c r="AC1297" s="38" t="n">
        <x:v>2.052400052</x:v>
      </x:c>
      <x:c r="AD1297" s="28" t="n">
        <x:v>0.4022411463441211</x:v>
      </x:c>
    </x:row>
    <x:row r="1298">
      <x:c r="A1298" s="32" t="n">
        <x:v>46111</x:v>
      </x:c>
      <x:c r="B1298" s="32" t="n">
        <x:v>46082</x:v>
      </x:c>
      <x:c r="C1298" t="str">
        <x:v>Mar 2026</x:v>
      </x:c>
      <x:c r="D1298" t="str">
        <x:v>Forecast</x:v>
      </x:c>
      <x:c r="E1298" t="str">
        <x:v>DB-104</x:v>
      </x:c>
      <x:c r="F1298" t="str">
        <x:v>SunNest Cooling Towel</x:v>
      </x:c>
      <x:c r="G1298" t="str">
        <x:v>Consumable repeat</x:v>
      </x:c>
      <x:c r="H1298" t="str">
        <x:v>Summer peak</x:v>
      </x:c>
      <x:c r="I1298" t="str">
        <x:v>Active</x:v>
      </x:c>
      <x:c r="J1298" t="str">
        <x:v>Amazon Marketplace</x:v>
      </x:c>
      <x:c r="K1298" t="str">
        <x:v>Marketplace Consumer</x:v>
      </x:c>
      <x:c r="L1298" t="str">
        <x:v>All Geographies</x:v>
      </x:c>
      <x:c r="M1298" s="34" t="n">
        <x:v>2099</x:v>
      </x:c>
      <x:c r="N1298" s="28" t="n">
        <x:v>0.0390816</x:v>
      </x:c>
      <x:c r="O1298" s="34" t="n">
        <x:v>82</x:v>
      </x:c>
      <x:c r="P1298" s="34" t="n">
        <x:v>1</x:v>
      </x:c>
      <x:c r="Q1298" s="34" t="n">
        <x:v>82</x:v>
      </x:c>
      <x:c r="R1298" s="33" t="n">
        <x:v>42</x:v>
      </x:c>
      <x:c r="S1298" s="38" t="n">
        <x:v>3.444</x:v>
      </x:c>
      <x:c r="T1298" s="38" t="n">
        <x:v>0.17220000000000002</x:v>
      </x:c>
      <x:c r="U1298" s="38" t="n">
        <x:v>0.16359</x:v>
      </x:c>
      <x:c r="V1298" s="38" t="n">
        <x:v>3.1082099999999997</x:v>
      </x:c>
      <x:c r="W1298" s="38" t="n">
        <x:v>1.2341000000000002</x:v>
      </x:c>
      <x:c r="X1298" s="38" t="n">
        <x:v>0</x:v>
      </x:c>
      <x:c r="Y1298" s="38" t="n">
        <x:v>0.4662314999999999</x:v>
      </x:c>
      <x:c r="Z1298" s="38" t="n">
        <x:v>0.42640000000000006</x:v>
      </x:c>
      <x:c r="AA1298" s="38" t="n">
        <x:v>0.17629999999999998</x:v>
      </x:c>
      <x:c r="AB1298" s="38" t="n">
        <x:v>0.002296</x:v>
      </x:c>
      <x:c r="AC1298" s="38" t="n">
        <x:v>0.8028824999999995</x:v>
      </x:c>
      <x:c r="AD1298" s="28" t="n">
        <x:v>0.2583102493074791</x:v>
      </x:c>
    </x:row>
    <x:row r="1299">
      <x:c r="A1299" s="32" t="n">
        <x:v>46111</x:v>
      </x:c>
      <x:c r="B1299" s="32" t="n">
        <x:v>46082</x:v>
      </x:c>
      <x:c r="C1299" t="str">
        <x:v>Mar 2026</x:v>
      </x:c>
      <x:c r="D1299" t="str">
        <x:v>Forecast</x:v>
      </x:c>
      <x:c r="E1299" t="str">
        <x:v>DB-104</x:v>
      </x:c>
      <x:c r="F1299" t="str">
        <x:v>SunNest Cooling Towel</x:v>
      </x:c>
      <x:c r="G1299" t="str">
        <x:v>Consumable repeat</x:v>
      </x:c>
      <x:c r="H1299" t="str">
        <x:v>Summer peak</x:v>
      </x:c>
      <x:c r="I1299" t="str">
        <x:v>Active</x:v>
      </x:c>
      <x:c r="J1299" t="str">
        <x:v>Wholesale</x:v>
      </x:c>
      <x:c r="K1299" t="str">
        <x:v>Retailer</x:v>
      </x:c>
      <x:c r="L1299" t="str">
        <x:v>All Geographies</x:v>
      </x:c>
      <x:c r="M1299" s="34" t="n">
        <x:v>1259</x:v>
      </x:c>
      <x:c r="N1299" s="28" t="n">
        <x:v>0.018216000000000003</x:v>
      </x:c>
      <x:c r="O1299" s="34" t="n">
        <x:v>23</x:v>
      </x:c>
      <x:c r="P1299" s="34" t="n">
        <x:v>1</x:v>
      </x:c>
      <x:c r="Q1299" s="34" t="n">
        <x:v>23</x:v>
      </x:c>
      <x:c r="R1299" s="33" t="n">
        <x:v>42</x:v>
      </x:c>
      <x:c r="S1299" s="38" t="n">
        <x:v>0.966</x:v>
      </x:c>
      <x:c r="T1299" s="38" t="n">
        <x:v>0.33809999999999996</x:v>
      </x:c>
      <x:c r="U1299" s="38" t="n">
        <x:v>0.031395</x:v>
      </x:c>
      <x:c r="V1299" s="38" t="n">
        <x:v>0.5965050000000001</x:v>
      </x:c>
      <x:c r="W1299" s="38" t="n">
        <x:v>0.34615</x:v>
      </x:c>
      <x:c r="X1299" s="38" t="n">
        <x:v>0</x:v>
      </x:c>
      <x:c r="Y1299" s="38" t="n">
        <x:v>0</x:v>
      </x:c>
      <x:c r="Z1299" s="38" t="n">
        <x:v>0.052899999999999996</x:v>
      </x:c>
      <x:c r="AA1299" s="38" t="n">
        <x:v>0.01955</x:v>
      </x:c>
      <x:c r="AB1299" s="38" t="n">
        <x:v>0.000644</x:v>
      </x:c>
      <x:c r="AC1299" s="38" t="n">
        <x:v>0.17726100000000003</x:v>
      </x:c>
      <x:c r="AD1299" s="28" t="n">
        <x:v>0.29716599190283405</x:v>
      </x:c>
    </x:row>
    <x:row r="1300">
      <x:c r="A1300" s="32" t="n">
        <x:v>46111</x:v>
      </x:c>
      <x:c r="B1300" s="32" t="n">
        <x:v>46082</x:v>
      </x:c>
      <x:c r="C1300" t="str">
        <x:v>Mar 2026</x:v>
      </x:c>
      <x:c r="D1300" t="str">
        <x:v>Forecast</x:v>
      </x:c>
      <x:c r="E1300" t="str">
        <x:v>DB-104</x:v>
      </x:c>
      <x:c r="F1300" t="str">
        <x:v>SunNest Cooling Towel</x:v>
      </x:c>
      <x:c r="G1300" t="str">
        <x:v>Consumable repeat</x:v>
      </x:c>
      <x:c r="H1300" t="str">
        <x:v>Summer peak</x:v>
      </x:c>
      <x:c r="I1300" t="str">
        <x:v>Active</x:v>
      </x:c>
      <x:c r="J1300" t="str">
        <x:v>TikTok Shop</x:v>
      </x:c>
      <x:c r="K1300" t="str">
        <x:v>Social Commerce</x:v>
      </x:c>
      <x:c r="L1300" t="str">
        <x:v>All Geographies</x:v>
      </x:c>
      <x:c r="M1300" s="34" t="n">
        <x:v>840</x:v>
      </x:c>
      <x:c r="N1300" s="28" t="n">
        <x:v>0.0417312</x:v>
      </x:c>
      <x:c r="O1300" s="34" t="n">
        <x:v>35</x:v>
      </x:c>
      <x:c r="P1300" s="34" t="n">
        <x:v>1</x:v>
      </x:c>
      <x:c r="Q1300" s="34" t="n">
        <x:v>35</x:v>
      </x:c>
      <x:c r="R1300" s="33" t="n">
        <x:v>42</x:v>
      </x:c>
      <x:c r="S1300" s="38" t="n">
        <x:v>1.47</x:v>
      </x:c>
      <x:c r="T1300" s="38" t="n">
        <x:v>0.1764</x:v>
      </x:c>
      <x:c r="U1300" s="38" t="n">
        <x:v>0.06468</x:v>
      </x:c>
      <x:c r="V1300" s="38" t="n">
        <x:v>1.22892</x:v>
      </x:c>
      <x:c r="W1300" s="38" t="n">
        <x:v>0.52675</x:v>
      </x:c>
      <x:c r="X1300" s="38" t="n">
        <x:v>0.03563868</x:v>
      </x:c>
      <x:c r="Y1300" s="38" t="n">
        <x:v>0.0737352</x:v>
      </x:c>
      <x:c r="Z1300" s="38" t="n">
        <x:v>0.1785</x:v>
      </x:c>
      <x:c r="AA1300" s="38" t="n">
        <x:v>0.06125</x:v>
      </x:c>
      <x:c r="AB1300" s="38" t="n">
        <x:v>0.00098</x:v>
      </x:c>
      <x:c r="AC1300" s="38" t="n">
        <x:v>0.3520661199999999</x:v>
      </x:c>
      <x:c r="AD1300" s="28" t="n">
        <x:v>0.2864841649578491</x:v>
      </x:c>
    </x:row>
    <x:row r="1301">
      <x:c r="A1301" s="32" t="n">
        <x:v>46111</x:v>
      </x:c>
      <x:c r="B1301" s="32" t="n">
        <x:v>46082</x:v>
      </x:c>
      <x:c r="C1301" t="str">
        <x:v>Mar 2026</x:v>
      </x:c>
      <x:c r="D1301" t="str">
        <x:v>Forecast</x:v>
      </x:c>
      <x:c r="E1301" t="str">
        <x:v>DB-105</x:v>
      </x:c>
      <x:c r="F1301" t="str">
        <x:v>DreamFuel Refill Pack</x:v>
      </x:c>
      <x:c r="G1301" t="str">
        <x:v>Subscription</x:v>
      </x:c>
      <x:c r="H1301" t="str">
        <x:v>None</x:v>
      </x:c>
      <x:c r="I1301" t="str">
        <x:v>Active</x:v>
      </x:c>
      <x:c r="J1301" t="str">
        <x:v>Shopify DTC</x:v>
      </x:c>
      <x:c r="K1301" t="str">
        <x:v>Consumer</x:v>
      </x:c>
      <x:c r="L1301" t="str">
        <x:v>All Geographies</x:v>
      </x:c>
      <x:c r="M1301" s="34" t="n">
        <x:v>5051</x:v>
      </x:c>
      <x:c r="N1301" s="28" t="n">
        <x:v>0.03888</x:v>
      </x:c>
      <x:c r="O1301" s="34" t="n">
        <x:v>196</x:v>
      </x:c>
      <x:c r="P1301" s="34" t="n">
        <x:v>1</x:v>
      </x:c>
      <x:c r="Q1301" s="34" t="n">
        <x:v>196</x:v>
      </x:c>
      <x:c r="R1301" s="33" t="n">
        <x:v>56</x:v>
      </x:c>
      <x:c r="S1301" s="38" t="n">
        <x:v>10.976</x:v>
      </x:c>
      <x:c r="T1301" s="38" t="n">
        <x:v>0.8780800000000001</x:v>
      </x:c>
      <x:c r="U1301" s="38" t="n">
        <x:v>0.2019584</x:v>
      </x:c>
      <x:c r="V1301" s="38" t="n">
        <x:v>9.8959616</x:v>
      </x:c>
      <x:c r="W1301" s="38" t="n">
        <x:v>3.64952</x:v>
      </x:c>
      <x:c r="X1301" s="38" t="n">
        <x:v>0.2869828864</x:v>
      </x:c>
      <x:c r="Y1301" s="38" t="n">
        <x:v>0</x:v>
      </x:c>
      <x:c r="Z1301" s="38" t="n">
        <x:v>0.8134000000000001</x:v>
      </x:c>
      <x:c r="AA1301" s="38" t="n">
        <x:v>0.32339999999999997</x:v>
      </x:c>
      <x:c r="AB1301" s="38" t="n">
        <x:v>0.0007055999999999999</x:v>
      </x:c>
      <x:c r="AC1301" s="38" t="n">
        <x:v>4.8219531136</x:v>
      </x:c>
      <x:c r="AD1301" s="28" t="n">
        <x:v>0.4872647357079478</x:v>
      </x:c>
    </x:row>
    <x:row r="1302">
      <x:c r="A1302" s="32" t="n">
        <x:v>46111</x:v>
      </x:c>
      <x:c r="B1302" s="32" t="n">
        <x:v>46082</x:v>
      </x:c>
      <x:c r="C1302" t="str">
        <x:v>Mar 2026</x:v>
      </x:c>
      <x:c r="D1302" t="str">
        <x:v>Forecast</x:v>
      </x:c>
      <x:c r="E1302" t="str">
        <x:v>DB-105</x:v>
      </x:c>
      <x:c r="F1302" t="str">
        <x:v>DreamFuel Refill Pack</x:v>
      </x:c>
      <x:c r="G1302" t="str">
        <x:v>Subscription</x:v>
      </x:c>
      <x:c r="H1302" t="str">
        <x:v>None</x:v>
      </x:c>
      <x:c r="I1302" t="str">
        <x:v>Active</x:v>
      </x:c>
      <x:c r="J1302" t="str">
        <x:v>Amazon Marketplace</x:v>
      </x:c>
      <x:c r="K1302" t="str">
        <x:v>Marketplace Consumer</x:v>
      </x:c>
      <x:c r="L1302" t="str">
        <x:v>All Geographies</x:v>
      </x:c>
      <x:c r="M1302" s="34" t="n">
        <x:v>2525</x:v>
      </x:c>
      <x:c r="N1302" s="28" t="n">
        <x:v>0.0458784</x:v>
      </x:c>
      <x:c r="O1302" s="34" t="n">
        <x:v>116</x:v>
      </x:c>
      <x:c r="P1302" s="34" t="n">
        <x:v>1</x:v>
      </x:c>
      <x:c r="Q1302" s="34" t="n">
        <x:v>116</x:v>
      </x:c>
      <x:c r="R1302" s="33" t="n">
        <x:v>56</x:v>
      </x:c>
      <x:c r="S1302" s="38" t="n">
        <x:v>6.496</x:v>
      </x:c>
      <x:c r="T1302" s="38" t="n">
        <x:v>0.32480000000000003</x:v>
      </x:c>
      <x:c r="U1302" s="38" t="n">
        <x:v>0.12342400000000002</x:v>
      </x:c>
      <x:c r="V1302" s="38" t="n">
        <x:v>6.047776000000001</x:v>
      </x:c>
      <x:c r="W1302" s="38" t="n">
        <x:v>2.15992</x:v>
      </x:c>
      <x:c r="X1302" s="38" t="n">
        <x:v>0</x:v>
      </x:c>
      <x:c r="Y1302" s="38" t="n">
        <x:v>0.9071664</x:v>
      </x:c>
      <x:c r="Z1302" s="38" t="n">
        <x:v>0.6032000000000001</x:v>
      </x:c>
      <x:c r="AA1302" s="38" t="n">
        <x:v>0.24939999999999998</x:v>
      </x:c>
      <x:c r="AB1302" s="38" t="n">
        <x:v>0.0004176</x:v>
      </x:c>
      <x:c r="AC1302" s="38" t="n">
        <x:v>2.1276720000000005</x:v>
      </x:c>
      <x:c r="AD1302" s="28" t="n">
        <x:v>0.35181064907165877</x:v>
      </x:c>
    </x:row>
    <x:row r="1303">
      <x:c r="A1303" s="32" t="n">
        <x:v>46111</x:v>
      </x:c>
      <x:c r="B1303" s="32" t="n">
        <x:v>46082</x:v>
      </x:c>
      <x:c r="C1303" t="str">
        <x:v>Mar 2026</x:v>
      </x:c>
      <x:c r="D1303" t="str">
        <x:v>Forecast</x:v>
      </x:c>
      <x:c r="E1303" t="str">
        <x:v>DB-105</x:v>
      </x:c>
      <x:c r="F1303" t="str">
        <x:v>DreamFuel Refill Pack</x:v>
      </x:c>
      <x:c r="G1303" t="str">
        <x:v>Subscription</x:v>
      </x:c>
      <x:c r="H1303" t="str">
        <x:v>None</x:v>
      </x:c>
      <x:c r="I1303" t="str">
        <x:v>Active</x:v>
      </x:c>
      <x:c r="J1303" t="str">
        <x:v>Wholesale</x:v>
      </x:c>
      <x:c r="K1303" t="str">
        <x:v>Retailer</x:v>
      </x:c>
      <x:c r="L1303" t="str">
        <x:v>All Geographies</x:v>
      </x:c>
      <x:c r="M1303" s="34" t="n">
        <x:v>1515</x:v>
      </x:c>
      <x:c r="N1303" s="28" t="n">
        <x:v>0.021384000000000004</x:v>
      </x:c>
      <x:c r="O1303" s="34" t="n">
        <x:v>32</x:v>
      </x:c>
      <x:c r="P1303" s="34" t="n">
        <x:v>1</x:v>
      </x:c>
      <x:c r="Q1303" s="34" t="n">
        <x:v>32</x:v>
      </x:c>
      <x:c r="R1303" s="33" t="n">
        <x:v>56</x:v>
      </x:c>
      <x:c r="S1303" s="38" t="n">
        <x:v>1.792</x:v>
      </x:c>
      <x:c r="T1303" s="38" t="n">
        <x:v>0.6272</x:v>
      </x:c>
      <x:c r="U1303" s="38" t="n">
        <x:v>0.023296</x:v>
      </x:c>
      <x:c r="V1303" s="38" t="n">
        <x:v>1.141504</x:v>
      </x:c>
      <x:c r="W1303" s="38" t="n">
        <x:v>0.59584</x:v>
      </x:c>
      <x:c r="X1303" s="38" t="n">
        <x:v>0</x:v>
      </x:c>
      <x:c r="Y1303" s="38" t="n">
        <x:v>0</x:v>
      </x:c>
      <x:c r="Z1303" s="38" t="n">
        <x:v>0.0736</x:v>
      </x:c>
      <x:c r="AA1303" s="38" t="n">
        <x:v>0.0272</x:v>
      </x:c>
      <x:c r="AB1303" s="38" t="n">
        <x:v>0.0001152</x:v>
      </x:c>
      <x:c r="AC1303" s="38" t="n">
        <x:v>0.44474880000000006</x:v>
      </x:c>
      <x:c r="AD1303" s="28" t="n">
        <x:v>0.3896165059430366</x:v>
      </x:c>
    </x:row>
    <x:row r="1304">
      <x:c r="A1304" s="32" t="n">
        <x:v>46111</x:v>
      </x:c>
      <x:c r="B1304" s="32" t="n">
        <x:v>46082</x:v>
      </x:c>
      <x:c r="C1304" t="str">
        <x:v>Mar 2026</x:v>
      </x:c>
      <x:c r="D1304" t="str">
        <x:v>Forecast</x:v>
      </x:c>
      <x:c r="E1304" t="str">
        <x:v>DB-105</x:v>
      </x:c>
      <x:c r="F1304" t="str">
        <x:v>DreamFuel Refill Pack</x:v>
      </x:c>
      <x:c r="G1304" t="str">
        <x:v>Subscription</x:v>
      </x:c>
      <x:c r="H1304" t="str">
        <x:v>None</x:v>
      </x:c>
      <x:c r="I1304" t="str">
        <x:v>Active</x:v>
      </x:c>
      <x:c r="J1304" t="str">
        <x:v>TikTok Shop</x:v>
      </x:c>
      <x:c r="K1304" t="str">
        <x:v>Social Commerce</x:v>
      </x:c>
      <x:c r="L1304" t="str">
        <x:v>All Geographies</x:v>
      </x:c>
      <x:c r="M1304" s="34" t="n">
        <x:v>1010</x:v>
      </x:c>
      <x:c r="N1304" s="28" t="n">
        <x:v>0.0489888</x:v>
      </x:c>
      <x:c r="O1304" s="34" t="n">
        <x:v>49</x:v>
      </x:c>
      <x:c r="P1304" s="34" t="n">
        <x:v>1</x:v>
      </x:c>
      <x:c r="Q1304" s="34" t="n">
        <x:v>49</x:v>
      </x:c>
      <x:c r="R1304" s="33" t="n">
        <x:v>56</x:v>
      </x:c>
      <x:c r="S1304" s="38" t="n">
        <x:v>2.744</x:v>
      </x:c>
      <x:c r="T1304" s="38" t="n">
        <x:v>0.32928</x:v>
      </x:c>
      <x:c r="U1304" s="38" t="n">
        <x:v>0.0482944</x:v>
      </x:c>
      <x:c r="V1304" s="38" t="n">
        <x:v>2.3664256</x:v>
      </x:c>
      <x:c r="W1304" s="38" t="n">
        <x:v>0.91238</x:v>
      </x:c>
      <x:c r="X1304" s="38" t="n">
        <x:v>0.0686263424</x:v>
      </x:c>
      <x:c r="Y1304" s="38" t="n">
        <x:v>0.141985536</x:v>
      </x:c>
      <x:c r="Z1304" s="38" t="n">
        <x:v>0.24989999999999998</x:v>
      </x:c>
      <x:c r="AA1304" s="38" t="n">
        <x:v>0.08575</x:v>
      </x:c>
      <x:c r="AB1304" s="38" t="n">
        <x:v>0.00017639999999999998</x:v>
      </x:c>
      <x:c r="AC1304" s="38" t="n">
        <x:v>0.9076073216</x:v>
      </x:c>
      <x:c r="AD1304" s="28" t="n">
        <x:v>0.3835351179432812</x:v>
      </x:c>
    </x:row>
    <x:row r="1305">
      <x:c r="A1305" s="32" t="n">
        <x:v>46118</x:v>
      </x:c>
      <x:c r="B1305" s="32" t="n">
        <x:v>46113</x:v>
      </x:c>
      <x:c r="C1305" t="str">
        <x:v>Apr 2026</x:v>
      </x:c>
      <x:c r="D1305" t="str">
        <x:v>Forecast</x:v>
      </x:c>
      <x:c r="E1305" t="str">
        <x:v>DB-101</x:v>
      </x:c>
      <x:c r="F1305" t="str">
        <x:v>AeroSip Bottle</x:v>
      </x:c>
      <x:c r="G1305" t="str">
        <x:v>One-time purchase</x:v>
      </x:c>
      <x:c r="H1305" t="str">
        <x:v>None</x:v>
      </x:c>
      <x:c r="I1305" t="str">
        <x:v>Active</x:v>
      </x:c>
      <x:c r="J1305" t="str">
        <x:v>Shopify DTC</x:v>
      </x:c>
      <x:c r="K1305" t="str">
        <x:v>Consumer</x:v>
      </x:c>
      <x:c r="L1305" t="str">
        <x:v>All Geographies</x:v>
      </x:c>
      <x:c r="M1305" s="34" t="n">
        <x:v>7296</x:v>
      </x:c>
      <x:c r="N1305" s="28" t="n">
        <x:v>0.034199999999999994</x:v>
      </x:c>
      <x:c r="O1305" s="34" t="n">
        <x:v>250</x:v>
      </x:c>
      <x:c r="P1305" s="34" t="n">
        <x:v>1</x:v>
      </x:c>
      <x:c r="Q1305" s="34" t="n">
        <x:v>250</x:v>
      </x:c>
      <x:c r="R1305" s="33" t="n">
        <x:v>29</x:v>
      </x:c>
      <x:c r="S1305" s="38" t="n">
        <x:v>7.25</x:v>
      </x:c>
      <x:c r="T1305" s="38" t="n">
        <x:v>0.58</x:v>
      </x:c>
      <x:c r="U1305" s="38" t="n">
        <x:v>0.30015</x:v>
      </x:c>
      <x:c r="V1305" s="38" t="n">
        <x:v>6.36985</x:v>
      </x:c>
      <x:c r="W1305" s="38" t="n">
        <x:v>2.7</x:v>
      </x:c>
      <x:c r="X1305" s="38" t="n">
        <x:v>0.18472565</x:v>
      </x:c>
      <x:c r="Y1305" s="38" t="n">
        <x:v>0</x:v>
      </x:c>
      <x:c r="Z1305" s="38" t="n">
        <x:v>1.0375</x:v>
      </x:c>
      <x:c r="AA1305" s="38" t="n">
        <x:v>0.4125</x:v>
      </x:c>
      <x:c r="AB1305" s="38" t="n">
        <x:v>0.009</x:v>
      </x:c>
      <x:c r="AC1305" s="38" t="n">
        <x:v>2.0261243499999995</x:v>
      </x:c>
      <x:c r="AD1305" s="28" t="n">
        <x:v>0.31808038650831644</x:v>
      </x:c>
    </x:row>
    <x:row r="1306">
      <x:c r="A1306" s="32" t="n">
        <x:v>46118</x:v>
      </x:c>
      <x:c r="B1306" s="32" t="n">
        <x:v>46113</x:v>
      </x:c>
      <x:c r="C1306" t="str">
        <x:v>Apr 2026</x:v>
      </x:c>
      <x:c r="D1306" t="str">
        <x:v>Forecast</x:v>
      </x:c>
      <x:c r="E1306" t="str">
        <x:v>DB-101</x:v>
      </x:c>
      <x:c r="F1306" t="str">
        <x:v>AeroSip Bottle</x:v>
      </x:c>
      <x:c r="G1306" t="str">
        <x:v>One-time purchase</x:v>
      </x:c>
      <x:c r="H1306" t="str">
        <x:v>None</x:v>
      </x:c>
      <x:c r="I1306" t="str">
        <x:v>Active</x:v>
      </x:c>
      <x:c r="J1306" t="str">
        <x:v>Amazon Marketplace</x:v>
      </x:c>
      <x:c r="K1306" t="str">
        <x:v>Marketplace Consumer</x:v>
      </x:c>
      <x:c r="L1306" t="str">
        <x:v>All Geographies</x:v>
      </x:c>
      <x:c r="M1306" s="34" t="n">
        <x:v>3648</x:v>
      </x:c>
      <x:c r="N1306" s="28" t="n">
        <x:v>0.040355999999999996</x:v>
      </x:c>
      <x:c r="O1306" s="34" t="n">
        <x:v>147</x:v>
      </x:c>
      <x:c r="P1306" s="34" t="n">
        <x:v>1</x:v>
      </x:c>
      <x:c r="Q1306" s="34" t="n">
        <x:v>147</x:v>
      </x:c>
      <x:c r="R1306" s="33" t="n">
        <x:v>29</x:v>
      </x:c>
      <x:c r="S1306" s="38" t="n">
        <x:v>4.263</x:v>
      </x:c>
      <x:c r="T1306" s="38" t="n">
        <x:v>0.21315</x:v>
      </x:c>
      <x:c r="U1306" s="38" t="n">
        <x:v>0.18224325</x:v>
      </x:c>
      <x:c r="V1306" s="38" t="n">
        <x:v>3.86760675</x:v>
      </x:c>
      <x:c r="W1306" s="38" t="n">
        <x:v>1.5876000000000001</x:v>
      </x:c>
      <x:c r="X1306" s="38" t="n">
        <x:v>0</x:v>
      </x:c>
      <x:c r="Y1306" s="38" t="n">
        <x:v>0.5801410125</x:v>
      </x:c>
      <x:c r="Z1306" s="38" t="n">
        <x:v>0.7644</x:v>
      </x:c>
      <x:c r="AA1306" s="38" t="n">
        <x:v>0.31605</x:v>
      </x:c>
      <x:c r="AB1306" s="38" t="n">
        <x:v>0.005292</x:v>
      </x:c>
      <x:c r="AC1306" s="38" t="n">
        <x:v>0.6141237375000003</x:v>
      </x:c>
      <x:c r="AD1306" s="28" t="n">
        <x:v>0.15878649955815705</x:v>
      </x:c>
    </x:row>
    <x:row r="1307">
      <x:c r="A1307" s="32" t="n">
        <x:v>46118</x:v>
      </x:c>
      <x:c r="B1307" s="32" t="n">
        <x:v>46113</x:v>
      </x:c>
      <x:c r="C1307" t="str">
        <x:v>Apr 2026</x:v>
      </x:c>
      <x:c r="D1307" t="str">
        <x:v>Forecast</x:v>
      </x:c>
      <x:c r="E1307" t="str">
        <x:v>DB-101</x:v>
      </x:c>
      <x:c r="F1307" t="str">
        <x:v>AeroSip Bottle</x:v>
      </x:c>
      <x:c r="G1307" t="str">
        <x:v>One-time purchase</x:v>
      </x:c>
      <x:c r="H1307" t="str">
        <x:v>None</x:v>
      </x:c>
      <x:c r="I1307" t="str">
        <x:v>Active</x:v>
      </x:c>
      <x:c r="J1307" t="str">
        <x:v>Wholesale</x:v>
      </x:c>
      <x:c r="K1307" t="str">
        <x:v>Retailer</x:v>
      </x:c>
      <x:c r="L1307" t="str">
        <x:v>All Geographies</x:v>
      </x:c>
      <x:c r="M1307" s="34" t="n">
        <x:v>2189</x:v>
      </x:c>
      <x:c r="N1307" s="28" t="n">
        <x:v>0.01881</x:v>
      </x:c>
      <x:c r="O1307" s="34" t="n">
        <x:v>41</x:v>
      </x:c>
      <x:c r="P1307" s="34" t="n">
        <x:v>1</x:v>
      </x:c>
      <x:c r="Q1307" s="34" t="n">
        <x:v>41</x:v>
      </x:c>
      <x:c r="R1307" s="33" t="n">
        <x:v>29</x:v>
      </x:c>
      <x:c r="S1307" s="38" t="n">
        <x:v>1.189</x:v>
      </x:c>
      <x:c r="T1307" s="38" t="n">
        <x:v>0.41615</x:v>
      </x:c>
      <x:c r="U1307" s="38" t="n">
        <x:v>0.034778250000000004</x:v>
      </x:c>
      <x:c r="V1307" s="38" t="n">
        <x:v>0.73807175</x:v>
      </x:c>
      <x:c r="W1307" s="38" t="n">
        <x:v>0.4428</x:v>
      </x:c>
      <x:c r="X1307" s="38" t="n">
        <x:v>0</x:v>
      </x:c>
      <x:c r="Y1307" s="38" t="n">
        <x:v>0</x:v>
      </x:c>
      <x:c r="Z1307" s="38" t="n">
        <x:v>0.0943</x:v>
      </x:c>
      <x:c r="AA1307" s="38" t="n">
        <x:v>0.03485</x:v>
      </x:c>
      <x:c r="AB1307" s="38" t="n">
        <x:v>0.0014759999999999999</x:v>
      </x:c>
      <x:c r="AC1307" s="38" t="n">
        <x:v>0.16464575</x:v>
      </x:c>
      <x:c r="AD1307" s="28" t="n">
        <x:v>0.22307553432305194</x:v>
      </x:c>
    </x:row>
    <x:row r="1308">
      <x:c r="A1308" s="32" t="n">
        <x:v>46118</x:v>
      </x:c>
      <x:c r="B1308" s="32" t="n">
        <x:v>46113</x:v>
      </x:c>
      <x:c r="C1308" t="str">
        <x:v>Apr 2026</x:v>
      </x:c>
      <x:c r="D1308" t="str">
        <x:v>Forecast</x:v>
      </x:c>
      <x:c r="E1308" t="str">
        <x:v>DB-101</x:v>
      </x:c>
      <x:c r="F1308" t="str">
        <x:v>AeroSip Bottle</x:v>
      </x:c>
      <x:c r="G1308" t="str">
        <x:v>One-time purchase</x:v>
      </x:c>
      <x:c r="H1308" t="str">
        <x:v>None</x:v>
      </x:c>
      <x:c r="I1308" t="str">
        <x:v>Active</x:v>
      </x:c>
      <x:c r="J1308" t="str">
        <x:v>TikTok Shop</x:v>
      </x:c>
      <x:c r="K1308" t="str">
        <x:v>Social Commerce</x:v>
      </x:c>
      <x:c r="L1308" t="str">
        <x:v>All Geographies</x:v>
      </x:c>
      <x:c r="M1308" s="34" t="n">
        <x:v>1459</x:v>
      </x:c>
      <x:c r="N1308" s="28" t="n">
        <x:v>0.043092</x:v>
      </x:c>
      <x:c r="O1308" s="34" t="n">
        <x:v>63</x:v>
      </x:c>
      <x:c r="P1308" s="34" t="n">
        <x:v>1</x:v>
      </x:c>
      <x:c r="Q1308" s="34" t="n">
        <x:v>63</x:v>
      </x:c>
      <x:c r="R1308" s="33" t="n">
        <x:v>29</x:v>
      </x:c>
      <x:c r="S1308" s="38" t="n">
        <x:v>1.827</x:v>
      </x:c>
      <x:c r="T1308" s="38" t="n">
        <x:v>0.21924</x:v>
      </x:c>
      <x:c r="U1308" s="38" t="n">
        <x:v>0.07234919999999999</x:v>
      </x:c>
      <x:c r="V1308" s="38" t="n">
        <x:v>1.5354108</x:v>
      </x:c>
      <x:c r="W1308" s="38" t="n">
        <x:v>0.6804000000000001</x:v>
      </x:c>
      <x:c r="X1308" s="38" t="n">
        <x:v>0.044526913200000004</x:v>
      </x:c>
      <x:c r="Y1308" s="38" t="n">
        <x:v>0.09212464799999999</x:v>
      </x:c>
      <x:c r="Z1308" s="38" t="n">
        <x:v>0.3213</x:v>
      </x:c>
      <x:c r="AA1308" s="38" t="n">
        <x:v>0.11025</x:v>
      </x:c>
      <x:c r="AB1308" s="38" t="n">
        <x:v>0.0022679999999999996</x:v>
      </x:c>
      <x:c r="AC1308" s="38" t="n">
        <x:v>0.2845412387999999</x:v>
      </x:c>
      <x:c r="AD1308" s="28" t="n">
        <x:v>0.18531928966501987</x:v>
      </x:c>
    </x:row>
    <x:row r="1309">
      <x:c r="A1309" s="32" t="n">
        <x:v>46118</x:v>
      </x:c>
      <x:c r="B1309" s="32" t="n">
        <x:v>46113</x:v>
      </x:c>
      <x:c r="C1309" t="str">
        <x:v>Apr 2026</x:v>
      </x:c>
      <x:c r="D1309" t="str">
        <x:v>Forecast</x:v>
      </x:c>
      <x:c r="E1309" t="str">
        <x:v>DB-102</x:v>
      </x:c>
      <x:c r="F1309" t="str">
        <x:v>GlowPatch Balm</x:v>
      </x:c>
      <x:c r="G1309" t="str">
        <x:v>Consumable repeat</x:v>
      </x:c>
      <x:c r="H1309" t="str">
        <x:v>None</x:v>
      </x:c>
      <x:c r="I1309" t="str">
        <x:v>Active</x:v>
      </x:c>
      <x:c r="J1309" t="str">
        <x:v>Shopify DTC</x:v>
      </x:c>
      <x:c r="K1309" t="str">
        <x:v>Consumer</x:v>
      </x:c>
      <x:c r="L1309" t="str">
        <x:v>All Geographies</x:v>
      </x:c>
      <x:c r="M1309" s="34" t="n">
        <x:v>5893</x:v>
      </x:c>
      <x:c r="N1309" s="28" t="n">
        <x:v>0.04248</x:v>
      </x:c>
      <x:c r="O1309" s="34" t="n">
        <x:v>250</x:v>
      </x:c>
      <x:c r="P1309" s="34" t="n">
        <x:v>1</x:v>
      </x:c>
      <x:c r="Q1309" s="34" t="n">
        <x:v>250</x:v>
      </x:c>
      <x:c r="R1309" s="33" t="n">
        <x:v>18</x:v>
      </x:c>
      <x:c r="S1309" s="38" t="n">
        <x:v>4.5</x:v>
      </x:c>
      <x:c r="T1309" s="38" t="n">
        <x:v>0.36</x:v>
      </x:c>
      <x:c r="U1309" s="38" t="n">
        <x:v>0.1035</x:v>
      </x:c>
      <x:c r="V1309" s="38" t="n">
        <x:v>4.036499999999999</x:v>
      </x:c>
      <x:c r="W1309" s="38" t="n">
        <x:v>1.3525</x:v>
      </x:c>
      <x:c r="X1309" s="38" t="n">
        <x:v>0.11705849999999998</x:v>
      </x:c>
      <x:c r="Y1309" s="38" t="n">
        <x:v>0</x:v>
      </x:c>
      <x:c r="Z1309" s="38" t="n">
        <x:v>1.0375</x:v>
      </x:c>
      <x:c r="AA1309" s="38" t="n">
        <x:v>0.4125</x:v>
      </x:c>
      <x:c r="AB1309" s="38" t="n">
        <x:v>0.0015</x:v>
      </x:c>
      <x:c r="AC1309" s="38" t="n">
        <x:v>1.1154414999999989</x:v>
      </x:c>
      <x:c r="AD1309" s="28" t="n">
        <x:v>0.2763387835996529</x:v>
      </x:c>
    </x:row>
    <x:row r="1310">
      <x:c r="A1310" s="32" t="n">
        <x:v>46118</x:v>
      </x:c>
      <x:c r="B1310" s="32" t="n">
        <x:v>46113</x:v>
      </x:c>
      <x:c r="C1310" t="str">
        <x:v>Apr 2026</x:v>
      </x:c>
      <x:c r="D1310" t="str">
        <x:v>Forecast</x:v>
      </x:c>
      <x:c r="E1310" t="str">
        <x:v>DB-102</x:v>
      </x:c>
      <x:c r="F1310" t="str">
        <x:v>GlowPatch Balm</x:v>
      </x:c>
      <x:c r="G1310" t="str">
        <x:v>Consumable repeat</x:v>
      </x:c>
      <x:c r="H1310" t="str">
        <x:v>None</x:v>
      </x:c>
      <x:c r="I1310" t="str">
        <x:v>Active</x:v>
      </x:c>
      <x:c r="J1310" t="str">
        <x:v>Amazon Marketplace</x:v>
      </x:c>
      <x:c r="K1310" t="str">
        <x:v>Marketplace Consumer</x:v>
      </x:c>
      <x:c r="L1310" t="str">
        <x:v>All Geographies</x:v>
      </x:c>
      <x:c r="M1310" s="34" t="n">
        <x:v>2946</x:v>
      </x:c>
      <x:c r="N1310" s="28" t="n">
        <x:v>0.050126399999999995</x:v>
      </x:c>
      <x:c r="O1310" s="34" t="n">
        <x:v>148</x:v>
      </x:c>
      <x:c r="P1310" s="34" t="n">
        <x:v>1</x:v>
      </x:c>
      <x:c r="Q1310" s="34" t="n">
        <x:v>148</x:v>
      </x:c>
      <x:c r="R1310" s="33" t="n">
        <x:v>18</x:v>
      </x:c>
      <x:c r="S1310" s="38" t="n">
        <x:v>2.664</x:v>
      </x:c>
      <x:c r="T1310" s="38" t="n">
        <x:v>0.1332</x:v>
      </x:c>
      <x:c r="U1310" s="38" t="n">
        <x:v>0.06327</x:v>
      </x:c>
      <x:c r="V1310" s="38" t="n">
        <x:v>2.46753</x:v>
      </x:c>
      <x:c r="W1310" s="38" t="n">
        <x:v>0.8006800000000001</x:v>
      </x:c>
      <x:c r="X1310" s="38" t="n">
        <x:v>0</x:v>
      </x:c>
      <x:c r="Y1310" s="38" t="n">
        <x:v>0.3701295</x:v>
      </x:c>
      <x:c r="Z1310" s="38" t="n">
        <x:v>0.7696000000000001</x:v>
      </x:c>
      <x:c r="AA1310" s="38" t="n">
        <x:v>0.3182</x:v>
      </x:c>
      <x:c r="AB1310" s="38" t="n">
        <x:v>0.0008879999999999999</x:v>
      </x:c>
      <x:c r="AC1310" s="38" t="n">
        <x:v>0.2080324999999999</x:v>
      </x:c>
      <x:c r="AD1310" s="28" t="n">
        <x:v>0.084307992202729</x:v>
      </x:c>
    </x:row>
    <x:row r="1311">
      <x:c r="A1311" s="32" t="n">
        <x:v>46118</x:v>
      </x:c>
      <x:c r="B1311" s="32" t="n">
        <x:v>46113</x:v>
      </x:c>
      <x:c r="C1311" t="str">
        <x:v>Apr 2026</x:v>
      </x:c>
      <x:c r="D1311" t="str">
        <x:v>Forecast</x:v>
      </x:c>
      <x:c r="E1311" t="str">
        <x:v>DB-102</x:v>
      </x:c>
      <x:c r="F1311" t="str">
        <x:v>GlowPatch Balm</x:v>
      </x:c>
      <x:c r="G1311" t="str">
        <x:v>Consumable repeat</x:v>
      </x:c>
      <x:c r="H1311" t="str">
        <x:v>None</x:v>
      </x:c>
      <x:c r="I1311" t="str">
        <x:v>Active</x:v>
      </x:c>
      <x:c r="J1311" t="str">
        <x:v>Wholesale</x:v>
      </x:c>
      <x:c r="K1311" t="str">
        <x:v>Retailer</x:v>
      </x:c>
      <x:c r="L1311" t="str">
        <x:v>All Geographies</x:v>
      </x:c>
      <x:c r="M1311" s="34" t="n">
        <x:v>1768</x:v>
      </x:c>
      <x:c r="N1311" s="28" t="n">
        <x:v>0.023364</x:v>
      </x:c>
      <x:c r="O1311" s="34" t="n">
        <x:v>41</x:v>
      </x:c>
      <x:c r="P1311" s="34" t="n">
        <x:v>1</x:v>
      </x:c>
      <x:c r="Q1311" s="34" t="n">
        <x:v>41</x:v>
      </x:c>
      <x:c r="R1311" s="33" t="n">
        <x:v>18</x:v>
      </x:c>
      <x:c r="S1311" s="38" t="n">
        <x:v>0.738</x:v>
      </x:c>
      <x:c r="T1311" s="38" t="n">
        <x:v>0.2583</x:v>
      </x:c>
      <x:c r="U1311" s="38" t="n">
        <x:v>0.011992500000000001</x:v>
      </x:c>
      <x:c r="V1311" s="38" t="n">
        <x:v>0.4677075</x:v>
      </x:c>
      <x:c r="W1311" s="38" t="n">
        <x:v>0.22181</x:v>
      </x:c>
      <x:c r="X1311" s="38" t="n">
        <x:v>0</x:v>
      </x:c>
      <x:c r="Y1311" s="38" t="n">
        <x:v>0</x:v>
      </x:c>
      <x:c r="Z1311" s="38" t="n">
        <x:v>0.0943</x:v>
      </x:c>
      <x:c r="AA1311" s="38" t="n">
        <x:v>0.03485</x:v>
      </x:c>
      <x:c r="AB1311" s="38" t="n">
        <x:v>0.000246</x:v>
      </x:c>
      <x:c r="AC1311" s="38" t="n">
        <x:v>0.11650150000000001</x:v>
      </x:c>
      <x:c r="AD1311" s="28" t="n">
        <x:v>0.2490905106289722</x:v>
      </x:c>
    </x:row>
    <x:row r="1312">
      <x:c r="A1312" s="32" t="n">
        <x:v>46118</x:v>
      </x:c>
      <x:c r="B1312" s="32" t="n">
        <x:v>46113</x:v>
      </x:c>
      <x:c r="C1312" t="str">
        <x:v>Apr 2026</x:v>
      </x:c>
      <x:c r="D1312" t="str">
        <x:v>Forecast</x:v>
      </x:c>
      <x:c r="E1312" t="str">
        <x:v>DB-102</x:v>
      </x:c>
      <x:c r="F1312" t="str">
        <x:v>GlowPatch Balm</x:v>
      </x:c>
      <x:c r="G1312" t="str">
        <x:v>Consumable repeat</x:v>
      </x:c>
      <x:c r="H1312" t="str">
        <x:v>None</x:v>
      </x:c>
      <x:c r="I1312" t="str">
        <x:v>Active</x:v>
      </x:c>
      <x:c r="J1312" t="str">
        <x:v>TikTok Shop</x:v>
      </x:c>
      <x:c r="K1312" t="str">
        <x:v>Social Commerce</x:v>
      </x:c>
      <x:c r="L1312" t="str">
        <x:v>All Geographies</x:v>
      </x:c>
      <x:c r="M1312" s="34" t="n">
        <x:v>1179</x:v>
      </x:c>
      <x:c r="N1312" s="28" t="n">
        <x:v>0.0535248</x:v>
      </x:c>
      <x:c r="O1312" s="34" t="n">
        <x:v>63</x:v>
      </x:c>
      <x:c r="P1312" s="34" t="n">
        <x:v>1</x:v>
      </x:c>
      <x:c r="Q1312" s="34" t="n">
        <x:v>63</x:v>
      </x:c>
      <x:c r="R1312" s="33" t="n">
        <x:v>18</x:v>
      </x:c>
      <x:c r="S1312" s="38" t="n">
        <x:v>1.134</x:v>
      </x:c>
      <x:c r="T1312" s="38" t="n">
        <x:v>0.13607999999999998</x:v>
      </x:c>
      <x:c r="U1312" s="38" t="n">
        <x:v>0.024947999999999998</x:v>
      </x:c>
      <x:c r="V1312" s="38" t="n">
        <x:v>0.972972</x:v>
      </x:c>
      <x:c r="W1312" s="38" t="n">
        <x:v>0.34082999999999997</x:v>
      </x:c>
      <x:c r="X1312" s="38" t="n">
        <x:v>0.028216188</x:v>
      </x:c>
      <x:c r="Y1312" s="38" t="n">
        <x:v>0.05837832</x:v>
      </x:c>
      <x:c r="Z1312" s="38" t="n">
        <x:v>0.3213</x:v>
      </x:c>
      <x:c r="AA1312" s="38" t="n">
        <x:v>0.11025</x:v>
      </x:c>
      <x:c r="AB1312" s="38" t="n">
        <x:v>0.000378</x:v>
      </x:c>
      <x:c r="AC1312" s="38" t="n">
        <x:v>0.11361949199999999</x:v>
      </x:c>
      <x:c r="AD1312" s="28" t="n">
        <x:v>0.11677570577570577</x:v>
      </x:c>
    </x:row>
    <x:row r="1313">
      <x:c r="A1313" s="32" t="n">
        <x:v>46118</x:v>
      </x:c>
      <x:c r="B1313" s="32" t="n">
        <x:v>46113</x:v>
      </x:c>
      <x:c r="C1313" t="str">
        <x:v>Apr 2026</x:v>
      </x:c>
      <x:c r="D1313" t="str">
        <x:v>Forecast</x:v>
      </x:c>
      <x:c r="E1313" t="str">
        <x:v>DB-103</x:v>
      </x:c>
      <x:c r="F1313" t="str">
        <x:v>EmberTrail Camp Mug</x:v>
      </x:c>
      <x:c r="G1313" t="str">
        <x:v>One-time purchase</x:v>
      </x:c>
      <x:c r="H1313" t="str">
        <x:v>Winter peak</x:v>
      </x:c>
      <x:c r="I1313" t="str">
        <x:v>Active</x:v>
      </x:c>
      <x:c r="J1313" t="str">
        <x:v>Shopify DTC</x:v>
      </x:c>
      <x:c r="K1313" t="str">
        <x:v>Consumer</x:v>
      </x:c>
      <x:c r="L1313" t="str">
        <x:v>All Geographies</x:v>
      </x:c>
      <x:c r="M1313" s="34" t="n">
        <x:v>4142</x:v>
      </x:c>
      <x:c r="N1313" s="28" t="n">
        <x:v>0.0324</x:v>
      </x:c>
      <x:c r="O1313" s="34" t="n">
        <x:v>134</x:v>
      </x:c>
      <x:c r="P1313" s="34" t="n">
        <x:v>1</x:v>
      </x:c>
      <x:c r="Q1313" s="34" t="n">
        <x:v>134</x:v>
      </x:c>
      <x:c r="R1313" s="33" t="n">
        <x:v>34</x:v>
      </x:c>
      <x:c r="S1313" s="38" t="n">
        <x:v>4.556</x:v>
      </x:c>
      <x:c r="T1313" s="38" t="n">
        <x:v>0.36448</x:v>
      </x:c>
      <x:c r="U1313" s="38" t="n">
        <x:v>0.23053359999999998</x:v>
      </x:c>
      <x:c r="V1313" s="38" t="n">
        <x:v>3.9609864</x:v>
      </x:c>
      <x:c r="W1313" s="38" t="n">
        <x:v>1.83178</x:v>
      </x:c>
      <x:c r="X1313" s="38" t="n">
        <x:v>0.1148686056</x:v>
      </x:c>
      <x:c r="Y1313" s="38" t="n">
        <x:v>0</x:v>
      </x:c>
      <x:c r="Z1313" s="38" t="n">
        <x:v>0.5561</x:v>
      </x:c>
      <x:c r="AA1313" s="38" t="n">
        <x:v>0.2211</x:v>
      </x:c>
      <x:c r="AB1313" s="38" t="n">
        <x:v>0.007504</x:v>
      </x:c>
      <x:c r="AC1313" s="38" t="n">
        <x:v>1.2296337944000002</x:v>
      </x:c>
      <x:c r="AD1313" s="28" t="n">
        <x:v>0.3104362575948254</x:v>
      </x:c>
    </x:row>
    <x:row r="1314">
      <x:c r="A1314" s="32" t="n">
        <x:v>46118</x:v>
      </x:c>
      <x:c r="B1314" s="32" t="n">
        <x:v>46113</x:v>
      </x:c>
      <x:c r="C1314" t="str">
        <x:v>Apr 2026</x:v>
      </x:c>
      <x:c r="D1314" t="str">
        <x:v>Forecast</x:v>
      </x:c>
      <x:c r="E1314" t="str">
        <x:v>DB-103</x:v>
      </x:c>
      <x:c r="F1314" t="str">
        <x:v>EmberTrail Camp Mug</x:v>
      </x:c>
      <x:c r="G1314" t="str">
        <x:v>One-time purchase</x:v>
      </x:c>
      <x:c r="H1314" t="str">
        <x:v>Winter peak</x:v>
      </x:c>
      <x:c r="I1314" t="str">
        <x:v>Active</x:v>
      </x:c>
      <x:c r="J1314" t="str">
        <x:v>Amazon Marketplace</x:v>
      </x:c>
      <x:c r="K1314" t="str">
        <x:v>Marketplace Consumer</x:v>
      </x:c>
      <x:c r="L1314" t="str">
        <x:v>All Geographies</x:v>
      </x:c>
      <x:c r="M1314" s="34" t="n">
        <x:v>2071</x:v>
      </x:c>
      <x:c r="N1314" s="28" t="n">
        <x:v>0.038231999999999995</x:v>
      </x:c>
      <x:c r="O1314" s="34" t="n">
        <x:v>79</x:v>
      </x:c>
      <x:c r="P1314" s="34" t="n">
        <x:v>1</x:v>
      </x:c>
      <x:c r="Q1314" s="34" t="n">
        <x:v>79</x:v>
      </x:c>
      <x:c r="R1314" s="33" t="n">
        <x:v>34</x:v>
      </x:c>
      <x:c r="S1314" s="38" t="n">
        <x:v>2.686</x:v>
      </x:c>
      <x:c r="T1314" s="38" t="n">
        <x:v>0.1343</x:v>
      </x:c>
      <x:c r="U1314" s="38" t="n">
        <x:v>0.14034349999999998</x:v>
      </x:c>
      <x:c r="V1314" s="38" t="n">
        <x:v>2.4113564999999997</x:v>
      </x:c>
      <x:c r="W1314" s="38" t="n">
        <x:v>1.07993</x:v>
      </x:c>
      <x:c r="X1314" s="38" t="n">
        <x:v>0</x:v>
      </x:c>
      <x:c r="Y1314" s="38" t="n">
        <x:v>0.36170347499999994</x:v>
      </x:c>
      <x:c r="Z1314" s="38" t="n">
        <x:v>0.4108</x:v>
      </x:c>
      <x:c r="AA1314" s="38" t="n">
        <x:v>0.16985</x:v>
      </x:c>
      <x:c r="AB1314" s="38" t="n">
        <x:v>0.004424</x:v>
      </x:c>
      <x:c r="AC1314" s="38" t="n">
        <x:v>0.3846490249999997</x:v>
      </x:c>
      <x:c r="AD1314" s="28" t="n">
        <x:v>0.15951561911314224</x:v>
      </x:c>
    </x:row>
    <x:row r="1315">
      <x:c r="A1315" s="32" t="n">
        <x:v>46118</x:v>
      </x:c>
      <x:c r="B1315" s="32" t="n">
        <x:v>46113</x:v>
      </x:c>
      <x:c r="C1315" t="str">
        <x:v>Apr 2026</x:v>
      </x:c>
      <x:c r="D1315" t="str">
        <x:v>Forecast</x:v>
      </x:c>
      <x:c r="E1315" t="str">
        <x:v>DB-103</x:v>
      </x:c>
      <x:c r="F1315" t="str">
        <x:v>EmberTrail Camp Mug</x:v>
      </x:c>
      <x:c r="G1315" t="str">
        <x:v>One-time purchase</x:v>
      </x:c>
      <x:c r="H1315" t="str">
        <x:v>Winter peak</x:v>
      </x:c>
      <x:c r="I1315" t="str">
        <x:v>Active</x:v>
      </x:c>
      <x:c r="J1315" t="str">
        <x:v>Wholesale</x:v>
      </x:c>
      <x:c r="K1315" t="str">
        <x:v>Retailer</x:v>
      </x:c>
      <x:c r="L1315" t="str">
        <x:v>All Geographies</x:v>
      </x:c>
      <x:c r="M1315" s="34" t="n">
        <x:v>1242</x:v>
      </x:c>
      <x:c r="N1315" s="28" t="n">
        <x:v>0.017820000000000003</x:v>
      </x:c>
      <x:c r="O1315" s="34" t="n">
        <x:v>22</x:v>
      </x:c>
      <x:c r="P1315" s="34" t="n">
        <x:v>1</x:v>
      </x:c>
      <x:c r="Q1315" s="34" t="n">
        <x:v>22</x:v>
      </x:c>
      <x:c r="R1315" s="33" t="n">
        <x:v>34</x:v>
      </x:c>
      <x:c r="S1315" s="38" t="n">
        <x:v>0.748</x:v>
      </x:c>
      <x:c r="T1315" s="38" t="n">
        <x:v>0.2618</x:v>
      </x:c>
      <x:c r="U1315" s="38" t="n">
        <x:v>0.026741</x:v>
      </x:c>
      <x:c r="V1315" s="38" t="n">
        <x:v>0.459459</x:v>
      </x:c>
      <x:c r="W1315" s="38" t="n">
        <x:v>0.30074</x:v>
      </x:c>
      <x:c r="X1315" s="38" t="n">
        <x:v>0</x:v>
      </x:c>
      <x:c r="Y1315" s="38" t="n">
        <x:v>0</x:v>
      </x:c>
      <x:c r="Z1315" s="38" t="n">
        <x:v>0.05059999999999999</x:v>
      </x:c>
      <x:c r="AA1315" s="38" t="n">
        <x:v>0.018699999999999998</x:v>
      </x:c>
      <x:c r="AB1315" s="38" t="n">
        <x:v>0.001232</x:v>
      </x:c>
      <x:c r="AC1315" s="38" t="n">
        <x:v>0.08818700000000002</x:v>
      </x:c>
      <x:c r="AD1315" s="28" t="n">
        <x:v>0.1919366037013096</x:v>
      </x:c>
    </x:row>
    <x:row r="1316">
      <x:c r="A1316" s="32" t="n">
        <x:v>46118</x:v>
      </x:c>
      <x:c r="B1316" s="32" t="n">
        <x:v>46113</x:v>
      </x:c>
      <x:c r="C1316" t="str">
        <x:v>Apr 2026</x:v>
      </x:c>
      <x:c r="D1316" t="str">
        <x:v>Forecast</x:v>
      </x:c>
      <x:c r="E1316" t="str">
        <x:v>DB-103</x:v>
      </x:c>
      <x:c r="F1316" t="str">
        <x:v>EmberTrail Camp Mug</x:v>
      </x:c>
      <x:c r="G1316" t="str">
        <x:v>One-time purchase</x:v>
      </x:c>
      <x:c r="H1316" t="str">
        <x:v>Winter peak</x:v>
      </x:c>
      <x:c r="I1316" t="str">
        <x:v>Active</x:v>
      </x:c>
      <x:c r="J1316" t="str">
        <x:v>TikTok Shop</x:v>
      </x:c>
      <x:c r="K1316" t="str">
        <x:v>Social Commerce</x:v>
      </x:c>
      <x:c r="L1316" t="str">
        <x:v>All Geographies</x:v>
      </x:c>
      <x:c r="M1316" s="34" t="n">
        <x:v>828</x:v>
      </x:c>
      <x:c r="N1316" s="28" t="n">
        <x:v>0.040824</x:v>
      </x:c>
      <x:c r="O1316" s="34" t="n">
        <x:v>34</x:v>
      </x:c>
      <x:c r="P1316" s="34" t="n">
        <x:v>1</x:v>
      </x:c>
      <x:c r="Q1316" s="34" t="n">
        <x:v>34</x:v>
      </x:c>
      <x:c r="R1316" s="33" t="n">
        <x:v>34</x:v>
      </x:c>
      <x:c r="S1316" s="38" t="n">
        <x:v>1.156</x:v>
      </x:c>
      <x:c r="T1316" s="38" t="n">
        <x:v>0.13871999999999998</x:v>
      </x:c>
      <x:c r="U1316" s="38" t="n">
        <x:v>0.0559504</x:v>
      </x:c>
      <x:c r="V1316" s="38" t="n">
        <x:v>0.9613296</x:v>
      </x:c>
      <x:c r="W1316" s="38" t="n">
        <x:v>0.46477999999999997</x:v>
      </x:c>
      <x:c r="X1316" s="38" t="n">
        <x:v>0.027878558400000003</x:v>
      </x:c>
      <x:c r="Y1316" s="38" t="n">
        <x:v>0.057679775999999995</x:v>
      </x:c>
      <x:c r="Z1316" s="38" t="n">
        <x:v>0.17339999999999997</x:v>
      </x:c>
      <x:c r="AA1316" s="38" t="n">
        <x:v>0.0595</x:v>
      </x:c>
      <x:c r="AB1316" s="38" t="n">
        <x:v>0.001904</x:v>
      </x:c>
      <x:c r="AC1316" s="38" t="n">
        <x:v>0.1761872656000001</x:v>
      </x:c>
      <x:c r="AD1316" s="28" t="n">
        <x:v>0.18327456639221354</x:v>
      </x:c>
    </x:row>
    <x:row r="1317">
      <x:c r="A1317" s="32" t="n">
        <x:v>46118</x:v>
      </x:c>
      <x:c r="B1317" s="32" t="n">
        <x:v>46113</x:v>
      </x:c>
      <x:c r="C1317" t="str">
        <x:v>Apr 2026</x:v>
      </x:c>
      <x:c r="D1317" t="str">
        <x:v>Forecast</x:v>
      </x:c>
      <x:c r="E1317" t="str">
        <x:v>DB-104</x:v>
      </x:c>
      <x:c r="F1317" t="str">
        <x:v>SunNest Cooling Towel</x:v>
      </x:c>
      <x:c r="G1317" t="str">
        <x:v>Consumable repeat</x:v>
      </x:c>
      <x:c r="H1317" t="str">
        <x:v>Summer peak</x:v>
      </x:c>
      <x:c r="I1317" t="str">
        <x:v>Active</x:v>
      </x:c>
      <x:c r="J1317" t="str">
        <x:v>Shopify DTC</x:v>
      </x:c>
      <x:c r="K1317" t="str">
        <x:v>Consumer</x:v>
      </x:c>
      <x:c r="L1317" t="str">
        <x:v>All Geographies</x:v>
      </x:c>
      <x:c r="M1317" s="34" t="n">
        <x:v>5009</x:v>
      </x:c>
      <x:c r="N1317" s="28" t="n">
        <x:v>0.03312</x:v>
      </x:c>
      <x:c r="O1317" s="34" t="n">
        <x:v>166</x:v>
      </x:c>
      <x:c r="P1317" s="34" t="n">
        <x:v>1</x:v>
      </x:c>
      <x:c r="Q1317" s="34" t="n">
        <x:v>166</x:v>
      </x:c>
      <x:c r="R1317" s="33" t="n">
        <x:v>42</x:v>
      </x:c>
      <x:c r="S1317" s="38" t="n">
        <x:v>6.972</x:v>
      </x:c>
      <x:c r="T1317" s="38" t="n">
        <x:v>0.55776</x:v>
      </x:c>
      <x:c r="U1317" s="38" t="n">
        <x:v>0.32071200000000005</x:v>
      </x:c>
      <x:c r="V1317" s="38" t="n">
        <x:v>6.093528</x:v>
      </x:c>
      <x:c r="W1317" s="38" t="n">
        <x:v>2.4983</x:v>
      </x:c>
      <x:c r="X1317" s="38" t="n">
        <x:v>0.176712312</x:v>
      </x:c>
      <x:c r="Y1317" s="38" t="n">
        <x:v>0</x:v>
      </x:c>
      <x:c r="Z1317" s="38" t="n">
        <x:v>0.6889000000000001</x:v>
      </x:c>
      <x:c r="AA1317" s="38" t="n">
        <x:v>0.2739</x:v>
      </x:c>
      <x:c r="AB1317" s="38" t="n">
        <x:v>0.004647999999999999</x:v>
      </x:c>
      <x:c r="AC1317" s="38" t="n">
        <x:v>2.451067688</x:v>
      </x:c>
      <x:c r="AD1317" s="28" t="n">
        <x:v>0.4022411463441212</x:v>
      </x:c>
    </x:row>
    <x:row r="1318">
      <x:c r="A1318" s="32" t="n">
        <x:v>46118</x:v>
      </x:c>
      <x:c r="B1318" s="32" t="n">
        <x:v>46113</x:v>
      </x:c>
      <x:c r="C1318" t="str">
        <x:v>Apr 2026</x:v>
      </x:c>
      <x:c r="D1318" t="str">
        <x:v>Forecast</x:v>
      </x:c>
      <x:c r="E1318" t="str">
        <x:v>DB-104</x:v>
      </x:c>
      <x:c r="F1318" t="str">
        <x:v>SunNest Cooling Towel</x:v>
      </x:c>
      <x:c r="G1318" t="str">
        <x:v>Consumable repeat</x:v>
      </x:c>
      <x:c r="H1318" t="str">
        <x:v>Summer peak</x:v>
      </x:c>
      <x:c r="I1318" t="str">
        <x:v>Active</x:v>
      </x:c>
      <x:c r="J1318" t="str">
        <x:v>Amazon Marketplace</x:v>
      </x:c>
      <x:c r="K1318" t="str">
        <x:v>Marketplace Consumer</x:v>
      </x:c>
      <x:c r="L1318" t="str">
        <x:v>All Geographies</x:v>
      </x:c>
      <x:c r="M1318" s="34" t="n">
        <x:v>2504</x:v>
      </x:c>
      <x:c r="N1318" s="28" t="n">
        <x:v>0.0390816</x:v>
      </x:c>
      <x:c r="O1318" s="34" t="n">
        <x:v>98</x:v>
      </x:c>
      <x:c r="P1318" s="34" t="n">
        <x:v>1</x:v>
      </x:c>
      <x:c r="Q1318" s="34" t="n">
        <x:v>98</x:v>
      </x:c>
      <x:c r="R1318" s="33" t="n">
        <x:v>42</x:v>
      </x:c>
      <x:c r="S1318" s="38" t="n">
        <x:v>4.116</x:v>
      </x:c>
      <x:c r="T1318" s="38" t="n">
        <x:v>0.20579999999999998</x:v>
      </x:c>
      <x:c r="U1318" s="38" t="n">
        <x:v>0.19551</x:v>
      </x:c>
      <x:c r="V1318" s="38" t="n">
        <x:v>3.7146899999999996</x:v>
      </x:c>
      <x:c r="W1318" s="38" t="n">
        <x:v>1.4749</x:v>
      </x:c>
      <x:c r="X1318" s="38" t="n">
        <x:v>0</x:v>
      </x:c>
      <x:c r="Y1318" s="38" t="n">
        <x:v>0.5572035</x:v>
      </x:c>
      <x:c r="Z1318" s="38" t="n">
        <x:v>0.5096</x:v>
      </x:c>
      <x:c r="AA1318" s="38" t="n">
        <x:v>0.2107</x:v>
      </x:c>
      <x:c r="AB1318" s="38" t="n">
        <x:v>0.002744</x:v>
      </x:c>
      <x:c r="AC1318" s="38" t="n">
        <x:v>0.9595424999999993</x:v>
      </x:c>
      <x:c r="AD1318" s="28" t="n">
        <x:v>0.2583102493074791</x:v>
      </x:c>
    </x:row>
    <x:row r="1319">
      <x:c r="A1319" s="32" t="n">
        <x:v>46118</x:v>
      </x:c>
      <x:c r="B1319" s="32" t="n">
        <x:v>46113</x:v>
      </x:c>
      <x:c r="C1319" t="str">
        <x:v>Apr 2026</x:v>
      </x:c>
      <x:c r="D1319" t="str">
        <x:v>Forecast</x:v>
      </x:c>
      <x:c r="E1319" t="str">
        <x:v>DB-104</x:v>
      </x:c>
      <x:c r="F1319" t="str">
        <x:v>SunNest Cooling Towel</x:v>
      </x:c>
      <x:c r="G1319" t="str">
        <x:v>Consumable repeat</x:v>
      </x:c>
      <x:c r="H1319" t="str">
        <x:v>Summer peak</x:v>
      </x:c>
      <x:c r="I1319" t="str">
        <x:v>Active</x:v>
      </x:c>
      <x:c r="J1319" t="str">
        <x:v>Wholesale</x:v>
      </x:c>
      <x:c r="K1319" t="str">
        <x:v>Retailer</x:v>
      </x:c>
      <x:c r="L1319" t="str">
        <x:v>All Geographies</x:v>
      </x:c>
      <x:c r="M1319" s="34" t="n">
        <x:v>1503</x:v>
      </x:c>
      <x:c r="N1319" s="28" t="n">
        <x:v>0.018216000000000003</x:v>
      </x:c>
      <x:c r="O1319" s="34" t="n">
        <x:v>27</x:v>
      </x:c>
      <x:c r="P1319" s="34" t="n">
        <x:v>1</x:v>
      </x:c>
      <x:c r="Q1319" s="34" t="n">
        <x:v>27</x:v>
      </x:c>
      <x:c r="R1319" s="33" t="n">
        <x:v>42</x:v>
      </x:c>
      <x:c r="S1319" s="38" t="n">
        <x:v>1.134</x:v>
      </x:c>
      <x:c r="T1319" s="38" t="n">
        <x:v>0.3968999999999999</x:v>
      </x:c>
      <x:c r="U1319" s="38" t="n">
        <x:v>0.036855</x:v>
      </x:c>
      <x:c r="V1319" s="38" t="n">
        <x:v>0.700245</x:v>
      </x:c>
      <x:c r="W1319" s="38" t="n">
        <x:v>0.40635000000000004</x:v>
      </x:c>
      <x:c r="X1319" s="38" t="n">
        <x:v>0</x:v>
      </x:c>
      <x:c r="Y1319" s="38" t="n">
        <x:v>0</x:v>
      </x:c>
      <x:c r="Z1319" s="38" t="n">
        <x:v>0.062099999999999995</x:v>
      </x:c>
      <x:c r="AA1319" s="38" t="n">
        <x:v>0.022949999999999998</x:v>
      </x:c>
      <x:c r="AB1319" s="38" t="n">
        <x:v>0.000756</x:v>
      </x:c>
      <x:c r="AC1319" s="38" t="n">
        <x:v>0.20808899999999997</x:v>
      </x:c>
      <x:c r="AD1319" s="28" t="n">
        <x:v>0.29716599190283394</x:v>
      </x:c>
    </x:row>
    <x:row r="1320">
      <x:c r="A1320" s="32" t="n">
        <x:v>46118</x:v>
      </x:c>
      <x:c r="B1320" s="32" t="n">
        <x:v>46113</x:v>
      </x:c>
      <x:c r="C1320" t="str">
        <x:v>Apr 2026</x:v>
      </x:c>
      <x:c r="D1320" t="str">
        <x:v>Forecast</x:v>
      </x:c>
      <x:c r="E1320" t="str">
        <x:v>DB-104</x:v>
      </x:c>
      <x:c r="F1320" t="str">
        <x:v>SunNest Cooling Towel</x:v>
      </x:c>
      <x:c r="G1320" t="str">
        <x:v>Consumable repeat</x:v>
      </x:c>
      <x:c r="H1320" t="str">
        <x:v>Summer peak</x:v>
      </x:c>
      <x:c r="I1320" t="str">
        <x:v>Active</x:v>
      </x:c>
      <x:c r="J1320" t="str">
        <x:v>TikTok Shop</x:v>
      </x:c>
      <x:c r="K1320" t="str">
        <x:v>Social Commerce</x:v>
      </x:c>
      <x:c r="L1320" t="str">
        <x:v>All Geographies</x:v>
      </x:c>
      <x:c r="M1320" s="34" t="n">
        <x:v>1002</x:v>
      </x:c>
      <x:c r="N1320" s="28" t="n">
        <x:v>0.0417312</x:v>
      </x:c>
      <x:c r="O1320" s="34" t="n">
        <x:v>42</x:v>
      </x:c>
      <x:c r="P1320" s="34" t="n">
        <x:v>1</x:v>
      </x:c>
      <x:c r="Q1320" s="34" t="n">
        <x:v>42</x:v>
      </x:c>
      <x:c r="R1320" s="33" t="n">
        <x:v>42</x:v>
      </x:c>
      <x:c r="S1320" s="38" t="n">
        <x:v>1.764</x:v>
      </x:c>
      <x:c r="T1320" s="38" t="n">
        <x:v>0.21168</x:v>
      </x:c>
      <x:c r="U1320" s="38" t="n">
        <x:v>0.077616</x:v>
      </x:c>
      <x:c r="V1320" s="38" t="n">
        <x:v>1.474704</x:v>
      </x:c>
      <x:c r="W1320" s="38" t="n">
        <x:v>0.6321</x:v>
      </x:c>
      <x:c r="X1320" s="38" t="n">
        <x:v>0.042766416</x:v>
      </x:c>
      <x:c r="Y1320" s="38" t="n">
        <x:v>0.08848224</x:v>
      </x:c>
      <x:c r="Z1320" s="38" t="n">
        <x:v>0.2142</x:v>
      </x:c>
      <x:c r="AA1320" s="38" t="n">
        <x:v>0.0735</x:v>
      </x:c>
      <x:c r="AB1320" s="38" t="n">
        <x:v>0.001176</x:v>
      </x:c>
      <x:c r="AC1320" s="38" t="n">
        <x:v>0.422479344</x:v>
      </x:c>
      <x:c r="AD1320" s="28" t="n">
        <x:v>0.2864841649578492</x:v>
      </x:c>
    </x:row>
    <x:row r="1321">
      <x:c r="A1321" s="32" t="n">
        <x:v>46118</x:v>
      </x:c>
      <x:c r="B1321" s="32" t="n">
        <x:v>46113</x:v>
      </x:c>
      <x:c r="C1321" t="str">
        <x:v>Apr 2026</x:v>
      </x:c>
      <x:c r="D1321" t="str">
        <x:v>Forecast</x:v>
      </x:c>
      <x:c r="E1321" t="str">
        <x:v>DB-105</x:v>
      </x:c>
      <x:c r="F1321" t="str">
        <x:v>DreamFuel Refill Pack</x:v>
      </x:c>
      <x:c r="G1321" t="str">
        <x:v>Subscription</x:v>
      </x:c>
      <x:c r="H1321" t="str">
        <x:v>None</x:v>
      </x:c>
      <x:c r="I1321" t="str">
        <x:v>Active</x:v>
      </x:c>
      <x:c r="J1321" t="str">
        <x:v>Shopify DTC</x:v>
      </x:c>
      <x:c r="K1321" t="str">
        <x:v>Consumer</x:v>
      </x:c>
      <x:c r="L1321" t="str">
        <x:v>All Geographies</x:v>
      </x:c>
      <x:c r="M1321" s="34" t="n">
        <x:v>5051</x:v>
      </x:c>
      <x:c r="N1321" s="28" t="n">
        <x:v>0.03888</x:v>
      </x:c>
      <x:c r="O1321" s="34" t="n">
        <x:v>196</x:v>
      </x:c>
      <x:c r="P1321" s="34" t="n">
        <x:v>1</x:v>
      </x:c>
      <x:c r="Q1321" s="34" t="n">
        <x:v>196</x:v>
      </x:c>
      <x:c r="R1321" s="33" t="n">
        <x:v>56</x:v>
      </x:c>
      <x:c r="S1321" s="38" t="n">
        <x:v>10.976</x:v>
      </x:c>
      <x:c r="T1321" s="38" t="n">
        <x:v>0.8780800000000001</x:v>
      </x:c>
      <x:c r="U1321" s="38" t="n">
        <x:v>0.2019584</x:v>
      </x:c>
      <x:c r="V1321" s="38" t="n">
        <x:v>9.8959616</x:v>
      </x:c>
      <x:c r="W1321" s="38" t="n">
        <x:v>3.64952</x:v>
      </x:c>
      <x:c r="X1321" s="38" t="n">
        <x:v>0.2869828864</x:v>
      </x:c>
      <x:c r="Y1321" s="38" t="n">
        <x:v>0</x:v>
      </x:c>
      <x:c r="Z1321" s="38" t="n">
        <x:v>0.8134000000000001</x:v>
      </x:c>
      <x:c r="AA1321" s="38" t="n">
        <x:v>0.32339999999999997</x:v>
      </x:c>
      <x:c r="AB1321" s="38" t="n">
        <x:v>0.0007055999999999999</x:v>
      </x:c>
      <x:c r="AC1321" s="38" t="n">
        <x:v>4.8219531136</x:v>
      </x:c>
      <x:c r="AD1321" s="28" t="n">
        <x:v>0.4872647357079478</x:v>
      </x:c>
    </x:row>
    <x:row r="1322">
      <x:c r="A1322" s="32" t="n">
        <x:v>46118</x:v>
      </x:c>
      <x:c r="B1322" s="32" t="n">
        <x:v>46113</x:v>
      </x:c>
      <x:c r="C1322" t="str">
        <x:v>Apr 2026</x:v>
      </x:c>
      <x:c r="D1322" t="str">
        <x:v>Forecast</x:v>
      </x:c>
      <x:c r="E1322" t="str">
        <x:v>DB-105</x:v>
      </x:c>
      <x:c r="F1322" t="str">
        <x:v>DreamFuel Refill Pack</x:v>
      </x:c>
      <x:c r="G1322" t="str">
        <x:v>Subscription</x:v>
      </x:c>
      <x:c r="H1322" t="str">
        <x:v>None</x:v>
      </x:c>
      <x:c r="I1322" t="str">
        <x:v>Active</x:v>
      </x:c>
      <x:c r="J1322" t="str">
        <x:v>Amazon Marketplace</x:v>
      </x:c>
      <x:c r="K1322" t="str">
        <x:v>Marketplace Consumer</x:v>
      </x:c>
      <x:c r="L1322" t="str">
        <x:v>All Geographies</x:v>
      </x:c>
      <x:c r="M1322" s="34" t="n">
        <x:v>2525</x:v>
      </x:c>
      <x:c r="N1322" s="28" t="n">
        <x:v>0.0458784</x:v>
      </x:c>
      <x:c r="O1322" s="34" t="n">
        <x:v>116</x:v>
      </x:c>
      <x:c r="P1322" s="34" t="n">
        <x:v>1</x:v>
      </x:c>
      <x:c r="Q1322" s="34" t="n">
        <x:v>116</x:v>
      </x:c>
      <x:c r="R1322" s="33" t="n">
        <x:v>56</x:v>
      </x:c>
      <x:c r="S1322" s="38" t="n">
        <x:v>6.496</x:v>
      </x:c>
      <x:c r="T1322" s="38" t="n">
        <x:v>0.32480000000000003</x:v>
      </x:c>
      <x:c r="U1322" s="38" t="n">
        <x:v>0.12342400000000002</x:v>
      </x:c>
      <x:c r="V1322" s="38" t="n">
        <x:v>6.047776000000001</x:v>
      </x:c>
      <x:c r="W1322" s="38" t="n">
        <x:v>2.15992</x:v>
      </x:c>
      <x:c r="X1322" s="38" t="n">
        <x:v>0</x:v>
      </x:c>
      <x:c r="Y1322" s="38" t="n">
        <x:v>0.9071664</x:v>
      </x:c>
      <x:c r="Z1322" s="38" t="n">
        <x:v>0.6032000000000001</x:v>
      </x:c>
      <x:c r="AA1322" s="38" t="n">
        <x:v>0.24939999999999998</x:v>
      </x:c>
      <x:c r="AB1322" s="38" t="n">
        <x:v>0.0004176</x:v>
      </x:c>
      <x:c r="AC1322" s="38" t="n">
        <x:v>2.1276720000000005</x:v>
      </x:c>
      <x:c r="AD1322" s="28" t="n">
        <x:v>0.35181064907165877</x:v>
      </x:c>
    </x:row>
    <x:row r="1323">
      <x:c r="A1323" s="32" t="n">
        <x:v>46118</x:v>
      </x:c>
      <x:c r="B1323" s="32" t="n">
        <x:v>46113</x:v>
      </x:c>
      <x:c r="C1323" t="str">
        <x:v>Apr 2026</x:v>
      </x:c>
      <x:c r="D1323" t="str">
        <x:v>Forecast</x:v>
      </x:c>
      <x:c r="E1323" t="str">
        <x:v>DB-105</x:v>
      </x:c>
      <x:c r="F1323" t="str">
        <x:v>DreamFuel Refill Pack</x:v>
      </x:c>
      <x:c r="G1323" t="str">
        <x:v>Subscription</x:v>
      </x:c>
      <x:c r="H1323" t="str">
        <x:v>None</x:v>
      </x:c>
      <x:c r="I1323" t="str">
        <x:v>Active</x:v>
      </x:c>
      <x:c r="J1323" t="str">
        <x:v>Wholesale</x:v>
      </x:c>
      <x:c r="K1323" t="str">
        <x:v>Retailer</x:v>
      </x:c>
      <x:c r="L1323" t="str">
        <x:v>All Geographies</x:v>
      </x:c>
      <x:c r="M1323" s="34" t="n">
        <x:v>1515</x:v>
      </x:c>
      <x:c r="N1323" s="28" t="n">
        <x:v>0.021384000000000004</x:v>
      </x:c>
      <x:c r="O1323" s="34" t="n">
        <x:v>32</x:v>
      </x:c>
      <x:c r="P1323" s="34" t="n">
        <x:v>1</x:v>
      </x:c>
      <x:c r="Q1323" s="34" t="n">
        <x:v>32</x:v>
      </x:c>
      <x:c r="R1323" s="33" t="n">
        <x:v>56</x:v>
      </x:c>
      <x:c r="S1323" s="38" t="n">
        <x:v>1.792</x:v>
      </x:c>
      <x:c r="T1323" s="38" t="n">
        <x:v>0.6272</x:v>
      </x:c>
      <x:c r="U1323" s="38" t="n">
        <x:v>0.023296</x:v>
      </x:c>
      <x:c r="V1323" s="38" t="n">
        <x:v>1.141504</x:v>
      </x:c>
      <x:c r="W1323" s="38" t="n">
        <x:v>0.59584</x:v>
      </x:c>
      <x:c r="X1323" s="38" t="n">
        <x:v>0</x:v>
      </x:c>
      <x:c r="Y1323" s="38" t="n">
        <x:v>0</x:v>
      </x:c>
      <x:c r="Z1323" s="38" t="n">
        <x:v>0.0736</x:v>
      </x:c>
      <x:c r="AA1323" s="38" t="n">
        <x:v>0.0272</x:v>
      </x:c>
      <x:c r="AB1323" s="38" t="n">
        <x:v>0.0001152</x:v>
      </x:c>
      <x:c r="AC1323" s="38" t="n">
        <x:v>0.44474880000000006</x:v>
      </x:c>
      <x:c r="AD1323" s="28" t="n">
        <x:v>0.3896165059430366</x:v>
      </x:c>
    </x:row>
    <x:row r="1324">
      <x:c r="A1324" s="32" t="n">
        <x:v>46118</x:v>
      </x:c>
      <x:c r="B1324" s="32" t="n">
        <x:v>46113</x:v>
      </x:c>
      <x:c r="C1324" t="str">
        <x:v>Apr 2026</x:v>
      </x:c>
      <x:c r="D1324" t="str">
        <x:v>Forecast</x:v>
      </x:c>
      <x:c r="E1324" t="str">
        <x:v>DB-105</x:v>
      </x:c>
      <x:c r="F1324" t="str">
        <x:v>DreamFuel Refill Pack</x:v>
      </x:c>
      <x:c r="G1324" t="str">
        <x:v>Subscription</x:v>
      </x:c>
      <x:c r="H1324" t="str">
        <x:v>None</x:v>
      </x:c>
      <x:c r="I1324" t="str">
        <x:v>Active</x:v>
      </x:c>
      <x:c r="J1324" t="str">
        <x:v>TikTok Shop</x:v>
      </x:c>
      <x:c r="K1324" t="str">
        <x:v>Social Commerce</x:v>
      </x:c>
      <x:c r="L1324" t="str">
        <x:v>All Geographies</x:v>
      </x:c>
      <x:c r="M1324" s="34" t="n">
        <x:v>1010</x:v>
      </x:c>
      <x:c r="N1324" s="28" t="n">
        <x:v>0.0489888</x:v>
      </x:c>
      <x:c r="O1324" s="34" t="n">
        <x:v>49</x:v>
      </x:c>
      <x:c r="P1324" s="34" t="n">
        <x:v>1</x:v>
      </x:c>
      <x:c r="Q1324" s="34" t="n">
        <x:v>49</x:v>
      </x:c>
      <x:c r="R1324" s="33" t="n">
        <x:v>56</x:v>
      </x:c>
      <x:c r="S1324" s="38" t="n">
        <x:v>2.744</x:v>
      </x:c>
      <x:c r="T1324" s="38" t="n">
        <x:v>0.32928</x:v>
      </x:c>
      <x:c r="U1324" s="38" t="n">
        <x:v>0.0482944</x:v>
      </x:c>
      <x:c r="V1324" s="38" t="n">
        <x:v>2.3664256</x:v>
      </x:c>
      <x:c r="W1324" s="38" t="n">
        <x:v>0.91238</x:v>
      </x:c>
      <x:c r="X1324" s="38" t="n">
        <x:v>0.0686263424</x:v>
      </x:c>
      <x:c r="Y1324" s="38" t="n">
        <x:v>0.141985536</x:v>
      </x:c>
      <x:c r="Z1324" s="38" t="n">
        <x:v>0.24989999999999998</x:v>
      </x:c>
      <x:c r="AA1324" s="38" t="n">
        <x:v>0.08575</x:v>
      </x:c>
      <x:c r="AB1324" s="38" t="n">
        <x:v>0.00017639999999999998</x:v>
      </x:c>
      <x:c r="AC1324" s="38" t="n">
        <x:v>0.9076073216</x:v>
      </x:c>
      <x:c r="AD1324" s="28" t="n">
        <x:v>0.3835351179432812</x:v>
      </x:c>
    </x:row>
    <x:row r="1325">
      <x:c r="A1325" s="32" t="n">
        <x:v>46125</x:v>
      </x:c>
      <x:c r="B1325" s="32" t="n">
        <x:v>46113</x:v>
      </x:c>
      <x:c r="C1325" t="str">
        <x:v>Apr 2026</x:v>
      </x:c>
      <x:c r="D1325" t="str">
        <x:v>Forecast</x:v>
      </x:c>
      <x:c r="E1325" t="str">
        <x:v>DB-101</x:v>
      </x:c>
      <x:c r="F1325" t="str">
        <x:v>AeroSip Bottle</x:v>
      </x:c>
      <x:c r="G1325" t="str">
        <x:v>One-time purchase</x:v>
      </x:c>
      <x:c r="H1325" t="str">
        <x:v>None</x:v>
      </x:c>
      <x:c r="I1325" t="str">
        <x:v>Active</x:v>
      </x:c>
      <x:c r="J1325" t="str">
        <x:v>Shopify DTC</x:v>
      </x:c>
      <x:c r="K1325" t="str">
        <x:v>Consumer</x:v>
      </x:c>
      <x:c r="L1325" t="str">
        <x:v>All Geographies</x:v>
      </x:c>
      <x:c r="M1325" s="34" t="n">
        <x:v>7296</x:v>
      </x:c>
      <x:c r="N1325" s="28" t="n">
        <x:v>0.034199999999999994</x:v>
      </x:c>
      <x:c r="O1325" s="34" t="n">
        <x:v>250</x:v>
      </x:c>
      <x:c r="P1325" s="34" t="n">
        <x:v>1</x:v>
      </x:c>
      <x:c r="Q1325" s="34" t="n">
        <x:v>250</x:v>
      </x:c>
      <x:c r="R1325" s="33" t="n">
        <x:v>29</x:v>
      </x:c>
      <x:c r="S1325" s="38" t="n">
        <x:v>7.25</x:v>
      </x:c>
      <x:c r="T1325" s="38" t="n">
        <x:v>0.58</x:v>
      </x:c>
      <x:c r="U1325" s="38" t="n">
        <x:v>0.30015</x:v>
      </x:c>
      <x:c r="V1325" s="38" t="n">
        <x:v>6.36985</x:v>
      </x:c>
      <x:c r="W1325" s="38" t="n">
        <x:v>2.7</x:v>
      </x:c>
      <x:c r="X1325" s="38" t="n">
        <x:v>0.18472565</x:v>
      </x:c>
      <x:c r="Y1325" s="38" t="n">
        <x:v>0</x:v>
      </x:c>
      <x:c r="Z1325" s="38" t="n">
        <x:v>1.0375</x:v>
      </x:c>
      <x:c r="AA1325" s="38" t="n">
        <x:v>0.4125</x:v>
      </x:c>
      <x:c r="AB1325" s="38" t="n">
        <x:v>0.009</x:v>
      </x:c>
      <x:c r="AC1325" s="38" t="n">
        <x:v>2.0261243499999995</x:v>
      </x:c>
      <x:c r="AD1325" s="28" t="n">
        <x:v>0.31808038650831644</x:v>
      </x:c>
    </x:row>
    <x:row r="1326">
      <x:c r="A1326" s="32" t="n">
        <x:v>46125</x:v>
      </x:c>
      <x:c r="B1326" s="32" t="n">
        <x:v>46113</x:v>
      </x:c>
      <x:c r="C1326" t="str">
        <x:v>Apr 2026</x:v>
      </x:c>
      <x:c r="D1326" t="str">
        <x:v>Forecast</x:v>
      </x:c>
      <x:c r="E1326" t="str">
        <x:v>DB-101</x:v>
      </x:c>
      <x:c r="F1326" t="str">
        <x:v>AeroSip Bottle</x:v>
      </x:c>
      <x:c r="G1326" t="str">
        <x:v>One-time purchase</x:v>
      </x:c>
      <x:c r="H1326" t="str">
        <x:v>None</x:v>
      </x:c>
      <x:c r="I1326" t="str">
        <x:v>Active</x:v>
      </x:c>
      <x:c r="J1326" t="str">
        <x:v>Amazon Marketplace</x:v>
      </x:c>
      <x:c r="K1326" t="str">
        <x:v>Marketplace Consumer</x:v>
      </x:c>
      <x:c r="L1326" t="str">
        <x:v>All Geographies</x:v>
      </x:c>
      <x:c r="M1326" s="34" t="n">
        <x:v>3648</x:v>
      </x:c>
      <x:c r="N1326" s="28" t="n">
        <x:v>0.040355999999999996</x:v>
      </x:c>
      <x:c r="O1326" s="34" t="n">
        <x:v>147</x:v>
      </x:c>
      <x:c r="P1326" s="34" t="n">
        <x:v>1</x:v>
      </x:c>
      <x:c r="Q1326" s="34" t="n">
        <x:v>147</x:v>
      </x:c>
      <x:c r="R1326" s="33" t="n">
        <x:v>29</x:v>
      </x:c>
      <x:c r="S1326" s="38" t="n">
        <x:v>4.263</x:v>
      </x:c>
      <x:c r="T1326" s="38" t="n">
        <x:v>0.21315</x:v>
      </x:c>
      <x:c r="U1326" s="38" t="n">
        <x:v>0.18224325</x:v>
      </x:c>
      <x:c r="V1326" s="38" t="n">
        <x:v>3.86760675</x:v>
      </x:c>
      <x:c r="W1326" s="38" t="n">
        <x:v>1.5876000000000001</x:v>
      </x:c>
      <x:c r="X1326" s="38" t="n">
        <x:v>0</x:v>
      </x:c>
      <x:c r="Y1326" s="38" t="n">
        <x:v>0.5801410125</x:v>
      </x:c>
      <x:c r="Z1326" s="38" t="n">
        <x:v>0.7644</x:v>
      </x:c>
      <x:c r="AA1326" s="38" t="n">
        <x:v>0.31605</x:v>
      </x:c>
      <x:c r="AB1326" s="38" t="n">
        <x:v>0.005292</x:v>
      </x:c>
      <x:c r="AC1326" s="38" t="n">
        <x:v>0.6141237375000003</x:v>
      </x:c>
      <x:c r="AD1326" s="28" t="n">
        <x:v>0.15878649955815705</x:v>
      </x:c>
    </x:row>
    <x:row r="1327">
      <x:c r="A1327" s="32" t="n">
        <x:v>46125</x:v>
      </x:c>
      <x:c r="B1327" s="32" t="n">
        <x:v>46113</x:v>
      </x:c>
      <x:c r="C1327" t="str">
        <x:v>Apr 2026</x:v>
      </x:c>
      <x:c r="D1327" t="str">
        <x:v>Forecast</x:v>
      </x:c>
      <x:c r="E1327" t="str">
        <x:v>DB-101</x:v>
      </x:c>
      <x:c r="F1327" t="str">
        <x:v>AeroSip Bottle</x:v>
      </x:c>
      <x:c r="G1327" t="str">
        <x:v>One-time purchase</x:v>
      </x:c>
      <x:c r="H1327" t="str">
        <x:v>None</x:v>
      </x:c>
      <x:c r="I1327" t="str">
        <x:v>Active</x:v>
      </x:c>
      <x:c r="J1327" t="str">
        <x:v>Wholesale</x:v>
      </x:c>
      <x:c r="K1327" t="str">
        <x:v>Retailer</x:v>
      </x:c>
      <x:c r="L1327" t="str">
        <x:v>All Geographies</x:v>
      </x:c>
      <x:c r="M1327" s="34" t="n">
        <x:v>2189</x:v>
      </x:c>
      <x:c r="N1327" s="28" t="n">
        <x:v>0.01881</x:v>
      </x:c>
      <x:c r="O1327" s="34" t="n">
        <x:v>41</x:v>
      </x:c>
      <x:c r="P1327" s="34" t="n">
        <x:v>1</x:v>
      </x:c>
      <x:c r="Q1327" s="34" t="n">
        <x:v>41</x:v>
      </x:c>
      <x:c r="R1327" s="33" t="n">
        <x:v>29</x:v>
      </x:c>
      <x:c r="S1327" s="38" t="n">
        <x:v>1.189</x:v>
      </x:c>
      <x:c r="T1327" s="38" t="n">
        <x:v>0.41615</x:v>
      </x:c>
      <x:c r="U1327" s="38" t="n">
        <x:v>0.034778250000000004</x:v>
      </x:c>
      <x:c r="V1327" s="38" t="n">
        <x:v>0.73807175</x:v>
      </x:c>
      <x:c r="W1327" s="38" t="n">
        <x:v>0.4428</x:v>
      </x:c>
      <x:c r="X1327" s="38" t="n">
        <x:v>0</x:v>
      </x:c>
      <x:c r="Y1327" s="38" t="n">
        <x:v>0</x:v>
      </x:c>
      <x:c r="Z1327" s="38" t="n">
        <x:v>0.0943</x:v>
      </x:c>
      <x:c r="AA1327" s="38" t="n">
        <x:v>0.03485</x:v>
      </x:c>
      <x:c r="AB1327" s="38" t="n">
        <x:v>0.0014759999999999999</x:v>
      </x:c>
      <x:c r="AC1327" s="38" t="n">
        <x:v>0.16464575</x:v>
      </x:c>
      <x:c r="AD1327" s="28" t="n">
        <x:v>0.22307553432305194</x:v>
      </x:c>
    </x:row>
    <x:row r="1328">
      <x:c r="A1328" s="32" t="n">
        <x:v>46125</x:v>
      </x:c>
      <x:c r="B1328" s="32" t="n">
        <x:v>46113</x:v>
      </x:c>
      <x:c r="C1328" t="str">
        <x:v>Apr 2026</x:v>
      </x:c>
      <x:c r="D1328" t="str">
        <x:v>Forecast</x:v>
      </x:c>
      <x:c r="E1328" t="str">
        <x:v>DB-101</x:v>
      </x:c>
      <x:c r="F1328" t="str">
        <x:v>AeroSip Bottle</x:v>
      </x:c>
      <x:c r="G1328" t="str">
        <x:v>One-time purchase</x:v>
      </x:c>
      <x:c r="H1328" t="str">
        <x:v>None</x:v>
      </x:c>
      <x:c r="I1328" t="str">
        <x:v>Active</x:v>
      </x:c>
      <x:c r="J1328" t="str">
        <x:v>TikTok Shop</x:v>
      </x:c>
      <x:c r="K1328" t="str">
        <x:v>Social Commerce</x:v>
      </x:c>
      <x:c r="L1328" t="str">
        <x:v>All Geographies</x:v>
      </x:c>
      <x:c r="M1328" s="34" t="n">
        <x:v>1459</x:v>
      </x:c>
      <x:c r="N1328" s="28" t="n">
        <x:v>0.043092</x:v>
      </x:c>
      <x:c r="O1328" s="34" t="n">
        <x:v>63</x:v>
      </x:c>
      <x:c r="P1328" s="34" t="n">
        <x:v>1</x:v>
      </x:c>
      <x:c r="Q1328" s="34" t="n">
        <x:v>63</x:v>
      </x:c>
      <x:c r="R1328" s="33" t="n">
        <x:v>29</x:v>
      </x:c>
      <x:c r="S1328" s="38" t="n">
        <x:v>1.827</x:v>
      </x:c>
      <x:c r="T1328" s="38" t="n">
        <x:v>0.21924</x:v>
      </x:c>
      <x:c r="U1328" s="38" t="n">
        <x:v>0.07234919999999999</x:v>
      </x:c>
      <x:c r="V1328" s="38" t="n">
        <x:v>1.5354108</x:v>
      </x:c>
      <x:c r="W1328" s="38" t="n">
        <x:v>0.6804000000000001</x:v>
      </x:c>
      <x:c r="X1328" s="38" t="n">
        <x:v>0.044526913200000004</x:v>
      </x:c>
      <x:c r="Y1328" s="38" t="n">
        <x:v>0.09212464799999999</x:v>
      </x:c>
      <x:c r="Z1328" s="38" t="n">
        <x:v>0.3213</x:v>
      </x:c>
      <x:c r="AA1328" s="38" t="n">
        <x:v>0.11025</x:v>
      </x:c>
      <x:c r="AB1328" s="38" t="n">
        <x:v>0.0022679999999999996</x:v>
      </x:c>
      <x:c r="AC1328" s="38" t="n">
        <x:v>0.2845412387999999</x:v>
      </x:c>
      <x:c r="AD1328" s="28" t="n">
        <x:v>0.18531928966501987</x:v>
      </x:c>
    </x:row>
    <x:row r="1329">
      <x:c r="A1329" s="32" t="n">
        <x:v>46125</x:v>
      </x:c>
      <x:c r="B1329" s="32" t="n">
        <x:v>46113</x:v>
      </x:c>
      <x:c r="C1329" t="str">
        <x:v>Apr 2026</x:v>
      </x:c>
      <x:c r="D1329" t="str">
        <x:v>Forecast</x:v>
      </x:c>
      <x:c r="E1329" t="str">
        <x:v>DB-102</x:v>
      </x:c>
      <x:c r="F1329" t="str">
        <x:v>GlowPatch Balm</x:v>
      </x:c>
      <x:c r="G1329" t="str">
        <x:v>Consumable repeat</x:v>
      </x:c>
      <x:c r="H1329" t="str">
        <x:v>None</x:v>
      </x:c>
      <x:c r="I1329" t="str">
        <x:v>Active</x:v>
      </x:c>
      <x:c r="J1329" t="str">
        <x:v>Shopify DTC</x:v>
      </x:c>
      <x:c r="K1329" t="str">
        <x:v>Consumer</x:v>
      </x:c>
      <x:c r="L1329" t="str">
        <x:v>All Geographies</x:v>
      </x:c>
      <x:c r="M1329" s="34" t="n">
        <x:v>5893</x:v>
      </x:c>
      <x:c r="N1329" s="28" t="n">
        <x:v>0.04248</x:v>
      </x:c>
      <x:c r="O1329" s="34" t="n">
        <x:v>250</x:v>
      </x:c>
      <x:c r="P1329" s="34" t="n">
        <x:v>1</x:v>
      </x:c>
      <x:c r="Q1329" s="34" t="n">
        <x:v>250</x:v>
      </x:c>
      <x:c r="R1329" s="33" t="n">
        <x:v>18</x:v>
      </x:c>
      <x:c r="S1329" s="38" t="n">
        <x:v>4.5</x:v>
      </x:c>
      <x:c r="T1329" s="38" t="n">
        <x:v>0.36</x:v>
      </x:c>
      <x:c r="U1329" s="38" t="n">
        <x:v>0.1035</x:v>
      </x:c>
      <x:c r="V1329" s="38" t="n">
        <x:v>4.036499999999999</x:v>
      </x:c>
      <x:c r="W1329" s="38" t="n">
        <x:v>1.3525</x:v>
      </x:c>
      <x:c r="X1329" s="38" t="n">
        <x:v>0.11705849999999998</x:v>
      </x:c>
      <x:c r="Y1329" s="38" t="n">
        <x:v>0</x:v>
      </x:c>
      <x:c r="Z1329" s="38" t="n">
        <x:v>1.0375</x:v>
      </x:c>
      <x:c r="AA1329" s="38" t="n">
        <x:v>0.4125</x:v>
      </x:c>
      <x:c r="AB1329" s="38" t="n">
        <x:v>0.0015</x:v>
      </x:c>
      <x:c r="AC1329" s="38" t="n">
        <x:v>1.1154414999999989</x:v>
      </x:c>
      <x:c r="AD1329" s="28" t="n">
        <x:v>0.2763387835996529</x:v>
      </x:c>
    </x:row>
    <x:row r="1330">
      <x:c r="A1330" s="32" t="n">
        <x:v>46125</x:v>
      </x:c>
      <x:c r="B1330" s="32" t="n">
        <x:v>46113</x:v>
      </x:c>
      <x:c r="C1330" t="str">
        <x:v>Apr 2026</x:v>
      </x:c>
      <x:c r="D1330" t="str">
        <x:v>Forecast</x:v>
      </x:c>
      <x:c r="E1330" t="str">
        <x:v>DB-102</x:v>
      </x:c>
      <x:c r="F1330" t="str">
        <x:v>GlowPatch Balm</x:v>
      </x:c>
      <x:c r="G1330" t="str">
        <x:v>Consumable repeat</x:v>
      </x:c>
      <x:c r="H1330" t="str">
        <x:v>None</x:v>
      </x:c>
      <x:c r="I1330" t="str">
        <x:v>Active</x:v>
      </x:c>
      <x:c r="J1330" t="str">
        <x:v>Amazon Marketplace</x:v>
      </x:c>
      <x:c r="K1330" t="str">
        <x:v>Marketplace Consumer</x:v>
      </x:c>
      <x:c r="L1330" t="str">
        <x:v>All Geographies</x:v>
      </x:c>
      <x:c r="M1330" s="34" t="n">
        <x:v>2946</x:v>
      </x:c>
      <x:c r="N1330" s="28" t="n">
        <x:v>0.050126399999999995</x:v>
      </x:c>
      <x:c r="O1330" s="34" t="n">
        <x:v>148</x:v>
      </x:c>
      <x:c r="P1330" s="34" t="n">
        <x:v>1</x:v>
      </x:c>
      <x:c r="Q1330" s="34" t="n">
        <x:v>148</x:v>
      </x:c>
      <x:c r="R1330" s="33" t="n">
        <x:v>18</x:v>
      </x:c>
      <x:c r="S1330" s="38" t="n">
        <x:v>2.664</x:v>
      </x:c>
      <x:c r="T1330" s="38" t="n">
        <x:v>0.1332</x:v>
      </x:c>
      <x:c r="U1330" s="38" t="n">
        <x:v>0.06327</x:v>
      </x:c>
      <x:c r="V1330" s="38" t="n">
        <x:v>2.46753</x:v>
      </x:c>
      <x:c r="W1330" s="38" t="n">
        <x:v>0.8006800000000001</x:v>
      </x:c>
      <x:c r="X1330" s="38" t="n">
        <x:v>0</x:v>
      </x:c>
      <x:c r="Y1330" s="38" t="n">
        <x:v>0.3701295</x:v>
      </x:c>
      <x:c r="Z1330" s="38" t="n">
        <x:v>0.7696000000000001</x:v>
      </x:c>
      <x:c r="AA1330" s="38" t="n">
        <x:v>0.3182</x:v>
      </x:c>
      <x:c r="AB1330" s="38" t="n">
        <x:v>0.0008879999999999999</x:v>
      </x:c>
      <x:c r="AC1330" s="38" t="n">
        <x:v>0.2080324999999999</x:v>
      </x:c>
      <x:c r="AD1330" s="28" t="n">
        <x:v>0.084307992202729</x:v>
      </x:c>
    </x:row>
    <x:row r="1331">
      <x:c r="A1331" s="32" t="n">
        <x:v>46125</x:v>
      </x:c>
      <x:c r="B1331" s="32" t="n">
        <x:v>46113</x:v>
      </x:c>
      <x:c r="C1331" t="str">
        <x:v>Apr 2026</x:v>
      </x:c>
      <x:c r="D1331" t="str">
        <x:v>Forecast</x:v>
      </x:c>
      <x:c r="E1331" t="str">
        <x:v>DB-102</x:v>
      </x:c>
      <x:c r="F1331" t="str">
        <x:v>GlowPatch Balm</x:v>
      </x:c>
      <x:c r="G1331" t="str">
        <x:v>Consumable repeat</x:v>
      </x:c>
      <x:c r="H1331" t="str">
        <x:v>None</x:v>
      </x:c>
      <x:c r="I1331" t="str">
        <x:v>Active</x:v>
      </x:c>
      <x:c r="J1331" t="str">
        <x:v>Wholesale</x:v>
      </x:c>
      <x:c r="K1331" t="str">
        <x:v>Retailer</x:v>
      </x:c>
      <x:c r="L1331" t="str">
        <x:v>All Geographies</x:v>
      </x:c>
      <x:c r="M1331" s="34" t="n">
        <x:v>1768</x:v>
      </x:c>
      <x:c r="N1331" s="28" t="n">
        <x:v>0.023364</x:v>
      </x:c>
      <x:c r="O1331" s="34" t="n">
        <x:v>41</x:v>
      </x:c>
      <x:c r="P1331" s="34" t="n">
        <x:v>1</x:v>
      </x:c>
      <x:c r="Q1331" s="34" t="n">
        <x:v>41</x:v>
      </x:c>
      <x:c r="R1331" s="33" t="n">
        <x:v>18</x:v>
      </x:c>
      <x:c r="S1331" s="38" t="n">
        <x:v>0.738</x:v>
      </x:c>
      <x:c r="T1331" s="38" t="n">
        <x:v>0.2583</x:v>
      </x:c>
      <x:c r="U1331" s="38" t="n">
        <x:v>0.011992500000000001</x:v>
      </x:c>
      <x:c r="V1331" s="38" t="n">
        <x:v>0.4677075</x:v>
      </x:c>
      <x:c r="W1331" s="38" t="n">
        <x:v>0.22181</x:v>
      </x:c>
      <x:c r="X1331" s="38" t="n">
        <x:v>0</x:v>
      </x:c>
      <x:c r="Y1331" s="38" t="n">
        <x:v>0</x:v>
      </x:c>
      <x:c r="Z1331" s="38" t="n">
        <x:v>0.0943</x:v>
      </x:c>
      <x:c r="AA1331" s="38" t="n">
        <x:v>0.03485</x:v>
      </x:c>
      <x:c r="AB1331" s="38" t="n">
        <x:v>0.000246</x:v>
      </x:c>
      <x:c r="AC1331" s="38" t="n">
        <x:v>0.11650150000000001</x:v>
      </x:c>
      <x:c r="AD1331" s="28" t="n">
        <x:v>0.2490905106289722</x:v>
      </x:c>
    </x:row>
    <x:row r="1332">
      <x:c r="A1332" s="32" t="n">
        <x:v>46125</x:v>
      </x:c>
      <x:c r="B1332" s="32" t="n">
        <x:v>46113</x:v>
      </x:c>
      <x:c r="C1332" t="str">
        <x:v>Apr 2026</x:v>
      </x:c>
      <x:c r="D1332" t="str">
        <x:v>Forecast</x:v>
      </x:c>
      <x:c r="E1332" t="str">
        <x:v>DB-102</x:v>
      </x:c>
      <x:c r="F1332" t="str">
        <x:v>GlowPatch Balm</x:v>
      </x:c>
      <x:c r="G1332" t="str">
        <x:v>Consumable repeat</x:v>
      </x:c>
      <x:c r="H1332" t="str">
        <x:v>None</x:v>
      </x:c>
      <x:c r="I1332" t="str">
        <x:v>Active</x:v>
      </x:c>
      <x:c r="J1332" t="str">
        <x:v>TikTok Shop</x:v>
      </x:c>
      <x:c r="K1332" t="str">
        <x:v>Social Commerce</x:v>
      </x:c>
      <x:c r="L1332" t="str">
        <x:v>All Geographies</x:v>
      </x:c>
      <x:c r="M1332" s="34" t="n">
        <x:v>1179</x:v>
      </x:c>
      <x:c r="N1332" s="28" t="n">
        <x:v>0.0535248</x:v>
      </x:c>
      <x:c r="O1332" s="34" t="n">
        <x:v>63</x:v>
      </x:c>
      <x:c r="P1332" s="34" t="n">
        <x:v>1</x:v>
      </x:c>
      <x:c r="Q1332" s="34" t="n">
        <x:v>63</x:v>
      </x:c>
      <x:c r="R1332" s="33" t="n">
        <x:v>18</x:v>
      </x:c>
      <x:c r="S1332" s="38" t="n">
        <x:v>1.134</x:v>
      </x:c>
      <x:c r="T1332" s="38" t="n">
        <x:v>0.13607999999999998</x:v>
      </x:c>
      <x:c r="U1332" s="38" t="n">
        <x:v>0.024947999999999998</x:v>
      </x:c>
      <x:c r="V1332" s="38" t="n">
        <x:v>0.972972</x:v>
      </x:c>
      <x:c r="W1332" s="38" t="n">
        <x:v>0.34082999999999997</x:v>
      </x:c>
      <x:c r="X1332" s="38" t="n">
        <x:v>0.028216188</x:v>
      </x:c>
      <x:c r="Y1332" s="38" t="n">
        <x:v>0.05837832</x:v>
      </x:c>
      <x:c r="Z1332" s="38" t="n">
        <x:v>0.3213</x:v>
      </x:c>
      <x:c r="AA1332" s="38" t="n">
        <x:v>0.11025</x:v>
      </x:c>
      <x:c r="AB1332" s="38" t="n">
        <x:v>0.000378</x:v>
      </x:c>
      <x:c r="AC1332" s="38" t="n">
        <x:v>0.11361949199999999</x:v>
      </x:c>
      <x:c r="AD1332" s="28" t="n">
        <x:v>0.11677570577570577</x:v>
      </x:c>
    </x:row>
    <x:row r="1333">
      <x:c r="A1333" s="32" t="n">
        <x:v>46125</x:v>
      </x:c>
      <x:c r="B1333" s="32" t="n">
        <x:v>46113</x:v>
      </x:c>
      <x:c r="C1333" t="str">
        <x:v>Apr 2026</x:v>
      </x:c>
      <x:c r="D1333" t="str">
        <x:v>Forecast</x:v>
      </x:c>
      <x:c r="E1333" t="str">
        <x:v>DB-103</x:v>
      </x:c>
      <x:c r="F1333" t="str">
        <x:v>EmberTrail Camp Mug</x:v>
      </x:c>
      <x:c r="G1333" t="str">
        <x:v>One-time purchase</x:v>
      </x:c>
      <x:c r="H1333" t="str">
        <x:v>Winter peak</x:v>
      </x:c>
      <x:c r="I1333" t="str">
        <x:v>Active</x:v>
      </x:c>
      <x:c r="J1333" t="str">
        <x:v>Shopify DTC</x:v>
      </x:c>
      <x:c r="K1333" t="str">
        <x:v>Consumer</x:v>
      </x:c>
      <x:c r="L1333" t="str">
        <x:v>All Geographies</x:v>
      </x:c>
      <x:c r="M1333" s="34" t="n">
        <x:v>4142</x:v>
      </x:c>
      <x:c r="N1333" s="28" t="n">
        <x:v>0.0324</x:v>
      </x:c>
      <x:c r="O1333" s="34" t="n">
        <x:v>134</x:v>
      </x:c>
      <x:c r="P1333" s="34" t="n">
        <x:v>1</x:v>
      </x:c>
      <x:c r="Q1333" s="34" t="n">
        <x:v>134</x:v>
      </x:c>
      <x:c r="R1333" s="33" t="n">
        <x:v>34</x:v>
      </x:c>
      <x:c r="S1333" s="38" t="n">
        <x:v>4.556</x:v>
      </x:c>
      <x:c r="T1333" s="38" t="n">
        <x:v>0.36448</x:v>
      </x:c>
      <x:c r="U1333" s="38" t="n">
        <x:v>0.23053359999999998</x:v>
      </x:c>
      <x:c r="V1333" s="38" t="n">
        <x:v>3.9609864</x:v>
      </x:c>
      <x:c r="W1333" s="38" t="n">
        <x:v>1.83178</x:v>
      </x:c>
      <x:c r="X1333" s="38" t="n">
        <x:v>0.1148686056</x:v>
      </x:c>
      <x:c r="Y1333" s="38" t="n">
        <x:v>0</x:v>
      </x:c>
      <x:c r="Z1333" s="38" t="n">
        <x:v>0.5561</x:v>
      </x:c>
      <x:c r="AA1333" s="38" t="n">
        <x:v>0.2211</x:v>
      </x:c>
      <x:c r="AB1333" s="38" t="n">
        <x:v>0.007504</x:v>
      </x:c>
      <x:c r="AC1333" s="38" t="n">
        <x:v>1.2296337944000002</x:v>
      </x:c>
      <x:c r="AD1333" s="28" t="n">
        <x:v>0.3104362575948254</x:v>
      </x:c>
    </x:row>
    <x:row r="1334">
      <x:c r="A1334" s="32" t="n">
        <x:v>46125</x:v>
      </x:c>
      <x:c r="B1334" s="32" t="n">
        <x:v>46113</x:v>
      </x:c>
      <x:c r="C1334" t="str">
        <x:v>Apr 2026</x:v>
      </x:c>
      <x:c r="D1334" t="str">
        <x:v>Forecast</x:v>
      </x:c>
      <x:c r="E1334" t="str">
        <x:v>DB-103</x:v>
      </x:c>
      <x:c r="F1334" t="str">
        <x:v>EmberTrail Camp Mug</x:v>
      </x:c>
      <x:c r="G1334" t="str">
        <x:v>One-time purchase</x:v>
      </x:c>
      <x:c r="H1334" t="str">
        <x:v>Winter peak</x:v>
      </x:c>
      <x:c r="I1334" t="str">
        <x:v>Active</x:v>
      </x:c>
      <x:c r="J1334" t="str">
        <x:v>Amazon Marketplace</x:v>
      </x:c>
      <x:c r="K1334" t="str">
        <x:v>Marketplace Consumer</x:v>
      </x:c>
      <x:c r="L1334" t="str">
        <x:v>All Geographies</x:v>
      </x:c>
      <x:c r="M1334" s="34" t="n">
        <x:v>2071</x:v>
      </x:c>
      <x:c r="N1334" s="28" t="n">
        <x:v>0.038231999999999995</x:v>
      </x:c>
      <x:c r="O1334" s="34" t="n">
        <x:v>79</x:v>
      </x:c>
      <x:c r="P1334" s="34" t="n">
        <x:v>1</x:v>
      </x:c>
      <x:c r="Q1334" s="34" t="n">
        <x:v>79</x:v>
      </x:c>
      <x:c r="R1334" s="33" t="n">
        <x:v>34</x:v>
      </x:c>
      <x:c r="S1334" s="38" t="n">
        <x:v>2.686</x:v>
      </x:c>
      <x:c r="T1334" s="38" t="n">
        <x:v>0.1343</x:v>
      </x:c>
      <x:c r="U1334" s="38" t="n">
        <x:v>0.14034349999999998</x:v>
      </x:c>
      <x:c r="V1334" s="38" t="n">
        <x:v>2.4113564999999997</x:v>
      </x:c>
      <x:c r="W1334" s="38" t="n">
        <x:v>1.07993</x:v>
      </x:c>
      <x:c r="X1334" s="38" t="n">
        <x:v>0</x:v>
      </x:c>
      <x:c r="Y1334" s="38" t="n">
        <x:v>0.36170347499999994</x:v>
      </x:c>
      <x:c r="Z1334" s="38" t="n">
        <x:v>0.4108</x:v>
      </x:c>
      <x:c r="AA1334" s="38" t="n">
        <x:v>0.16985</x:v>
      </x:c>
      <x:c r="AB1334" s="38" t="n">
        <x:v>0.004424</x:v>
      </x:c>
      <x:c r="AC1334" s="38" t="n">
        <x:v>0.3846490249999997</x:v>
      </x:c>
      <x:c r="AD1334" s="28" t="n">
        <x:v>0.15951561911314224</x:v>
      </x:c>
    </x:row>
    <x:row r="1335">
      <x:c r="A1335" s="32" t="n">
        <x:v>46125</x:v>
      </x:c>
      <x:c r="B1335" s="32" t="n">
        <x:v>46113</x:v>
      </x:c>
      <x:c r="C1335" t="str">
        <x:v>Apr 2026</x:v>
      </x:c>
      <x:c r="D1335" t="str">
        <x:v>Forecast</x:v>
      </x:c>
      <x:c r="E1335" t="str">
        <x:v>DB-103</x:v>
      </x:c>
      <x:c r="F1335" t="str">
        <x:v>EmberTrail Camp Mug</x:v>
      </x:c>
      <x:c r="G1335" t="str">
        <x:v>One-time purchase</x:v>
      </x:c>
      <x:c r="H1335" t="str">
        <x:v>Winter peak</x:v>
      </x:c>
      <x:c r="I1335" t="str">
        <x:v>Active</x:v>
      </x:c>
      <x:c r="J1335" t="str">
        <x:v>Wholesale</x:v>
      </x:c>
      <x:c r="K1335" t="str">
        <x:v>Retailer</x:v>
      </x:c>
      <x:c r="L1335" t="str">
        <x:v>All Geographies</x:v>
      </x:c>
      <x:c r="M1335" s="34" t="n">
        <x:v>1242</x:v>
      </x:c>
      <x:c r="N1335" s="28" t="n">
        <x:v>0.017820000000000003</x:v>
      </x:c>
      <x:c r="O1335" s="34" t="n">
        <x:v>22</x:v>
      </x:c>
      <x:c r="P1335" s="34" t="n">
        <x:v>1</x:v>
      </x:c>
      <x:c r="Q1335" s="34" t="n">
        <x:v>22</x:v>
      </x:c>
      <x:c r="R1335" s="33" t="n">
        <x:v>34</x:v>
      </x:c>
      <x:c r="S1335" s="38" t="n">
        <x:v>0.748</x:v>
      </x:c>
      <x:c r="T1335" s="38" t="n">
        <x:v>0.2618</x:v>
      </x:c>
      <x:c r="U1335" s="38" t="n">
        <x:v>0.026741</x:v>
      </x:c>
      <x:c r="V1335" s="38" t="n">
        <x:v>0.459459</x:v>
      </x:c>
      <x:c r="W1335" s="38" t="n">
        <x:v>0.30074</x:v>
      </x:c>
      <x:c r="X1335" s="38" t="n">
        <x:v>0</x:v>
      </x:c>
      <x:c r="Y1335" s="38" t="n">
        <x:v>0</x:v>
      </x:c>
      <x:c r="Z1335" s="38" t="n">
        <x:v>0.05059999999999999</x:v>
      </x:c>
      <x:c r="AA1335" s="38" t="n">
        <x:v>0.018699999999999998</x:v>
      </x:c>
      <x:c r="AB1335" s="38" t="n">
        <x:v>0.001232</x:v>
      </x:c>
      <x:c r="AC1335" s="38" t="n">
        <x:v>0.08818700000000002</x:v>
      </x:c>
      <x:c r="AD1335" s="28" t="n">
        <x:v>0.1919366037013096</x:v>
      </x:c>
    </x:row>
    <x:row r="1336">
      <x:c r="A1336" s="32" t="n">
        <x:v>46125</x:v>
      </x:c>
      <x:c r="B1336" s="32" t="n">
        <x:v>46113</x:v>
      </x:c>
      <x:c r="C1336" t="str">
        <x:v>Apr 2026</x:v>
      </x:c>
      <x:c r="D1336" t="str">
        <x:v>Forecast</x:v>
      </x:c>
      <x:c r="E1336" t="str">
        <x:v>DB-103</x:v>
      </x:c>
      <x:c r="F1336" t="str">
        <x:v>EmberTrail Camp Mug</x:v>
      </x:c>
      <x:c r="G1336" t="str">
        <x:v>One-time purchase</x:v>
      </x:c>
      <x:c r="H1336" t="str">
        <x:v>Winter peak</x:v>
      </x:c>
      <x:c r="I1336" t="str">
        <x:v>Active</x:v>
      </x:c>
      <x:c r="J1336" t="str">
        <x:v>TikTok Shop</x:v>
      </x:c>
      <x:c r="K1336" t="str">
        <x:v>Social Commerce</x:v>
      </x:c>
      <x:c r="L1336" t="str">
        <x:v>All Geographies</x:v>
      </x:c>
      <x:c r="M1336" s="34" t="n">
        <x:v>828</x:v>
      </x:c>
      <x:c r="N1336" s="28" t="n">
        <x:v>0.040824</x:v>
      </x:c>
      <x:c r="O1336" s="34" t="n">
        <x:v>34</x:v>
      </x:c>
      <x:c r="P1336" s="34" t="n">
        <x:v>1</x:v>
      </x:c>
      <x:c r="Q1336" s="34" t="n">
        <x:v>34</x:v>
      </x:c>
      <x:c r="R1336" s="33" t="n">
        <x:v>34</x:v>
      </x:c>
      <x:c r="S1336" s="38" t="n">
        <x:v>1.156</x:v>
      </x:c>
      <x:c r="T1336" s="38" t="n">
        <x:v>0.13871999999999998</x:v>
      </x:c>
      <x:c r="U1336" s="38" t="n">
        <x:v>0.0559504</x:v>
      </x:c>
      <x:c r="V1336" s="38" t="n">
        <x:v>0.9613296</x:v>
      </x:c>
      <x:c r="W1336" s="38" t="n">
        <x:v>0.46477999999999997</x:v>
      </x:c>
      <x:c r="X1336" s="38" t="n">
        <x:v>0.027878558400000003</x:v>
      </x:c>
      <x:c r="Y1336" s="38" t="n">
        <x:v>0.057679775999999995</x:v>
      </x:c>
      <x:c r="Z1336" s="38" t="n">
        <x:v>0.17339999999999997</x:v>
      </x:c>
      <x:c r="AA1336" s="38" t="n">
        <x:v>0.0595</x:v>
      </x:c>
      <x:c r="AB1336" s="38" t="n">
        <x:v>0.001904</x:v>
      </x:c>
      <x:c r="AC1336" s="38" t="n">
        <x:v>0.1761872656000001</x:v>
      </x:c>
      <x:c r="AD1336" s="28" t="n">
        <x:v>0.18327456639221354</x:v>
      </x:c>
    </x:row>
    <x:row r="1337">
      <x:c r="A1337" s="32" t="n">
        <x:v>46125</x:v>
      </x:c>
      <x:c r="B1337" s="32" t="n">
        <x:v>46113</x:v>
      </x:c>
      <x:c r="C1337" t="str">
        <x:v>Apr 2026</x:v>
      </x:c>
      <x:c r="D1337" t="str">
        <x:v>Forecast</x:v>
      </x:c>
      <x:c r="E1337" t="str">
        <x:v>DB-104</x:v>
      </x:c>
      <x:c r="F1337" t="str">
        <x:v>SunNest Cooling Towel</x:v>
      </x:c>
      <x:c r="G1337" t="str">
        <x:v>Consumable repeat</x:v>
      </x:c>
      <x:c r="H1337" t="str">
        <x:v>Summer peak</x:v>
      </x:c>
      <x:c r="I1337" t="str">
        <x:v>Active</x:v>
      </x:c>
      <x:c r="J1337" t="str">
        <x:v>Shopify DTC</x:v>
      </x:c>
      <x:c r="K1337" t="str">
        <x:v>Consumer</x:v>
      </x:c>
      <x:c r="L1337" t="str">
        <x:v>All Geographies</x:v>
      </x:c>
      <x:c r="M1337" s="34" t="n">
        <x:v>5009</x:v>
      </x:c>
      <x:c r="N1337" s="28" t="n">
        <x:v>0.03312</x:v>
      </x:c>
      <x:c r="O1337" s="34" t="n">
        <x:v>166</x:v>
      </x:c>
      <x:c r="P1337" s="34" t="n">
        <x:v>1</x:v>
      </x:c>
      <x:c r="Q1337" s="34" t="n">
        <x:v>166</x:v>
      </x:c>
      <x:c r="R1337" s="33" t="n">
        <x:v>42</x:v>
      </x:c>
      <x:c r="S1337" s="38" t="n">
        <x:v>6.972</x:v>
      </x:c>
      <x:c r="T1337" s="38" t="n">
        <x:v>0.55776</x:v>
      </x:c>
      <x:c r="U1337" s="38" t="n">
        <x:v>0.32071200000000005</x:v>
      </x:c>
      <x:c r="V1337" s="38" t="n">
        <x:v>6.093528</x:v>
      </x:c>
      <x:c r="W1337" s="38" t="n">
        <x:v>2.4983</x:v>
      </x:c>
      <x:c r="X1337" s="38" t="n">
        <x:v>0.176712312</x:v>
      </x:c>
      <x:c r="Y1337" s="38" t="n">
        <x:v>0</x:v>
      </x:c>
      <x:c r="Z1337" s="38" t="n">
        <x:v>0.6889000000000001</x:v>
      </x:c>
      <x:c r="AA1337" s="38" t="n">
        <x:v>0.2739</x:v>
      </x:c>
      <x:c r="AB1337" s="38" t="n">
        <x:v>0.004647999999999999</x:v>
      </x:c>
      <x:c r="AC1337" s="38" t="n">
        <x:v>2.451067688</x:v>
      </x:c>
      <x:c r="AD1337" s="28" t="n">
        <x:v>0.4022411463441212</x:v>
      </x:c>
    </x:row>
    <x:row r="1338">
      <x:c r="A1338" s="32" t="n">
        <x:v>46125</x:v>
      </x:c>
      <x:c r="B1338" s="32" t="n">
        <x:v>46113</x:v>
      </x:c>
      <x:c r="C1338" t="str">
        <x:v>Apr 2026</x:v>
      </x:c>
      <x:c r="D1338" t="str">
        <x:v>Forecast</x:v>
      </x:c>
      <x:c r="E1338" t="str">
        <x:v>DB-104</x:v>
      </x:c>
      <x:c r="F1338" t="str">
        <x:v>SunNest Cooling Towel</x:v>
      </x:c>
      <x:c r="G1338" t="str">
        <x:v>Consumable repeat</x:v>
      </x:c>
      <x:c r="H1338" t="str">
        <x:v>Summer peak</x:v>
      </x:c>
      <x:c r="I1338" t="str">
        <x:v>Active</x:v>
      </x:c>
      <x:c r="J1338" t="str">
        <x:v>Amazon Marketplace</x:v>
      </x:c>
      <x:c r="K1338" t="str">
        <x:v>Marketplace Consumer</x:v>
      </x:c>
      <x:c r="L1338" t="str">
        <x:v>All Geographies</x:v>
      </x:c>
      <x:c r="M1338" s="34" t="n">
        <x:v>2504</x:v>
      </x:c>
      <x:c r="N1338" s="28" t="n">
        <x:v>0.0390816</x:v>
      </x:c>
      <x:c r="O1338" s="34" t="n">
        <x:v>98</x:v>
      </x:c>
      <x:c r="P1338" s="34" t="n">
        <x:v>1</x:v>
      </x:c>
      <x:c r="Q1338" s="34" t="n">
        <x:v>98</x:v>
      </x:c>
      <x:c r="R1338" s="33" t="n">
        <x:v>42</x:v>
      </x:c>
      <x:c r="S1338" s="38" t="n">
        <x:v>4.116</x:v>
      </x:c>
      <x:c r="T1338" s="38" t="n">
        <x:v>0.20579999999999998</x:v>
      </x:c>
      <x:c r="U1338" s="38" t="n">
        <x:v>0.19551</x:v>
      </x:c>
      <x:c r="V1338" s="38" t="n">
        <x:v>3.7146899999999996</x:v>
      </x:c>
      <x:c r="W1338" s="38" t="n">
        <x:v>1.4749</x:v>
      </x:c>
      <x:c r="X1338" s="38" t="n">
        <x:v>0</x:v>
      </x:c>
      <x:c r="Y1338" s="38" t="n">
        <x:v>0.5572035</x:v>
      </x:c>
      <x:c r="Z1338" s="38" t="n">
        <x:v>0.5096</x:v>
      </x:c>
      <x:c r="AA1338" s="38" t="n">
        <x:v>0.2107</x:v>
      </x:c>
      <x:c r="AB1338" s="38" t="n">
        <x:v>0.002744</x:v>
      </x:c>
      <x:c r="AC1338" s="38" t="n">
        <x:v>0.9595424999999993</x:v>
      </x:c>
      <x:c r="AD1338" s="28" t="n">
        <x:v>0.2583102493074791</x:v>
      </x:c>
    </x:row>
    <x:row r="1339">
      <x:c r="A1339" s="32" t="n">
        <x:v>46125</x:v>
      </x:c>
      <x:c r="B1339" s="32" t="n">
        <x:v>46113</x:v>
      </x:c>
      <x:c r="C1339" t="str">
        <x:v>Apr 2026</x:v>
      </x:c>
      <x:c r="D1339" t="str">
        <x:v>Forecast</x:v>
      </x:c>
      <x:c r="E1339" t="str">
        <x:v>DB-104</x:v>
      </x:c>
      <x:c r="F1339" t="str">
        <x:v>SunNest Cooling Towel</x:v>
      </x:c>
      <x:c r="G1339" t="str">
        <x:v>Consumable repeat</x:v>
      </x:c>
      <x:c r="H1339" t="str">
        <x:v>Summer peak</x:v>
      </x:c>
      <x:c r="I1339" t="str">
        <x:v>Active</x:v>
      </x:c>
      <x:c r="J1339" t="str">
        <x:v>Wholesale</x:v>
      </x:c>
      <x:c r="K1339" t="str">
        <x:v>Retailer</x:v>
      </x:c>
      <x:c r="L1339" t="str">
        <x:v>All Geographies</x:v>
      </x:c>
      <x:c r="M1339" s="34" t="n">
        <x:v>1503</x:v>
      </x:c>
      <x:c r="N1339" s="28" t="n">
        <x:v>0.018216000000000003</x:v>
      </x:c>
      <x:c r="O1339" s="34" t="n">
        <x:v>27</x:v>
      </x:c>
      <x:c r="P1339" s="34" t="n">
        <x:v>1</x:v>
      </x:c>
      <x:c r="Q1339" s="34" t="n">
        <x:v>27</x:v>
      </x:c>
      <x:c r="R1339" s="33" t="n">
        <x:v>42</x:v>
      </x:c>
      <x:c r="S1339" s="38" t="n">
        <x:v>1.134</x:v>
      </x:c>
      <x:c r="T1339" s="38" t="n">
        <x:v>0.3968999999999999</x:v>
      </x:c>
      <x:c r="U1339" s="38" t="n">
        <x:v>0.036855</x:v>
      </x:c>
      <x:c r="V1339" s="38" t="n">
        <x:v>0.700245</x:v>
      </x:c>
      <x:c r="W1339" s="38" t="n">
        <x:v>0.40635000000000004</x:v>
      </x:c>
      <x:c r="X1339" s="38" t="n">
        <x:v>0</x:v>
      </x:c>
      <x:c r="Y1339" s="38" t="n">
        <x:v>0</x:v>
      </x:c>
      <x:c r="Z1339" s="38" t="n">
        <x:v>0.062099999999999995</x:v>
      </x:c>
      <x:c r="AA1339" s="38" t="n">
        <x:v>0.022949999999999998</x:v>
      </x:c>
      <x:c r="AB1339" s="38" t="n">
        <x:v>0.000756</x:v>
      </x:c>
      <x:c r="AC1339" s="38" t="n">
        <x:v>0.20808899999999997</x:v>
      </x:c>
      <x:c r="AD1339" s="28" t="n">
        <x:v>0.29716599190283394</x:v>
      </x:c>
    </x:row>
    <x:row r="1340">
      <x:c r="A1340" s="32" t="n">
        <x:v>46125</x:v>
      </x:c>
      <x:c r="B1340" s="32" t="n">
        <x:v>46113</x:v>
      </x:c>
      <x:c r="C1340" t="str">
        <x:v>Apr 2026</x:v>
      </x:c>
      <x:c r="D1340" t="str">
        <x:v>Forecast</x:v>
      </x:c>
      <x:c r="E1340" t="str">
        <x:v>DB-104</x:v>
      </x:c>
      <x:c r="F1340" t="str">
        <x:v>SunNest Cooling Towel</x:v>
      </x:c>
      <x:c r="G1340" t="str">
        <x:v>Consumable repeat</x:v>
      </x:c>
      <x:c r="H1340" t="str">
        <x:v>Summer peak</x:v>
      </x:c>
      <x:c r="I1340" t="str">
        <x:v>Active</x:v>
      </x:c>
      <x:c r="J1340" t="str">
        <x:v>TikTok Shop</x:v>
      </x:c>
      <x:c r="K1340" t="str">
        <x:v>Social Commerce</x:v>
      </x:c>
      <x:c r="L1340" t="str">
        <x:v>All Geographies</x:v>
      </x:c>
      <x:c r="M1340" s="34" t="n">
        <x:v>1002</x:v>
      </x:c>
      <x:c r="N1340" s="28" t="n">
        <x:v>0.0417312</x:v>
      </x:c>
      <x:c r="O1340" s="34" t="n">
        <x:v>42</x:v>
      </x:c>
      <x:c r="P1340" s="34" t="n">
        <x:v>1</x:v>
      </x:c>
      <x:c r="Q1340" s="34" t="n">
        <x:v>42</x:v>
      </x:c>
      <x:c r="R1340" s="33" t="n">
        <x:v>42</x:v>
      </x:c>
      <x:c r="S1340" s="38" t="n">
        <x:v>1.764</x:v>
      </x:c>
      <x:c r="T1340" s="38" t="n">
        <x:v>0.21168</x:v>
      </x:c>
      <x:c r="U1340" s="38" t="n">
        <x:v>0.077616</x:v>
      </x:c>
      <x:c r="V1340" s="38" t="n">
        <x:v>1.474704</x:v>
      </x:c>
      <x:c r="W1340" s="38" t="n">
        <x:v>0.6321</x:v>
      </x:c>
      <x:c r="X1340" s="38" t="n">
        <x:v>0.042766416</x:v>
      </x:c>
      <x:c r="Y1340" s="38" t="n">
        <x:v>0.08848224</x:v>
      </x:c>
      <x:c r="Z1340" s="38" t="n">
        <x:v>0.2142</x:v>
      </x:c>
      <x:c r="AA1340" s="38" t="n">
        <x:v>0.0735</x:v>
      </x:c>
      <x:c r="AB1340" s="38" t="n">
        <x:v>0.001176</x:v>
      </x:c>
      <x:c r="AC1340" s="38" t="n">
        <x:v>0.422479344</x:v>
      </x:c>
      <x:c r="AD1340" s="28" t="n">
        <x:v>0.2864841649578492</x:v>
      </x:c>
    </x:row>
    <x:row r="1341">
      <x:c r="A1341" s="32" t="n">
        <x:v>46125</x:v>
      </x:c>
      <x:c r="B1341" s="32" t="n">
        <x:v>46113</x:v>
      </x:c>
      <x:c r="C1341" t="str">
        <x:v>Apr 2026</x:v>
      </x:c>
      <x:c r="D1341" t="str">
        <x:v>Forecast</x:v>
      </x:c>
      <x:c r="E1341" t="str">
        <x:v>DB-105</x:v>
      </x:c>
      <x:c r="F1341" t="str">
        <x:v>DreamFuel Refill Pack</x:v>
      </x:c>
      <x:c r="G1341" t="str">
        <x:v>Subscription</x:v>
      </x:c>
      <x:c r="H1341" t="str">
        <x:v>None</x:v>
      </x:c>
      <x:c r="I1341" t="str">
        <x:v>Active</x:v>
      </x:c>
      <x:c r="J1341" t="str">
        <x:v>Shopify DTC</x:v>
      </x:c>
      <x:c r="K1341" t="str">
        <x:v>Consumer</x:v>
      </x:c>
      <x:c r="L1341" t="str">
        <x:v>All Geographies</x:v>
      </x:c>
      <x:c r="M1341" s="34" t="n">
        <x:v>5051</x:v>
      </x:c>
      <x:c r="N1341" s="28" t="n">
        <x:v>0.03888</x:v>
      </x:c>
      <x:c r="O1341" s="34" t="n">
        <x:v>196</x:v>
      </x:c>
      <x:c r="P1341" s="34" t="n">
        <x:v>1</x:v>
      </x:c>
      <x:c r="Q1341" s="34" t="n">
        <x:v>196</x:v>
      </x:c>
      <x:c r="R1341" s="33" t="n">
        <x:v>56</x:v>
      </x:c>
      <x:c r="S1341" s="38" t="n">
        <x:v>10.976</x:v>
      </x:c>
      <x:c r="T1341" s="38" t="n">
        <x:v>0.8780800000000001</x:v>
      </x:c>
      <x:c r="U1341" s="38" t="n">
        <x:v>0.2019584</x:v>
      </x:c>
      <x:c r="V1341" s="38" t="n">
        <x:v>9.8959616</x:v>
      </x:c>
      <x:c r="W1341" s="38" t="n">
        <x:v>3.64952</x:v>
      </x:c>
      <x:c r="X1341" s="38" t="n">
        <x:v>0.2869828864</x:v>
      </x:c>
      <x:c r="Y1341" s="38" t="n">
        <x:v>0</x:v>
      </x:c>
      <x:c r="Z1341" s="38" t="n">
        <x:v>0.8134000000000001</x:v>
      </x:c>
      <x:c r="AA1341" s="38" t="n">
        <x:v>0.32339999999999997</x:v>
      </x:c>
      <x:c r="AB1341" s="38" t="n">
        <x:v>0.0007055999999999999</x:v>
      </x:c>
      <x:c r="AC1341" s="38" t="n">
        <x:v>4.8219531136</x:v>
      </x:c>
      <x:c r="AD1341" s="28" t="n">
        <x:v>0.4872647357079478</x:v>
      </x:c>
    </x:row>
    <x:row r="1342">
      <x:c r="A1342" s="32" t="n">
        <x:v>46125</x:v>
      </x:c>
      <x:c r="B1342" s="32" t="n">
        <x:v>46113</x:v>
      </x:c>
      <x:c r="C1342" t="str">
        <x:v>Apr 2026</x:v>
      </x:c>
      <x:c r="D1342" t="str">
        <x:v>Forecast</x:v>
      </x:c>
      <x:c r="E1342" t="str">
        <x:v>DB-105</x:v>
      </x:c>
      <x:c r="F1342" t="str">
        <x:v>DreamFuel Refill Pack</x:v>
      </x:c>
      <x:c r="G1342" t="str">
        <x:v>Subscription</x:v>
      </x:c>
      <x:c r="H1342" t="str">
        <x:v>None</x:v>
      </x:c>
      <x:c r="I1342" t="str">
        <x:v>Active</x:v>
      </x:c>
      <x:c r="J1342" t="str">
        <x:v>Amazon Marketplace</x:v>
      </x:c>
      <x:c r="K1342" t="str">
        <x:v>Marketplace Consumer</x:v>
      </x:c>
      <x:c r="L1342" t="str">
        <x:v>All Geographies</x:v>
      </x:c>
      <x:c r="M1342" s="34" t="n">
        <x:v>2525</x:v>
      </x:c>
      <x:c r="N1342" s="28" t="n">
        <x:v>0.0458784</x:v>
      </x:c>
      <x:c r="O1342" s="34" t="n">
        <x:v>116</x:v>
      </x:c>
      <x:c r="P1342" s="34" t="n">
        <x:v>1</x:v>
      </x:c>
      <x:c r="Q1342" s="34" t="n">
        <x:v>116</x:v>
      </x:c>
      <x:c r="R1342" s="33" t="n">
        <x:v>56</x:v>
      </x:c>
      <x:c r="S1342" s="38" t="n">
        <x:v>6.496</x:v>
      </x:c>
      <x:c r="T1342" s="38" t="n">
        <x:v>0.32480000000000003</x:v>
      </x:c>
      <x:c r="U1342" s="38" t="n">
        <x:v>0.12342400000000002</x:v>
      </x:c>
      <x:c r="V1342" s="38" t="n">
        <x:v>6.047776000000001</x:v>
      </x:c>
      <x:c r="W1342" s="38" t="n">
        <x:v>2.15992</x:v>
      </x:c>
      <x:c r="X1342" s="38" t="n">
        <x:v>0</x:v>
      </x:c>
      <x:c r="Y1342" s="38" t="n">
        <x:v>0.9071664</x:v>
      </x:c>
      <x:c r="Z1342" s="38" t="n">
        <x:v>0.6032000000000001</x:v>
      </x:c>
      <x:c r="AA1342" s="38" t="n">
        <x:v>0.24939999999999998</x:v>
      </x:c>
      <x:c r="AB1342" s="38" t="n">
        <x:v>0.0004176</x:v>
      </x:c>
      <x:c r="AC1342" s="38" t="n">
        <x:v>2.1276720000000005</x:v>
      </x:c>
      <x:c r="AD1342" s="28" t="n">
        <x:v>0.35181064907165877</x:v>
      </x:c>
    </x:row>
    <x:row r="1343">
      <x:c r="A1343" s="32" t="n">
        <x:v>46125</x:v>
      </x:c>
      <x:c r="B1343" s="32" t="n">
        <x:v>46113</x:v>
      </x:c>
      <x:c r="C1343" t="str">
        <x:v>Apr 2026</x:v>
      </x:c>
      <x:c r="D1343" t="str">
        <x:v>Forecast</x:v>
      </x:c>
      <x:c r="E1343" t="str">
        <x:v>DB-105</x:v>
      </x:c>
      <x:c r="F1343" t="str">
        <x:v>DreamFuel Refill Pack</x:v>
      </x:c>
      <x:c r="G1343" t="str">
        <x:v>Subscription</x:v>
      </x:c>
      <x:c r="H1343" t="str">
        <x:v>None</x:v>
      </x:c>
      <x:c r="I1343" t="str">
        <x:v>Active</x:v>
      </x:c>
      <x:c r="J1343" t="str">
        <x:v>Wholesale</x:v>
      </x:c>
      <x:c r="K1343" t="str">
        <x:v>Retailer</x:v>
      </x:c>
      <x:c r="L1343" t="str">
        <x:v>All Geographies</x:v>
      </x:c>
      <x:c r="M1343" s="34" t="n">
        <x:v>1515</x:v>
      </x:c>
      <x:c r="N1343" s="28" t="n">
        <x:v>0.021384000000000004</x:v>
      </x:c>
      <x:c r="O1343" s="34" t="n">
        <x:v>32</x:v>
      </x:c>
      <x:c r="P1343" s="34" t="n">
        <x:v>1</x:v>
      </x:c>
      <x:c r="Q1343" s="34" t="n">
        <x:v>32</x:v>
      </x:c>
      <x:c r="R1343" s="33" t="n">
        <x:v>56</x:v>
      </x:c>
      <x:c r="S1343" s="38" t="n">
        <x:v>1.792</x:v>
      </x:c>
      <x:c r="T1343" s="38" t="n">
        <x:v>0.6272</x:v>
      </x:c>
      <x:c r="U1343" s="38" t="n">
        <x:v>0.023296</x:v>
      </x:c>
      <x:c r="V1343" s="38" t="n">
        <x:v>1.141504</x:v>
      </x:c>
      <x:c r="W1343" s="38" t="n">
        <x:v>0.59584</x:v>
      </x:c>
      <x:c r="X1343" s="38" t="n">
        <x:v>0</x:v>
      </x:c>
      <x:c r="Y1343" s="38" t="n">
        <x:v>0</x:v>
      </x:c>
      <x:c r="Z1343" s="38" t="n">
        <x:v>0.0736</x:v>
      </x:c>
      <x:c r="AA1343" s="38" t="n">
        <x:v>0.0272</x:v>
      </x:c>
      <x:c r="AB1343" s="38" t="n">
        <x:v>0.0001152</x:v>
      </x:c>
      <x:c r="AC1343" s="38" t="n">
        <x:v>0.44474880000000006</x:v>
      </x:c>
      <x:c r="AD1343" s="28" t="n">
        <x:v>0.3896165059430366</x:v>
      </x:c>
    </x:row>
    <x:row r="1344">
      <x:c r="A1344" s="32" t="n">
        <x:v>46125</x:v>
      </x:c>
      <x:c r="B1344" s="32" t="n">
        <x:v>46113</x:v>
      </x:c>
      <x:c r="C1344" t="str">
        <x:v>Apr 2026</x:v>
      </x:c>
      <x:c r="D1344" t="str">
        <x:v>Forecast</x:v>
      </x:c>
      <x:c r="E1344" t="str">
        <x:v>DB-105</x:v>
      </x:c>
      <x:c r="F1344" t="str">
        <x:v>DreamFuel Refill Pack</x:v>
      </x:c>
      <x:c r="G1344" t="str">
        <x:v>Subscription</x:v>
      </x:c>
      <x:c r="H1344" t="str">
        <x:v>None</x:v>
      </x:c>
      <x:c r="I1344" t="str">
        <x:v>Active</x:v>
      </x:c>
      <x:c r="J1344" t="str">
        <x:v>TikTok Shop</x:v>
      </x:c>
      <x:c r="K1344" t="str">
        <x:v>Social Commerce</x:v>
      </x:c>
      <x:c r="L1344" t="str">
        <x:v>All Geographies</x:v>
      </x:c>
      <x:c r="M1344" s="34" t="n">
        <x:v>1010</x:v>
      </x:c>
      <x:c r="N1344" s="28" t="n">
        <x:v>0.0489888</x:v>
      </x:c>
      <x:c r="O1344" s="34" t="n">
        <x:v>49</x:v>
      </x:c>
      <x:c r="P1344" s="34" t="n">
        <x:v>1</x:v>
      </x:c>
      <x:c r="Q1344" s="34" t="n">
        <x:v>49</x:v>
      </x:c>
      <x:c r="R1344" s="33" t="n">
        <x:v>56</x:v>
      </x:c>
      <x:c r="S1344" s="38" t="n">
        <x:v>2.744</x:v>
      </x:c>
      <x:c r="T1344" s="38" t="n">
        <x:v>0.32928</x:v>
      </x:c>
      <x:c r="U1344" s="38" t="n">
        <x:v>0.0482944</x:v>
      </x:c>
      <x:c r="V1344" s="38" t="n">
        <x:v>2.3664256</x:v>
      </x:c>
      <x:c r="W1344" s="38" t="n">
        <x:v>0.91238</x:v>
      </x:c>
      <x:c r="X1344" s="38" t="n">
        <x:v>0.0686263424</x:v>
      </x:c>
      <x:c r="Y1344" s="38" t="n">
        <x:v>0.141985536</x:v>
      </x:c>
      <x:c r="Z1344" s="38" t="n">
        <x:v>0.24989999999999998</x:v>
      </x:c>
      <x:c r="AA1344" s="38" t="n">
        <x:v>0.08575</x:v>
      </x:c>
      <x:c r="AB1344" s="38" t="n">
        <x:v>0.00017639999999999998</x:v>
      </x:c>
      <x:c r="AC1344" s="38" t="n">
        <x:v>0.9076073216</x:v>
      </x:c>
      <x:c r="AD1344" s="28" t="n">
        <x:v>0.3835351179432812</x:v>
      </x:c>
    </x:row>
    <x:row r="1345">
      <x:c r="A1345" s="32" t="n">
        <x:v>46132</x:v>
      </x:c>
      <x:c r="B1345" s="32" t="n">
        <x:v>46113</x:v>
      </x:c>
      <x:c r="C1345" t="str">
        <x:v>Apr 2026</x:v>
      </x:c>
      <x:c r="D1345" t="str">
        <x:v>Forecast</x:v>
      </x:c>
      <x:c r="E1345" t="str">
        <x:v>DB-101</x:v>
      </x:c>
      <x:c r="F1345" t="str">
        <x:v>AeroSip Bottle</x:v>
      </x:c>
      <x:c r="G1345" t="str">
        <x:v>One-time purchase</x:v>
      </x:c>
      <x:c r="H1345" t="str">
        <x:v>None</x:v>
      </x:c>
      <x:c r="I1345" t="str">
        <x:v>Active</x:v>
      </x:c>
      <x:c r="J1345" t="str">
        <x:v>Shopify DTC</x:v>
      </x:c>
      <x:c r="K1345" t="str">
        <x:v>Consumer</x:v>
      </x:c>
      <x:c r="L1345" t="str">
        <x:v>All Geographies</x:v>
      </x:c>
      <x:c r="M1345" s="34" t="n">
        <x:v>7296</x:v>
      </x:c>
      <x:c r="N1345" s="28" t="n">
        <x:v>0.034199999999999994</x:v>
      </x:c>
      <x:c r="O1345" s="34" t="n">
        <x:v>250</x:v>
      </x:c>
      <x:c r="P1345" s="34" t="n">
        <x:v>1</x:v>
      </x:c>
      <x:c r="Q1345" s="34" t="n">
        <x:v>250</x:v>
      </x:c>
      <x:c r="R1345" s="33" t="n">
        <x:v>29</x:v>
      </x:c>
      <x:c r="S1345" s="38" t="n">
        <x:v>7.25</x:v>
      </x:c>
      <x:c r="T1345" s="38" t="n">
        <x:v>0.58</x:v>
      </x:c>
      <x:c r="U1345" s="38" t="n">
        <x:v>0.30015</x:v>
      </x:c>
      <x:c r="V1345" s="38" t="n">
        <x:v>6.36985</x:v>
      </x:c>
      <x:c r="W1345" s="38" t="n">
        <x:v>2.7</x:v>
      </x:c>
      <x:c r="X1345" s="38" t="n">
        <x:v>0.18472565</x:v>
      </x:c>
      <x:c r="Y1345" s="38" t="n">
        <x:v>0</x:v>
      </x:c>
      <x:c r="Z1345" s="38" t="n">
        <x:v>1.0375</x:v>
      </x:c>
      <x:c r="AA1345" s="38" t="n">
        <x:v>0.4125</x:v>
      </x:c>
      <x:c r="AB1345" s="38" t="n">
        <x:v>0.009</x:v>
      </x:c>
      <x:c r="AC1345" s="38" t="n">
        <x:v>2.0261243499999995</x:v>
      </x:c>
      <x:c r="AD1345" s="28" t="n">
        <x:v>0.31808038650831644</x:v>
      </x:c>
    </x:row>
    <x:row r="1346">
      <x:c r="A1346" s="32" t="n">
        <x:v>46132</x:v>
      </x:c>
      <x:c r="B1346" s="32" t="n">
        <x:v>46113</x:v>
      </x:c>
      <x:c r="C1346" t="str">
        <x:v>Apr 2026</x:v>
      </x:c>
      <x:c r="D1346" t="str">
        <x:v>Forecast</x:v>
      </x:c>
      <x:c r="E1346" t="str">
        <x:v>DB-101</x:v>
      </x:c>
      <x:c r="F1346" t="str">
        <x:v>AeroSip Bottle</x:v>
      </x:c>
      <x:c r="G1346" t="str">
        <x:v>One-time purchase</x:v>
      </x:c>
      <x:c r="H1346" t="str">
        <x:v>None</x:v>
      </x:c>
      <x:c r="I1346" t="str">
        <x:v>Active</x:v>
      </x:c>
      <x:c r="J1346" t="str">
        <x:v>Amazon Marketplace</x:v>
      </x:c>
      <x:c r="K1346" t="str">
        <x:v>Marketplace Consumer</x:v>
      </x:c>
      <x:c r="L1346" t="str">
        <x:v>All Geographies</x:v>
      </x:c>
      <x:c r="M1346" s="34" t="n">
        <x:v>3648</x:v>
      </x:c>
      <x:c r="N1346" s="28" t="n">
        <x:v>0.040355999999999996</x:v>
      </x:c>
      <x:c r="O1346" s="34" t="n">
        <x:v>147</x:v>
      </x:c>
      <x:c r="P1346" s="34" t="n">
        <x:v>1</x:v>
      </x:c>
      <x:c r="Q1346" s="34" t="n">
        <x:v>147</x:v>
      </x:c>
      <x:c r="R1346" s="33" t="n">
        <x:v>29</x:v>
      </x:c>
      <x:c r="S1346" s="38" t="n">
        <x:v>4.263</x:v>
      </x:c>
      <x:c r="T1346" s="38" t="n">
        <x:v>0.21315</x:v>
      </x:c>
      <x:c r="U1346" s="38" t="n">
        <x:v>0.18224325</x:v>
      </x:c>
      <x:c r="V1346" s="38" t="n">
        <x:v>3.86760675</x:v>
      </x:c>
      <x:c r="W1346" s="38" t="n">
        <x:v>1.5876000000000001</x:v>
      </x:c>
      <x:c r="X1346" s="38" t="n">
        <x:v>0</x:v>
      </x:c>
      <x:c r="Y1346" s="38" t="n">
        <x:v>0.5801410125</x:v>
      </x:c>
      <x:c r="Z1346" s="38" t="n">
        <x:v>0.7644</x:v>
      </x:c>
      <x:c r="AA1346" s="38" t="n">
        <x:v>0.31605</x:v>
      </x:c>
      <x:c r="AB1346" s="38" t="n">
        <x:v>0.005292</x:v>
      </x:c>
      <x:c r="AC1346" s="38" t="n">
        <x:v>0.6141237375000003</x:v>
      </x:c>
      <x:c r="AD1346" s="28" t="n">
        <x:v>0.15878649955815705</x:v>
      </x:c>
    </x:row>
    <x:row r="1347">
      <x:c r="A1347" s="32" t="n">
        <x:v>46132</x:v>
      </x:c>
      <x:c r="B1347" s="32" t="n">
        <x:v>46113</x:v>
      </x:c>
      <x:c r="C1347" t="str">
        <x:v>Apr 2026</x:v>
      </x:c>
      <x:c r="D1347" t="str">
        <x:v>Forecast</x:v>
      </x:c>
      <x:c r="E1347" t="str">
        <x:v>DB-101</x:v>
      </x:c>
      <x:c r="F1347" t="str">
        <x:v>AeroSip Bottle</x:v>
      </x:c>
      <x:c r="G1347" t="str">
        <x:v>One-time purchase</x:v>
      </x:c>
      <x:c r="H1347" t="str">
        <x:v>None</x:v>
      </x:c>
      <x:c r="I1347" t="str">
        <x:v>Active</x:v>
      </x:c>
      <x:c r="J1347" t="str">
        <x:v>Wholesale</x:v>
      </x:c>
      <x:c r="K1347" t="str">
        <x:v>Retailer</x:v>
      </x:c>
      <x:c r="L1347" t="str">
        <x:v>All Geographies</x:v>
      </x:c>
      <x:c r="M1347" s="34" t="n">
        <x:v>2189</x:v>
      </x:c>
      <x:c r="N1347" s="28" t="n">
        <x:v>0.01881</x:v>
      </x:c>
      <x:c r="O1347" s="34" t="n">
        <x:v>41</x:v>
      </x:c>
      <x:c r="P1347" s="34" t="n">
        <x:v>1</x:v>
      </x:c>
      <x:c r="Q1347" s="34" t="n">
        <x:v>41</x:v>
      </x:c>
      <x:c r="R1347" s="33" t="n">
        <x:v>29</x:v>
      </x:c>
      <x:c r="S1347" s="38" t="n">
        <x:v>1.189</x:v>
      </x:c>
      <x:c r="T1347" s="38" t="n">
        <x:v>0.41615</x:v>
      </x:c>
      <x:c r="U1347" s="38" t="n">
        <x:v>0.034778250000000004</x:v>
      </x:c>
      <x:c r="V1347" s="38" t="n">
        <x:v>0.73807175</x:v>
      </x:c>
      <x:c r="W1347" s="38" t="n">
        <x:v>0.4428</x:v>
      </x:c>
      <x:c r="X1347" s="38" t="n">
        <x:v>0</x:v>
      </x:c>
      <x:c r="Y1347" s="38" t="n">
        <x:v>0</x:v>
      </x:c>
      <x:c r="Z1347" s="38" t="n">
        <x:v>0.0943</x:v>
      </x:c>
      <x:c r="AA1347" s="38" t="n">
        <x:v>0.03485</x:v>
      </x:c>
      <x:c r="AB1347" s="38" t="n">
        <x:v>0.0014759999999999999</x:v>
      </x:c>
      <x:c r="AC1347" s="38" t="n">
        <x:v>0.16464575</x:v>
      </x:c>
      <x:c r="AD1347" s="28" t="n">
        <x:v>0.22307553432305194</x:v>
      </x:c>
    </x:row>
    <x:row r="1348">
      <x:c r="A1348" s="32" t="n">
        <x:v>46132</x:v>
      </x:c>
      <x:c r="B1348" s="32" t="n">
        <x:v>46113</x:v>
      </x:c>
      <x:c r="C1348" t="str">
        <x:v>Apr 2026</x:v>
      </x:c>
      <x:c r="D1348" t="str">
        <x:v>Forecast</x:v>
      </x:c>
      <x:c r="E1348" t="str">
        <x:v>DB-101</x:v>
      </x:c>
      <x:c r="F1348" t="str">
        <x:v>AeroSip Bottle</x:v>
      </x:c>
      <x:c r="G1348" t="str">
        <x:v>One-time purchase</x:v>
      </x:c>
      <x:c r="H1348" t="str">
        <x:v>None</x:v>
      </x:c>
      <x:c r="I1348" t="str">
        <x:v>Active</x:v>
      </x:c>
      <x:c r="J1348" t="str">
        <x:v>TikTok Shop</x:v>
      </x:c>
      <x:c r="K1348" t="str">
        <x:v>Social Commerce</x:v>
      </x:c>
      <x:c r="L1348" t="str">
        <x:v>All Geographies</x:v>
      </x:c>
      <x:c r="M1348" s="34" t="n">
        <x:v>1459</x:v>
      </x:c>
      <x:c r="N1348" s="28" t="n">
        <x:v>0.043092</x:v>
      </x:c>
      <x:c r="O1348" s="34" t="n">
        <x:v>63</x:v>
      </x:c>
      <x:c r="P1348" s="34" t="n">
        <x:v>1</x:v>
      </x:c>
      <x:c r="Q1348" s="34" t="n">
        <x:v>63</x:v>
      </x:c>
      <x:c r="R1348" s="33" t="n">
        <x:v>29</x:v>
      </x:c>
      <x:c r="S1348" s="38" t="n">
        <x:v>1.827</x:v>
      </x:c>
      <x:c r="T1348" s="38" t="n">
        <x:v>0.21924</x:v>
      </x:c>
      <x:c r="U1348" s="38" t="n">
        <x:v>0.07234919999999999</x:v>
      </x:c>
      <x:c r="V1348" s="38" t="n">
        <x:v>1.5354108</x:v>
      </x:c>
      <x:c r="W1348" s="38" t="n">
        <x:v>0.6804000000000001</x:v>
      </x:c>
      <x:c r="X1348" s="38" t="n">
        <x:v>0.044526913200000004</x:v>
      </x:c>
      <x:c r="Y1348" s="38" t="n">
        <x:v>0.09212464799999999</x:v>
      </x:c>
      <x:c r="Z1348" s="38" t="n">
        <x:v>0.3213</x:v>
      </x:c>
      <x:c r="AA1348" s="38" t="n">
        <x:v>0.11025</x:v>
      </x:c>
      <x:c r="AB1348" s="38" t="n">
        <x:v>0.0022679999999999996</x:v>
      </x:c>
      <x:c r="AC1348" s="38" t="n">
        <x:v>0.2845412387999999</x:v>
      </x:c>
      <x:c r="AD1348" s="28" t="n">
        <x:v>0.18531928966501987</x:v>
      </x:c>
    </x:row>
    <x:row r="1349">
      <x:c r="A1349" s="32" t="n">
        <x:v>46132</x:v>
      </x:c>
      <x:c r="B1349" s="32" t="n">
        <x:v>46113</x:v>
      </x:c>
      <x:c r="C1349" t="str">
        <x:v>Apr 2026</x:v>
      </x:c>
      <x:c r="D1349" t="str">
        <x:v>Forecast</x:v>
      </x:c>
      <x:c r="E1349" t="str">
        <x:v>DB-102</x:v>
      </x:c>
      <x:c r="F1349" t="str">
        <x:v>GlowPatch Balm</x:v>
      </x:c>
      <x:c r="G1349" t="str">
        <x:v>Consumable repeat</x:v>
      </x:c>
      <x:c r="H1349" t="str">
        <x:v>None</x:v>
      </x:c>
      <x:c r="I1349" t="str">
        <x:v>Active</x:v>
      </x:c>
      <x:c r="J1349" t="str">
        <x:v>Shopify DTC</x:v>
      </x:c>
      <x:c r="K1349" t="str">
        <x:v>Consumer</x:v>
      </x:c>
      <x:c r="L1349" t="str">
        <x:v>All Geographies</x:v>
      </x:c>
      <x:c r="M1349" s="34" t="n">
        <x:v>5893</x:v>
      </x:c>
      <x:c r="N1349" s="28" t="n">
        <x:v>0.04248</x:v>
      </x:c>
      <x:c r="O1349" s="34" t="n">
        <x:v>250</x:v>
      </x:c>
      <x:c r="P1349" s="34" t="n">
        <x:v>1</x:v>
      </x:c>
      <x:c r="Q1349" s="34" t="n">
        <x:v>250</x:v>
      </x:c>
      <x:c r="R1349" s="33" t="n">
        <x:v>18</x:v>
      </x:c>
      <x:c r="S1349" s="38" t="n">
        <x:v>4.5</x:v>
      </x:c>
      <x:c r="T1349" s="38" t="n">
        <x:v>0.36</x:v>
      </x:c>
      <x:c r="U1349" s="38" t="n">
        <x:v>0.1035</x:v>
      </x:c>
      <x:c r="V1349" s="38" t="n">
        <x:v>4.036499999999999</x:v>
      </x:c>
      <x:c r="W1349" s="38" t="n">
        <x:v>1.3525</x:v>
      </x:c>
      <x:c r="X1349" s="38" t="n">
        <x:v>0.11705849999999998</x:v>
      </x:c>
      <x:c r="Y1349" s="38" t="n">
        <x:v>0</x:v>
      </x:c>
      <x:c r="Z1349" s="38" t="n">
        <x:v>1.0375</x:v>
      </x:c>
      <x:c r="AA1349" s="38" t="n">
        <x:v>0.4125</x:v>
      </x:c>
      <x:c r="AB1349" s="38" t="n">
        <x:v>0.0015</x:v>
      </x:c>
      <x:c r="AC1349" s="38" t="n">
        <x:v>1.1154414999999989</x:v>
      </x:c>
      <x:c r="AD1349" s="28" t="n">
        <x:v>0.2763387835996529</x:v>
      </x:c>
    </x:row>
    <x:row r="1350">
      <x:c r="A1350" s="32" t="n">
        <x:v>46132</x:v>
      </x:c>
      <x:c r="B1350" s="32" t="n">
        <x:v>46113</x:v>
      </x:c>
      <x:c r="C1350" t="str">
        <x:v>Apr 2026</x:v>
      </x:c>
      <x:c r="D1350" t="str">
        <x:v>Forecast</x:v>
      </x:c>
      <x:c r="E1350" t="str">
        <x:v>DB-102</x:v>
      </x:c>
      <x:c r="F1350" t="str">
        <x:v>GlowPatch Balm</x:v>
      </x:c>
      <x:c r="G1350" t="str">
        <x:v>Consumable repeat</x:v>
      </x:c>
      <x:c r="H1350" t="str">
        <x:v>None</x:v>
      </x:c>
      <x:c r="I1350" t="str">
        <x:v>Active</x:v>
      </x:c>
      <x:c r="J1350" t="str">
        <x:v>Amazon Marketplace</x:v>
      </x:c>
      <x:c r="K1350" t="str">
        <x:v>Marketplace Consumer</x:v>
      </x:c>
      <x:c r="L1350" t="str">
        <x:v>All Geographies</x:v>
      </x:c>
      <x:c r="M1350" s="34" t="n">
        <x:v>2946</x:v>
      </x:c>
      <x:c r="N1350" s="28" t="n">
        <x:v>0.050126399999999995</x:v>
      </x:c>
      <x:c r="O1350" s="34" t="n">
        <x:v>148</x:v>
      </x:c>
      <x:c r="P1350" s="34" t="n">
        <x:v>1</x:v>
      </x:c>
      <x:c r="Q1350" s="34" t="n">
        <x:v>148</x:v>
      </x:c>
      <x:c r="R1350" s="33" t="n">
        <x:v>18</x:v>
      </x:c>
      <x:c r="S1350" s="38" t="n">
        <x:v>2.664</x:v>
      </x:c>
      <x:c r="T1350" s="38" t="n">
        <x:v>0.1332</x:v>
      </x:c>
      <x:c r="U1350" s="38" t="n">
        <x:v>0.06327</x:v>
      </x:c>
      <x:c r="V1350" s="38" t="n">
        <x:v>2.46753</x:v>
      </x:c>
      <x:c r="W1350" s="38" t="n">
        <x:v>0.8006800000000001</x:v>
      </x:c>
      <x:c r="X1350" s="38" t="n">
        <x:v>0</x:v>
      </x:c>
      <x:c r="Y1350" s="38" t="n">
        <x:v>0.3701295</x:v>
      </x:c>
      <x:c r="Z1350" s="38" t="n">
        <x:v>0.7696000000000001</x:v>
      </x:c>
      <x:c r="AA1350" s="38" t="n">
        <x:v>0.3182</x:v>
      </x:c>
      <x:c r="AB1350" s="38" t="n">
        <x:v>0.0008879999999999999</x:v>
      </x:c>
      <x:c r="AC1350" s="38" t="n">
        <x:v>0.2080324999999999</x:v>
      </x:c>
      <x:c r="AD1350" s="28" t="n">
        <x:v>0.084307992202729</x:v>
      </x:c>
    </x:row>
    <x:row r="1351">
      <x:c r="A1351" s="32" t="n">
        <x:v>46132</x:v>
      </x:c>
      <x:c r="B1351" s="32" t="n">
        <x:v>46113</x:v>
      </x:c>
      <x:c r="C1351" t="str">
        <x:v>Apr 2026</x:v>
      </x:c>
      <x:c r="D1351" t="str">
        <x:v>Forecast</x:v>
      </x:c>
      <x:c r="E1351" t="str">
        <x:v>DB-102</x:v>
      </x:c>
      <x:c r="F1351" t="str">
        <x:v>GlowPatch Balm</x:v>
      </x:c>
      <x:c r="G1351" t="str">
        <x:v>Consumable repeat</x:v>
      </x:c>
      <x:c r="H1351" t="str">
        <x:v>None</x:v>
      </x:c>
      <x:c r="I1351" t="str">
        <x:v>Active</x:v>
      </x:c>
      <x:c r="J1351" t="str">
        <x:v>Wholesale</x:v>
      </x:c>
      <x:c r="K1351" t="str">
        <x:v>Retailer</x:v>
      </x:c>
      <x:c r="L1351" t="str">
        <x:v>All Geographies</x:v>
      </x:c>
      <x:c r="M1351" s="34" t="n">
        <x:v>1768</x:v>
      </x:c>
      <x:c r="N1351" s="28" t="n">
        <x:v>0.023364</x:v>
      </x:c>
      <x:c r="O1351" s="34" t="n">
        <x:v>41</x:v>
      </x:c>
      <x:c r="P1351" s="34" t="n">
        <x:v>1</x:v>
      </x:c>
      <x:c r="Q1351" s="34" t="n">
        <x:v>41</x:v>
      </x:c>
      <x:c r="R1351" s="33" t="n">
        <x:v>18</x:v>
      </x:c>
      <x:c r="S1351" s="38" t="n">
        <x:v>0.738</x:v>
      </x:c>
      <x:c r="T1351" s="38" t="n">
        <x:v>0.2583</x:v>
      </x:c>
      <x:c r="U1351" s="38" t="n">
        <x:v>0.011992500000000001</x:v>
      </x:c>
      <x:c r="V1351" s="38" t="n">
        <x:v>0.4677075</x:v>
      </x:c>
      <x:c r="W1351" s="38" t="n">
        <x:v>0.22181</x:v>
      </x:c>
      <x:c r="X1351" s="38" t="n">
        <x:v>0</x:v>
      </x:c>
      <x:c r="Y1351" s="38" t="n">
        <x:v>0</x:v>
      </x:c>
      <x:c r="Z1351" s="38" t="n">
        <x:v>0.0943</x:v>
      </x:c>
      <x:c r="AA1351" s="38" t="n">
        <x:v>0.03485</x:v>
      </x:c>
      <x:c r="AB1351" s="38" t="n">
        <x:v>0.000246</x:v>
      </x:c>
      <x:c r="AC1351" s="38" t="n">
        <x:v>0.11650150000000001</x:v>
      </x:c>
      <x:c r="AD1351" s="28" t="n">
        <x:v>0.2490905106289722</x:v>
      </x:c>
    </x:row>
    <x:row r="1352">
      <x:c r="A1352" s="32" t="n">
        <x:v>46132</x:v>
      </x:c>
      <x:c r="B1352" s="32" t="n">
        <x:v>46113</x:v>
      </x:c>
      <x:c r="C1352" t="str">
        <x:v>Apr 2026</x:v>
      </x:c>
      <x:c r="D1352" t="str">
        <x:v>Forecast</x:v>
      </x:c>
      <x:c r="E1352" t="str">
        <x:v>DB-102</x:v>
      </x:c>
      <x:c r="F1352" t="str">
        <x:v>GlowPatch Balm</x:v>
      </x:c>
      <x:c r="G1352" t="str">
        <x:v>Consumable repeat</x:v>
      </x:c>
      <x:c r="H1352" t="str">
        <x:v>None</x:v>
      </x:c>
      <x:c r="I1352" t="str">
        <x:v>Active</x:v>
      </x:c>
      <x:c r="J1352" t="str">
        <x:v>TikTok Shop</x:v>
      </x:c>
      <x:c r="K1352" t="str">
        <x:v>Social Commerce</x:v>
      </x:c>
      <x:c r="L1352" t="str">
        <x:v>All Geographies</x:v>
      </x:c>
      <x:c r="M1352" s="34" t="n">
        <x:v>1179</x:v>
      </x:c>
      <x:c r="N1352" s="28" t="n">
        <x:v>0.0535248</x:v>
      </x:c>
      <x:c r="O1352" s="34" t="n">
        <x:v>63</x:v>
      </x:c>
      <x:c r="P1352" s="34" t="n">
        <x:v>1</x:v>
      </x:c>
      <x:c r="Q1352" s="34" t="n">
        <x:v>63</x:v>
      </x:c>
      <x:c r="R1352" s="33" t="n">
        <x:v>18</x:v>
      </x:c>
      <x:c r="S1352" s="38" t="n">
        <x:v>1.134</x:v>
      </x:c>
      <x:c r="T1352" s="38" t="n">
        <x:v>0.13607999999999998</x:v>
      </x:c>
      <x:c r="U1352" s="38" t="n">
        <x:v>0.024947999999999998</x:v>
      </x:c>
      <x:c r="V1352" s="38" t="n">
        <x:v>0.972972</x:v>
      </x:c>
      <x:c r="W1352" s="38" t="n">
        <x:v>0.34082999999999997</x:v>
      </x:c>
      <x:c r="X1352" s="38" t="n">
        <x:v>0.028216188</x:v>
      </x:c>
      <x:c r="Y1352" s="38" t="n">
        <x:v>0.05837832</x:v>
      </x:c>
      <x:c r="Z1352" s="38" t="n">
        <x:v>0.3213</x:v>
      </x:c>
      <x:c r="AA1352" s="38" t="n">
        <x:v>0.11025</x:v>
      </x:c>
      <x:c r="AB1352" s="38" t="n">
        <x:v>0.000378</x:v>
      </x:c>
      <x:c r="AC1352" s="38" t="n">
        <x:v>0.11361949199999999</x:v>
      </x:c>
      <x:c r="AD1352" s="28" t="n">
        <x:v>0.11677570577570577</x:v>
      </x:c>
    </x:row>
    <x:row r="1353">
      <x:c r="A1353" s="32" t="n">
        <x:v>46132</x:v>
      </x:c>
      <x:c r="B1353" s="32" t="n">
        <x:v>46113</x:v>
      </x:c>
      <x:c r="C1353" t="str">
        <x:v>Apr 2026</x:v>
      </x:c>
      <x:c r="D1353" t="str">
        <x:v>Forecast</x:v>
      </x:c>
      <x:c r="E1353" t="str">
        <x:v>DB-103</x:v>
      </x:c>
      <x:c r="F1353" t="str">
        <x:v>EmberTrail Camp Mug</x:v>
      </x:c>
      <x:c r="G1353" t="str">
        <x:v>One-time purchase</x:v>
      </x:c>
      <x:c r="H1353" t="str">
        <x:v>Winter peak</x:v>
      </x:c>
      <x:c r="I1353" t="str">
        <x:v>Active</x:v>
      </x:c>
      <x:c r="J1353" t="str">
        <x:v>Shopify DTC</x:v>
      </x:c>
      <x:c r="K1353" t="str">
        <x:v>Consumer</x:v>
      </x:c>
      <x:c r="L1353" t="str">
        <x:v>All Geographies</x:v>
      </x:c>
      <x:c r="M1353" s="34" t="n">
        <x:v>4142</x:v>
      </x:c>
      <x:c r="N1353" s="28" t="n">
        <x:v>0.0324</x:v>
      </x:c>
      <x:c r="O1353" s="34" t="n">
        <x:v>134</x:v>
      </x:c>
      <x:c r="P1353" s="34" t="n">
        <x:v>1</x:v>
      </x:c>
      <x:c r="Q1353" s="34" t="n">
        <x:v>134</x:v>
      </x:c>
      <x:c r="R1353" s="33" t="n">
        <x:v>34</x:v>
      </x:c>
      <x:c r="S1353" s="38" t="n">
        <x:v>4.556</x:v>
      </x:c>
      <x:c r="T1353" s="38" t="n">
        <x:v>0.36448</x:v>
      </x:c>
      <x:c r="U1353" s="38" t="n">
        <x:v>0.23053359999999998</x:v>
      </x:c>
      <x:c r="V1353" s="38" t="n">
        <x:v>3.9609864</x:v>
      </x:c>
      <x:c r="W1353" s="38" t="n">
        <x:v>1.83178</x:v>
      </x:c>
      <x:c r="X1353" s="38" t="n">
        <x:v>0.1148686056</x:v>
      </x:c>
      <x:c r="Y1353" s="38" t="n">
        <x:v>0</x:v>
      </x:c>
      <x:c r="Z1353" s="38" t="n">
        <x:v>0.5561</x:v>
      </x:c>
      <x:c r="AA1353" s="38" t="n">
        <x:v>0.2211</x:v>
      </x:c>
      <x:c r="AB1353" s="38" t="n">
        <x:v>0.007504</x:v>
      </x:c>
      <x:c r="AC1353" s="38" t="n">
        <x:v>1.2296337944000002</x:v>
      </x:c>
      <x:c r="AD1353" s="28" t="n">
        <x:v>0.3104362575948254</x:v>
      </x:c>
    </x:row>
    <x:row r="1354">
      <x:c r="A1354" s="32" t="n">
        <x:v>46132</x:v>
      </x:c>
      <x:c r="B1354" s="32" t="n">
        <x:v>46113</x:v>
      </x:c>
      <x:c r="C1354" t="str">
        <x:v>Apr 2026</x:v>
      </x:c>
      <x:c r="D1354" t="str">
        <x:v>Forecast</x:v>
      </x:c>
      <x:c r="E1354" t="str">
        <x:v>DB-103</x:v>
      </x:c>
      <x:c r="F1354" t="str">
        <x:v>EmberTrail Camp Mug</x:v>
      </x:c>
      <x:c r="G1354" t="str">
        <x:v>One-time purchase</x:v>
      </x:c>
      <x:c r="H1354" t="str">
        <x:v>Winter peak</x:v>
      </x:c>
      <x:c r="I1354" t="str">
        <x:v>Active</x:v>
      </x:c>
      <x:c r="J1354" t="str">
        <x:v>Amazon Marketplace</x:v>
      </x:c>
      <x:c r="K1354" t="str">
        <x:v>Marketplace Consumer</x:v>
      </x:c>
      <x:c r="L1354" t="str">
        <x:v>All Geographies</x:v>
      </x:c>
      <x:c r="M1354" s="34" t="n">
        <x:v>2071</x:v>
      </x:c>
      <x:c r="N1354" s="28" t="n">
        <x:v>0.038231999999999995</x:v>
      </x:c>
      <x:c r="O1354" s="34" t="n">
        <x:v>79</x:v>
      </x:c>
      <x:c r="P1354" s="34" t="n">
        <x:v>1</x:v>
      </x:c>
      <x:c r="Q1354" s="34" t="n">
        <x:v>79</x:v>
      </x:c>
      <x:c r="R1354" s="33" t="n">
        <x:v>34</x:v>
      </x:c>
      <x:c r="S1354" s="38" t="n">
        <x:v>2.686</x:v>
      </x:c>
      <x:c r="T1354" s="38" t="n">
        <x:v>0.1343</x:v>
      </x:c>
      <x:c r="U1354" s="38" t="n">
        <x:v>0.14034349999999998</x:v>
      </x:c>
      <x:c r="V1354" s="38" t="n">
        <x:v>2.4113564999999997</x:v>
      </x:c>
      <x:c r="W1354" s="38" t="n">
        <x:v>1.07993</x:v>
      </x:c>
      <x:c r="X1354" s="38" t="n">
        <x:v>0</x:v>
      </x:c>
      <x:c r="Y1354" s="38" t="n">
        <x:v>0.36170347499999994</x:v>
      </x:c>
      <x:c r="Z1354" s="38" t="n">
        <x:v>0.4108</x:v>
      </x:c>
      <x:c r="AA1354" s="38" t="n">
        <x:v>0.16985</x:v>
      </x:c>
      <x:c r="AB1354" s="38" t="n">
        <x:v>0.004424</x:v>
      </x:c>
      <x:c r="AC1354" s="38" t="n">
        <x:v>0.3846490249999997</x:v>
      </x:c>
      <x:c r="AD1354" s="28" t="n">
        <x:v>0.15951561911314224</x:v>
      </x:c>
    </x:row>
    <x:row r="1355">
      <x:c r="A1355" s="32" t="n">
        <x:v>46132</x:v>
      </x:c>
      <x:c r="B1355" s="32" t="n">
        <x:v>46113</x:v>
      </x:c>
      <x:c r="C1355" t="str">
        <x:v>Apr 2026</x:v>
      </x:c>
      <x:c r="D1355" t="str">
        <x:v>Forecast</x:v>
      </x:c>
      <x:c r="E1355" t="str">
        <x:v>DB-103</x:v>
      </x:c>
      <x:c r="F1355" t="str">
        <x:v>EmberTrail Camp Mug</x:v>
      </x:c>
      <x:c r="G1355" t="str">
        <x:v>One-time purchase</x:v>
      </x:c>
      <x:c r="H1355" t="str">
        <x:v>Winter peak</x:v>
      </x:c>
      <x:c r="I1355" t="str">
        <x:v>Active</x:v>
      </x:c>
      <x:c r="J1355" t="str">
        <x:v>Wholesale</x:v>
      </x:c>
      <x:c r="K1355" t="str">
        <x:v>Retailer</x:v>
      </x:c>
      <x:c r="L1355" t="str">
        <x:v>All Geographies</x:v>
      </x:c>
      <x:c r="M1355" s="34" t="n">
        <x:v>1242</x:v>
      </x:c>
      <x:c r="N1355" s="28" t="n">
        <x:v>0.017820000000000003</x:v>
      </x:c>
      <x:c r="O1355" s="34" t="n">
        <x:v>22</x:v>
      </x:c>
      <x:c r="P1355" s="34" t="n">
        <x:v>1</x:v>
      </x:c>
      <x:c r="Q1355" s="34" t="n">
        <x:v>22</x:v>
      </x:c>
      <x:c r="R1355" s="33" t="n">
        <x:v>34</x:v>
      </x:c>
      <x:c r="S1355" s="38" t="n">
        <x:v>0.748</x:v>
      </x:c>
      <x:c r="T1355" s="38" t="n">
        <x:v>0.2618</x:v>
      </x:c>
      <x:c r="U1355" s="38" t="n">
        <x:v>0.026741</x:v>
      </x:c>
      <x:c r="V1355" s="38" t="n">
        <x:v>0.459459</x:v>
      </x:c>
      <x:c r="W1355" s="38" t="n">
        <x:v>0.30074</x:v>
      </x:c>
      <x:c r="X1355" s="38" t="n">
        <x:v>0</x:v>
      </x:c>
      <x:c r="Y1355" s="38" t="n">
        <x:v>0</x:v>
      </x:c>
      <x:c r="Z1355" s="38" t="n">
        <x:v>0.05059999999999999</x:v>
      </x:c>
      <x:c r="AA1355" s="38" t="n">
        <x:v>0.018699999999999998</x:v>
      </x:c>
      <x:c r="AB1355" s="38" t="n">
        <x:v>0.001232</x:v>
      </x:c>
      <x:c r="AC1355" s="38" t="n">
        <x:v>0.08818700000000002</x:v>
      </x:c>
      <x:c r="AD1355" s="28" t="n">
        <x:v>0.1919366037013096</x:v>
      </x:c>
    </x:row>
    <x:row r="1356">
      <x:c r="A1356" s="32" t="n">
        <x:v>46132</x:v>
      </x:c>
      <x:c r="B1356" s="32" t="n">
        <x:v>46113</x:v>
      </x:c>
      <x:c r="C1356" t="str">
        <x:v>Apr 2026</x:v>
      </x:c>
      <x:c r="D1356" t="str">
        <x:v>Forecast</x:v>
      </x:c>
      <x:c r="E1356" t="str">
        <x:v>DB-103</x:v>
      </x:c>
      <x:c r="F1356" t="str">
        <x:v>EmberTrail Camp Mug</x:v>
      </x:c>
      <x:c r="G1356" t="str">
        <x:v>One-time purchase</x:v>
      </x:c>
      <x:c r="H1356" t="str">
        <x:v>Winter peak</x:v>
      </x:c>
      <x:c r="I1356" t="str">
        <x:v>Active</x:v>
      </x:c>
      <x:c r="J1356" t="str">
        <x:v>TikTok Shop</x:v>
      </x:c>
      <x:c r="K1356" t="str">
        <x:v>Social Commerce</x:v>
      </x:c>
      <x:c r="L1356" t="str">
        <x:v>All Geographies</x:v>
      </x:c>
      <x:c r="M1356" s="34" t="n">
        <x:v>828</x:v>
      </x:c>
      <x:c r="N1356" s="28" t="n">
        <x:v>0.040824</x:v>
      </x:c>
      <x:c r="O1356" s="34" t="n">
        <x:v>34</x:v>
      </x:c>
      <x:c r="P1356" s="34" t="n">
        <x:v>1</x:v>
      </x:c>
      <x:c r="Q1356" s="34" t="n">
        <x:v>34</x:v>
      </x:c>
      <x:c r="R1356" s="33" t="n">
        <x:v>34</x:v>
      </x:c>
      <x:c r="S1356" s="38" t="n">
        <x:v>1.156</x:v>
      </x:c>
      <x:c r="T1356" s="38" t="n">
        <x:v>0.13871999999999998</x:v>
      </x:c>
      <x:c r="U1356" s="38" t="n">
        <x:v>0.0559504</x:v>
      </x:c>
      <x:c r="V1356" s="38" t="n">
        <x:v>0.9613296</x:v>
      </x:c>
      <x:c r="W1356" s="38" t="n">
        <x:v>0.46477999999999997</x:v>
      </x:c>
      <x:c r="X1356" s="38" t="n">
        <x:v>0.027878558400000003</x:v>
      </x:c>
      <x:c r="Y1356" s="38" t="n">
        <x:v>0.057679775999999995</x:v>
      </x:c>
      <x:c r="Z1356" s="38" t="n">
        <x:v>0.17339999999999997</x:v>
      </x:c>
      <x:c r="AA1356" s="38" t="n">
        <x:v>0.0595</x:v>
      </x:c>
      <x:c r="AB1356" s="38" t="n">
        <x:v>0.001904</x:v>
      </x:c>
      <x:c r="AC1356" s="38" t="n">
        <x:v>0.1761872656000001</x:v>
      </x:c>
      <x:c r="AD1356" s="28" t="n">
        <x:v>0.18327456639221354</x:v>
      </x:c>
    </x:row>
    <x:row r="1357">
      <x:c r="A1357" s="32" t="n">
        <x:v>46132</x:v>
      </x:c>
      <x:c r="B1357" s="32" t="n">
        <x:v>46113</x:v>
      </x:c>
      <x:c r="C1357" t="str">
        <x:v>Apr 2026</x:v>
      </x:c>
      <x:c r="D1357" t="str">
        <x:v>Forecast</x:v>
      </x:c>
      <x:c r="E1357" t="str">
        <x:v>DB-104</x:v>
      </x:c>
      <x:c r="F1357" t="str">
        <x:v>SunNest Cooling Towel</x:v>
      </x:c>
      <x:c r="G1357" t="str">
        <x:v>Consumable repeat</x:v>
      </x:c>
      <x:c r="H1357" t="str">
        <x:v>Summer peak</x:v>
      </x:c>
      <x:c r="I1357" t="str">
        <x:v>Active</x:v>
      </x:c>
      <x:c r="J1357" t="str">
        <x:v>Shopify DTC</x:v>
      </x:c>
      <x:c r="K1357" t="str">
        <x:v>Consumer</x:v>
      </x:c>
      <x:c r="L1357" t="str">
        <x:v>All Geographies</x:v>
      </x:c>
      <x:c r="M1357" s="34" t="n">
        <x:v>5009</x:v>
      </x:c>
      <x:c r="N1357" s="28" t="n">
        <x:v>0.03312</x:v>
      </x:c>
      <x:c r="O1357" s="34" t="n">
        <x:v>166</x:v>
      </x:c>
      <x:c r="P1357" s="34" t="n">
        <x:v>1</x:v>
      </x:c>
      <x:c r="Q1357" s="34" t="n">
        <x:v>166</x:v>
      </x:c>
      <x:c r="R1357" s="33" t="n">
        <x:v>42</x:v>
      </x:c>
      <x:c r="S1357" s="38" t="n">
        <x:v>6.972</x:v>
      </x:c>
      <x:c r="T1357" s="38" t="n">
        <x:v>0.55776</x:v>
      </x:c>
      <x:c r="U1357" s="38" t="n">
        <x:v>0.32071200000000005</x:v>
      </x:c>
      <x:c r="V1357" s="38" t="n">
        <x:v>6.093528</x:v>
      </x:c>
      <x:c r="W1357" s="38" t="n">
        <x:v>2.4983</x:v>
      </x:c>
      <x:c r="X1357" s="38" t="n">
        <x:v>0.176712312</x:v>
      </x:c>
      <x:c r="Y1357" s="38" t="n">
        <x:v>0</x:v>
      </x:c>
      <x:c r="Z1357" s="38" t="n">
        <x:v>0.6889000000000001</x:v>
      </x:c>
      <x:c r="AA1357" s="38" t="n">
        <x:v>0.2739</x:v>
      </x:c>
      <x:c r="AB1357" s="38" t="n">
        <x:v>0.004647999999999999</x:v>
      </x:c>
      <x:c r="AC1357" s="38" t="n">
        <x:v>2.451067688</x:v>
      </x:c>
      <x:c r="AD1357" s="28" t="n">
        <x:v>0.4022411463441212</x:v>
      </x:c>
    </x:row>
    <x:row r="1358">
      <x:c r="A1358" s="32" t="n">
        <x:v>46132</x:v>
      </x:c>
      <x:c r="B1358" s="32" t="n">
        <x:v>46113</x:v>
      </x:c>
      <x:c r="C1358" t="str">
        <x:v>Apr 2026</x:v>
      </x:c>
      <x:c r="D1358" t="str">
        <x:v>Forecast</x:v>
      </x:c>
      <x:c r="E1358" t="str">
        <x:v>DB-104</x:v>
      </x:c>
      <x:c r="F1358" t="str">
        <x:v>SunNest Cooling Towel</x:v>
      </x:c>
      <x:c r="G1358" t="str">
        <x:v>Consumable repeat</x:v>
      </x:c>
      <x:c r="H1358" t="str">
        <x:v>Summer peak</x:v>
      </x:c>
      <x:c r="I1358" t="str">
        <x:v>Active</x:v>
      </x:c>
      <x:c r="J1358" t="str">
        <x:v>Amazon Marketplace</x:v>
      </x:c>
      <x:c r="K1358" t="str">
        <x:v>Marketplace Consumer</x:v>
      </x:c>
      <x:c r="L1358" t="str">
        <x:v>All Geographies</x:v>
      </x:c>
      <x:c r="M1358" s="34" t="n">
        <x:v>2504</x:v>
      </x:c>
      <x:c r="N1358" s="28" t="n">
        <x:v>0.0390816</x:v>
      </x:c>
      <x:c r="O1358" s="34" t="n">
        <x:v>98</x:v>
      </x:c>
      <x:c r="P1358" s="34" t="n">
        <x:v>1</x:v>
      </x:c>
      <x:c r="Q1358" s="34" t="n">
        <x:v>98</x:v>
      </x:c>
      <x:c r="R1358" s="33" t="n">
        <x:v>42</x:v>
      </x:c>
      <x:c r="S1358" s="38" t="n">
        <x:v>4.116</x:v>
      </x:c>
      <x:c r="T1358" s="38" t="n">
        <x:v>0.20579999999999998</x:v>
      </x:c>
      <x:c r="U1358" s="38" t="n">
        <x:v>0.19551</x:v>
      </x:c>
      <x:c r="V1358" s="38" t="n">
        <x:v>3.7146899999999996</x:v>
      </x:c>
      <x:c r="W1358" s="38" t="n">
        <x:v>1.4749</x:v>
      </x:c>
      <x:c r="X1358" s="38" t="n">
        <x:v>0</x:v>
      </x:c>
      <x:c r="Y1358" s="38" t="n">
        <x:v>0.5572035</x:v>
      </x:c>
      <x:c r="Z1358" s="38" t="n">
        <x:v>0.5096</x:v>
      </x:c>
      <x:c r="AA1358" s="38" t="n">
        <x:v>0.2107</x:v>
      </x:c>
      <x:c r="AB1358" s="38" t="n">
        <x:v>0.002744</x:v>
      </x:c>
      <x:c r="AC1358" s="38" t="n">
        <x:v>0.9595424999999993</x:v>
      </x:c>
      <x:c r="AD1358" s="28" t="n">
        <x:v>0.2583102493074791</x:v>
      </x:c>
    </x:row>
    <x:row r="1359">
      <x:c r="A1359" s="32" t="n">
        <x:v>46132</x:v>
      </x:c>
      <x:c r="B1359" s="32" t="n">
        <x:v>46113</x:v>
      </x:c>
      <x:c r="C1359" t="str">
        <x:v>Apr 2026</x:v>
      </x:c>
      <x:c r="D1359" t="str">
        <x:v>Forecast</x:v>
      </x:c>
      <x:c r="E1359" t="str">
        <x:v>DB-104</x:v>
      </x:c>
      <x:c r="F1359" t="str">
        <x:v>SunNest Cooling Towel</x:v>
      </x:c>
      <x:c r="G1359" t="str">
        <x:v>Consumable repeat</x:v>
      </x:c>
      <x:c r="H1359" t="str">
        <x:v>Summer peak</x:v>
      </x:c>
      <x:c r="I1359" t="str">
        <x:v>Active</x:v>
      </x:c>
      <x:c r="J1359" t="str">
        <x:v>Wholesale</x:v>
      </x:c>
      <x:c r="K1359" t="str">
        <x:v>Retailer</x:v>
      </x:c>
      <x:c r="L1359" t="str">
        <x:v>All Geographies</x:v>
      </x:c>
      <x:c r="M1359" s="34" t="n">
        <x:v>1503</x:v>
      </x:c>
      <x:c r="N1359" s="28" t="n">
        <x:v>0.018216000000000003</x:v>
      </x:c>
      <x:c r="O1359" s="34" t="n">
        <x:v>27</x:v>
      </x:c>
      <x:c r="P1359" s="34" t="n">
        <x:v>1</x:v>
      </x:c>
      <x:c r="Q1359" s="34" t="n">
        <x:v>27</x:v>
      </x:c>
      <x:c r="R1359" s="33" t="n">
        <x:v>42</x:v>
      </x:c>
      <x:c r="S1359" s="38" t="n">
        <x:v>1.134</x:v>
      </x:c>
      <x:c r="T1359" s="38" t="n">
        <x:v>0.3968999999999999</x:v>
      </x:c>
      <x:c r="U1359" s="38" t="n">
        <x:v>0.036855</x:v>
      </x:c>
      <x:c r="V1359" s="38" t="n">
        <x:v>0.700245</x:v>
      </x:c>
      <x:c r="W1359" s="38" t="n">
        <x:v>0.40635000000000004</x:v>
      </x:c>
      <x:c r="X1359" s="38" t="n">
        <x:v>0</x:v>
      </x:c>
      <x:c r="Y1359" s="38" t="n">
        <x:v>0</x:v>
      </x:c>
      <x:c r="Z1359" s="38" t="n">
        <x:v>0.062099999999999995</x:v>
      </x:c>
      <x:c r="AA1359" s="38" t="n">
        <x:v>0.022949999999999998</x:v>
      </x:c>
      <x:c r="AB1359" s="38" t="n">
        <x:v>0.000756</x:v>
      </x:c>
      <x:c r="AC1359" s="38" t="n">
        <x:v>0.20808899999999997</x:v>
      </x:c>
      <x:c r="AD1359" s="28" t="n">
        <x:v>0.29716599190283394</x:v>
      </x:c>
    </x:row>
    <x:row r="1360">
      <x:c r="A1360" s="32" t="n">
        <x:v>46132</x:v>
      </x:c>
      <x:c r="B1360" s="32" t="n">
        <x:v>46113</x:v>
      </x:c>
      <x:c r="C1360" t="str">
        <x:v>Apr 2026</x:v>
      </x:c>
      <x:c r="D1360" t="str">
        <x:v>Forecast</x:v>
      </x:c>
      <x:c r="E1360" t="str">
        <x:v>DB-104</x:v>
      </x:c>
      <x:c r="F1360" t="str">
        <x:v>SunNest Cooling Towel</x:v>
      </x:c>
      <x:c r="G1360" t="str">
        <x:v>Consumable repeat</x:v>
      </x:c>
      <x:c r="H1360" t="str">
        <x:v>Summer peak</x:v>
      </x:c>
      <x:c r="I1360" t="str">
        <x:v>Active</x:v>
      </x:c>
      <x:c r="J1360" t="str">
        <x:v>TikTok Shop</x:v>
      </x:c>
      <x:c r="K1360" t="str">
        <x:v>Social Commerce</x:v>
      </x:c>
      <x:c r="L1360" t="str">
        <x:v>All Geographies</x:v>
      </x:c>
      <x:c r="M1360" s="34" t="n">
        <x:v>1002</x:v>
      </x:c>
      <x:c r="N1360" s="28" t="n">
        <x:v>0.0417312</x:v>
      </x:c>
      <x:c r="O1360" s="34" t="n">
        <x:v>42</x:v>
      </x:c>
      <x:c r="P1360" s="34" t="n">
        <x:v>1</x:v>
      </x:c>
      <x:c r="Q1360" s="34" t="n">
        <x:v>42</x:v>
      </x:c>
      <x:c r="R1360" s="33" t="n">
        <x:v>42</x:v>
      </x:c>
      <x:c r="S1360" s="38" t="n">
        <x:v>1.764</x:v>
      </x:c>
      <x:c r="T1360" s="38" t="n">
        <x:v>0.21168</x:v>
      </x:c>
      <x:c r="U1360" s="38" t="n">
        <x:v>0.077616</x:v>
      </x:c>
      <x:c r="V1360" s="38" t="n">
        <x:v>1.474704</x:v>
      </x:c>
      <x:c r="W1360" s="38" t="n">
        <x:v>0.6321</x:v>
      </x:c>
      <x:c r="X1360" s="38" t="n">
        <x:v>0.042766416</x:v>
      </x:c>
      <x:c r="Y1360" s="38" t="n">
        <x:v>0.08848224</x:v>
      </x:c>
      <x:c r="Z1360" s="38" t="n">
        <x:v>0.2142</x:v>
      </x:c>
      <x:c r="AA1360" s="38" t="n">
        <x:v>0.0735</x:v>
      </x:c>
      <x:c r="AB1360" s="38" t="n">
        <x:v>0.001176</x:v>
      </x:c>
      <x:c r="AC1360" s="38" t="n">
        <x:v>0.422479344</x:v>
      </x:c>
      <x:c r="AD1360" s="28" t="n">
        <x:v>0.2864841649578492</x:v>
      </x:c>
    </x:row>
    <x:row r="1361">
      <x:c r="A1361" s="32" t="n">
        <x:v>46132</x:v>
      </x:c>
      <x:c r="B1361" s="32" t="n">
        <x:v>46113</x:v>
      </x:c>
      <x:c r="C1361" t="str">
        <x:v>Apr 2026</x:v>
      </x:c>
      <x:c r="D1361" t="str">
        <x:v>Forecast</x:v>
      </x:c>
      <x:c r="E1361" t="str">
        <x:v>DB-105</x:v>
      </x:c>
      <x:c r="F1361" t="str">
        <x:v>DreamFuel Refill Pack</x:v>
      </x:c>
      <x:c r="G1361" t="str">
        <x:v>Subscription</x:v>
      </x:c>
      <x:c r="H1361" t="str">
        <x:v>None</x:v>
      </x:c>
      <x:c r="I1361" t="str">
        <x:v>Active</x:v>
      </x:c>
      <x:c r="J1361" t="str">
        <x:v>Shopify DTC</x:v>
      </x:c>
      <x:c r="K1361" t="str">
        <x:v>Consumer</x:v>
      </x:c>
      <x:c r="L1361" t="str">
        <x:v>All Geographies</x:v>
      </x:c>
      <x:c r="M1361" s="34" t="n">
        <x:v>5051</x:v>
      </x:c>
      <x:c r="N1361" s="28" t="n">
        <x:v>0.03888</x:v>
      </x:c>
      <x:c r="O1361" s="34" t="n">
        <x:v>196</x:v>
      </x:c>
      <x:c r="P1361" s="34" t="n">
        <x:v>1</x:v>
      </x:c>
      <x:c r="Q1361" s="34" t="n">
        <x:v>196</x:v>
      </x:c>
      <x:c r="R1361" s="33" t="n">
        <x:v>56</x:v>
      </x:c>
      <x:c r="S1361" s="38" t="n">
        <x:v>10.976</x:v>
      </x:c>
      <x:c r="T1361" s="38" t="n">
        <x:v>0.8780800000000001</x:v>
      </x:c>
      <x:c r="U1361" s="38" t="n">
        <x:v>0.2019584</x:v>
      </x:c>
      <x:c r="V1361" s="38" t="n">
        <x:v>9.8959616</x:v>
      </x:c>
      <x:c r="W1361" s="38" t="n">
        <x:v>3.64952</x:v>
      </x:c>
      <x:c r="X1361" s="38" t="n">
        <x:v>0.2869828864</x:v>
      </x:c>
      <x:c r="Y1361" s="38" t="n">
        <x:v>0</x:v>
      </x:c>
      <x:c r="Z1361" s="38" t="n">
        <x:v>0.8134000000000001</x:v>
      </x:c>
      <x:c r="AA1361" s="38" t="n">
        <x:v>0.32339999999999997</x:v>
      </x:c>
      <x:c r="AB1361" s="38" t="n">
        <x:v>0.0007055999999999999</x:v>
      </x:c>
      <x:c r="AC1361" s="38" t="n">
        <x:v>4.8219531136</x:v>
      </x:c>
      <x:c r="AD1361" s="28" t="n">
        <x:v>0.4872647357079478</x:v>
      </x:c>
    </x:row>
    <x:row r="1362">
      <x:c r="A1362" s="32" t="n">
        <x:v>46132</x:v>
      </x:c>
      <x:c r="B1362" s="32" t="n">
        <x:v>46113</x:v>
      </x:c>
      <x:c r="C1362" t="str">
        <x:v>Apr 2026</x:v>
      </x:c>
      <x:c r="D1362" t="str">
        <x:v>Forecast</x:v>
      </x:c>
      <x:c r="E1362" t="str">
        <x:v>DB-105</x:v>
      </x:c>
      <x:c r="F1362" t="str">
        <x:v>DreamFuel Refill Pack</x:v>
      </x:c>
      <x:c r="G1362" t="str">
        <x:v>Subscription</x:v>
      </x:c>
      <x:c r="H1362" t="str">
        <x:v>None</x:v>
      </x:c>
      <x:c r="I1362" t="str">
        <x:v>Active</x:v>
      </x:c>
      <x:c r="J1362" t="str">
        <x:v>Amazon Marketplace</x:v>
      </x:c>
      <x:c r="K1362" t="str">
        <x:v>Marketplace Consumer</x:v>
      </x:c>
      <x:c r="L1362" t="str">
        <x:v>All Geographies</x:v>
      </x:c>
      <x:c r="M1362" s="34" t="n">
        <x:v>2525</x:v>
      </x:c>
      <x:c r="N1362" s="28" t="n">
        <x:v>0.0458784</x:v>
      </x:c>
      <x:c r="O1362" s="34" t="n">
        <x:v>116</x:v>
      </x:c>
      <x:c r="P1362" s="34" t="n">
        <x:v>1</x:v>
      </x:c>
      <x:c r="Q1362" s="34" t="n">
        <x:v>116</x:v>
      </x:c>
      <x:c r="R1362" s="33" t="n">
        <x:v>56</x:v>
      </x:c>
      <x:c r="S1362" s="38" t="n">
        <x:v>6.496</x:v>
      </x:c>
      <x:c r="T1362" s="38" t="n">
        <x:v>0.32480000000000003</x:v>
      </x:c>
      <x:c r="U1362" s="38" t="n">
        <x:v>0.12342400000000002</x:v>
      </x:c>
      <x:c r="V1362" s="38" t="n">
        <x:v>6.047776000000001</x:v>
      </x:c>
      <x:c r="W1362" s="38" t="n">
        <x:v>2.15992</x:v>
      </x:c>
      <x:c r="X1362" s="38" t="n">
        <x:v>0</x:v>
      </x:c>
      <x:c r="Y1362" s="38" t="n">
        <x:v>0.9071664</x:v>
      </x:c>
      <x:c r="Z1362" s="38" t="n">
        <x:v>0.6032000000000001</x:v>
      </x:c>
      <x:c r="AA1362" s="38" t="n">
        <x:v>0.24939999999999998</x:v>
      </x:c>
      <x:c r="AB1362" s="38" t="n">
        <x:v>0.0004176</x:v>
      </x:c>
      <x:c r="AC1362" s="38" t="n">
        <x:v>2.1276720000000005</x:v>
      </x:c>
      <x:c r="AD1362" s="28" t="n">
        <x:v>0.35181064907165877</x:v>
      </x:c>
    </x:row>
    <x:row r="1363">
      <x:c r="A1363" s="32" t="n">
        <x:v>46132</x:v>
      </x:c>
      <x:c r="B1363" s="32" t="n">
        <x:v>46113</x:v>
      </x:c>
      <x:c r="C1363" t="str">
        <x:v>Apr 2026</x:v>
      </x:c>
      <x:c r="D1363" t="str">
        <x:v>Forecast</x:v>
      </x:c>
      <x:c r="E1363" t="str">
        <x:v>DB-105</x:v>
      </x:c>
      <x:c r="F1363" t="str">
        <x:v>DreamFuel Refill Pack</x:v>
      </x:c>
      <x:c r="G1363" t="str">
        <x:v>Subscription</x:v>
      </x:c>
      <x:c r="H1363" t="str">
        <x:v>None</x:v>
      </x:c>
      <x:c r="I1363" t="str">
        <x:v>Active</x:v>
      </x:c>
      <x:c r="J1363" t="str">
        <x:v>Wholesale</x:v>
      </x:c>
      <x:c r="K1363" t="str">
        <x:v>Retailer</x:v>
      </x:c>
      <x:c r="L1363" t="str">
        <x:v>All Geographies</x:v>
      </x:c>
      <x:c r="M1363" s="34" t="n">
        <x:v>1515</x:v>
      </x:c>
      <x:c r="N1363" s="28" t="n">
        <x:v>0.021384000000000004</x:v>
      </x:c>
      <x:c r="O1363" s="34" t="n">
        <x:v>32</x:v>
      </x:c>
      <x:c r="P1363" s="34" t="n">
        <x:v>1</x:v>
      </x:c>
      <x:c r="Q1363" s="34" t="n">
        <x:v>32</x:v>
      </x:c>
      <x:c r="R1363" s="33" t="n">
        <x:v>56</x:v>
      </x:c>
      <x:c r="S1363" s="38" t="n">
        <x:v>1.792</x:v>
      </x:c>
      <x:c r="T1363" s="38" t="n">
        <x:v>0.6272</x:v>
      </x:c>
      <x:c r="U1363" s="38" t="n">
        <x:v>0.023296</x:v>
      </x:c>
      <x:c r="V1363" s="38" t="n">
        <x:v>1.141504</x:v>
      </x:c>
      <x:c r="W1363" s="38" t="n">
        <x:v>0.59584</x:v>
      </x:c>
      <x:c r="X1363" s="38" t="n">
        <x:v>0</x:v>
      </x:c>
      <x:c r="Y1363" s="38" t="n">
        <x:v>0</x:v>
      </x:c>
      <x:c r="Z1363" s="38" t="n">
        <x:v>0.0736</x:v>
      </x:c>
      <x:c r="AA1363" s="38" t="n">
        <x:v>0.0272</x:v>
      </x:c>
      <x:c r="AB1363" s="38" t="n">
        <x:v>0.0001152</x:v>
      </x:c>
      <x:c r="AC1363" s="38" t="n">
        <x:v>0.44474880000000006</x:v>
      </x:c>
      <x:c r="AD1363" s="28" t="n">
        <x:v>0.3896165059430366</x:v>
      </x:c>
    </x:row>
    <x:row r="1364">
      <x:c r="A1364" s="32" t="n">
        <x:v>46132</x:v>
      </x:c>
      <x:c r="B1364" s="32" t="n">
        <x:v>46113</x:v>
      </x:c>
      <x:c r="C1364" t="str">
        <x:v>Apr 2026</x:v>
      </x:c>
      <x:c r="D1364" t="str">
        <x:v>Forecast</x:v>
      </x:c>
      <x:c r="E1364" t="str">
        <x:v>DB-105</x:v>
      </x:c>
      <x:c r="F1364" t="str">
        <x:v>DreamFuel Refill Pack</x:v>
      </x:c>
      <x:c r="G1364" t="str">
        <x:v>Subscription</x:v>
      </x:c>
      <x:c r="H1364" t="str">
        <x:v>None</x:v>
      </x:c>
      <x:c r="I1364" t="str">
        <x:v>Active</x:v>
      </x:c>
      <x:c r="J1364" t="str">
        <x:v>TikTok Shop</x:v>
      </x:c>
      <x:c r="K1364" t="str">
        <x:v>Social Commerce</x:v>
      </x:c>
      <x:c r="L1364" t="str">
        <x:v>All Geographies</x:v>
      </x:c>
      <x:c r="M1364" s="34" t="n">
        <x:v>1010</x:v>
      </x:c>
      <x:c r="N1364" s="28" t="n">
        <x:v>0.0489888</x:v>
      </x:c>
      <x:c r="O1364" s="34" t="n">
        <x:v>49</x:v>
      </x:c>
      <x:c r="P1364" s="34" t="n">
        <x:v>1</x:v>
      </x:c>
      <x:c r="Q1364" s="34" t="n">
        <x:v>49</x:v>
      </x:c>
      <x:c r="R1364" s="33" t="n">
        <x:v>56</x:v>
      </x:c>
      <x:c r="S1364" s="38" t="n">
        <x:v>2.744</x:v>
      </x:c>
      <x:c r="T1364" s="38" t="n">
        <x:v>0.32928</x:v>
      </x:c>
      <x:c r="U1364" s="38" t="n">
        <x:v>0.0482944</x:v>
      </x:c>
      <x:c r="V1364" s="38" t="n">
        <x:v>2.3664256</x:v>
      </x:c>
      <x:c r="W1364" s="38" t="n">
        <x:v>0.91238</x:v>
      </x:c>
      <x:c r="X1364" s="38" t="n">
        <x:v>0.0686263424</x:v>
      </x:c>
      <x:c r="Y1364" s="38" t="n">
        <x:v>0.141985536</x:v>
      </x:c>
      <x:c r="Z1364" s="38" t="n">
        <x:v>0.24989999999999998</x:v>
      </x:c>
      <x:c r="AA1364" s="38" t="n">
        <x:v>0.08575</x:v>
      </x:c>
      <x:c r="AB1364" s="38" t="n">
        <x:v>0.00017639999999999998</x:v>
      </x:c>
      <x:c r="AC1364" s="38" t="n">
        <x:v>0.9076073216</x:v>
      </x:c>
      <x:c r="AD1364" s="28" t="n">
        <x:v>0.3835351179432812</x:v>
      </x:c>
    </x:row>
    <x:row r="1365">
      <x:c r="A1365" s="32" t="n">
        <x:v>46139</x:v>
      </x:c>
      <x:c r="B1365" s="32" t="n">
        <x:v>46113</x:v>
      </x:c>
      <x:c r="C1365" t="str">
        <x:v>Apr 2026</x:v>
      </x:c>
      <x:c r="D1365" t="str">
        <x:v>Forecast</x:v>
      </x:c>
      <x:c r="E1365" t="str">
        <x:v>DB-101</x:v>
      </x:c>
      <x:c r="F1365" t="str">
        <x:v>AeroSip Bottle</x:v>
      </x:c>
      <x:c r="G1365" t="str">
        <x:v>One-time purchase</x:v>
      </x:c>
      <x:c r="H1365" t="str">
        <x:v>None</x:v>
      </x:c>
      <x:c r="I1365" t="str">
        <x:v>Active</x:v>
      </x:c>
      <x:c r="J1365" t="str">
        <x:v>Shopify DTC</x:v>
      </x:c>
      <x:c r="K1365" t="str">
        <x:v>Consumer</x:v>
      </x:c>
      <x:c r="L1365" t="str">
        <x:v>All Geographies</x:v>
      </x:c>
      <x:c r="M1365" s="34" t="n">
        <x:v>7296</x:v>
      </x:c>
      <x:c r="N1365" s="28" t="n">
        <x:v>0.034199999999999994</x:v>
      </x:c>
      <x:c r="O1365" s="34" t="n">
        <x:v>250</x:v>
      </x:c>
      <x:c r="P1365" s="34" t="n">
        <x:v>1</x:v>
      </x:c>
      <x:c r="Q1365" s="34" t="n">
        <x:v>250</x:v>
      </x:c>
      <x:c r="R1365" s="33" t="n">
        <x:v>29</x:v>
      </x:c>
      <x:c r="S1365" s="38" t="n">
        <x:v>7.25</x:v>
      </x:c>
      <x:c r="T1365" s="38" t="n">
        <x:v>0.58</x:v>
      </x:c>
      <x:c r="U1365" s="38" t="n">
        <x:v>0.30015</x:v>
      </x:c>
      <x:c r="V1365" s="38" t="n">
        <x:v>6.36985</x:v>
      </x:c>
      <x:c r="W1365" s="38" t="n">
        <x:v>2.7</x:v>
      </x:c>
      <x:c r="X1365" s="38" t="n">
        <x:v>0.18472565</x:v>
      </x:c>
      <x:c r="Y1365" s="38" t="n">
        <x:v>0</x:v>
      </x:c>
      <x:c r="Z1365" s="38" t="n">
        <x:v>1.0375</x:v>
      </x:c>
      <x:c r="AA1365" s="38" t="n">
        <x:v>0.4125</x:v>
      </x:c>
      <x:c r="AB1365" s="38" t="n">
        <x:v>0.009</x:v>
      </x:c>
      <x:c r="AC1365" s="38" t="n">
        <x:v>2.0261243499999995</x:v>
      </x:c>
      <x:c r="AD1365" s="28" t="n">
        <x:v>0.31808038650831644</x:v>
      </x:c>
    </x:row>
    <x:row r="1366">
      <x:c r="A1366" s="32" t="n">
        <x:v>46139</x:v>
      </x:c>
      <x:c r="B1366" s="32" t="n">
        <x:v>46113</x:v>
      </x:c>
      <x:c r="C1366" t="str">
        <x:v>Apr 2026</x:v>
      </x:c>
      <x:c r="D1366" t="str">
        <x:v>Forecast</x:v>
      </x:c>
      <x:c r="E1366" t="str">
        <x:v>DB-101</x:v>
      </x:c>
      <x:c r="F1366" t="str">
        <x:v>AeroSip Bottle</x:v>
      </x:c>
      <x:c r="G1366" t="str">
        <x:v>One-time purchase</x:v>
      </x:c>
      <x:c r="H1366" t="str">
        <x:v>None</x:v>
      </x:c>
      <x:c r="I1366" t="str">
        <x:v>Active</x:v>
      </x:c>
      <x:c r="J1366" t="str">
        <x:v>Amazon Marketplace</x:v>
      </x:c>
      <x:c r="K1366" t="str">
        <x:v>Marketplace Consumer</x:v>
      </x:c>
      <x:c r="L1366" t="str">
        <x:v>All Geographies</x:v>
      </x:c>
      <x:c r="M1366" s="34" t="n">
        <x:v>3648</x:v>
      </x:c>
      <x:c r="N1366" s="28" t="n">
        <x:v>0.040355999999999996</x:v>
      </x:c>
      <x:c r="O1366" s="34" t="n">
        <x:v>147</x:v>
      </x:c>
      <x:c r="P1366" s="34" t="n">
        <x:v>1</x:v>
      </x:c>
      <x:c r="Q1366" s="34" t="n">
        <x:v>147</x:v>
      </x:c>
      <x:c r="R1366" s="33" t="n">
        <x:v>29</x:v>
      </x:c>
      <x:c r="S1366" s="38" t="n">
        <x:v>4.263</x:v>
      </x:c>
      <x:c r="T1366" s="38" t="n">
        <x:v>0.21315</x:v>
      </x:c>
      <x:c r="U1366" s="38" t="n">
        <x:v>0.18224325</x:v>
      </x:c>
      <x:c r="V1366" s="38" t="n">
        <x:v>3.86760675</x:v>
      </x:c>
      <x:c r="W1366" s="38" t="n">
        <x:v>1.5876000000000001</x:v>
      </x:c>
      <x:c r="X1366" s="38" t="n">
        <x:v>0</x:v>
      </x:c>
      <x:c r="Y1366" s="38" t="n">
        <x:v>0.5801410125</x:v>
      </x:c>
      <x:c r="Z1366" s="38" t="n">
        <x:v>0.7644</x:v>
      </x:c>
      <x:c r="AA1366" s="38" t="n">
        <x:v>0.31605</x:v>
      </x:c>
      <x:c r="AB1366" s="38" t="n">
        <x:v>0.005292</x:v>
      </x:c>
      <x:c r="AC1366" s="38" t="n">
        <x:v>0.6141237375000003</x:v>
      </x:c>
      <x:c r="AD1366" s="28" t="n">
        <x:v>0.15878649955815705</x:v>
      </x:c>
    </x:row>
    <x:row r="1367">
      <x:c r="A1367" s="32" t="n">
        <x:v>46139</x:v>
      </x:c>
      <x:c r="B1367" s="32" t="n">
        <x:v>46113</x:v>
      </x:c>
      <x:c r="C1367" t="str">
        <x:v>Apr 2026</x:v>
      </x:c>
      <x:c r="D1367" t="str">
        <x:v>Forecast</x:v>
      </x:c>
      <x:c r="E1367" t="str">
        <x:v>DB-101</x:v>
      </x:c>
      <x:c r="F1367" t="str">
        <x:v>AeroSip Bottle</x:v>
      </x:c>
      <x:c r="G1367" t="str">
        <x:v>One-time purchase</x:v>
      </x:c>
      <x:c r="H1367" t="str">
        <x:v>None</x:v>
      </x:c>
      <x:c r="I1367" t="str">
        <x:v>Active</x:v>
      </x:c>
      <x:c r="J1367" t="str">
        <x:v>Wholesale</x:v>
      </x:c>
      <x:c r="K1367" t="str">
        <x:v>Retailer</x:v>
      </x:c>
      <x:c r="L1367" t="str">
        <x:v>All Geographies</x:v>
      </x:c>
      <x:c r="M1367" s="34" t="n">
        <x:v>2189</x:v>
      </x:c>
      <x:c r="N1367" s="28" t="n">
        <x:v>0.01881</x:v>
      </x:c>
      <x:c r="O1367" s="34" t="n">
        <x:v>41</x:v>
      </x:c>
      <x:c r="P1367" s="34" t="n">
        <x:v>1</x:v>
      </x:c>
      <x:c r="Q1367" s="34" t="n">
        <x:v>41</x:v>
      </x:c>
      <x:c r="R1367" s="33" t="n">
        <x:v>29</x:v>
      </x:c>
      <x:c r="S1367" s="38" t="n">
        <x:v>1.189</x:v>
      </x:c>
      <x:c r="T1367" s="38" t="n">
        <x:v>0.41615</x:v>
      </x:c>
      <x:c r="U1367" s="38" t="n">
        <x:v>0.034778250000000004</x:v>
      </x:c>
      <x:c r="V1367" s="38" t="n">
        <x:v>0.73807175</x:v>
      </x:c>
      <x:c r="W1367" s="38" t="n">
        <x:v>0.4428</x:v>
      </x:c>
      <x:c r="X1367" s="38" t="n">
        <x:v>0</x:v>
      </x:c>
      <x:c r="Y1367" s="38" t="n">
        <x:v>0</x:v>
      </x:c>
      <x:c r="Z1367" s="38" t="n">
        <x:v>0.0943</x:v>
      </x:c>
      <x:c r="AA1367" s="38" t="n">
        <x:v>0.03485</x:v>
      </x:c>
      <x:c r="AB1367" s="38" t="n">
        <x:v>0.0014759999999999999</x:v>
      </x:c>
      <x:c r="AC1367" s="38" t="n">
        <x:v>0.16464575</x:v>
      </x:c>
      <x:c r="AD1367" s="28" t="n">
        <x:v>0.22307553432305194</x:v>
      </x:c>
    </x:row>
    <x:row r="1368">
      <x:c r="A1368" s="32" t="n">
        <x:v>46139</x:v>
      </x:c>
      <x:c r="B1368" s="32" t="n">
        <x:v>46113</x:v>
      </x:c>
      <x:c r="C1368" t="str">
        <x:v>Apr 2026</x:v>
      </x:c>
      <x:c r="D1368" t="str">
        <x:v>Forecast</x:v>
      </x:c>
      <x:c r="E1368" t="str">
        <x:v>DB-101</x:v>
      </x:c>
      <x:c r="F1368" t="str">
        <x:v>AeroSip Bottle</x:v>
      </x:c>
      <x:c r="G1368" t="str">
        <x:v>One-time purchase</x:v>
      </x:c>
      <x:c r="H1368" t="str">
        <x:v>None</x:v>
      </x:c>
      <x:c r="I1368" t="str">
        <x:v>Active</x:v>
      </x:c>
      <x:c r="J1368" t="str">
        <x:v>TikTok Shop</x:v>
      </x:c>
      <x:c r="K1368" t="str">
        <x:v>Social Commerce</x:v>
      </x:c>
      <x:c r="L1368" t="str">
        <x:v>All Geographies</x:v>
      </x:c>
      <x:c r="M1368" s="34" t="n">
        <x:v>1459</x:v>
      </x:c>
      <x:c r="N1368" s="28" t="n">
        <x:v>0.043092</x:v>
      </x:c>
      <x:c r="O1368" s="34" t="n">
        <x:v>63</x:v>
      </x:c>
      <x:c r="P1368" s="34" t="n">
        <x:v>1</x:v>
      </x:c>
      <x:c r="Q1368" s="34" t="n">
        <x:v>63</x:v>
      </x:c>
      <x:c r="R1368" s="33" t="n">
        <x:v>29</x:v>
      </x:c>
      <x:c r="S1368" s="38" t="n">
        <x:v>1.827</x:v>
      </x:c>
      <x:c r="T1368" s="38" t="n">
        <x:v>0.21924</x:v>
      </x:c>
      <x:c r="U1368" s="38" t="n">
        <x:v>0.07234919999999999</x:v>
      </x:c>
      <x:c r="V1368" s="38" t="n">
        <x:v>1.5354108</x:v>
      </x:c>
      <x:c r="W1368" s="38" t="n">
        <x:v>0.6804000000000001</x:v>
      </x:c>
      <x:c r="X1368" s="38" t="n">
        <x:v>0.044526913200000004</x:v>
      </x:c>
      <x:c r="Y1368" s="38" t="n">
        <x:v>0.09212464799999999</x:v>
      </x:c>
      <x:c r="Z1368" s="38" t="n">
        <x:v>0.3213</x:v>
      </x:c>
      <x:c r="AA1368" s="38" t="n">
        <x:v>0.11025</x:v>
      </x:c>
      <x:c r="AB1368" s="38" t="n">
        <x:v>0.0022679999999999996</x:v>
      </x:c>
      <x:c r="AC1368" s="38" t="n">
        <x:v>0.2845412387999999</x:v>
      </x:c>
      <x:c r="AD1368" s="28" t="n">
        <x:v>0.18531928966501987</x:v>
      </x:c>
    </x:row>
    <x:row r="1369">
      <x:c r="A1369" s="32" t="n">
        <x:v>46139</x:v>
      </x:c>
      <x:c r="B1369" s="32" t="n">
        <x:v>46113</x:v>
      </x:c>
      <x:c r="C1369" t="str">
        <x:v>Apr 2026</x:v>
      </x:c>
      <x:c r="D1369" t="str">
        <x:v>Forecast</x:v>
      </x:c>
      <x:c r="E1369" t="str">
        <x:v>DB-102</x:v>
      </x:c>
      <x:c r="F1369" t="str">
        <x:v>GlowPatch Balm</x:v>
      </x:c>
      <x:c r="G1369" t="str">
        <x:v>Consumable repeat</x:v>
      </x:c>
      <x:c r="H1369" t="str">
        <x:v>None</x:v>
      </x:c>
      <x:c r="I1369" t="str">
        <x:v>Active</x:v>
      </x:c>
      <x:c r="J1369" t="str">
        <x:v>Shopify DTC</x:v>
      </x:c>
      <x:c r="K1369" t="str">
        <x:v>Consumer</x:v>
      </x:c>
      <x:c r="L1369" t="str">
        <x:v>All Geographies</x:v>
      </x:c>
      <x:c r="M1369" s="34" t="n">
        <x:v>5893</x:v>
      </x:c>
      <x:c r="N1369" s="28" t="n">
        <x:v>0.04248</x:v>
      </x:c>
      <x:c r="O1369" s="34" t="n">
        <x:v>250</x:v>
      </x:c>
      <x:c r="P1369" s="34" t="n">
        <x:v>1</x:v>
      </x:c>
      <x:c r="Q1369" s="34" t="n">
        <x:v>250</x:v>
      </x:c>
      <x:c r="R1369" s="33" t="n">
        <x:v>18</x:v>
      </x:c>
      <x:c r="S1369" s="38" t="n">
        <x:v>4.5</x:v>
      </x:c>
      <x:c r="T1369" s="38" t="n">
        <x:v>0.36</x:v>
      </x:c>
      <x:c r="U1369" s="38" t="n">
        <x:v>0.1035</x:v>
      </x:c>
      <x:c r="V1369" s="38" t="n">
        <x:v>4.036499999999999</x:v>
      </x:c>
      <x:c r="W1369" s="38" t="n">
        <x:v>1.3525</x:v>
      </x:c>
      <x:c r="X1369" s="38" t="n">
        <x:v>0.11705849999999998</x:v>
      </x:c>
      <x:c r="Y1369" s="38" t="n">
        <x:v>0</x:v>
      </x:c>
      <x:c r="Z1369" s="38" t="n">
        <x:v>1.0375</x:v>
      </x:c>
      <x:c r="AA1369" s="38" t="n">
        <x:v>0.4125</x:v>
      </x:c>
      <x:c r="AB1369" s="38" t="n">
        <x:v>0.0015</x:v>
      </x:c>
      <x:c r="AC1369" s="38" t="n">
        <x:v>1.1154414999999989</x:v>
      </x:c>
      <x:c r="AD1369" s="28" t="n">
        <x:v>0.2763387835996529</x:v>
      </x:c>
    </x:row>
    <x:row r="1370">
      <x:c r="A1370" s="32" t="n">
        <x:v>46139</x:v>
      </x:c>
      <x:c r="B1370" s="32" t="n">
        <x:v>46113</x:v>
      </x:c>
      <x:c r="C1370" t="str">
        <x:v>Apr 2026</x:v>
      </x:c>
      <x:c r="D1370" t="str">
        <x:v>Forecast</x:v>
      </x:c>
      <x:c r="E1370" t="str">
        <x:v>DB-102</x:v>
      </x:c>
      <x:c r="F1370" t="str">
        <x:v>GlowPatch Balm</x:v>
      </x:c>
      <x:c r="G1370" t="str">
        <x:v>Consumable repeat</x:v>
      </x:c>
      <x:c r="H1370" t="str">
        <x:v>None</x:v>
      </x:c>
      <x:c r="I1370" t="str">
        <x:v>Active</x:v>
      </x:c>
      <x:c r="J1370" t="str">
        <x:v>Amazon Marketplace</x:v>
      </x:c>
      <x:c r="K1370" t="str">
        <x:v>Marketplace Consumer</x:v>
      </x:c>
      <x:c r="L1370" t="str">
        <x:v>All Geographies</x:v>
      </x:c>
      <x:c r="M1370" s="34" t="n">
        <x:v>2946</x:v>
      </x:c>
      <x:c r="N1370" s="28" t="n">
        <x:v>0.050126399999999995</x:v>
      </x:c>
      <x:c r="O1370" s="34" t="n">
        <x:v>148</x:v>
      </x:c>
      <x:c r="P1370" s="34" t="n">
        <x:v>1</x:v>
      </x:c>
      <x:c r="Q1370" s="34" t="n">
        <x:v>148</x:v>
      </x:c>
      <x:c r="R1370" s="33" t="n">
        <x:v>18</x:v>
      </x:c>
      <x:c r="S1370" s="38" t="n">
        <x:v>2.664</x:v>
      </x:c>
      <x:c r="T1370" s="38" t="n">
        <x:v>0.1332</x:v>
      </x:c>
      <x:c r="U1370" s="38" t="n">
        <x:v>0.06327</x:v>
      </x:c>
      <x:c r="V1370" s="38" t="n">
        <x:v>2.46753</x:v>
      </x:c>
      <x:c r="W1370" s="38" t="n">
        <x:v>0.8006800000000001</x:v>
      </x:c>
      <x:c r="X1370" s="38" t="n">
        <x:v>0</x:v>
      </x:c>
      <x:c r="Y1370" s="38" t="n">
        <x:v>0.3701295</x:v>
      </x:c>
      <x:c r="Z1370" s="38" t="n">
        <x:v>0.7696000000000001</x:v>
      </x:c>
      <x:c r="AA1370" s="38" t="n">
        <x:v>0.3182</x:v>
      </x:c>
      <x:c r="AB1370" s="38" t="n">
        <x:v>0.0008879999999999999</x:v>
      </x:c>
      <x:c r="AC1370" s="38" t="n">
        <x:v>0.2080324999999999</x:v>
      </x:c>
      <x:c r="AD1370" s="28" t="n">
        <x:v>0.084307992202729</x:v>
      </x:c>
    </x:row>
    <x:row r="1371">
      <x:c r="A1371" s="32" t="n">
        <x:v>46139</x:v>
      </x:c>
      <x:c r="B1371" s="32" t="n">
        <x:v>46113</x:v>
      </x:c>
      <x:c r="C1371" t="str">
        <x:v>Apr 2026</x:v>
      </x:c>
      <x:c r="D1371" t="str">
        <x:v>Forecast</x:v>
      </x:c>
      <x:c r="E1371" t="str">
        <x:v>DB-102</x:v>
      </x:c>
      <x:c r="F1371" t="str">
        <x:v>GlowPatch Balm</x:v>
      </x:c>
      <x:c r="G1371" t="str">
        <x:v>Consumable repeat</x:v>
      </x:c>
      <x:c r="H1371" t="str">
        <x:v>None</x:v>
      </x:c>
      <x:c r="I1371" t="str">
        <x:v>Active</x:v>
      </x:c>
      <x:c r="J1371" t="str">
        <x:v>Wholesale</x:v>
      </x:c>
      <x:c r="K1371" t="str">
        <x:v>Retailer</x:v>
      </x:c>
      <x:c r="L1371" t="str">
        <x:v>All Geographies</x:v>
      </x:c>
      <x:c r="M1371" s="34" t="n">
        <x:v>1768</x:v>
      </x:c>
      <x:c r="N1371" s="28" t="n">
        <x:v>0.023364</x:v>
      </x:c>
      <x:c r="O1371" s="34" t="n">
        <x:v>41</x:v>
      </x:c>
      <x:c r="P1371" s="34" t="n">
        <x:v>1</x:v>
      </x:c>
      <x:c r="Q1371" s="34" t="n">
        <x:v>41</x:v>
      </x:c>
      <x:c r="R1371" s="33" t="n">
        <x:v>18</x:v>
      </x:c>
      <x:c r="S1371" s="38" t="n">
        <x:v>0.738</x:v>
      </x:c>
      <x:c r="T1371" s="38" t="n">
        <x:v>0.2583</x:v>
      </x:c>
      <x:c r="U1371" s="38" t="n">
        <x:v>0.011992500000000001</x:v>
      </x:c>
      <x:c r="V1371" s="38" t="n">
        <x:v>0.4677075</x:v>
      </x:c>
      <x:c r="W1371" s="38" t="n">
        <x:v>0.22181</x:v>
      </x:c>
      <x:c r="X1371" s="38" t="n">
        <x:v>0</x:v>
      </x:c>
      <x:c r="Y1371" s="38" t="n">
        <x:v>0</x:v>
      </x:c>
      <x:c r="Z1371" s="38" t="n">
        <x:v>0.0943</x:v>
      </x:c>
      <x:c r="AA1371" s="38" t="n">
        <x:v>0.03485</x:v>
      </x:c>
      <x:c r="AB1371" s="38" t="n">
        <x:v>0.000246</x:v>
      </x:c>
      <x:c r="AC1371" s="38" t="n">
        <x:v>0.11650150000000001</x:v>
      </x:c>
      <x:c r="AD1371" s="28" t="n">
        <x:v>0.2490905106289722</x:v>
      </x:c>
    </x:row>
    <x:row r="1372">
      <x:c r="A1372" s="32" t="n">
        <x:v>46139</x:v>
      </x:c>
      <x:c r="B1372" s="32" t="n">
        <x:v>46113</x:v>
      </x:c>
      <x:c r="C1372" t="str">
        <x:v>Apr 2026</x:v>
      </x:c>
      <x:c r="D1372" t="str">
        <x:v>Forecast</x:v>
      </x:c>
      <x:c r="E1372" t="str">
        <x:v>DB-102</x:v>
      </x:c>
      <x:c r="F1372" t="str">
        <x:v>GlowPatch Balm</x:v>
      </x:c>
      <x:c r="G1372" t="str">
        <x:v>Consumable repeat</x:v>
      </x:c>
      <x:c r="H1372" t="str">
        <x:v>None</x:v>
      </x:c>
      <x:c r="I1372" t="str">
        <x:v>Active</x:v>
      </x:c>
      <x:c r="J1372" t="str">
        <x:v>TikTok Shop</x:v>
      </x:c>
      <x:c r="K1372" t="str">
        <x:v>Social Commerce</x:v>
      </x:c>
      <x:c r="L1372" t="str">
        <x:v>All Geographies</x:v>
      </x:c>
      <x:c r="M1372" s="34" t="n">
        <x:v>1179</x:v>
      </x:c>
      <x:c r="N1372" s="28" t="n">
        <x:v>0.0535248</x:v>
      </x:c>
      <x:c r="O1372" s="34" t="n">
        <x:v>63</x:v>
      </x:c>
      <x:c r="P1372" s="34" t="n">
        <x:v>1</x:v>
      </x:c>
      <x:c r="Q1372" s="34" t="n">
        <x:v>63</x:v>
      </x:c>
      <x:c r="R1372" s="33" t="n">
        <x:v>18</x:v>
      </x:c>
      <x:c r="S1372" s="38" t="n">
        <x:v>1.134</x:v>
      </x:c>
      <x:c r="T1372" s="38" t="n">
        <x:v>0.13607999999999998</x:v>
      </x:c>
      <x:c r="U1372" s="38" t="n">
        <x:v>0.024947999999999998</x:v>
      </x:c>
      <x:c r="V1372" s="38" t="n">
        <x:v>0.972972</x:v>
      </x:c>
      <x:c r="W1372" s="38" t="n">
        <x:v>0.34082999999999997</x:v>
      </x:c>
      <x:c r="X1372" s="38" t="n">
        <x:v>0.028216188</x:v>
      </x:c>
      <x:c r="Y1372" s="38" t="n">
        <x:v>0.05837832</x:v>
      </x:c>
      <x:c r="Z1372" s="38" t="n">
        <x:v>0.3213</x:v>
      </x:c>
      <x:c r="AA1372" s="38" t="n">
        <x:v>0.11025</x:v>
      </x:c>
      <x:c r="AB1372" s="38" t="n">
        <x:v>0.000378</x:v>
      </x:c>
      <x:c r="AC1372" s="38" t="n">
        <x:v>0.11361949199999999</x:v>
      </x:c>
      <x:c r="AD1372" s="28" t="n">
        <x:v>0.11677570577570577</x:v>
      </x:c>
    </x:row>
    <x:row r="1373">
      <x:c r="A1373" s="32" t="n">
        <x:v>46139</x:v>
      </x:c>
      <x:c r="B1373" s="32" t="n">
        <x:v>46113</x:v>
      </x:c>
      <x:c r="C1373" t="str">
        <x:v>Apr 2026</x:v>
      </x:c>
      <x:c r="D1373" t="str">
        <x:v>Forecast</x:v>
      </x:c>
      <x:c r="E1373" t="str">
        <x:v>DB-103</x:v>
      </x:c>
      <x:c r="F1373" t="str">
        <x:v>EmberTrail Camp Mug</x:v>
      </x:c>
      <x:c r="G1373" t="str">
        <x:v>One-time purchase</x:v>
      </x:c>
      <x:c r="H1373" t="str">
        <x:v>Winter peak</x:v>
      </x:c>
      <x:c r="I1373" t="str">
        <x:v>Active</x:v>
      </x:c>
      <x:c r="J1373" t="str">
        <x:v>Shopify DTC</x:v>
      </x:c>
      <x:c r="K1373" t="str">
        <x:v>Consumer</x:v>
      </x:c>
      <x:c r="L1373" t="str">
        <x:v>All Geographies</x:v>
      </x:c>
      <x:c r="M1373" s="34" t="n">
        <x:v>4142</x:v>
      </x:c>
      <x:c r="N1373" s="28" t="n">
        <x:v>0.0324</x:v>
      </x:c>
      <x:c r="O1373" s="34" t="n">
        <x:v>134</x:v>
      </x:c>
      <x:c r="P1373" s="34" t="n">
        <x:v>1</x:v>
      </x:c>
      <x:c r="Q1373" s="34" t="n">
        <x:v>134</x:v>
      </x:c>
      <x:c r="R1373" s="33" t="n">
        <x:v>34</x:v>
      </x:c>
      <x:c r="S1373" s="38" t="n">
        <x:v>4.556</x:v>
      </x:c>
      <x:c r="T1373" s="38" t="n">
        <x:v>0.36448</x:v>
      </x:c>
      <x:c r="U1373" s="38" t="n">
        <x:v>0.23053359999999998</x:v>
      </x:c>
      <x:c r="V1373" s="38" t="n">
        <x:v>3.9609864</x:v>
      </x:c>
      <x:c r="W1373" s="38" t="n">
        <x:v>1.83178</x:v>
      </x:c>
      <x:c r="X1373" s="38" t="n">
        <x:v>0.1148686056</x:v>
      </x:c>
      <x:c r="Y1373" s="38" t="n">
        <x:v>0</x:v>
      </x:c>
      <x:c r="Z1373" s="38" t="n">
        <x:v>0.5561</x:v>
      </x:c>
      <x:c r="AA1373" s="38" t="n">
        <x:v>0.2211</x:v>
      </x:c>
      <x:c r="AB1373" s="38" t="n">
        <x:v>0.007504</x:v>
      </x:c>
      <x:c r="AC1373" s="38" t="n">
        <x:v>1.2296337944000002</x:v>
      </x:c>
      <x:c r="AD1373" s="28" t="n">
        <x:v>0.3104362575948254</x:v>
      </x:c>
    </x:row>
    <x:row r="1374">
      <x:c r="A1374" s="32" t="n">
        <x:v>46139</x:v>
      </x:c>
      <x:c r="B1374" s="32" t="n">
        <x:v>46113</x:v>
      </x:c>
      <x:c r="C1374" t="str">
        <x:v>Apr 2026</x:v>
      </x:c>
      <x:c r="D1374" t="str">
        <x:v>Forecast</x:v>
      </x:c>
      <x:c r="E1374" t="str">
        <x:v>DB-103</x:v>
      </x:c>
      <x:c r="F1374" t="str">
        <x:v>EmberTrail Camp Mug</x:v>
      </x:c>
      <x:c r="G1374" t="str">
        <x:v>One-time purchase</x:v>
      </x:c>
      <x:c r="H1374" t="str">
        <x:v>Winter peak</x:v>
      </x:c>
      <x:c r="I1374" t="str">
        <x:v>Active</x:v>
      </x:c>
      <x:c r="J1374" t="str">
        <x:v>Amazon Marketplace</x:v>
      </x:c>
      <x:c r="K1374" t="str">
        <x:v>Marketplace Consumer</x:v>
      </x:c>
      <x:c r="L1374" t="str">
        <x:v>All Geographies</x:v>
      </x:c>
      <x:c r="M1374" s="34" t="n">
        <x:v>2071</x:v>
      </x:c>
      <x:c r="N1374" s="28" t="n">
        <x:v>0.038231999999999995</x:v>
      </x:c>
      <x:c r="O1374" s="34" t="n">
        <x:v>79</x:v>
      </x:c>
      <x:c r="P1374" s="34" t="n">
        <x:v>1</x:v>
      </x:c>
      <x:c r="Q1374" s="34" t="n">
        <x:v>79</x:v>
      </x:c>
      <x:c r="R1374" s="33" t="n">
        <x:v>34</x:v>
      </x:c>
      <x:c r="S1374" s="38" t="n">
        <x:v>2.686</x:v>
      </x:c>
      <x:c r="T1374" s="38" t="n">
        <x:v>0.1343</x:v>
      </x:c>
      <x:c r="U1374" s="38" t="n">
        <x:v>0.14034349999999998</x:v>
      </x:c>
      <x:c r="V1374" s="38" t="n">
        <x:v>2.4113564999999997</x:v>
      </x:c>
      <x:c r="W1374" s="38" t="n">
        <x:v>1.07993</x:v>
      </x:c>
      <x:c r="X1374" s="38" t="n">
        <x:v>0</x:v>
      </x:c>
      <x:c r="Y1374" s="38" t="n">
        <x:v>0.36170347499999994</x:v>
      </x:c>
      <x:c r="Z1374" s="38" t="n">
        <x:v>0.4108</x:v>
      </x:c>
      <x:c r="AA1374" s="38" t="n">
        <x:v>0.16985</x:v>
      </x:c>
      <x:c r="AB1374" s="38" t="n">
        <x:v>0.004424</x:v>
      </x:c>
      <x:c r="AC1374" s="38" t="n">
        <x:v>0.3846490249999997</x:v>
      </x:c>
      <x:c r="AD1374" s="28" t="n">
        <x:v>0.15951561911314224</x:v>
      </x:c>
    </x:row>
    <x:row r="1375">
      <x:c r="A1375" s="32" t="n">
        <x:v>46139</x:v>
      </x:c>
      <x:c r="B1375" s="32" t="n">
        <x:v>46113</x:v>
      </x:c>
      <x:c r="C1375" t="str">
        <x:v>Apr 2026</x:v>
      </x:c>
      <x:c r="D1375" t="str">
        <x:v>Forecast</x:v>
      </x:c>
      <x:c r="E1375" t="str">
        <x:v>DB-103</x:v>
      </x:c>
      <x:c r="F1375" t="str">
        <x:v>EmberTrail Camp Mug</x:v>
      </x:c>
      <x:c r="G1375" t="str">
        <x:v>One-time purchase</x:v>
      </x:c>
      <x:c r="H1375" t="str">
        <x:v>Winter peak</x:v>
      </x:c>
      <x:c r="I1375" t="str">
        <x:v>Active</x:v>
      </x:c>
      <x:c r="J1375" t="str">
        <x:v>Wholesale</x:v>
      </x:c>
      <x:c r="K1375" t="str">
        <x:v>Retailer</x:v>
      </x:c>
      <x:c r="L1375" t="str">
        <x:v>All Geographies</x:v>
      </x:c>
      <x:c r="M1375" s="34" t="n">
        <x:v>1242</x:v>
      </x:c>
      <x:c r="N1375" s="28" t="n">
        <x:v>0.017820000000000003</x:v>
      </x:c>
      <x:c r="O1375" s="34" t="n">
        <x:v>22</x:v>
      </x:c>
      <x:c r="P1375" s="34" t="n">
        <x:v>1</x:v>
      </x:c>
      <x:c r="Q1375" s="34" t="n">
        <x:v>22</x:v>
      </x:c>
      <x:c r="R1375" s="33" t="n">
        <x:v>34</x:v>
      </x:c>
      <x:c r="S1375" s="38" t="n">
        <x:v>0.748</x:v>
      </x:c>
      <x:c r="T1375" s="38" t="n">
        <x:v>0.2618</x:v>
      </x:c>
      <x:c r="U1375" s="38" t="n">
        <x:v>0.026741</x:v>
      </x:c>
      <x:c r="V1375" s="38" t="n">
        <x:v>0.459459</x:v>
      </x:c>
      <x:c r="W1375" s="38" t="n">
        <x:v>0.30074</x:v>
      </x:c>
      <x:c r="X1375" s="38" t="n">
        <x:v>0</x:v>
      </x:c>
      <x:c r="Y1375" s="38" t="n">
        <x:v>0</x:v>
      </x:c>
      <x:c r="Z1375" s="38" t="n">
        <x:v>0.05059999999999999</x:v>
      </x:c>
      <x:c r="AA1375" s="38" t="n">
        <x:v>0.018699999999999998</x:v>
      </x:c>
      <x:c r="AB1375" s="38" t="n">
        <x:v>0.001232</x:v>
      </x:c>
      <x:c r="AC1375" s="38" t="n">
        <x:v>0.08818700000000002</x:v>
      </x:c>
      <x:c r="AD1375" s="28" t="n">
        <x:v>0.1919366037013096</x:v>
      </x:c>
    </x:row>
    <x:row r="1376">
      <x:c r="A1376" s="32" t="n">
        <x:v>46139</x:v>
      </x:c>
      <x:c r="B1376" s="32" t="n">
        <x:v>46113</x:v>
      </x:c>
      <x:c r="C1376" t="str">
        <x:v>Apr 2026</x:v>
      </x:c>
      <x:c r="D1376" t="str">
        <x:v>Forecast</x:v>
      </x:c>
      <x:c r="E1376" t="str">
        <x:v>DB-103</x:v>
      </x:c>
      <x:c r="F1376" t="str">
        <x:v>EmberTrail Camp Mug</x:v>
      </x:c>
      <x:c r="G1376" t="str">
        <x:v>One-time purchase</x:v>
      </x:c>
      <x:c r="H1376" t="str">
        <x:v>Winter peak</x:v>
      </x:c>
      <x:c r="I1376" t="str">
        <x:v>Active</x:v>
      </x:c>
      <x:c r="J1376" t="str">
        <x:v>TikTok Shop</x:v>
      </x:c>
      <x:c r="K1376" t="str">
        <x:v>Social Commerce</x:v>
      </x:c>
      <x:c r="L1376" t="str">
        <x:v>All Geographies</x:v>
      </x:c>
      <x:c r="M1376" s="34" t="n">
        <x:v>828</x:v>
      </x:c>
      <x:c r="N1376" s="28" t="n">
        <x:v>0.040824</x:v>
      </x:c>
      <x:c r="O1376" s="34" t="n">
        <x:v>34</x:v>
      </x:c>
      <x:c r="P1376" s="34" t="n">
        <x:v>1</x:v>
      </x:c>
      <x:c r="Q1376" s="34" t="n">
        <x:v>34</x:v>
      </x:c>
      <x:c r="R1376" s="33" t="n">
        <x:v>34</x:v>
      </x:c>
      <x:c r="S1376" s="38" t="n">
        <x:v>1.156</x:v>
      </x:c>
      <x:c r="T1376" s="38" t="n">
        <x:v>0.13871999999999998</x:v>
      </x:c>
      <x:c r="U1376" s="38" t="n">
        <x:v>0.0559504</x:v>
      </x:c>
      <x:c r="V1376" s="38" t="n">
        <x:v>0.9613296</x:v>
      </x:c>
      <x:c r="W1376" s="38" t="n">
        <x:v>0.46477999999999997</x:v>
      </x:c>
      <x:c r="X1376" s="38" t="n">
        <x:v>0.027878558400000003</x:v>
      </x:c>
      <x:c r="Y1376" s="38" t="n">
        <x:v>0.057679775999999995</x:v>
      </x:c>
      <x:c r="Z1376" s="38" t="n">
        <x:v>0.17339999999999997</x:v>
      </x:c>
      <x:c r="AA1376" s="38" t="n">
        <x:v>0.0595</x:v>
      </x:c>
      <x:c r="AB1376" s="38" t="n">
        <x:v>0.001904</x:v>
      </x:c>
      <x:c r="AC1376" s="38" t="n">
        <x:v>0.1761872656000001</x:v>
      </x:c>
      <x:c r="AD1376" s="28" t="n">
        <x:v>0.18327456639221354</x:v>
      </x:c>
    </x:row>
    <x:row r="1377">
      <x:c r="A1377" s="32" t="n">
        <x:v>46139</x:v>
      </x:c>
      <x:c r="B1377" s="32" t="n">
        <x:v>46113</x:v>
      </x:c>
      <x:c r="C1377" t="str">
        <x:v>Apr 2026</x:v>
      </x:c>
      <x:c r="D1377" t="str">
        <x:v>Forecast</x:v>
      </x:c>
      <x:c r="E1377" t="str">
        <x:v>DB-104</x:v>
      </x:c>
      <x:c r="F1377" t="str">
        <x:v>SunNest Cooling Towel</x:v>
      </x:c>
      <x:c r="G1377" t="str">
        <x:v>Consumable repeat</x:v>
      </x:c>
      <x:c r="H1377" t="str">
        <x:v>Summer peak</x:v>
      </x:c>
      <x:c r="I1377" t="str">
        <x:v>Active</x:v>
      </x:c>
      <x:c r="J1377" t="str">
        <x:v>Shopify DTC</x:v>
      </x:c>
      <x:c r="K1377" t="str">
        <x:v>Consumer</x:v>
      </x:c>
      <x:c r="L1377" t="str">
        <x:v>All Geographies</x:v>
      </x:c>
      <x:c r="M1377" s="34" t="n">
        <x:v>5009</x:v>
      </x:c>
      <x:c r="N1377" s="28" t="n">
        <x:v>0.03312</x:v>
      </x:c>
      <x:c r="O1377" s="34" t="n">
        <x:v>166</x:v>
      </x:c>
      <x:c r="P1377" s="34" t="n">
        <x:v>1</x:v>
      </x:c>
      <x:c r="Q1377" s="34" t="n">
        <x:v>166</x:v>
      </x:c>
      <x:c r="R1377" s="33" t="n">
        <x:v>42</x:v>
      </x:c>
      <x:c r="S1377" s="38" t="n">
        <x:v>6.972</x:v>
      </x:c>
      <x:c r="T1377" s="38" t="n">
        <x:v>0.55776</x:v>
      </x:c>
      <x:c r="U1377" s="38" t="n">
        <x:v>0.32071200000000005</x:v>
      </x:c>
      <x:c r="V1377" s="38" t="n">
        <x:v>6.093528</x:v>
      </x:c>
      <x:c r="W1377" s="38" t="n">
        <x:v>2.4983</x:v>
      </x:c>
      <x:c r="X1377" s="38" t="n">
        <x:v>0.176712312</x:v>
      </x:c>
      <x:c r="Y1377" s="38" t="n">
        <x:v>0</x:v>
      </x:c>
      <x:c r="Z1377" s="38" t="n">
        <x:v>0.6889000000000001</x:v>
      </x:c>
      <x:c r="AA1377" s="38" t="n">
        <x:v>0.2739</x:v>
      </x:c>
      <x:c r="AB1377" s="38" t="n">
        <x:v>0.004647999999999999</x:v>
      </x:c>
      <x:c r="AC1377" s="38" t="n">
        <x:v>2.451067688</x:v>
      </x:c>
      <x:c r="AD1377" s="28" t="n">
        <x:v>0.4022411463441212</x:v>
      </x:c>
    </x:row>
    <x:row r="1378">
      <x:c r="A1378" s="32" t="n">
        <x:v>46139</x:v>
      </x:c>
      <x:c r="B1378" s="32" t="n">
        <x:v>46113</x:v>
      </x:c>
      <x:c r="C1378" t="str">
        <x:v>Apr 2026</x:v>
      </x:c>
      <x:c r="D1378" t="str">
        <x:v>Forecast</x:v>
      </x:c>
      <x:c r="E1378" t="str">
        <x:v>DB-104</x:v>
      </x:c>
      <x:c r="F1378" t="str">
        <x:v>SunNest Cooling Towel</x:v>
      </x:c>
      <x:c r="G1378" t="str">
        <x:v>Consumable repeat</x:v>
      </x:c>
      <x:c r="H1378" t="str">
        <x:v>Summer peak</x:v>
      </x:c>
      <x:c r="I1378" t="str">
        <x:v>Active</x:v>
      </x:c>
      <x:c r="J1378" t="str">
        <x:v>Amazon Marketplace</x:v>
      </x:c>
      <x:c r="K1378" t="str">
        <x:v>Marketplace Consumer</x:v>
      </x:c>
      <x:c r="L1378" t="str">
        <x:v>All Geographies</x:v>
      </x:c>
      <x:c r="M1378" s="34" t="n">
        <x:v>2504</x:v>
      </x:c>
      <x:c r="N1378" s="28" t="n">
        <x:v>0.0390816</x:v>
      </x:c>
      <x:c r="O1378" s="34" t="n">
        <x:v>98</x:v>
      </x:c>
      <x:c r="P1378" s="34" t="n">
        <x:v>1</x:v>
      </x:c>
      <x:c r="Q1378" s="34" t="n">
        <x:v>98</x:v>
      </x:c>
      <x:c r="R1378" s="33" t="n">
        <x:v>42</x:v>
      </x:c>
      <x:c r="S1378" s="38" t="n">
        <x:v>4.116</x:v>
      </x:c>
      <x:c r="T1378" s="38" t="n">
        <x:v>0.20579999999999998</x:v>
      </x:c>
      <x:c r="U1378" s="38" t="n">
        <x:v>0.19551</x:v>
      </x:c>
      <x:c r="V1378" s="38" t="n">
        <x:v>3.7146899999999996</x:v>
      </x:c>
      <x:c r="W1378" s="38" t="n">
        <x:v>1.4749</x:v>
      </x:c>
      <x:c r="X1378" s="38" t="n">
        <x:v>0</x:v>
      </x:c>
      <x:c r="Y1378" s="38" t="n">
        <x:v>0.5572035</x:v>
      </x:c>
      <x:c r="Z1378" s="38" t="n">
        <x:v>0.5096</x:v>
      </x:c>
      <x:c r="AA1378" s="38" t="n">
        <x:v>0.2107</x:v>
      </x:c>
      <x:c r="AB1378" s="38" t="n">
        <x:v>0.002744</x:v>
      </x:c>
      <x:c r="AC1378" s="38" t="n">
        <x:v>0.9595424999999993</x:v>
      </x:c>
      <x:c r="AD1378" s="28" t="n">
        <x:v>0.2583102493074791</x:v>
      </x:c>
    </x:row>
    <x:row r="1379">
      <x:c r="A1379" s="32" t="n">
        <x:v>46139</x:v>
      </x:c>
      <x:c r="B1379" s="32" t="n">
        <x:v>46113</x:v>
      </x:c>
      <x:c r="C1379" t="str">
        <x:v>Apr 2026</x:v>
      </x:c>
      <x:c r="D1379" t="str">
        <x:v>Forecast</x:v>
      </x:c>
      <x:c r="E1379" t="str">
        <x:v>DB-104</x:v>
      </x:c>
      <x:c r="F1379" t="str">
        <x:v>SunNest Cooling Towel</x:v>
      </x:c>
      <x:c r="G1379" t="str">
        <x:v>Consumable repeat</x:v>
      </x:c>
      <x:c r="H1379" t="str">
        <x:v>Summer peak</x:v>
      </x:c>
      <x:c r="I1379" t="str">
        <x:v>Active</x:v>
      </x:c>
      <x:c r="J1379" t="str">
        <x:v>Wholesale</x:v>
      </x:c>
      <x:c r="K1379" t="str">
        <x:v>Retailer</x:v>
      </x:c>
      <x:c r="L1379" t="str">
        <x:v>All Geographies</x:v>
      </x:c>
      <x:c r="M1379" s="34" t="n">
        <x:v>1503</x:v>
      </x:c>
      <x:c r="N1379" s="28" t="n">
        <x:v>0.018216000000000003</x:v>
      </x:c>
      <x:c r="O1379" s="34" t="n">
        <x:v>27</x:v>
      </x:c>
      <x:c r="P1379" s="34" t="n">
        <x:v>1</x:v>
      </x:c>
      <x:c r="Q1379" s="34" t="n">
        <x:v>27</x:v>
      </x:c>
      <x:c r="R1379" s="33" t="n">
        <x:v>42</x:v>
      </x:c>
      <x:c r="S1379" s="38" t="n">
        <x:v>1.134</x:v>
      </x:c>
      <x:c r="T1379" s="38" t="n">
        <x:v>0.3968999999999999</x:v>
      </x:c>
      <x:c r="U1379" s="38" t="n">
        <x:v>0.036855</x:v>
      </x:c>
      <x:c r="V1379" s="38" t="n">
        <x:v>0.700245</x:v>
      </x:c>
      <x:c r="W1379" s="38" t="n">
        <x:v>0.40635000000000004</x:v>
      </x:c>
      <x:c r="X1379" s="38" t="n">
        <x:v>0</x:v>
      </x:c>
      <x:c r="Y1379" s="38" t="n">
        <x:v>0</x:v>
      </x:c>
      <x:c r="Z1379" s="38" t="n">
        <x:v>0.062099999999999995</x:v>
      </x:c>
      <x:c r="AA1379" s="38" t="n">
        <x:v>0.022949999999999998</x:v>
      </x:c>
      <x:c r="AB1379" s="38" t="n">
        <x:v>0.000756</x:v>
      </x:c>
      <x:c r="AC1379" s="38" t="n">
        <x:v>0.20808899999999997</x:v>
      </x:c>
      <x:c r="AD1379" s="28" t="n">
        <x:v>0.29716599190283394</x:v>
      </x:c>
    </x:row>
    <x:row r="1380">
      <x:c r="A1380" s="32" t="n">
        <x:v>46139</x:v>
      </x:c>
      <x:c r="B1380" s="32" t="n">
        <x:v>46113</x:v>
      </x:c>
      <x:c r="C1380" t="str">
        <x:v>Apr 2026</x:v>
      </x:c>
      <x:c r="D1380" t="str">
        <x:v>Forecast</x:v>
      </x:c>
      <x:c r="E1380" t="str">
        <x:v>DB-104</x:v>
      </x:c>
      <x:c r="F1380" t="str">
        <x:v>SunNest Cooling Towel</x:v>
      </x:c>
      <x:c r="G1380" t="str">
        <x:v>Consumable repeat</x:v>
      </x:c>
      <x:c r="H1380" t="str">
        <x:v>Summer peak</x:v>
      </x:c>
      <x:c r="I1380" t="str">
        <x:v>Active</x:v>
      </x:c>
      <x:c r="J1380" t="str">
        <x:v>TikTok Shop</x:v>
      </x:c>
      <x:c r="K1380" t="str">
        <x:v>Social Commerce</x:v>
      </x:c>
      <x:c r="L1380" t="str">
        <x:v>All Geographies</x:v>
      </x:c>
      <x:c r="M1380" s="34" t="n">
        <x:v>1002</x:v>
      </x:c>
      <x:c r="N1380" s="28" t="n">
        <x:v>0.0417312</x:v>
      </x:c>
      <x:c r="O1380" s="34" t="n">
        <x:v>42</x:v>
      </x:c>
      <x:c r="P1380" s="34" t="n">
        <x:v>1</x:v>
      </x:c>
      <x:c r="Q1380" s="34" t="n">
        <x:v>42</x:v>
      </x:c>
      <x:c r="R1380" s="33" t="n">
        <x:v>42</x:v>
      </x:c>
      <x:c r="S1380" s="38" t="n">
        <x:v>1.764</x:v>
      </x:c>
      <x:c r="T1380" s="38" t="n">
        <x:v>0.21168</x:v>
      </x:c>
      <x:c r="U1380" s="38" t="n">
        <x:v>0.077616</x:v>
      </x:c>
      <x:c r="V1380" s="38" t="n">
        <x:v>1.474704</x:v>
      </x:c>
      <x:c r="W1380" s="38" t="n">
        <x:v>0.6321</x:v>
      </x:c>
      <x:c r="X1380" s="38" t="n">
        <x:v>0.042766416</x:v>
      </x:c>
      <x:c r="Y1380" s="38" t="n">
        <x:v>0.08848224</x:v>
      </x:c>
      <x:c r="Z1380" s="38" t="n">
        <x:v>0.2142</x:v>
      </x:c>
      <x:c r="AA1380" s="38" t="n">
        <x:v>0.0735</x:v>
      </x:c>
      <x:c r="AB1380" s="38" t="n">
        <x:v>0.001176</x:v>
      </x:c>
      <x:c r="AC1380" s="38" t="n">
        <x:v>0.422479344</x:v>
      </x:c>
      <x:c r="AD1380" s="28" t="n">
        <x:v>0.2864841649578492</x:v>
      </x:c>
    </x:row>
    <x:row r="1381">
      <x:c r="A1381" s="32" t="n">
        <x:v>46139</x:v>
      </x:c>
      <x:c r="B1381" s="32" t="n">
        <x:v>46113</x:v>
      </x:c>
      <x:c r="C1381" t="str">
        <x:v>Apr 2026</x:v>
      </x:c>
      <x:c r="D1381" t="str">
        <x:v>Forecast</x:v>
      </x:c>
      <x:c r="E1381" t="str">
        <x:v>DB-105</x:v>
      </x:c>
      <x:c r="F1381" t="str">
        <x:v>DreamFuel Refill Pack</x:v>
      </x:c>
      <x:c r="G1381" t="str">
        <x:v>Subscription</x:v>
      </x:c>
      <x:c r="H1381" t="str">
        <x:v>None</x:v>
      </x:c>
      <x:c r="I1381" t="str">
        <x:v>Active</x:v>
      </x:c>
      <x:c r="J1381" t="str">
        <x:v>Shopify DTC</x:v>
      </x:c>
      <x:c r="K1381" t="str">
        <x:v>Consumer</x:v>
      </x:c>
      <x:c r="L1381" t="str">
        <x:v>All Geographies</x:v>
      </x:c>
      <x:c r="M1381" s="34" t="n">
        <x:v>5051</x:v>
      </x:c>
      <x:c r="N1381" s="28" t="n">
        <x:v>0.03888</x:v>
      </x:c>
      <x:c r="O1381" s="34" t="n">
        <x:v>196</x:v>
      </x:c>
      <x:c r="P1381" s="34" t="n">
        <x:v>1</x:v>
      </x:c>
      <x:c r="Q1381" s="34" t="n">
        <x:v>196</x:v>
      </x:c>
      <x:c r="R1381" s="33" t="n">
        <x:v>56</x:v>
      </x:c>
      <x:c r="S1381" s="38" t="n">
        <x:v>10.976</x:v>
      </x:c>
      <x:c r="T1381" s="38" t="n">
        <x:v>0.8780800000000001</x:v>
      </x:c>
      <x:c r="U1381" s="38" t="n">
        <x:v>0.2019584</x:v>
      </x:c>
      <x:c r="V1381" s="38" t="n">
        <x:v>9.8959616</x:v>
      </x:c>
      <x:c r="W1381" s="38" t="n">
        <x:v>3.64952</x:v>
      </x:c>
      <x:c r="X1381" s="38" t="n">
        <x:v>0.2869828864</x:v>
      </x:c>
      <x:c r="Y1381" s="38" t="n">
        <x:v>0</x:v>
      </x:c>
      <x:c r="Z1381" s="38" t="n">
        <x:v>0.8134000000000001</x:v>
      </x:c>
      <x:c r="AA1381" s="38" t="n">
        <x:v>0.32339999999999997</x:v>
      </x:c>
      <x:c r="AB1381" s="38" t="n">
        <x:v>0.0007055999999999999</x:v>
      </x:c>
      <x:c r="AC1381" s="38" t="n">
        <x:v>4.8219531136</x:v>
      </x:c>
      <x:c r="AD1381" s="28" t="n">
        <x:v>0.4872647357079478</x:v>
      </x:c>
    </x:row>
    <x:row r="1382">
      <x:c r="A1382" s="32" t="n">
        <x:v>46139</x:v>
      </x:c>
      <x:c r="B1382" s="32" t="n">
        <x:v>46113</x:v>
      </x:c>
      <x:c r="C1382" t="str">
        <x:v>Apr 2026</x:v>
      </x:c>
      <x:c r="D1382" t="str">
        <x:v>Forecast</x:v>
      </x:c>
      <x:c r="E1382" t="str">
        <x:v>DB-105</x:v>
      </x:c>
      <x:c r="F1382" t="str">
        <x:v>DreamFuel Refill Pack</x:v>
      </x:c>
      <x:c r="G1382" t="str">
        <x:v>Subscription</x:v>
      </x:c>
      <x:c r="H1382" t="str">
        <x:v>None</x:v>
      </x:c>
      <x:c r="I1382" t="str">
        <x:v>Active</x:v>
      </x:c>
      <x:c r="J1382" t="str">
        <x:v>Amazon Marketplace</x:v>
      </x:c>
      <x:c r="K1382" t="str">
        <x:v>Marketplace Consumer</x:v>
      </x:c>
      <x:c r="L1382" t="str">
        <x:v>All Geographies</x:v>
      </x:c>
      <x:c r="M1382" s="34" t="n">
        <x:v>2525</x:v>
      </x:c>
      <x:c r="N1382" s="28" t="n">
        <x:v>0.0458784</x:v>
      </x:c>
      <x:c r="O1382" s="34" t="n">
        <x:v>116</x:v>
      </x:c>
      <x:c r="P1382" s="34" t="n">
        <x:v>1</x:v>
      </x:c>
      <x:c r="Q1382" s="34" t="n">
        <x:v>116</x:v>
      </x:c>
      <x:c r="R1382" s="33" t="n">
        <x:v>56</x:v>
      </x:c>
      <x:c r="S1382" s="38" t="n">
        <x:v>6.496</x:v>
      </x:c>
      <x:c r="T1382" s="38" t="n">
        <x:v>0.32480000000000003</x:v>
      </x:c>
      <x:c r="U1382" s="38" t="n">
        <x:v>0.12342400000000002</x:v>
      </x:c>
      <x:c r="V1382" s="38" t="n">
        <x:v>6.047776000000001</x:v>
      </x:c>
      <x:c r="W1382" s="38" t="n">
        <x:v>2.15992</x:v>
      </x:c>
      <x:c r="X1382" s="38" t="n">
        <x:v>0</x:v>
      </x:c>
      <x:c r="Y1382" s="38" t="n">
        <x:v>0.9071664</x:v>
      </x:c>
      <x:c r="Z1382" s="38" t="n">
        <x:v>0.6032000000000001</x:v>
      </x:c>
      <x:c r="AA1382" s="38" t="n">
        <x:v>0.24939999999999998</x:v>
      </x:c>
      <x:c r="AB1382" s="38" t="n">
        <x:v>0.0004176</x:v>
      </x:c>
      <x:c r="AC1382" s="38" t="n">
        <x:v>2.1276720000000005</x:v>
      </x:c>
      <x:c r="AD1382" s="28" t="n">
        <x:v>0.35181064907165877</x:v>
      </x:c>
    </x:row>
    <x:row r="1383">
      <x:c r="A1383" s="32" t="n">
        <x:v>46139</x:v>
      </x:c>
      <x:c r="B1383" s="32" t="n">
        <x:v>46113</x:v>
      </x:c>
      <x:c r="C1383" t="str">
        <x:v>Apr 2026</x:v>
      </x:c>
      <x:c r="D1383" t="str">
        <x:v>Forecast</x:v>
      </x:c>
      <x:c r="E1383" t="str">
        <x:v>DB-105</x:v>
      </x:c>
      <x:c r="F1383" t="str">
        <x:v>DreamFuel Refill Pack</x:v>
      </x:c>
      <x:c r="G1383" t="str">
        <x:v>Subscription</x:v>
      </x:c>
      <x:c r="H1383" t="str">
        <x:v>None</x:v>
      </x:c>
      <x:c r="I1383" t="str">
        <x:v>Active</x:v>
      </x:c>
      <x:c r="J1383" t="str">
        <x:v>Wholesale</x:v>
      </x:c>
      <x:c r="K1383" t="str">
        <x:v>Retailer</x:v>
      </x:c>
      <x:c r="L1383" t="str">
        <x:v>All Geographies</x:v>
      </x:c>
      <x:c r="M1383" s="34" t="n">
        <x:v>1515</x:v>
      </x:c>
      <x:c r="N1383" s="28" t="n">
        <x:v>0.021384000000000004</x:v>
      </x:c>
      <x:c r="O1383" s="34" t="n">
        <x:v>32</x:v>
      </x:c>
      <x:c r="P1383" s="34" t="n">
        <x:v>1</x:v>
      </x:c>
      <x:c r="Q1383" s="34" t="n">
        <x:v>32</x:v>
      </x:c>
      <x:c r="R1383" s="33" t="n">
        <x:v>56</x:v>
      </x:c>
      <x:c r="S1383" s="38" t="n">
        <x:v>1.792</x:v>
      </x:c>
      <x:c r="T1383" s="38" t="n">
        <x:v>0.6272</x:v>
      </x:c>
      <x:c r="U1383" s="38" t="n">
        <x:v>0.023296</x:v>
      </x:c>
      <x:c r="V1383" s="38" t="n">
        <x:v>1.141504</x:v>
      </x:c>
      <x:c r="W1383" s="38" t="n">
        <x:v>0.59584</x:v>
      </x:c>
      <x:c r="X1383" s="38" t="n">
        <x:v>0</x:v>
      </x:c>
      <x:c r="Y1383" s="38" t="n">
        <x:v>0</x:v>
      </x:c>
      <x:c r="Z1383" s="38" t="n">
        <x:v>0.0736</x:v>
      </x:c>
      <x:c r="AA1383" s="38" t="n">
        <x:v>0.0272</x:v>
      </x:c>
      <x:c r="AB1383" s="38" t="n">
        <x:v>0.0001152</x:v>
      </x:c>
      <x:c r="AC1383" s="38" t="n">
        <x:v>0.44474880000000006</x:v>
      </x:c>
      <x:c r="AD1383" s="28" t="n">
        <x:v>0.3896165059430366</x:v>
      </x:c>
    </x:row>
    <x:row r="1384">
      <x:c r="A1384" s="32" t="n">
        <x:v>46139</x:v>
      </x:c>
      <x:c r="B1384" s="32" t="n">
        <x:v>46113</x:v>
      </x:c>
      <x:c r="C1384" t="str">
        <x:v>Apr 2026</x:v>
      </x:c>
      <x:c r="D1384" t="str">
        <x:v>Forecast</x:v>
      </x:c>
      <x:c r="E1384" t="str">
        <x:v>DB-105</x:v>
      </x:c>
      <x:c r="F1384" t="str">
        <x:v>DreamFuel Refill Pack</x:v>
      </x:c>
      <x:c r="G1384" t="str">
        <x:v>Subscription</x:v>
      </x:c>
      <x:c r="H1384" t="str">
        <x:v>None</x:v>
      </x:c>
      <x:c r="I1384" t="str">
        <x:v>Active</x:v>
      </x:c>
      <x:c r="J1384" t="str">
        <x:v>TikTok Shop</x:v>
      </x:c>
      <x:c r="K1384" t="str">
        <x:v>Social Commerce</x:v>
      </x:c>
      <x:c r="L1384" t="str">
        <x:v>All Geographies</x:v>
      </x:c>
      <x:c r="M1384" s="34" t="n">
        <x:v>1010</x:v>
      </x:c>
      <x:c r="N1384" s="28" t="n">
        <x:v>0.0489888</x:v>
      </x:c>
      <x:c r="O1384" s="34" t="n">
        <x:v>49</x:v>
      </x:c>
      <x:c r="P1384" s="34" t="n">
        <x:v>1</x:v>
      </x:c>
      <x:c r="Q1384" s="34" t="n">
        <x:v>49</x:v>
      </x:c>
      <x:c r="R1384" s="33" t="n">
        <x:v>56</x:v>
      </x:c>
      <x:c r="S1384" s="38" t="n">
        <x:v>2.744</x:v>
      </x:c>
      <x:c r="T1384" s="38" t="n">
        <x:v>0.32928</x:v>
      </x:c>
      <x:c r="U1384" s="38" t="n">
        <x:v>0.0482944</x:v>
      </x:c>
      <x:c r="V1384" s="38" t="n">
        <x:v>2.3664256</x:v>
      </x:c>
      <x:c r="W1384" s="38" t="n">
        <x:v>0.91238</x:v>
      </x:c>
      <x:c r="X1384" s="38" t="n">
        <x:v>0.0686263424</x:v>
      </x:c>
      <x:c r="Y1384" s="38" t="n">
        <x:v>0.141985536</x:v>
      </x:c>
      <x:c r="Z1384" s="38" t="n">
        <x:v>0.24989999999999998</x:v>
      </x:c>
      <x:c r="AA1384" s="38" t="n">
        <x:v>0.08575</x:v>
      </x:c>
      <x:c r="AB1384" s="38" t="n">
        <x:v>0.00017639999999999998</x:v>
      </x:c>
      <x:c r="AC1384" s="38" t="n">
        <x:v>0.9076073216</x:v>
      </x:c>
      <x:c r="AD1384" s="28" t="n">
        <x:v>0.3835351179432812</x:v>
      </x:c>
    </x:row>
    <x:row r="1385">
      <x:c r="A1385" s="32" t="n">
        <x:v>46146</x:v>
      </x:c>
      <x:c r="B1385" s="32" t="n">
        <x:v>46143</x:v>
      </x:c>
      <x:c r="C1385" t="str">
        <x:v>May 2026</x:v>
      </x:c>
      <x:c r="D1385" t="str">
        <x:v>Forecast</x:v>
      </x:c>
      <x:c r="E1385" t="str">
        <x:v>DB-101</x:v>
      </x:c>
      <x:c r="F1385" t="str">
        <x:v>AeroSip Bottle</x:v>
      </x:c>
      <x:c r="G1385" t="str">
        <x:v>One-time purchase</x:v>
      </x:c>
      <x:c r="H1385" t="str">
        <x:v>None</x:v>
      </x:c>
      <x:c r="I1385" t="str">
        <x:v>Active</x:v>
      </x:c>
      <x:c r="J1385" t="str">
        <x:v>Shopify DTC</x:v>
      </x:c>
      <x:c r="K1385" t="str">
        <x:v>Consumer</x:v>
      </x:c>
      <x:c r="L1385" t="str">
        <x:v>All Geographies</x:v>
      </x:c>
      <x:c r="M1385" s="34" t="n">
        <x:v>7296</x:v>
      </x:c>
      <x:c r="N1385" s="28" t="n">
        <x:v>0.034199999999999994</x:v>
      </x:c>
      <x:c r="O1385" s="34" t="n">
        <x:v>250</x:v>
      </x:c>
      <x:c r="P1385" s="34" t="n">
        <x:v>1</x:v>
      </x:c>
      <x:c r="Q1385" s="34" t="n">
        <x:v>250</x:v>
      </x:c>
      <x:c r="R1385" s="33" t="n">
        <x:v>29</x:v>
      </x:c>
      <x:c r="S1385" s="38" t="n">
        <x:v>7.25</x:v>
      </x:c>
      <x:c r="T1385" s="38" t="n">
        <x:v>0.58</x:v>
      </x:c>
      <x:c r="U1385" s="38" t="n">
        <x:v>0.30015</x:v>
      </x:c>
      <x:c r="V1385" s="38" t="n">
        <x:v>6.36985</x:v>
      </x:c>
      <x:c r="W1385" s="38" t="n">
        <x:v>2.7</x:v>
      </x:c>
      <x:c r="X1385" s="38" t="n">
        <x:v>0.18472565</x:v>
      </x:c>
      <x:c r="Y1385" s="38" t="n">
        <x:v>0</x:v>
      </x:c>
      <x:c r="Z1385" s="38" t="n">
        <x:v>1.0375</x:v>
      </x:c>
      <x:c r="AA1385" s="38" t="n">
        <x:v>0.4125</x:v>
      </x:c>
      <x:c r="AB1385" s="38" t="n">
        <x:v>0.009</x:v>
      </x:c>
      <x:c r="AC1385" s="38" t="n">
        <x:v>2.0261243499999995</x:v>
      </x:c>
      <x:c r="AD1385" s="28" t="n">
        <x:v>0.31808038650831644</x:v>
      </x:c>
    </x:row>
    <x:row r="1386">
      <x:c r="A1386" s="32" t="n">
        <x:v>46146</x:v>
      </x:c>
      <x:c r="B1386" s="32" t="n">
        <x:v>46143</x:v>
      </x:c>
      <x:c r="C1386" t="str">
        <x:v>May 2026</x:v>
      </x:c>
      <x:c r="D1386" t="str">
        <x:v>Forecast</x:v>
      </x:c>
      <x:c r="E1386" t="str">
        <x:v>DB-101</x:v>
      </x:c>
      <x:c r="F1386" t="str">
        <x:v>AeroSip Bottle</x:v>
      </x:c>
      <x:c r="G1386" t="str">
        <x:v>One-time purchase</x:v>
      </x:c>
      <x:c r="H1386" t="str">
        <x:v>None</x:v>
      </x:c>
      <x:c r="I1386" t="str">
        <x:v>Active</x:v>
      </x:c>
      <x:c r="J1386" t="str">
        <x:v>Amazon Marketplace</x:v>
      </x:c>
      <x:c r="K1386" t="str">
        <x:v>Marketplace Consumer</x:v>
      </x:c>
      <x:c r="L1386" t="str">
        <x:v>All Geographies</x:v>
      </x:c>
      <x:c r="M1386" s="34" t="n">
        <x:v>3648</x:v>
      </x:c>
      <x:c r="N1386" s="28" t="n">
        <x:v>0.040355999999999996</x:v>
      </x:c>
      <x:c r="O1386" s="34" t="n">
        <x:v>147</x:v>
      </x:c>
      <x:c r="P1386" s="34" t="n">
        <x:v>1</x:v>
      </x:c>
      <x:c r="Q1386" s="34" t="n">
        <x:v>147</x:v>
      </x:c>
      <x:c r="R1386" s="33" t="n">
        <x:v>29</x:v>
      </x:c>
      <x:c r="S1386" s="38" t="n">
        <x:v>4.263</x:v>
      </x:c>
      <x:c r="T1386" s="38" t="n">
        <x:v>0.21315</x:v>
      </x:c>
      <x:c r="U1386" s="38" t="n">
        <x:v>0.18224325</x:v>
      </x:c>
      <x:c r="V1386" s="38" t="n">
        <x:v>3.86760675</x:v>
      </x:c>
      <x:c r="W1386" s="38" t="n">
        <x:v>1.5876000000000001</x:v>
      </x:c>
      <x:c r="X1386" s="38" t="n">
        <x:v>0</x:v>
      </x:c>
      <x:c r="Y1386" s="38" t="n">
        <x:v>0.5801410125</x:v>
      </x:c>
      <x:c r="Z1386" s="38" t="n">
        <x:v>0.7644</x:v>
      </x:c>
      <x:c r="AA1386" s="38" t="n">
        <x:v>0.31605</x:v>
      </x:c>
      <x:c r="AB1386" s="38" t="n">
        <x:v>0.005292</x:v>
      </x:c>
      <x:c r="AC1386" s="38" t="n">
        <x:v>0.6141237375000003</x:v>
      </x:c>
      <x:c r="AD1386" s="28" t="n">
        <x:v>0.15878649955815705</x:v>
      </x:c>
    </x:row>
    <x:row r="1387">
      <x:c r="A1387" s="32" t="n">
        <x:v>46146</x:v>
      </x:c>
      <x:c r="B1387" s="32" t="n">
        <x:v>46143</x:v>
      </x:c>
      <x:c r="C1387" t="str">
        <x:v>May 2026</x:v>
      </x:c>
      <x:c r="D1387" t="str">
        <x:v>Forecast</x:v>
      </x:c>
      <x:c r="E1387" t="str">
        <x:v>DB-101</x:v>
      </x:c>
      <x:c r="F1387" t="str">
        <x:v>AeroSip Bottle</x:v>
      </x:c>
      <x:c r="G1387" t="str">
        <x:v>One-time purchase</x:v>
      </x:c>
      <x:c r="H1387" t="str">
        <x:v>None</x:v>
      </x:c>
      <x:c r="I1387" t="str">
        <x:v>Active</x:v>
      </x:c>
      <x:c r="J1387" t="str">
        <x:v>Wholesale</x:v>
      </x:c>
      <x:c r="K1387" t="str">
        <x:v>Retailer</x:v>
      </x:c>
      <x:c r="L1387" t="str">
        <x:v>All Geographies</x:v>
      </x:c>
      <x:c r="M1387" s="34" t="n">
        <x:v>2189</x:v>
      </x:c>
      <x:c r="N1387" s="28" t="n">
        <x:v>0.01881</x:v>
      </x:c>
      <x:c r="O1387" s="34" t="n">
        <x:v>41</x:v>
      </x:c>
      <x:c r="P1387" s="34" t="n">
        <x:v>1</x:v>
      </x:c>
      <x:c r="Q1387" s="34" t="n">
        <x:v>41</x:v>
      </x:c>
      <x:c r="R1387" s="33" t="n">
        <x:v>29</x:v>
      </x:c>
      <x:c r="S1387" s="38" t="n">
        <x:v>1.189</x:v>
      </x:c>
      <x:c r="T1387" s="38" t="n">
        <x:v>0.41615</x:v>
      </x:c>
      <x:c r="U1387" s="38" t="n">
        <x:v>0.034778250000000004</x:v>
      </x:c>
      <x:c r="V1387" s="38" t="n">
        <x:v>0.73807175</x:v>
      </x:c>
      <x:c r="W1387" s="38" t="n">
        <x:v>0.4428</x:v>
      </x:c>
      <x:c r="X1387" s="38" t="n">
        <x:v>0</x:v>
      </x:c>
      <x:c r="Y1387" s="38" t="n">
        <x:v>0</x:v>
      </x:c>
      <x:c r="Z1387" s="38" t="n">
        <x:v>0.0943</x:v>
      </x:c>
      <x:c r="AA1387" s="38" t="n">
        <x:v>0.03485</x:v>
      </x:c>
      <x:c r="AB1387" s="38" t="n">
        <x:v>0.0014759999999999999</x:v>
      </x:c>
      <x:c r="AC1387" s="38" t="n">
        <x:v>0.16464575</x:v>
      </x:c>
      <x:c r="AD1387" s="28" t="n">
        <x:v>0.22307553432305194</x:v>
      </x:c>
    </x:row>
    <x:row r="1388">
      <x:c r="A1388" s="32" t="n">
        <x:v>46146</x:v>
      </x:c>
      <x:c r="B1388" s="32" t="n">
        <x:v>46143</x:v>
      </x:c>
      <x:c r="C1388" t="str">
        <x:v>May 2026</x:v>
      </x:c>
      <x:c r="D1388" t="str">
        <x:v>Forecast</x:v>
      </x:c>
      <x:c r="E1388" t="str">
        <x:v>DB-101</x:v>
      </x:c>
      <x:c r="F1388" t="str">
        <x:v>AeroSip Bottle</x:v>
      </x:c>
      <x:c r="G1388" t="str">
        <x:v>One-time purchase</x:v>
      </x:c>
      <x:c r="H1388" t="str">
        <x:v>None</x:v>
      </x:c>
      <x:c r="I1388" t="str">
        <x:v>Active</x:v>
      </x:c>
      <x:c r="J1388" t="str">
        <x:v>TikTok Shop</x:v>
      </x:c>
      <x:c r="K1388" t="str">
        <x:v>Social Commerce</x:v>
      </x:c>
      <x:c r="L1388" t="str">
        <x:v>All Geographies</x:v>
      </x:c>
      <x:c r="M1388" s="34" t="n">
        <x:v>1459</x:v>
      </x:c>
      <x:c r="N1388" s="28" t="n">
        <x:v>0.043092</x:v>
      </x:c>
      <x:c r="O1388" s="34" t="n">
        <x:v>63</x:v>
      </x:c>
      <x:c r="P1388" s="34" t="n">
        <x:v>1</x:v>
      </x:c>
      <x:c r="Q1388" s="34" t="n">
        <x:v>63</x:v>
      </x:c>
      <x:c r="R1388" s="33" t="n">
        <x:v>29</x:v>
      </x:c>
      <x:c r="S1388" s="38" t="n">
        <x:v>1.827</x:v>
      </x:c>
      <x:c r="T1388" s="38" t="n">
        <x:v>0.21924</x:v>
      </x:c>
      <x:c r="U1388" s="38" t="n">
        <x:v>0.07234919999999999</x:v>
      </x:c>
      <x:c r="V1388" s="38" t="n">
        <x:v>1.5354108</x:v>
      </x:c>
      <x:c r="W1388" s="38" t="n">
        <x:v>0.6804000000000001</x:v>
      </x:c>
      <x:c r="X1388" s="38" t="n">
        <x:v>0.044526913200000004</x:v>
      </x:c>
      <x:c r="Y1388" s="38" t="n">
        <x:v>0.09212464799999999</x:v>
      </x:c>
      <x:c r="Z1388" s="38" t="n">
        <x:v>0.3213</x:v>
      </x:c>
      <x:c r="AA1388" s="38" t="n">
        <x:v>0.11025</x:v>
      </x:c>
      <x:c r="AB1388" s="38" t="n">
        <x:v>0.0022679999999999996</x:v>
      </x:c>
      <x:c r="AC1388" s="38" t="n">
        <x:v>0.2845412387999999</x:v>
      </x:c>
      <x:c r="AD1388" s="28" t="n">
        <x:v>0.18531928966501987</x:v>
      </x:c>
    </x:row>
    <x:row r="1389">
      <x:c r="A1389" s="32" t="n">
        <x:v>46146</x:v>
      </x:c>
      <x:c r="B1389" s="32" t="n">
        <x:v>46143</x:v>
      </x:c>
      <x:c r="C1389" t="str">
        <x:v>May 2026</x:v>
      </x:c>
      <x:c r="D1389" t="str">
        <x:v>Forecast</x:v>
      </x:c>
      <x:c r="E1389" t="str">
        <x:v>DB-102</x:v>
      </x:c>
      <x:c r="F1389" t="str">
        <x:v>GlowPatch Balm</x:v>
      </x:c>
      <x:c r="G1389" t="str">
        <x:v>Consumable repeat</x:v>
      </x:c>
      <x:c r="H1389" t="str">
        <x:v>None</x:v>
      </x:c>
      <x:c r="I1389" t="str">
        <x:v>Active</x:v>
      </x:c>
      <x:c r="J1389" t="str">
        <x:v>Shopify DTC</x:v>
      </x:c>
      <x:c r="K1389" t="str">
        <x:v>Consumer</x:v>
      </x:c>
      <x:c r="L1389" t="str">
        <x:v>All Geographies</x:v>
      </x:c>
      <x:c r="M1389" s="34" t="n">
        <x:v>5893</x:v>
      </x:c>
      <x:c r="N1389" s="28" t="n">
        <x:v>0.04248</x:v>
      </x:c>
      <x:c r="O1389" s="34" t="n">
        <x:v>250</x:v>
      </x:c>
      <x:c r="P1389" s="34" t="n">
        <x:v>1</x:v>
      </x:c>
      <x:c r="Q1389" s="34" t="n">
        <x:v>250</x:v>
      </x:c>
      <x:c r="R1389" s="33" t="n">
        <x:v>18</x:v>
      </x:c>
      <x:c r="S1389" s="38" t="n">
        <x:v>4.5</x:v>
      </x:c>
      <x:c r="T1389" s="38" t="n">
        <x:v>0.36</x:v>
      </x:c>
      <x:c r="U1389" s="38" t="n">
        <x:v>0.1035</x:v>
      </x:c>
      <x:c r="V1389" s="38" t="n">
        <x:v>4.036499999999999</x:v>
      </x:c>
      <x:c r="W1389" s="38" t="n">
        <x:v>1.3525</x:v>
      </x:c>
      <x:c r="X1389" s="38" t="n">
        <x:v>0.11705849999999998</x:v>
      </x:c>
      <x:c r="Y1389" s="38" t="n">
        <x:v>0</x:v>
      </x:c>
      <x:c r="Z1389" s="38" t="n">
        <x:v>1.0375</x:v>
      </x:c>
      <x:c r="AA1389" s="38" t="n">
        <x:v>0.4125</x:v>
      </x:c>
      <x:c r="AB1389" s="38" t="n">
        <x:v>0.0015</x:v>
      </x:c>
      <x:c r="AC1389" s="38" t="n">
        <x:v>1.1154414999999989</x:v>
      </x:c>
      <x:c r="AD1389" s="28" t="n">
        <x:v>0.2763387835996529</x:v>
      </x:c>
    </x:row>
    <x:row r="1390">
      <x:c r="A1390" s="32" t="n">
        <x:v>46146</x:v>
      </x:c>
      <x:c r="B1390" s="32" t="n">
        <x:v>46143</x:v>
      </x:c>
      <x:c r="C1390" t="str">
        <x:v>May 2026</x:v>
      </x:c>
      <x:c r="D1390" t="str">
        <x:v>Forecast</x:v>
      </x:c>
      <x:c r="E1390" t="str">
        <x:v>DB-102</x:v>
      </x:c>
      <x:c r="F1390" t="str">
        <x:v>GlowPatch Balm</x:v>
      </x:c>
      <x:c r="G1390" t="str">
        <x:v>Consumable repeat</x:v>
      </x:c>
      <x:c r="H1390" t="str">
        <x:v>None</x:v>
      </x:c>
      <x:c r="I1390" t="str">
        <x:v>Active</x:v>
      </x:c>
      <x:c r="J1390" t="str">
        <x:v>Amazon Marketplace</x:v>
      </x:c>
      <x:c r="K1390" t="str">
        <x:v>Marketplace Consumer</x:v>
      </x:c>
      <x:c r="L1390" t="str">
        <x:v>All Geographies</x:v>
      </x:c>
      <x:c r="M1390" s="34" t="n">
        <x:v>2946</x:v>
      </x:c>
      <x:c r="N1390" s="28" t="n">
        <x:v>0.050126399999999995</x:v>
      </x:c>
      <x:c r="O1390" s="34" t="n">
        <x:v>148</x:v>
      </x:c>
      <x:c r="P1390" s="34" t="n">
        <x:v>1</x:v>
      </x:c>
      <x:c r="Q1390" s="34" t="n">
        <x:v>148</x:v>
      </x:c>
      <x:c r="R1390" s="33" t="n">
        <x:v>18</x:v>
      </x:c>
      <x:c r="S1390" s="38" t="n">
        <x:v>2.664</x:v>
      </x:c>
      <x:c r="T1390" s="38" t="n">
        <x:v>0.1332</x:v>
      </x:c>
      <x:c r="U1390" s="38" t="n">
        <x:v>0.06327</x:v>
      </x:c>
      <x:c r="V1390" s="38" t="n">
        <x:v>2.46753</x:v>
      </x:c>
      <x:c r="W1390" s="38" t="n">
        <x:v>0.8006800000000001</x:v>
      </x:c>
      <x:c r="X1390" s="38" t="n">
        <x:v>0</x:v>
      </x:c>
      <x:c r="Y1390" s="38" t="n">
        <x:v>0.3701295</x:v>
      </x:c>
      <x:c r="Z1390" s="38" t="n">
        <x:v>0.7696000000000001</x:v>
      </x:c>
      <x:c r="AA1390" s="38" t="n">
        <x:v>0.3182</x:v>
      </x:c>
      <x:c r="AB1390" s="38" t="n">
        <x:v>0.0008879999999999999</x:v>
      </x:c>
      <x:c r="AC1390" s="38" t="n">
        <x:v>0.2080324999999999</x:v>
      </x:c>
      <x:c r="AD1390" s="28" t="n">
        <x:v>0.084307992202729</x:v>
      </x:c>
    </x:row>
    <x:row r="1391">
      <x:c r="A1391" s="32" t="n">
        <x:v>46146</x:v>
      </x:c>
      <x:c r="B1391" s="32" t="n">
        <x:v>46143</x:v>
      </x:c>
      <x:c r="C1391" t="str">
        <x:v>May 2026</x:v>
      </x:c>
      <x:c r="D1391" t="str">
        <x:v>Forecast</x:v>
      </x:c>
      <x:c r="E1391" t="str">
        <x:v>DB-102</x:v>
      </x:c>
      <x:c r="F1391" t="str">
        <x:v>GlowPatch Balm</x:v>
      </x:c>
      <x:c r="G1391" t="str">
        <x:v>Consumable repeat</x:v>
      </x:c>
      <x:c r="H1391" t="str">
        <x:v>None</x:v>
      </x:c>
      <x:c r="I1391" t="str">
        <x:v>Active</x:v>
      </x:c>
      <x:c r="J1391" t="str">
        <x:v>Wholesale</x:v>
      </x:c>
      <x:c r="K1391" t="str">
        <x:v>Retailer</x:v>
      </x:c>
      <x:c r="L1391" t="str">
        <x:v>All Geographies</x:v>
      </x:c>
      <x:c r="M1391" s="34" t="n">
        <x:v>1768</x:v>
      </x:c>
      <x:c r="N1391" s="28" t="n">
        <x:v>0.023364</x:v>
      </x:c>
      <x:c r="O1391" s="34" t="n">
        <x:v>41</x:v>
      </x:c>
      <x:c r="P1391" s="34" t="n">
        <x:v>1</x:v>
      </x:c>
      <x:c r="Q1391" s="34" t="n">
        <x:v>41</x:v>
      </x:c>
      <x:c r="R1391" s="33" t="n">
        <x:v>18</x:v>
      </x:c>
      <x:c r="S1391" s="38" t="n">
        <x:v>0.738</x:v>
      </x:c>
      <x:c r="T1391" s="38" t="n">
        <x:v>0.2583</x:v>
      </x:c>
      <x:c r="U1391" s="38" t="n">
        <x:v>0.011992500000000001</x:v>
      </x:c>
      <x:c r="V1391" s="38" t="n">
        <x:v>0.4677075</x:v>
      </x:c>
      <x:c r="W1391" s="38" t="n">
        <x:v>0.22181</x:v>
      </x:c>
      <x:c r="X1391" s="38" t="n">
        <x:v>0</x:v>
      </x:c>
      <x:c r="Y1391" s="38" t="n">
        <x:v>0</x:v>
      </x:c>
      <x:c r="Z1391" s="38" t="n">
        <x:v>0.0943</x:v>
      </x:c>
      <x:c r="AA1391" s="38" t="n">
        <x:v>0.03485</x:v>
      </x:c>
      <x:c r="AB1391" s="38" t="n">
        <x:v>0.000246</x:v>
      </x:c>
      <x:c r="AC1391" s="38" t="n">
        <x:v>0.11650150000000001</x:v>
      </x:c>
      <x:c r="AD1391" s="28" t="n">
        <x:v>0.2490905106289722</x:v>
      </x:c>
    </x:row>
    <x:row r="1392">
      <x:c r="A1392" s="32" t="n">
        <x:v>46146</x:v>
      </x:c>
      <x:c r="B1392" s="32" t="n">
        <x:v>46143</x:v>
      </x:c>
      <x:c r="C1392" t="str">
        <x:v>May 2026</x:v>
      </x:c>
      <x:c r="D1392" t="str">
        <x:v>Forecast</x:v>
      </x:c>
      <x:c r="E1392" t="str">
        <x:v>DB-102</x:v>
      </x:c>
      <x:c r="F1392" t="str">
        <x:v>GlowPatch Balm</x:v>
      </x:c>
      <x:c r="G1392" t="str">
        <x:v>Consumable repeat</x:v>
      </x:c>
      <x:c r="H1392" t="str">
        <x:v>None</x:v>
      </x:c>
      <x:c r="I1392" t="str">
        <x:v>Active</x:v>
      </x:c>
      <x:c r="J1392" t="str">
        <x:v>TikTok Shop</x:v>
      </x:c>
      <x:c r="K1392" t="str">
        <x:v>Social Commerce</x:v>
      </x:c>
      <x:c r="L1392" t="str">
        <x:v>All Geographies</x:v>
      </x:c>
      <x:c r="M1392" s="34" t="n">
        <x:v>1179</x:v>
      </x:c>
      <x:c r="N1392" s="28" t="n">
        <x:v>0.0535248</x:v>
      </x:c>
      <x:c r="O1392" s="34" t="n">
        <x:v>63</x:v>
      </x:c>
      <x:c r="P1392" s="34" t="n">
        <x:v>1</x:v>
      </x:c>
      <x:c r="Q1392" s="34" t="n">
        <x:v>63</x:v>
      </x:c>
      <x:c r="R1392" s="33" t="n">
        <x:v>18</x:v>
      </x:c>
      <x:c r="S1392" s="38" t="n">
        <x:v>1.134</x:v>
      </x:c>
      <x:c r="T1392" s="38" t="n">
        <x:v>0.13607999999999998</x:v>
      </x:c>
      <x:c r="U1392" s="38" t="n">
        <x:v>0.024947999999999998</x:v>
      </x:c>
      <x:c r="V1392" s="38" t="n">
        <x:v>0.972972</x:v>
      </x:c>
      <x:c r="W1392" s="38" t="n">
        <x:v>0.34082999999999997</x:v>
      </x:c>
      <x:c r="X1392" s="38" t="n">
        <x:v>0.028216188</x:v>
      </x:c>
      <x:c r="Y1392" s="38" t="n">
        <x:v>0.05837832</x:v>
      </x:c>
      <x:c r="Z1392" s="38" t="n">
        <x:v>0.3213</x:v>
      </x:c>
      <x:c r="AA1392" s="38" t="n">
        <x:v>0.11025</x:v>
      </x:c>
      <x:c r="AB1392" s="38" t="n">
        <x:v>0.000378</x:v>
      </x:c>
      <x:c r="AC1392" s="38" t="n">
        <x:v>0.11361949199999999</x:v>
      </x:c>
      <x:c r="AD1392" s="28" t="n">
        <x:v>0.11677570577570577</x:v>
      </x:c>
    </x:row>
    <x:row r="1393">
      <x:c r="A1393" s="32" t="n">
        <x:v>46146</x:v>
      </x:c>
      <x:c r="B1393" s="32" t="n">
        <x:v>46143</x:v>
      </x:c>
      <x:c r="C1393" t="str">
        <x:v>May 2026</x:v>
      </x:c>
      <x:c r="D1393" t="str">
        <x:v>Forecast</x:v>
      </x:c>
      <x:c r="E1393" t="str">
        <x:v>DB-103</x:v>
      </x:c>
      <x:c r="F1393" t="str">
        <x:v>EmberTrail Camp Mug</x:v>
      </x:c>
      <x:c r="G1393" t="str">
        <x:v>One-time purchase</x:v>
      </x:c>
      <x:c r="H1393" t="str">
        <x:v>Winter peak</x:v>
      </x:c>
      <x:c r="I1393" t="str">
        <x:v>Active</x:v>
      </x:c>
      <x:c r="J1393" t="str">
        <x:v>Shopify DTC</x:v>
      </x:c>
      <x:c r="K1393" t="str">
        <x:v>Consumer</x:v>
      </x:c>
      <x:c r="L1393" t="str">
        <x:v>All Geographies</x:v>
      </x:c>
      <x:c r="M1393" s="34" t="n">
        <x:v>3940</x:v>
      </x:c>
      <x:c r="N1393" s="28" t="n">
        <x:v>0.0324</x:v>
      </x:c>
      <x:c r="O1393" s="34" t="n">
        <x:v>128</x:v>
      </x:c>
      <x:c r="P1393" s="34" t="n">
        <x:v>1</x:v>
      </x:c>
      <x:c r="Q1393" s="34" t="n">
        <x:v>128</x:v>
      </x:c>
      <x:c r="R1393" s="33" t="n">
        <x:v>34</x:v>
      </x:c>
      <x:c r="S1393" s="38" t="n">
        <x:v>4.352</x:v>
      </x:c>
      <x:c r="T1393" s="38" t="n">
        <x:v>0.34816</x:v>
      </x:c>
      <x:c r="U1393" s="38" t="n">
        <x:v>0.22021120000000002</x:v>
      </x:c>
      <x:c r="V1393" s="38" t="n">
        <x:v>3.7836288000000002</x:v>
      </x:c>
      <x:c r="W1393" s="38" t="n">
        <x:v>1.74976</x:v>
      </x:c>
      <x:c r="X1393" s="38" t="n">
        <x:v>0.10972523520000001</x:v>
      </x:c>
      <x:c r="Y1393" s="38" t="n">
        <x:v>0</x:v>
      </x:c>
      <x:c r="Z1393" s="38" t="n">
        <x:v>0.5312</x:v>
      </x:c>
      <x:c r="AA1393" s="38" t="n">
        <x:v>0.2112</x:v>
      </x:c>
      <x:c r="AB1393" s="38" t="n">
        <x:v>0.007168</x:v>
      </x:c>
      <x:c r="AC1393" s="38" t="n">
        <x:v>1.1745755648000002</x:v>
      </x:c>
      <x:c r="AD1393" s="28" t="n">
        <x:v>0.3104362575948254</x:v>
      </x:c>
    </x:row>
    <x:row r="1394">
      <x:c r="A1394" s="32" t="n">
        <x:v>46146</x:v>
      </x:c>
      <x:c r="B1394" s="32" t="n">
        <x:v>46143</x:v>
      </x:c>
      <x:c r="C1394" t="str">
        <x:v>May 2026</x:v>
      </x:c>
      <x:c r="D1394" t="str">
        <x:v>Forecast</x:v>
      </x:c>
      <x:c r="E1394" t="str">
        <x:v>DB-103</x:v>
      </x:c>
      <x:c r="F1394" t="str">
        <x:v>EmberTrail Camp Mug</x:v>
      </x:c>
      <x:c r="G1394" t="str">
        <x:v>One-time purchase</x:v>
      </x:c>
      <x:c r="H1394" t="str">
        <x:v>Winter peak</x:v>
      </x:c>
      <x:c r="I1394" t="str">
        <x:v>Active</x:v>
      </x:c>
      <x:c r="J1394" t="str">
        <x:v>Amazon Marketplace</x:v>
      </x:c>
      <x:c r="K1394" t="str">
        <x:v>Marketplace Consumer</x:v>
      </x:c>
      <x:c r="L1394" t="str">
        <x:v>All Geographies</x:v>
      </x:c>
      <x:c r="M1394" s="34" t="n">
        <x:v>1970</x:v>
      </x:c>
      <x:c r="N1394" s="28" t="n">
        <x:v>0.038231999999999995</x:v>
      </x:c>
      <x:c r="O1394" s="34" t="n">
        <x:v>75</x:v>
      </x:c>
      <x:c r="P1394" s="34" t="n">
        <x:v>1</x:v>
      </x:c>
      <x:c r="Q1394" s="34" t="n">
        <x:v>75</x:v>
      </x:c>
      <x:c r="R1394" s="33" t="n">
        <x:v>34</x:v>
      </x:c>
      <x:c r="S1394" s="38" t="n">
        <x:v>2.55</x:v>
      </x:c>
      <x:c r="T1394" s="38" t="n">
        <x:v>0.1275</x:v>
      </x:c>
      <x:c r="U1394" s="38" t="n">
        <x:v>0.13323749999999998</x:v>
      </x:c>
      <x:c r="V1394" s="38" t="n">
        <x:v>2.2892625</x:v>
      </x:c>
      <x:c r="W1394" s="38" t="n">
        <x:v>1.02525</x:v>
      </x:c>
      <x:c r="X1394" s="38" t="n">
        <x:v>0</x:v>
      </x:c>
      <x:c r="Y1394" s="38" t="n">
        <x:v>0.343389375</x:v>
      </x:c>
      <x:c r="Z1394" s="38" t="n">
        <x:v>0.39</x:v>
      </x:c>
      <x:c r="AA1394" s="38" t="n">
        <x:v>0.16125</x:v>
      </x:c>
      <x:c r="AB1394" s="38" t="n">
        <x:v>0.004200000000000001</x:v>
      </x:c>
      <x:c r="AC1394" s="38" t="n">
        <x:v>0.365173125</x:v>
      </x:c>
      <x:c r="AD1394" s="28" t="n">
        <x:v>0.15951561911314233</x:v>
      </x:c>
    </x:row>
    <x:row r="1395">
      <x:c r="A1395" s="32" t="n">
        <x:v>46146</x:v>
      </x:c>
      <x:c r="B1395" s="32" t="n">
        <x:v>46143</x:v>
      </x:c>
      <x:c r="C1395" t="str">
        <x:v>May 2026</x:v>
      </x:c>
      <x:c r="D1395" t="str">
        <x:v>Forecast</x:v>
      </x:c>
      <x:c r="E1395" t="str">
        <x:v>DB-103</x:v>
      </x:c>
      <x:c r="F1395" t="str">
        <x:v>EmberTrail Camp Mug</x:v>
      </x:c>
      <x:c r="G1395" t="str">
        <x:v>One-time purchase</x:v>
      </x:c>
      <x:c r="H1395" t="str">
        <x:v>Winter peak</x:v>
      </x:c>
      <x:c r="I1395" t="str">
        <x:v>Active</x:v>
      </x:c>
      <x:c r="J1395" t="str">
        <x:v>Wholesale</x:v>
      </x:c>
      <x:c r="K1395" t="str">
        <x:v>Retailer</x:v>
      </x:c>
      <x:c r="L1395" t="str">
        <x:v>All Geographies</x:v>
      </x:c>
      <x:c r="M1395" s="34" t="n">
        <x:v>1182</x:v>
      </x:c>
      <x:c r="N1395" s="28" t="n">
        <x:v>0.017820000000000003</x:v>
      </x:c>
      <x:c r="O1395" s="34" t="n">
        <x:v>21</x:v>
      </x:c>
      <x:c r="P1395" s="34" t="n">
        <x:v>1</x:v>
      </x:c>
      <x:c r="Q1395" s="34" t="n">
        <x:v>21</x:v>
      </x:c>
      <x:c r="R1395" s="33" t="n">
        <x:v>34</x:v>
      </x:c>
      <x:c r="S1395" s="38" t="n">
        <x:v>0.714</x:v>
      </x:c>
      <x:c r="T1395" s="38" t="n">
        <x:v>0.24989999999999998</x:v>
      </x:c>
      <x:c r="U1395" s="38" t="n">
        <x:v>0.025525499999999996</x:v>
      </x:c>
      <x:c r="V1395" s="38" t="n">
        <x:v>0.4385745</x:v>
      </x:c>
      <x:c r="W1395" s="38" t="n">
        <x:v>0.28707</x:v>
      </x:c>
      <x:c r="X1395" s="38" t="n">
        <x:v>0</x:v>
      </x:c>
      <x:c r="Y1395" s="38" t="n">
        <x:v>0</x:v>
      </x:c>
      <x:c r="Z1395" s="38" t="n">
        <x:v>0.048299999999999996</x:v>
      </x:c>
      <x:c r="AA1395" s="38" t="n">
        <x:v>0.017849999999999998</x:v>
      </x:c>
      <x:c r="AB1395" s="38" t="n">
        <x:v>0.0011760000000000002</x:v>
      </x:c>
      <x:c r="AC1395" s="38" t="n">
        <x:v>0.0841785</x:v>
      </x:c>
      <x:c r="AD1395" s="28" t="n">
        <x:v>0.1919366037013096</x:v>
      </x:c>
    </x:row>
    <x:row r="1396">
      <x:c r="A1396" s="32" t="n">
        <x:v>46146</x:v>
      </x:c>
      <x:c r="B1396" s="32" t="n">
        <x:v>46143</x:v>
      </x:c>
      <x:c r="C1396" t="str">
        <x:v>May 2026</x:v>
      </x:c>
      <x:c r="D1396" t="str">
        <x:v>Forecast</x:v>
      </x:c>
      <x:c r="E1396" t="str">
        <x:v>DB-103</x:v>
      </x:c>
      <x:c r="F1396" t="str">
        <x:v>EmberTrail Camp Mug</x:v>
      </x:c>
      <x:c r="G1396" t="str">
        <x:v>One-time purchase</x:v>
      </x:c>
      <x:c r="H1396" t="str">
        <x:v>Winter peak</x:v>
      </x:c>
      <x:c r="I1396" t="str">
        <x:v>Active</x:v>
      </x:c>
      <x:c r="J1396" t="str">
        <x:v>TikTok Shop</x:v>
      </x:c>
      <x:c r="K1396" t="str">
        <x:v>Social Commerce</x:v>
      </x:c>
      <x:c r="L1396" t="str">
        <x:v>All Geographies</x:v>
      </x:c>
      <x:c r="M1396" s="34" t="n">
        <x:v>788</x:v>
      </x:c>
      <x:c r="N1396" s="28" t="n">
        <x:v>0.040824</x:v>
      </x:c>
      <x:c r="O1396" s="34" t="n">
        <x:v>32</x:v>
      </x:c>
      <x:c r="P1396" s="34" t="n">
        <x:v>1</x:v>
      </x:c>
      <x:c r="Q1396" s="34" t="n">
        <x:v>32</x:v>
      </x:c>
      <x:c r="R1396" s="33" t="n">
        <x:v>34</x:v>
      </x:c>
      <x:c r="S1396" s="38" t="n">
        <x:v>1.088</x:v>
      </x:c>
      <x:c r="T1396" s="38" t="n">
        <x:v>0.13056</x:v>
      </x:c>
      <x:c r="U1396" s="38" t="n">
        <x:v>0.0526592</x:v>
      </x:c>
      <x:c r="V1396" s="38" t="n">
        <x:v>0.9047808</x:v>
      </x:c>
      <x:c r="W1396" s="38" t="n">
        <x:v>0.43744</x:v>
      </x:c>
      <x:c r="X1396" s="38" t="n">
        <x:v>0.0262386432</x:v>
      </x:c>
      <x:c r="Y1396" s="38" t="n">
        <x:v>0.054286848</x:v>
      </x:c>
      <x:c r="Z1396" s="38" t="n">
        <x:v>0.16319999999999998</x:v>
      </x:c>
      <x:c r="AA1396" s="38" t="n">
        <x:v>0.056</x:v>
      </x:c>
      <x:c r="AB1396" s="38" t="n">
        <x:v>0.001792</x:v>
      </x:c>
      <x:c r="AC1396" s="38" t="n">
        <x:v>0.16582330880000007</x:v>
      </x:c>
      <x:c r="AD1396" s="28" t="n">
        <x:v>0.1832745663922135</x:v>
      </x:c>
    </x:row>
    <x:row r="1397">
      <x:c r="A1397" s="32" t="n">
        <x:v>46146</x:v>
      </x:c>
      <x:c r="B1397" s="32" t="n">
        <x:v>46143</x:v>
      </x:c>
      <x:c r="C1397" t="str">
        <x:v>May 2026</x:v>
      </x:c>
      <x:c r="D1397" t="str">
        <x:v>Forecast</x:v>
      </x:c>
      <x:c r="E1397" t="str">
        <x:v>DB-104</x:v>
      </x:c>
      <x:c r="F1397" t="str">
        <x:v>SunNest Cooling Towel</x:v>
      </x:c>
      <x:c r="G1397" t="str">
        <x:v>Consumable repeat</x:v>
      </x:c>
      <x:c r="H1397" t="str">
        <x:v>Summer peak</x:v>
      </x:c>
      <x:c r="I1397" t="str">
        <x:v>Active</x:v>
      </x:c>
      <x:c r="J1397" t="str">
        <x:v>Shopify DTC</x:v>
      </x:c>
      <x:c r="K1397" t="str">
        <x:v>Consumer</x:v>
      </x:c>
      <x:c r="L1397" t="str">
        <x:v>All Geographies</x:v>
      </x:c>
      <x:c r="M1397" s="34" t="n">
        <x:v>6106</x:v>
      </x:c>
      <x:c r="N1397" s="28" t="n">
        <x:v>0.03312</x:v>
      </x:c>
      <x:c r="O1397" s="34" t="n">
        <x:v>202</x:v>
      </x:c>
      <x:c r="P1397" s="34" t="n">
        <x:v>1</x:v>
      </x:c>
      <x:c r="Q1397" s="34" t="n">
        <x:v>202</x:v>
      </x:c>
      <x:c r="R1397" s="33" t="n">
        <x:v>42</x:v>
      </x:c>
      <x:c r="S1397" s="38" t="n">
        <x:v>8.484</x:v>
      </x:c>
      <x:c r="T1397" s="38" t="n">
        <x:v>0.67872</x:v>
      </x:c>
      <x:c r="U1397" s="38" t="n">
        <x:v>0.390264</x:v>
      </x:c>
      <x:c r="V1397" s="38" t="n">
        <x:v>7.415016</x:v>
      </x:c>
      <x:c r="W1397" s="38" t="n">
        <x:v>3.0401000000000002</x:v>
      </x:c>
      <x:c r="X1397" s="38" t="n">
        <x:v>0.215035464</x:v>
      </x:c>
      <x:c r="Y1397" s="38" t="n">
        <x:v>0</x:v>
      </x:c>
      <x:c r="Z1397" s="38" t="n">
        <x:v>0.8383</x:v>
      </x:c>
      <x:c r="AA1397" s="38" t="n">
        <x:v>0.33329999999999993</x:v>
      </x:c>
      <x:c r="AB1397" s="38" t="n">
        <x:v>0.005656</x:v>
      </x:c>
      <x:c r="AC1397" s="38" t="n">
        <x:v>2.982624535999999</x:v>
      </x:c>
      <x:c r="AD1397" s="28" t="n">
        <x:v>0.40224114634412106</x:v>
      </x:c>
    </x:row>
    <x:row r="1398">
      <x:c r="A1398" s="32" t="n">
        <x:v>46146</x:v>
      </x:c>
      <x:c r="B1398" s="32" t="n">
        <x:v>46143</x:v>
      </x:c>
      <x:c r="C1398" t="str">
        <x:v>May 2026</x:v>
      </x:c>
      <x:c r="D1398" t="str">
        <x:v>Forecast</x:v>
      </x:c>
      <x:c r="E1398" t="str">
        <x:v>DB-104</x:v>
      </x:c>
      <x:c r="F1398" t="str">
        <x:v>SunNest Cooling Towel</x:v>
      </x:c>
      <x:c r="G1398" t="str">
        <x:v>Consumable repeat</x:v>
      </x:c>
      <x:c r="H1398" t="str">
        <x:v>Summer peak</x:v>
      </x:c>
      <x:c r="I1398" t="str">
        <x:v>Active</x:v>
      </x:c>
      <x:c r="J1398" t="str">
        <x:v>Amazon Marketplace</x:v>
      </x:c>
      <x:c r="K1398" t="str">
        <x:v>Marketplace Consumer</x:v>
      </x:c>
      <x:c r="L1398" t="str">
        <x:v>All Geographies</x:v>
      </x:c>
      <x:c r="M1398" s="34" t="n">
        <x:v>3053</x:v>
      </x:c>
      <x:c r="N1398" s="28" t="n">
        <x:v>0.0390816</x:v>
      </x:c>
      <x:c r="O1398" s="34" t="n">
        <x:v>119</x:v>
      </x:c>
      <x:c r="P1398" s="34" t="n">
        <x:v>1</x:v>
      </x:c>
      <x:c r="Q1398" s="34" t="n">
        <x:v>119</x:v>
      </x:c>
      <x:c r="R1398" s="33" t="n">
        <x:v>42</x:v>
      </x:c>
      <x:c r="S1398" s="38" t="n">
        <x:v>4.998</x:v>
      </x:c>
      <x:c r="T1398" s="38" t="n">
        <x:v>0.2499</x:v>
      </x:c>
      <x:c r="U1398" s="38" t="n">
        <x:v>0.237405</x:v>
      </x:c>
      <x:c r="V1398" s="38" t="n">
        <x:v>4.510695</x:v>
      </x:c>
      <x:c r="W1398" s="38" t="n">
        <x:v>1.79095</x:v>
      </x:c>
      <x:c r="X1398" s="38" t="n">
        <x:v>0</x:v>
      </x:c>
      <x:c r="Y1398" s="38" t="n">
        <x:v>0.67660425</x:v>
      </x:c>
      <x:c r="Z1398" s="38" t="n">
        <x:v>0.6188</x:v>
      </x:c>
      <x:c r="AA1398" s="38" t="n">
        <x:v>0.25585</x:v>
      </x:c>
      <x:c r="AB1398" s="38" t="n">
        <x:v>0.003332</x:v>
      </x:c>
      <x:c r="AC1398" s="38" t="n">
        <x:v>1.1651587500000002</x:v>
      </x:c>
      <x:c r="AD1398" s="28" t="n">
        <x:v>0.25831024930747926</x:v>
      </x:c>
    </x:row>
    <x:row r="1399">
      <x:c r="A1399" s="32" t="n">
        <x:v>46146</x:v>
      </x:c>
      <x:c r="B1399" s="32" t="n">
        <x:v>46143</x:v>
      </x:c>
      <x:c r="C1399" t="str">
        <x:v>May 2026</x:v>
      </x:c>
      <x:c r="D1399" t="str">
        <x:v>Forecast</x:v>
      </x:c>
      <x:c r="E1399" t="str">
        <x:v>DB-104</x:v>
      </x:c>
      <x:c r="F1399" t="str">
        <x:v>SunNest Cooling Towel</x:v>
      </x:c>
      <x:c r="G1399" t="str">
        <x:v>Consumable repeat</x:v>
      </x:c>
      <x:c r="H1399" t="str">
        <x:v>Summer peak</x:v>
      </x:c>
      <x:c r="I1399" t="str">
        <x:v>Active</x:v>
      </x:c>
      <x:c r="J1399" t="str">
        <x:v>Wholesale</x:v>
      </x:c>
      <x:c r="K1399" t="str">
        <x:v>Retailer</x:v>
      </x:c>
      <x:c r="L1399" t="str">
        <x:v>All Geographies</x:v>
      </x:c>
      <x:c r="M1399" s="34" t="n">
        <x:v>1832</x:v>
      </x:c>
      <x:c r="N1399" s="28" t="n">
        <x:v>0.018216000000000003</x:v>
      </x:c>
      <x:c r="O1399" s="34" t="n">
        <x:v>33</x:v>
      </x:c>
      <x:c r="P1399" s="34" t="n">
        <x:v>1</x:v>
      </x:c>
      <x:c r="Q1399" s="34" t="n">
        <x:v>33</x:v>
      </x:c>
      <x:c r="R1399" s="33" t="n">
        <x:v>42</x:v>
      </x:c>
      <x:c r="S1399" s="38" t="n">
        <x:v>1.386</x:v>
      </x:c>
      <x:c r="T1399" s="38" t="n">
        <x:v>0.4850999999999999</x:v>
      </x:c>
      <x:c r="U1399" s="38" t="n">
        <x:v>0.045045</x:v>
      </x:c>
      <x:c r="V1399" s="38" t="n">
        <x:v>0.855855</x:v>
      </x:c>
      <x:c r="W1399" s="38" t="n">
        <x:v>0.49665000000000004</x:v>
      </x:c>
      <x:c r="X1399" s="38" t="n">
        <x:v>0</x:v>
      </x:c>
      <x:c r="Y1399" s="38" t="n">
        <x:v>0</x:v>
      </x:c>
      <x:c r="Z1399" s="38" t="n">
        <x:v>0.0759</x:v>
      </x:c>
      <x:c r="AA1399" s="38" t="n">
        <x:v>0.028050000000000002</x:v>
      </x:c>
      <x:c r="AB1399" s="38" t="n">
        <x:v>0.0009239999999999999</x:v>
      </x:c>
      <x:c r="AC1399" s="38" t="n">
        <x:v>0.25433100000000003</x:v>
      </x:c>
      <x:c r="AD1399" s="28" t="n">
        <x:v>0.29716599190283405</x:v>
      </x:c>
    </x:row>
    <x:row r="1400">
      <x:c r="A1400" s="32" t="n">
        <x:v>46146</x:v>
      </x:c>
      <x:c r="B1400" s="32" t="n">
        <x:v>46143</x:v>
      </x:c>
      <x:c r="C1400" t="str">
        <x:v>May 2026</x:v>
      </x:c>
      <x:c r="D1400" t="str">
        <x:v>Forecast</x:v>
      </x:c>
      <x:c r="E1400" t="str">
        <x:v>DB-104</x:v>
      </x:c>
      <x:c r="F1400" t="str">
        <x:v>SunNest Cooling Towel</x:v>
      </x:c>
      <x:c r="G1400" t="str">
        <x:v>Consumable repeat</x:v>
      </x:c>
      <x:c r="H1400" t="str">
        <x:v>Summer peak</x:v>
      </x:c>
      <x:c r="I1400" t="str">
        <x:v>Active</x:v>
      </x:c>
      <x:c r="J1400" t="str">
        <x:v>TikTok Shop</x:v>
      </x:c>
      <x:c r="K1400" t="str">
        <x:v>Social Commerce</x:v>
      </x:c>
      <x:c r="L1400" t="str">
        <x:v>All Geographies</x:v>
      </x:c>
      <x:c r="M1400" s="34" t="n">
        <x:v>1221</x:v>
      </x:c>
      <x:c r="N1400" s="28" t="n">
        <x:v>0.0417312</x:v>
      </x:c>
      <x:c r="O1400" s="34" t="n">
        <x:v>51</x:v>
      </x:c>
      <x:c r="P1400" s="34" t="n">
        <x:v>1</x:v>
      </x:c>
      <x:c r="Q1400" s="34" t="n">
        <x:v>51</x:v>
      </x:c>
      <x:c r="R1400" s="33" t="n">
        <x:v>42</x:v>
      </x:c>
      <x:c r="S1400" s="38" t="n">
        <x:v>2.142</x:v>
      </x:c>
      <x:c r="T1400" s="38" t="n">
        <x:v>0.25704</x:v>
      </x:c>
      <x:c r="U1400" s="38" t="n">
        <x:v>0.094248</x:v>
      </x:c>
      <x:c r="V1400" s="38" t="n">
        <x:v>1.790712</x:v>
      </x:c>
      <x:c r="W1400" s="38" t="n">
        <x:v>0.7675500000000001</x:v>
      </x:c>
      <x:c r="X1400" s="38" t="n">
        <x:v>0.051930648</x:v>
      </x:c>
      <x:c r="Y1400" s="38" t="n">
        <x:v>0.10744272</x:v>
      </x:c>
      <x:c r="Z1400" s="38" t="n">
        <x:v>0.26009999999999994</x:v>
      </x:c>
      <x:c r="AA1400" s="38" t="n">
        <x:v>0.08925</x:v>
      </x:c>
      <x:c r="AB1400" s="38" t="n">
        <x:v>0.001428</x:v>
      </x:c>
      <x:c r="AC1400" s="38" t="n">
        <x:v>0.5130106320000001</x:v>
      </x:c>
      <x:c r="AD1400" s="28" t="n">
        <x:v>0.2864841649578492</x:v>
      </x:c>
    </x:row>
    <x:row r="1401">
      <x:c r="A1401" s="32" t="n">
        <x:v>46146</x:v>
      </x:c>
      <x:c r="B1401" s="32" t="n">
        <x:v>46143</x:v>
      </x:c>
      <x:c r="C1401" t="str">
        <x:v>May 2026</x:v>
      </x:c>
      <x:c r="D1401" t="str">
        <x:v>Forecast</x:v>
      </x:c>
      <x:c r="E1401" t="str">
        <x:v>DB-105</x:v>
      </x:c>
      <x:c r="F1401" t="str">
        <x:v>DreamFuel Refill Pack</x:v>
      </x:c>
      <x:c r="G1401" t="str">
        <x:v>Subscription</x:v>
      </x:c>
      <x:c r="H1401" t="str">
        <x:v>None</x:v>
      </x:c>
      <x:c r="I1401" t="str">
        <x:v>Active</x:v>
      </x:c>
      <x:c r="J1401" t="str">
        <x:v>Shopify DTC</x:v>
      </x:c>
      <x:c r="K1401" t="str">
        <x:v>Consumer</x:v>
      </x:c>
      <x:c r="L1401" t="str">
        <x:v>All Geographies</x:v>
      </x:c>
      <x:c r="M1401" s="34" t="n">
        <x:v>5051</x:v>
      </x:c>
      <x:c r="N1401" s="28" t="n">
        <x:v>0.03888</x:v>
      </x:c>
      <x:c r="O1401" s="34" t="n">
        <x:v>196</x:v>
      </x:c>
      <x:c r="P1401" s="34" t="n">
        <x:v>1</x:v>
      </x:c>
      <x:c r="Q1401" s="34" t="n">
        <x:v>196</x:v>
      </x:c>
      <x:c r="R1401" s="33" t="n">
        <x:v>56</x:v>
      </x:c>
      <x:c r="S1401" s="38" t="n">
        <x:v>10.976</x:v>
      </x:c>
      <x:c r="T1401" s="38" t="n">
        <x:v>0.8780800000000001</x:v>
      </x:c>
      <x:c r="U1401" s="38" t="n">
        <x:v>0.2019584</x:v>
      </x:c>
      <x:c r="V1401" s="38" t="n">
        <x:v>9.8959616</x:v>
      </x:c>
      <x:c r="W1401" s="38" t="n">
        <x:v>3.64952</x:v>
      </x:c>
      <x:c r="X1401" s="38" t="n">
        <x:v>0.2869828864</x:v>
      </x:c>
      <x:c r="Y1401" s="38" t="n">
        <x:v>0</x:v>
      </x:c>
      <x:c r="Z1401" s="38" t="n">
        <x:v>0.8134000000000001</x:v>
      </x:c>
      <x:c r="AA1401" s="38" t="n">
        <x:v>0.32339999999999997</x:v>
      </x:c>
      <x:c r="AB1401" s="38" t="n">
        <x:v>0.0007055999999999999</x:v>
      </x:c>
      <x:c r="AC1401" s="38" t="n">
        <x:v>4.8219531136</x:v>
      </x:c>
      <x:c r="AD1401" s="28" t="n">
        <x:v>0.4872647357079478</x:v>
      </x:c>
    </x:row>
    <x:row r="1402">
      <x:c r="A1402" s="32" t="n">
        <x:v>46146</x:v>
      </x:c>
      <x:c r="B1402" s="32" t="n">
        <x:v>46143</x:v>
      </x:c>
      <x:c r="C1402" t="str">
        <x:v>May 2026</x:v>
      </x:c>
      <x:c r="D1402" t="str">
        <x:v>Forecast</x:v>
      </x:c>
      <x:c r="E1402" t="str">
        <x:v>DB-105</x:v>
      </x:c>
      <x:c r="F1402" t="str">
        <x:v>DreamFuel Refill Pack</x:v>
      </x:c>
      <x:c r="G1402" t="str">
        <x:v>Subscription</x:v>
      </x:c>
      <x:c r="H1402" t="str">
        <x:v>None</x:v>
      </x:c>
      <x:c r="I1402" t="str">
        <x:v>Active</x:v>
      </x:c>
      <x:c r="J1402" t="str">
        <x:v>Amazon Marketplace</x:v>
      </x:c>
      <x:c r="K1402" t="str">
        <x:v>Marketplace Consumer</x:v>
      </x:c>
      <x:c r="L1402" t="str">
        <x:v>All Geographies</x:v>
      </x:c>
      <x:c r="M1402" s="34" t="n">
        <x:v>2525</x:v>
      </x:c>
      <x:c r="N1402" s="28" t="n">
        <x:v>0.0458784</x:v>
      </x:c>
      <x:c r="O1402" s="34" t="n">
        <x:v>116</x:v>
      </x:c>
      <x:c r="P1402" s="34" t="n">
        <x:v>1</x:v>
      </x:c>
      <x:c r="Q1402" s="34" t="n">
        <x:v>116</x:v>
      </x:c>
      <x:c r="R1402" s="33" t="n">
        <x:v>56</x:v>
      </x:c>
      <x:c r="S1402" s="38" t="n">
        <x:v>6.496</x:v>
      </x:c>
      <x:c r="T1402" s="38" t="n">
        <x:v>0.32480000000000003</x:v>
      </x:c>
      <x:c r="U1402" s="38" t="n">
        <x:v>0.12342400000000002</x:v>
      </x:c>
      <x:c r="V1402" s="38" t="n">
        <x:v>6.047776000000001</x:v>
      </x:c>
      <x:c r="W1402" s="38" t="n">
        <x:v>2.15992</x:v>
      </x:c>
      <x:c r="X1402" s="38" t="n">
        <x:v>0</x:v>
      </x:c>
      <x:c r="Y1402" s="38" t="n">
        <x:v>0.9071664</x:v>
      </x:c>
      <x:c r="Z1402" s="38" t="n">
        <x:v>0.6032000000000001</x:v>
      </x:c>
      <x:c r="AA1402" s="38" t="n">
        <x:v>0.24939999999999998</x:v>
      </x:c>
      <x:c r="AB1402" s="38" t="n">
        <x:v>0.0004176</x:v>
      </x:c>
      <x:c r="AC1402" s="38" t="n">
        <x:v>2.1276720000000005</x:v>
      </x:c>
      <x:c r="AD1402" s="28" t="n">
        <x:v>0.35181064907165877</x:v>
      </x:c>
    </x:row>
    <x:row r="1403">
      <x:c r="A1403" s="32" t="n">
        <x:v>46146</x:v>
      </x:c>
      <x:c r="B1403" s="32" t="n">
        <x:v>46143</x:v>
      </x:c>
      <x:c r="C1403" t="str">
        <x:v>May 2026</x:v>
      </x:c>
      <x:c r="D1403" t="str">
        <x:v>Forecast</x:v>
      </x:c>
      <x:c r="E1403" t="str">
        <x:v>DB-105</x:v>
      </x:c>
      <x:c r="F1403" t="str">
        <x:v>DreamFuel Refill Pack</x:v>
      </x:c>
      <x:c r="G1403" t="str">
        <x:v>Subscription</x:v>
      </x:c>
      <x:c r="H1403" t="str">
        <x:v>None</x:v>
      </x:c>
      <x:c r="I1403" t="str">
        <x:v>Active</x:v>
      </x:c>
      <x:c r="J1403" t="str">
        <x:v>Wholesale</x:v>
      </x:c>
      <x:c r="K1403" t="str">
        <x:v>Retailer</x:v>
      </x:c>
      <x:c r="L1403" t="str">
        <x:v>All Geographies</x:v>
      </x:c>
      <x:c r="M1403" s="34" t="n">
        <x:v>1515</x:v>
      </x:c>
      <x:c r="N1403" s="28" t="n">
        <x:v>0.021384000000000004</x:v>
      </x:c>
      <x:c r="O1403" s="34" t="n">
        <x:v>32</x:v>
      </x:c>
      <x:c r="P1403" s="34" t="n">
        <x:v>1</x:v>
      </x:c>
      <x:c r="Q1403" s="34" t="n">
        <x:v>32</x:v>
      </x:c>
      <x:c r="R1403" s="33" t="n">
        <x:v>56</x:v>
      </x:c>
      <x:c r="S1403" s="38" t="n">
        <x:v>1.792</x:v>
      </x:c>
      <x:c r="T1403" s="38" t="n">
        <x:v>0.6272</x:v>
      </x:c>
      <x:c r="U1403" s="38" t="n">
        <x:v>0.023296</x:v>
      </x:c>
      <x:c r="V1403" s="38" t="n">
        <x:v>1.141504</x:v>
      </x:c>
      <x:c r="W1403" s="38" t="n">
        <x:v>0.59584</x:v>
      </x:c>
      <x:c r="X1403" s="38" t="n">
        <x:v>0</x:v>
      </x:c>
      <x:c r="Y1403" s="38" t="n">
        <x:v>0</x:v>
      </x:c>
      <x:c r="Z1403" s="38" t="n">
        <x:v>0.0736</x:v>
      </x:c>
      <x:c r="AA1403" s="38" t="n">
        <x:v>0.0272</x:v>
      </x:c>
      <x:c r="AB1403" s="38" t="n">
        <x:v>0.0001152</x:v>
      </x:c>
      <x:c r="AC1403" s="38" t="n">
        <x:v>0.44474880000000006</x:v>
      </x:c>
      <x:c r="AD1403" s="28" t="n">
        <x:v>0.3896165059430366</x:v>
      </x:c>
    </x:row>
    <x:row r="1404">
      <x:c r="A1404" s="32" t="n">
        <x:v>46146</x:v>
      </x:c>
      <x:c r="B1404" s="32" t="n">
        <x:v>46143</x:v>
      </x:c>
      <x:c r="C1404" t="str">
        <x:v>May 2026</x:v>
      </x:c>
      <x:c r="D1404" t="str">
        <x:v>Forecast</x:v>
      </x:c>
      <x:c r="E1404" t="str">
        <x:v>DB-105</x:v>
      </x:c>
      <x:c r="F1404" t="str">
        <x:v>DreamFuel Refill Pack</x:v>
      </x:c>
      <x:c r="G1404" t="str">
        <x:v>Subscription</x:v>
      </x:c>
      <x:c r="H1404" t="str">
        <x:v>None</x:v>
      </x:c>
      <x:c r="I1404" t="str">
        <x:v>Active</x:v>
      </x:c>
      <x:c r="J1404" t="str">
        <x:v>TikTok Shop</x:v>
      </x:c>
      <x:c r="K1404" t="str">
        <x:v>Social Commerce</x:v>
      </x:c>
      <x:c r="L1404" t="str">
        <x:v>All Geographies</x:v>
      </x:c>
      <x:c r="M1404" s="34" t="n">
        <x:v>1010</x:v>
      </x:c>
      <x:c r="N1404" s="28" t="n">
        <x:v>0.0489888</x:v>
      </x:c>
      <x:c r="O1404" s="34" t="n">
        <x:v>49</x:v>
      </x:c>
      <x:c r="P1404" s="34" t="n">
        <x:v>1</x:v>
      </x:c>
      <x:c r="Q1404" s="34" t="n">
        <x:v>49</x:v>
      </x:c>
      <x:c r="R1404" s="33" t="n">
        <x:v>56</x:v>
      </x:c>
      <x:c r="S1404" s="38" t="n">
        <x:v>2.744</x:v>
      </x:c>
      <x:c r="T1404" s="38" t="n">
        <x:v>0.32928</x:v>
      </x:c>
      <x:c r="U1404" s="38" t="n">
        <x:v>0.0482944</x:v>
      </x:c>
      <x:c r="V1404" s="38" t="n">
        <x:v>2.3664256</x:v>
      </x:c>
      <x:c r="W1404" s="38" t="n">
        <x:v>0.91238</x:v>
      </x:c>
      <x:c r="X1404" s="38" t="n">
        <x:v>0.0686263424</x:v>
      </x:c>
      <x:c r="Y1404" s="38" t="n">
        <x:v>0.141985536</x:v>
      </x:c>
      <x:c r="Z1404" s="38" t="n">
        <x:v>0.24989999999999998</x:v>
      </x:c>
      <x:c r="AA1404" s="38" t="n">
        <x:v>0.08575</x:v>
      </x:c>
      <x:c r="AB1404" s="38" t="n">
        <x:v>0.00017639999999999998</x:v>
      </x:c>
      <x:c r="AC1404" s="38" t="n">
        <x:v>0.9076073216</x:v>
      </x:c>
      <x:c r="AD1404" s="28" t="n">
        <x:v>0.3835351179432812</x:v>
      </x:c>
    </x:row>
    <x:row r="1405">
      <x:c r="A1405" s="32" t="n">
        <x:v>46153</x:v>
      </x:c>
      <x:c r="B1405" s="32" t="n">
        <x:v>46143</x:v>
      </x:c>
      <x:c r="C1405" t="str">
        <x:v>May 2026</x:v>
      </x:c>
      <x:c r="D1405" t="str">
        <x:v>Forecast</x:v>
      </x:c>
      <x:c r="E1405" t="str">
        <x:v>DB-101</x:v>
      </x:c>
      <x:c r="F1405" t="str">
        <x:v>AeroSip Bottle</x:v>
      </x:c>
      <x:c r="G1405" t="str">
        <x:v>One-time purchase</x:v>
      </x:c>
      <x:c r="H1405" t="str">
        <x:v>None</x:v>
      </x:c>
      <x:c r="I1405" t="str">
        <x:v>Active</x:v>
      </x:c>
      <x:c r="J1405" t="str">
        <x:v>Shopify DTC</x:v>
      </x:c>
      <x:c r="K1405" t="str">
        <x:v>Consumer</x:v>
      </x:c>
      <x:c r="L1405" t="str">
        <x:v>All Geographies</x:v>
      </x:c>
      <x:c r="M1405" s="34" t="n">
        <x:v>7296</x:v>
      </x:c>
      <x:c r="N1405" s="28" t="n">
        <x:v>0.034199999999999994</x:v>
      </x:c>
      <x:c r="O1405" s="34" t="n">
        <x:v>250</x:v>
      </x:c>
      <x:c r="P1405" s="34" t="n">
        <x:v>1</x:v>
      </x:c>
      <x:c r="Q1405" s="34" t="n">
        <x:v>250</x:v>
      </x:c>
      <x:c r="R1405" s="33" t="n">
        <x:v>29</x:v>
      </x:c>
      <x:c r="S1405" s="38" t="n">
        <x:v>7.25</x:v>
      </x:c>
      <x:c r="T1405" s="38" t="n">
        <x:v>0.58</x:v>
      </x:c>
      <x:c r="U1405" s="38" t="n">
        <x:v>0.30015</x:v>
      </x:c>
      <x:c r="V1405" s="38" t="n">
        <x:v>6.36985</x:v>
      </x:c>
      <x:c r="W1405" s="38" t="n">
        <x:v>2.7</x:v>
      </x:c>
      <x:c r="X1405" s="38" t="n">
        <x:v>0.18472565</x:v>
      </x:c>
      <x:c r="Y1405" s="38" t="n">
        <x:v>0</x:v>
      </x:c>
      <x:c r="Z1405" s="38" t="n">
        <x:v>1.0375</x:v>
      </x:c>
      <x:c r="AA1405" s="38" t="n">
        <x:v>0.4125</x:v>
      </x:c>
      <x:c r="AB1405" s="38" t="n">
        <x:v>0.009</x:v>
      </x:c>
      <x:c r="AC1405" s="38" t="n">
        <x:v>2.0261243499999995</x:v>
      </x:c>
      <x:c r="AD1405" s="28" t="n">
        <x:v>0.31808038650831644</x:v>
      </x:c>
    </x:row>
    <x:row r="1406">
      <x:c r="A1406" s="32" t="n">
        <x:v>46153</x:v>
      </x:c>
      <x:c r="B1406" s="32" t="n">
        <x:v>46143</x:v>
      </x:c>
      <x:c r="C1406" t="str">
        <x:v>May 2026</x:v>
      </x:c>
      <x:c r="D1406" t="str">
        <x:v>Forecast</x:v>
      </x:c>
      <x:c r="E1406" t="str">
        <x:v>DB-101</x:v>
      </x:c>
      <x:c r="F1406" t="str">
        <x:v>AeroSip Bottle</x:v>
      </x:c>
      <x:c r="G1406" t="str">
        <x:v>One-time purchase</x:v>
      </x:c>
      <x:c r="H1406" t="str">
        <x:v>None</x:v>
      </x:c>
      <x:c r="I1406" t="str">
        <x:v>Active</x:v>
      </x:c>
      <x:c r="J1406" t="str">
        <x:v>Amazon Marketplace</x:v>
      </x:c>
      <x:c r="K1406" t="str">
        <x:v>Marketplace Consumer</x:v>
      </x:c>
      <x:c r="L1406" t="str">
        <x:v>All Geographies</x:v>
      </x:c>
      <x:c r="M1406" s="34" t="n">
        <x:v>3648</x:v>
      </x:c>
      <x:c r="N1406" s="28" t="n">
        <x:v>0.040355999999999996</x:v>
      </x:c>
      <x:c r="O1406" s="34" t="n">
        <x:v>147</x:v>
      </x:c>
      <x:c r="P1406" s="34" t="n">
        <x:v>1</x:v>
      </x:c>
      <x:c r="Q1406" s="34" t="n">
        <x:v>147</x:v>
      </x:c>
      <x:c r="R1406" s="33" t="n">
        <x:v>29</x:v>
      </x:c>
      <x:c r="S1406" s="38" t="n">
        <x:v>4.263</x:v>
      </x:c>
      <x:c r="T1406" s="38" t="n">
        <x:v>0.21315</x:v>
      </x:c>
      <x:c r="U1406" s="38" t="n">
        <x:v>0.18224325</x:v>
      </x:c>
      <x:c r="V1406" s="38" t="n">
        <x:v>3.86760675</x:v>
      </x:c>
      <x:c r="W1406" s="38" t="n">
        <x:v>1.5876000000000001</x:v>
      </x:c>
      <x:c r="X1406" s="38" t="n">
        <x:v>0</x:v>
      </x:c>
      <x:c r="Y1406" s="38" t="n">
        <x:v>0.5801410125</x:v>
      </x:c>
      <x:c r="Z1406" s="38" t="n">
        <x:v>0.7644</x:v>
      </x:c>
      <x:c r="AA1406" s="38" t="n">
        <x:v>0.31605</x:v>
      </x:c>
      <x:c r="AB1406" s="38" t="n">
        <x:v>0.005292</x:v>
      </x:c>
      <x:c r="AC1406" s="38" t="n">
        <x:v>0.6141237375000003</x:v>
      </x:c>
      <x:c r="AD1406" s="28" t="n">
        <x:v>0.15878649955815705</x:v>
      </x:c>
    </x:row>
    <x:row r="1407">
      <x:c r="A1407" s="32" t="n">
        <x:v>46153</x:v>
      </x:c>
      <x:c r="B1407" s="32" t="n">
        <x:v>46143</x:v>
      </x:c>
      <x:c r="C1407" t="str">
        <x:v>May 2026</x:v>
      </x:c>
      <x:c r="D1407" t="str">
        <x:v>Forecast</x:v>
      </x:c>
      <x:c r="E1407" t="str">
        <x:v>DB-101</x:v>
      </x:c>
      <x:c r="F1407" t="str">
        <x:v>AeroSip Bottle</x:v>
      </x:c>
      <x:c r="G1407" t="str">
        <x:v>One-time purchase</x:v>
      </x:c>
      <x:c r="H1407" t="str">
        <x:v>None</x:v>
      </x:c>
      <x:c r="I1407" t="str">
        <x:v>Active</x:v>
      </x:c>
      <x:c r="J1407" t="str">
        <x:v>Wholesale</x:v>
      </x:c>
      <x:c r="K1407" t="str">
        <x:v>Retailer</x:v>
      </x:c>
      <x:c r="L1407" t="str">
        <x:v>All Geographies</x:v>
      </x:c>
      <x:c r="M1407" s="34" t="n">
        <x:v>2189</x:v>
      </x:c>
      <x:c r="N1407" s="28" t="n">
        <x:v>0.01881</x:v>
      </x:c>
      <x:c r="O1407" s="34" t="n">
        <x:v>41</x:v>
      </x:c>
      <x:c r="P1407" s="34" t="n">
        <x:v>1</x:v>
      </x:c>
      <x:c r="Q1407" s="34" t="n">
        <x:v>41</x:v>
      </x:c>
      <x:c r="R1407" s="33" t="n">
        <x:v>29</x:v>
      </x:c>
      <x:c r="S1407" s="38" t="n">
        <x:v>1.189</x:v>
      </x:c>
      <x:c r="T1407" s="38" t="n">
        <x:v>0.41615</x:v>
      </x:c>
      <x:c r="U1407" s="38" t="n">
        <x:v>0.034778250000000004</x:v>
      </x:c>
      <x:c r="V1407" s="38" t="n">
        <x:v>0.73807175</x:v>
      </x:c>
      <x:c r="W1407" s="38" t="n">
        <x:v>0.4428</x:v>
      </x:c>
      <x:c r="X1407" s="38" t="n">
        <x:v>0</x:v>
      </x:c>
      <x:c r="Y1407" s="38" t="n">
        <x:v>0</x:v>
      </x:c>
      <x:c r="Z1407" s="38" t="n">
        <x:v>0.0943</x:v>
      </x:c>
      <x:c r="AA1407" s="38" t="n">
        <x:v>0.03485</x:v>
      </x:c>
      <x:c r="AB1407" s="38" t="n">
        <x:v>0.0014759999999999999</x:v>
      </x:c>
      <x:c r="AC1407" s="38" t="n">
        <x:v>0.16464575</x:v>
      </x:c>
      <x:c r="AD1407" s="28" t="n">
        <x:v>0.22307553432305194</x:v>
      </x:c>
    </x:row>
    <x:row r="1408">
      <x:c r="A1408" s="32" t="n">
        <x:v>46153</x:v>
      </x:c>
      <x:c r="B1408" s="32" t="n">
        <x:v>46143</x:v>
      </x:c>
      <x:c r="C1408" t="str">
        <x:v>May 2026</x:v>
      </x:c>
      <x:c r="D1408" t="str">
        <x:v>Forecast</x:v>
      </x:c>
      <x:c r="E1408" t="str">
        <x:v>DB-101</x:v>
      </x:c>
      <x:c r="F1408" t="str">
        <x:v>AeroSip Bottle</x:v>
      </x:c>
      <x:c r="G1408" t="str">
        <x:v>One-time purchase</x:v>
      </x:c>
      <x:c r="H1408" t="str">
        <x:v>None</x:v>
      </x:c>
      <x:c r="I1408" t="str">
        <x:v>Active</x:v>
      </x:c>
      <x:c r="J1408" t="str">
        <x:v>TikTok Shop</x:v>
      </x:c>
      <x:c r="K1408" t="str">
        <x:v>Social Commerce</x:v>
      </x:c>
      <x:c r="L1408" t="str">
        <x:v>All Geographies</x:v>
      </x:c>
      <x:c r="M1408" s="34" t="n">
        <x:v>1459</x:v>
      </x:c>
      <x:c r="N1408" s="28" t="n">
        <x:v>0.043092</x:v>
      </x:c>
      <x:c r="O1408" s="34" t="n">
        <x:v>63</x:v>
      </x:c>
      <x:c r="P1408" s="34" t="n">
        <x:v>1</x:v>
      </x:c>
      <x:c r="Q1408" s="34" t="n">
        <x:v>63</x:v>
      </x:c>
      <x:c r="R1408" s="33" t="n">
        <x:v>29</x:v>
      </x:c>
      <x:c r="S1408" s="38" t="n">
        <x:v>1.827</x:v>
      </x:c>
      <x:c r="T1408" s="38" t="n">
        <x:v>0.21924</x:v>
      </x:c>
      <x:c r="U1408" s="38" t="n">
        <x:v>0.07234919999999999</x:v>
      </x:c>
      <x:c r="V1408" s="38" t="n">
        <x:v>1.5354108</x:v>
      </x:c>
      <x:c r="W1408" s="38" t="n">
        <x:v>0.6804000000000001</x:v>
      </x:c>
      <x:c r="X1408" s="38" t="n">
        <x:v>0.044526913200000004</x:v>
      </x:c>
      <x:c r="Y1408" s="38" t="n">
        <x:v>0.09212464799999999</x:v>
      </x:c>
      <x:c r="Z1408" s="38" t="n">
        <x:v>0.3213</x:v>
      </x:c>
      <x:c r="AA1408" s="38" t="n">
        <x:v>0.11025</x:v>
      </x:c>
      <x:c r="AB1408" s="38" t="n">
        <x:v>0.0022679999999999996</x:v>
      </x:c>
      <x:c r="AC1408" s="38" t="n">
        <x:v>0.2845412387999999</x:v>
      </x:c>
      <x:c r="AD1408" s="28" t="n">
        <x:v>0.18531928966501987</x:v>
      </x:c>
    </x:row>
    <x:row r="1409">
      <x:c r="A1409" s="32" t="n">
        <x:v>46153</x:v>
      </x:c>
      <x:c r="B1409" s="32" t="n">
        <x:v>46143</x:v>
      </x:c>
      <x:c r="C1409" t="str">
        <x:v>May 2026</x:v>
      </x:c>
      <x:c r="D1409" t="str">
        <x:v>Forecast</x:v>
      </x:c>
      <x:c r="E1409" t="str">
        <x:v>DB-102</x:v>
      </x:c>
      <x:c r="F1409" t="str">
        <x:v>GlowPatch Balm</x:v>
      </x:c>
      <x:c r="G1409" t="str">
        <x:v>Consumable repeat</x:v>
      </x:c>
      <x:c r="H1409" t="str">
        <x:v>None</x:v>
      </x:c>
      <x:c r="I1409" t="str">
        <x:v>Active</x:v>
      </x:c>
      <x:c r="J1409" t="str">
        <x:v>Shopify DTC</x:v>
      </x:c>
      <x:c r="K1409" t="str">
        <x:v>Consumer</x:v>
      </x:c>
      <x:c r="L1409" t="str">
        <x:v>All Geographies</x:v>
      </x:c>
      <x:c r="M1409" s="34" t="n">
        <x:v>5893</x:v>
      </x:c>
      <x:c r="N1409" s="28" t="n">
        <x:v>0.04248</x:v>
      </x:c>
      <x:c r="O1409" s="34" t="n">
        <x:v>250</x:v>
      </x:c>
      <x:c r="P1409" s="34" t="n">
        <x:v>1</x:v>
      </x:c>
      <x:c r="Q1409" s="34" t="n">
        <x:v>250</x:v>
      </x:c>
      <x:c r="R1409" s="33" t="n">
        <x:v>18</x:v>
      </x:c>
      <x:c r="S1409" s="38" t="n">
        <x:v>4.5</x:v>
      </x:c>
      <x:c r="T1409" s="38" t="n">
        <x:v>0.36</x:v>
      </x:c>
      <x:c r="U1409" s="38" t="n">
        <x:v>0.1035</x:v>
      </x:c>
      <x:c r="V1409" s="38" t="n">
        <x:v>4.036499999999999</x:v>
      </x:c>
      <x:c r="W1409" s="38" t="n">
        <x:v>1.3525</x:v>
      </x:c>
      <x:c r="X1409" s="38" t="n">
        <x:v>0.11705849999999998</x:v>
      </x:c>
      <x:c r="Y1409" s="38" t="n">
        <x:v>0</x:v>
      </x:c>
      <x:c r="Z1409" s="38" t="n">
        <x:v>1.0375</x:v>
      </x:c>
      <x:c r="AA1409" s="38" t="n">
        <x:v>0.4125</x:v>
      </x:c>
      <x:c r="AB1409" s="38" t="n">
        <x:v>0.0015</x:v>
      </x:c>
      <x:c r="AC1409" s="38" t="n">
        <x:v>1.1154414999999989</x:v>
      </x:c>
      <x:c r="AD1409" s="28" t="n">
        <x:v>0.2763387835996529</x:v>
      </x:c>
    </x:row>
    <x:row r="1410">
      <x:c r="A1410" s="32" t="n">
        <x:v>46153</x:v>
      </x:c>
      <x:c r="B1410" s="32" t="n">
        <x:v>46143</x:v>
      </x:c>
      <x:c r="C1410" t="str">
        <x:v>May 2026</x:v>
      </x:c>
      <x:c r="D1410" t="str">
        <x:v>Forecast</x:v>
      </x:c>
      <x:c r="E1410" t="str">
        <x:v>DB-102</x:v>
      </x:c>
      <x:c r="F1410" t="str">
        <x:v>GlowPatch Balm</x:v>
      </x:c>
      <x:c r="G1410" t="str">
        <x:v>Consumable repeat</x:v>
      </x:c>
      <x:c r="H1410" t="str">
        <x:v>None</x:v>
      </x:c>
      <x:c r="I1410" t="str">
        <x:v>Active</x:v>
      </x:c>
      <x:c r="J1410" t="str">
        <x:v>Amazon Marketplace</x:v>
      </x:c>
      <x:c r="K1410" t="str">
        <x:v>Marketplace Consumer</x:v>
      </x:c>
      <x:c r="L1410" t="str">
        <x:v>All Geographies</x:v>
      </x:c>
      <x:c r="M1410" s="34" t="n">
        <x:v>2946</x:v>
      </x:c>
      <x:c r="N1410" s="28" t="n">
        <x:v>0.050126399999999995</x:v>
      </x:c>
      <x:c r="O1410" s="34" t="n">
        <x:v>148</x:v>
      </x:c>
      <x:c r="P1410" s="34" t="n">
        <x:v>1</x:v>
      </x:c>
      <x:c r="Q1410" s="34" t="n">
        <x:v>148</x:v>
      </x:c>
      <x:c r="R1410" s="33" t="n">
        <x:v>18</x:v>
      </x:c>
      <x:c r="S1410" s="38" t="n">
        <x:v>2.664</x:v>
      </x:c>
      <x:c r="T1410" s="38" t="n">
        <x:v>0.1332</x:v>
      </x:c>
      <x:c r="U1410" s="38" t="n">
        <x:v>0.06327</x:v>
      </x:c>
      <x:c r="V1410" s="38" t="n">
        <x:v>2.46753</x:v>
      </x:c>
      <x:c r="W1410" s="38" t="n">
        <x:v>0.8006800000000001</x:v>
      </x:c>
      <x:c r="X1410" s="38" t="n">
        <x:v>0</x:v>
      </x:c>
      <x:c r="Y1410" s="38" t="n">
        <x:v>0.3701295</x:v>
      </x:c>
      <x:c r="Z1410" s="38" t="n">
        <x:v>0.7696000000000001</x:v>
      </x:c>
      <x:c r="AA1410" s="38" t="n">
        <x:v>0.3182</x:v>
      </x:c>
      <x:c r="AB1410" s="38" t="n">
        <x:v>0.0008879999999999999</x:v>
      </x:c>
      <x:c r="AC1410" s="38" t="n">
        <x:v>0.2080324999999999</x:v>
      </x:c>
      <x:c r="AD1410" s="28" t="n">
        <x:v>0.084307992202729</x:v>
      </x:c>
    </x:row>
    <x:row r="1411">
      <x:c r="A1411" s="32" t="n">
        <x:v>46153</x:v>
      </x:c>
      <x:c r="B1411" s="32" t="n">
        <x:v>46143</x:v>
      </x:c>
      <x:c r="C1411" t="str">
        <x:v>May 2026</x:v>
      </x:c>
      <x:c r="D1411" t="str">
        <x:v>Forecast</x:v>
      </x:c>
      <x:c r="E1411" t="str">
        <x:v>DB-102</x:v>
      </x:c>
      <x:c r="F1411" t="str">
        <x:v>GlowPatch Balm</x:v>
      </x:c>
      <x:c r="G1411" t="str">
        <x:v>Consumable repeat</x:v>
      </x:c>
      <x:c r="H1411" t="str">
        <x:v>None</x:v>
      </x:c>
      <x:c r="I1411" t="str">
        <x:v>Active</x:v>
      </x:c>
      <x:c r="J1411" t="str">
        <x:v>Wholesale</x:v>
      </x:c>
      <x:c r="K1411" t="str">
        <x:v>Retailer</x:v>
      </x:c>
      <x:c r="L1411" t="str">
        <x:v>All Geographies</x:v>
      </x:c>
      <x:c r="M1411" s="34" t="n">
        <x:v>1768</x:v>
      </x:c>
      <x:c r="N1411" s="28" t="n">
        <x:v>0.023364</x:v>
      </x:c>
      <x:c r="O1411" s="34" t="n">
        <x:v>41</x:v>
      </x:c>
      <x:c r="P1411" s="34" t="n">
        <x:v>1</x:v>
      </x:c>
      <x:c r="Q1411" s="34" t="n">
        <x:v>41</x:v>
      </x:c>
      <x:c r="R1411" s="33" t="n">
        <x:v>18</x:v>
      </x:c>
      <x:c r="S1411" s="38" t="n">
        <x:v>0.738</x:v>
      </x:c>
      <x:c r="T1411" s="38" t="n">
        <x:v>0.2583</x:v>
      </x:c>
      <x:c r="U1411" s="38" t="n">
        <x:v>0.011992500000000001</x:v>
      </x:c>
      <x:c r="V1411" s="38" t="n">
        <x:v>0.4677075</x:v>
      </x:c>
      <x:c r="W1411" s="38" t="n">
        <x:v>0.22181</x:v>
      </x:c>
      <x:c r="X1411" s="38" t="n">
        <x:v>0</x:v>
      </x:c>
      <x:c r="Y1411" s="38" t="n">
        <x:v>0</x:v>
      </x:c>
      <x:c r="Z1411" s="38" t="n">
        <x:v>0.0943</x:v>
      </x:c>
      <x:c r="AA1411" s="38" t="n">
        <x:v>0.03485</x:v>
      </x:c>
      <x:c r="AB1411" s="38" t="n">
        <x:v>0.000246</x:v>
      </x:c>
      <x:c r="AC1411" s="38" t="n">
        <x:v>0.11650150000000001</x:v>
      </x:c>
      <x:c r="AD1411" s="28" t="n">
        <x:v>0.2490905106289722</x:v>
      </x:c>
    </x:row>
    <x:row r="1412">
      <x:c r="A1412" s="32" t="n">
        <x:v>46153</x:v>
      </x:c>
      <x:c r="B1412" s="32" t="n">
        <x:v>46143</x:v>
      </x:c>
      <x:c r="C1412" t="str">
        <x:v>May 2026</x:v>
      </x:c>
      <x:c r="D1412" t="str">
        <x:v>Forecast</x:v>
      </x:c>
      <x:c r="E1412" t="str">
        <x:v>DB-102</x:v>
      </x:c>
      <x:c r="F1412" t="str">
        <x:v>GlowPatch Balm</x:v>
      </x:c>
      <x:c r="G1412" t="str">
        <x:v>Consumable repeat</x:v>
      </x:c>
      <x:c r="H1412" t="str">
        <x:v>None</x:v>
      </x:c>
      <x:c r="I1412" t="str">
        <x:v>Active</x:v>
      </x:c>
      <x:c r="J1412" t="str">
        <x:v>TikTok Shop</x:v>
      </x:c>
      <x:c r="K1412" t="str">
        <x:v>Social Commerce</x:v>
      </x:c>
      <x:c r="L1412" t="str">
        <x:v>All Geographies</x:v>
      </x:c>
      <x:c r="M1412" s="34" t="n">
        <x:v>1179</x:v>
      </x:c>
      <x:c r="N1412" s="28" t="n">
        <x:v>0.0535248</x:v>
      </x:c>
      <x:c r="O1412" s="34" t="n">
        <x:v>63</x:v>
      </x:c>
      <x:c r="P1412" s="34" t="n">
        <x:v>1</x:v>
      </x:c>
      <x:c r="Q1412" s="34" t="n">
        <x:v>63</x:v>
      </x:c>
      <x:c r="R1412" s="33" t="n">
        <x:v>18</x:v>
      </x:c>
      <x:c r="S1412" s="38" t="n">
        <x:v>1.134</x:v>
      </x:c>
      <x:c r="T1412" s="38" t="n">
        <x:v>0.13607999999999998</x:v>
      </x:c>
      <x:c r="U1412" s="38" t="n">
        <x:v>0.024947999999999998</x:v>
      </x:c>
      <x:c r="V1412" s="38" t="n">
        <x:v>0.972972</x:v>
      </x:c>
      <x:c r="W1412" s="38" t="n">
        <x:v>0.34082999999999997</x:v>
      </x:c>
      <x:c r="X1412" s="38" t="n">
        <x:v>0.028216188</x:v>
      </x:c>
      <x:c r="Y1412" s="38" t="n">
        <x:v>0.05837832</x:v>
      </x:c>
      <x:c r="Z1412" s="38" t="n">
        <x:v>0.3213</x:v>
      </x:c>
      <x:c r="AA1412" s="38" t="n">
        <x:v>0.11025</x:v>
      </x:c>
      <x:c r="AB1412" s="38" t="n">
        <x:v>0.000378</x:v>
      </x:c>
      <x:c r="AC1412" s="38" t="n">
        <x:v>0.11361949199999999</x:v>
      </x:c>
      <x:c r="AD1412" s="28" t="n">
        <x:v>0.11677570577570577</x:v>
      </x:c>
    </x:row>
    <x:row r="1413">
      <x:c r="A1413" s="32" t="n">
        <x:v>46153</x:v>
      </x:c>
      <x:c r="B1413" s="32" t="n">
        <x:v>46143</x:v>
      </x:c>
      <x:c r="C1413" t="str">
        <x:v>May 2026</x:v>
      </x:c>
      <x:c r="D1413" t="str">
        <x:v>Forecast</x:v>
      </x:c>
      <x:c r="E1413" t="str">
        <x:v>DB-103</x:v>
      </x:c>
      <x:c r="F1413" t="str">
        <x:v>EmberTrail Camp Mug</x:v>
      </x:c>
      <x:c r="G1413" t="str">
        <x:v>One-time purchase</x:v>
      </x:c>
      <x:c r="H1413" t="str">
        <x:v>Winter peak</x:v>
      </x:c>
      <x:c r="I1413" t="str">
        <x:v>Active</x:v>
      </x:c>
      <x:c r="J1413" t="str">
        <x:v>Shopify DTC</x:v>
      </x:c>
      <x:c r="K1413" t="str">
        <x:v>Consumer</x:v>
      </x:c>
      <x:c r="L1413" t="str">
        <x:v>All Geographies</x:v>
      </x:c>
      <x:c r="M1413" s="34" t="n">
        <x:v>3940</x:v>
      </x:c>
      <x:c r="N1413" s="28" t="n">
        <x:v>0.0324</x:v>
      </x:c>
      <x:c r="O1413" s="34" t="n">
        <x:v>128</x:v>
      </x:c>
      <x:c r="P1413" s="34" t="n">
        <x:v>1</x:v>
      </x:c>
      <x:c r="Q1413" s="34" t="n">
        <x:v>128</x:v>
      </x:c>
      <x:c r="R1413" s="33" t="n">
        <x:v>34</x:v>
      </x:c>
      <x:c r="S1413" s="38" t="n">
        <x:v>4.352</x:v>
      </x:c>
      <x:c r="T1413" s="38" t="n">
        <x:v>0.34816</x:v>
      </x:c>
      <x:c r="U1413" s="38" t="n">
        <x:v>0.22021120000000002</x:v>
      </x:c>
      <x:c r="V1413" s="38" t="n">
        <x:v>3.7836288000000002</x:v>
      </x:c>
      <x:c r="W1413" s="38" t="n">
        <x:v>1.74976</x:v>
      </x:c>
      <x:c r="X1413" s="38" t="n">
        <x:v>0.10972523520000001</x:v>
      </x:c>
      <x:c r="Y1413" s="38" t="n">
        <x:v>0</x:v>
      </x:c>
      <x:c r="Z1413" s="38" t="n">
        <x:v>0.5312</x:v>
      </x:c>
      <x:c r="AA1413" s="38" t="n">
        <x:v>0.2112</x:v>
      </x:c>
      <x:c r="AB1413" s="38" t="n">
        <x:v>0.007168</x:v>
      </x:c>
      <x:c r="AC1413" s="38" t="n">
        <x:v>1.1745755648000002</x:v>
      </x:c>
      <x:c r="AD1413" s="28" t="n">
        <x:v>0.3104362575948254</x:v>
      </x:c>
    </x:row>
    <x:row r="1414">
      <x:c r="A1414" s="32" t="n">
        <x:v>46153</x:v>
      </x:c>
      <x:c r="B1414" s="32" t="n">
        <x:v>46143</x:v>
      </x:c>
      <x:c r="C1414" t="str">
        <x:v>May 2026</x:v>
      </x:c>
      <x:c r="D1414" t="str">
        <x:v>Forecast</x:v>
      </x:c>
      <x:c r="E1414" t="str">
        <x:v>DB-103</x:v>
      </x:c>
      <x:c r="F1414" t="str">
        <x:v>EmberTrail Camp Mug</x:v>
      </x:c>
      <x:c r="G1414" t="str">
        <x:v>One-time purchase</x:v>
      </x:c>
      <x:c r="H1414" t="str">
        <x:v>Winter peak</x:v>
      </x:c>
      <x:c r="I1414" t="str">
        <x:v>Active</x:v>
      </x:c>
      <x:c r="J1414" t="str">
        <x:v>Amazon Marketplace</x:v>
      </x:c>
      <x:c r="K1414" t="str">
        <x:v>Marketplace Consumer</x:v>
      </x:c>
      <x:c r="L1414" t="str">
        <x:v>All Geographies</x:v>
      </x:c>
      <x:c r="M1414" s="34" t="n">
        <x:v>1970</x:v>
      </x:c>
      <x:c r="N1414" s="28" t="n">
        <x:v>0.038231999999999995</x:v>
      </x:c>
      <x:c r="O1414" s="34" t="n">
        <x:v>75</x:v>
      </x:c>
      <x:c r="P1414" s="34" t="n">
        <x:v>1</x:v>
      </x:c>
      <x:c r="Q1414" s="34" t="n">
        <x:v>75</x:v>
      </x:c>
      <x:c r="R1414" s="33" t="n">
        <x:v>34</x:v>
      </x:c>
      <x:c r="S1414" s="38" t="n">
        <x:v>2.55</x:v>
      </x:c>
      <x:c r="T1414" s="38" t="n">
        <x:v>0.1275</x:v>
      </x:c>
      <x:c r="U1414" s="38" t="n">
        <x:v>0.13323749999999998</x:v>
      </x:c>
      <x:c r="V1414" s="38" t="n">
        <x:v>2.2892625</x:v>
      </x:c>
      <x:c r="W1414" s="38" t="n">
        <x:v>1.02525</x:v>
      </x:c>
      <x:c r="X1414" s="38" t="n">
        <x:v>0</x:v>
      </x:c>
      <x:c r="Y1414" s="38" t="n">
        <x:v>0.343389375</x:v>
      </x:c>
      <x:c r="Z1414" s="38" t="n">
        <x:v>0.39</x:v>
      </x:c>
      <x:c r="AA1414" s="38" t="n">
        <x:v>0.16125</x:v>
      </x:c>
      <x:c r="AB1414" s="38" t="n">
        <x:v>0.004200000000000001</x:v>
      </x:c>
      <x:c r="AC1414" s="38" t="n">
        <x:v>0.365173125</x:v>
      </x:c>
      <x:c r="AD1414" s="28" t="n">
        <x:v>0.15951561911314233</x:v>
      </x:c>
    </x:row>
    <x:row r="1415">
      <x:c r="A1415" s="32" t="n">
        <x:v>46153</x:v>
      </x:c>
      <x:c r="B1415" s="32" t="n">
        <x:v>46143</x:v>
      </x:c>
      <x:c r="C1415" t="str">
        <x:v>May 2026</x:v>
      </x:c>
      <x:c r="D1415" t="str">
        <x:v>Forecast</x:v>
      </x:c>
      <x:c r="E1415" t="str">
        <x:v>DB-103</x:v>
      </x:c>
      <x:c r="F1415" t="str">
        <x:v>EmberTrail Camp Mug</x:v>
      </x:c>
      <x:c r="G1415" t="str">
        <x:v>One-time purchase</x:v>
      </x:c>
      <x:c r="H1415" t="str">
        <x:v>Winter peak</x:v>
      </x:c>
      <x:c r="I1415" t="str">
        <x:v>Active</x:v>
      </x:c>
      <x:c r="J1415" t="str">
        <x:v>Wholesale</x:v>
      </x:c>
      <x:c r="K1415" t="str">
        <x:v>Retailer</x:v>
      </x:c>
      <x:c r="L1415" t="str">
        <x:v>All Geographies</x:v>
      </x:c>
      <x:c r="M1415" s="34" t="n">
        <x:v>1182</x:v>
      </x:c>
      <x:c r="N1415" s="28" t="n">
        <x:v>0.017820000000000003</x:v>
      </x:c>
      <x:c r="O1415" s="34" t="n">
        <x:v>21</x:v>
      </x:c>
      <x:c r="P1415" s="34" t="n">
        <x:v>1</x:v>
      </x:c>
      <x:c r="Q1415" s="34" t="n">
        <x:v>21</x:v>
      </x:c>
      <x:c r="R1415" s="33" t="n">
        <x:v>34</x:v>
      </x:c>
      <x:c r="S1415" s="38" t="n">
        <x:v>0.714</x:v>
      </x:c>
      <x:c r="T1415" s="38" t="n">
        <x:v>0.24989999999999998</x:v>
      </x:c>
      <x:c r="U1415" s="38" t="n">
        <x:v>0.025525499999999996</x:v>
      </x:c>
      <x:c r="V1415" s="38" t="n">
        <x:v>0.4385745</x:v>
      </x:c>
      <x:c r="W1415" s="38" t="n">
        <x:v>0.28707</x:v>
      </x:c>
      <x:c r="X1415" s="38" t="n">
        <x:v>0</x:v>
      </x:c>
      <x:c r="Y1415" s="38" t="n">
        <x:v>0</x:v>
      </x:c>
      <x:c r="Z1415" s="38" t="n">
        <x:v>0.048299999999999996</x:v>
      </x:c>
      <x:c r="AA1415" s="38" t="n">
        <x:v>0.017849999999999998</x:v>
      </x:c>
      <x:c r="AB1415" s="38" t="n">
        <x:v>0.0011760000000000002</x:v>
      </x:c>
      <x:c r="AC1415" s="38" t="n">
        <x:v>0.0841785</x:v>
      </x:c>
      <x:c r="AD1415" s="28" t="n">
        <x:v>0.1919366037013096</x:v>
      </x:c>
    </x:row>
    <x:row r="1416">
      <x:c r="A1416" s="32" t="n">
        <x:v>46153</x:v>
      </x:c>
      <x:c r="B1416" s="32" t="n">
        <x:v>46143</x:v>
      </x:c>
      <x:c r="C1416" t="str">
        <x:v>May 2026</x:v>
      </x:c>
      <x:c r="D1416" t="str">
        <x:v>Forecast</x:v>
      </x:c>
      <x:c r="E1416" t="str">
        <x:v>DB-103</x:v>
      </x:c>
      <x:c r="F1416" t="str">
        <x:v>EmberTrail Camp Mug</x:v>
      </x:c>
      <x:c r="G1416" t="str">
        <x:v>One-time purchase</x:v>
      </x:c>
      <x:c r="H1416" t="str">
        <x:v>Winter peak</x:v>
      </x:c>
      <x:c r="I1416" t="str">
        <x:v>Active</x:v>
      </x:c>
      <x:c r="J1416" t="str">
        <x:v>TikTok Shop</x:v>
      </x:c>
      <x:c r="K1416" t="str">
        <x:v>Social Commerce</x:v>
      </x:c>
      <x:c r="L1416" t="str">
        <x:v>All Geographies</x:v>
      </x:c>
      <x:c r="M1416" s="34" t="n">
        <x:v>788</x:v>
      </x:c>
      <x:c r="N1416" s="28" t="n">
        <x:v>0.040824</x:v>
      </x:c>
      <x:c r="O1416" s="34" t="n">
        <x:v>32</x:v>
      </x:c>
      <x:c r="P1416" s="34" t="n">
        <x:v>1</x:v>
      </x:c>
      <x:c r="Q1416" s="34" t="n">
        <x:v>32</x:v>
      </x:c>
      <x:c r="R1416" s="33" t="n">
        <x:v>34</x:v>
      </x:c>
      <x:c r="S1416" s="38" t="n">
        <x:v>1.088</x:v>
      </x:c>
      <x:c r="T1416" s="38" t="n">
        <x:v>0.13056</x:v>
      </x:c>
      <x:c r="U1416" s="38" t="n">
        <x:v>0.0526592</x:v>
      </x:c>
      <x:c r="V1416" s="38" t="n">
        <x:v>0.9047808</x:v>
      </x:c>
      <x:c r="W1416" s="38" t="n">
        <x:v>0.43744</x:v>
      </x:c>
      <x:c r="X1416" s="38" t="n">
        <x:v>0.0262386432</x:v>
      </x:c>
      <x:c r="Y1416" s="38" t="n">
        <x:v>0.054286848</x:v>
      </x:c>
      <x:c r="Z1416" s="38" t="n">
        <x:v>0.16319999999999998</x:v>
      </x:c>
      <x:c r="AA1416" s="38" t="n">
        <x:v>0.056</x:v>
      </x:c>
      <x:c r="AB1416" s="38" t="n">
        <x:v>0.001792</x:v>
      </x:c>
      <x:c r="AC1416" s="38" t="n">
        <x:v>0.16582330880000007</x:v>
      </x:c>
      <x:c r="AD1416" s="28" t="n">
        <x:v>0.1832745663922135</x:v>
      </x:c>
    </x:row>
    <x:row r="1417">
      <x:c r="A1417" s="32" t="n">
        <x:v>46153</x:v>
      </x:c>
      <x:c r="B1417" s="32" t="n">
        <x:v>46143</x:v>
      </x:c>
      <x:c r="C1417" t="str">
        <x:v>May 2026</x:v>
      </x:c>
      <x:c r="D1417" t="str">
        <x:v>Forecast</x:v>
      </x:c>
      <x:c r="E1417" t="str">
        <x:v>DB-104</x:v>
      </x:c>
      <x:c r="F1417" t="str">
        <x:v>SunNest Cooling Towel</x:v>
      </x:c>
      <x:c r="G1417" t="str">
        <x:v>Consumable repeat</x:v>
      </x:c>
      <x:c r="H1417" t="str">
        <x:v>Summer peak</x:v>
      </x:c>
      <x:c r="I1417" t="str">
        <x:v>Active</x:v>
      </x:c>
      <x:c r="J1417" t="str">
        <x:v>Shopify DTC</x:v>
      </x:c>
      <x:c r="K1417" t="str">
        <x:v>Consumer</x:v>
      </x:c>
      <x:c r="L1417" t="str">
        <x:v>All Geographies</x:v>
      </x:c>
      <x:c r="M1417" s="34" t="n">
        <x:v>6106</x:v>
      </x:c>
      <x:c r="N1417" s="28" t="n">
        <x:v>0.03312</x:v>
      </x:c>
      <x:c r="O1417" s="34" t="n">
        <x:v>202</x:v>
      </x:c>
      <x:c r="P1417" s="34" t="n">
        <x:v>1</x:v>
      </x:c>
      <x:c r="Q1417" s="34" t="n">
        <x:v>202</x:v>
      </x:c>
      <x:c r="R1417" s="33" t="n">
        <x:v>42</x:v>
      </x:c>
      <x:c r="S1417" s="38" t="n">
        <x:v>8.484</x:v>
      </x:c>
      <x:c r="T1417" s="38" t="n">
        <x:v>0.67872</x:v>
      </x:c>
      <x:c r="U1417" s="38" t="n">
        <x:v>0.390264</x:v>
      </x:c>
      <x:c r="V1417" s="38" t="n">
        <x:v>7.415016</x:v>
      </x:c>
      <x:c r="W1417" s="38" t="n">
        <x:v>3.0401000000000002</x:v>
      </x:c>
      <x:c r="X1417" s="38" t="n">
        <x:v>0.215035464</x:v>
      </x:c>
      <x:c r="Y1417" s="38" t="n">
        <x:v>0</x:v>
      </x:c>
      <x:c r="Z1417" s="38" t="n">
        <x:v>0.8383</x:v>
      </x:c>
      <x:c r="AA1417" s="38" t="n">
        <x:v>0.33329999999999993</x:v>
      </x:c>
      <x:c r="AB1417" s="38" t="n">
        <x:v>0.005656</x:v>
      </x:c>
      <x:c r="AC1417" s="38" t="n">
        <x:v>2.982624535999999</x:v>
      </x:c>
      <x:c r="AD1417" s="28" t="n">
        <x:v>0.40224114634412106</x:v>
      </x:c>
    </x:row>
    <x:row r="1418">
      <x:c r="A1418" s="32" t="n">
        <x:v>46153</x:v>
      </x:c>
      <x:c r="B1418" s="32" t="n">
        <x:v>46143</x:v>
      </x:c>
      <x:c r="C1418" t="str">
        <x:v>May 2026</x:v>
      </x:c>
      <x:c r="D1418" t="str">
        <x:v>Forecast</x:v>
      </x:c>
      <x:c r="E1418" t="str">
        <x:v>DB-104</x:v>
      </x:c>
      <x:c r="F1418" t="str">
        <x:v>SunNest Cooling Towel</x:v>
      </x:c>
      <x:c r="G1418" t="str">
        <x:v>Consumable repeat</x:v>
      </x:c>
      <x:c r="H1418" t="str">
        <x:v>Summer peak</x:v>
      </x:c>
      <x:c r="I1418" t="str">
        <x:v>Active</x:v>
      </x:c>
      <x:c r="J1418" t="str">
        <x:v>Amazon Marketplace</x:v>
      </x:c>
      <x:c r="K1418" t="str">
        <x:v>Marketplace Consumer</x:v>
      </x:c>
      <x:c r="L1418" t="str">
        <x:v>All Geographies</x:v>
      </x:c>
      <x:c r="M1418" s="34" t="n">
        <x:v>3053</x:v>
      </x:c>
      <x:c r="N1418" s="28" t="n">
        <x:v>0.0390816</x:v>
      </x:c>
      <x:c r="O1418" s="34" t="n">
        <x:v>119</x:v>
      </x:c>
      <x:c r="P1418" s="34" t="n">
        <x:v>1</x:v>
      </x:c>
      <x:c r="Q1418" s="34" t="n">
        <x:v>119</x:v>
      </x:c>
      <x:c r="R1418" s="33" t="n">
        <x:v>42</x:v>
      </x:c>
      <x:c r="S1418" s="38" t="n">
        <x:v>4.998</x:v>
      </x:c>
      <x:c r="T1418" s="38" t="n">
        <x:v>0.2499</x:v>
      </x:c>
      <x:c r="U1418" s="38" t="n">
        <x:v>0.237405</x:v>
      </x:c>
      <x:c r="V1418" s="38" t="n">
        <x:v>4.510695</x:v>
      </x:c>
      <x:c r="W1418" s="38" t="n">
        <x:v>1.79095</x:v>
      </x:c>
      <x:c r="X1418" s="38" t="n">
        <x:v>0</x:v>
      </x:c>
      <x:c r="Y1418" s="38" t="n">
        <x:v>0.67660425</x:v>
      </x:c>
      <x:c r="Z1418" s="38" t="n">
        <x:v>0.6188</x:v>
      </x:c>
      <x:c r="AA1418" s="38" t="n">
        <x:v>0.25585</x:v>
      </x:c>
      <x:c r="AB1418" s="38" t="n">
        <x:v>0.003332</x:v>
      </x:c>
      <x:c r="AC1418" s="38" t="n">
        <x:v>1.1651587500000002</x:v>
      </x:c>
      <x:c r="AD1418" s="28" t="n">
        <x:v>0.25831024930747926</x:v>
      </x:c>
    </x:row>
    <x:row r="1419">
      <x:c r="A1419" s="32" t="n">
        <x:v>46153</x:v>
      </x:c>
      <x:c r="B1419" s="32" t="n">
        <x:v>46143</x:v>
      </x:c>
      <x:c r="C1419" t="str">
        <x:v>May 2026</x:v>
      </x:c>
      <x:c r="D1419" t="str">
        <x:v>Forecast</x:v>
      </x:c>
      <x:c r="E1419" t="str">
        <x:v>DB-104</x:v>
      </x:c>
      <x:c r="F1419" t="str">
        <x:v>SunNest Cooling Towel</x:v>
      </x:c>
      <x:c r="G1419" t="str">
        <x:v>Consumable repeat</x:v>
      </x:c>
      <x:c r="H1419" t="str">
        <x:v>Summer peak</x:v>
      </x:c>
      <x:c r="I1419" t="str">
        <x:v>Active</x:v>
      </x:c>
      <x:c r="J1419" t="str">
        <x:v>Wholesale</x:v>
      </x:c>
      <x:c r="K1419" t="str">
        <x:v>Retailer</x:v>
      </x:c>
      <x:c r="L1419" t="str">
        <x:v>All Geographies</x:v>
      </x:c>
      <x:c r="M1419" s="34" t="n">
        <x:v>1832</x:v>
      </x:c>
      <x:c r="N1419" s="28" t="n">
        <x:v>0.018216000000000003</x:v>
      </x:c>
      <x:c r="O1419" s="34" t="n">
        <x:v>33</x:v>
      </x:c>
      <x:c r="P1419" s="34" t="n">
        <x:v>1</x:v>
      </x:c>
      <x:c r="Q1419" s="34" t="n">
        <x:v>33</x:v>
      </x:c>
      <x:c r="R1419" s="33" t="n">
        <x:v>42</x:v>
      </x:c>
      <x:c r="S1419" s="38" t="n">
        <x:v>1.386</x:v>
      </x:c>
      <x:c r="T1419" s="38" t="n">
        <x:v>0.4850999999999999</x:v>
      </x:c>
      <x:c r="U1419" s="38" t="n">
        <x:v>0.045045</x:v>
      </x:c>
      <x:c r="V1419" s="38" t="n">
        <x:v>0.855855</x:v>
      </x:c>
      <x:c r="W1419" s="38" t="n">
        <x:v>0.49665000000000004</x:v>
      </x:c>
      <x:c r="X1419" s="38" t="n">
        <x:v>0</x:v>
      </x:c>
      <x:c r="Y1419" s="38" t="n">
        <x:v>0</x:v>
      </x:c>
      <x:c r="Z1419" s="38" t="n">
        <x:v>0.0759</x:v>
      </x:c>
      <x:c r="AA1419" s="38" t="n">
        <x:v>0.028050000000000002</x:v>
      </x:c>
      <x:c r="AB1419" s="38" t="n">
        <x:v>0.0009239999999999999</x:v>
      </x:c>
      <x:c r="AC1419" s="38" t="n">
        <x:v>0.25433100000000003</x:v>
      </x:c>
      <x:c r="AD1419" s="28" t="n">
        <x:v>0.29716599190283405</x:v>
      </x:c>
    </x:row>
    <x:row r="1420">
      <x:c r="A1420" s="32" t="n">
        <x:v>46153</x:v>
      </x:c>
      <x:c r="B1420" s="32" t="n">
        <x:v>46143</x:v>
      </x:c>
      <x:c r="C1420" t="str">
        <x:v>May 2026</x:v>
      </x:c>
      <x:c r="D1420" t="str">
        <x:v>Forecast</x:v>
      </x:c>
      <x:c r="E1420" t="str">
        <x:v>DB-104</x:v>
      </x:c>
      <x:c r="F1420" t="str">
        <x:v>SunNest Cooling Towel</x:v>
      </x:c>
      <x:c r="G1420" t="str">
        <x:v>Consumable repeat</x:v>
      </x:c>
      <x:c r="H1420" t="str">
        <x:v>Summer peak</x:v>
      </x:c>
      <x:c r="I1420" t="str">
        <x:v>Active</x:v>
      </x:c>
      <x:c r="J1420" t="str">
        <x:v>TikTok Shop</x:v>
      </x:c>
      <x:c r="K1420" t="str">
        <x:v>Social Commerce</x:v>
      </x:c>
      <x:c r="L1420" t="str">
        <x:v>All Geographies</x:v>
      </x:c>
      <x:c r="M1420" s="34" t="n">
        <x:v>1221</x:v>
      </x:c>
      <x:c r="N1420" s="28" t="n">
        <x:v>0.0417312</x:v>
      </x:c>
      <x:c r="O1420" s="34" t="n">
        <x:v>51</x:v>
      </x:c>
      <x:c r="P1420" s="34" t="n">
        <x:v>1</x:v>
      </x:c>
      <x:c r="Q1420" s="34" t="n">
        <x:v>51</x:v>
      </x:c>
      <x:c r="R1420" s="33" t="n">
        <x:v>42</x:v>
      </x:c>
      <x:c r="S1420" s="38" t="n">
        <x:v>2.142</x:v>
      </x:c>
      <x:c r="T1420" s="38" t="n">
        <x:v>0.25704</x:v>
      </x:c>
      <x:c r="U1420" s="38" t="n">
        <x:v>0.094248</x:v>
      </x:c>
      <x:c r="V1420" s="38" t="n">
        <x:v>1.790712</x:v>
      </x:c>
      <x:c r="W1420" s="38" t="n">
        <x:v>0.7675500000000001</x:v>
      </x:c>
      <x:c r="X1420" s="38" t="n">
        <x:v>0.051930648</x:v>
      </x:c>
      <x:c r="Y1420" s="38" t="n">
        <x:v>0.10744272</x:v>
      </x:c>
      <x:c r="Z1420" s="38" t="n">
        <x:v>0.26009999999999994</x:v>
      </x:c>
      <x:c r="AA1420" s="38" t="n">
        <x:v>0.08925</x:v>
      </x:c>
      <x:c r="AB1420" s="38" t="n">
        <x:v>0.001428</x:v>
      </x:c>
      <x:c r="AC1420" s="38" t="n">
        <x:v>0.5130106320000001</x:v>
      </x:c>
      <x:c r="AD1420" s="28" t="n">
        <x:v>0.2864841649578492</x:v>
      </x:c>
    </x:row>
    <x:row r="1421">
      <x:c r="A1421" s="32" t="n">
        <x:v>46153</x:v>
      </x:c>
      <x:c r="B1421" s="32" t="n">
        <x:v>46143</x:v>
      </x:c>
      <x:c r="C1421" t="str">
        <x:v>May 2026</x:v>
      </x:c>
      <x:c r="D1421" t="str">
        <x:v>Forecast</x:v>
      </x:c>
      <x:c r="E1421" t="str">
        <x:v>DB-105</x:v>
      </x:c>
      <x:c r="F1421" t="str">
        <x:v>DreamFuel Refill Pack</x:v>
      </x:c>
      <x:c r="G1421" t="str">
        <x:v>Subscription</x:v>
      </x:c>
      <x:c r="H1421" t="str">
        <x:v>None</x:v>
      </x:c>
      <x:c r="I1421" t="str">
        <x:v>Active</x:v>
      </x:c>
      <x:c r="J1421" t="str">
        <x:v>Shopify DTC</x:v>
      </x:c>
      <x:c r="K1421" t="str">
        <x:v>Consumer</x:v>
      </x:c>
      <x:c r="L1421" t="str">
        <x:v>All Geographies</x:v>
      </x:c>
      <x:c r="M1421" s="34" t="n">
        <x:v>5051</x:v>
      </x:c>
      <x:c r="N1421" s="28" t="n">
        <x:v>0.03888</x:v>
      </x:c>
      <x:c r="O1421" s="34" t="n">
        <x:v>196</x:v>
      </x:c>
      <x:c r="P1421" s="34" t="n">
        <x:v>1</x:v>
      </x:c>
      <x:c r="Q1421" s="34" t="n">
        <x:v>196</x:v>
      </x:c>
      <x:c r="R1421" s="33" t="n">
        <x:v>56</x:v>
      </x:c>
      <x:c r="S1421" s="38" t="n">
        <x:v>10.976</x:v>
      </x:c>
      <x:c r="T1421" s="38" t="n">
        <x:v>0.8780800000000001</x:v>
      </x:c>
      <x:c r="U1421" s="38" t="n">
        <x:v>0.2019584</x:v>
      </x:c>
      <x:c r="V1421" s="38" t="n">
        <x:v>9.8959616</x:v>
      </x:c>
      <x:c r="W1421" s="38" t="n">
        <x:v>3.64952</x:v>
      </x:c>
      <x:c r="X1421" s="38" t="n">
        <x:v>0.2869828864</x:v>
      </x:c>
      <x:c r="Y1421" s="38" t="n">
        <x:v>0</x:v>
      </x:c>
      <x:c r="Z1421" s="38" t="n">
        <x:v>0.8134000000000001</x:v>
      </x:c>
      <x:c r="AA1421" s="38" t="n">
        <x:v>0.32339999999999997</x:v>
      </x:c>
      <x:c r="AB1421" s="38" t="n">
        <x:v>0.0007055999999999999</x:v>
      </x:c>
      <x:c r="AC1421" s="38" t="n">
        <x:v>4.8219531136</x:v>
      </x:c>
      <x:c r="AD1421" s="28" t="n">
        <x:v>0.4872647357079478</x:v>
      </x:c>
    </x:row>
    <x:row r="1422">
      <x:c r="A1422" s="32" t="n">
        <x:v>46153</x:v>
      </x:c>
      <x:c r="B1422" s="32" t="n">
        <x:v>46143</x:v>
      </x:c>
      <x:c r="C1422" t="str">
        <x:v>May 2026</x:v>
      </x:c>
      <x:c r="D1422" t="str">
        <x:v>Forecast</x:v>
      </x:c>
      <x:c r="E1422" t="str">
        <x:v>DB-105</x:v>
      </x:c>
      <x:c r="F1422" t="str">
        <x:v>DreamFuel Refill Pack</x:v>
      </x:c>
      <x:c r="G1422" t="str">
        <x:v>Subscription</x:v>
      </x:c>
      <x:c r="H1422" t="str">
        <x:v>None</x:v>
      </x:c>
      <x:c r="I1422" t="str">
        <x:v>Active</x:v>
      </x:c>
      <x:c r="J1422" t="str">
        <x:v>Amazon Marketplace</x:v>
      </x:c>
      <x:c r="K1422" t="str">
        <x:v>Marketplace Consumer</x:v>
      </x:c>
      <x:c r="L1422" t="str">
        <x:v>All Geographies</x:v>
      </x:c>
      <x:c r="M1422" s="34" t="n">
        <x:v>2525</x:v>
      </x:c>
      <x:c r="N1422" s="28" t="n">
        <x:v>0.0458784</x:v>
      </x:c>
      <x:c r="O1422" s="34" t="n">
        <x:v>116</x:v>
      </x:c>
      <x:c r="P1422" s="34" t="n">
        <x:v>1</x:v>
      </x:c>
      <x:c r="Q1422" s="34" t="n">
        <x:v>116</x:v>
      </x:c>
      <x:c r="R1422" s="33" t="n">
        <x:v>56</x:v>
      </x:c>
      <x:c r="S1422" s="38" t="n">
        <x:v>6.496</x:v>
      </x:c>
      <x:c r="T1422" s="38" t="n">
        <x:v>0.32480000000000003</x:v>
      </x:c>
      <x:c r="U1422" s="38" t="n">
        <x:v>0.12342400000000002</x:v>
      </x:c>
      <x:c r="V1422" s="38" t="n">
        <x:v>6.047776000000001</x:v>
      </x:c>
      <x:c r="W1422" s="38" t="n">
        <x:v>2.15992</x:v>
      </x:c>
      <x:c r="X1422" s="38" t="n">
        <x:v>0</x:v>
      </x:c>
      <x:c r="Y1422" s="38" t="n">
        <x:v>0.9071664</x:v>
      </x:c>
      <x:c r="Z1422" s="38" t="n">
        <x:v>0.6032000000000001</x:v>
      </x:c>
      <x:c r="AA1422" s="38" t="n">
        <x:v>0.24939999999999998</x:v>
      </x:c>
      <x:c r="AB1422" s="38" t="n">
        <x:v>0.0004176</x:v>
      </x:c>
      <x:c r="AC1422" s="38" t="n">
        <x:v>2.1276720000000005</x:v>
      </x:c>
      <x:c r="AD1422" s="28" t="n">
        <x:v>0.35181064907165877</x:v>
      </x:c>
    </x:row>
    <x:row r="1423">
      <x:c r="A1423" s="32" t="n">
        <x:v>46153</x:v>
      </x:c>
      <x:c r="B1423" s="32" t="n">
        <x:v>46143</x:v>
      </x:c>
      <x:c r="C1423" t="str">
        <x:v>May 2026</x:v>
      </x:c>
      <x:c r="D1423" t="str">
        <x:v>Forecast</x:v>
      </x:c>
      <x:c r="E1423" t="str">
        <x:v>DB-105</x:v>
      </x:c>
      <x:c r="F1423" t="str">
        <x:v>DreamFuel Refill Pack</x:v>
      </x:c>
      <x:c r="G1423" t="str">
        <x:v>Subscription</x:v>
      </x:c>
      <x:c r="H1423" t="str">
        <x:v>None</x:v>
      </x:c>
      <x:c r="I1423" t="str">
        <x:v>Active</x:v>
      </x:c>
      <x:c r="J1423" t="str">
        <x:v>Wholesale</x:v>
      </x:c>
      <x:c r="K1423" t="str">
        <x:v>Retailer</x:v>
      </x:c>
      <x:c r="L1423" t="str">
        <x:v>All Geographies</x:v>
      </x:c>
      <x:c r="M1423" s="34" t="n">
        <x:v>1515</x:v>
      </x:c>
      <x:c r="N1423" s="28" t="n">
        <x:v>0.021384000000000004</x:v>
      </x:c>
      <x:c r="O1423" s="34" t="n">
        <x:v>32</x:v>
      </x:c>
      <x:c r="P1423" s="34" t="n">
        <x:v>1</x:v>
      </x:c>
      <x:c r="Q1423" s="34" t="n">
        <x:v>32</x:v>
      </x:c>
      <x:c r="R1423" s="33" t="n">
        <x:v>56</x:v>
      </x:c>
      <x:c r="S1423" s="38" t="n">
        <x:v>1.792</x:v>
      </x:c>
      <x:c r="T1423" s="38" t="n">
        <x:v>0.6272</x:v>
      </x:c>
      <x:c r="U1423" s="38" t="n">
        <x:v>0.023296</x:v>
      </x:c>
      <x:c r="V1423" s="38" t="n">
        <x:v>1.141504</x:v>
      </x:c>
      <x:c r="W1423" s="38" t="n">
        <x:v>0.59584</x:v>
      </x:c>
      <x:c r="X1423" s="38" t="n">
        <x:v>0</x:v>
      </x:c>
      <x:c r="Y1423" s="38" t="n">
        <x:v>0</x:v>
      </x:c>
      <x:c r="Z1423" s="38" t="n">
        <x:v>0.0736</x:v>
      </x:c>
      <x:c r="AA1423" s="38" t="n">
        <x:v>0.0272</x:v>
      </x:c>
      <x:c r="AB1423" s="38" t="n">
        <x:v>0.0001152</x:v>
      </x:c>
      <x:c r="AC1423" s="38" t="n">
        <x:v>0.44474880000000006</x:v>
      </x:c>
      <x:c r="AD1423" s="28" t="n">
        <x:v>0.3896165059430366</x:v>
      </x:c>
    </x:row>
    <x:row r="1424">
      <x:c r="A1424" s="32" t="n">
        <x:v>46153</x:v>
      </x:c>
      <x:c r="B1424" s="32" t="n">
        <x:v>46143</x:v>
      </x:c>
      <x:c r="C1424" t="str">
        <x:v>May 2026</x:v>
      </x:c>
      <x:c r="D1424" t="str">
        <x:v>Forecast</x:v>
      </x:c>
      <x:c r="E1424" t="str">
        <x:v>DB-105</x:v>
      </x:c>
      <x:c r="F1424" t="str">
        <x:v>DreamFuel Refill Pack</x:v>
      </x:c>
      <x:c r="G1424" t="str">
        <x:v>Subscription</x:v>
      </x:c>
      <x:c r="H1424" t="str">
        <x:v>None</x:v>
      </x:c>
      <x:c r="I1424" t="str">
        <x:v>Active</x:v>
      </x:c>
      <x:c r="J1424" t="str">
        <x:v>TikTok Shop</x:v>
      </x:c>
      <x:c r="K1424" t="str">
        <x:v>Social Commerce</x:v>
      </x:c>
      <x:c r="L1424" t="str">
        <x:v>All Geographies</x:v>
      </x:c>
      <x:c r="M1424" s="34" t="n">
        <x:v>1010</x:v>
      </x:c>
      <x:c r="N1424" s="28" t="n">
        <x:v>0.0489888</x:v>
      </x:c>
      <x:c r="O1424" s="34" t="n">
        <x:v>49</x:v>
      </x:c>
      <x:c r="P1424" s="34" t="n">
        <x:v>1</x:v>
      </x:c>
      <x:c r="Q1424" s="34" t="n">
        <x:v>49</x:v>
      </x:c>
      <x:c r="R1424" s="33" t="n">
        <x:v>56</x:v>
      </x:c>
      <x:c r="S1424" s="38" t="n">
        <x:v>2.744</x:v>
      </x:c>
      <x:c r="T1424" s="38" t="n">
        <x:v>0.32928</x:v>
      </x:c>
      <x:c r="U1424" s="38" t="n">
        <x:v>0.0482944</x:v>
      </x:c>
      <x:c r="V1424" s="38" t="n">
        <x:v>2.3664256</x:v>
      </x:c>
      <x:c r="W1424" s="38" t="n">
        <x:v>0.91238</x:v>
      </x:c>
      <x:c r="X1424" s="38" t="n">
        <x:v>0.0686263424</x:v>
      </x:c>
      <x:c r="Y1424" s="38" t="n">
        <x:v>0.141985536</x:v>
      </x:c>
      <x:c r="Z1424" s="38" t="n">
        <x:v>0.24989999999999998</x:v>
      </x:c>
      <x:c r="AA1424" s="38" t="n">
        <x:v>0.08575</x:v>
      </x:c>
      <x:c r="AB1424" s="38" t="n">
        <x:v>0.00017639999999999998</x:v>
      </x:c>
      <x:c r="AC1424" s="38" t="n">
        <x:v>0.9076073216</x:v>
      </x:c>
      <x:c r="AD1424" s="28" t="n">
        <x:v>0.3835351179432812</x:v>
      </x:c>
    </x:row>
    <x:row r="1425">
      <x:c r="A1425" s="32" t="n">
        <x:v>46160</x:v>
      </x:c>
      <x:c r="B1425" s="32" t="n">
        <x:v>46143</x:v>
      </x:c>
      <x:c r="C1425" t="str">
        <x:v>May 2026</x:v>
      </x:c>
      <x:c r="D1425" t="str">
        <x:v>Forecast</x:v>
      </x:c>
      <x:c r="E1425" t="str">
        <x:v>DB-101</x:v>
      </x:c>
      <x:c r="F1425" t="str">
        <x:v>AeroSip Bottle</x:v>
      </x:c>
      <x:c r="G1425" t="str">
        <x:v>One-time purchase</x:v>
      </x:c>
      <x:c r="H1425" t="str">
        <x:v>None</x:v>
      </x:c>
      <x:c r="I1425" t="str">
        <x:v>Active</x:v>
      </x:c>
      <x:c r="J1425" t="str">
        <x:v>Shopify DTC</x:v>
      </x:c>
      <x:c r="K1425" t="str">
        <x:v>Consumer</x:v>
      </x:c>
      <x:c r="L1425" t="str">
        <x:v>All Geographies</x:v>
      </x:c>
      <x:c r="M1425" s="34" t="n">
        <x:v>7296</x:v>
      </x:c>
      <x:c r="N1425" s="28" t="n">
        <x:v>0.034199999999999994</x:v>
      </x:c>
      <x:c r="O1425" s="34" t="n">
        <x:v>250</x:v>
      </x:c>
      <x:c r="P1425" s="34" t="n">
        <x:v>1</x:v>
      </x:c>
      <x:c r="Q1425" s="34" t="n">
        <x:v>250</x:v>
      </x:c>
      <x:c r="R1425" s="33" t="n">
        <x:v>29</x:v>
      </x:c>
      <x:c r="S1425" s="38" t="n">
        <x:v>7.25</x:v>
      </x:c>
      <x:c r="T1425" s="38" t="n">
        <x:v>0.58</x:v>
      </x:c>
      <x:c r="U1425" s="38" t="n">
        <x:v>0.30015</x:v>
      </x:c>
      <x:c r="V1425" s="38" t="n">
        <x:v>6.36985</x:v>
      </x:c>
      <x:c r="W1425" s="38" t="n">
        <x:v>2.7</x:v>
      </x:c>
      <x:c r="X1425" s="38" t="n">
        <x:v>0.18472565</x:v>
      </x:c>
      <x:c r="Y1425" s="38" t="n">
        <x:v>0</x:v>
      </x:c>
      <x:c r="Z1425" s="38" t="n">
        <x:v>1.0375</x:v>
      </x:c>
      <x:c r="AA1425" s="38" t="n">
        <x:v>0.4125</x:v>
      </x:c>
      <x:c r="AB1425" s="38" t="n">
        <x:v>0.009</x:v>
      </x:c>
      <x:c r="AC1425" s="38" t="n">
        <x:v>2.0261243499999995</x:v>
      </x:c>
      <x:c r="AD1425" s="28" t="n">
        <x:v>0.31808038650831644</x:v>
      </x:c>
    </x:row>
    <x:row r="1426">
      <x:c r="A1426" s="32" t="n">
        <x:v>46160</x:v>
      </x:c>
      <x:c r="B1426" s="32" t="n">
        <x:v>46143</x:v>
      </x:c>
      <x:c r="C1426" t="str">
        <x:v>May 2026</x:v>
      </x:c>
      <x:c r="D1426" t="str">
        <x:v>Forecast</x:v>
      </x:c>
      <x:c r="E1426" t="str">
        <x:v>DB-101</x:v>
      </x:c>
      <x:c r="F1426" t="str">
        <x:v>AeroSip Bottle</x:v>
      </x:c>
      <x:c r="G1426" t="str">
        <x:v>One-time purchase</x:v>
      </x:c>
      <x:c r="H1426" t="str">
        <x:v>None</x:v>
      </x:c>
      <x:c r="I1426" t="str">
        <x:v>Active</x:v>
      </x:c>
      <x:c r="J1426" t="str">
        <x:v>Amazon Marketplace</x:v>
      </x:c>
      <x:c r="K1426" t="str">
        <x:v>Marketplace Consumer</x:v>
      </x:c>
      <x:c r="L1426" t="str">
        <x:v>All Geographies</x:v>
      </x:c>
      <x:c r="M1426" s="34" t="n">
        <x:v>3648</x:v>
      </x:c>
      <x:c r="N1426" s="28" t="n">
        <x:v>0.040355999999999996</x:v>
      </x:c>
      <x:c r="O1426" s="34" t="n">
        <x:v>147</x:v>
      </x:c>
      <x:c r="P1426" s="34" t="n">
        <x:v>1</x:v>
      </x:c>
      <x:c r="Q1426" s="34" t="n">
        <x:v>147</x:v>
      </x:c>
      <x:c r="R1426" s="33" t="n">
        <x:v>29</x:v>
      </x:c>
      <x:c r="S1426" s="38" t="n">
        <x:v>4.263</x:v>
      </x:c>
      <x:c r="T1426" s="38" t="n">
        <x:v>0.21315</x:v>
      </x:c>
      <x:c r="U1426" s="38" t="n">
        <x:v>0.18224325</x:v>
      </x:c>
      <x:c r="V1426" s="38" t="n">
        <x:v>3.86760675</x:v>
      </x:c>
      <x:c r="W1426" s="38" t="n">
        <x:v>1.5876000000000001</x:v>
      </x:c>
      <x:c r="X1426" s="38" t="n">
        <x:v>0</x:v>
      </x:c>
      <x:c r="Y1426" s="38" t="n">
        <x:v>0.5801410125</x:v>
      </x:c>
      <x:c r="Z1426" s="38" t="n">
        <x:v>0.7644</x:v>
      </x:c>
      <x:c r="AA1426" s="38" t="n">
        <x:v>0.31605</x:v>
      </x:c>
      <x:c r="AB1426" s="38" t="n">
        <x:v>0.005292</x:v>
      </x:c>
      <x:c r="AC1426" s="38" t="n">
        <x:v>0.6141237375000003</x:v>
      </x:c>
      <x:c r="AD1426" s="28" t="n">
        <x:v>0.15878649955815705</x:v>
      </x:c>
    </x:row>
    <x:row r="1427">
      <x:c r="A1427" s="32" t="n">
        <x:v>46160</x:v>
      </x:c>
      <x:c r="B1427" s="32" t="n">
        <x:v>46143</x:v>
      </x:c>
      <x:c r="C1427" t="str">
        <x:v>May 2026</x:v>
      </x:c>
      <x:c r="D1427" t="str">
        <x:v>Forecast</x:v>
      </x:c>
      <x:c r="E1427" t="str">
        <x:v>DB-101</x:v>
      </x:c>
      <x:c r="F1427" t="str">
        <x:v>AeroSip Bottle</x:v>
      </x:c>
      <x:c r="G1427" t="str">
        <x:v>One-time purchase</x:v>
      </x:c>
      <x:c r="H1427" t="str">
        <x:v>None</x:v>
      </x:c>
      <x:c r="I1427" t="str">
        <x:v>Active</x:v>
      </x:c>
      <x:c r="J1427" t="str">
        <x:v>Wholesale</x:v>
      </x:c>
      <x:c r="K1427" t="str">
        <x:v>Retailer</x:v>
      </x:c>
      <x:c r="L1427" t="str">
        <x:v>All Geographies</x:v>
      </x:c>
      <x:c r="M1427" s="34" t="n">
        <x:v>2189</x:v>
      </x:c>
      <x:c r="N1427" s="28" t="n">
        <x:v>0.01881</x:v>
      </x:c>
      <x:c r="O1427" s="34" t="n">
        <x:v>41</x:v>
      </x:c>
      <x:c r="P1427" s="34" t="n">
        <x:v>1</x:v>
      </x:c>
      <x:c r="Q1427" s="34" t="n">
        <x:v>41</x:v>
      </x:c>
      <x:c r="R1427" s="33" t="n">
        <x:v>29</x:v>
      </x:c>
      <x:c r="S1427" s="38" t="n">
        <x:v>1.189</x:v>
      </x:c>
      <x:c r="T1427" s="38" t="n">
        <x:v>0.41615</x:v>
      </x:c>
      <x:c r="U1427" s="38" t="n">
        <x:v>0.034778250000000004</x:v>
      </x:c>
      <x:c r="V1427" s="38" t="n">
        <x:v>0.73807175</x:v>
      </x:c>
      <x:c r="W1427" s="38" t="n">
        <x:v>0.4428</x:v>
      </x:c>
      <x:c r="X1427" s="38" t="n">
        <x:v>0</x:v>
      </x:c>
      <x:c r="Y1427" s="38" t="n">
        <x:v>0</x:v>
      </x:c>
      <x:c r="Z1427" s="38" t="n">
        <x:v>0.0943</x:v>
      </x:c>
      <x:c r="AA1427" s="38" t="n">
        <x:v>0.03485</x:v>
      </x:c>
      <x:c r="AB1427" s="38" t="n">
        <x:v>0.0014759999999999999</x:v>
      </x:c>
      <x:c r="AC1427" s="38" t="n">
        <x:v>0.16464575</x:v>
      </x:c>
      <x:c r="AD1427" s="28" t="n">
        <x:v>0.22307553432305194</x:v>
      </x:c>
    </x:row>
    <x:row r="1428">
      <x:c r="A1428" s="32" t="n">
        <x:v>46160</x:v>
      </x:c>
      <x:c r="B1428" s="32" t="n">
        <x:v>46143</x:v>
      </x:c>
      <x:c r="C1428" t="str">
        <x:v>May 2026</x:v>
      </x:c>
      <x:c r="D1428" t="str">
        <x:v>Forecast</x:v>
      </x:c>
      <x:c r="E1428" t="str">
        <x:v>DB-101</x:v>
      </x:c>
      <x:c r="F1428" t="str">
        <x:v>AeroSip Bottle</x:v>
      </x:c>
      <x:c r="G1428" t="str">
        <x:v>One-time purchase</x:v>
      </x:c>
      <x:c r="H1428" t="str">
        <x:v>None</x:v>
      </x:c>
      <x:c r="I1428" t="str">
        <x:v>Active</x:v>
      </x:c>
      <x:c r="J1428" t="str">
        <x:v>TikTok Shop</x:v>
      </x:c>
      <x:c r="K1428" t="str">
        <x:v>Social Commerce</x:v>
      </x:c>
      <x:c r="L1428" t="str">
        <x:v>All Geographies</x:v>
      </x:c>
      <x:c r="M1428" s="34" t="n">
        <x:v>1459</x:v>
      </x:c>
      <x:c r="N1428" s="28" t="n">
        <x:v>0.043092</x:v>
      </x:c>
      <x:c r="O1428" s="34" t="n">
        <x:v>63</x:v>
      </x:c>
      <x:c r="P1428" s="34" t="n">
        <x:v>1</x:v>
      </x:c>
      <x:c r="Q1428" s="34" t="n">
        <x:v>63</x:v>
      </x:c>
      <x:c r="R1428" s="33" t="n">
        <x:v>29</x:v>
      </x:c>
      <x:c r="S1428" s="38" t="n">
        <x:v>1.827</x:v>
      </x:c>
      <x:c r="T1428" s="38" t="n">
        <x:v>0.21924</x:v>
      </x:c>
      <x:c r="U1428" s="38" t="n">
        <x:v>0.07234919999999999</x:v>
      </x:c>
      <x:c r="V1428" s="38" t="n">
        <x:v>1.5354108</x:v>
      </x:c>
      <x:c r="W1428" s="38" t="n">
        <x:v>0.6804000000000001</x:v>
      </x:c>
      <x:c r="X1428" s="38" t="n">
        <x:v>0.044526913200000004</x:v>
      </x:c>
      <x:c r="Y1428" s="38" t="n">
        <x:v>0.09212464799999999</x:v>
      </x:c>
      <x:c r="Z1428" s="38" t="n">
        <x:v>0.3213</x:v>
      </x:c>
      <x:c r="AA1428" s="38" t="n">
        <x:v>0.11025</x:v>
      </x:c>
      <x:c r="AB1428" s="38" t="n">
        <x:v>0.0022679999999999996</x:v>
      </x:c>
      <x:c r="AC1428" s="38" t="n">
        <x:v>0.2845412387999999</x:v>
      </x:c>
      <x:c r="AD1428" s="28" t="n">
        <x:v>0.18531928966501987</x:v>
      </x:c>
    </x:row>
    <x:row r="1429">
      <x:c r="A1429" s="32" t="n">
        <x:v>46160</x:v>
      </x:c>
      <x:c r="B1429" s="32" t="n">
        <x:v>46143</x:v>
      </x:c>
      <x:c r="C1429" t="str">
        <x:v>May 2026</x:v>
      </x:c>
      <x:c r="D1429" t="str">
        <x:v>Forecast</x:v>
      </x:c>
      <x:c r="E1429" t="str">
        <x:v>DB-102</x:v>
      </x:c>
      <x:c r="F1429" t="str">
        <x:v>GlowPatch Balm</x:v>
      </x:c>
      <x:c r="G1429" t="str">
        <x:v>Consumable repeat</x:v>
      </x:c>
      <x:c r="H1429" t="str">
        <x:v>None</x:v>
      </x:c>
      <x:c r="I1429" t="str">
        <x:v>Active</x:v>
      </x:c>
      <x:c r="J1429" t="str">
        <x:v>Shopify DTC</x:v>
      </x:c>
      <x:c r="K1429" t="str">
        <x:v>Consumer</x:v>
      </x:c>
      <x:c r="L1429" t="str">
        <x:v>All Geographies</x:v>
      </x:c>
      <x:c r="M1429" s="34" t="n">
        <x:v>5893</x:v>
      </x:c>
      <x:c r="N1429" s="28" t="n">
        <x:v>0.04248</x:v>
      </x:c>
      <x:c r="O1429" s="34" t="n">
        <x:v>250</x:v>
      </x:c>
      <x:c r="P1429" s="34" t="n">
        <x:v>1</x:v>
      </x:c>
      <x:c r="Q1429" s="34" t="n">
        <x:v>250</x:v>
      </x:c>
      <x:c r="R1429" s="33" t="n">
        <x:v>18</x:v>
      </x:c>
      <x:c r="S1429" s="38" t="n">
        <x:v>4.5</x:v>
      </x:c>
      <x:c r="T1429" s="38" t="n">
        <x:v>0.36</x:v>
      </x:c>
      <x:c r="U1429" s="38" t="n">
        <x:v>0.1035</x:v>
      </x:c>
      <x:c r="V1429" s="38" t="n">
        <x:v>4.036499999999999</x:v>
      </x:c>
      <x:c r="W1429" s="38" t="n">
        <x:v>1.3525</x:v>
      </x:c>
      <x:c r="X1429" s="38" t="n">
        <x:v>0.11705849999999998</x:v>
      </x:c>
      <x:c r="Y1429" s="38" t="n">
        <x:v>0</x:v>
      </x:c>
      <x:c r="Z1429" s="38" t="n">
        <x:v>1.0375</x:v>
      </x:c>
      <x:c r="AA1429" s="38" t="n">
        <x:v>0.4125</x:v>
      </x:c>
      <x:c r="AB1429" s="38" t="n">
        <x:v>0.0015</x:v>
      </x:c>
      <x:c r="AC1429" s="38" t="n">
        <x:v>1.1154414999999989</x:v>
      </x:c>
      <x:c r="AD1429" s="28" t="n">
        <x:v>0.2763387835996529</x:v>
      </x:c>
    </x:row>
    <x:row r="1430">
      <x:c r="A1430" s="32" t="n">
        <x:v>46160</x:v>
      </x:c>
      <x:c r="B1430" s="32" t="n">
        <x:v>46143</x:v>
      </x:c>
      <x:c r="C1430" t="str">
        <x:v>May 2026</x:v>
      </x:c>
      <x:c r="D1430" t="str">
        <x:v>Forecast</x:v>
      </x:c>
      <x:c r="E1430" t="str">
        <x:v>DB-102</x:v>
      </x:c>
      <x:c r="F1430" t="str">
        <x:v>GlowPatch Balm</x:v>
      </x:c>
      <x:c r="G1430" t="str">
        <x:v>Consumable repeat</x:v>
      </x:c>
      <x:c r="H1430" t="str">
        <x:v>None</x:v>
      </x:c>
      <x:c r="I1430" t="str">
        <x:v>Active</x:v>
      </x:c>
      <x:c r="J1430" t="str">
        <x:v>Amazon Marketplace</x:v>
      </x:c>
      <x:c r="K1430" t="str">
        <x:v>Marketplace Consumer</x:v>
      </x:c>
      <x:c r="L1430" t="str">
        <x:v>All Geographies</x:v>
      </x:c>
      <x:c r="M1430" s="34" t="n">
        <x:v>2946</x:v>
      </x:c>
      <x:c r="N1430" s="28" t="n">
        <x:v>0.050126399999999995</x:v>
      </x:c>
      <x:c r="O1430" s="34" t="n">
        <x:v>148</x:v>
      </x:c>
      <x:c r="P1430" s="34" t="n">
        <x:v>1</x:v>
      </x:c>
      <x:c r="Q1430" s="34" t="n">
        <x:v>148</x:v>
      </x:c>
      <x:c r="R1430" s="33" t="n">
        <x:v>18</x:v>
      </x:c>
      <x:c r="S1430" s="38" t="n">
        <x:v>2.664</x:v>
      </x:c>
      <x:c r="T1430" s="38" t="n">
        <x:v>0.1332</x:v>
      </x:c>
      <x:c r="U1430" s="38" t="n">
        <x:v>0.06327</x:v>
      </x:c>
      <x:c r="V1430" s="38" t="n">
        <x:v>2.46753</x:v>
      </x:c>
      <x:c r="W1430" s="38" t="n">
        <x:v>0.8006800000000001</x:v>
      </x:c>
      <x:c r="X1430" s="38" t="n">
        <x:v>0</x:v>
      </x:c>
      <x:c r="Y1430" s="38" t="n">
        <x:v>0.3701295</x:v>
      </x:c>
      <x:c r="Z1430" s="38" t="n">
        <x:v>0.7696000000000001</x:v>
      </x:c>
      <x:c r="AA1430" s="38" t="n">
        <x:v>0.3182</x:v>
      </x:c>
      <x:c r="AB1430" s="38" t="n">
        <x:v>0.0008879999999999999</x:v>
      </x:c>
      <x:c r="AC1430" s="38" t="n">
        <x:v>0.2080324999999999</x:v>
      </x:c>
      <x:c r="AD1430" s="28" t="n">
        <x:v>0.084307992202729</x:v>
      </x:c>
    </x:row>
    <x:row r="1431">
      <x:c r="A1431" s="32" t="n">
        <x:v>46160</x:v>
      </x:c>
      <x:c r="B1431" s="32" t="n">
        <x:v>46143</x:v>
      </x:c>
      <x:c r="C1431" t="str">
        <x:v>May 2026</x:v>
      </x:c>
      <x:c r="D1431" t="str">
        <x:v>Forecast</x:v>
      </x:c>
      <x:c r="E1431" t="str">
        <x:v>DB-102</x:v>
      </x:c>
      <x:c r="F1431" t="str">
        <x:v>GlowPatch Balm</x:v>
      </x:c>
      <x:c r="G1431" t="str">
        <x:v>Consumable repeat</x:v>
      </x:c>
      <x:c r="H1431" t="str">
        <x:v>None</x:v>
      </x:c>
      <x:c r="I1431" t="str">
        <x:v>Active</x:v>
      </x:c>
      <x:c r="J1431" t="str">
        <x:v>Wholesale</x:v>
      </x:c>
      <x:c r="K1431" t="str">
        <x:v>Retailer</x:v>
      </x:c>
      <x:c r="L1431" t="str">
        <x:v>All Geographies</x:v>
      </x:c>
      <x:c r="M1431" s="34" t="n">
        <x:v>1768</x:v>
      </x:c>
      <x:c r="N1431" s="28" t="n">
        <x:v>0.023364</x:v>
      </x:c>
      <x:c r="O1431" s="34" t="n">
        <x:v>41</x:v>
      </x:c>
      <x:c r="P1431" s="34" t="n">
        <x:v>1</x:v>
      </x:c>
      <x:c r="Q1431" s="34" t="n">
        <x:v>41</x:v>
      </x:c>
      <x:c r="R1431" s="33" t="n">
        <x:v>18</x:v>
      </x:c>
      <x:c r="S1431" s="38" t="n">
        <x:v>0.738</x:v>
      </x:c>
      <x:c r="T1431" s="38" t="n">
        <x:v>0.2583</x:v>
      </x:c>
      <x:c r="U1431" s="38" t="n">
        <x:v>0.011992500000000001</x:v>
      </x:c>
      <x:c r="V1431" s="38" t="n">
        <x:v>0.4677075</x:v>
      </x:c>
      <x:c r="W1431" s="38" t="n">
        <x:v>0.22181</x:v>
      </x:c>
      <x:c r="X1431" s="38" t="n">
        <x:v>0</x:v>
      </x:c>
      <x:c r="Y1431" s="38" t="n">
        <x:v>0</x:v>
      </x:c>
      <x:c r="Z1431" s="38" t="n">
        <x:v>0.0943</x:v>
      </x:c>
      <x:c r="AA1431" s="38" t="n">
        <x:v>0.03485</x:v>
      </x:c>
      <x:c r="AB1431" s="38" t="n">
        <x:v>0.000246</x:v>
      </x:c>
      <x:c r="AC1431" s="38" t="n">
        <x:v>0.11650150000000001</x:v>
      </x:c>
      <x:c r="AD1431" s="28" t="n">
        <x:v>0.2490905106289722</x:v>
      </x:c>
    </x:row>
    <x:row r="1432">
      <x:c r="A1432" s="32" t="n">
        <x:v>46160</x:v>
      </x:c>
      <x:c r="B1432" s="32" t="n">
        <x:v>46143</x:v>
      </x:c>
      <x:c r="C1432" t="str">
        <x:v>May 2026</x:v>
      </x:c>
      <x:c r="D1432" t="str">
        <x:v>Forecast</x:v>
      </x:c>
      <x:c r="E1432" t="str">
        <x:v>DB-102</x:v>
      </x:c>
      <x:c r="F1432" t="str">
        <x:v>GlowPatch Balm</x:v>
      </x:c>
      <x:c r="G1432" t="str">
        <x:v>Consumable repeat</x:v>
      </x:c>
      <x:c r="H1432" t="str">
        <x:v>None</x:v>
      </x:c>
      <x:c r="I1432" t="str">
        <x:v>Active</x:v>
      </x:c>
      <x:c r="J1432" t="str">
        <x:v>TikTok Shop</x:v>
      </x:c>
      <x:c r="K1432" t="str">
        <x:v>Social Commerce</x:v>
      </x:c>
      <x:c r="L1432" t="str">
        <x:v>All Geographies</x:v>
      </x:c>
      <x:c r="M1432" s="34" t="n">
        <x:v>1179</x:v>
      </x:c>
      <x:c r="N1432" s="28" t="n">
        <x:v>0.0535248</x:v>
      </x:c>
      <x:c r="O1432" s="34" t="n">
        <x:v>63</x:v>
      </x:c>
      <x:c r="P1432" s="34" t="n">
        <x:v>1</x:v>
      </x:c>
      <x:c r="Q1432" s="34" t="n">
        <x:v>63</x:v>
      </x:c>
      <x:c r="R1432" s="33" t="n">
        <x:v>18</x:v>
      </x:c>
      <x:c r="S1432" s="38" t="n">
        <x:v>1.134</x:v>
      </x:c>
      <x:c r="T1432" s="38" t="n">
        <x:v>0.13607999999999998</x:v>
      </x:c>
      <x:c r="U1432" s="38" t="n">
        <x:v>0.024947999999999998</x:v>
      </x:c>
      <x:c r="V1432" s="38" t="n">
        <x:v>0.972972</x:v>
      </x:c>
      <x:c r="W1432" s="38" t="n">
        <x:v>0.34082999999999997</x:v>
      </x:c>
      <x:c r="X1432" s="38" t="n">
        <x:v>0.028216188</x:v>
      </x:c>
      <x:c r="Y1432" s="38" t="n">
        <x:v>0.05837832</x:v>
      </x:c>
      <x:c r="Z1432" s="38" t="n">
        <x:v>0.3213</x:v>
      </x:c>
      <x:c r="AA1432" s="38" t="n">
        <x:v>0.11025</x:v>
      </x:c>
      <x:c r="AB1432" s="38" t="n">
        <x:v>0.000378</x:v>
      </x:c>
      <x:c r="AC1432" s="38" t="n">
        <x:v>0.11361949199999999</x:v>
      </x:c>
      <x:c r="AD1432" s="28" t="n">
        <x:v>0.11677570577570577</x:v>
      </x:c>
    </x:row>
    <x:row r="1433">
      <x:c r="A1433" s="32" t="n">
        <x:v>46160</x:v>
      </x:c>
      <x:c r="B1433" s="32" t="n">
        <x:v>46143</x:v>
      </x:c>
      <x:c r="C1433" t="str">
        <x:v>May 2026</x:v>
      </x:c>
      <x:c r="D1433" t="str">
        <x:v>Forecast</x:v>
      </x:c>
      <x:c r="E1433" t="str">
        <x:v>DB-103</x:v>
      </x:c>
      <x:c r="F1433" t="str">
        <x:v>EmberTrail Camp Mug</x:v>
      </x:c>
      <x:c r="G1433" t="str">
        <x:v>One-time purchase</x:v>
      </x:c>
      <x:c r="H1433" t="str">
        <x:v>Winter peak</x:v>
      </x:c>
      <x:c r="I1433" t="str">
        <x:v>Active</x:v>
      </x:c>
      <x:c r="J1433" t="str">
        <x:v>Shopify DTC</x:v>
      </x:c>
      <x:c r="K1433" t="str">
        <x:v>Consumer</x:v>
      </x:c>
      <x:c r="L1433" t="str">
        <x:v>All Geographies</x:v>
      </x:c>
      <x:c r="M1433" s="34" t="n">
        <x:v>3940</x:v>
      </x:c>
      <x:c r="N1433" s="28" t="n">
        <x:v>0.0324</x:v>
      </x:c>
      <x:c r="O1433" s="34" t="n">
        <x:v>128</x:v>
      </x:c>
      <x:c r="P1433" s="34" t="n">
        <x:v>1</x:v>
      </x:c>
      <x:c r="Q1433" s="34" t="n">
        <x:v>128</x:v>
      </x:c>
      <x:c r="R1433" s="33" t="n">
        <x:v>34</x:v>
      </x:c>
      <x:c r="S1433" s="38" t="n">
        <x:v>4.352</x:v>
      </x:c>
      <x:c r="T1433" s="38" t="n">
        <x:v>0.34816</x:v>
      </x:c>
      <x:c r="U1433" s="38" t="n">
        <x:v>0.22021120000000002</x:v>
      </x:c>
      <x:c r="V1433" s="38" t="n">
        <x:v>3.7836288000000002</x:v>
      </x:c>
      <x:c r="W1433" s="38" t="n">
        <x:v>1.74976</x:v>
      </x:c>
      <x:c r="X1433" s="38" t="n">
        <x:v>0.10972523520000001</x:v>
      </x:c>
      <x:c r="Y1433" s="38" t="n">
        <x:v>0</x:v>
      </x:c>
      <x:c r="Z1433" s="38" t="n">
        <x:v>0.5312</x:v>
      </x:c>
      <x:c r="AA1433" s="38" t="n">
        <x:v>0.2112</x:v>
      </x:c>
      <x:c r="AB1433" s="38" t="n">
        <x:v>0.007168</x:v>
      </x:c>
      <x:c r="AC1433" s="38" t="n">
        <x:v>1.1745755648000002</x:v>
      </x:c>
      <x:c r="AD1433" s="28" t="n">
        <x:v>0.3104362575948254</x:v>
      </x:c>
    </x:row>
    <x:row r="1434">
      <x:c r="A1434" s="32" t="n">
        <x:v>46160</x:v>
      </x:c>
      <x:c r="B1434" s="32" t="n">
        <x:v>46143</x:v>
      </x:c>
      <x:c r="C1434" t="str">
        <x:v>May 2026</x:v>
      </x:c>
      <x:c r="D1434" t="str">
        <x:v>Forecast</x:v>
      </x:c>
      <x:c r="E1434" t="str">
        <x:v>DB-103</x:v>
      </x:c>
      <x:c r="F1434" t="str">
        <x:v>EmberTrail Camp Mug</x:v>
      </x:c>
      <x:c r="G1434" t="str">
        <x:v>One-time purchase</x:v>
      </x:c>
      <x:c r="H1434" t="str">
        <x:v>Winter peak</x:v>
      </x:c>
      <x:c r="I1434" t="str">
        <x:v>Active</x:v>
      </x:c>
      <x:c r="J1434" t="str">
        <x:v>Amazon Marketplace</x:v>
      </x:c>
      <x:c r="K1434" t="str">
        <x:v>Marketplace Consumer</x:v>
      </x:c>
      <x:c r="L1434" t="str">
        <x:v>All Geographies</x:v>
      </x:c>
      <x:c r="M1434" s="34" t="n">
        <x:v>1970</x:v>
      </x:c>
      <x:c r="N1434" s="28" t="n">
        <x:v>0.038231999999999995</x:v>
      </x:c>
      <x:c r="O1434" s="34" t="n">
        <x:v>75</x:v>
      </x:c>
      <x:c r="P1434" s="34" t="n">
        <x:v>1</x:v>
      </x:c>
      <x:c r="Q1434" s="34" t="n">
        <x:v>75</x:v>
      </x:c>
      <x:c r="R1434" s="33" t="n">
        <x:v>34</x:v>
      </x:c>
      <x:c r="S1434" s="38" t="n">
        <x:v>2.55</x:v>
      </x:c>
      <x:c r="T1434" s="38" t="n">
        <x:v>0.1275</x:v>
      </x:c>
      <x:c r="U1434" s="38" t="n">
        <x:v>0.13323749999999998</x:v>
      </x:c>
      <x:c r="V1434" s="38" t="n">
        <x:v>2.2892625</x:v>
      </x:c>
      <x:c r="W1434" s="38" t="n">
        <x:v>1.02525</x:v>
      </x:c>
      <x:c r="X1434" s="38" t="n">
        <x:v>0</x:v>
      </x:c>
      <x:c r="Y1434" s="38" t="n">
        <x:v>0.343389375</x:v>
      </x:c>
      <x:c r="Z1434" s="38" t="n">
        <x:v>0.39</x:v>
      </x:c>
      <x:c r="AA1434" s="38" t="n">
        <x:v>0.16125</x:v>
      </x:c>
      <x:c r="AB1434" s="38" t="n">
        <x:v>0.004200000000000001</x:v>
      </x:c>
      <x:c r="AC1434" s="38" t="n">
        <x:v>0.365173125</x:v>
      </x:c>
      <x:c r="AD1434" s="28" t="n">
        <x:v>0.15951561911314233</x:v>
      </x:c>
    </x:row>
    <x:row r="1435">
      <x:c r="A1435" s="32" t="n">
        <x:v>46160</x:v>
      </x:c>
      <x:c r="B1435" s="32" t="n">
        <x:v>46143</x:v>
      </x:c>
      <x:c r="C1435" t="str">
        <x:v>May 2026</x:v>
      </x:c>
      <x:c r="D1435" t="str">
        <x:v>Forecast</x:v>
      </x:c>
      <x:c r="E1435" t="str">
        <x:v>DB-103</x:v>
      </x:c>
      <x:c r="F1435" t="str">
        <x:v>EmberTrail Camp Mug</x:v>
      </x:c>
      <x:c r="G1435" t="str">
        <x:v>One-time purchase</x:v>
      </x:c>
      <x:c r="H1435" t="str">
        <x:v>Winter peak</x:v>
      </x:c>
      <x:c r="I1435" t="str">
        <x:v>Active</x:v>
      </x:c>
      <x:c r="J1435" t="str">
        <x:v>Wholesale</x:v>
      </x:c>
      <x:c r="K1435" t="str">
        <x:v>Retailer</x:v>
      </x:c>
      <x:c r="L1435" t="str">
        <x:v>All Geographies</x:v>
      </x:c>
      <x:c r="M1435" s="34" t="n">
        <x:v>1182</x:v>
      </x:c>
      <x:c r="N1435" s="28" t="n">
        <x:v>0.017820000000000003</x:v>
      </x:c>
      <x:c r="O1435" s="34" t="n">
        <x:v>21</x:v>
      </x:c>
      <x:c r="P1435" s="34" t="n">
        <x:v>1</x:v>
      </x:c>
      <x:c r="Q1435" s="34" t="n">
        <x:v>21</x:v>
      </x:c>
      <x:c r="R1435" s="33" t="n">
        <x:v>34</x:v>
      </x:c>
      <x:c r="S1435" s="38" t="n">
        <x:v>0.714</x:v>
      </x:c>
      <x:c r="T1435" s="38" t="n">
        <x:v>0.24989999999999998</x:v>
      </x:c>
      <x:c r="U1435" s="38" t="n">
        <x:v>0.025525499999999996</x:v>
      </x:c>
      <x:c r="V1435" s="38" t="n">
        <x:v>0.4385745</x:v>
      </x:c>
      <x:c r="W1435" s="38" t="n">
        <x:v>0.28707</x:v>
      </x:c>
      <x:c r="X1435" s="38" t="n">
        <x:v>0</x:v>
      </x:c>
      <x:c r="Y1435" s="38" t="n">
        <x:v>0</x:v>
      </x:c>
      <x:c r="Z1435" s="38" t="n">
        <x:v>0.048299999999999996</x:v>
      </x:c>
      <x:c r="AA1435" s="38" t="n">
        <x:v>0.017849999999999998</x:v>
      </x:c>
      <x:c r="AB1435" s="38" t="n">
        <x:v>0.0011760000000000002</x:v>
      </x:c>
      <x:c r="AC1435" s="38" t="n">
        <x:v>0.0841785</x:v>
      </x:c>
      <x:c r="AD1435" s="28" t="n">
        <x:v>0.1919366037013096</x:v>
      </x:c>
    </x:row>
    <x:row r="1436">
      <x:c r="A1436" s="32" t="n">
        <x:v>46160</x:v>
      </x:c>
      <x:c r="B1436" s="32" t="n">
        <x:v>46143</x:v>
      </x:c>
      <x:c r="C1436" t="str">
        <x:v>May 2026</x:v>
      </x:c>
      <x:c r="D1436" t="str">
        <x:v>Forecast</x:v>
      </x:c>
      <x:c r="E1436" t="str">
        <x:v>DB-103</x:v>
      </x:c>
      <x:c r="F1436" t="str">
        <x:v>EmberTrail Camp Mug</x:v>
      </x:c>
      <x:c r="G1436" t="str">
        <x:v>One-time purchase</x:v>
      </x:c>
      <x:c r="H1436" t="str">
        <x:v>Winter peak</x:v>
      </x:c>
      <x:c r="I1436" t="str">
        <x:v>Active</x:v>
      </x:c>
      <x:c r="J1436" t="str">
        <x:v>TikTok Shop</x:v>
      </x:c>
      <x:c r="K1436" t="str">
        <x:v>Social Commerce</x:v>
      </x:c>
      <x:c r="L1436" t="str">
        <x:v>All Geographies</x:v>
      </x:c>
      <x:c r="M1436" s="34" t="n">
        <x:v>788</x:v>
      </x:c>
      <x:c r="N1436" s="28" t="n">
        <x:v>0.040824</x:v>
      </x:c>
      <x:c r="O1436" s="34" t="n">
        <x:v>32</x:v>
      </x:c>
      <x:c r="P1436" s="34" t="n">
        <x:v>1</x:v>
      </x:c>
      <x:c r="Q1436" s="34" t="n">
        <x:v>32</x:v>
      </x:c>
      <x:c r="R1436" s="33" t="n">
        <x:v>34</x:v>
      </x:c>
      <x:c r="S1436" s="38" t="n">
        <x:v>1.088</x:v>
      </x:c>
      <x:c r="T1436" s="38" t="n">
        <x:v>0.13056</x:v>
      </x:c>
      <x:c r="U1436" s="38" t="n">
        <x:v>0.0526592</x:v>
      </x:c>
      <x:c r="V1436" s="38" t="n">
        <x:v>0.9047808</x:v>
      </x:c>
      <x:c r="W1436" s="38" t="n">
        <x:v>0.43744</x:v>
      </x:c>
      <x:c r="X1436" s="38" t="n">
        <x:v>0.0262386432</x:v>
      </x:c>
      <x:c r="Y1436" s="38" t="n">
        <x:v>0.054286848</x:v>
      </x:c>
      <x:c r="Z1436" s="38" t="n">
        <x:v>0.16319999999999998</x:v>
      </x:c>
      <x:c r="AA1436" s="38" t="n">
        <x:v>0.056</x:v>
      </x:c>
      <x:c r="AB1436" s="38" t="n">
        <x:v>0.001792</x:v>
      </x:c>
      <x:c r="AC1436" s="38" t="n">
        <x:v>0.16582330880000007</x:v>
      </x:c>
      <x:c r="AD1436" s="28" t="n">
        <x:v>0.1832745663922135</x:v>
      </x:c>
    </x:row>
    <x:row r="1437">
      <x:c r="A1437" s="32" t="n">
        <x:v>46160</x:v>
      </x:c>
      <x:c r="B1437" s="32" t="n">
        <x:v>46143</x:v>
      </x:c>
      <x:c r="C1437" t="str">
        <x:v>May 2026</x:v>
      </x:c>
      <x:c r="D1437" t="str">
        <x:v>Forecast</x:v>
      </x:c>
      <x:c r="E1437" t="str">
        <x:v>DB-104</x:v>
      </x:c>
      <x:c r="F1437" t="str">
        <x:v>SunNest Cooling Towel</x:v>
      </x:c>
      <x:c r="G1437" t="str">
        <x:v>Consumable repeat</x:v>
      </x:c>
      <x:c r="H1437" t="str">
        <x:v>Summer peak</x:v>
      </x:c>
      <x:c r="I1437" t="str">
        <x:v>Active</x:v>
      </x:c>
      <x:c r="J1437" t="str">
        <x:v>Shopify DTC</x:v>
      </x:c>
      <x:c r="K1437" t="str">
        <x:v>Consumer</x:v>
      </x:c>
      <x:c r="L1437" t="str">
        <x:v>All Geographies</x:v>
      </x:c>
      <x:c r="M1437" s="34" t="n">
        <x:v>6106</x:v>
      </x:c>
      <x:c r="N1437" s="28" t="n">
        <x:v>0.03312</x:v>
      </x:c>
      <x:c r="O1437" s="34" t="n">
        <x:v>202</x:v>
      </x:c>
      <x:c r="P1437" s="34" t="n">
        <x:v>1</x:v>
      </x:c>
      <x:c r="Q1437" s="34" t="n">
        <x:v>202</x:v>
      </x:c>
      <x:c r="R1437" s="33" t="n">
        <x:v>42</x:v>
      </x:c>
      <x:c r="S1437" s="38" t="n">
        <x:v>8.484</x:v>
      </x:c>
      <x:c r="T1437" s="38" t="n">
        <x:v>0.67872</x:v>
      </x:c>
      <x:c r="U1437" s="38" t="n">
        <x:v>0.390264</x:v>
      </x:c>
      <x:c r="V1437" s="38" t="n">
        <x:v>7.415016</x:v>
      </x:c>
      <x:c r="W1437" s="38" t="n">
        <x:v>3.0401000000000002</x:v>
      </x:c>
      <x:c r="X1437" s="38" t="n">
        <x:v>0.215035464</x:v>
      </x:c>
      <x:c r="Y1437" s="38" t="n">
        <x:v>0</x:v>
      </x:c>
      <x:c r="Z1437" s="38" t="n">
        <x:v>0.8383</x:v>
      </x:c>
      <x:c r="AA1437" s="38" t="n">
        <x:v>0.33329999999999993</x:v>
      </x:c>
      <x:c r="AB1437" s="38" t="n">
        <x:v>0.005656</x:v>
      </x:c>
      <x:c r="AC1437" s="38" t="n">
        <x:v>2.982624535999999</x:v>
      </x:c>
      <x:c r="AD1437" s="28" t="n">
        <x:v>0.40224114634412106</x:v>
      </x:c>
    </x:row>
    <x:row r="1438">
      <x:c r="A1438" s="32" t="n">
        <x:v>46160</x:v>
      </x:c>
      <x:c r="B1438" s="32" t="n">
        <x:v>46143</x:v>
      </x:c>
      <x:c r="C1438" t="str">
        <x:v>May 2026</x:v>
      </x:c>
      <x:c r="D1438" t="str">
        <x:v>Forecast</x:v>
      </x:c>
      <x:c r="E1438" t="str">
        <x:v>DB-104</x:v>
      </x:c>
      <x:c r="F1438" t="str">
        <x:v>SunNest Cooling Towel</x:v>
      </x:c>
      <x:c r="G1438" t="str">
        <x:v>Consumable repeat</x:v>
      </x:c>
      <x:c r="H1438" t="str">
        <x:v>Summer peak</x:v>
      </x:c>
      <x:c r="I1438" t="str">
        <x:v>Active</x:v>
      </x:c>
      <x:c r="J1438" t="str">
        <x:v>Amazon Marketplace</x:v>
      </x:c>
      <x:c r="K1438" t="str">
        <x:v>Marketplace Consumer</x:v>
      </x:c>
      <x:c r="L1438" t="str">
        <x:v>All Geographies</x:v>
      </x:c>
      <x:c r="M1438" s="34" t="n">
        <x:v>3053</x:v>
      </x:c>
      <x:c r="N1438" s="28" t="n">
        <x:v>0.0390816</x:v>
      </x:c>
      <x:c r="O1438" s="34" t="n">
        <x:v>119</x:v>
      </x:c>
      <x:c r="P1438" s="34" t="n">
        <x:v>1</x:v>
      </x:c>
      <x:c r="Q1438" s="34" t="n">
        <x:v>119</x:v>
      </x:c>
      <x:c r="R1438" s="33" t="n">
        <x:v>42</x:v>
      </x:c>
      <x:c r="S1438" s="38" t="n">
        <x:v>4.998</x:v>
      </x:c>
      <x:c r="T1438" s="38" t="n">
        <x:v>0.2499</x:v>
      </x:c>
      <x:c r="U1438" s="38" t="n">
        <x:v>0.237405</x:v>
      </x:c>
      <x:c r="V1438" s="38" t="n">
        <x:v>4.510695</x:v>
      </x:c>
      <x:c r="W1438" s="38" t="n">
        <x:v>1.79095</x:v>
      </x:c>
      <x:c r="X1438" s="38" t="n">
        <x:v>0</x:v>
      </x:c>
      <x:c r="Y1438" s="38" t="n">
        <x:v>0.67660425</x:v>
      </x:c>
      <x:c r="Z1438" s="38" t="n">
        <x:v>0.6188</x:v>
      </x:c>
      <x:c r="AA1438" s="38" t="n">
        <x:v>0.25585</x:v>
      </x:c>
      <x:c r="AB1438" s="38" t="n">
        <x:v>0.003332</x:v>
      </x:c>
      <x:c r="AC1438" s="38" t="n">
        <x:v>1.1651587500000002</x:v>
      </x:c>
      <x:c r="AD1438" s="28" t="n">
        <x:v>0.25831024930747926</x:v>
      </x:c>
    </x:row>
    <x:row r="1439">
      <x:c r="A1439" s="32" t="n">
        <x:v>46160</x:v>
      </x:c>
      <x:c r="B1439" s="32" t="n">
        <x:v>46143</x:v>
      </x:c>
      <x:c r="C1439" t="str">
        <x:v>May 2026</x:v>
      </x:c>
      <x:c r="D1439" t="str">
        <x:v>Forecast</x:v>
      </x:c>
      <x:c r="E1439" t="str">
        <x:v>DB-104</x:v>
      </x:c>
      <x:c r="F1439" t="str">
        <x:v>SunNest Cooling Towel</x:v>
      </x:c>
      <x:c r="G1439" t="str">
        <x:v>Consumable repeat</x:v>
      </x:c>
      <x:c r="H1439" t="str">
        <x:v>Summer peak</x:v>
      </x:c>
      <x:c r="I1439" t="str">
        <x:v>Active</x:v>
      </x:c>
      <x:c r="J1439" t="str">
        <x:v>Wholesale</x:v>
      </x:c>
      <x:c r="K1439" t="str">
        <x:v>Retailer</x:v>
      </x:c>
      <x:c r="L1439" t="str">
        <x:v>All Geographies</x:v>
      </x:c>
      <x:c r="M1439" s="34" t="n">
        <x:v>1832</x:v>
      </x:c>
      <x:c r="N1439" s="28" t="n">
        <x:v>0.018216000000000003</x:v>
      </x:c>
      <x:c r="O1439" s="34" t="n">
        <x:v>33</x:v>
      </x:c>
      <x:c r="P1439" s="34" t="n">
        <x:v>1</x:v>
      </x:c>
      <x:c r="Q1439" s="34" t="n">
        <x:v>33</x:v>
      </x:c>
      <x:c r="R1439" s="33" t="n">
        <x:v>42</x:v>
      </x:c>
      <x:c r="S1439" s="38" t="n">
        <x:v>1.386</x:v>
      </x:c>
      <x:c r="T1439" s="38" t="n">
        <x:v>0.4850999999999999</x:v>
      </x:c>
      <x:c r="U1439" s="38" t="n">
        <x:v>0.045045</x:v>
      </x:c>
      <x:c r="V1439" s="38" t="n">
        <x:v>0.855855</x:v>
      </x:c>
      <x:c r="W1439" s="38" t="n">
        <x:v>0.49665000000000004</x:v>
      </x:c>
      <x:c r="X1439" s="38" t="n">
        <x:v>0</x:v>
      </x:c>
      <x:c r="Y1439" s="38" t="n">
        <x:v>0</x:v>
      </x:c>
      <x:c r="Z1439" s="38" t="n">
        <x:v>0.0759</x:v>
      </x:c>
      <x:c r="AA1439" s="38" t="n">
        <x:v>0.028050000000000002</x:v>
      </x:c>
      <x:c r="AB1439" s="38" t="n">
        <x:v>0.0009239999999999999</x:v>
      </x:c>
      <x:c r="AC1439" s="38" t="n">
        <x:v>0.25433100000000003</x:v>
      </x:c>
      <x:c r="AD1439" s="28" t="n">
        <x:v>0.29716599190283405</x:v>
      </x:c>
    </x:row>
    <x:row r="1440">
      <x:c r="A1440" s="32" t="n">
        <x:v>46160</x:v>
      </x:c>
      <x:c r="B1440" s="32" t="n">
        <x:v>46143</x:v>
      </x:c>
      <x:c r="C1440" t="str">
        <x:v>May 2026</x:v>
      </x:c>
      <x:c r="D1440" t="str">
        <x:v>Forecast</x:v>
      </x:c>
      <x:c r="E1440" t="str">
        <x:v>DB-104</x:v>
      </x:c>
      <x:c r="F1440" t="str">
        <x:v>SunNest Cooling Towel</x:v>
      </x:c>
      <x:c r="G1440" t="str">
        <x:v>Consumable repeat</x:v>
      </x:c>
      <x:c r="H1440" t="str">
        <x:v>Summer peak</x:v>
      </x:c>
      <x:c r="I1440" t="str">
        <x:v>Active</x:v>
      </x:c>
      <x:c r="J1440" t="str">
        <x:v>TikTok Shop</x:v>
      </x:c>
      <x:c r="K1440" t="str">
        <x:v>Social Commerce</x:v>
      </x:c>
      <x:c r="L1440" t="str">
        <x:v>All Geographies</x:v>
      </x:c>
      <x:c r="M1440" s="34" t="n">
        <x:v>1221</x:v>
      </x:c>
      <x:c r="N1440" s="28" t="n">
        <x:v>0.0417312</x:v>
      </x:c>
      <x:c r="O1440" s="34" t="n">
        <x:v>51</x:v>
      </x:c>
      <x:c r="P1440" s="34" t="n">
        <x:v>1</x:v>
      </x:c>
      <x:c r="Q1440" s="34" t="n">
        <x:v>51</x:v>
      </x:c>
      <x:c r="R1440" s="33" t="n">
        <x:v>42</x:v>
      </x:c>
      <x:c r="S1440" s="38" t="n">
        <x:v>2.142</x:v>
      </x:c>
      <x:c r="T1440" s="38" t="n">
        <x:v>0.25704</x:v>
      </x:c>
      <x:c r="U1440" s="38" t="n">
        <x:v>0.094248</x:v>
      </x:c>
      <x:c r="V1440" s="38" t="n">
        <x:v>1.790712</x:v>
      </x:c>
      <x:c r="W1440" s="38" t="n">
        <x:v>0.7675500000000001</x:v>
      </x:c>
      <x:c r="X1440" s="38" t="n">
        <x:v>0.051930648</x:v>
      </x:c>
      <x:c r="Y1440" s="38" t="n">
        <x:v>0.10744272</x:v>
      </x:c>
      <x:c r="Z1440" s="38" t="n">
        <x:v>0.26009999999999994</x:v>
      </x:c>
      <x:c r="AA1440" s="38" t="n">
        <x:v>0.08925</x:v>
      </x:c>
      <x:c r="AB1440" s="38" t="n">
        <x:v>0.001428</x:v>
      </x:c>
      <x:c r="AC1440" s="38" t="n">
        <x:v>0.5130106320000001</x:v>
      </x:c>
      <x:c r="AD1440" s="28" t="n">
        <x:v>0.2864841649578492</x:v>
      </x:c>
    </x:row>
    <x:row r="1441">
      <x:c r="A1441" s="32" t="n">
        <x:v>46160</x:v>
      </x:c>
      <x:c r="B1441" s="32" t="n">
        <x:v>46143</x:v>
      </x:c>
      <x:c r="C1441" t="str">
        <x:v>May 2026</x:v>
      </x:c>
      <x:c r="D1441" t="str">
        <x:v>Forecast</x:v>
      </x:c>
      <x:c r="E1441" t="str">
        <x:v>DB-105</x:v>
      </x:c>
      <x:c r="F1441" t="str">
        <x:v>DreamFuel Refill Pack</x:v>
      </x:c>
      <x:c r="G1441" t="str">
        <x:v>Subscription</x:v>
      </x:c>
      <x:c r="H1441" t="str">
        <x:v>None</x:v>
      </x:c>
      <x:c r="I1441" t="str">
        <x:v>Active</x:v>
      </x:c>
      <x:c r="J1441" t="str">
        <x:v>Shopify DTC</x:v>
      </x:c>
      <x:c r="K1441" t="str">
        <x:v>Consumer</x:v>
      </x:c>
      <x:c r="L1441" t="str">
        <x:v>All Geographies</x:v>
      </x:c>
      <x:c r="M1441" s="34" t="n">
        <x:v>5051</x:v>
      </x:c>
      <x:c r="N1441" s="28" t="n">
        <x:v>0.03888</x:v>
      </x:c>
      <x:c r="O1441" s="34" t="n">
        <x:v>196</x:v>
      </x:c>
      <x:c r="P1441" s="34" t="n">
        <x:v>1</x:v>
      </x:c>
      <x:c r="Q1441" s="34" t="n">
        <x:v>196</x:v>
      </x:c>
      <x:c r="R1441" s="33" t="n">
        <x:v>56</x:v>
      </x:c>
      <x:c r="S1441" s="38" t="n">
        <x:v>10.976</x:v>
      </x:c>
      <x:c r="T1441" s="38" t="n">
        <x:v>0.8780800000000001</x:v>
      </x:c>
      <x:c r="U1441" s="38" t="n">
        <x:v>0.2019584</x:v>
      </x:c>
      <x:c r="V1441" s="38" t="n">
        <x:v>9.8959616</x:v>
      </x:c>
      <x:c r="W1441" s="38" t="n">
        <x:v>3.64952</x:v>
      </x:c>
      <x:c r="X1441" s="38" t="n">
        <x:v>0.2869828864</x:v>
      </x:c>
      <x:c r="Y1441" s="38" t="n">
        <x:v>0</x:v>
      </x:c>
      <x:c r="Z1441" s="38" t="n">
        <x:v>0.8134000000000001</x:v>
      </x:c>
      <x:c r="AA1441" s="38" t="n">
        <x:v>0.32339999999999997</x:v>
      </x:c>
      <x:c r="AB1441" s="38" t="n">
        <x:v>0.0007055999999999999</x:v>
      </x:c>
      <x:c r="AC1441" s="38" t="n">
        <x:v>4.8219531136</x:v>
      </x:c>
      <x:c r="AD1441" s="28" t="n">
        <x:v>0.4872647357079478</x:v>
      </x:c>
    </x:row>
    <x:row r="1442">
      <x:c r="A1442" s="32" t="n">
        <x:v>46160</x:v>
      </x:c>
      <x:c r="B1442" s="32" t="n">
        <x:v>46143</x:v>
      </x:c>
      <x:c r="C1442" t="str">
        <x:v>May 2026</x:v>
      </x:c>
      <x:c r="D1442" t="str">
        <x:v>Forecast</x:v>
      </x:c>
      <x:c r="E1442" t="str">
        <x:v>DB-105</x:v>
      </x:c>
      <x:c r="F1442" t="str">
        <x:v>DreamFuel Refill Pack</x:v>
      </x:c>
      <x:c r="G1442" t="str">
        <x:v>Subscription</x:v>
      </x:c>
      <x:c r="H1442" t="str">
        <x:v>None</x:v>
      </x:c>
      <x:c r="I1442" t="str">
        <x:v>Active</x:v>
      </x:c>
      <x:c r="J1442" t="str">
        <x:v>Amazon Marketplace</x:v>
      </x:c>
      <x:c r="K1442" t="str">
        <x:v>Marketplace Consumer</x:v>
      </x:c>
      <x:c r="L1442" t="str">
        <x:v>All Geographies</x:v>
      </x:c>
      <x:c r="M1442" s="34" t="n">
        <x:v>2525</x:v>
      </x:c>
      <x:c r="N1442" s="28" t="n">
        <x:v>0.0458784</x:v>
      </x:c>
      <x:c r="O1442" s="34" t="n">
        <x:v>116</x:v>
      </x:c>
      <x:c r="P1442" s="34" t="n">
        <x:v>1</x:v>
      </x:c>
      <x:c r="Q1442" s="34" t="n">
        <x:v>116</x:v>
      </x:c>
      <x:c r="R1442" s="33" t="n">
        <x:v>56</x:v>
      </x:c>
      <x:c r="S1442" s="38" t="n">
        <x:v>6.496</x:v>
      </x:c>
      <x:c r="T1442" s="38" t="n">
        <x:v>0.32480000000000003</x:v>
      </x:c>
      <x:c r="U1442" s="38" t="n">
        <x:v>0.12342400000000002</x:v>
      </x:c>
      <x:c r="V1442" s="38" t="n">
        <x:v>6.047776000000001</x:v>
      </x:c>
      <x:c r="W1442" s="38" t="n">
        <x:v>2.15992</x:v>
      </x:c>
      <x:c r="X1442" s="38" t="n">
        <x:v>0</x:v>
      </x:c>
      <x:c r="Y1442" s="38" t="n">
        <x:v>0.9071664</x:v>
      </x:c>
      <x:c r="Z1442" s="38" t="n">
        <x:v>0.6032000000000001</x:v>
      </x:c>
      <x:c r="AA1442" s="38" t="n">
        <x:v>0.24939999999999998</x:v>
      </x:c>
      <x:c r="AB1442" s="38" t="n">
        <x:v>0.0004176</x:v>
      </x:c>
      <x:c r="AC1442" s="38" t="n">
        <x:v>2.1276720000000005</x:v>
      </x:c>
      <x:c r="AD1442" s="28" t="n">
        <x:v>0.35181064907165877</x:v>
      </x:c>
    </x:row>
    <x:row r="1443">
      <x:c r="A1443" s="32" t="n">
        <x:v>46160</x:v>
      </x:c>
      <x:c r="B1443" s="32" t="n">
        <x:v>46143</x:v>
      </x:c>
      <x:c r="C1443" t="str">
        <x:v>May 2026</x:v>
      </x:c>
      <x:c r="D1443" t="str">
        <x:v>Forecast</x:v>
      </x:c>
      <x:c r="E1443" t="str">
        <x:v>DB-105</x:v>
      </x:c>
      <x:c r="F1443" t="str">
        <x:v>DreamFuel Refill Pack</x:v>
      </x:c>
      <x:c r="G1443" t="str">
        <x:v>Subscription</x:v>
      </x:c>
      <x:c r="H1443" t="str">
        <x:v>None</x:v>
      </x:c>
      <x:c r="I1443" t="str">
        <x:v>Active</x:v>
      </x:c>
      <x:c r="J1443" t="str">
        <x:v>Wholesale</x:v>
      </x:c>
      <x:c r="K1443" t="str">
        <x:v>Retailer</x:v>
      </x:c>
      <x:c r="L1443" t="str">
        <x:v>All Geographies</x:v>
      </x:c>
      <x:c r="M1443" s="34" t="n">
        <x:v>1515</x:v>
      </x:c>
      <x:c r="N1443" s="28" t="n">
        <x:v>0.021384000000000004</x:v>
      </x:c>
      <x:c r="O1443" s="34" t="n">
        <x:v>32</x:v>
      </x:c>
      <x:c r="P1443" s="34" t="n">
        <x:v>1</x:v>
      </x:c>
      <x:c r="Q1443" s="34" t="n">
        <x:v>32</x:v>
      </x:c>
      <x:c r="R1443" s="33" t="n">
        <x:v>56</x:v>
      </x:c>
      <x:c r="S1443" s="38" t="n">
        <x:v>1.792</x:v>
      </x:c>
      <x:c r="T1443" s="38" t="n">
        <x:v>0.6272</x:v>
      </x:c>
      <x:c r="U1443" s="38" t="n">
        <x:v>0.023296</x:v>
      </x:c>
      <x:c r="V1443" s="38" t="n">
        <x:v>1.141504</x:v>
      </x:c>
      <x:c r="W1443" s="38" t="n">
        <x:v>0.59584</x:v>
      </x:c>
      <x:c r="X1443" s="38" t="n">
        <x:v>0</x:v>
      </x:c>
      <x:c r="Y1443" s="38" t="n">
        <x:v>0</x:v>
      </x:c>
      <x:c r="Z1443" s="38" t="n">
        <x:v>0.0736</x:v>
      </x:c>
      <x:c r="AA1443" s="38" t="n">
        <x:v>0.0272</x:v>
      </x:c>
      <x:c r="AB1443" s="38" t="n">
        <x:v>0.0001152</x:v>
      </x:c>
      <x:c r="AC1443" s="38" t="n">
        <x:v>0.44474880000000006</x:v>
      </x:c>
      <x:c r="AD1443" s="28" t="n">
        <x:v>0.3896165059430366</x:v>
      </x:c>
    </x:row>
    <x:row r="1444">
      <x:c r="A1444" s="32" t="n">
        <x:v>46160</x:v>
      </x:c>
      <x:c r="B1444" s="32" t="n">
        <x:v>46143</x:v>
      </x:c>
      <x:c r="C1444" t="str">
        <x:v>May 2026</x:v>
      </x:c>
      <x:c r="D1444" t="str">
        <x:v>Forecast</x:v>
      </x:c>
      <x:c r="E1444" t="str">
        <x:v>DB-105</x:v>
      </x:c>
      <x:c r="F1444" t="str">
        <x:v>DreamFuel Refill Pack</x:v>
      </x:c>
      <x:c r="G1444" t="str">
        <x:v>Subscription</x:v>
      </x:c>
      <x:c r="H1444" t="str">
        <x:v>None</x:v>
      </x:c>
      <x:c r="I1444" t="str">
        <x:v>Active</x:v>
      </x:c>
      <x:c r="J1444" t="str">
        <x:v>TikTok Shop</x:v>
      </x:c>
      <x:c r="K1444" t="str">
        <x:v>Social Commerce</x:v>
      </x:c>
      <x:c r="L1444" t="str">
        <x:v>All Geographies</x:v>
      </x:c>
      <x:c r="M1444" s="34" t="n">
        <x:v>1010</x:v>
      </x:c>
      <x:c r="N1444" s="28" t="n">
        <x:v>0.0489888</x:v>
      </x:c>
      <x:c r="O1444" s="34" t="n">
        <x:v>49</x:v>
      </x:c>
      <x:c r="P1444" s="34" t="n">
        <x:v>1</x:v>
      </x:c>
      <x:c r="Q1444" s="34" t="n">
        <x:v>49</x:v>
      </x:c>
      <x:c r="R1444" s="33" t="n">
        <x:v>56</x:v>
      </x:c>
      <x:c r="S1444" s="38" t="n">
        <x:v>2.744</x:v>
      </x:c>
      <x:c r="T1444" s="38" t="n">
        <x:v>0.32928</x:v>
      </x:c>
      <x:c r="U1444" s="38" t="n">
        <x:v>0.0482944</x:v>
      </x:c>
      <x:c r="V1444" s="38" t="n">
        <x:v>2.3664256</x:v>
      </x:c>
      <x:c r="W1444" s="38" t="n">
        <x:v>0.91238</x:v>
      </x:c>
      <x:c r="X1444" s="38" t="n">
        <x:v>0.0686263424</x:v>
      </x:c>
      <x:c r="Y1444" s="38" t="n">
        <x:v>0.141985536</x:v>
      </x:c>
      <x:c r="Z1444" s="38" t="n">
        <x:v>0.24989999999999998</x:v>
      </x:c>
      <x:c r="AA1444" s="38" t="n">
        <x:v>0.08575</x:v>
      </x:c>
      <x:c r="AB1444" s="38" t="n">
        <x:v>0.00017639999999999998</x:v>
      </x:c>
      <x:c r="AC1444" s="38" t="n">
        <x:v>0.9076073216</x:v>
      </x:c>
      <x:c r="AD1444" s="28" t="n">
        <x:v>0.3835351179432812</x:v>
      </x:c>
    </x:row>
    <x:row r="1445">
      <x:c r="A1445" s="32" t="n">
        <x:v>46167</x:v>
      </x:c>
      <x:c r="B1445" s="32" t="n">
        <x:v>46143</x:v>
      </x:c>
      <x:c r="C1445" t="str">
        <x:v>May 2026</x:v>
      </x:c>
      <x:c r="D1445" t="str">
        <x:v>Forecast</x:v>
      </x:c>
      <x:c r="E1445" t="str">
        <x:v>DB-101</x:v>
      </x:c>
      <x:c r="F1445" t="str">
        <x:v>AeroSip Bottle</x:v>
      </x:c>
      <x:c r="G1445" t="str">
        <x:v>One-time purchase</x:v>
      </x:c>
      <x:c r="H1445" t="str">
        <x:v>None</x:v>
      </x:c>
      <x:c r="I1445" t="str">
        <x:v>Active</x:v>
      </x:c>
      <x:c r="J1445" t="str">
        <x:v>Shopify DTC</x:v>
      </x:c>
      <x:c r="K1445" t="str">
        <x:v>Consumer</x:v>
      </x:c>
      <x:c r="L1445" t="str">
        <x:v>All Geographies</x:v>
      </x:c>
      <x:c r="M1445" s="34" t="n">
        <x:v>7296</x:v>
      </x:c>
      <x:c r="N1445" s="28" t="n">
        <x:v>0.034199999999999994</x:v>
      </x:c>
      <x:c r="O1445" s="34" t="n">
        <x:v>250</x:v>
      </x:c>
      <x:c r="P1445" s="34" t="n">
        <x:v>1</x:v>
      </x:c>
      <x:c r="Q1445" s="34" t="n">
        <x:v>250</x:v>
      </x:c>
      <x:c r="R1445" s="33" t="n">
        <x:v>29</x:v>
      </x:c>
      <x:c r="S1445" s="38" t="n">
        <x:v>7.25</x:v>
      </x:c>
      <x:c r="T1445" s="38" t="n">
        <x:v>0.58</x:v>
      </x:c>
      <x:c r="U1445" s="38" t="n">
        <x:v>0.30015</x:v>
      </x:c>
      <x:c r="V1445" s="38" t="n">
        <x:v>6.36985</x:v>
      </x:c>
      <x:c r="W1445" s="38" t="n">
        <x:v>2.7</x:v>
      </x:c>
      <x:c r="X1445" s="38" t="n">
        <x:v>0.18472565</x:v>
      </x:c>
      <x:c r="Y1445" s="38" t="n">
        <x:v>0</x:v>
      </x:c>
      <x:c r="Z1445" s="38" t="n">
        <x:v>1.0375</x:v>
      </x:c>
      <x:c r="AA1445" s="38" t="n">
        <x:v>0.4125</x:v>
      </x:c>
      <x:c r="AB1445" s="38" t="n">
        <x:v>0.009</x:v>
      </x:c>
      <x:c r="AC1445" s="38" t="n">
        <x:v>2.0261243499999995</x:v>
      </x:c>
      <x:c r="AD1445" s="28" t="n">
        <x:v>0.31808038650831644</x:v>
      </x:c>
    </x:row>
    <x:row r="1446">
      <x:c r="A1446" s="32" t="n">
        <x:v>46167</x:v>
      </x:c>
      <x:c r="B1446" s="32" t="n">
        <x:v>46143</x:v>
      </x:c>
      <x:c r="C1446" t="str">
        <x:v>May 2026</x:v>
      </x:c>
      <x:c r="D1446" t="str">
        <x:v>Forecast</x:v>
      </x:c>
      <x:c r="E1446" t="str">
        <x:v>DB-101</x:v>
      </x:c>
      <x:c r="F1446" t="str">
        <x:v>AeroSip Bottle</x:v>
      </x:c>
      <x:c r="G1446" t="str">
        <x:v>One-time purchase</x:v>
      </x:c>
      <x:c r="H1446" t="str">
        <x:v>None</x:v>
      </x:c>
      <x:c r="I1446" t="str">
        <x:v>Active</x:v>
      </x:c>
      <x:c r="J1446" t="str">
        <x:v>Amazon Marketplace</x:v>
      </x:c>
      <x:c r="K1446" t="str">
        <x:v>Marketplace Consumer</x:v>
      </x:c>
      <x:c r="L1446" t="str">
        <x:v>All Geographies</x:v>
      </x:c>
      <x:c r="M1446" s="34" t="n">
        <x:v>3648</x:v>
      </x:c>
      <x:c r="N1446" s="28" t="n">
        <x:v>0.040355999999999996</x:v>
      </x:c>
      <x:c r="O1446" s="34" t="n">
        <x:v>147</x:v>
      </x:c>
      <x:c r="P1446" s="34" t="n">
        <x:v>1</x:v>
      </x:c>
      <x:c r="Q1446" s="34" t="n">
        <x:v>147</x:v>
      </x:c>
      <x:c r="R1446" s="33" t="n">
        <x:v>29</x:v>
      </x:c>
      <x:c r="S1446" s="38" t="n">
        <x:v>4.263</x:v>
      </x:c>
      <x:c r="T1446" s="38" t="n">
        <x:v>0.21315</x:v>
      </x:c>
      <x:c r="U1446" s="38" t="n">
        <x:v>0.18224325</x:v>
      </x:c>
      <x:c r="V1446" s="38" t="n">
        <x:v>3.86760675</x:v>
      </x:c>
      <x:c r="W1446" s="38" t="n">
        <x:v>1.5876000000000001</x:v>
      </x:c>
      <x:c r="X1446" s="38" t="n">
        <x:v>0</x:v>
      </x:c>
      <x:c r="Y1446" s="38" t="n">
        <x:v>0.5801410125</x:v>
      </x:c>
      <x:c r="Z1446" s="38" t="n">
        <x:v>0.7644</x:v>
      </x:c>
      <x:c r="AA1446" s="38" t="n">
        <x:v>0.31605</x:v>
      </x:c>
      <x:c r="AB1446" s="38" t="n">
        <x:v>0.005292</x:v>
      </x:c>
      <x:c r="AC1446" s="38" t="n">
        <x:v>0.6141237375000003</x:v>
      </x:c>
      <x:c r="AD1446" s="28" t="n">
        <x:v>0.15878649955815705</x:v>
      </x:c>
    </x:row>
    <x:row r="1447">
      <x:c r="A1447" s="32" t="n">
        <x:v>46167</x:v>
      </x:c>
      <x:c r="B1447" s="32" t="n">
        <x:v>46143</x:v>
      </x:c>
      <x:c r="C1447" t="str">
        <x:v>May 2026</x:v>
      </x:c>
      <x:c r="D1447" t="str">
        <x:v>Forecast</x:v>
      </x:c>
      <x:c r="E1447" t="str">
        <x:v>DB-101</x:v>
      </x:c>
      <x:c r="F1447" t="str">
        <x:v>AeroSip Bottle</x:v>
      </x:c>
      <x:c r="G1447" t="str">
        <x:v>One-time purchase</x:v>
      </x:c>
      <x:c r="H1447" t="str">
        <x:v>None</x:v>
      </x:c>
      <x:c r="I1447" t="str">
        <x:v>Active</x:v>
      </x:c>
      <x:c r="J1447" t="str">
        <x:v>Wholesale</x:v>
      </x:c>
      <x:c r="K1447" t="str">
        <x:v>Retailer</x:v>
      </x:c>
      <x:c r="L1447" t="str">
        <x:v>All Geographies</x:v>
      </x:c>
      <x:c r="M1447" s="34" t="n">
        <x:v>2189</x:v>
      </x:c>
      <x:c r="N1447" s="28" t="n">
        <x:v>0.01881</x:v>
      </x:c>
      <x:c r="O1447" s="34" t="n">
        <x:v>41</x:v>
      </x:c>
      <x:c r="P1447" s="34" t="n">
        <x:v>1</x:v>
      </x:c>
      <x:c r="Q1447" s="34" t="n">
        <x:v>41</x:v>
      </x:c>
      <x:c r="R1447" s="33" t="n">
        <x:v>29</x:v>
      </x:c>
      <x:c r="S1447" s="38" t="n">
        <x:v>1.189</x:v>
      </x:c>
      <x:c r="T1447" s="38" t="n">
        <x:v>0.41615</x:v>
      </x:c>
      <x:c r="U1447" s="38" t="n">
        <x:v>0.034778250000000004</x:v>
      </x:c>
      <x:c r="V1447" s="38" t="n">
        <x:v>0.73807175</x:v>
      </x:c>
      <x:c r="W1447" s="38" t="n">
        <x:v>0.4428</x:v>
      </x:c>
      <x:c r="X1447" s="38" t="n">
        <x:v>0</x:v>
      </x:c>
      <x:c r="Y1447" s="38" t="n">
        <x:v>0</x:v>
      </x:c>
      <x:c r="Z1447" s="38" t="n">
        <x:v>0.0943</x:v>
      </x:c>
      <x:c r="AA1447" s="38" t="n">
        <x:v>0.03485</x:v>
      </x:c>
      <x:c r="AB1447" s="38" t="n">
        <x:v>0.0014759999999999999</x:v>
      </x:c>
      <x:c r="AC1447" s="38" t="n">
        <x:v>0.16464575</x:v>
      </x:c>
      <x:c r="AD1447" s="28" t="n">
        <x:v>0.22307553432305194</x:v>
      </x:c>
    </x:row>
    <x:row r="1448">
      <x:c r="A1448" s="32" t="n">
        <x:v>46167</x:v>
      </x:c>
      <x:c r="B1448" s="32" t="n">
        <x:v>46143</x:v>
      </x:c>
      <x:c r="C1448" t="str">
        <x:v>May 2026</x:v>
      </x:c>
      <x:c r="D1448" t="str">
        <x:v>Forecast</x:v>
      </x:c>
      <x:c r="E1448" t="str">
        <x:v>DB-101</x:v>
      </x:c>
      <x:c r="F1448" t="str">
        <x:v>AeroSip Bottle</x:v>
      </x:c>
      <x:c r="G1448" t="str">
        <x:v>One-time purchase</x:v>
      </x:c>
      <x:c r="H1448" t="str">
        <x:v>None</x:v>
      </x:c>
      <x:c r="I1448" t="str">
        <x:v>Active</x:v>
      </x:c>
      <x:c r="J1448" t="str">
        <x:v>TikTok Shop</x:v>
      </x:c>
      <x:c r="K1448" t="str">
        <x:v>Social Commerce</x:v>
      </x:c>
      <x:c r="L1448" t="str">
        <x:v>All Geographies</x:v>
      </x:c>
      <x:c r="M1448" s="34" t="n">
        <x:v>1459</x:v>
      </x:c>
      <x:c r="N1448" s="28" t="n">
        <x:v>0.043092</x:v>
      </x:c>
      <x:c r="O1448" s="34" t="n">
        <x:v>63</x:v>
      </x:c>
      <x:c r="P1448" s="34" t="n">
        <x:v>1</x:v>
      </x:c>
      <x:c r="Q1448" s="34" t="n">
        <x:v>63</x:v>
      </x:c>
      <x:c r="R1448" s="33" t="n">
        <x:v>29</x:v>
      </x:c>
      <x:c r="S1448" s="38" t="n">
        <x:v>1.827</x:v>
      </x:c>
      <x:c r="T1448" s="38" t="n">
        <x:v>0.21924</x:v>
      </x:c>
      <x:c r="U1448" s="38" t="n">
        <x:v>0.07234919999999999</x:v>
      </x:c>
      <x:c r="V1448" s="38" t="n">
        <x:v>1.5354108</x:v>
      </x:c>
      <x:c r="W1448" s="38" t="n">
        <x:v>0.6804000000000001</x:v>
      </x:c>
      <x:c r="X1448" s="38" t="n">
        <x:v>0.044526913200000004</x:v>
      </x:c>
      <x:c r="Y1448" s="38" t="n">
        <x:v>0.09212464799999999</x:v>
      </x:c>
      <x:c r="Z1448" s="38" t="n">
        <x:v>0.3213</x:v>
      </x:c>
      <x:c r="AA1448" s="38" t="n">
        <x:v>0.11025</x:v>
      </x:c>
      <x:c r="AB1448" s="38" t="n">
        <x:v>0.0022679999999999996</x:v>
      </x:c>
      <x:c r="AC1448" s="38" t="n">
        <x:v>0.2845412387999999</x:v>
      </x:c>
      <x:c r="AD1448" s="28" t="n">
        <x:v>0.18531928966501987</x:v>
      </x:c>
    </x:row>
    <x:row r="1449">
      <x:c r="A1449" s="32" t="n">
        <x:v>46167</x:v>
      </x:c>
      <x:c r="B1449" s="32" t="n">
        <x:v>46143</x:v>
      </x:c>
      <x:c r="C1449" t="str">
        <x:v>May 2026</x:v>
      </x:c>
      <x:c r="D1449" t="str">
        <x:v>Forecast</x:v>
      </x:c>
      <x:c r="E1449" t="str">
        <x:v>DB-102</x:v>
      </x:c>
      <x:c r="F1449" t="str">
        <x:v>GlowPatch Balm</x:v>
      </x:c>
      <x:c r="G1449" t="str">
        <x:v>Consumable repeat</x:v>
      </x:c>
      <x:c r="H1449" t="str">
        <x:v>None</x:v>
      </x:c>
      <x:c r="I1449" t="str">
        <x:v>Active</x:v>
      </x:c>
      <x:c r="J1449" t="str">
        <x:v>Shopify DTC</x:v>
      </x:c>
      <x:c r="K1449" t="str">
        <x:v>Consumer</x:v>
      </x:c>
      <x:c r="L1449" t="str">
        <x:v>All Geographies</x:v>
      </x:c>
      <x:c r="M1449" s="34" t="n">
        <x:v>5893</x:v>
      </x:c>
      <x:c r="N1449" s="28" t="n">
        <x:v>0.04248</x:v>
      </x:c>
      <x:c r="O1449" s="34" t="n">
        <x:v>250</x:v>
      </x:c>
      <x:c r="P1449" s="34" t="n">
        <x:v>1</x:v>
      </x:c>
      <x:c r="Q1449" s="34" t="n">
        <x:v>250</x:v>
      </x:c>
      <x:c r="R1449" s="33" t="n">
        <x:v>18</x:v>
      </x:c>
      <x:c r="S1449" s="38" t="n">
        <x:v>4.5</x:v>
      </x:c>
      <x:c r="T1449" s="38" t="n">
        <x:v>0.36</x:v>
      </x:c>
      <x:c r="U1449" s="38" t="n">
        <x:v>0.1035</x:v>
      </x:c>
      <x:c r="V1449" s="38" t="n">
        <x:v>4.036499999999999</x:v>
      </x:c>
      <x:c r="W1449" s="38" t="n">
        <x:v>1.3525</x:v>
      </x:c>
      <x:c r="X1449" s="38" t="n">
        <x:v>0.11705849999999998</x:v>
      </x:c>
      <x:c r="Y1449" s="38" t="n">
        <x:v>0</x:v>
      </x:c>
      <x:c r="Z1449" s="38" t="n">
        <x:v>1.0375</x:v>
      </x:c>
      <x:c r="AA1449" s="38" t="n">
        <x:v>0.4125</x:v>
      </x:c>
      <x:c r="AB1449" s="38" t="n">
        <x:v>0.0015</x:v>
      </x:c>
      <x:c r="AC1449" s="38" t="n">
        <x:v>1.1154414999999989</x:v>
      </x:c>
      <x:c r="AD1449" s="28" t="n">
        <x:v>0.2763387835996529</x:v>
      </x:c>
    </x:row>
    <x:row r="1450">
      <x:c r="A1450" s="32" t="n">
        <x:v>46167</x:v>
      </x:c>
      <x:c r="B1450" s="32" t="n">
        <x:v>46143</x:v>
      </x:c>
      <x:c r="C1450" t="str">
        <x:v>May 2026</x:v>
      </x:c>
      <x:c r="D1450" t="str">
        <x:v>Forecast</x:v>
      </x:c>
      <x:c r="E1450" t="str">
        <x:v>DB-102</x:v>
      </x:c>
      <x:c r="F1450" t="str">
        <x:v>GlowPatch Balm</x:v>
      </x:c>
      <x:c r="G1450" t="str">
        <x:v>Consumable repeat</x:v>
      </x:c>
      <x:c r="H1450" t="str">
        <x:v>None</x:v>
      </x:c>
      <x:c r="I1450" t="str">
        <x:v>Active</x:v>
      </x:c>
      <x:c r="J1450" t="str">
        <x:v>Amazon Marketplace</x:v>
      </x:c>
      <x:c r="K1450" t="str">
        <x:v>Marketplace Consumer</x:v>
      </x:c>
      <x:c r="L1450" t="str">
        <x:v>All Geographies</x:v>
      </x:c>
      <x:c r="M1450" s="34" t="n">
        <x:v>2946</x:v>
      </x:c>
      <x:c r="N1450" s="28" t="n">
        <x:v>0.050126399999999995</x:v>
      </x:c>
      <x:c r="O1450" s="34" t="n">
        <x:v>148</x:v>
      </x:c>
      <x:c r="P1450" s="34" t="n">
        <x:v>1</x:v>
      </x:c>
      <x:c r="Q1450" s="34" t="n">
        <x:v>148</x:v>
      </x:c>
      <x:c r="R1450" s="33" t="n">
        <x:v>18</x:v>
      </x:c>
      <x:c r="S1450" s="38" t="n">
        <x:v>2.664</x:v>
      </x:c>
      <x:c r="T1450" s="38" t="n">
        <x:v>0.1332</x:v>
      </x:c>
      <x:c r="U1450" s="38" t="n">
        <x:v>0.06327</x:v>
      </x:c>
      <x:c r="V1450" s="38" t="n">
        <x:v>2.46753</x:v>
      </x:c>
      <x:c r="W1450" s="38" t="n">
        <x:v>0.8006800000000001</x:v>
      </x:c>
      <x:c r="X1450" s="38" t="n">
        <x:v>0</x:v>
      </x:c>
      <x:c r="Y1450" s="38" t="n">
        <x:v>0.3701295</x:v>
      </x:c>
      <x:c r="Z1450" s="38" t="n">
        <x:v>0.7696000000000001</x:v>
      </x:c>
      <x:c r="AA1450" s="38" t="n">
        <x:v>0.3182</x:v>
      </x:c>
      <x:c r="AB1450" s="38" t="n">
        <x:v>0.0008879999999999999</x:v>
      </x:c>
      <x:c r="AC1450" s="38" t="n">
        <x:v>0.2080324999999999</x:v>
      </x:c>
      <x:c r="AD1450" s="28" t="n">
        <x:v>0.084307992202729</x:v>
      </x:c>
    </x:row>
    <x:row r="1451">
      <x:c r="A1451" s="32" t="n">
        <x:v>46167</x:v>
      </x:c>
      <x:c r="B1451" s="32" t="n">
        <x:v>46143</x:v>
      </x:c>
      <x:c r="C1451" t="str">
        <x:v>May 2026</x:v>
      </x:c>
      <x:c r="D1451" t="str">
        <x:v>Forecast</x:v>
      </x:c>
      <x:c r="E1451" t="str">
        <x:v>DB-102</x:v>
      </x:c>
      <x:c r="F1451" t="str">
        <x:v>GlowPatch Balm</x:v>
      </x:c>
      <x:c r="G1451" t="str">
        <x:v>Consumable repeat</x:v>
      </x:c>
      <x:c r="H1451" t="str">
        <x:v>None</x:v>
      </x:c>
      <x:c r="I1451" t="str">
        <x:v>Active</x:v>
      </x:c>
      <x:c r="J1451" t="str">
        <x:v>Wholesale</x:v>
      </x:c>
      <x:c r="K1451" t="str">
        <x:v>Retailer</x:v>
      </x:c>
      <x:c r="L1451" t="str">
        <x:v>All Geographies</x:v>
      </x:c>
      <x:c r="M1451" s="34" t="n">
        <x:v>1768</x:v>
      </x:c>
      <x:c r="N1451" s="28" t="n">
        <x:v>0.023364</x:v>
      </x:c>
      <x:c r="O1451" s="34" t="n">
        <x:v>41</x:v>
      </x:c>
      <x:c r="P1451" s="34" t="n">
        <x:v>1</x:v>
      </x:c>
      <x:c r="Q1451" s="34" t="n">
        <x:v>41</x:v>
      </x:c>
      <x:c r="R1451" s="33" t="n">
        <x:v>18</x:v>
      </x:c>
      <x:c r="S1451" s="38" t="n">
        <x:v>0.738</x:v>
      </x:c>
      <x:c r="T1451" s="38" t="n">
        <x:v>0.2583</x:v>
      </x:c>
      <x:c r="U1451" s="38" t="n">
        <x:v>0.011992500000000001</x:v>
      </x:c>
      <x:c r="V1451" s="38" t="n">
        <x:v>0.4677075</x:v>
      </x:c>
      <x:c r="W1451" s="38" t="n">
        <x:v>0.22181</x:v>
      </x:c>
      <x:c r="X1451" s="38" t="n">
        <x:v>0</x:v>
      </x:c>
      <x:c r="Y1451" s="38" t="n">
        <x:v>0</x:v>
      </x:c>
      <x:c r="Z1451" s="38" t="n">
        <x:v>0.0943</x:v>
      </x:c>
      <x:c r="AA1451" s="38" t="n">
        <x:v>0.03485</x:v>
      </x:c>
      <x:c r="AB1451" s="38" t="n">
        <x:v>0.000246</x:v>
      </x:c>
      <x:c r="AC1451" s="38" t="n">
        <x:v>0.11650150000000001</x:v>
      </x:c>
      <x:c r="AD1451" s="28" t="n">
        <x:v>0.2490905106289722</x:v>
      </x:c>
    </x:row>
    <x:row r="1452">
      <x:c r="A1452" s="32" t="n">
        <x:v>46167</x:v>
      </x:c>
      <x:c r="B1452" s="32" t="n">
        <x:v>46143</x:v>
      </x:c>
      <x:c r="C1452" t="str">
        <x:v>May 2026</x:v>
      </x:c>
      <x:c r="D1452" t="str">
        <x:v>Forecast</x:v>
      </x:c>
      <x:c r="E1452" t="str">
        <x:v>DB-102</x:v>
      </x:c>
      <x:c r="F1452" t="str">
        <x:v>GlowPatch Balm</x:v>
      </x:c>
      <x:c r="G1452" t="str">
        <x:v>Consumable repeat</x:v>
      </x:c>
      <x:c r="H1452" t="str">
        <x:v>None</x:v>
      </x:c>
      <x:c r="I1452" t="str">
        <x:v>Active</x:v>
      </x:c>
      <x:c r="J1452" t="str">
        <x:v>TikTok Shop</x:v>
      </x:c>
      <x:c r="K1452" t="str">
        <x:v>Social Commerce</x:v>
      </x:c>
      <x:c r="L1452" t="str">
        <x:v>All Geographies</x:v>
      </x:c>
      <x:c r="M1452" s="34" t="n">
        <x:v>1179</x:v>
      </x:c>
      <x:c r="N1452" s="28" t="n">
        <x:v>0.0535248</x:v>
      </x:c>
      <x:c r="O1452" s="34" t="n">
        <x:v>63</x:v>
      </x:c>
      <x:c r="P1452" s="34" t="n">
        <x:v>1</x:v>
      </x:c>
      <x:c r="Q1452" s="34" t="n">
        <x:v>63</x:v>
      </x:c>
      <x:c r="R1452" s="33" t="n">
        <x:v>18</x:v>
      </x:c>
      <x:c r="S1452" s="38" t="n">
        <x:v>1.134</x:v>
      </x:c>
      <x:c r="T1452" s="38" t="n">
        <x:v>0.13607999999999998</x:v>
      </x:c>
      <x:c r="U1452" s="38" t="n">
        <x:v>0.024947999999999998</x:v>
      </x:c>
      <x:c r="V1452" s="38" t="n">
        <x:v>0.972972</x:v>
      </x:c>
      <x:c r="W1452" s="38" t="n">
        <x:v>0.34082999999999997</x:v>
      </x:c>
      <x:c r="X1452" s="38" t="n">
        <x:v>0.028216188</x:v>
      </x:c>
      <x:c r="Y1452" s="38" t="n">
        <x:v>0.05837832</x:v>
      </x:c>
      <x:c r="Z1452" s="38" t="n">
        <x:v>0.3213</x:v>
      </x:c>
      <x:c r="AA1452" s="38" t="n">
        <x:v>0.11025</x:v>
      </x:c>
      <x:c r="AB1452" s="38" t="n">
        <x:v>0.000378</x:v>
      </x:c>
      <x:c r="AC1452" s="38" t="n">
        <x:v>0.11361949199999999</x:v>
      </x:c>
      <x:c r="AD1452" s="28" t="n">
        <x:v>0.11677570577570577</x:v>
      </x:c>
    </x:row>
    <x:row r="1453">
      <x:c r="A1453" s="32" t="n">
        <x:v>46167</x:v>
      </x:c>
      <x:c r="B1453" s="32" t="n">
        <x:v>46143</x:v>
      </x:c>
      <x:c r="C1453" t="str">
        <x:v>May 2026</x:v>
      </x:c>
      <x:c r="D1453" t="str">
        <x:v>Forecast</x:v>
      </x:c>
      <x:c r="E1453" t="str">
        <x:v>DB-103</x:v>
      </x:c>
      <x:c r="F1453" t="str">
        <x:v>EmberTrail Camp Mug</x:v>
      </x:c>
      <x:c r="G1453" t="str">
        <x:v>One-time purchase</x:v>
      </x:c>
      <x:c r="H1453" t="str">
        <x:v>Winter peak</x:v>
      </x:c>
      <x:c r="I1453" t="str">
        <x:v>Active</x:v>
      </x:c>
      <x:c r="J1453" t="str">
        <x:v>Shopify DTC</x:v>
      </x:c>
      <x:c r="K1453" t="str">
        <x:v>Consumer</x:v>
      </x:c>
      <x:c r="L1453" t="str">
        <x:v>All Geographies</x:v>
      </x:c>
      <x:c r="M1453" s="34" t="n">
        <x:v>3940</x:v>
      </x:c>
      <x:c r="N1453" s="28" t="n">
        <x:v>0.0324</x:v>
      </x:c>
      <x:c r="O1453" s="34" t="n">
        <x:v>128</x:v>
      </x:c>
      <x:c r="P1453" s="34" t="n">
        <x:v>1</x:v>
      </x:c>
      <x:c r="Q1453" s="34" t="n">
        <x:v>128</x:v>
      </x:c>
      <x:c r="R1453" s="33" t="n">
        <x:v>34</x:v>
      </x:c>
      <x:c r="S1453" s="38" t="n">
        <x:v>4.352</x:v>
      </x:c>
      <x:c r="T1453" s="38" t="n">
        <x:v>0.34816</x:v>
      </x:c>
      <x:c r="U1453" s="38" t="n">
        <x:v>0.22021120000000002</x:v>
      </x:c>
      <x:c r="V1453" s="38" t="n">
        <x:v>3.7836288000000002</x:v>
      </x:c>
      <x:c r="W1453" s="38" t="n">
        <x:v>1.74976</x:v>
      </x:c>
      <x:c r="X1453" s="38" t="n">
        <x:v>0.10972523520000001</x:v>
      </x:c>
      <x:c r="Y1453" s="38" t="n">
        <x:v>0</x:v>
      </x:c>
      <x:c r="Z1453" s="38" t="n">
        <x:v>0.5312</x:v>
      </x:c>
      <x:c r="AA1453" s="38" t="n">
        <x:v>0.2112</x:v>
      </x:c>
      <x:c r="AB1453" s="38" t="n">
        <x:v>0.007168</x:v>
      </x:c>
      <x:c r="AC1453" s="38" t="n">
        <x:v>1.1745755648000002</x:v>
      </x:c>
      <x:c r="AD1453" s="28" t="n">
        <x:v>0.3104362575948254</x:v>
      </x:c>
    </x:row>
    <x:row r="1454">
      <x:c r="A1454" s="32" t="n">
        <x:v>46167</x:v>
      </x:c>
      <x:c r="B1454" s="32" t="n">
        <x:v>46143</x:v>
      </x:c>
      <x:c r="C1454" t="str">
        <x:v>May 2026</x:v>
      </x:c>
      <x:c r="D1454" t="str">
        <x:v>Forecast</x:v>
      </x:c>
      <x:c r="E1454" t="str">
        <x:v>DB-103</x:v>
      </x:c>
      <x:c r="F1454" t="str">
        <x:v>EmberTrail Camp Mug</x:v>
      </x:c>
      <x:c r="G1454" t="str">
        <x:v>One-time purchase</x:v>
      </x:c>
      <x:c r="H1454" t="str">
        <x:v>Winter peak</x:v>
      </x:c>
      <x:c r="I1454" t="str">
        <x:v>Active</x:v>
      </x:c>
      <x:c r="J1454" t="str">
        <x:v>Amazon Marketplace</x:v>
      </x:c>
      <x:c r="K1454" t="str">
        <x:v>Marketplace Consumer</x:v>
      </x:c>
      <x:c r="L1454" t="str">
        <x:v>All Geographies</x:v>
      </x:c>
      <x:c r="M1454" s="34" t="n">
        <x:v>1970</x:v>
      </x:c>
      <x:c r="N1454" s="28" t="n">
        <x:v>0.038231999999999995</x:v>
      </x:c>
      <x:c r="O1454" s="34" t="n">
        <x:v>75</x:v>
      </x:c>
      <x:c r="P1454" s="34" t="n">
        <x:v>1</x:v>
      </x:c>
      <x:c r="Q1454" s="34" t="n">
        <x:v>75</x:v>
      </x:c>
      <x:c r="R1454" s="33" t="n">
        <x:v>34</x:v>
      </x:c>
      <x:c r="S1454" s="38" t="n">
        <x:v>2.55</x:v>
      </x:c>
      <x:c r="T1454" s="38" t="n">
        <x:v>0.1275</x:v>
      </x:c>
      <x:c r="U1454" s="38" t="n">
        <x:v>0.13323749999999998</x:v>
      </x:c>
      <x:c r="V1454" s="38" t="n">
        <x:v>2.2892625</x:v>
      </x:c>
      <x:c r="W1454" s="38" t="n">
        <x:v>1.02525</x:v>
      </x:c>
      <x:c r="X1454" s="38" t="n">
        <x:v>0</x:v>
      </x:c>
      <x:c r="Y1454" s="38" t="n">
        <x:v>0.343389375</x:v>
      </x:c>
      <x:c r="Z1454" s="38" t="n">
        <x:v>0.39</x:v>
      </x:c>
      <x:c r="AA1454" s="38" t="n">
        <x:v>0.16125</x:v>
      </x:c>
      <x:c r="AB1454" s="38" t="n">
        <x:v>0.004200000000000001</x:v>
      </x:c>
      <x:c r="AC1454" s="38" t="n">
        <x:v>0.365173125</x:v>
      </x:c>
      <x:c r="AD1454" s="28" t="n">
        <x:v>0.15951561911314233</x:v>
      </x:c>
    </x:row>
    <x:row r="1455">
      <x:c r="A1455" s="32" t="n">
        <x:v>46167</x:v>
      </x:c>
      <x:c r="B1455" s="32" t="n">
        <x:v>46143</x:v>
      </x:c>
      <x:c r="C1455" t="str">
        <x:v>May 2026</x:v>
      </x:c>
      <x:c r="D1455" t="str">
        <x:v>Forecast</x:v>
      </x:c>
      <x:c r="E1455" t="str">
        <x:v>DB-103</x:v>
      </x:c>
      <x:c r="F1455" t="str">
        <x:v>EmberTrail Camp Mug</x:v>
      </x:c>
      <x:c r="G1455" t="str">
        <x:v>One-time purchase</x:v>
      </x:c>
      <x:c r="H1455" t="str">
        <x:v>Winter peak</x:v>
      </x:c>
      <x:c r="I1455" t="str">
        <x:v>Active</x:v>
      </x:c>
      <x:c r="J1455" t="str">
        <x:v>Wholesale</x:v>
      </x:c>
      <x:c r="K1455" t="str">
        <x:v>Retailer</x:v>
      </x:c>
      <x:c r="L1455" t="str">
        <x:v>All Geographies</x:v>
      </x:c>
      <x:c r="M1455" s="34" t="n">
        <x:v>1182</x:v>
      </x:c>
      <x:c r="N1455" s="28" t="n">
        <x:v>0.017820000000000003</x:v>
      </x:c>
      <x:c r="O1455" s="34" t="n">
        <x:v>21</x:v>
      </x:c>
      <x:c r="P1455" s="34" t="n">
        <x:v>1</x:v>
      </x:c>
      <x:c r="Q1455" s="34" t="n">
        <x:v>21</x:v>
      </x:c>
      <x:c r="R1455" s="33" t="n">
        <x:v>34</x:v>
      </x:c>
      <x:c r="S1455" s="38" t="n">
        <x:v>0.714</x:v>
      </x:c>
      <x:c r="T1455" s="38" t="n">
        <x:v>0.24989999999999998</x:v>
      </x:c>
      <x:c r="U1455" s="38" t="n">
        <x:v>0.025525499999999996</x:v>
      </x:c>
      <x:c r="V1455" s="38" t="n">
        <x:v>0.4385745</x:v>
      </x:c>
      <x:c r="W1455" s="38" t="n">
        <x:v>0.28707</x:v>
      </x:c>
      <x:c r="X1455" s="38" t="n">
        <x:v>0</x:v>
      </x:c>
      <x:c r="Y1455" s="38" t="n">
        <x:v>0</x:v>
      </x:c>
      <x:c r="Z1455" s="38" t="n">
        <x:v>0.048299999999999996</x:v>
      </x:c>
      <x:c r="AA1455" s="38" t="n">
        <x:v>0.017849999999999998</x:v>
      </x:c>
      <x:c r="AB1455" s="38" t="n">
        <x:v>0.0011760000000000002</x:v>
      </x:c>
      <x:c r="AC1455" s="38" t="n">
        <x:v>0.0841785</x:v>
      </x:c>
      <x:c r="AD1455" s="28" t="n">
        <x:v>0.1919366037013096</x:v>
      </x:c>
    </x:row>
    <x:row r="1456">
      <x:c r="A1456" s="32" t="n">
        <x:v>46167</x:v>
      </x:c>
      <x:c r="B1456" s="32" t="n">
        <x:v>46143</x:v>
      </x:c>
      <x:c r="C1456" t="str">
        <x:v>May 2026</x:v>
      </x:c>
      <x:c r="D1456" t="str">
        <x:v>Forecast</x:v>
      </x:c>
      <x:c r="E1456" t="str">
        <x:v>DB-103</x:v>
      </x:c>
      <x:c r="F1456" t="str">
        <x:v>EmberTrail Camp Mug</x:v>
      </x:c>
      <x:c r="G1456" t="str">
        <x:v>One-time purchase</x:v>
      </x:c>
      <x:c r="H1456" t="str">
        <x:v>Winter peak</x:v>
      </x:c>
      <x:c r="I1456" t="str">
        <x:v>Active</x:v>
      </x:c>
      <x:c r="J1456" t="str">
        <x:v>TikTok Shop</x:v>
      </x:c>
      <x:c r="K1456" t="str">
        <x:v>Social Commerce</x:v>
      </x:c>
      <x:c r="L1456" t="str">
        <x:v>All Geographies</x:v>
      </x:c>
      <x:c r="M1456" s="34" t="n">
        <x:v>788</x:v>
      </x:c>
      <x:c r="N1456" s="28" t="n">
        <x:v>0.040824</x:v>
      </x:c>
      <x:c r="O1456" s="34" t="n">
        <x:v>32</x:v>
      </x:c>
      <x:c r="P1456" s="34" t="n">
        <x:v>1</x:v>
      </x:c>
      <x:c r="Q1456" s="34" t="n">
        <x:v>32</x:v>
      </x:c>
      <x:c r="R1456" s="33" t="n">
        <x:v>34</x:v>
      </x:c>
      <x:c r="S1456" s="38" t="n">
        <x:v>1.088</x:v>
      </x:c>
      <x:c r="T1456" s="38" t="n">
        <x:v>0.13056</x:v>
      </x:c>
      <x:c r="U1456" s="38" t="n">
        <x:v>0.0526592</x:v>
      </x:c>
      <x:c r="V1456" s="38" t="n">
        <x:v>0.9047808</x:v>
      </x:c>
      <x:c r="W1456" s="38" t="n">
        <x:v>0.43744</x:v>
      </x:c>
      <x:c r="X1456" s="38" t="n">
        <x:v>0.0262386432</x:v>
      </x:c>
      <x:c r="Y1456" s="38" t="n">
        <x:v>0.054286848</x:v>
      </x:c>
      <x:c r="Z1456" s="38" t="n">
        <x:v>0.16319999999999998</x:v>
      </x:c>
      <x:c r="AA1456" s="38" t="n">
        <x:v>0.056</x:v>
      </x:c>
      <x:c r="AB1456" s="38" t="n">
        <x:v>0.001792</x:v>
      </x:c>
      <x:c r="AC1456" s="38" t="n">
        <x:v>0.16582330880000007</x:v>
      </x:c>
      <x:c r="AD1456" s="28" t="n">
        <x:v>0.1832745663922135</x:v>
      </x:c>
    </x:row>
    <x:row r="1457">
      <x:c r="A1457" s="32" t="n">
        <x:v>46167</x:v>
      </x:c>
      <x:c r="B1457" s="32" t="n">
        <x:v>46143</x:v>
      </x:c>
      <x:c r="C1457" t="str">
        <x:v>May 2026</x:v>
      </x:c>
      <x:c r="D1457" t="str">
        <x:v>Forecast</x:v>
      </x:c>
      <x:c r="E1457" t="str">
        <x:v>DB-104</x:v>
      </x:c>
      <x:c r="F1457" t="str">
        <x:v>SunNest Cooling Towel</x:v>
      </x:c>
      <x:c r="G1457" t="str">
        <x:v>Consumable repeat</x:v>
      </x:c>
      <x:c r="H1457" t="str">
        <x:v>Summer peak</x:v>
      </x:c>
      <x:c r="I1457" t="str">
        <x:v>Active</x:v>
      </x:c>
      <x:c r="J1457" t="str">
        <x:v>Shopify DTC</x:v>
      </x:c>
      <x:c r="K1457" t="str">
        <x:v>Consumer</x:v>
      </x:c>
      <x:c r="L1457" t="str">
        <x:v>All Geographies</x:v>
      </x:c>
      <x:c r="M1457" s="34" t="n">
        <x:v>6106</x:v>
      </x:c>
      <x:c r="N1457" s="28" t="n">
        <x:v>0.03312</x:v>
      </x:c>
      <x:c r="O1457" s="34" t="n">
        <x:v>202</x:v>
      </x:c>
      <x:c r="P1457" s="34" t="n">
        <x:v>1</x:v>
      </x:c>
      <x:c r="Q1457" s="34" t="n">
        <x:v>202</x:v>
      </x:c>
      <x:c r="R1457" s="33" t="n">
        <x:v>42</x:v>
      </x:c>
      <x:c r="S1457" s="38" t="n">
        <x:v>8.484</x:v>
      </x:c>
      <x:c r="T1457" s="38" t="n">
        <x:v>0.67872</x:v>
      </x:c>
      <x:c r="U1457" s="38" t="n">
        <x:v>0.390264</x:v>
      </x:c>
      <x:c r="V1457" s="38" t="n">
        <x:v>7.415016</x:v>
      </x:c>
      <x:c r="W1457" s="38" t="n">
        <x:v>3.0401000000000002</x:v>
      </x:c>
      <x:c r="X1457" s="38" t="n">
        <x:v>0.215035464</x:v>
      </x:c>
      <x:c r="Y1457" s="38" t="n">
        <x:v>0</x:v>
      </x:c>
      <x:c r="Z1457" s="38" t="n">
        <x:v>0.8383</x:v>
      </x:c>
      <x:c r="AA1457" s="38" t="n">
        <x:v>0.33329999999999993</x:v>
      </x:c>
      <x:c r="AB1457" s="38" t="n">
        <x:v>0.005656</x:v>
      </x:c>
      <x:c r="AC1457" s="38" t="n">
        <x:v>2.982624535999999</x:v>
      </x:c>
      <x:c r="AD1457" s="28" t="n">
        <x:v>0.40224114634412106</x:v>
      </x:c>
    </x:row>
    <x:row r="1458">
      <x:c r="A1458" s="32" t="n">
        <x:v>46167</x:v>
      </x:c>
      <x:c r="B1458" s="32" t="n">
        <x:v>46143</x:v>
      </x:c>
      <x:c r="C1458" t="str">
        <x:v>May 2026</x:v>
      </x:c>
      <x:c r="D1458" t="str">
        <x:v>Forecast</x:v>
      </x:c>
      <x:c r="E1458" t="str">
        <x:v>DB-104</x:v>
      </x:c>
      <x:c r="F1458" t="str">
        <x:v>SunNest Cooling Towel</x:v>
      </x:c>
      <x:c r="G1458" t="str">
        <x:v>Consumable repeat</x:v>
      </x:c>
      <x:c r="H1458" t="str">
        <x:v>Summer peak</x:v>
      </x:c>
      <x:c r="I1458" t="str">
        <x:v>Active</x:v>
      </x:c>
      <x:c r="J1458" t="str">
        <x:v>Amazon Marketplace</x:v>
      </x:c>
      <x:c r="K1458" t="str">
        <x:v>Marketplace Consumer</x:v>
      </x:c>
      <x:c r="L1458" t="str">
        <x:v>All Geographies</x:v>
      </x:c>
      <x:c r="M1458" s="34" t="n">
        <x:v>3053</x:v>
      </x:c>
      <x:c r="N1458" s="28" t="n">
        <x:v>0.0390816</x:v>
      </x:c>
      <x:c r="O1458" s="34" t="n">
        <x:v>119</x:v>
      </x:c>
      <x:c r="P1458" s="34" t="n">
        <x:v>1</x:v>
      </x:c>
      <x:c r="Q1458" s="34" t="n">
        <x:v>119</x:v>
      </x:c>
      <x:c r="R1458" s="33" t="n">
        <x:v>42</x:v>
      </x:c>
      <x:c r="S1458" s="38" t="n">
        <x:v>4.998</x:v>
      </x:c>
      <x:c r="T1458" s="38" t="n">
        <x:v>0.2499</x:v>
      </x:c>
      <x:c r="U1458" s="38" t="n">
        <x:v>0.237405</x:v>
      </x:c>
      <x:c r="V1458" s="38" t="n">
        <x:v>4.510695</x:v>
      </x:c>
      <x:c r="W1458" s="38" t="n">
        <x:v>1.79095</x:v>
      </x:c>
      <x:c r="X1458" s="38" t="n">
        <x:v>0</x:v>
      </x:c>
      <x:c r="Y1458" s="38" t="n">
        <x:v>0.67660425</x:v>
      </x:c>
      <x:c r="Z1458" s="38" t="n">
        <x:v>0.6188</x:v>
      </x:c>
      <x:c r="AA1458" s="38" t="n">
        <x:v>0.25585</x:v>
      </x:c>
      <x:c r="AB1458" s="38" t="n">
        <x:v>0.003332</x:v>
      </x:c>
      <x:c r="AC1458" s="38" t="n">
        <x:v>1.1651587500000002</x:v>
      </x:c>
      <x:c r="AD1458" s="28" t="n">
        <x:v>0.25831024930747926</x:v>
      </x:c>
    </x:row>
    <x:row r="1459">
      <x:c r="A1459" s="32" t="n">
        <x:v>46167</x:v>
      </x:c>
      <x:c r="B1459" s="32" t="n">
        <x:v>46143</x:v>
      </x:c>
      <x:c r="C1459" t="str">
        <x:v>May 2026</x:v>
      </x:c>
      <x:c r="D1459" t="str">
        <x:v>Forecast</x:v>
      </x:c>
      <x:c r="E1459" t="str">
        <x:v>DB-104</x:v>
      </x:c>
      <x:c r="F1459" t="str">
        <x:v>SunNest Cooling Towel</x:v>
      </x:c>
      <x:c r="G1459" t="str">
        <x:v>Consumable repeat</x:v>
      </x:c>
      <x:c r="H1459" t="str">
        <x:v>Summer peak</x:v>
      </x:c>
      <x:c r="I1459" t="str">
        <x:v>Active</x:v>
      </x:c>
      <x:c r="J1459" t="str">
        <x:v>Wholesale</x:v>
      </x:c>
      <x:c r="K1459" t="str">
        <x:v>Retailer</x:v>
      </x:c>
      <x:c r="L1459" t="str">
        <x:v>All Geographies</x:v>
      </x:c>
      <x:c r="M1459" s="34" t="n">
        <x:v>1832</x:v>
      </x:c>
      <x:c r="N1459" s="28" t="n">
        <x:v>0.018216000000000003</x:v>
      </x:c>
      <x:c r="O1459" s="34" t="n">
        <x:v>33</x:v>
      </x:c>
      <x:c r="P1459" s="34" t="n">
        <x:v>1</x:v>
      </x:c>
      <x:c r="Q1459" s="34" t="n">
        <x:v>33</x:v>
      </x:c>
      <x:c r="R1459" s="33" t="n">
        <x:v>42</x:v>
      </x:c>
      <x:c r="S1459" s="38" t="n">
        <x:v>1.386</x:v>
      </x:c>
      <x:c r="T1459" s="38" t="n">
        <x:v>0.4850999999999999</x:v>
      </x:c>
      <x:c r="U1459" s="38" t="n">
        <x:v>0.045045</x:v>
      </x:c>
      <x:c r="V1459" s="38" t="n">
        <x:v>0.855855</x:v>
      </x:c>
      <x:c r="W1459" s="38" t="n">
        <x:v>0.49665000000000004</x:v>
      </x:c>
      <x:c r="X1459" s="38" t="n">
        <x:v>0</x:v>
      </x:c>
      <x:c r="Y1459" s="38" t="n">
        <x:v>0</x:v>
      </x:c>
      <x:c r="Z1459" s="38" t="n">
        <x:v>0.0759</x:v>
      </x:c>
      <x:c r="AA1459" s="38" t="n">
        <x:v>0.028050000000000002</x:v>
      </x:c>
      <x:c r="AB1459" s="38" t="n">
        <x:v>0.0009239999999999999</x:v>
      </x:c>
      <x:c r="AC1459" s="38" t="n">
        <x:v>0.25433100000000003</x:v>
      </x:c>
      <x:c r="AD1459" s="28" t="n">
        <x:v>0.29716599190283405</x:v>
      </x:c>
    </x:row>
    <x:row r="1460">
      <x:c r="A1460" s="32" t="n">
        <x:v>46167</x:v>
      </x:c>
      <x:c r="B1460" s="32" t="n">
        <x:v>46143</x:v>
      </x:c>
      <x:c r="C1460" t="str">
        <x:v>May 2026</x:v>
      </x:c>
      <x:c r="D1460" t="str">
        <x:v>Forecast</x:v>
      </x:c>
      <x:c r="E1460" t="str">
        <x:v>DB-104</x:v>
      </x:c>
      <x:c r="F1460" t="str">
        <x:v>SunNest Cooling Towel</x:v>
      </x:c>
      <x:c r="G1460" t="str">
        <x:v>Consumable repeat</x:v>
      </x:c>
      <x:c r="H1460" t="str">
        <x:v>Summer peak</x:v>
      </x:c>
      <x:c r="I1460" t="str">
        <x:v>Active</x:v>
      </x:c>
      <x:c r="J1460" t="str">
        <x:v>TikTok Shop</x:v>
      </x:c>
      <x:c r="K1460" t="str">
        <x:v>Social Commerce</x:v>
      </x:c>
      <x:c r="L1460" t="str">
        <x:v>All Geographies</x:v>
      </x:c>
      <x:c r="M1460" s="34" t="n">
        <x:v>1221</x:v>
      </x:c>
      <x:c r="N1460" s="28" t="n">
        <x:v>0.0417312</x:v>
      </x:c>
      <x:c r="O1460" s="34" t="n">
        <x:v>51</x:v>
      </x:c>
      <x:c r="P1460" s="34" t="n">
        <x:v>1</x:v>
      </x:c>
      <x:c r="Q1460" s="34" t="n">
        <x:v>51</x:v>
      </x:c>
      <x:c r="R1460" s="33" t="n">
        <x:v>42</x:v>
      </x:c>
      <x:c r="S1460" s="38" t="n">
        <x:v>2.142</x:v>
      </x:c>
      <x:c r="T1460" s="38" t="n">
        <x:v>0.25704</x:v>
      </x:c>
      <x:c r="U1460" s="38" t="n">
        <x:v>0.094248</x:v>
      </x:c>
      <x:c r="V1460" s="38" t="n">
        <x:v>1.790712</x:v>
      </x:c>
      <x:c r="W1460" s="38" t="n">
        <x:v>0.7675500000000001</x:v>
      </x:c>
      <x:c r="X1460" s="38" t="n">
        <x:v>0.051930648</x:v>
      </x:c>
      <x:c r="Y1460" s="38" t="n">
        <x:v>0.10744272</x:v>
      </x:c>
      <x:c r="Z1460" s="38" t="n">
        <x:v>0.26009999999999994</x:v>
      </x:c>
      <x:c r="AA1460" s="38" t="n">
        <x:v>0.08925</x:v>
      </x:c>
      <x:c r="AB1460" s="38" t="n">
        <x:v>0.001428</x:v>
      </x:c>
      <x:c r="AC1460" s="38" t="n">
        <x:v>0.5130106320000001</x:v>
      </x:c>
      <x:c r="AD1460" s="28" t="n">
        <x:v>0.2864841649578492</x:v>
      </x:c>
    </x:row>
    <x:row r="1461">
      <x:c r="A1461" s="32" t="n">
        <x:v>46167</x:v>
      </x:c>
      <x:c r="B1461" s="32" t="n">
        <x:v>46143</x:v>
      </x:c>
      <x:c r="C1461" t="str">
        <x:v>May 2026</x:v>
      </x:c>
      <x:c r="D1461" t="str">
        <x:v>Forecast</x:v>
      </x:c>
      <x:c r="E1461" t="str">
        <x:v>DB-105</x:v>
      </x:c>
      <x:c r="F1461" t="str">
        <x:v>DreamFuel Refill Pack</x:v>
      </x:c>
      <x:c r="G1461" t="str">
        <x:v>Subscription</x:v>
      </x:c>
      <x:c r="H1461" t="str">
        <x:v>None</x:v>
      </x:c>
      <x:c r="I1461" t="str">
        <x:v>Active</x:v>
      </x:c>
      <x:c r="J1461" t="str">
        <x:v>Shopify DTC</x:v>
      </x:c>
      <x:c r="K1461" t="str">
        <x:v>Consumer</x:v>
      </x:c>
      <x:c r="L1461" t="str">
        <x:v>All Geographies</x:v>
      </x:c>
      <x:c r="M1461" s="34" t="n">
        <x:v>5051</x:v>
      </x:c>
      <x:c r="N1461" s="28" t="n">
        <x:v>0.03888</x:v>
      </x:c>
      <x:c r="O1461" s="34" t="n">
        <x:v>196</x:v>
      </x:c>
      <x:c r="P1461" s="34" t="n">
        <x:v>1</x:v>
      </x:c>
      <x:c r="Q1461" s="34" t="n">
        <x:v>196</x:v>
      </x:c>
      <x:c r="R1461" s="33" t="n">
        <x:v>56</x:v>
      </x:c>
      <x:c r="S1461" s="38" t="n">
        <x:v>10.976</x:v>
      </x:c>
      <x:c r="T1461" s="38" t="n">
        <x:v>0.8780800000000001</x:v>
      </x:c>
      <x:c r="U1461" s="38" t="n">
        <x:v>0.2019584</x:v>
      </x:c>
      <x:c r="V1461" s="38" t="n">
        <x:v>9.8959616</x:v>
      </x:c>
      <x:c r="W1461" s="38" t="n">
        <x:v>3.64952</x:v>
      </x:c>
      <x:c r="X1461" s="38" t="n">
        <x:v>0.2869828864</x:v>
      </x:c>
      <x:c r="Y1461" s="38" t="n">
        <x:v>0</x:v>
      </x:c>
      <x:c r="Z1461" s="38" t="n">
        <x:v>0.8134000000000001</x:v>
      </x:c>
      <x:c r="AA1461" s="38" t="n">
        <x:v>0.32339999999999997</x:v>
      </x:c>
      <x:c r="AB1461" s="38" t="n">
        <x:v>0.0007055999999999999</x:v>
      </x:c>
      <x:c r="AC1461" s="38" t="n">
        <x:v>4.8219531136</x:v>
      </x:c>
      <x:c r="AD1461" s="28" t="n">
        <x:v>0.4872647357079478</x:v>
      </x:c>
    </x:row>
    <x:row r="1462">
      <x:c r="A1462" s="32" t="n">
        <x:v>46167</x:v>
      </x:c>
      <x:c r="B1462" s="32" t="n">
        <x:v>46143</x:v>
      </x:c>
      <x:c r="C1462" t="str">
        <x:v>May 2026</x:v>
      </x:c>
      <x:c r="D1462" t="str">
        <x:v>Forecast</x:v>
      </x:c>
      <x:c r="E1462" t="str">
        <x:v>DB-105</x:v>
      </x:c>
      <x:c r="F1462" t="str">
        <x:v>DreamFuel Refill Pack</x:v>
      </x:c>
      <x:c r="G1462" t="str">
        <x:v>Subscription</x:v>
      </x:c>
      <x:c r="H1462" t="str">
        <x:v>None</x:v>
      </x:c>
      <x:c r="I1462" t="str">
        <x:v>Active</x:v>
      </x:c>
      <x:c r="J1462" t="str">
        <x:v>Amazon Marketplace</x:v>
      </x:c>
      <x:c r="K1462" t="str">
        <x:v>Marketplace Consumer</x:v>
      </x:c>
      <x:c r="L1462" t="str">
        <x:v>All Geographies</x:v>
      </x:c>
      <x:c r="M1462" s="34" t="n">
        <x:v>2525</x:v>
      </x:c>
      <x:c r="N1462" s="28" t="n">
        <x:v>0.0458784</x:v>
      </x:c>
      <x:c r="O1462" s="34" t="n">
        <x:v>116</x:v>
      </x:c>
      <x:c r="P1462" s="34" t="n">
        <x:v>1</x:v>
      </x:c>
      <x:c r="Q1462" s="34" t="n">
        <x:v>116</x:v>
      </x:c>
      <x:c r="R1462" s="33" t="n">
        <x:v>56</x:v>
      </x:c>
      <x:c r="S1462" s="38" t="n">
        <x:v>6.496</x:v>
      </x:c>
      <x:c r="T1462" s="38" t="n">
        <x:v>0.32480000000000003</x:v>
      </x:c>
      <x:c r="U1462" s="38" t="n">
        <x:v>0.12342400000000002</x:v>
      </x:c>
      <x:c r="V1462" s="38" t="n">
        <x:v>6.047776000000001</x:v>
      </x:c>
      <x:c r="W1462" s="38" t="n">
        <x:v>2.15992</x:v>
      </x:c>
      <x:c r="X1462" s="38" t="n">
        <x:v>0</x:v>
      </x:c>
      <x:c r="Y1462" s="38" t="n">
        <x:v>0.9071664</x:v>
      </x:c>
      <x:c r="Z1462" s="38" t="n">
        <x:v>0.6032000000000001</x:v>
      </x:c>
      <x:c r="AA1462" s="38" t="n">
        <x:v>0.24939999999999998</x:v>
      </x:c>
      <x:c r="AB1462" s="38" t="n">
        <x:v>0.0004176</x:v>
      </x:c>
      <x:c r="AC1462" s="38" t="n">
        <x:v>2.1276720000000005</x:v>
      </x:c>
      <x:c r="AD1462" s="28" t="n">
        <x:v>0.35181064907165877</x:v>
      </x:c>
    </x:row>
    <x:row r="1463">
      <x:c r="A1463" s="32" t="n">
        <x:v>46167</x:v>
      </x:c>
      <x:c r="B1463" s="32" t="n">
        <x:v>46143</x:v>
      </x:c>
      <x:c r="C1463" t="str">
        <x:v>May 2026</x:v>
      </x:c>
      <x:c r="D1463" t="str">
        <x:v>Forecast</x:v>
      </x:c>
      <x:c r="E1463" t="str">
        <x:v>DB-105</x:v>
      </x:c>
      <x:c r="F1463" t="str">
        <x:v>DreamFuel Refill Pack</x:v>
      </x:c>
      <x:c r="G1463" t="str">
        <x:v>Subscription</x:v>
      </x:c>
      <x:c r="H1463" t="str">
        <x:v>None</x:v>
      </x:c>
      <x:c r="I1463" t="str">
        <x:v>Active</x:v>
      </x:c>
      <x:c r="J1463" t="str">
        <x:v>Wholesale</x:v>
      </x:c>
      <x:c r="K1463" t="str">
        <x:v>Retailer</x:v>
      </x:c>
      <x:c r="L1463" t="str">
        <x:v>All Geographies</x:v>
      </x:c>
      <x:c r="M1463" s="34" t="n">
        <x:v>1515</x:v>
      </x:c>
      <x:c r="N1463" s="28" t="n">
        <x:v>0.021384000000000004</x:v>
      </x:c>
      <x:c r="O1463" s="34" t="n">
        <x:v>32</x:v>
      </x:c>
      <x:c r="P1463" s="34" t="n">
        <x:v>1</x:v>
      </x:c>
      <x:c r="Q1463" s="34" t="n">
        <x:v>32</x:v>
      </x:c>
      <x:c r="R1463" s="33" t="n">
        <x:v>56</x:v>
      </x:c>
      <x:c r="S1463" s="38" t="n">
        <x:v>1.792</x:v>
      </x:c>
      <x:c r="T1463" s="38" t="n">
        <x:v>0.6272</x:v>
      </x:c>
      <x:c r="U1463" s="38" t="n">
        <x:v>0.023296</x:v>
      </x:c>
      <x:c r="V1463" s="38" t="n">
        <x:v>1.141504</x:v>
      </x:c>
      <x:c r="W1463" s="38" t="n">
        <x:v>0.59584</x:v>
      </x:c>
      <x:c r="X1463" s="38" t="n">
        <x:v>0</x:v>
      </x:c>
      <x:c r="Y1463" s="38" t="n">
        <x:v>0</x:v>
      </x:c>
      <x:c r="Z1463" s="38" t="n">
        <x:v>0.0736</x:v>
      </x:c>
      <x:c r="AA1463" s="38" t="n">
        <x:v>0.0272</x:v>
      </x:c>
      <x:c r="AB1463" s="38" t="n">
        <x:v>0.0001152</x:v>
      </x:c>
      <x:c r="AC1463" s="38" t="n">
        <x:v>0.44474880000000006</x:v>
      </x:c>
      <x:c r="AD1463" s="28" t="n">
        <x:v>0.3896165059430366</x:v>
      </x:c>
    </x:row>
    <x:row r="1464">
      <x:c r="A1464" s="32" t="n">
        <x:v>46167</x:v>
      </x:c>
      <x:c r="B1464" s="32" t="n">
        <x:v>46143</x:v>
      </x:c>
      <x:c r="C1464" t="str">
        <x:v>May 2026</x:v>
      </x:c>
      <x:c r="D1464" t="str">
        <x:v>Forecast</x:v>
      </x:c>
      <x:c r="E1464" t="str">
        <x:v>DB-105</x:v>
      </x:c>
      <x:c r="F1464" t="str">
        <x:v>DreamFuel Refill Pack</x:v>
      </x:c>
      <x:c r="G1464" t="str">
        <x:v>Subscription</x:v>
      </x:c>
      <x:c r="H1464" t="str">
        <x:v>None</x:v>
      </x:c>
      <x:c r="I1464" t="str">
        <x:v>Active</x:v>
      </x:c>
      <x:c r="J1464" t="str">
        <x:v>TikTok Shop</x:v>
      </x:c>
      <x:c r="K1464" t="str">
        <x:v>Social Commerce</x:v>
      </x:c>
      <x:c r="L1464" t="str">
        <x:v>All Geographies</x:v>
      </x:c>
      <x:c r="M1464" s="34" t="n">
        <x:v>1010</x:v>
      </x:c>
      <x:c r="N1464" s="28" t="n">
        <x:v>0.0489888</x:v>
      </x:c>
      <x:c r="O1464" s="34" t="n">
        <x:v>49</x:v>
      </x:c>
      <x:c r="P1464" s="34" t="n">
        <x:v>1</x:v>
      </x:c>
      <x:c r="Q1464" s="34" t="n">
        <x:v>49</x:v>
      </x:c>
      <x:c r="R1464" s="33" t="n">
        <x:v>56</x:v>
      </x:c>
      <x:c r="S1464" s="38" t="n">
        <x:v>2.744</x:v>
      </x:c>
      <x:c r="T1464" s="38" t="n">
        <x:v>0.32928</x:v>
      </x:c>
      <x:c r="U1464" s="38" t="n">
        <x:v>0.0482944</x:v>
      </x:c>
      <x:c r="V1464" s="38" t="n">
        <x:v>2.3664256</x:v>
      </x:c>
      <x:c r="W1464" s="38" t="n">
        <x:v>0.91238</x:v>
      </x:c>
      <x:c r="X1464" s="38" t="n">
        <x:v>0.0686263424</x:v>
      </x:c>
      <x:c r="Y1464" s="38" t="n">
        <x:v>0.141985536</x:v>
      </x:c>
      <x:c r="Z1464" s="38" t="n">
        <x:v>0.24989999999999998</x:v>
      </x:c>
      <x:c r="AA1464" s="38" t="n">
        <x:v>0.08575</x:v>
      </x:c>
      <x:c r="AB1464" s="38" t="n">
        <x:v>0.00017639999999999998</x:v>
      </x:c>
      <x:c r="AC1464" s="38" t="n">
        <x:v>0.9076073216</x:v>
      </x:c>
      <x:c r="AD1464" s="28" t="n">
        <x:v>0.3835351179432812</x:v>
      </x:c>
    </x:row>
    <x:row r="1465">
      <x:c r="A1465" s="32" t="n">
        <x:v>46174</x:v>
      </x:c>
      <x:c r="B1465" s="32" t="n">
        <x:v>46174</x:v>
      </x:c>
      <x:c r="C1465" t="str">
        <x:v>Jun 2026</x:v>
      </x:c>
      <x:c r="D1465" t="str">
        <x:v>Forecast</x:v>
      </x:c>
      <x:c r="E1465" t="str">
        <x:v>DB-101</x:v>
      </x:c>
      <x:c r="F1465" t="str">
        <x:v>AeroSip Bottle</x:v>
      </x:c>
      <x:c r="G1465" t="str">
        <x:v>One-time purchase</x:v>
      </x:c>
      <x:c r="H1465" t="str">
        <x:v>None</x:v>
      </x:c>
      <x:c r="I1465" t="str">
        <x:v>Active</x:v>
      </x:c>
      <x:c r="J1465" t="str">
        <x:v>Shopify DTC</x:v>
      </x:c>
      <x:c r="K1465" t="str">
        <x:v>Consumer</x:v>
      </x:c>
      <x:c r="L1465" t="str">
        <x:v>All Geographies</x:v>
      </x:c>
      <x:c r="M1465" s="34" t="n">
        <x:v>7296</x:v>
      </x:c>
      <x:c r="N1465" s="28" t="n">
        <x:v>0.034199999999999994</x:v>
      </x:c>
      <x:c r="O1465" s="34" t="n">
        <x:v>250</x:v>
      </x:c>
      <x:c r="P1465" s="34" t="n">
        <x:v>1</x:v>
      </x:c>
      <x:c r="Q1465" s="34" t="n">
        <x:v>250</x:v>
      </x:c>
      <x:c r="R1465" s="33" t="n">
        <x:v>29</x:v>
      </x:c>
      <x:c r="S1465" s="38" t="n">
        <x:v>7.25</x:v>
      </x:c>
      <x:c r="T1465" s="38" t="n">
        <x:v>0.58</x:v>
      </x:c>
      <x:c r="U1465" s="38" t="n">
        <x:v>0.30015</x:v>
      </x:c>
      <x:c r="V1465" s="38" t="n">
        <x:v>6.36985</x:v>
      </x:c>
      <x:c r="W1465" s="38" t="n">
        <x:v>2.7</x:v>
      </x:c>
      <x:c r="X1465" s="38" t="n">
        <x:v>0.18472565</x:v>
      </x:c>
      <x:c r="Y1465" s="38" t="n">
        <x:v>0</x:v>
      </x:c>
      <x:c r="Z1465" s="38" t="n">
        <x:v>1.0375</x:v>
      </x:c>
      <x:c r="AA1465" s="38" t="n">
        <x:v>0.4125</x:v>
      </x:c>
      <x:c r="AB1465" s="38" t="n">
        <x:v>0.009</x:v>
      </x:c>
      <x:c r="AC1465" s="38" t="n">
        <x:v>2.0261243499999995</x:v>
      </x:c>
      <x:c r="AD1465" s="28" t="n">
        <x:v>0.31808038650831644</x:v>
      </x:c>
    </x:row>
    <x:row r="1466">
      <x:c r="A1466" s="32" t="n">
        <x:v>46174</x:v>
      </x:c>
      <x:c r="B1466" s="32" t="n">
        <x:v>46174</x:v>
      </x:c>
      <x:c r="C1466" t="str">
        <x:v>Jun 2026</x:v>
      </x:c>
      <x:c r="D1466" t="str">
        <x:v>Forecast</x:v>
      </x:c>
      <x:c r="E1466" t="str">
        <x:v>DB-101</x:v>
      </x:c>
      <x:c r="F1466" t="str">
        <x:v>AeroSip Bottle</x:v>
      </x:c>
      <x:c r="G1466" t="str">
        <x:v>One-time purchase</x:v>
      </x:c>
      <x:c r="H1466" t="str">
        <x:v>None</x:v>
      </x:c>
      <x:c r="I1466" t="str">
        <x:v>Active</x:v>
      </x:c>
      <x:c r="J1466" t="str">
        <x:v>Amazon Marketplace</x:v>
      </x:c>
      <x:c r="K1466" t="str">
        <x:v>Marketplace Consumer</x:v>
      </x:c>
      <x:c r="L1466" t="str">
        <x:v>All Geographies</x:v>
      </x:c>
      <x:c r="M1466" s="34" t="n">
        <x:v>3648</x:v>
      </x:c>
      <x:c r="N1466" s="28" t="n">
        <x:v>0.040355999999999996</x:v>
      </x:c>
      <x:c r="O1466" s="34" t="n">
        <x:v>147</x:v>
      </x:c>
      <x:c r="P1466" s="34" t="n">
        <x:v>1</x:v>
      </x:c>
      <x:c r="Q1466" s="34" t="n">
        <x:v>147</x:v>
      </x:c>
      <x:c r="R1466" s="33" t="n">
        <x:v>29</x:v>
      </x:c>
      <x:c r="S1466" s="38" t="n">
        <x:v>4.263</x:v>
      </x:c>
      <x:c r="T1466" s="38" t="n">
        <x:v>0.21315</x:v>
      </x:c>
      <x:c r="U1466" s="38" t="n">
        <x:v>0.18224325</x:v>
      </x:c>
      <x:c r="V1466" s="38" t="n">
        <x:v>3.86760675</x:v>
      </x:c>
      <x:c r="W1466" s="38" t="n">
        <x:v>1.5876000000000001</x:v>
      </x:c>
      <x:c r="X1466" s="38" t="n">
        <x:v>0</x:v>
      </x:c>
      <x:c r="Y1466" s="38" t="n">
        <x:v>0.5801410125</x:v>
      </x:c>
      <x:c r="Z1466" s="38" t="n">
        <x:v>0.7644</x:v>
      </x:c>
      <x:c r="AA1466" s="38" t="n">
        <x:v>0.31605</x:v>
      </x:c>
      <x:c r="AB1466" s="38" t="n">
        <x:v>0.005292</x:v>
      </x:c>
      <x:c r="AC1466" s="38" t="n">
        <x:v>0.6141237375000003</x:v>
      </x:c>
      <x:c r="AD1466" s="28" t="n">
        <x:v>0.15878649955815705</x:v>
      </x:c>
    </x:row>
    <x:row r="1467">
      <x:c r="A1467" s="32" t="n">
        <x:v>46174</x:v>
      </x:c>
      <x:c r="B1467" s="32" t="n">
        <x:v>46174</x:v>
      </x:c>
      <x:c r="C1467" t="str">
        <x:v>Jun 2026</x:v>
      </x:c>
      <x:c r="D1467" t="str">
        <x:v>Forecast</x:v>
      </x:c>
      <x:c r="E1467" t="str">
        <x:v>DB-101</x:v>
      </x:c>
      <x:c r="F1467" t="str">
        <x:v>AeroSip Bottle</x:v>
      </x:c>
      <x:c r="G1467" t="str">
        <x:v>One-time purchase</x:v>
      </x:c>
      <x:c r="H1467" t="str">
        <x:v>None</x:v>
      </x:c>
      <x:c r="I1467" t="str">
        <x:v>Active</x:v>
      </x:c>
      <x:c r="J1467" t="str">
        <x:v>Wholesale</x:v>
      </x:c>
      <x:c r="K1467" t="str">
        <x:v>Retailer</x:v>
      </x:c>
      <x:c r="L1467" t="str">
        <x:v>All Geographies</x:v>
      </x:c>
      <x:c r="M1467" s="34" t="n">
        <x:v>2189</x:v>
      </x:c>
      <x:c r="N1467" s="28" t="n">
        <x:v>0.01881</x:v>
      </x:c>
      <x:c r="O1467" s="34" t="n">
        <x:v>41</x:v>
      </x:c>
      <x:c r="P1467" s="34" t="n">
        <x:v>1</x:v>
      </x:c>
      <x:c r="Q1467" s="34" t="n">
        <x:v>41</x:v>
      </x:c>
      <x:c r="R1467" s="33" t="n">
        <x:v>29</x:v>
      </x:c>
      <x:c r="S1467" s="38" t="n">
        <x:v>1.189</x:v>
      </x:c>
      <x:c r="T1467" s="38" t="n">
        <x:v>0.41615</x:v>
      </x:c>
      <x:c r="U1467" s="38" t="n">
        <x:v>0.034778250000000004</x:v>
      </x:c>
      <x:c r="V1467" s="38" t="n">
        <x:v>0.73807175</x:v>
      </x:c>
      <x:c r="W1467" s="38" t="n">
        <x:v>0.4428</x:v>
      </x:c>
      <x:c r="X1467" s="38" t="n">
        <x:v>0</x:v>
      </x:c>
      <x:c r="Y1467" s="38" t="n">
        <x:v>0</x:v>
      </x:c>
      <x:c r="Z1467" s="38" t="n">
        <x:v>0.0943</x:v>
      </x:c>
      <x:c r="AA1467" s="38" t="n">
        <x:v>0.03485</x:v>
      </x:c>
      <x:c r="AB1467" s="38" t="n">
        <x:v>0.0014759999999999999</x:v>
      </x:c>
      <x:c r="AC1467" s="38" t="n">
        <x:v>0.16464575</x:v>
      </x:c>
      <x:c r="AD1467" s="28" t="n">
        <x:v>0.22307553432305194</x:v>
      </x:c>
    </x:row>
    <x:row r="1468">
      <x:c r="A1468" s="32" t="n">
        <x:v>46174</x:v>
      </x:c>
      <x:c r="B1468" s="32" t="n">
        <x:v>46174</x:v>
      </x:c>
      <x:c r="C1468" t="str">
        <x:v>Jun 2026</x:v>
      </x:c>
      <x:c r="D1468" t="str">
        <x:v>Forecast</x:v>
      </x:c>
      <x:c r="E1468" t="str">
        <x:v>DB-101</x:v>
      </x:c>
      <x:c r="F1468" t="str">
        <x:v>AeroSip Bottle</x:v>
      </x:c>
      <x:c r="G1468" t="str">
        <x:v>One-time purchase</x:v>
      </x:c>
      <x:c r="H1468" t="str">
        <x:v>None</x:v>
      </x:c>
      <x:c r="I1468" t="str">
        <x:v>Active</x:v>
      </x:c>
      <x:c r="J1468" t="str">
        <x:v>TikTok Shop</x:v>
      </x:c>
      <x:c r="K1468" t="str">
        <x:v>Social Commerce</x:v>
      </x:c>
      <x:c r="L1468" t="str">
        <x:v>All Geographies</x:v>
      </x:c>
      <x:c r="M1468" s="34" t="n">
        <x:v>1459</x:v>
      </x:c>
      <x:c r="N1468" s="28" t="n">
        <x:v>0.043092</x:v>
      </x:c>
      <x:c r="O1468" s="34" t="n">
        <x:v>63</x:v>
      </x:c>
      <x:c r="P1468" s="34" t="n">
        <x:v>1</x:v>
      </x:c>
      <x:c r="Q1468" s="34" t="n">
        <x:v>63</x:v>
      </x:c>
      <x:c r="R1468" s="33" t="n">
        <x:v>29</x:v>
      </x:c>
      <x:c r="S1468" s="38" t="n">
        <x:v>1.827</x:v>
      </x:c>
      <x:c r="T1468" s="38" t="n">
        <x:v>0.21924</x:v>
      </x:c>
      <x:c r="U1468" s="38" t="n">
        <x:v>0.07234919999999999</x:v>
      </x:c>
      <x:c r="V1468" s="38" t="n">
        <x:v>1.5354108</x:v>
      </x:c>
      <x:c r="W1468" s="38" t="n">
        <x:v>0.6804000000000001</x:v>
      </x:c>
      <x:c r="X1468" s="38" t="n">
        <x:v>0.044526913200000004</x:v>
      </x:c>
      <x:c r="Y1468" s="38" t="n">
        <x:v>0.09212464799999999</x:v>
      </x:c>
      <x:c r="Z1468" s="38" t="n">
        <x:v>0.3213</x:v>
      </x:c>
      <x:c r="AA1468" s="38" t="n">
        <x:v>0.11025</x:v>
      </x:c>
      <x:c r="AB1468" s="38" t="n">
        <x:v>0.0022679999999999996</x:v>
      </x:c>
      <x:c r="AC1468" s="38" t="n">
        <x:v>0.2845412387999999</x:v>
      </x:c>
      <x:c r="AD1468" s="28" t="n">
        <x:v>0.18531928966501987</x:v>
      </x:c>
    </x:row>
    <x:row r="1469">
      <x:c r="A1469" s="32" t="n">
        <x:v>46174</x:v>
      </x:c>
      <x:c r="B1469" s="32" t="n">
        <x:v>46174</x:v>
      </x:c>
      <x:c r="C1469" t="str">
        <x:v>Jun 2026</x:v>
      </x:c>
      <x:c r="D1469" t="str">
        <x:v>Forecast</x:v>
      </x:c>
      <x:c r="E1469" t="str">
        <x:v>DB-102</x:v>
      </x:c>
      <x:c r="F1469" t="str">
        <x:v>GlowPatch Balm</x:v>
      </x:c>
      <x:c r="G1469" t="str">
        <x:v>Consumable repeat</x:v>
      </x:c>
      <x:c r="H1469" t="str">
        <x:v>None</x:v>
      </x:c>
      <x:c r="I1469" t="str">
        <x:v>Active</x:v>
      </x:c>
      <x:c r="J1469" t="str">
        <x:v>Shopify DTC</x:v>
      </x:c>
      <x:c r="K1469" t="str">
        <x:v>Consumer</x:v>
      </x:c>
      <x:c r="L1469" t="str">
        <x:v>All Geographies</x:v>
      </x:c>
      <x:c r="M1469" s="34" t="n">
        <x:v>5893</x:v>
      </x:c>
      <x:c r="N1469" s="28" t="n">
        <x:v>0.04248</x:v>
      </x:c>
      <x:c r="O1469" s="34" t="n">
        <x:v>250</x:v>
      </x:c>
      <x:c r="P1469" s="34" t="n">
        <x:v>1</x:v>
      </x:c>
      <x:c r="Q1469" s="34" t="n">
        <x:v>250</x:v>
      </x:c>
      <x:c r="R1469" s="33" t="n">
        <x:v>18</x:v>
      </x:c>
      <x:c r="S1469" s="38" t="n">
        <x:v>4.5</x:v>
      </x:c>
      <x:c r="T1469" s="38" t="n">
        <x:v>0.36</x:v>
      </x:c>
      <x:c r="U1469" s="38" t="n">
        <x:v>0.1035</x:v>
      </x:c>
      <x:c r="V1469" s="38" t="n">
        <x:v>4.036499999999999</x:v>
      </x:c>
      <x:c r="W1469" s="38" t="n">
        <x:v>1.3525</x:v>
      </x:c>
      <x:c r="X1469" s="38" t="n">
        <x:v>0.11705849999999998</x:v>
      </x:c>
      <x:c r="Y1469" s="38" t="n">
        <x:v>0</x:v>
      </x:c>
      <x:c r="Z1469" s="38" t="n">
        <x:v>1.0375</x:v>
      </x:c>
      <x:c r="AA1469" s="38" t="n">
        <x:v>0.4125</x:v>
      </x:c>
      <x:c r="AB1469" s="38" t="n">
        <x:v>0.0015</x:v>
      </x:c>
      <x:c r="AC1469" s="38" t="n">
        <x:v>1.1154414999999989</x:v>
      </x:c>
      <x:c r="AD1469" s="28" t="n">
        <x:v>0.2763387835996529</x:v>
      </x:c>
    </x:row>
    <x:row r="1470">
      <x:c r="A1470" s="32" t="n">
        <x:v>46174</x:v>
      </x:c>
      <x:c r="B1470" s="32" t="n">
        <x:v>46174</x:v>
      </x:c>
      <x:c r="C1470" t="str">
        <x:v>Jun 2026</x:v>
      </x:c>
      <x:c r="D1470" t="str">
        <x:v>Forecast</x:v>
      </x:c>
      <x:c r="E1470" t="str">
        <x:v>DB-102</x:v>
      </x:c>
      <x:c r="F1470" t="str">
        <x:v>GlowPatch Balm</x:v>
      </x:c>
      <x:c r="G1470" t="str">
        <x:v>Consumable repeat</x:v>
      </x:c>
      <x:c r="H1470" t="str">
        <x:v>None</x:v>
      </x:c>
      <x:c r="I1470" t="str">
        <x:v>Active</x:v>
      </x:c>
      <x:c r="J1470" t="str">
        <x:v>Amazon Marketplace</x:v>
      </x:c>
      <x:c r="K1470" t="str">
        <x:v>Marketplace Consumer</x:v>
      </x:c>
      <x:c r="L1470" t="str">
        <x:v>All Geographies</x:v>
      </x:c>
      <x:c r="M1470" s="34" t="n">
        <x:v>2946</x:v>
      </x:c>
      <x:c r="N1470" s="28" t="n">
        <x:v>0.050126399999999995</x:v>
      </x:c>
      <x:c r="O1470" s="34" t="n">
        <x:v>148</x:v>
      </x:c>
      <x:c r="P1470" s="34" t="n">
        <x:v>1</x:v>
      </x:c>
      <x:c r="Q1470" s="34" t="n">
        <x:v>148</x:v>
      </x:c>
      <x:c r="R1470" s="33" t="n">
        <x:v>18</x:v>
      </x:c>
      <x:c r="S1470" s="38" t="n">
        <x:v>2.664</x:v>
      </x:c>
      <x:c r="T1470" s="38" t="n">
        <x:v>0.1332</x:v>
      </x:c>
      <x:c r="U1470" s="38" t="n">
        <x:v>0.06327</x:v>
      </x:c>
      <x:c r="V1470" s="38" t="n">
        <x:v>2.46753</x:v>
      </x:c>
      <x:c r="W1470" s="38" t="n">
        <x:v>0.8006800000000001</x:v>
      </x:c>
      <x:c r="X1470" s="38" t="n">
        <x:v>0</x:v>
      </x:c>
      <x:c r="Y1470" s="38" t="n">
        <x:v>0.3701295</x:v>
      </x:c>
      <x:c r="Z1470" s="38" t="n">
        <x:v>0.7696000000000001</x:v>
      </x:c>
      <x:c r="AA1470" s="38" t="n">
        <x:v>0.3182</x:v>
      </x:c>
      <x:c r="AB1470" s="38" t="n">
        <x:v>0.0008879999999999999</x:v>
      </x:c>
      <x:c r="AC1470" s="38" t="n">
        <x:v>0.2080324999999999</x:v>
      </x:c>
      <x:c r="AD1470" s="28" t="n">
        <x:v>0.084307992202729</x:v>
      </x:c>
    </x:row>
    <x:row r="1471">
      <x:c r="A1471" s="32" t="n">
        <x:v>46174</x:v>
      </x:c>
      <x:c r="B1471" s="32" t="n">
        <x:v>46174</x:v>
      </x:c>
      <x:c r="C1471" t="str">
        <x:v>Jun 2026</x:v>
      </x:c>
      <x:c r="D1471" t="str">
        <x:v>Forecast</x:v>
      </x:c>
      <x:c r="E1471" t="str">
        <x:v>DB-102</x:v>
      </x:c>
      <x:c r="F1471" t="str">
        <x:v>GlowPatch Balm</x:v>
      </x:c>
      <x:c r="G1471" t="str">
        <x:v>Consumable repeat</x:v>
      </x:c>
      <x:c r="H1471" t="str">
        <x:v>None</x:v>
      </x:c>
      <x:c r="I1471" t="str">
        <x:v>Active</x:v>
      </x:c>
      <x:c r="J1471" t="str">
        <x:v>Wholesale</x:v>
      </x:c>
      <x:c r="K1471" t="str">
        <x:v>Retailer</x:v>
      </x:c>
      <x:c r="L1471" t="str">
        <x:v>All Geographies</x:v>
      </x:c>
      <x:c r="M1471" s="34" t="n">
        <x:v>1768</x:v>
      </x:c>
      <x:c r="N1471" s="28" t="n">
        <x:v>0.023364</x:v>
      </x:c>
      <x:c r="O1471" s="34" t="n">
        <x:v>41</x:v>
      </x:c>
      <x:c r="P1471" s="34" t="n">
        <x:v>1</x:v>
      </x:c>
      <x:c r="Q1471" s="34" t="n">
        <x:v>41</x:v>
      </x:c>
      <x:c r="R1471" s="33" t="n">
        <x:v>18</x:v>
      </x:c>
      <x:c r="S1471" s="38" t="n">
        <x:v>0.738</x:v>
      </x:c>
      <x:c r="T1471" s="38" t="n">
        <x:v>0.2583</x:v>
      </x:c>
      <x:c r="U1471" s="38" t="n">
        <x:v>0.011992500000000001</x:v>
      </x:c>
      <x:c r="V1471" s="38" t="n">
        <x:v>0.4677075</x:v>
      </x:c>
      <x:c r="W1471" s="38" t="n">
        <x:v>0.22181</x:v>
      </x:c>
      <x:c r="X1471" s="38" t="n">
        <x:v>0</x:v>
      </x:c>
      <x:c r="Y1471" s="38" t="n">
        <x:v>0</x:v>
      </x:c>
      <x:c r="Z1471" s="38" t="n">
        <x:v>0.0943</x:v>
      </x:c>
      <x:c r="AA1471" s="38" t="n">
        <x:v>0.03485</x:v>
      </x:c>
      <x:c r="AB1471" s="38" t="n">
        <x:v>0.000246</x:v>
      </x:c>
      <x:c r="AC1471" s="38" t="n">
        <x:v>0.11650150000000001</x:v>
      </x:c>
      <x:c r="AD1471" s="28" t="n">
        <x:v>0.2490905106289722</x:v>
      </x:c>
    </x:row>
    <x:row r="1472">
      <x:c r="A1472" s="32" t="n">
        <x:v>46174</x:v>
      </x:c>
      <x:c r="B1472" s="32" t="n">
        <x:v>46174</x:v>
      </x:c>
      <x:c r="C1472" t="str">
        <x:v>Jun 2026</x:v>
      </x:c>
      <x:c r="D1472" t="str">
        <x:v>Forecast</x:v>
      </x:c>
      <x:c r="E1472" t="str">
        <x:v>DB-102</x:v>
      </x:c>
      <x:c r="F1472" t="str">
        <x:v>GlowPatch Balm</x:v>
      </x:c>
      <x:c r="G1472" t="str">
        <x:v>Consumable repeat</x:v>
      </x:c>
      <x:c r="H1472" t="str">
        <x:v>None</x:v>
      </x:c>
      <x:c r="I1472" t="str">
        <x:v>Active</x:v>
      </x:c>
      <x:c r="J1472" t="str">
        <x:v>TikTok Shop</x:v>
      </x:c>
      <x:c r="K1472" t="str">
        <x:v>Social Commerce</x:v>
      </x:c>
      <x:c r="L1472" t="str">
        <x:v>All Geographies</x:v>
      </x:c>
      <x:c r="M1472" s="34" t="n">
        <x:v>1179</x:v>
      </x:c>
      <x:c r="N1472" s="28" t="n">
        <x:v>0.0535248</x:v>
      </x:c>
      <x:c r="O1472" s="34" t="n">
        <x:v>63</x:v>
      </x:c>
      <x:c r="P1472" s="34" t="n">
        <x:v>1</x:v>
      </x:c>
      <x:c r="Q1472" s="34" t="n">
        <x:v>63</x:v>
      </x:c>
      <x:c r="R1472" s="33" t="n">
        <x:v>18</x:v>
      </x:c>
      <x:c r="S1472" s="38" t="n">
        <x:v>1.134</x:v>
      </x:c>
      <x:c r="T1472" s="38" t="n">
        <x:v>0.13607999999999998</x:v>
      </x:c>
      <x:c r="U1472" s="38" t="n">
        <x:v>0.024947999999999998</x:v>
      </x:c>
      <x:c r="V1472" s="38" t="n">
        <x:v>0.972972</x:v>
      </x:c>
      <x:c r="W1472" s="38" t="n">
        <x:v>0.34082999999999997</x:v>
      </x:c>
      <x:c r="X1472" s="38" t="n">
        <x:v>0.028216188</x:v>
      </x:c>
      <x:c r="Y1472" s="38" t="n">
        <x:v>0.05837832</x:v>
      </x:c>
      <x:c r="Z1472" s="38" t="n">
        <x:v>0.3213</x:v>
      </x:c>
      <x:c r="AA1472" s="38" t="n">
        <x:v>0.11025</x:v>
      </x:c>
      <x:c r="AB1472" s="38" t="n">
        <x:v>0.000378</x:v>
      </x:c>
      <x:c r="AC1472" s="38" t="n">
        <x:v>0.11361949199999999</x:v>
      </x:c>
      <x:c r="AD1472" s="28" t="n">
        <x:v>0.11677570577570577</x:v>
      </x:c>
    </x:row>
    <x:row r="1473">
      <x:c r="A1473" s="32" t="n">
        <x:v>46174</x:v>
      </x:c>
      <x:c r="B1473" s="32" t="n">
        <x:v>46174</x:v>
      </x:c>
      <x:c r="C1473" t="str">
        <x:v>Jun 2026</x:v>
      </x:c>
      <x:c r="D1473" t="str">
        <x:v>Forecast</x:v>
      </x:c>
      <x:c r="E1473" t="str">
        <x:v>DB-103</x:v>
      </x:c>
      <x:c r="F1473" t="str">
        <x:v>EmberTrail Camp Mug</x:v>
      </x:c>
      <x:c r="G1473" t="str">
        <x:v>One-time purchase</x:v>
      </x:c>
      <x:c r="H1473" t="str">
        <x:v>Winter peak</x:v>
      </x:c>
      <x:c r="I1473" t="str">
        <x:v>Active</x:v>
      </x:c>
      <x:c r="J1473" t="str">
        <x:v>Shopify DTC</x:v>
      </x:c>
      <x:c r="K1473" t="str">
        <x:v>Consumer</x:v>
      </x:c>
      <x:c r="L1473" t="str">
        <x:v>All Geographies</x:v>
      </x:c>
      <x:c r="M1473" s="34" t="n">
        <x:v>3788</x:v>
      </x:c>
      <x:c r="N1473" s="28" t="n">
        <x:v>0.0324</x:v>
      </x:c>
      <x:c r="O1473" s="34" t="n">
        <x:v>123</x:v>
      </x:c>
      <x:c r="P1473" s="34" t="n">
        <x:v>1</x:v>
      </x:c>
      <x:c r="Q1473" s="34" t="n">
        <x:v>123</x:v>
      </x:c>
      <x:c r="R1473" s="33" t="n">
        <x:v>34</x:v>
      </x:c>
      <x:c r="S1473" s="38" t="n">
        <x:v>4.182</x:v>
      </x:c>
      <x:c r="T1473" s="38" t="n">
        <x:v>0.33456</x:v>
      </x:c>
      <x:c r="U1473" s="38" t="n">
        <x:v>0.21160920000000003</x:v>
      </x:c>
      <x:c r="V1473" s="38" t="n">
        <x:v>3.6358308000000004</x:v>
      </x:c>
      <x:c r="W1473" s="38" t="n">
        <x:v>1.68141</x:v>
      </x:c>
      <x:c r="X1473" s="38" t="n">
        <x:v>0.10543909320000001</x:v>
      </x:c>
      <x:c r="Y1473" s="38" t="n">
        <x:v>0</x:v>
      </x:c>
      <x:c r="Z1473" s="38" t="n">
        <x:v>0.5104500000000001</x:v>
      </x:c>
      <x:c r="AA1473" s="38" t="n">
        <x:v>0.20295</x:v>
      </x:c>
      <x:c r="AB1473" s="38" t="n">
        <x:v>0.006888</x:v>
      </x:c>
      <x:c r="AC1473" s="38" t="n">
        <x:v>1.1286937068000003</x:v>
      </x:c>
      <x:c r="AD1473" s="28" t="n">
        <x:v>0.3104362575948254</x:v>
      </x:c>
    </x:row>
    <x:row r="1474">
      <x:c r="A1474" s="32" t="n">
        <x:v>46174</x:v>
      </x:c>
      <x:c r="B1474" s="32" t="n">
        <x:v>46174</x:v>
      </x:c>
      <x:c r="C1474" t="str">
        <x:v>Jun 2026</x:v>
      </x:c>
      <x:c r="D1474" t="str">
        <x:v>Forecast</x:v>
      </x:c>
      <x:c r="E1474" t="str">
        <x:v>DB-103</x:v>
      </x:c>
      <x:c r="F1474" t="str">
        <x:v>EmberTrail Camp Mug</x:v>
      </x:c>
      <x:c r="G1474" t="str">
        <x:v>One-time purchase</x:v>
      </x:c>
      <x:c r="H1474" t="str">
        <x:v>Winter peak</x:v>
      </x:c>
      <x:c r="I1474" t="str">
        <x:v>Active</x:v>
      </x:c>
      <x:c r="J1474" t="str">
        <x:v>Amazon Marketplace</x:v>
      </x:c>
      <x:c r="K1474" t="str">
        <x:v>Marketplace Consumer</x:v>
      </x:c>
      <x:c r="L1474" t="str">
        <x:v>All Geographies</x:v>
      </x:c>
      <x:c r="M1474" s="34" t="n">
        <x:v>1894</x:v>
      </x:c>
      <x:c r="N1474" s="28" t="n">
        <x:v>0.038231999999999995</x:v>
      </x:c>
      <x:c r="O1474" s="34" t="n">
        <x:v>72</x:v>
      </x:c>
      <x:c r="P1474" s="34" t="n">
        <x:v>1</x:v>
      </x:c>
      <x:c r="Q1474" s="34" t="n">
        <x:v>72</x:v>
      </x:c>
      <x:c r="R1474" s="33" t="n">
        <x:v>34</x:v>
      </x:c>
      <x:c r="S1474" s="38" t="n">
        <x:v>2.448</x:v>
      </x:c>
      <x:c r="T1474" s="38" t="n">
        <x:v>0.12240000000000001</x:v>
      </x:c>
      <x:c r="U1474" s="38" t="n">
        <x:v>0.127908</x:v>
      </x:c>
      <x:c r="V1474" s="38" t="n">
        <x:v>2.197692</x:v>
      </x:c>
      <x:c r="W1474" s="38" t="n">
        <x:v>0.98424</x:v>
      </x:c>
      <x:c r="X1474" s="38" t="n">
        <x:v>0</x:v>
      </x:c>
      <x:c r="Y1474" s="38" t="n">
        <x:v>0.3296538</x:v>
      </x:c>
      <x:c r="Z1474" s="38" t="n">
        <x:v>0.3744</x:v>
      </x:c>
      <x:c r="AA1474" s="38" t="n">
        <x:v>0.1548</x:v>
      </x:c>
      <x:c r="AB1474" s="38" t="n">
        <x:v>0.004032</x:v>
      </x:c>
      <x:c r="AC1474" s="38" t="n">
        <x:v>0.35056619999999994</x:v>
      </x:c>
      <x:c r="AD1474" s="28" t="n">
        <x:v>0.1595156191131423</x:v>
      </x:c>
    </x:row>
    <x:row r="1475">
      <x:c r="A1475" s="32" t="n">
        <x:v>46174</x:v>
      </x:c>
      <x:c r="B1475" s="32" t="n">
        <x:v>46174</x:v>
      </x:c>
      <x:c r="C1475" t="str">
        <x:v>Jun 2026</x:v>
      </x:c>
      <x:c r="D1475" t="str">
        <x:v>Forecast</x:v>
      </x:c>
      <x:c r="E1475" t="str">
        <x:v>DB-103</x:v>
      </x:c>
      <x:c r="F1475" t="str">
        <x:v>EmberTrail Camp Mug</x:v>
      </x:c>
      <x:c r="G1475" t="str">
        <x:v>One-time purchase</x:v>
      </x:c>
      <x:c r="H1475" t="str">
        <x:v>Winter peak</x:v>
      </x:c>
      <x:c r="I1475" t="str">
        <x:v>Active</x:v>
      </x:c>
      <x:c r="J1475" t="str">
        <x:v>Wholesale</x:v>
      </x:c>
      <x:c r="K1475" t="str">
        <x:v>Retailer</x:v>
      </x:c>
      <x:c r="L1475" t="str">
        <x:v>All Geographies</x:v>
      </x:c>
      <x:c r="M1475" s="34" t="n">
        <x:v>1136</x:v>
      </x:c>
      <x:c r="N1475" s="28" t="n">
        <x:v>0.017820000000000003</x:v>
      </x:c>
      <x:c r="O1475" s="34" t="n">
        <x:v>20</x:v>
      </x:c>
      <x:c r="P1475" s="34" t="n">
        <x:v>1</x:v>
      </x:c>
      <x:c r="Q1475" s="34" t="n">
        <x:v>20</x:v>
      </x:c>
      <x:c r="R1475" s="33" t="n">
        <x:v>34</x:v>
      </x:c>
      <x:c r="S1475" s="38" t="n">
        <x:v>0.68</x:v>
      </x:c>
      <x:c r="T1475" s="38" t="n">
        <x:v>0.238</x:v>
      </x:c>
      <x:c r="U1475" s="38" t="n">
        <x:v>0.024310000000000002</x:v>
      </x:c>
      <x:c r="V1475" s="38" t="n">
        <x:v>0.41769000000000006</x:v>
      </x:c>
      <x:c r="W1475" s="38" t="n">
        <x:v>0.2734</x:v>
      </x:c>
      <x:c r="X1475" s="38" t="n">
        <x:v>0</x:v>
      </x:c>
      <x:c r="Y1475" s="38" t="n">
        <x:v>0</x:v>
      </x:c>
      <x:c r="Z1475" s="38" t="n">
        <x:v>0.046</x:v>
      </x:c>
      <x:c r="AA1475" s="38" t="n">
        <x:v>0.017</x:v>
      </x:c>
      <x:c r="AB1475" s="38" t="n">
        <x:v>0.0011200000000000001</x:v>
      </x:c>
      <x:c r="AC1475" s="38" t="n">
        <x:v>0.08017000000000009</x:v>
      </x:c>
      <x:c r="AD1475" s="28" t="n">
        <x:v>0.19193660370130977</x:v>
      </x:c>
    </x:row>
    <x:row r="1476">
      <x:c r="A1476" s="32" t="n">
        <x:v>46174</x:v>
      </x:c>
      <x:c r="B1476" s="32" t="n">
        <x:v>46174</x:v>
      </x:c>
      <x:c r="C1476" t="str">
        <x:v>Jun 2026</x:v>
      </x:c>
      <x:c r="D1476" t="str">
        <x:v>Forecast</x:v>
      </x:c>
      <x:c r="E1476" t="str">
        <x:v>DB-103</x:v>
      </x:c>
      <x:c r="F1476" t="str">
        <x:v>EmberTrail Camp Mug</x:v>
      </x:c>
      <x:c r="G1476" t="str">
        <x:v>One-time purchase</x:v>
      </x:c>
      <x:c r="H1476" t="str">
        <x:v>Winter peak</x:v>
      </x:c>
      <x:c r="I1476" t="str">
        <x:v>Active</x:v>
      </x:c>
      <x:c r="J1476" t="str">
        <x:v>TikTok Shop</x:v>
      </x:c>
      <x:c r="K1476" t="str">
        <x:v>Social Commerce</x:v>
      </x:c>
      <x:c r="L1476" t="str">
        <x:v>All Geographies</x:v>
      </x:c>
      <x:c r="M1476" s="34" t="n">
        <x:v>758</x:v>
      </x:c>
      <x:c r="N1476" s="28" t="n">
        <x:v>0.040824</x:v>
      </x:c>
      <x:c r="O1476" s="34" t="n">
        <x:v>31</x:v>
      </x:c>
      <x:c r="P1476" s="34" t="n">
        <x:v>1</x:v>
      </x:c>
      <x:c r="Q1476" s="34" t="n">
        <x:v>31</x:v>
      </x:c>
      <x:c r="R1476" s="33" t="n">
        <x:v>34</x:v>
      </x:c>
      <x:c r="S1476" s="38" t="n">
        <x:v>1.054</x:v>
      </x:c>
      <x:c r="T1476" s="38" t="n">
        <x:v>0.12648</x:v>
      </x:c>
      <x:c r="U1476" s="38" t="n">
        <x:v>0.0510136</x:v>
      </x:c>
      <x:c r="V1476" s="38" t="n">
        <x:v>0.8765064</x:v>
      </x:c>
      <x:c r="W1476" s="38" t="n">
        <x:v>0.42377</x:v>
      </x:c>
      <x:c r="X1476" s="38" t="n">
        <x:v>0.0254186856</x:v>
      </x:c>
      <x:c r="Y1476" s="38" t="n">
        <x:v>0.052590384</x:v>
      </x:c>
      <x:c r="Z1476" s="38" t="n">
        <x:v>0.1581</x:v>
      </x:c>
      <x:c r="AA1476" s="38" t="n">
        <x:v>0.05425</x:v>
      </x:c>
      <x:c r="AB1476" s="38" t="n">
        <x:v>0.001736</x:v>
      </x:c>
      <x:c r="AC1476" s="38" t="n">
        <x:v>0.1606413304000001</x:v>
      </x:c>
      <x:c r="AD1476" s="28" t="n">
        <x:v>0.18327456639221354</x:v>
      </x:c>
    </x:row>
    <x:row r="1477">
      <x:c r="A1477" s="32" t="n">
        <x:v>46174</x:v>
      </x:c>
      <x:c r="B1477" s="32" t="n">
        <x:v>46174</x:v>
      </x:c>
      <x:c r="C1477" t="str">
        <x:v>Jun 2026</x:v>
      </x:c>
      <x:c r="D1477" t="str">
        <x:v>Forecast</x:v>
      </x:c>
      <x:c r="E1477" t="str">
        <x:v>DB-104</x:v>
      </x:c>
      <x:c r="F1477" t="str">
        <x:v>SunNest Cooling Towel</x:v>
      </x:c>
      <x:c r="G1477" t="str">
        <x:v>Consumable repeat</x:v>
      </x:c>
      <x:c r="H1477" t="str">
        <x:v>Summer peak</x:v>
      </x:c>
      <x:c r="I1477" t="str">
        <x:v>Active</x:v>
      </x:c>
      <x:c r="J1477" t="str">
        <x:v>Shopify DTC</x:v>
      </x:c>
      <x:c r="K1477" t="str">
        <x:v>Consumer</x:v>
      </x:c>
      <x:c r="L1477" t="str">
        <x:v>All Geographies</x:v>
      </x:c>
      <x:c r="M1477" s="34" t="n">
        <x:v>6917</x:v>
      </x:c>
      <x:c r="N1477" s="28" t="n">
        <x:v>0.03312</x:v>
      </x:c>
      <x:c r="O1477" s="34" t="n">
        <x:v>229</x:v>
      </x:c>
      <x:c r="P1477" s="34" t="n">
        <x:v>1</x:v>
      </x:c>
      <x:c r="Q1477" s="34" t="n">
        <x:v>229</x:v>
      </x:c>
      <x:c r="R1477" s="33" t="n">
        <x:v>42</x:v>
      </x:c>
      <x:c r="S1477" s="38" t="n">
        <x:v>9.618</x:v>
      </x:c>
      <x:c r="T1477" s="38" t="n">
        <x:v>0.76944</x:v>
      </x:c>
      <x:c r="U1477" s="38" t="n">
        <x:v>0.44242800000000004</x:v>
      </x:c>
      <x:c r="V1477" s="38" t="n">
        <x:v>8.406132000000001</x:v>
      </x:c>
      <x:c r="W1477" s="38" t="n">
        <x:v>3.4464500000000005</x:v>
      </x:c>
      <x:c r="X1477" s="38" t="n">
        <x:v>0.24377782800000006</x:v>
      </x:c>
      <x:c r="Y1477" s="38" t="n">
        <x:v>0</x:v>
      </x:c>
      <x:c r="Z1477" s="38" t="n">
        <x:v>0.9503500000000001</x:v>
      </x:c>
      <x:c r="AA1477" s="38" t="n">
        <x:v>0.37784999999999996</x:v>
      </x:c>
      <x:c r="AB1477" s="38" t="n">
        <x:v>0.006412</x:v>
      </x:c>
      <x:c r="AC1477" s="38" t="n">
        <x:v>3.3812921720000007</x:v>
      </x:c>
      <x:c r="AD1477" s="28" t="n">
        <x:v>0.40224114634412117</x:v>
      </x:c>
    </x:row>
    <x:row r="1478">
      <x:c r="A1478" s="32" t="n">
        <x:v>46174</x:v>
      </x:c>
      <x:c r="B1478" s="32" t="n">
        <x:v>46174</x:v>
      </x:c>
      <x:c r="C1478" t="str">
        <x:v>Jun 2026</x:v>
      </x:c>
      <x:c r="D1478" t="str">
        <x:v>Forecast</x:v>
      </x:c>
      <x:c r="E1478" t="str">
        <x:v>DB-104</x:v>
      </x:c>
      <x:c r="F1478" t="str">
        <x:v>SunNest Cooling Towel</x:v>
      </x:c>
      <x:c r="G1478" t="str">
        <x:v>Consumable repeat</x:v>
      </x:c>
      <x:c r="H1478" t="str">
        <x:v>Summer peak</x:v>
      </x:c>
      <x:c r="I1478" t="str">
        <x:v>Active</x:v>
      </x:c>
      <x:c r="J1478" t="str">
        <x:v>Amazon Marketplace</x:v>
      </x:c>
      <x:c r="K1478" t="str">
        <x:v>Marketplace Consumer</x:v>
      </x:c>
      <x:c r="L1478" t="str">
        <x:v>All Geographies</x:v>
      </x:c>
      <x:c r="M1478" s="34" t="n">
        <x:v>3458</x:v>
      </x:c>
      <x:c r="N1478" s="28" t="n">
        <x:v>0.0390816</x:v>
      </x:c>
      <x:c r="O1478" s="34" t="n">
        <x:v>135</x:v>
      </x:c>
      <x:c r="P1478" s="34" t="n">
        <x:v>1</x:v>
      </x:c>
      <x:c r="Q1478" s="34" t="n">
        <x:v>135</x:v>
      </x:c>
      <x:c r="R1478" s="33" t="n">
        <x:v>42</x:v>
      </x:c>
      <x:c r="S1478" s="38" t="n">
        <x:v>5.67</x:v>
      </x:c>
      <x:c r="T1478" s="38" t="n">
        <x:v>0.28350000000000003</x:v>
      </x:c>
      <x:c r="U1478" s="38" t="n">
        <x:v>0.269325</x:v>
      </x:c>
      <x:c r="V1478" s="38" t="n">
        <x:v>5.117175</x:v>
      </x:c>
      <x:c r="W1478" s="38" t="n">
        <x:v>2.03175</x:v>
      </x:c>
      <x:c r="X1478" s="38" t="n">
        <x:v>0</x:v>
      </x:c>
      <x:c r="Y1478" s="38" t="n">
        <x:v>0.76757625</x:v>
      </x:c>
      <x:c r="Z1478" s="38" t="n">
        <x:v>0.702</x:v>
      </x:c>
      <x:c r="AA1478" s="38" t="n">
        <x:v>0.29025</x:v>
      </x:c>
      <x:c r="AB1478" s="38" t="n">
        <x:v>0.00378</x:v>
      </x:c>
      <x:c r="AC1478" s="38" t="n">
        <x:v>1.3218187499999998</x:v>
      </x:c>
      <x:c r="AD1478" s="28" t="n">
        <x:v>0.2583102493074792</x:v>
      </x:c>
    </x:row>
    <x:row r="1479">
      <x:c r="A1479" s="32" t="n">
        <x:v>46174</x:v>
      </x:c>
      <x:c r="B1479" s="32" t="n">
        <x:v>46174</x:v>
      </x:c>
      <x:c r="C1479" t="str">
        <x:v>Jun 2026</x:v>
      </x:c>
      <x:c r="D1479" t="str">
        <x:v>Forecast</x:v>
      </x:c>
      <x:c r="E1479" t="str">
        <x:v>DB-104</x:v>
      </x:c>
      <x:c r="F1479" t="str">
        <x:v>SunNest Cooling Towel</x:v>
      </x:c>
      <x:c r="G1479" t="str">
        <x:v>Consumable repeat</x:v>
      </x:c>
      <x:c r="H1479" t="str">
        <x:v>Summer peak</x:v>
      </x:c>
      <x:c r="I1479" t="str">
        <x:v>Active</x:v>
      </x:c>
      <x:c r="J1479" t="str">
        <x:v>Wholesale</x:v>
      </x:c>
      <x:c r="K1479" t="str">
        <x:v>Retailer</x:v>
      </x:c>
      <x:c r="L1479" t="str">
        <x:v>All Geographies</x:v>
      </x:c>
      <x:c r="M1479" s="34" t="n">
        <x:v>2075</x:v>
      </x:c>
      <x:c r="N1479" s="28" t="n">
        <x:v>0.018216000000000003</x:v>
      </x:c>
      <x:c r="O1479" s="34" t="n">
        <x:v>38</x:v>
      </x:c>
      <x:c r="P1479" s="34" t="n">
        <x:v>1</x:v>
      </x:c>
      <x:c r="Q1479" s="34" t="n">
        <x:v>38</x:v>
      </x:c>
      <x:c r="R1479" s="33" t="n">
        <x:v>42</x:v>
      </x:c>
      <x:c r="S1479" s="38" t="n">
        <x:v>1.596</x:v>
      </x:c>
      <x:c r="T1479" s="38" t="n">
        <x:v>0.5586</x:v>
      </x:c>
      <x:c r="U1479" s="38" t="n">
        <x:v>0.051870000000000006</x:v>
      </x:c>
      <x:c r="V1479" s="38" t="n">
        <x:v>0.9855300000000001</x:v>
      </x:c>
      <x:c r="W1479" s="38" t="n">
        <x:v>0.5719</x:v>
      </x:c>
      <x:c r="X1479" s="38" t="n">
        <x:v>0</x:v>
      </x:c>
      <x:c r="Y1479" s="38" t="n">
        <x:v>0</x:v>
      </x:c>
      <x:c r="Z1479" s="38" t="n">
        <x:v>0.08739999999999999</x:v>
      </x:c>
      <x:c r="AA1479" s="38" t="n">
        <x:v>0.032299999999999995</x:v>
      </x:c>
      <x:c r="AB1479" s="38" t="n">
        <x:v>0.0010639999999999998</x:v>
      </x:c>
      <x:c r="AC1479" s="38" t="n">
        <x:v>0.2928660000000002</x:v>
      </x:c>
      <x:c r="AD1479" s="28" t="n">
        <x:v>0.29716599190283416</x:v>
      </x:c>
    </x:row>
    <x:row r="1480">
      <x:c r="A1480" s="32" t="n">
        <x:v>46174</x:v>
      </x:c>
      <x:c r="B1480" s="32" t="n">
        <x:v>46174</x:v>
      </x:c>
      <x:c r="C1480" t="str">
        <x:v>Jun 2026</x:v>
      </x:c>
      <x:c r="D1480" t="str">
        <x:v>Forecast</x:v>
      </x:c>
      <x:c r="E1480" t="str">
        <x:v>DB-104</x:v>
      </x:c>
      <x:c r="F1480" t="str">
        <x:v>SunNest Cooling Towel</x:v>
      </x:c>
      <x:c r="G1480" t="str">
        <x:v>Consumable repeat</x:v>
      </x:c>
      <x:c r="H1480" t="str">
        <x:v>Summer peak</x:v>
      </x:c>
      <x:c r="I1480" t="str">
        <x:v>Active</x:v>
      </x:c>
      <x:c r="J1480" t="str">
        <x:v>TikTok Shop</x:v>
      </x:c>
      <x:c r="K1480" t="str">
        <x:v>Social Commerce</x:v>
      </x:c>
      <x:c r="L1480" t="str">
        <x:v>All Geographies</x:v>
      </x:c>
      <x:c r="M1480" s="34" t="n">
        <x:v>1383</x:v>
      </x:c>
      <x:c r="N1480" s="28" t="n">
        <x:v>0.0417312</x:v>
      </x:c>
      <x:c r="O1480" s="34" t="n">
        <x:v>58</x:v>
      </x:c>
      <x:c r="P1480" s="34" t="n">
        <x:v>1</x:v>
      </x:c>
      <x:c r="Q1480" s="34" t="n">
        <x:v>58</x:v>
      </x:c>
      <x:c r="R1480" s="33" t="n">
        <x:v>42</x:v>
      </x:c>
      <x:c r="S1480" s="38" t="n">
        <x:v>2.436</x:v>
      </x:c>
      <x:c r="T1480" s="38" t="n">
        <x:v>0.29231999999999997</x:v>
      </x:c>
      <x:c r="U1480" s="38" t="n">
        <x:v>0.107184</x:v>
      </x:c>
      <x:c r="V1480" s="38" t="n">
        <x:v>2.0364959999999996</x:v>
      </x:c>
      <x:c r="W1480" s="38" t="n">
        <x:v>0.8729000000000001</x:v>
      </x:c>
      <x:c r="X1480" s="38" t="n">
        <x:v>0.05905838399999999</x:v>
      </x:c>
      <x:c r="Y1480" s="38" t="n">
        <x:v>0.12218975999999998</x:v>
      </x:c>
      <x:c r="Z1480" s="38" t="n">
        <x:v>0.29579999999999995</x:v>
      </x:c>
      <x:c r="AA1480" s="38" t="n">
        <x:v>0.1015</x:v>
      </x:c>
      <x:c r="AB1480" s="38" t="n">
        <x:v>0.0016239999999999998</x:v>
      </x:c>
      <x:c r="AC1480" s="38" t="n">
        <x:v>0.5834238559999997</x:v>
      </x:c>
      <x:c r="AD1480" s="28" t="n">
        <x:v>0.28648416495784906</x:v>
      </x:c>
    </x:row>
    <x:row r="1481">
      <x:c r="A1481" s="32" t="n">
        <x:v>46174</x:v>
      </x:c>
      <x:c r="B1481" s="32" t="n">
        <x:v>46174</x:v>
      </x:c>
      <x:c r="C1481" t="str">
        <x:v>Jun 2026</x:v>
      </x:c>
      <x:c r="D1481" t="str">
        <x:v>Forecast</x:v>
      </x:c>
      <x:c r="E1481" t="str">
        <x:v>DB-105</x:v>
      </x:c>
      <x:c r="F1481" t="str">
        <x:v>DreamFuel Refill Pack</x:v>
      </x:c>
      <x:c r="G1481" t="str">
        <x:v>Subscription</x:v>
      </x:c>
      <x:c r="H1481" t="str">
        <x:v>None</x:v>
      </x:c>
      <x:c r="I1481" t="str">
        <x:v>Active</x:v>
      </x:c>
      <x:c r="J1481" t="str">
        <x:v>Shopify DTC</x:v>
      </x:c>
      <x:c r="K1481" t="str">
        <x:v>Consumer</x:v>
      </x:c>
      <x:c r="L1481" t="str">
        <x:v>All Geographies</x:v>
      </x:c>
      <x:c r="M1481" s="34" t="n">
        <x:v>5051</x:v>
      </x:c>
      <x:c r="N1481" s="28" t="n">
        <x:v>0.03888</x:v>
      </x:c>
      <x:c r="O1481" s="34" t="n">
        <x:v>196</x:v>
      </x:c>
      <x:c r="P1481" s="34" t="n">
        <x:v>1</x:v>
      </x:c>
      <x:c r="Q1481" s="34" t="n">
        <x:v>196</x:v>
      </x:c>
      <x:c r="R1481" s="33" t="n">
        <x:v>56</x:v>
      </x:c>
      <x:c r="S1481" s="38" t="n">
        <x:v>10.976</x:v>
      </x:c>
      <x:c r="T1481" s="38" t="n">
        <x:v>0.8780800000000001</x:v>
      </x:c>
      <x:c r="U1481" s="38" t="n">
        <x:v>0.2019584</x:v>
      </x:c>
      <x:c r="V1481" s="38" t="n">
        <x:v>9.8959616</x:v>
      </x:c>
      <x:c r="W1481" s="38" t="n">
        <x:v>3.64952</x:v>
      </x:c>
      <x:c r="X1481" s="38" t="n">
        <x:v>0.2869828864</x:v>
      </x:c>
      <x:c r="Y1481" s="38" t="n">
        <x:v>0</x:v>
      </x:c>
      <x:c r="Z1481" s="38" t="n">
        <x:v>0.8134000000000001</x:v>
      </x:c>
      <x:c r="AA1481" s="38" t="n">
        <x:v>0.32339999999999997</x:v>
      </x:c>
      <x:c r="AB1481" s="38" t="n">
        <x:v>0.0007055999999999999</x:v>
      </x:c>
      <x:c r="AC1481" s="38" t="n">
        <x:v>4.8219531136</x:v>
      </x:c>
      <x:c r="AD1481" s="28" t="n">
        <x:v>0.4872647357079478</x:v>
      </x:c>
    </x:row>
    <x:row r="1482">
      <x:c r="A1482" s="32" t="n">
        <x:v>46174</x:v>
      </x:c>
      <x:c r="B1482" s="32" t="n">
        <x:v>46174</x:v>
      </x:c>
      <x:c r="C1482" t="str">
        <x:v>Jun 2026</x:v>
      </x:c>
      <x:c r="D1482" t="str">
        <x:v>Forecast</x:v>
      </x:c>
      <x:c r="E1482" t="str">
        <x:v>DB-105</x:v>
      </x:c>
      <x:c r="F1482" t="str">
        <x:v>DreamFuel Refill Pack</x:v>
      </x:c>
      <x:c r="G1482" t="str">
        <x:v>Subscription</x:v>
      </x:c>
      <x:c r="H1482" t="str">
        <x:v>None</x:v>
      </x:c>
      <x:c r="I1482" t="str">
        <x:v>Active</x:v>
      </x:c>
      <x:c r="J1482" t="str">
        <x:v>Amazon Marketplace</x:v>
      </x:c>
      <x:c r="K1482" t="str">
        <x:v>Marketplace Consumer</x:v>
      </x:c>
      <x:c r="L1482" t="str">
        <x:v>All Geographies</x:v>
      </x:c>
      <x:c r="M1482" s="34" t="n">
        <x:v>2525</x:v>
      </x:c>
      <x:c r="N1482" s="28" t="n">
        <x:v>0.0458784</x:v>
      </x:c>
      <x:c r="O1482" s="34" t="n">
        <x:v>116</x:v>
      </x:c>
      <x:c r="P1482" s="34" t="n">
        <x:v>1</x:v>
      </x:c>
      <x:c r="Q1482" s="34" t="n">
        <x:v>116</x:v>
      </x:c>
      <x:c r="R1482" s="33" t="n">
        <x:v>56</x:v>
      </x:c>
      <x:c r="S1482" s="38" t="n">
        <x:v>6.496</x:v>
      </x:c>
      <x:c r="T1482" s="38" t="n">
        <x:v>0.32480000000000003</x:v>
      </x:c>
      <x:c r="U1482" s="38" t="n">
        <x:v>0.12342400000000002</x:v>
      </x:c>
      <x:c r="V1482" s="38" t="n">
        <x:v>6.047776000000001</x:v>
      </x:c>
      <x:c r="W1482" s="38" t="n">
        <x:v>2.15992</x:v>
      </x:c>
      <x:c r="X1482" s="38" t="n">
        <x:v>0</x:v>
      </x:c>
      <x:c r="Y1482" s="38" t="n">
        <x:v>0.9071664</x:v>
      </x:c>
      <x:c r="Z1482" s="38" t="n">
        <x:v>0.6032000000000001</x:v>
      </x:c>
      <x:c r="AA1482" s="38" t="n">
        <x:v>0.24939999999999998</x:v>
      </x:c>
      <x:c r="AB1482" s="38" t="n">
        <x:v>0.0004176</x:v>
      </x:c>
      <x:c r="AC1482" s="38" t="n">
        <x:v>2.1276720000000005</x:v>
      </x:c>
      <x:c r="AD1482" s="28" t="n">
        <x:v>0.35181064907165877</x:v>
      </x:c>
    </x:row>
    <x:row r="1483">
      <x:c r="A1483" s="32" t="n">
        <x:v>46174</x:v>
      </x:c>
      <x:c r="B1483" s="32" t="n">
        <x:v>46174</x:v>
      </x:c>
      <x:c r="C1483" t="str">
        <x:v>Jun 2026</x:v>
      </x:c>
      <x:c r="D1483" t="str">
        <x:v>Forecast</x:v>
      </x:c>
      <x:c r="E1483" t="str">
        <x:v>DB-105</x:v>
      </x:c>
      <x:c r="F1483" t="str">
        <x:v>DreamFuel Refill Pack</x:v>
      </x:c>
      <x:c r="G1483" t="str">
        <x:v>Subscription</x:v>
      </x:c>
      <x:c r="H1483" t="str">
        <x:v>None</x:v>
      </x:c>
      <x:c r="I1483" t="str">
        <x:v>Active</x:v>
      </x:c>
      <x:c r="J1483" t="str">
        <x:v>Wholesale</x:v>
      </x:c>
      <x:c r="K1483" t="str">
        <x:v>Retailer</x:v>
      </x:c>
      <x:c r="L1483" t="str">
        <x:v>All Geographies</x:v>
      </x:c>
      <x:c r="M1483" s="34" t="n">
        <x:v>1515</x:v>
      </x:c>
      <x:c r="N1483" s="28" t="n">
        <x:v>0.021384000000000004</x:v>
      </x:c>
      <x:c r="O1483" s="34" t="n">
        <x:v>32</x:v>
      </x:c>
      <x:c r="P1483" s="34" t="n">
        <x:v>1</x:v>
      </x:c>
      <x:c r="Q1483" s="34" t="n">
        <x:v>32</x:v>
      </x:c>
      <x:c r="R1483" s="33" t="n">
        <x:v>56</x:v>
      </x:c>
      <x:c r="S1483" s="38" t="n">
        <x:v>1.792</x:v>
      </x:c>
      <x:c r="T1483" s="38" t="n">
        <x:v>0.6272</x:v>
      </x:c>
      <x:c r="U1483" s="38" t="n">
        <x:v>0.023296</x:v>
      </x:c>
      <x:c r="V1483" s="38" t="n">
        <x:v>1.141504</x:v>
      </x:c>
      <x:c r="W1483" s="38" t="n">
        <x:v>0.59584</x:v>
      </x:c>
      <x:c r="X1483" s="38" t="n">
        <x:v>0</x:v>
      </x:c>
      <x:c r="Y1483" s="38" t="n">
        <x:v>0</x:v>
      </x:c>
      <x:c r="Z1483" s="38" t="n">
        <x:v>0.0736</x:v>
      </x:c>
      <x:c r="AA1483" s="38" t="n">
        <x:v>0.0272</x:v>
      </x:c>
      <x:c r="AB1483" s="38" t="n">
        <x:v>0.0001152</x:v>
      </x:c>
      <x:c r="AC1483" s="38" t="n">
        <x:v>0.44474880000000006</x:v>
      </x:c>
      <x:c r="AD1483" s="28" t="n">
        <x:v>0.3896165059430366</x:v>
      </x:c>
    </x:row>
    <x:row r="1484">
      <x:c r="A1484" s="32" t="n">
        <x:v>46174</x:v>
      </x:c>
      <x:c r="B1484" s="32" t="n">
        <x:v>46174</x:v>
      </x:c>
      <x:c r="C1484" t="str">
        <x:v>Jun 2026</x:v>
      </x:c>
      <x:c r="D1484" t="str">
        <x:v>Forecast</x:v>
      </x:c>
      <x:c r="E1484" t="str">
        <x:v>DB-105</x:v>
      </x:c>
      <x:c r="F1484" t="str">
        <x:v>DreamFuel Refill Pack</x:v>
      </x:c>
      <x:c r="G1484" t="str">
        <x:v>Subscription</x:v>
      </x:c>
      <x:c r="H1484" t="str">
        <x:v>None</x:v>
      </x:c>
      <x:c r="I1484" t="str">
        <x:v>Active</x:v>
      </x:c>
      <x:c r="J1484" t="str">
        <x:v>TikTok Shop</x:v>
      </x:c>
      <x:c r="K1484" t="str">
        <x:v>Social Commerce</x:v>
      </x:c>
      <x:c r="L1484" t="str">
        <x:v>All Geographies</x:v>
      </x:c>
      <x:c r="M1484" s="34" t="n">
        <x:v>1010</x:v>
      </x:c>
      <x:c r="N1484" s="28" t="n">
        <x:v>0.0489888</x:v>
      </x:c>
      <x:c r="O1484" s="34" t="n">
        <x:v>49</x:v>
      </x:c>
      <x:c r="P1484" s="34" t="n">
        <x:v>1</x:v>
      </x:c>
      <x:c r="Q1484" s="34" t="n">
        <x:v>49</x:v>
      </x:c>
      <x:c r="R1484" s="33" t="n">
        <x:v>56</x:v>
      </x:c>
      <x:c r="S1484" s="38" t="n">
        <x:v>2.744</x:v>
      </x:c>
      <x:c r="T1484" s="38" t="n">
        <x:v>0.32928</x:v>
      </x:c>
      <x:c r="U1484" s="38" t="n">
        <x:v>0.0482944</x:v>
      </x:c>
      <x:c r="V1484" s="38" t="n">
        <x:v>2.3664256</x:v>
      </x:c>
      <x:c r="W1484" s="38" t="n">
        <x:v>0.91238</x:v>
      </x:c>
      <x:c r="X1484" s="38" t="n">
        <x:v>0.0686263424</x:v>
      </x:c>
      <x:c r="Y1484" s="38" t="n">
        <x:v>0.141985536</x:v>
      </x:c>
      <x:c r="Z1484" s="38" t="n">
        <x:v>0.24989999999999998</x:v>
      </x:c>
      <x:c r="AA1484" s="38" t="n">
        <x:v>0.08575</x:v>
      </x:c>
      <x:c r="AB1484" s="38" t="n">
        <x:v>0.00017639999999999998</x:v>
      </x:c>
      <x:c r="AC1484" s="38" t="n">
        <x:v>0.9076073216</x:v>
      </x:c>
      <x:c r="AD1484" s="28" t="n">
        <x:v>0.3835351179432812</x:v>
      </x:c>
    </x:row>
    <x:row r="1485">
      <x:c r="A1485" s="32" t="n">
        <x:v>46181</x:v>
      </x:c>
      <x:c r="B1485" s="32" t="n">
        <x:v>46174</x:v>
      </x:c>
      <x:c r="C1485" t="str">
        <x:v>Jun 2026</x:v>
      </x:c>
      <x:c r="D1485" t="str">
        <x:v>Forecast</x:v>
      </x:c>
      <x:c r="E1485" t="str">
        <x:v>DB-101</x:v>
      </x:c>
      <x:c r="F1485" t="str">
        <x:v>AeroSip Bottle</x:v>
      </x:c>
      <x:c r="G1485" t="str">
        <x:v>One-time purchase</x:v>
      </x:c>
      <x:c r="H1485" t="str">
        <x:v>None</x:v>
      </x:c>
      <x:c r="I1485" t="str">
        <x:v>Active</x:v>
      </x:c>
      <x:c r="J1485" t="str">
        <x:v>Shopify DTC</x:v>
      </x:c>
      <x:c r="K1485" t="str">
        <x:v>Consumer</x:v>
      </x:c>
      <x:c r="L1485" t="str">
        <x:v>All Geographies</x:v>
      </x:c>
      <x:c r="M1485" s="34" t="n">
        <x:v>7296</x:v>
      </x:c>
      <x:c r="N1485" s="28" t="n">
        <x:v>0.034199999999999994</x:v>
      </x:c>
      <x:c r="O1485" s="34" t="n">
        <x:v>250</x:v>
      </x:c>
      <x:c r="P1485" s="34" t="n">
        <x:v>1</x:v>
      </x:c>
      <x:c r="Q1485" s="34" t="n">
        <x:v>250</x:v>
      </x:c>
      <x:c r="R1485" s="33" t="n">
        <x:v>29</x:v>
      </x:c>
      <x:c r="S1485" s="38" t="n">
        <x:v>7.25</x:v>
      </x:c>
      <x:c r="T1485" s="38" t="n">
        <x:v>0.58</x:v>
      </x:c>
      <x:c r="U1485" s="38" t="n">
        <x:v>0.30015</x:v>
      </x:c>
      <x:c r="V1485" s="38" t="n">
        <x:v>6.36985</x:v>
      </x:c>
      <x:c r="W1485" s="38" t="n">
        <x:v>2.7</x:v>
      </x:c>
      <x:c r="X1485" s="38" t="n">
        <x:v>0.18472565</x:v>
      </x:c>
      <x:c r="Y1485" s="38" t="n">
        <x:v>0</x:v>
      </x:c>
      <x:c r="Z1485" s="38" t="n">
        <x:v>1.0375</x:v>
      </x:c>
      <x:c r="AA1485" s="38" t="n">
        <x:v>0.4125</x:v>
      </x:c>
      <x:c r="AB1485" s="38" t="n">
        <x:v>0.009</x:v>
      </x:c>
      <x:c r="AC1485" s="38" t="n">
        <x:v>2.0261243499999995</x:v>
      </x:c>
      <x:c r="AD1485" s="28" t="n">
        <x:v>0.31808038650831644</x:v>
      </x:c>
    </x:row>
    <x:row r="1486">
      <x:c r="A1486" s="32" t="n">
        <x:v>46181</x:v>
      </x:c>
      <x:c r="B1486" s="32" t="n">
        <x:v>46174</x:v>
      </x:c>
      <x:c r="C1486" t="str">
        <x:v>Jun 2026</x:v>
      </x:c>
      <x:c r="D1486" t="str">
        <x:v>Forecast</x:v>
      </x:c>
      <x:c r="E1486" t="str">
        <x:v>DB-101</x:v>
      </x:c>
      <x:c r="F1486" t="str">
        <x:v>AeroSip Bottle</x:v>
      </x:c>
      <x:c r="G1486" t="str">
        <x:v>One-time purchase</x:v>
      </x:c>
      <x:c r="H1486" t="str">
        <x:v>None</x:v>
      </x:c>
      <x:c r="I1486" t="str">
        <x:v>Active</x:v>
      </x:c>
      <x:c r="J1486" t="str">
        <x:v>Amazon Marketplace</x:v>
      </x:c>
      <x:c r="K1486" t="str">
        <x:v>Marketplace Consumer</x:v>
      </x:c>
      <x:c r="L1486" t="str">
        <x:v>All Geographies</x:v>
      </x:c>
      <x:c r="M1486" s="34" t="n">
        <x:v>3648</x:v>
      </x:c>
      <x:c r="N1486" s="28" t="n">
        <x:v>0.040355999999999996</x:v>
      </x:c>
      <x:c r="O1486" s="34" t="n">
        <x:v>147</x:v>
      </x:c>
      <x:c r="P1486" s="34" t="n">
        <x:v>1</x:v>
      </x:c>
      <x:c r="Q1486" s="34" t="n">
        <x:v>147</x:v>
      </x:c>
      <x:c r="R1486" s="33" t="n">
        <x:v>29</x:v>
      </x:c>
      <x:c r="S1486" s="38" t="n">
        <x:v>4.263</x:v>
      </x:c>
      <x:c r="T1486" s="38" t="n">
        <x:v>0.21315</x:v>
      </x:c>
      <x:c r="U1486" s="38" t="n">
        <x:v>0.18224325</x:v>
      </x:c>
      <x:c r="V1486" s="38" t="n">
        <x:v>3.86760675</x:v>
      </x:c>
      <x:c r="W1486" s="38" t="n">
        <x:v>1.5876000000000001</x:v>
      </x:c>
      <x:c r="X1486" s="38" t="n">
        <x:v>0</x:v>
      </x:c>
      <x:c r="Y1486" s="38" t="n">
        <x:v>0.5801410125</x:v>
      </x:c>
      <x:c r="Z1486" s="38" t="n">
        <x:v>0.7644</x:v>
      </x:c>
      <x:c r="AA1486" s="38" t="n">
        <x:v>0.31605</x:v>
      </x:c>
      <x:c r="AB1486" s="38" t="n">
        <x:v>0.005292</x:v>
      </x:c>
      <x:c r="AC1486" s="38" t="n">
        <x:v>0.6141237375000003</x:v>
      </x:c>
      <x:c r="AD1486" s="28" t="n">
        <x:v>0.15878649955815705</x:v>
      </x:c>
    </x:row>
    <x:row r="1487">
      <x:c r="A1487" s="32" t="n">
        <x:v>46181</x:v>
      </x:c>
      <x:c r="B1487" s="32" t="n">
        <x:v>46174</x:v>
      </x:c>
      <x:c r="C1487" t="str">
        <x:v>Jun 2026</x:v>
      </x:c>
      <x:c r="D1487" t="str">
        <x:v>Forecast</x:v>
      </x:c>
      <x:c r="E1487" t="str">
        <x:v>DB-101</x:v>
      </x:c>
      <x:c r="F1487" t="str">
        <x:v>AeroSip Bottle</x:v>
      </x:c>
      <x:c r="G1487" t="str">
        <x:v>One-time purchase</x:v>
      </x:c>
      <x:c r="H1487" t="str">
        <x:v>None</x:v>
      </x:c>
      <x:c r="I1487" t="str">
        <x:v>Active</x:v>
      </x:c>
      <x:c r="J1487" t="str">
        <x:v>Wholesale</x:v>
      </x:c>
      <x:c r="K1487" t="str">
        <x:v>Retailer</x:v>
      </x:c>
      <x:c r="L1487" t="str">
        <x:v>All Geographies</x:v>
      </x:c>
      <x:c r="M1487" s="34" t="n">
        <x:v>2189</x:v>
      </x:c>
      <x:c r="N1487" s="28" t="n">
        <x:v>0.01881</x:v>
      </x:c>
      <x:c r="O1487" s="34" t="n">
        <x:v>41</x:v>
      </x:c>
      <x:c r="P1487" s="34" t="n">
        <x:v>1</x:v>
      </x:c>
      <x:c r="Q1487" s="34" t="n">
        <x:v>41</x:v>
      </x:c>
      <x:c r="R1487" s="33" t="n">
        <x:v>29</x:v>
      </x:c>
      <x:c r="S1487" s="38" t="n">
        <x:v>1.189</x:v>
      </x:c>
      <x:c r="T1487" s="38" t="n">
        <x:v>0.41615</x:v>
      </x:c>
      <x:c r="U1487" s="38" t="n">
        <x:v>0.034778250000000004</x:v>
      </x:c>
      <x:c r="V1487" s="38" t="n">
        <x:v>0.73807175</x:v>
      </x:c>
      <x:c r="W1487" s="38" t="n">
        <x:v>0.4428</x:v>
      </x:c>
      <x:c r="X1487" s="38" t="n">
        <x:v>0</x:v>
      </x:c>
      <x:c r="Y1487" s="38" t="n">
        <x:v>0</x:v>
      </x:c>
      <x:c r="Z1487" s="38" t="n">
        <x:v>0.0943</x:v>
      </x:c>
      <x:c r="AA1487" s="38" t="n">
        <x:v>0.03485</x:v>
      </x:c>
      <x:c r="AB1487" s="38" t="n">
        <x:v>0.0014759999999999999</x:v>
      </x:c>
      <x:c r="AC1487" s="38" t="n">
        <x:v>0.16464575</x:v>
      </x:c>
      <x:c r="AD1487" s="28" t="n">
        <x:v>0.22307553432305194</x:v>
      </x:c>
    </x:row>
    <x:row r="1488">
      <x:c r="A1488" s="32" t="n">
        <x:v>46181</x:v>
      </x:c>
      <x:c r="B1488" s="32" t="n">
        <x:v>46174</x:v>
      </x:c>
      <x:c r="C1488" t="str">
        <x:v>Jun 2026</x:v>
      </x:c>
      <x:c r="D1488" t="str">
        <x:v>Forecast</x:v>
      </x:c>
      <x:c r="E1488" t="str">
        <x:v>DB-101</x:v>
      </x:c>
      <x:c r="F1488" t="str">
        <x:v>AeroSip Bottle</x:v>
      </x:c>
      <x:c r="G1488" t="str">
        <x:v>One-time purchase</x:v>
      </x:c>
      <x:c r="H1488" t="str">
        <x:v>None</x:v>
      </x:c>
      <x:c r="I1488" t="str">
        <x:v>Active</x:v>
      </x:c>
      <x:c r="J1488" t="str">
        <x:v>TikTok Shop</x:v>
      </x:c>
      <x:c r="K1488" t="str">
        <x:v>Social Commerce</x:v>
      </x:c>
      <x:c r="L1488" t="str">
        <x:v>All Geographies</x:v>
      </x:c>
      <x:c r="M1488" s="34" t="n">
        <x:v>1459</x:v>
      </x:c>
      <x:c r="N1488" s="28" t="n">
        <x:v>0.043092</x:v>
      </x:c>
      <x:c r="O1488" s="34" t="n">
        <x:v>63</x:v>
      </x:c>
      <x:c r="P1488" s="34" t="n">
        <x:v>1</x:v>
      </x:c>
      <x:c r="Q1488" s="34" t="n">
        <x:v>63</x:v>
      </x:c>
      <x:c r="R1488" s="33" t="n">
        <x:v>29</x:v>
      </x:c>
      <x:c r="S1488" s="38" t="n">
        <x:v>1.827</x:v>
      </x:c>
      <x:c r="T1488" s="38" t="n">
        <x:v>0.21924</x:v>
      </x:c>
      <x:c r="U1488" s="38" t="n">
        <x:v>0.07234919999999999</x:v>
      </x:c>
      <x:c r="V1488" s="38" t="n">
        <x:v>1.5354108</x:v>
      </x:c>
      <x:c r="W1488" s="38" t="n">
        <x:v>0.6804000000000001</x:v>
      </x:c>
      <x:c r="X1488" s="38" t="n">
        <x:v>0.044526913200000004</x:v>
      </x:c>
      <x:c r="Y1488" s="38" t="n">
        <x:v>0.09212464799999999</x:v>
      </x:c>
      <x:c r="Z1488" s="38" t="n">
        <x:v>0.3213</x:v>
      </x:c>
      <x:c r="AA1488" s="38" t="n">
        <x:v>0.11025</x:v>
      </x:c>
      <x:c r="AB1488" s="38" t="n">
        <x:v>0.0022679999999999996</x:v>
      </x:c>
      <x:c r="AC1488" s="38" t="n">
        <x:v>0.2845412387999999</x:v>
      </x:c>
      <x:c r="AD1488" s="28" t="n">
        <x:v>0.18531928966501987</x:v>
      </x:c>
    </x:row>
    <x:row r="1489">
      <x:c r="A1489" s="32" t="n">
        <x:v>46181</x:v>
      </x:c>
      <x:c r="B1489" s="32" t="n">
        <x:v>46174</x:v>
      </x:c>
      <x:c r="C1489" t="str">
        <x:v>Jun 2026</x:v>
      </x:c>
      <x:c r="D1489" t="str">
        <x:v>Forecast</x:v>
      </x:c>
      <x:c r="E1489" t="str">
        <x:v>DB-102</x:v>
      </x:c>
      <x:c r="F1489" t="str">
        <x:v>GlowPatch Balm</x:v>
      </x:c>
      <x:c r="G1489" t="str">
        <x:v>Consumable repeat</x:v>
      </x:c>
      <x:c r="H1489" t="str">
        <x:v>None</x:v>
      </x:c>
      <x:c r="I1489" t="str">
        <x:v>Active</x:v>
      </x:c>
      <x:c r="J1489" t="str">
        <x:v>Shopify DTC</x:v>
      </x:c>
      <x:c r="K1489" t="str">
        <x:v>Consumer</x:v>
      </x:c>
      <x:c r="L1489" t="str">
        <x:v>All Geographies</x:v>
      </x:c>
      <x:c r="M1489" s="34" t="n">
        <x:v>5893</x:v>
      </x:c>
      <x:c r="N1489" s="28" t="n">
        <x:v>0.04248</x:v>
      </x:c>
      <x:c r="O1489" s="34" t="n">
        <x:v>250</x:v>
      </x:c>
      <x:c r="P1489" s="34" t="n">
        <x:v>1</x:v>
      </x:c>
      <x:c r="Q1489" s="34" t="n">
        <x:v>250</x:v>
      </x:c>
      <x:c r="R1489" s="33" t="n">
        <x:v>18</x:v>
      </x:c>
      <x:c r="S1489" s="38" t="n">
        <x:v>4.5</x:v>
      </x:c>
      <x:c r="T1489" s="38" t="n">
        <x:v>0.36</x:v>
      </x:c>
      <x:c r="U1489" s="38" t="n">
        <x:v>0.1035</x:v>
      </x:c>
      <x:c r="V1489" s="38" t="n">
        <x:v>4.036499999999999</x:v>
      </x:c>
      <x:c r="W1489" s="38" t="n">
        <x:v>1.3525</x:v>
      </x:c>
      <x:c r="X1489" s="38" t="n">
        <x:v>0.11705849999999998</x:v>
      </x:c>
      <x:c r="Y1489" s="38" t="n">
        <x:v>0</x:v>
      </x:c>
      <x:c r="Z1489" s="38" t="n">
        <x:v>1.0375</x:v>
      </x:c>
      <x:c r="AA1489" s="38" t="n">
        <x:v>0.4125</x:v>
      </x:c>
      <x:c r="AB1489" s="38" t="n">
        <x:v>0.0015</x:v>
      </x:c>
      <x:c r="AC1489" s="38" t="n">
        <x:v>1.1154414999999989</x:v>
      </x:c>
      <x:c r="AD1489" s="28" t="n">
        <x:v>0.2763387835996529</x:v>
      </x:c>
    </x:row>
    <x:row r="1490">
      <x:c r="A1490" s="32" t="n">
        <x:v>46181</x:v>
      </x:c>
      <x:c r="B1490" s="32" t="n">
        <x:v>46174</x:v>
      </x:c>
      <x:c r="C1490" t="str">
        <x:v>Jun 2026</x:v>
      </x:c>
      <x:c r="D1490" t="str">
        <x:v>Forecast</x:v>
      </x:c>
      <x:c r="E1490" t="str">
        <x:v>DB-102</x:v>
      </x:c>
      <x:c r="F1490" t="str">
        <x:v>GlowPatch Balm</x:v>
      </x:c>
      <x:c r="G1490" t="str">
        <x:v>Consumable repeat</x:v>
      </x:c>
      <x:c r="H1490" t="str">
        <x:v>None</x:v>
      </x:c>
      <x:c r="I1490" t="str">
        <x:v>Active</x:v>
      </x:c>
      <x:c r="J1490" t="str">
        <x:v>Amazon Marketplace</x:v>
      </x:c>
      <x:c r="K1490" t="str">
        <x:v>Marketplace Consumer</x:v>
      </x:c>
      <x:c r="L1490" t="str">
        <x:v>All Geographies</x:v>
      </x:c>
      <x:c r="M1490" s="34" t="n">
        <x:v>2946</x:v>
      </x:c>
      <x:c r="N1490" s="28" t="n">
        <x:v>0.050126399999999995</x:v>
      </x:c>
      <x:c r="O1490" s="34" t="n">
        <x:v>148</x:v>
      </x:c>
      <x:c r="P1490" s="34" t="n">
        <x:v>1</x:v>
      </x:c>
      <x:c r="Q1490" s="34" t="n">
        <x:v>148</x:v>
      </x:c>
      <x:c r="R1490" s="33" t="n">
        <x:v>18</x:v>
      </x:c>
      <x:c r="S1490" s="38" t="n">
        <x:v>2.664</x:v>
      </x:c>
      <x:c r="T1490" s="38" t="n">
        <x:v>0.1332</x:v>
      </x:c>
      <x:c r="U1490" s="38" t="n">
        <x:v>0.06327</x:v>
      </x:c>
      <x:c r="V1490" s="38" t="n">
        <x:v>2.46753</x:v>
      </x:c>
      <x:c r="W1490" s="38" t="n">
        <x:v>0.8006800000000001</x:v>
      </x:c>
      <x:c r="X1490" s="38" t="n">
        <x:v>0</x:v>
      </x:c>
      <x:c r="Y1490" s="38" t="n">
        <x:v>0.3701295</x:v>
      </x:c>
      <x:c r="Z1490" s="38" t="n">
        <x:v>0.7696000000000001</x:v>
      </x:c>
      <x:c r="AA1490" s="38" t="n">
        <x:v>0.3182</x:v>
      </x:c>
      <x:c r="AB1490" s="38" t="n">
        <x:v>0.0008879999999999999</x:v>
      </x:c>
      <x:c r="AC1490" s="38" t="n">
        <x:v>0.2080324999999999</x:v>
      </x:c>
      <x:c r="AD1490" s="28" t="n">
        <x:v>0.084307992202729</x:v>
      </x:c>
    </x:row>
    <x:row r="1491">
      <x:c r="A1491" s="32" t="n">
        <x:v>46181</x:v>
      </x:c>
      <x:c r="B1491" s="32" t="n">
        <x:v>46174</x:v>
      </x:c>
      <x:c r="C1491" t="str">
        <x:v>Jun 2026</x:v>
      </x:c>
      <x:c r="D1491" t="str">
        <x:v>Forecast</x:v>
      </x:c>
      <x:c r="E1491" t="str">
        <x:v>DB-102</x:v>
      </x:c>
      <x:c r="F1491" t="str">
        <x:v>GlowPatch Balm</x:v>
      </x:c>
      <x:c r="G1491" t="str">
        <x:v>Consumable repeat</x:v>
      </x:c>
      <x:c r="H1491" t="str">
        <x:v>None</x:v>
      </x:c>
      <x:c r="I1491" t="str">
        <x:v>Active</x:v>
      </x:c>
      <x:c r="J1491" t="str">
        <x:v>Wholesale</x:v>
      </x:c>
      <x:c r="K1491" t="str">
        <x:v>Retailer</x:v>
      </x:c>
      <x:c r="L1491" t="str">
        <x:v>All Geographies</x:v>
      </x:c>
      <x:c r="M1491" s="34" t="n">
        <x:v>1768</x:v>
      </x:c>
      <x:c r="N1491" s="28" t="n">
        <x:v>0.023364</x:v>
      </x:c>
      <x:c r="O1491" s="34" t="n">
        <x:v>41</x:v>
      </x:c>
      <x:c r="P1491" s="34" t="n">
        <x:v>1</x:v>
      </x:c>
      <x:c r="Q1491" s="34" t="n">
        <x:v>41</x:v>
      </x:c>
      <x:c r="R1491" s="33" t="n">
        <x:v>18</x:v>
      </x:c>
      <x:c r="S1491" s="38" t="n">
        <x:v>0.738</x:v>
      </x:c>
      <x:c r="T1491" s="38" t="n">
        <x:v>0.2583</x:v>
      </x:c>
      <x:c r="U1491" s="38" t="n">
        <x:v>0.011992500000000001</x:v>
      </x:c>
      <x:c r="V1491" s="38" t="n">
        <x:v>0.4677075</x:v>
      </x:c>
      <x:c r="W1491" s="38" t="n">
        <x:v>0.22181</x:v>
      </x:c>
      <x:c r="X1491" s="38" t="n">
        <x:v>0</x:v>
      </x:c>
      <x:c r="Y1491" s="38" t="n">
        <x:v>0</x:v>
      </x:c>
      <x:c r="Z1491" s="38" t="n">
        <x:v>0.0943</x:v>
      </x:c>
      <x:c r="AA1491" s="38" t="n">
        <x:v>0.03485</x:v>
      </x:c>
      <x:c r="AB1491" s="38" t="n">
        <x:v>0.000246</x:v>
      </x:c>
      <x:c r="AC1491" s="38" t="n">
        <x:v>0.11650150000000001</x:v>
      </x:c>
      <x:c r="AD1491" s="28" t="n">
        <x:v>0.2490905106289722</x:v>
      </x:c>
    </x:row>
    <x:row r="1492">
      <x:c r="A1492" s="32" t="n">
        <x:v>46181</x:v>
      </x:c>
      <x:c r="B1492" s="32" t="n">
        <x:v>46174</x:v>
      </x:c>
      <x:c r="C1492" t="str">
        <x:v>Jun 2026</x:v>
      </x:c>
      <x:c r="D1492" t="str">
        <x:v>Forecast</x:v>
      </x:c>
      <x:c r="E1492" t="str">
        <x:v>DB-102</x:v>
      </x:c>
      <x:c r="F1492" t="str">
        <x:v>GlowPatch Balm</x:v>
      </x:c>
      <x:c r="G1492" t="str">
        <x:v>Consumable repeat</x:v>
      </x:c>
      <x:c r="H1492" t="str">
        <x:v>None</x:v>
      </x:c>
      <x:c r="I1492" t="str">
        <x:v>Active</x:v>
      </x:c>
      <x:c r="J1492" t="str">
        <x:v>TikTok Shop</x:v>
      </x:c>
      <x:c r="K1492" t="str">
        <x:v>Social Commerce</x:v>
      </x:c>
      <x:c r="L1492" t="str">
        <x:v>All Geographies</x:v>
      </x:c>
      <x:c r="M1492" s="34" t="n">
        <x:v>1179</x:v>
      </x:c>
      <x:c r="N1492" s="28" t="n">
        <x:v>0.0535248</x:v>
      </x:c>
      <x:c r="O1492" s="34" t="n">
        <x:v>63</x:v>
      </x:c>
      <x:c r="P1492" s="34" t="n">
        <x:v>1</x:v>
      </x:c>
      <x:c r="Q1492" s="34" t="n">
        <x:v>63</x:v>
      </x:c>
      <x:c r="R1492" s="33" t="n">
        <x:v>18</x:v>
      </x:c>
      <x:c r="S1492" s="38" t="n">
        <x:v>1.134</x:v>
      </x:c>
      <x:c r="T1492" s="38" t="n">
        <x:v>0.13607999999999998</x:v>
      </x:c>
      <x:c r="U1492" s="38" t="n">
        <x:v>0.024947999999999998</x:v>
      </x:c>
      <x:c r="V1492" s="38" t="n">
        <x:v>0.972972</x:v>
      </x:c>
      <x:c r="W1492" s="38" t="n">
        <x:v>0.34082999999999997</x:v>
      </x:c>
      <x:c r="X1492" s="38" t="n">
        <x:v>0.028216188</x:v>
      </x:c>
      <x:c r="Y1492" s="38" t="n">
        <x:v>0.05837832</x:v>
      </x:c>
      <x:c r="Z1492" s="38" t="n">
        <x:v>0.3213</x:v>
      </x:c>
      <x:c r="AA1492" s="38" t="n">
        <x:v>0.11025</x:v>
      </x:c>
      <x:c r="AB1492" s="38" t="n">
        <x:v>0.000378</x:v>
      </x:c>
      <x:c r="AC1492" s="38" t="n">
        <x:v>0.11361949199999999</x:v>
      </x:c>
      <x:c r="AD1492" s="28" t="n">
        <x:v>0.11677570577570577</x:v>
      </x:c>
    </x:row>
    <x:row r="1493">
      <x:c r="A1493" s="32" t="n">
        <x:v>46181</x:v>
      </x:c>
      <x:c r="B1493" s="32" t="n">
        <x:v>46174</x:v>
      </x:c>
      <x:c r="C1493" t="str">
        <x:v>Jun 2026</x:v>
      </x:c>
      <x:c r="D1493" t="str">
        <x:v>Forecast</x:v>
      </x:c>
      <x:c r="E1493" t="str">
        <x:v>DB-103</x:v>
      </x:c>
      <x:c r="F1493" t="str">
        <x:v>EmberTrail Camp Mug</x:v>
      </x:c>
      <x:c r="G1493" t="str">
        <x:v>One-time purchase</x:v>
      </x:c>
      <x:c r="H1493" t="str">
        <x:v>Winter peak</x:v>
      </x:c>
      <x:c r="I1493" t="str">
        <x:v>Active</x:v>
      </x:c>
      <x:c r="J1493" t="str">
        <x:v>Shopify DTC</x:v>
      </x:c>
      <x:c r="K1493" t="str">
        <x:v>Consumer</x:v>
      </x:c>
      <x:c r="L1493" t="str">
        <x:v>All Geographies</x:v>
      </x:c>
      <x:c r="M1493" s="34" t="n">
        <x:v>3788</x:v>
      </x:c>
      <x:c r="N1493" s="28" t="n">
        <x:v>0.0324</x:v>
      </x:c>
      <x:c r="O1493" s="34" t="n">
        <x:v>123</x:v>
      </x:c>
      <x:c r="P1493" s="34" t="n">
        <x:v>1</x:v>
      </x:c>
      <x:c r="Q1493" s="34" t="n">
        <x:v>123</x:v>
      </x:c>
      <x:c r="R1493" s="33" t="n">
        <x:v>34</x:v>
      </x:c>
      <x:c r="S1493" s="38" t="n">
        <x:v>4.182</x:v>
      </x:c>
      <x:c r="T1493" s="38" t="n">
        <x:v>0.33456</x:v>
      </x:c>
      <x:c r="U1493" s="38" t="n">
        <x:v>0.21160920000000003</x:v>
      </x:c>
      <x:c r="V1493" s="38" t="n">
        <x:v>3.6358308000000004</x:v>
      </x:c>
      <x:c r="W1493" s="38" t="n">
        <x:v>1.68141</x:v>
      </x:c>
      <x:c r="X1493" s="38" t="n">
        <x:v>0.10543909320000001</x:v>
      </x:c>
      <x:c r="Y1493" s="38" t="n">
        <x:v>0</x:v>
      </x:c>
      <x:c r="Z1493" s="38" t="n">
        <x:v>0.5104500000000001</x:v>
      </x:c>
      <x:c r="AA1493" s="38" t="n">
        <x:v>0.20295</x:v>
      </x:c>
      <x:c r="AB1493" s="38" t="n">
        <x:v>0.006888</x:v>
      </x:c>
      <x:c r="AC1493" s="38" t="n">
        <x:v>1.1286937068000003</x:v>
      </x:c>
      <x:c r="AD1493" s="28" t="n">
        <x:v>0.3104362575948254</x:v>
      </x:c>
    </x:row>
    <x:row r="1494">
      <x:c r="A1494" s="32" t="n">
        <x:v>46181</x:v>
      </x:c>
      <x:c r="B1494" s="32" t="n">
        <x:v>46174</x:v>
      </x:c>
      <x:c r="C1494" t="str">
        <x:v>Jun 2026</x:v>
      </x:c>
      <x:c r="D1494" t="str">
        <x:v>Forecast</x:v>
      </x:c>
      <x:c r="E1494" t="str">
        <x:v>DB-103</x:v>
      </x:c>
      <x:c r="F1494" t="str">
        <x:v>EmberTrail Camp Mug</x:v>
      </x:c>
      <x:c r="G1494" t="str">
        <x:v>One-time purchase</x:v>
      </x:c>
      <x:c r="H1494" t="str">
        <x:v>Winter peak</x:v>
      </x:c>
      <x:c r="I1494" t="str">
        <x:v>Active</x:v>
      </x:c>
      <x:c r="J1494" t="str">
        <x:v>Amazon Marketplace</x:v>
      </x:c>
      <x:c r="K1494" t="str">
        <x:v>Marketplace Consumer</x:v>
      </x:c>
      <x:c r="L1494" t="str">
        <x:v>All Geographies</x:v>
      </x:c>
      <x:c r="M1494" s="34" t="n">
        <x:v>1894</x:v>
      </x:c>
      <x:c r="N1494" s="28" t="n">
        <x:v>0.038231999999999995</x:v>
      </x:c>
      <x:c r="O1494" s="34" t="n">
        <x:v>72</x:v>
      </x:c>
      <x:c r="P1494" s="34" t="n">
        <x:v>1</x:v>
      </x:c>
      <x:c r="Q1494" s="34" t="n">
        <x:v>72</x:v>
      </x:c>
      <x:c r="R1494" s="33" t="n">
        <x:v>34</x:v>
      </x:c>
      <x:c r="S1494" s="38" t="n">
        <x:v>2.448</x:v>
      </x:c>
      <x:c r="T1494" s="38" t="n">
        <x:v>0.12240000000000001</x:v>
      </x:c>
      <x:c r="U1494" s="38" t="n">
        <x:v>0.127908</x:v>
      </x:c>
      <x:c r="V1494" s="38" t="n">
        <x:v>2.197692</x:v>
      </x:c>
      <x:c r="W1494" s="38" t="n">
        <x:v>0.98424</x:v>
      </x:c>
      <x:c r="X1494" s="38" t="n">
        <x:v>0</x:v>
      </x:c>
      <x:c r="Y1494" s="38" t="n">
        <x:v>0.3296538</x:v>
      </x:c>
      <x:c r="Z1494" s="38" t="n">
        <x:v>0.3744</x:v>
      </x:c>
      <x:c r="AA1494" s="38" t="n">
        <x:v>0.1548</x:v>
      </x:c>
      <x:c r="AB1494" s="38" t="n">
        <x:v>0.004032</x:v>
      </x:c>
      <x:c r="AC1494" s="38" t="n">
        <x:v>0.35056619999999994</x:v>
      </x:c>
      <x:c r="AD1494" s="28" t="n">
        <x:v>0.1595156191131423</x:v>
      </x:c>
    </x:row>
    <x:row r="1495">
      <x:c r="A1495" s="32" t="n">
        <x:v>46181</x:v>
      </x:c>
      <x:c r="B1495" s="32" t="n">
        <x:v>46174</x:v>
      </x:c>
      <x:c r="C1495" t="str">
        <x:v>Jun 2026</x:v>
      </x:c>
      <x:c r="D1495" t="str">
        <x:v>Forecast</x:v>
      </x:c>
      <x:c r="E1495" t="str">
        <x:v>DB-103</x:v>
      </x:c>
      <x:c r="F1495" t="str">
        <x:v>EmberTrail Camp Mug</x:v>
      </x:c>
      <x:c r="G1495" t="str">
        <x:v>One-time purchase</x:v>
      </x:c>
      <x:c r="H1495" t="str">
        <x:v>Winter peak</x:v>
      </x:c>
      <x:c r="I1495" t="str">
        <x:v>Active</x:v>
      </x:c>
      <x:c r="J1495" t="str">
        <x:v>Wholesale</x:v>
      </x:c>
      <x:c r="K1495" t="str">
        <x:v>Retailer</x:v>
      </x:c>
      <x:c r="L1495" t="str">
        <x:v>All Geographies</x:v>
      </x:c>
      <x:c r="M1495" s="34" t="n">
        <x:v>1136</x:v>
      </x:c>
      <x:c r="N1495" s="28" t="n">
        <x:v>0.017820000000000003</x:v>
      </x:c>
      <x:c r="O1495" s="34" t="n">
        <x:v>20</x:v>
      </x:c>
      <x:c r="P1495" s="34" t="n">
        <x:v>1</x:v>
      </x:c>
      <x:c r="Q1495" s="34" t="n">
        <x:v>20</x:v>
      </x:c>
      <x:c r="R1495" s="33" t="n">
        <x:v>34</x:v>
      </x:c>
      <x:c r="S1495" s="38" t="n">
        <x:v>0.68</x:v>
      </x:c>
      <x:c r="T1495" s="38" t="n">
        <x:v>0.238</x:v>
      </x:c>
      <x:c r="U1495" s="38" t="n">
        <x:v>0.024310000000000002</x:v>
      </x:c>
      <x:c r="V1495" s="38" t="n">
        <x:v>0.41769000000000006</x:v>
      </x:c>
      <x:c r="W1495" s="38" t="n">
        <x:v>0.2734</x:v>
      </x:c>
      <x:c r="X1495" s="38" t="n">
        <x:v>0</x:v>
      </x:c>
      <x:c r="Y1495" s="38" t="n">
        <x:v>0</x:v>
      </x:c>
      <x:c r="Z1495" s="38" t="n">
        <x:v>0.046</x:v>
      </x:c>
      <x:c r="AA1495" s="38" t="n">
        <x:v>0.017</x:v>
      </x:c>
      <x:c r="AB1495" s="38" t="n">
        <x:v>0.0011200000000000001</x:v>
      </x:c>
      <x:c r="AC1495" s="38" t="n">
        <x:v>0.08017000000000009</x:v>
      </x:c>
      <x:c r="AD1495" s="28" t="n">
        <x:v>0.19193660370130977</x:v>
      </x:c>
    </x:row>
    <x:row r="1496">
      <x:c r="A1496" s="32" t="n">
        <x:v>46181</x:v>
      </x:c>
      <x:c r="B1496" s="32" t="n">
        <x:v>46174</x:v>
      </x:c>
      <x:c r="C1496" t="str">
        <x:v>Jun 2026</x:v>
      </x:c>
      <x:c r="D1496" t="str">
        <x:v>Forecast</x:v>
      </x:c>
      <x:c r="E1496" t="str">
        <x:v>DB-103</x:v>
      </x:c>
      <x:c r="F1496" t="str">
        <x:v>EmberTrail Camp Mug</x:v>
      </x:c>
      <x:c r="G1496" t="str">
        <x:v>One-time purchase</x:v>
      </x:c>
      <x:c r="H1496" t="str">
        <x:v>Winter peak</x:v>
      </x:c>
      <x:c r="I1496" t="str">
        <x:v>Active</x:v>
      </x:c>
      <x:c r="J1496" t="str">
        <x:v>TikTok Shop</x:v>
      </x:c>
      <x:c r="K1496" t="str">
        <x:v>Social Commerce</x:v>
      </x:c>
      <x:c r="L1496" t="str">
        <x:v>All Geographies</x:v>
      </x:c>
      <x:c r="M1496" s="34" t="n">
        <x:v>758</x:v>
      </x:c>
      <x:c r="N1496" s="28" t="n">
        <x:v>0.040824</x:v>
      </x:c>
      <x:c r="O1496" s="34" t="n">
        <x:v>31</x:v>
      </x:c>
      <x:c r="P1496" s="34" t="n">
        <x:v>1</x:v>
      </x:c>
      <x:c r="Q1496" s="34" t="n">
        <x:v>31</x:v>
      </x:c>
      <x:c r="R1496" s="33" t="n">
        <x:v>34</x:v>
      </x:c>
      <x:c r="S1496" s="38" t="n">
        <x:v>1.054</x:v>
      </x:c>
      <x:c r="T1496" s="38" t="n">
        <x:v>0.12648</x:v>
      </x:c>
      <x:c r="U1496" s="38" t="n">
        <x:v>0.0510136</x:v>
      </x:c>
      <x:c r="V1496" s="38" t="n">
        <x:v>0.8765064</x:v>
      </x:c>
      <x:c r="W1496" s="38" t="n">
        <x:v>0.42377</x:v>
      </x:c>
      <x:c r="X1496" s="38" t="n">
        <x:v>0.0254186856</x:v>
      </x:c>
      <x:c r="Y1496" s="38" t="n">
        <x:v>0.052590384</x:v>
      </x:c>
      <x:c r="Z1496" s="38" t="n">
        <x:v>0.1581</x:v>
      </x:c>
      <x:c r="AA1496" s="38" t="n">
        <x:v>0.05425</x:v>
      </x:c>
      <x:c r="AB1496" s="38" t="n">
        <x:v>0.001736</x:v>
      </x:c>
      <x:c r="AC1496" s="38" t="n">
        <x:v>0.1606413304000001</x:v>
      </x:c>
      <x:c r="AD1496" s="28" t="n">
        <x:v>0.18327456639221354</x:v>
      </x:c>
    </x:row>
    <x:row r="1497">
      <x:c r="A1497" s="32" t="n">
        <x:v>46181</x:v>
      </x:c>
      <x:c r="B1497" s="32" t="n">
        <x:v>46174</x:v>
      </x:c>
      <x:c r="C1497" t="str">
        <x:v>Jun 2026</x:v>
      </x:c>
      <x:c r="D1497" t="str">
        <x:v>Forecast</x:v>
      </x:c>
      <x:c r="E1497" t="str">
        <x:v>DB-104</x:v>
      </x:c>
      <x:c r="F1497" t="str">
        <x:v>SunNest Cooling Towel</x:v>
      </x:c>
      <x:c r="G1497" t="str">
        <x:v>Consumable repeat</x:v>
      </x:c>
      <x:c r="H1497" t="str">
        <x:v>Summer peak</x:v>
      </x:c>
      <x:c r="I1497" t="str">
        <x:v>Active</x:v>
      </x:c>
      <x:c r="J1497" t="str">
        <x:v>Shopify DTC</x:v>
      </x:c>
      <x:c r="K1497" t="str">
        <x:v>Consumer</x:v>
      </x:c>
      <x:c r="L1497" t="str">
        <x:v>All Geographies</x:v>
      </x:c>
      <x:c r="M1497" s="34" t="n">
        <x:v>6917</x:v>
      </x:c>
      <x:c r="N1497" s="28" t="n">
        <x:v>0.03312</x:v>
      </x:c>
      <x:c r="O1497" s="34" t="n">
        <x:v>229</x:v>
      </x:c>
      <x:c r="P1497" s="34" t="n">
        <x:v>1</x:v>
      </x:c>
      <x:c r="Q1497" s="34" t="n">
        <x:v>229</x:v>
      </x:c>
      <x:c r="R1497" s="33" t="n">
        <x:v>42</x:v>
      </x:c>
      <x:c r="S1497" s="38" t="n">
        <x:v>9.618</x:v>
      </x:c>
      <x:c r="T1497" s="38" t="n">
        <x:v>0.76944</x:v>
      </x:c>
      <x:c r="U1497" s="38" t="n">
        <x:v>0.44242800000000004</x:v>
      </x:c>
      <x:c r="V1497" s="38" t="n">
        <x:v>8.406132000000001</x:v>
      </x:c>
      <x:c r="W1497" s="38" t="n">
        <x:v>3.4464500000000005</x:v>
      </x:c>
      <x:c r="X1497" s="38" t="n">
        <x:v>0.24377782800000006</x:v>
      </x:c>
      <x:c r="Y1497" s="38" t="n">
        <x:v>0</x:v>
      </x:c>
      <x:c r="Z1497" s="38" t="n">
        <x:v>0.9503500000000001</x:v>
      </x:c>
      <x:c r="AA1497" s="38" t="n">
        <x:v>0.37784999999999996</x:v>
      </x:c>
      <x:c r="AB1497" s="38" t="n">
        <x:v>0.006412</x:v>
      </x:c>
      <x:c r="AC1497" s="38" t="n">
        <x:v>3.3812921720000007</x:v>
      </x:c>
      <x:c r="AD1497" s="28" t="n">
        <x:v>0.40224114634412117</x:v>
      </x:c>
    </x:row>
    <x:row r="1498">
      <x:c r="A1498" s="32" t="n">
        <x:v>46181</x:v>
      </x:c>
      <x:c r="B1498" s="32" t="n">
        <x:v>46174</x:v>
      </x:c>
      <x:c r="C1498" t="str">
        <x:v>Jun 2026</x:v>
      </x:c>
      <x:c r="D1498" t="str">
        <x:v>Forecast</x:v>
      </x:c>
      <x:c r="E1498" t="str">
        <x:v>DB-104</x:v>
      </x:c>
      <x:c r="F1498" t="str">
        <x:v>SunNest Cooling Towel</x:v>
      </x:c>
      <x:c r="G1498" t="str">
        <x:v>Consumable repeat</x:v>
      </x:c>
      <x:c r="H1498" t="str">
        <x:v>Summer peak</x:v>
      </x:c>
      <x:c r="I1498" t="str">
        <x:v>Active</x:v>
      </x:c>
      <x:c r="J1498" t="str">
        <x:v>Amazon Marketplace</x:v>
      </x:c>
      <x:c r="K1498" t="str">
        <x:v>Marketplace Consumer</x:v>
      </x:c>
      <x:c r="L1498" t="str">
        <x:v>All Geographies</x:v>
      </x:c>
      <x:c r="M1498" s="34" t="n">
        <x:v>3458</x:v>
      </x:c>
      <x:c r="N1498" s="28" t="n">
        <x:v>0.0390816</x:v>
      </x:c>
      <x:c r="O1498" s="34" t="n">
        <x:v>135</x:v>
      </x:c>
      <x:c r="P1498" s="34" t="n">
        <x:v>1</x:v>
      </x:c>
      <x:c r="Q1498" s="34" t="n">
        <x:v>135</x:v>
      </x:c>
      <x:c r="R1498" s="33" t="n">
        <x:v>42</x:v>
      </x:c>
      <x:c r="S1498" s="38" t="n">
        <x:v>5.67</x:v>
      </x:c>
      <x:c r="T1498" s="38" t="n">
        <x:v>0.28350000000000003</x:v>
      </x:c>
      <x:c r="U1498" s="38" t="n">
        <x:v>0.269325</x:v>
      </x:c>
      <x:c r="V1498" s="38" t="n">
        <x:v>5.117175</x:v>
      </x:c>
      <x:c r="W1498" s="38" t="n">
        <x:v>2.03175</x:v>
      </x:c>
      <x:c r="X1498" s="38" t="n">
        <x:v>0</x:v>
      </x:c>
      <x:c r="Y1498" s="38" t="n">
        <x:v>0.76757625</x:v>
      </x:c>
      <x:c r="Z1498" s="38" t="n">
        <x:v>0.702</x:v>
      </x:c>
      <x:c r="AA1498" s="38" t="n">
        <x:v>0.29025</x:v>
      </x:c>
      <x:c r="AB1498" s="38" t="n">
        <x:v>0.00378</x:v>
      </x:c>
      <x:c r="AC1498" s="38" t="n">
        <x:v>1.3218187499999998</x:v>
      </x:c>
      <x:c r="AD1498" s="28" t="n">
        <x:v>0.2583102493074792</x:v>
      </x:c>
    </x:row>
    <x:row r="1499">
      <x:c r="A1499" s="32" t="n">
        <x:v>46181</x:v>
      </x:c>
      <x:c r="B1499" s="32" t="n">
        <x:v>46174</x:v>
      </x:c>
      <x:c r="C1499" t="str">
        <x:v>Jun 2026</x:v>
      </x:c>
      <x:c r="D1499" t="str">
        <x:v>Forecast</x:v>
      </x:c>
      <x:c r="E1499" t="str">
        <x:v>DB-104</x:v>
      </x:c>
      <x:c r="F1499" t="str">
        <x:v>SunNest Cooling Towel</x:v>
      </x:c>
      <x:c r="G1499" t="str">
        <x:v>Consumable repeat</x:v>
      </x:c>
      <x:c r="H1499" t="str">
        <x:v>Summer peak</x:v>
      </x:c>
      <x:c r="I1499" t="str">
        <x:v>Active</x:v>
      </x:c>
      <x:c r="J1499" t="str">
        <x:v>Wholesale</x:v>
      </x:c>
      <x:c r="K1499" t="str">
        <x:v>Retailer</x:v>
      </x:c>
      <x:c r="L1499" t="str">
        <x:v>All Geographies</x:v>
      </x:c>
      <x:c r="M1499" s="34" t="n">
        <x:v>2075</x:v>
      </x:c>
      <x:c r="N1499" s="28" t="n">
        <x:v>0.018216000000000003</x:v>
      </x:c>
      <x:c r="O1499" s="34" t="n">
        <x:v>38</x:v>
      </x:c>
      <x:c r="P1499" s="34" t="n">
        <x:v>1</x:v>
      </x:c>
      <x:c r="Q1499" s="34" t="n">
        <x:v>38</x:v>
      </x:c>
      <x:c r="R1499" s="33" t="n">
        <x:v>42</x:v>
      </x:c>
      <x:c r="S1499" s="38" t="n">
        <x:v>1.596</x:v>
      </x:c>
      <x:c r="T1499" s="38" t="n">
        <x:v>0.5586</x:v>
      </x:c>
      <x:c r="U1499" s="38" t="n">
        <x:v>0.051870000000000006</x:v>
      </x:c>
      <x:c r="V1499" s="38" t="n">
        <x:v>0.9855300000000001</x:v>
      </x:c>
      <x:c r="W1499" s="38" t="n">
        <x:v>0.5719</x:v>
      </x:c>
      <x:c r="X1499" s="38" t="n">
        <x:v>0</x:v>
      </x:c>
      <x:c r="Y1499" s="38" t="n">
        <x:v>0</x:v>
      </x:c>
      <x:c r="Z1499" s="38" t="n">
        <x:v>0.08739999999999999</x:v>
      </x:c>
      <x:c r="AA1499" s="38" t="n">
        <x:v>0.032299999999999995</x:v>
      </x:c>
      <x:c r="AB1499" s="38" t="n">
        <x:v>0.0010639999999999998</x:v>
      </x:c>
      <x:c r="AC1499" s="38" t="n">
        <x:v>0.2928660000000002</x:v>
      </x:c>
      <x:c r="AD1499" s="28" t="n">
        <x:v>0.29716599190283416</x:v>
      </x:c>
    </x:row>
    <x:row r="1500">
      <x:c r="A1500" s="32" t="n">
        <x:v>46181</x:v>
      </x:c>
      <x:c r="B1500" s="32" t="n">
        <x:v>46174</x:v>
      </x:c>
      <x:c r="C1500" t="str">
        <x:v>Jun 2026</x:v>
      </x:c>
      <x:c r="D1500" t="str">
        <x:v>Forecast</x:v>
      </x:c>
      <x:c r="E1500" t="str">
        <x:v>DB-104</x:v>
      </x:c>
      <x:c r="F1500" t="str">
        <x:v>SunNest Cooling Towel</x:v>
      </x:c>
      <x:c r="G1500" t="str">
        <x:v>Consumable repeat</x:v>
      </x:c>
      <x:c r="H1500" t="str">
        <x:v>Summer peak</x:v>
      </x:c>
      <x:c r="I1500" t="str">
        <x:v>Active</x:v>
      </x:c>
      <x:c r="J1500" t="str">
        <x:v>TikTok Shop</x:v>
      </x:c>
      <x:c r="K1500" t="str">
        <x:v>Social Commerce</x:v>
      </x:c>
      <x:c r="L1500" t="str">
        <x:v>All Geographies</x:v>
      </x:c>
      <x:c r="M1500" s="34" t="n">
        <x:v>1383</x:v>
      </x:c>
      <x:c r="N1500" s="28" t="n">
        <x:v>0.0417312</x:v>
      </x:c>
      <x:c r="O1500" s="34" t="n">
        <x:v>58</x:v>
      </x:c>
      <x:c r="P1500" s="34" t="n">
        <x:v>1</x:v>
      </x:c>
      <x:c r="Q1500" s="34" t="n">
        <x:v>58</x:v>
      </x:c>
      <x:c r="R1500" s="33" t="n">
        <x:v>42</x:v>
      </x:c>
      <x:c r="S1500" s="38" t="n">
        <x:v>2.436</x:v>
      </x:c>
      <x:c r="T1500" s="38" t="n">
        <x:v>0.29231999999999997</x:v>
      </x:c>
      <x:c r="U1500" s="38" t="n">
        <x:v>0.107184</x:v>
      </x:c>
      <x:c r="V1500" s="38" t="n">
        <x:v>2.0364959999999996</x:v>
      </x:c>
      <x:c r="W1500" s="38" t="n">
        <x:v>0.8729000000000001</x:v>
      </x:c>
      <x:c r="X1500" s="38" t="n">
        <x:v>0.05905838399999999</x:v>
      </x:c>
      <x:c r="Y1500" s="38" t="n">
        <x:v>0.12218975999999998</x:v>
      </x:c>
      <x:c r="Z1500" s="38" t="n">
        <x:v>0.29579999999999995</x:v>
      </x:c>
      <x:c r="AA1500" s="38" t="n">
        <x:v>0.1015</x:v>
      </x:c>
      <x:c r="AB1500" s="38" t="n">
        <x:v>0.0016239999999999998</x:v>
      </x:c>
      <x:c r="AC1500" s="38" t="n">
        <x:v>0.5834238559999997</x:v>
      </x:c>
      <x:c r="AD1500" s="28" t="n">
        <x:v>0.28648416495784906</x:v>
      </x:c>
    </x:row>
    <x:row r="1501">
      <x:c r="A1501" s="32" t="n">
        <x:v>46181</x:v>
      </x:c>
      <x:c r="B1501" s="32" t="n">
        <x:v>46174</x:v>
      </x:c>
      <x:c r="C1501" t="str">
        <x:v>Jun 2026</x:v>
      </x:c>
      <x:c r="D1501" t="str">
        <x:v>Forecast</x:v>
      </x:c>
      <x:c r="E1501" t="str">
        <x:v>DB-105</x:v>
      </x:c>
      <x:c r="F1501" t="str">
        <x:v>DreamFuel Refill Pack</x:v>
      </x:c>
      <x:c r="G1501" t="str">
        <x:v>Subscription</x:v>
      </x:c>
      <x:c r="H1501" t="str">
        <x:v>None</x:v>
      </x:c>
      <x:c r="I1501" t="str">
        <x:v>Active</x:v>
      </x:c>
      <x:c r="J1501" t="str">
        <x:v>Shopify DTC</x:v>
      </x:c>
      <x:c r="K1501" t="str">
        <x:v>Consumer</x:v>
      </x:c>
      <x:c r="L1501" t="str">
        <x:v>All Geographies</x:v>
      </x:c>
      <x:c r="M1501" s="34" t="n">
        <x:v>5051</x:v>
      </x:c>
      <x:c r="N1501" s="28" t="n">
        <x:v>0.03888</x:v>
      </x:c>
      <x:c r="O1501" s="34" t="n">
        <x:v>196</x:v>
      </x:c>
      <x:c r="P1501" s="34" t="n">
        <x:v>1</x:v>
      </x:c>
      <x:c r="Q1501" s="34" t="n">
        <x:v>196</x:v>
      </x:c>
      <x:c r="R1501" s="33" t="n">
        <x:v>56</x:v>
      </x:c>
      <x:c r="S1501" s="38" t="n">
        <x:v>10.976</x:v>
      </x:c>
      <x:c r="T1501" s="38" t="n">
        <x:v>0.8780800000000001</x:v>
      </x:c>
      <x:c r="U1501" s="38" t="n">
        <x:v>0.2019584</x:v>
      </x:c>
      <x:c r="V1501" s="38" t="n">
        <x:v>9.8959616</x:v>
      </x:c>
      <x:c r="W1501" s="38" t="n">
        <x:v>3.64952</x:v>
      </x:c>
      <x:c r="X1501" s="38" t="n">
        <x:v>0.2869828864</x:v>
      </x:c>
      <x:c r="Y1501" s="38" t="n">
        <x:v>0</x:v>
      </x:c>
      <x:c r="Z1501" s="38" t="n">
        <x:v>0.8134000000000001</x:v>
      </x:c>
      <x:c r="AA1501" s="38" t="n">
        <x:v>0.32339999999999997</x:v>
      </x:c>
      <x:c r="AB1501" s="38" t="n">
        <x:v>0.0007055999999999999</x:v>
      </x:c>
      <x:c r="AC1501" s="38" t="n">
        <x:v>4.8219531136</x:v>
      </x:c>
      <x:c r="AD1501" s="28" t="n">
        <x:v>0.4872647357079478</x:v>
      </x:c>
    </x:row>
    <x:row r="1502">
      <x:c r="A1502" s="32" t="n">
        <x:v>46181</x:v>
      </x:c>
      <x:c r="B1502" s="32" t="n">
        <x:v>46174</x:v>
      </x:c>
      <x:c r="C1502" t="str">
        <x:v>Jun 2026</x:v>
      </x:c>
      <x:c r="D1502" t="str">
        <x:v>Forecast</x:v>
      </x:c>
      <x:c r="E1502" t="str">
        <x:v>DB-105</x:v>
      </x:c>
      <x:c r="F1502" t="str">
        <x:v>DreamFuel Refill Pack</x:v>
      </x:c>
      <x:c r="G1502" t="str">
        <x:v>Subscription</x:v>
      </x:c>
      <x:c r="H1502" t="str">
        <x:v>None</x:v>
      </x:c>
      <x:c r="I1502" t="str">
        <x:v>Active</x:v>
      </x:c>
      <x:c r="J1502" t="str">
        <x:v>Amazon Marketplace</x:v>
      </x:c>
      <x:c r="K1502" t="str">
        <x:v>Marketplace Consumer</x:v>
      </x:c>
      <x:c r="L1502" t="str">
        <x:v>All Geographies</x:v>
      </x:c>
      <x:c r="M1502" s="34" t="n">
        <x:v>2525</x:v>
      </x:c>
      <x:c r="N1502" s="28" t="n">
        <x:v>0.0458784</x:v>
      </x:c>
      <x:c r="O1502" s="34" t="n">
        <x:v>116</x:v>
      </x:c>
      <x:c r="P1502" s="34" t="n">
        <x:v>1</x:v>
      </x:c>
      <x:c r="Q1502" s="34" t="n">
        <x:v>116</x:v>
      </x:c>
      <x:c r="R1502" s="33" t="n">
        <x:v>56</x:v>
      </x:c>
      <x:c r="S1502" s="38" t="n">
        <x:v>6.496</x:v>
      </x:c>
      <x:c r="T1502" s="38" t="n">
        <x:v>0.32480000000000003</x:v>
      </x:c>
      <x:c r="U1502" s="38" t="n">
        <x:v>0.12342400000000002</x:v>
      </x:c>
      <x:c r="V1502" s="38" t="n">
        <x:v>6.047776000000001</x:v>
      </x:c>
      <x:c r="W1502" s="38" t="n">
        <x:v>2.15992</x:v>
      </x:c>
      <x:c r="X1502" s="38" t="n">
        <x:v>0</x:v>
      </x:c>
      <x:c r="Y1502" s="38" t="n">
        <x:v>0.9071664</x:v>
      </x:c>
      <x:c r="Z1502" s="38" t="n">
        <x:v>0.6032000000000001</x:v>
      </x:c>
      <x:c r="AA1502" s="38" t="n">
        <x:v>0.24939999999999998</x:v>
      </x:c>
      <x:c r="AB1502" s="38" t="n">
        <x:v>0.0004176</x:v>
      </x:c>
      <x:c r="AC1502" s="38" t="n">
        <x:v>2.1276720000000005</x:v>
      </x:c>
      <x:c r="AD1502" s="28" t="n">
        <x:v>0.35181064907165877</x:v>
      </x:c>
    </x:row>
    <x:row r="1503">
      <x:c r="A1503" s="32" t="n">
        <x:v>46181</x:v>
      </x:c>
      <x:c r="B1503" s="32" t="n">
        <x:v>46174</x:v>
      </x:c>
      <x:c r="C1503" t="str">
        <x:v>Jun 2026</x:v>
      </x:c>
      <x:c r="D1503" t="str">
        <x:v>Forecast</x:v>
      </x:c>
      <x:c r="E1503" t="str">
        <x:v>DB-105</x:v>
      </x:c>
      <x:c r="F1503" t="str">
        <x:v>DreamFuel Refill Pack</x:v>
      </x:c>
      <x:c r="G1503" t="str">
        <x:v>Subscription</x:v>
      </x:c>
      <x:c r="H1503" t="str">
        <x:v>None</x:v>
      </x:c>
      <x:c r="I1503" t="str">
        <x:v>Active</x:v>
      </x:c>
      <x:c r="J1503" t="str">
        <x:v>Wholesale</x:v>
      </x:c>
      <x:c r="K1503" t="str">
        <x:v>Retailer</x:v>
      </x:c>
      <x:c r="L1503" t="str">
        <x:v>All Geographies</x:v>
      </x:c>
      <x:c r="M1503" s="34" t="n">
        <x:v>1515</x:v>
      </x:c>
      <x:c r="N1503" s="28" t="n">
        <x:v>0.021384000000000004</x:v>
      </x:c>
      <x:c r="O1503" s="34" t="n">
        <x:v>32</x:v>
      </x:c>
      <x:c r="P1503" s="34" t="n">
        <x:v>1</x:v>
      </x:c>
      <x:c r="Q1503" s="34" t="n">
        <x:v>32</x:v>
      </x:c>
      <x:c r="R1503" s="33" t="n">
        <x:v>56</x:v>
      </x:c>
      <x:c r="S1503" s="38" t="n">
        <x:v>1.792</x:v>
      </x:c>
      <x:c r="T1503" s="38" t="n">
        <x:v>0.6272</x:v>
      </x:c>
      <x:c r="U1503" s="38" t="n">
        <x:v>0.023296</x:v>
      </x:c>
      <x:c r="V1503" s="38" t="n">
        <x:v>1.141504</x:v>
      </x:c>
      <x:c r="W1503" s="38" t="n">
        <x:v>0.59584</x:v>
      </x:c>
      <x:c r="X1503" s="38" t="n">
        <x:v>0</x:v>
      </x:c>
      <x:c r="Y1503" s="38" t="n">
        <x:v>0</x:v>
      </x:c>
      <x:c r="Z1503" s="38" t="n">
        <x:v>0.0736</x:v>
      </x:c>
      <x:c r="AA1503" s="38" t="n">
        <x:v>0.0272</x:v>
      </x:c>
      <x:c r="AB1503" s="38" t="n">
        <x:v>0.0001152</x:v>
      </x:c>
      <x:c r="AC1503" s="38" t="n">
        <x:v>0.44474880000000006</x:v>
      </x:c>
      <x:c r="AD1503" s="28" t="n">
        <x:v>0.3896165059430366</x:v>
      </x:c>
    </x:row>
    <x:row r="1504">
      <x:c r="A1504" s="32" t="n">
        <x:v>46181</x:v>
      </x:c>
      <x:c r="B1504" s="32" t="n">
        <x:v>46174</x:v>
      </x:c>
      <x:c r="C1504" t="str">
        <x:v>Jun 2026</x:v>
      </x:c>
      <x:c r="D1504" t="str">
        <x:v>Forecast</x:v>
      </x:c>
      <x:c r="E1504" t="str">
        <x:v>DB-105</x:v>
      </x:c>
      <x:c r="F1504" t="str">
        <x:v>DreamFuel Refill Pack</x:v>
      </x:c>
      <x:c r="G1504" t="str">
        <x:v>Subscription</x:v>
      </x:c>
      <x:c r="H1504" t="str">
        <x:v>None</x:v>
      </x:c>
      <x:c r="I1504" t="str">
        <x:v>Active</x:v>
      </x:c>
      <x:c r="J1504" t="str">
        <x:v>TikTok Shop</x:v>
      </x:c>
      <x:c r="K1504" t="str">
        <x:v>Social Commerce</x:v>
      </x:c>
      <x:c r="L1504" t="str">
        <x:v>All Geographies</x:v>
      </x:c>
      <x:c r="M1504" s="34" t="n">
        <x:v>1010</x:v>
      </x:c>
      <x:c r="N1504" s="28" t="n">
        <x:v>0.0489888</x:v>
      </x:c>
      <x:c r="O1504" s="34" t="n">
        <x:v>49</x:v>
      </x:c>
      <x:c r="P1504" s="34" t="n">
        <x:v>1</x:v>
      </x:c>
      <x:c r="Q1504" s="34" t="n">
        <x:v>49</x:v>
      </x:c>
      <x:c r="R1504" s="33" t="n">
        <x:v>56</x:v>
      </x:c>
      <x:c r="S1504" s="38" t="n">
        <x:v>2.744</x:v>
      </x:c>
      <x:c r="T1504" s="38" t="n">
        <x:v>0.32928</x:v>
      </x:c>
      <x:c r="U1504" s="38" t="n">
        <x:v>0.0482944</x:v>
      </x:c>
      <x:c r="V1504" s="38" t="n">
        <x:v>2.3664256</x:v>
      </x:c>
      <x:c r="W1504" s="38" t="n">
        <x:v>0.91238</x:v>
      </x:c>
      <x:c r="X1504" s="38" t="n">
        <x:v>0.0686263424</x:v>
      </x:c>
      <x:c r="Y1504" s="38" t="n">
        <x:v>0.141985536</x:v>
      </x:c>
      <x:c r="Z1504" s="38" t="n">
        <x:v>0.24989999999999998</x:v>
      </x:c>
      <x:c r="AA1504" s="38" t="n">
        <x:v>0.08575</x:v>
      </x:c>
      <x:c r="AB1504" s="38" t="n">
        <x:v>0.00017639999999999998</x:v>
      </x:c>
      <x:c r="AC1504" s="38" t="n">
        <x:v>0.9076073216</x:v>
      </x:c>
      <x:c r="AD1504" s="28" t="n">
        <x:v>0.3835351179432812</x:v>
      </x:c>
    </x:row>
    <x:row r="1505">
      <x:c r="A1505" s="32" t="n">
        <x:v>46188</x:v>
      </x:c>
      <x:c r="B1505" s="32" t="n">
        <x:v>46174</x:v>
      </x:c>
      <x:c r="C1505" t="str">
        <x:v>Jun 2026</x:v>
      </x:c>
      <x:c r="D1505" t="str">
        <x:v>Forecast</x:v>
      </x:c>
      <x:c r="E1505" t="str">
        <x:v>DB-101</x:v>
      </x:c>
      <x:c r="F1505" t="str">
        <x:v>AeroSip Bottle</x:v>
      </x:c>
      <x:c r="G1505" t="str">
        <x:v>One-time purchase</x:v>
      </x:c>
      <x:c r="H1505" t="str">
        <x:v>None</x:v>
      </x:c>
      <x:c r="I1505" t="str">
        <x:v>Active</x:v>
      </x:c>
      <x:c r="J1505" t="str">
        <x:v>Shopify DTC</x:v>
      </x:c>
      <x:c r="K1505" t="str">
        <x:v>Consumer</x:v>
      </x:c>
      <x:c r="L1505" t="str">
        <x:v>All Geographies</x:v>
      </x:c>
      <x:c r="M1505" s="34" t="n">
        <x:v>7296</x:v>
      </x:c>
      <x:c r="N1505" s="28" t="n">
        <x:v>0.034199999999999994</x:v>
      </x:c>
      <x:c r="O1505" s="34" t="n">
        <x:v>250</x:v>
      </x:c>
      <x:c r="P1505" s="34" t="n">
        <x:v>1</x:v>
      </x:c>
      <x:c r="Q1505" s="34" t="n">
        <x:v>250</x:v>
      </x:c>
      <x:c r="R1505" s="33" t="n">
        <x:v>29</x:v>
      </x:c>
      <x:c r="S1505" s="38" t="n">
        <x:v>7.25</x:v>
      </x:c>
      <x:c r="T1505" s="38" t="n">
        <x:v>0.58</x:v>
      </x:c>
      <x:c r="U1505" s="38" t="n">
        <x:v>0.30015</x:v>
      </x:c>
      <x:c r="V1505" s="38" t="n">
        <x:v>6.36985</x:v>
      </x:c>
      <x:c r="W1505" s="38" t="n">
        <x:v>2.7</x:v>
      </x:c>
      <x:c r="X1505" s="38" t="n">
        <x:v>0.18472565</x:v>
      </x:c>
      <x:c r="Y1505" s="38" t="n">
        <x:v>0</x:v>
      </x:c>
      <x:c r="Z1505" s="38" t="n">
        <x:v>1.0375</x:v>
      </x:c>
      <x:c r="AA1505" s="38" t="n">
        <x:v>0.4125</x:v>
      </x:c>
      <x:c r="AB1505" s="38" t="n">
        <x:v>0.009</x:v>
      </x:c>
      <x:c r="AC1505" s="38" t="n">
        <x:v>2.0261243499999995</x:v>
      </x:c>
      <x:c r="AD1505" s="28" t="n">
        <x:v>0.31808038650831644</x:v>
      </x:c>
    </x:row>
    <x:row r="1506">
      <x:c r="A1506" s="32" t="n">
        <x:v>46188</x:v>
      </x:c>
      <x:c r="B1506" s="32" t="n">
        <x:v>46174</x:v>
      </x:c>
      <x:c r="C1506" t="str">
        <x:v>Jun 2026</x:v>
      </x:c>
      <x:c r="D1506" t="str">
        <x:v>Forecast</x:v>
      </x:c>
      <x:c r="E1506" t="str">
        <x:v>DB-101</x:v>
      </x:c>
      <x:c r="F1506" t="str">
        <x:v>AeroSip Bottle</x:v>
      </x:c>
      <x:c r="G1506" t="str">
        <x:v>One-time purchase</x:v>
      </x:c>
      <x:c r="H1506" t="str">
        <x:v>None</x:v>
      </x:c>
      <x:c r="I1506" t="str">
        <x:v>Active</x:v>
      </x:c>
      <x:c r="J1506" t="str">
        <x:v>Amazon Marketplace</x:v>
      </x:c>
      <x:c r="K1506" t="str">
        <x:v>Marketplace Consumer</x:v>
      </x:c>
      <x:c r="L1506" t="str">
        <x:v>All Geographies</x:v>
      </x:c>
      <x:c r="M1506" s="34" t="n">
        <x:v>3648</x:v>
      </x:c>
      <x:c r="N1506" s="28" t="n">
        <x:v>0.040355999999999996</x:v>
      </x:c>
      <x:c r="O1506" s="34" t="n">
        <x:v>147</x:v>
      </x:c>
      <x:c r="P1506" s="34" t="n">
        <x:v>1</x:v>
      </x:c>
      <x:c r="Q1506" s="34" t="n">
        <x:v>147</x:v>
      </x:c>
      <x:c r="R1506" s="33" t="n">
        <x:v>29</x:v>
      </x:c>
      <x:c r="S1506" s="38" t="n">
        <x:v>4.263</x:v>
      </x:c>
      <x:c r="T1506" s="38" t="n">
        <x:v>0.21315</x:v>
      </x:c>
      <x:c r="U1506" s="38" t="n">
        <x:v>0.18224325</x:v>
      </x:c>
      <x:c r="V1506" s="38" t="n">
        <x:v>3.86760675</x:v>
      </x:c>
      <x:c r="W1506" s="38" t="n">
        <x:v>1.5876000000000001</x:v>
      </x:c>
      <x:c r="X1506" s="38" t="n">
        <x:v>0</x:v>
      </x:c>
      <x:c r="Y1506" s="38" t="n">
        <x:v>0.5801410125</x:v>
      </x:c>
      <x:c r="Z1506" s="38" t="n">
        <x:v>0.7644</x:v>
      </x:c>
      <x:c r="AA1506" s="38" t="n">
        <x:v>0.31605</x:v>
      </x:c>
      <x:c r="AB1506" s="38" t="n">
        <x:v>0.005292</x:v>
      </x:c>
      <x:c r="AC1506" s="38" t="n">
        <x:v>0.6141237375000003</x:v>
      </x:c>
      <x:c r="AD1506" s="28" t="n">
        <x:v>0.15878649955815705</x:v>
      </x:c>
    </x:row>
    <x:row r="1507">
      <x:c r="A1507" s="32" t="n">
        <x:v>46188</x:v>
      </x:c>
      <x:c r="B1507" s="32" t="n">
        <x:v>46174</x:v>
      </x:c>
      <x:c r="C1507" t="str">
        <x:v>Jun 2026</x:v>
      </x:c>
      <x:c r="D1507" t="str">
        <x:v>Forecast</x:v>
      </x:c>
      <x:c r="E1507" t="str">
        <x:v>DB-101</x:v>
      </x:c>
      <x:c r="F1507" t="str">
        <x:v>AeroSip Bottle</x:v>
      </x:c>
      <x:c r="G1507" t="str">
        <x:v>One-time purchase</x:v>
      </x:c>
      <x:c r="H1507" t="str">
        <x:v>None</x:v>
      </x:c>
      <x:c r="I1507" t="str">
        <x:v>Active</x:v>
      </x:c>
      <x:c r="J1507" t="str">
        <x:v>Wholesale</x:v>
      </x:c>
      <x:c r="K1507" t="str">
        <x:v>Retailer</x:v>
      </x:c>
      <x:c r="L1507" t="str">
        <x:v>All Geographies</x:v>
      </x:c>
      <x:c r="M1507" s="34" t="n">
        <x:v>2189</x:v>
      </x:c>
      <x:c r="N1507" s="28" t="n">
        <x:v>0.01881</x:v>
      </x:c>
      <x:c r="O1507" s="34" t="n">
        <x:v>41</x:v>
      </x:c>
      <x:c r="P1507" s="34" t="n">
        <x:v>1</x:v>
      </x:c>
      <x:c r="Q1507" s="34" t="n">
        <x:v>41</x:v>
      </x:c>
      <x:c r="R1507" s="33" t="n">
        <x:v>29</x:v>
      </x:c>
      <x:c r="S1507" s="38" t="n">
        <x:v>1.189</x:v>
      </x:c>
      <x:c r="T1507" s="38" t="n">
        <x:v>0.41615</x:v>
      </x:c>
      <x:c r="U1507" s="38" t="n">
        <x:v>0.034778250000000004</x:v>
      </x:c>
      <x:c r="V1507" s="38" t="n">
        <x:v>0.73807175</x:v>
      </x:c>
      <x:c r="W1507" s="38" t="n">
        <x:v>0.4428</x:v>
      </x:c>
      <x:c r="X1507" s="38" t="n">
        <x:v>0</x:v>
      </x:c>
      <x:c r="Y1507" s="38" t="n">
        <x:v>0</x:v>
      </x:c>
      <x:c r="Z1507" s="38" t="n">
        <x:v>0.0943</x:v>
      </x:c>
      <x:c r="AA1507" s="38" t="n">
        <x:v>0.03485</x:v>
      </x:c>
      <x:c r="AB1507" s="38" t="n">
        <x:v>0.0014759999999999999</x:v>
      </x:c>
      <x:c r="AC1507" s="38" t="n">
        <x:v>0.16464575</x:v>
      </x:c>
      <x:c r="AD1507" s="28" t="n">
        <x:v>0.22307553432305194</x:v>
      </x:c>
    </x:row>
    <x:row r="1508">
      <x:c r="A1508" s="32" t="n">
        <x:v>46188</x:v>
      </x:c>
      <x:c r="B1508" s="32" t="n">
        <x:v>46174</x:v>
      </x:c>
      <x:c r="C1508" t="str">
        <x:v>Jun 2026</x:v>
      </x:c>
      <x:c r="D1508" t="str">
        <x:v>Forecast</x:v>
      </x:c>
      <x:c r="E1508" t="str">
        <x:v>DB-101</x:v>
      </x:c>
      <x:c r="F1508" t="str">
        <x:v>AeroSip Bottle</x:v>
      </x:c>
      <x:c r="G1508" t="str">
        <x:v>One-time purchase</x:v>
      </x:c>
      <x:c r="H1508" t="str">
        <x:v>None</x:v>
      </x:c>
      <x:c r="I1508" t="str">
        <x:v>Active</x:v>
      </x:c>
      <x:c r="J1508" t="str">
        <x:v>TikTok Shop</x:v>
      </x:c>
      <x:c r="K1508" t="str">
        <x:v>Social Commerce</x:v>
      </x:c>
      <x:c r="L1508" t="str">
        <x:v>All Geographies</x:v>
      </x:c>
      <x:c r="M1508" s="34" t="n">
        <x:v>1459</x:v>
      </x:c>
      <x:c r="N1508" s="28" t="n">
        <x:v>0.043092</x:v>
      </x:c>
      <x:c r="O1508" s="34" t="n">
        <x:v>63</x:v>
      </x:c>
      <x:c r="P1508" s="34" t="n">
        <x:v>1</x:v>
      </x:c>
      <x:c r="Q1508" s="34" t="n">
        <x:v>63</x:v>
      </x:c>
      <x:c r="R1508" s="33" t="n">
        <x:v>29</x:v>
      </x:c>
      <x:c r="S1508" s="38" t="n">
        <x:v>1.827</x:v>
      </x:c>
      <x:c r="T1508" s="38" t="n">
        <x:v>0.21924</x:v>
      </x:c>
      <x:c r="U1508" s="38" t="n">
        <x:v>0.07234919999999999</x:v>
      </x:c>
      <x:c r="V1508" s="38" t="n">
        <x:v>1.5354108</x:v>
      </x:c>
      <x:c r="W1508" s="38" t="n">
        <x:v>0.6804000000000001</x:v>
      </x:c>
      <x:c r="X1508" s="38" t="n">
        <x:v>0.044526913200000004</x:v>
      </x:c>
      <x:c r="Y1508" s="38" t="n">
        <x:v>0.09212464799999999</x:v>
      </x:c>
      <x:c r="Z1508" s="38" t="n">
        <x:v>0.3213</x:v>
      </x:c>
      <x:c r="AA1508" s="38" t="n">
        <x:v>0.11025</x:v>
      </x:c>
      <x:c r="AB1508" s="38" t="n">
        <x:v>0.0022679999999999996</x:v>
      </x:c>
      <x:c r="AC1508" s="38" t="n">
        <x:v>0.2845412387999999</x:v>
      </x:c>
      <x:c r="AD1508" s="28" t="n">
        <x:v>0.18531928966501987</x:v>
      </x:c>
    </x:row>
    <x:row r="1509">
      <x:c r="A1509" s="32" t="n">
        <x:v>46188</x:v>
      </x:c>
      <x:c r="B1509" s="32" t="n">
        <x:v>46174</x:v>
      </x:c>
      <x:c r="C1509" t="str">
        <x:v>Jun 2026</x:v>
      </x:c>
      <x:c r="D1509" t="str">
        <x:v>Forecast</x:v>
      </x:c>
      <x:c r="E1509" t="str">
        <x:v>DB-102</x:v>
      </x:c>
      <x:c r="F1509" t="str">
        <x:v>GlowPatch Balm</x:v>
      </x:c>
      <x:c r="G1509" t="str">
        <x:v>Consumable repeat</x:v>
      </x:c>
      <x:c r="H1509" t="str">
        <x:v>None</x:v>
      </x:c>
      <x:c r="I1509" t="str">
        <x:v>Active</x:v>
      </x:c>
      <x:c r="J1509" t="str">
        <x:v>Shopify DTC</x:v>
      </x:c>
      <x:c r="K1509" t="str">
        <x:v>Consumer</x:v>
      </x:c>
      <x:c r="L1509" t="str">
        <x:v>All Geographies</x:v>
      </x:c>
      <x:c r="M1509" s="34" t="n">
        <x:v>5893</x:v>
      </x:c>
      <x:c r="N1509" s="28" t="n">
        <x:v>0.04248</x:v>
      </x:c>
      <x:c r="O1509" s="34" t="n">
        <x:v>250</x:v>
      </x:c>
      <x:c r="P1509" s="34" t="n">
        <x:v>1</x:v>
      </x:c>
      <x:c r="Q1509" s="34" t="n">
        <x:v>250</x:v>
      </x:c>
      <x:c r="R1509" s="33" t="n">
        <x:v>18</x:v>
      </x:c>
      <x:c r="S1509" s="38" t="n">
        <x:v>4.5</x:v>
      </x:c>
      <x:c r="T1509" s="38" t="n">
        <x:v>0.36</x:v>
      </x:c>
      <x:c r="U1509" s="38" t="n">
        <x:v>0.1035</x:v>
      </x:c>
      <x:c r="V1509" s="38" t="n">
        <x:v>4.036499999999999</x:v>
      </x:c>
      <x:c r="W1509" s="38" t="n">
        <x:v>1.3525</x:v>
      </x:c>
      <x:c r="X1509" s="38" t="n">
        <x:v>0.11705849999999998</x:v>
      </x:c>
      <x:c r="Y1509" s="38" t="n">
        <x:v>0</x:v>
      </x:c>
      <x:c r="Z1509" s="38" t="n">
        <x:v>1.0375</x:v>
      </x:c>
      <x:c r="AA1509" s="38" t="n">
        <x:v>0.4125</x:v>
      </x:c>
      <x:c r="AB1509" s="38" t="n">
        <x:v>0.0015</x:v>
      </x:c>
      <x:c r="AC1509" s="38" t="n">
        <x:v>1.1154414999999989</x:v>
      </x:c>
      <x:c r="AD1509" s="28" t="n">
        <x:v>0.2763387835996529</x:v>
      </x:c>
    </x:row>
    <x:row r="1510">
      <x:c r="A1510" s="32" t="n">
        <x:v>46188</x:v>
      </x:c>
      <x:c r="B1510" s="32" t="n">
        <x:v>46174</x:v>
      </x:c>
      <x:c r="C1510" t="str">
        <x:v>Jun 2026</x:v>
      </x:c>
      <x:c r="D1510" t="str">
        <x:v>Forecast</x:v>
      </x:c>
      <x:c r="E1510" t="str">
        <x:v>DB-102</x:v>
      </x:c>
      <x:c r="F1510" t="str">
        <x:v>GlowPatch Balm</x:v>
      </x:c>
      <x:c r="G1510" t="str">
        <x:v>Consumable repeat</x:v>
      </x:c>
      <x:c r="H1510" t="str">
        <x:v>None</x:v>
      </x:c>
      <x:c r="I1510" t="str">
        <x:v>Active</x:v>
      </x:c>
      <x:c r="J1510" t="str">
        <x:v>Amazon Marketplace</x:v>
      </x:c>
      <x:c r="K1510" t="str">
        <x:v>Marketplace Consumer</x:v>
      </x:c>
      <x:c r="L1510" t="str">
        <x:v>All Geographies</x:v>
      </x:c>
      <x:c r="M1510" s="34" t="n">
        <x:v>2946</x:v>
      </x:c>
      <x:c r="N1510" s="28" t="n">
        <x:v>0.050126399999999995</x:v>
      </x:c>
      <x:c r="O1510" s="34" t="n">
        <x:v>148</x:v>
      </x:c>
      <x:c r="P1510" s="34" t="n">
        <x:v>1</x:v>
      </x:c>
      <x:c r="Q1510" s="34" t="n">
        <x:v>148</x:v>
      </x:c>
      <x:c r="R1510" s="33" t="n">
        <x:v>18</x:v>
      </x:c>
      <x:c r="S1510" s="38" t="n">
        <x:v>2.664</x:v>
      </x:c>
      <x:c r="T1510" s="38" t="n">
        <x:v>0.1332</x:v>
      </x:c>
      <x:c r="U1510" s="38" t="n">
        <x:v>0.06327</x:v>
      </x:c>
      <x:c r="V1510" s="38" t="n">
        <x:v>2.46753</x:v>
      </x:c>
      <x:c r="W1510" s="38" t="n">
        <x:v>0.8006800000000001</x:v>
      </x:c>
      <x:c r="X1510" s="38" t="n">
        <x:v>0</x:v>
      </x:c>
      <x:c r="Y1510" s="38" t="n">
        <x:v>0.3701295</x:v>
      </x:c>
      <x:c r="Z1510" s="38" t="n">
        <x:v>0.7696000000000001</x:v>
      </x:c>
      <x:c r="AA1510" s="38" t="n">
        <x:v>0.3182</x:v>
      </x:c>
      <x:c r="AB1510" s="38" t="n">
        <x:v>0.0008879999999999999</x:v>
      </x:c>
      <x:c r="AC1510" s="38" t="n">
        <x:v>0.2080324999999999</x:v>
      </x:c>
      <x:c r="AD1510" s="28" t="n">
        <x:v>0.084307992202729</x:v>
      </x:c>
    </x:row>
    <x:row r="1511">
      <x:c r="A1511" s="32" t="n">
        <x:v>46188</x:v>
      </x:c>
      <x:c r="B1511" s="32" t="n">
        <x:v>46174</x:v>
      </x:c>
      <x:c r="C1511" t="str">
        <x:v>Jun 2026</x:v>
      </x:c>
      <x:c r="D1511" t="str">
        <x:v>Forecast</x:v>
      </x:c>
      <x:c r="E1511" t="str">
        <x:v>DB-102</x:v>
      </x:c>
      <x:c r="F1511" t="str">
        <x:v>GlowPatch Balm</x:v>
      </x:c>
      <x:c r="G1511" t="str">
        <x:v>Consumable repeat</x:v>
      </x:c>
      <x:c r="H1511" t="str">
        <x:v>None</x:v>
      </x:c>
      <x:c r="I1511" t="str">
        <x:v>Active</x:v>
      </x:c>
      <x:c r="J1511" t="str">
        <x:v>Wholesale</x:v>
      </x:c>
      <x:c r="K1511" t="str">
        <x:v>Retailer</x:v>
      </x:c>
      <x:c r="L1511" t="str">
        <x:v>All Geographies</x:v>
      </x:c>
      <x:c r="M1511" s="34" t="n">
        <x:v>1768</x:v>
      </x:c>
      <x:c r="N1511" s="28" t="n">
        <x:v>0.023364</x:v>
      </x:c>
      <x:c r="O1511" s="34" t="n">
        <x:v>41</x:v>
      </x:c>
      <x:c r="P1511" s="34" t="n">
        <x:v>1</x:v>
      </x:c>
      <x:c r="Q1511" s="34" t="n">
        <x:v>41</x:v>
      </x:c>
      <x:c r="R1511" s="33" t="n">
        <x:v>18</x:v>
      </x:c>
      <x:c r="S1511" s="38" t="n">
        <x:v>0.738</x:v>
      </x:c>
      <x:c r="T1511" s="38" t="n">
        <x:v>0.2583</x:v>
      </x:c>
      <x:c r="U1511" s="38" t="n">
        <x:v>0.011992500000000001</x:v>
      </x:c>
      <x:c r="V1511" s="38" t="n">
        <x:v>0.4677075</x:v>
      </x:c>
      <x:c r="W1511" s="38" t="n">
        <x:v>0.22181</x:v>
      </x:c>
      <x:c r="X1511" s="38" t="n">
        <x:v>0</x:v>
      </x:c>
      <x:c r="Y1511" s="38" t="n">
        <x:v>0</x:v>
      </x:c>
      <x:c r="Z1511" s="38" t="n">
        <x:v>0.0943</x:v>
      </x:c>
      <x:c r="AA1511" s="38" t="n">
        <x:v>0.03485</x:v>
      </x:c>
      <x:c r="AB1511" s="38" t="n">
        <x:v>0.000246</x:v>
      </x:c>
      <x:c r="AC1511" s="38" t="n">
        <x:v>0.11650150000000001</x:v>
      </x:c>
      <x:c r="AD1511" s="28" t="n">
        <x:v>0.2490905106289722</x:v>
      </x:c>
    </x:row>
    <x:row r="1512">
      <x:c r="A1512" s="32" t="n">
        <x:v>46188</x:v>
      </x:c>
      <x:c r="B1512" s="32" t="n">
        <x:v>46174</x:v>
      </x:c>
      <x:c r="C1512" t="str">
        <x:v>Jun 2026</x:v>
      </x:c>
      <x:c r="D1512" t="str">
        <x:v>Forecast</x:v>
      </x:c>
      <x:c r="E1512" t="str">
        <x:v>DB-102</x:v>
      </x:c>
      <x:c r="F1512" t="str">
        <x:v>GlowPatch Balm</x:v>
      </x:c>
      <x:c r="G1512" t="str">
        <x:v>Consumable repeat</x:v>
      </x:c>
      <x:c r="H1512" t="str">
        <x:v>None</x:v>
      </x:c>
      <x:c r="I1512" t="str">
        <x:v>Active</x:v>
      </x:c>
      <x:c r="J1512" t="str">
        <x:v>TikTok Shop</x:v>
      </x:c>
      <x:c r="K1512" t="str">
        <x:v>Social Commerce</x:v>
      </x:c>
      <x:c r="L1512" t="str">
        <x:v>All Geographies</x:v>
      </x:c>
      <x:c r="M1512" s="34" t="n">
        <x:v>1179</x:v>
      </x:c>
      <x:c r="N1512" s="28" t="n">
        <x:v>0.0535248</x:v>
      </x:c>
      <x:c r="O1512" s="34" t="n">
        <x:v>63</x:v>
      </x:c>
      <x:c r="P1512" s="34" t="n">
        <x:v>1</x:v>
      </x:c>
      <x:c r="Q1512" s="34" t="n">
        <x:v>63</x:v>
      </x:c>
      <x:c r="R1512" s="33" t="n">
        <x:v>18</x:v>
      </x:c>
      <x:c r="S1512" s="38" t="n">
        <x:v>1.134</x:v>
      </x:c>
      <x:c r="T1512" s="38" t="n">
        <x:v>0.13607999999999998</x:v>
      </x:c>
      <x:c r="U1512" s="38" t="n">
        <x:v>0.024947999999999998</x:v>
      </x:c>
      <x:c r="V1512" s="38" t="n">
        <x:v>0.972972</x:v>
      </x:c>
      <x:c r="W1512" s="38" t="n">
        <x:v>0.34082999999999997</x:v>
      </x:c>
      <x:c r="X1512" s="38" t="n">
        <x:v>0.028216188</x:v>
      </x:c>
      <x:c r="Y1512" s="38" t="n">
        <x:v>0.05837832</x:v>
      </x:c>
      <x:c r="Z1512" s="38" t="n">
        <x:v>0.3213</x:v>
      </x:c>
      <x:c r="AA1512" s="38" t="n">
        <x:v>0.11025</x:v>
      </x:c>
      <x:c r="AB1512" s="38" t="n">
        <x:v>0.000378</x:v>
      </x:c>
      <x:c r="AC1512" s="38" t="n">
        <x:v>0.11361949199999999</x:v>
      </x:c>
      <x:c r="AD1512" s="28" t="n">
        <x:v>0.11677570577570577</x:v>
      </x:c>
    </x:row>
    <x:row r="1513">
      <x:c r="A1513" s="32" t="n">
        <x:v>46188</x:v>
      </x:c>
      <x:c r="B1513" s="32" t="n">
        <x:v>46174</x:v>
      </x:c>
      <x:c r="C1513" t="str">
        <x:v>Jun 2026</x:v>
      </x:c>
      <x:c r="D1513" t="str">
        <x:v>Forecast</x:v>
      </x:c>
      <x:c r="E1513" t="str">
        <x:v>DB-103</x:v>
      </x:c>
      <x:c r="F1513" t="str">
        <x:v>EmberTrail Camp Mug</x:v>
      </x:c>
      <x:c r="G1513" t="str">
        <x:v>One-time purchase</x:v>
      </x:c>
      <x:c r="H1513" t="str">
        <x:v>Winter peak</x:v>
      </x:c>
      <x:c r="I1513" t="str">
        <x:v>Active</x:v>
      </x:c>
      <x:c r="J1513" t="str">
        <x:v>Shopify DTC</x:v>
      </x:c>
      <x:c r="K1513" t="str">
        <x:v>Consumer</x:v>
      </x:c>
      <x:c r="L1513" t="str">
        <x:v>All Geographies</x:v>
      </x:c>
      <x:c r="M1513" s="34" t="n">
        <x:v>3788</x:v>
      </x:c>
      <x:c r="N1513" s="28" t="n">
        <x:v>0.0324</x:v>
      </x:c>
      <x:c r="O1513" s="34" t="n">
        <x:v>123</x:v>
      </x:c>
      <x:c r="P1513" s="34" t="n">
        <x:v>1</x:v>
      </x:c>
      <x:c r="Q1513" s="34" t="n">
        <x:v>123</x:v>
      </x:c>
      <x:c r="R1513" s="33" t="n">
        <x:v>34</x:v>
      </x:c>
      <x:c r="S1513" s="38" t="n">
        <x:v>4.182</x:v>
      </x:c>
      <x:c r="T1513" s="38" t="n">
        <x:v>0.33456</x:v>
      </x:c>
      <x:c r="U1513" s="38" t="n">
        <x:v>0.21160920000000003</x:v>
      </x:c>
      <x:c r="V1513" s="38" t="n">
        <x:v>3.6358308000000004</x:v>
      </x:c>
      <x:c r="W1513" s="38" t="n">
        <x:v>1.68141</x:v>
      </x:c>
      <x:c r="X1513" s="38" t="n">
        <x:v>0.10543909320000001</x:v>
      </x:c>
      <x:c r="Y1513" s="38" t="n">
        <x:v>0</x:v>
      </x:c>
      <x:c r="Z1513" s="38" t="n">
        <x:v>0.5104500000000001</x:v>
      </x:c>
      <x:c r="AA1513" s="38" t="n">
        <x:v>0.20295</x:v>
      </x:c>
      <x:c r="AB1513" s="38" t="n">
        <x:v>0.006888</x:v>
      </x:c>
      <x:c r="AC1513" s="38" t="n">
        <x:v>1.1286937068000003</x:v>
      </x:c>
      <x:c r="AD1513" s="28" t="n">
        <x:v>0.3104362575948254</x:v>
      </x:c>
    </x:row>
    <x:row r="1514">
      <x:c r="A1514" s="32" t="n">
        <x:v>46188</x:v>
      </x:c>
      <x:c r="B1514" s="32" t="n">
        <x:v>46174</x:v>
      </x:c>
      <x:c r="C1514" t="str">
        <x:v>Jun 2026</x:v>
      </x:c>
      <x:c r="D1514" t="str">
        <x:v>Forecast</x:v>
      </x:c>
      <x:c r="E1514" t="str">
        <x:v>DB-103</x:v>
      </x:c>
      <x:c r="F1514" t="str">
        <x:v>EmberTrail Camp Mug</x:v>
      </x:c>
      <x:c r="G1514" t="str">
        <x:v>One-time purchase</x:v>
      </x:c>
      <x:c r="H1514" t="str">
        <x:v>Winter peak</x:v>
      </x:c>
      <x:c r="I1514" t="str">
        <x:v>Active</x:v>
      </x:c>
      <x:c r="J1514" t="str">
        <x:v>Amazon Marketplace</x:v>
      </x:c>
      <x:c r="K1514" t="str">
        <x:v>Marketplace Consumer</x:v>
      </x:c>
      <x:c r="L1514" t="str">
        <x:v>All Geographies</x:v>
      </x:c>
      <x:c r="M1514" s="34" t="n">
        <x:v>1894</x:v>
      </x:c>
      <x:c r="N1514" s="28" t="n">
        <x:v>0.038231999999999995</x:v>
      </x:c>
      <x:c r="O1514" s="34" t="n">
        <x:v>72</x:v>
      </x:c>
      <x:c r="P1514" s="34" t="n">
        <x:v>1</x:v>
      </x:c>
      <x:c r="Q1514" s="34" t="n">
        <x:v>72</x:v>
      </x:c>
      <x:c r="R1514" s="33" t="n">
        <x:v>34</x:v>
      </x:c>
      <x:c r="S1514" s="38" t="n">
        <x:v>2.448</x:v>
      </x:c>
      <x:c r="T1514" s="38" t="n">
        <x:v>0.12240000000000001</x:v>
      </x:c>
      <x:c r="U1514" s="38" t="n">
        <x:v>0.127908</x:v>
      </x:c>
      <x:c r="V1514" s="38" t="n">
        <x:v>2.197692</x:v>
      </x:c>
      <x:c r="W1514" s="38" t="n">
        <x:v>0.98424</x:v>
      </x:c>
      <x:c r="X1514" s="38" t="n">
        <x:v>0</x:v>
      </x:c>
      <x:c r="Y1514" s="38" t="n">
        <x:v>0.3296538</x:v>
      </x:c>
      <x:c r="Z1514" s="38" t="n">
        <x:v>0.3744</x:v>
      </x:c>
      <x:c r="AA1514" s="38" t="n">
        <x:v>0.1548</x:v>
      </x:c>
      <x:c r="AB1514" s="38" t="n">
        <x:v>0.004032</x:v>
      </x:c>
      <x:c r="AC1514" s="38" t="n">
        <x:v>0.35056619999999994</x:v>
      </x:c>
      <x:c r="AD1514" s="28" t="n">
        <x:v>0.1595156191131423</x:v>
      </x:c>
    </x:row>
    <x:row r="1515">
      <x:c r="A1515" s="32" t="n">
        <x:v>46188</x:v>
      </x:c>
      <x:c r="B1515" s="32" t="n">
        <x:v>46174</x:v>
      </x:c>
      <x:c r="C1515" t="str">
        <x:v>Jun 2026</x:v>
      </x:c>
      <x:c r="D1515" t="str">
        <x:v>Forecast</x:v>
      </x:c>
      <x:c r="E1515" t="str">
        <x:v>DB-103</x:v>
      </x:c>
      <x:c r="F1515" t="str">
        <x:v>EmberTrail Camp Mug</x:v>
      </x:c>
      <x:c r="G1515" t="str">
        <x:v>One-time purchase</x:v>
      </x:c>
      <x:c r="H1515" t="str">
        <x:v>Winter peak</x:v>
      </x:c>
      <x:c r="I1515" t="str">
        <x:v>Active</x:v>
      </x:c>
      <x:c r="J1515" t="str">
        <x:v>Wholesale</x:v>
      </x:c>
      <x:c r="K1515" t="str">
        <x:v>Retailer</x:v>
      </x:c>
      <x:c r="L1515" t="str">
        <x:v>All Geographies</x:v>
      </x:c>
      <x:c r="M1515" s="34" t="n">
        <x:v>1136</x:v>
      </x:c>
      <x:c r="N1515" s="28" t="n">
        <x:v>0.017820000000000003</x:v>
      </x:c>
      <x:c r="O1515" s="34" t="n">
        <x:v>20</x:v>
      </x:c>
      <x:c r="P1515" s="34" t="n">
        <x:v>1</x:v>
      </x:c>
      <x:c r="Q1515" s="34" t="n">
        <x:v>20</x:v>
      </x:c>
      <x:c r="R1515" s="33" t="n">
        <x:v>34</x:v>
      </x:c>
      <x:c r="S1515" s="38" t="n">
        <x:v>0.68</x:v>
      </x:c>
      <x:c r="T1515" s="38" t="n">
        <x:v>0.238</x:v>
      </x:c>
      <x:c r="U1515" s="38" t="n">
        <x:v>0.024310000000000002</x:v>
      </x:c>
      <x:c r="V1515" s="38" t="n">
        <x:v>0.41769000000000006</x:v>
      </x:c>
      <x:c r="W1515" s="38" t="n">
        <x:v>0.2734</x:v>
      </x:c>
      <x:c r="X1515" s="38" t="n">
        <x:v>0</x:v>
      </x:c>
      <x:c r="Y1515" s="38" t="n">
        <x:v>0</x:v>
      </x:c>
      <x:c r="Z1515" s="38" t="n">
        <x:v>0.046</x:v>
      </x:c>
      <x:c r="AA1515" s="38" t="n">
        <x:v>0.017</x:v>
      </x:c>
      <x:c r="AB1515" s="38" t="n">
        <x:v>0.0011200000000000001</x:v>
      </x:c>
      <x:c r="AC1515" s="38" t="n">
        <x:v>0.08017000000000009</x:v>
      </x:c>
      <x:c r="AD1515" s="28" t="n">
        <x:v>0.19193660370130977</x:v>
      </x:c>
    </x:row>
    <x:row r="1516">
      <x:c r="A1516" s="32" t="n">
        <x:v>46188</x:v>
      </x:c>
      <x:c r="B1516" s="32" t="n">
        <x:v>46174</x:v>
      </x:c>
      <x:c r="C1516" t="str">
        <x:v>Jun 2026</x:v>
      </x:c>
      <x:c r="D1516" t="str">
        <x:v>Forecast</x:v>
      </x:c>
      <x:c r="E1516" t="str">
        <x:v>DB-103</x:v>
      </x:c>
      <x:c r="F1516" t="str">
        <x:v>EmberTrail Camp Mug</x:v>
      </x:c>
      <x:c r="G1516" t="str">
        <x:v>One-time purchase</x:v>
      </x:c>
      <x:c r="H1516" t="str">
        <x:v>Winter peak</x:v>
      </x:c>
      <x:c r="I1516" t="str">
        <x:v>Active</x:v>
      </x:c>
      <x:c r="J1516" t="str">
        <x:v>TikTok Shop</x:v>
      </x:c>
      <x:c r="K1516" t="str">
        <x:v>Social Commerce</x:v>
      </x:c>
      <x:c r="L1516" t="str">
        <x:v>All Geographies</x:v>
      </x:c>
      <x:c r="M1516" s="34" t="n">
        <x:v>758</x:v>
      </x:c>
      <x:c r="N1516" s="28" t="n">
        <x:v>0.040824</x:v>
      </x:c>
      <x:c r="O1516" s="34" t="n">
        <x:v>31</x:v>
      </x:c>
      <x:c r="P1516" s="34" t="n">
        <x:v>1</x:v>
      </x:c>
      <x:c r="Q1516" s="34" t="n">
        <x:v>31</x:v>
      </x:c>
      <x:c r="R1516" s="33" t="n">
        <x:v>34</x:v>
      </x:c>
      <x:c r="S1516" s="38" t="n">
        <x:v>1.054</x:v>
      </x:c>
      <x:c r="T1516" s="38" t="n">
        <x:v>0.12648</x:v>
      </x:c>
      <x:c r="U1516" s="38" t="n">
        <x:v>0.0510136</x:v>
      </x:c>
      <x:c r="V1516" s="38" t="n">
        <x:v>0.8765064</x:v>
      </x:c>
      <x:c r="W1516" s="38" t="n">
        <x:v>0.42377</x:v>
      </x:c>
      <x:c r="X1516" s="38" t="n">
        <x:v>0.0254186856</x:v>
      </x:c>
      <x:c r="Y1516" s="38" t="n">
        <x:v>0.052590384</x:v>
      </x:c>
      <x:c r="Z1516" s="38" t="n">
        <x:v>0.1581</x:v>
      </x:c>
      <x:c r="AA1516" s="38" t="n">
        <x:v>0.05425</x:v>
      </x:c>
      <x:c r="AB1516" s="38" t="n">
        <x:v>0.001736</x:v>
      </x:c>
      <x:c r="AC1516" s="38" t="n">
        <x:v>0.1606413304000001</x:v>
      </x:c>
      <x:c r="AD1516" s="28" t="n">
        <x:v>0.18327456639221354</x:v>
      </x:c>
    </x:row>
    <x:row r="1517">
      <x:c r="A1517" s="32" t="n">
        <x:v>46188</x:v>
      </x:c>
      <x:c r="B1517" s="32" t="n">
        <x:v>46174</x:v>
      </x:c>
      <x:c r="C1517" t="str">
        <x:v>Jun 2026</x:v>
      </x:c>
      <x:c r="D1517" t="str">
        <x:v>Forecast</x:v>
      </x:c>
      <x:c r="E1517" t="str">
        <x:v>DB-104</x:v>
      </x:c>
      <x:c r="F1517" t="str">
        <x:v>SunNest Cooling Towel</x:v>
      </x:c>
      <x:c r="G1517" t="str">
        <x:v>Consumable repeat</x:v>
      </x:c>
      <x:c r="H1517" t="str">
        <x:v>Summer peak</x:v>
      </x:c>
      <x:c r="I1517" t="str">
        <x:v>Active</x:v>
      </x:c>
      <x:c r="J1517" t="str">
        <x:v>Shopify DTC</x:v>
      </x:c>
      <x:c r="K1517" t="str">
        <x:v>Consumer</x:v>
      </x:c>
      <x:c r="L1517" t="str">
        <x:v>All Geographies</x:v>
      </x:c>
      <x:c r="M1517" s="34" t="n">
        <x:v>6917</x:v>
      </x:c>
      <x:c r="N1517" s="28" t="n">
        <x:v>0.03312</x:v>
      </x:c>
      <x:c r="O1517" s="34" t="n">
        <x:v>229</x:v>
      </x:c>
      <x:c r="P1517" s="34" t="n">
        <x:v>1</x:v>
      </x:c>
      <x:c r="Q1517" s="34" t="n">
        <x:v>229</x:v>
      </x:c>
      <x:c r="R1517" s="33" t="n">
        <x:v>42</x:v>
      </x:c>
      <x:c r="S1517" s="38" t="n">
        <x:v>9.618</x:v>
      </x:c>
      <x:c r="T1517" s="38" t="n">
        <x:v>0.76944</x:v>
      </x:c>
      <x:c r="U1517" s="38" t="n">
        <x:v>0.44242800000000004</x:v>
      </x:c>
      <x:c r="V1517" s="38" t="n">
        <x:v>8.406132000000001</x:v>
      </x:c>
      <x:c r="W1517" s="38" t="n">
        <x:v>3.4464500000000005</x:v>
      </x:c>
      <x:c r="X1517" s="38" t="n">
        <x:v>0.24377782800000006</x:v>
      </x:c>
      <x:c r="Y1517" s="38" t="n">
        <x:v>0</x:v>
      </x:c>
      <x:c r="Z1517" s="38" t="n">
        <x:v>0.9503500000000001</x:v>
      </x:c>
      <x:c r="AA1517" s="38" t="n">
        <x:v>0.37784999999999996</x:v>
      </x:c>
      <x:c r="AB1517" s="38" t="n">
        <x:v>0.006412</x:v>
      </x:c>
      <x:c r="AC1517" s="38" t="n">
        <x:v>3.3812921720000007</x:v>
      </x:c>
      <x:c r="AD1517" s="28" t="n">
        <x:v>0.40224114634412117</x:v>
      </x:c>
    </x:row>
    <x:row r="1518">
      <x:c r="A1518" s="32" t="n">
        <x:v>46188</x:v>
      </x:c>
      <x:c r="B1518" s="32" t="n">
        <x:v>46174</x:v>
      </x:c>
      <x:c r="C1518" t="str">
        <x:v>Jun 2026</x:v>
      </x:c>
      <x:c r="D1518" t="str">
        <x:v>Forecast</x:v>
      </x:c>
      <x:c r="E1518" t="str">
        <x:v>DB-104</x:v>
      </x:c>
      <x:c r="F1518" t="str">
        <x:v>SunNest Cooling Towel</x:v>
      </x:c>
      <x:c r="G1518" t="str">
        <x:v>Consumable repeat</x:v>
      </x:c>
      <x:c r="H1518" t="str">
        <x:v>Summer peak</x:v>
      </x:c>
      <x:c r="I1518" t="str">
        <x:v>Active</x:v>
      </x:c>
      <x:c r="J1518" t="str">
        <x:v>Amazon Marketplace</x:v>
      </x:c>
      <x:c r="K1518" t="str">
        <x:v>Marketplace Consumer</x:v>
      </x:c>
      <x:c r="L1518" t="str">
        <x:v>All Geographies</x:v>
      </x:c>
      <x:c r="M1518" s="34" t="n">
        <x:v>3458</x:v>
      </x:c>
      <x:c r="N1518" s="28" t="n">
        <x:v>0.0390816</x:v>
      </x:c>
      <x:c r="O1518" s="34" t="n">
        <x:v>135</x:v>
      </x:c>
      <x:c r="P1518" s="34" t="n">
        <x:v>1</x:v>
      </x:c>
      <x:c r="Q1518" s="34" t="n">
        <x:v>135</x:v>
      </x:c>
      <x:c r="R1518" s="33" t="n">
        <x:v>42</x:v>
      </x:c>
      <x:c r="S1518" s="38" t="n">
        <x:v>5.67</x:v>
      </x:c>
      <x:c r="T1518" s="38" t="n">
        <x:v>0.28350000000000003</x:v>
      </x:c>
      <x:c r="U1518" s="38" t="n">
        <x:v>0.269325</x:v>
      </x:c>
      <x:c r="V1518" s="38" t="n">
        <x:v>5.117175</x:v>
      </x:c>
      <x:c r="W1518" s="38" t="n">
        <x:v>2.03175</x:v>
      </x:c>
      <x:c r="X1518" s="38" t="n">
        <x:v>0</x:v>
      </x:c>
      <x:c r="Y1518" s="38" t="n">
        <x:v>0.76757625</x:v>
      </x:c>
      <x:c r="Z1518" s="38" t="n">
        <x:v>0.702</x:v>
      </x:c>
      <x:c r="AA1518" s="38" t="n">
        <x:v>0.29025</x:v>
      </x:c>
      <x:c r="AB1518" s="38" t="n">
        <x:v>0.00378</x:v>
      </x:c>
      <x:c r="AC1518" s="38" t="n">
        <x:v>1.3218187499999998</x:v>
      </x:c>
      <x:c r="AD1518" s="28" t="n">
        <x:v>0.2583102493074792</x:v>
      </x:c>
    </x:row>
    <x:row r="1519">
      <x:c r="A1519" s="32" t="n">
        <x:v>46188</x:v>
      </x:c>
      <x:c r="B1519" s="32" t="n">
        <x:v>46174</x:v>
      </x:c>
      <x:c r="C1519" t="str">
        <x:v>Jun 2026</x:v>
      </x:c>
      <x:c r="D1519" t="str">
        <x:v>Forecast</x:v>
      </x:c>
      <x:c r="E1519" t="str">
        <x:v>DB-104</x:v>
      </x:c>
      <x:c r="F1519" t="str">
        <x:v>SunNest Cooling Towel</x:v>
      </x:c>
      <x:c r="G1519" t="str">
        <x:v>Consumable repeat</x:v>
      </x:c>
      <x:c r="H1519" t="str">
        <x:v>Summer peak</x:v>
      </x:c>
      <x:c r="I1519" t="str">
        <x:v>Active</x:v>
      </x:c>
      <x:c r="J1519" t="str">
        <x:v>Wholesale</x:v>
      </x:c>
      <x:c r="K1519" t="str">
        <x:v>Retailer</x:v>
      </x:c>
      <x:c r="L1519" t="str">
        <x:v>All Geographies</x:v>
      </x:c>
      <x:c r="M1519" s="34" t="n">
        <x:v>2075</x:v>
      </x:c>
      <x:c r="N1519" s="28" t="n">
        <x:v>0.018216000000000003</x:v>
      </x:c>
      <x:c r="O1519" s="34" t="n">
        <x:v>38</x:v>
      </x:c>
      <x:c r="P1519" s="34" t="n">
        <x:v>1</x:v>
      </x:c>
      <x:c r="Q1519" s="34" t="n">
        <x:v>38</x:v>
      </x:c>
      <x:c r="R1519" s="33" t="n">
        <x:v>42</x:v>
      </x:c>
      <x:c r="S1519" s="38" t="n">
        <x:v>1.596</x:v>
      </x:c>
      <x:c r="T1519" s="38" t="n">
        <x:v>0.5586</x:v>
      </x:c>
      <x:c r="U1519" s="38" t="n">
        <x:v>0.051870000000000006</x:v>
      </x:c>
      <x:c r="V1519" s="38" t="n">
        <x:v>0.9855300000000001</x:v>
      </x:c>
      <x:c r="W1519" s="38" t="n">
        <x:v>0.5719</x:v>
      </x:c>
      <x:c r="X1519" s="38" t="n">
        <x:v>0</x:v>
      </x:c>
      <x:c r="Y1519" s="38" t="n">
        <x:v>0</x:v>
      </x:c>
      <x:c r="Z1519" s="38" t="n">
        <x:v>0.08739999999999999</x:v>
      </x:c>
      <x:c r="AA1519" s="38" t="n">
        <x:v>0.032299999999999995</x:v>
      </x:c>
      <x:c r="AB1519" s="38" t="n">
        <x:v>0.0010639999999999998</x:v>
      </x:c>
      <x:c r="AC1519" s="38" t="n">
        <x:v>0.2928660000000002</x:v>
      </x:c>
      <x:c r="AD1519" s="28" t="n">
        <x:v>0.29716599190283416</x:v>
      </x:c>
    </x:row>
    <x:row r="1520">
      <x:c r="A1520" s="32" t="n">
        <x:v>46188</x:v>
      </x:c>
      <x:c r="B1520" s="32" t="n">
        <x:v>46174</x:v>
      </x:c>
      <x:c r="C1520" t="str">
        <x:v>Jun 2026</x:v>
      </x:c>
      <x:c r="D1520" t="str">
        <x:v>Forecast</x:v>
      </x:c>
      <x:c r="E1520" t="str">
        <x:v>DB-104</x:v>
      </x:c>
      <x:c r="F1520" t="str">
        <x:v>SunNest Cooling Towel</x:v>
      </x:c>
      <x:c r="G1520" t="str">
        <x:v>Consumable repeat</x:v>
      </x:c>
      <x:c r="H1520" t="str">
        <x:v>Summer peak</x:v>
      </x:c>
      <x:c r="I1520" t="str">
        <x:v>Active</x:v>
      </x:c>
      <x:c r="J1520" t="str">
        <x:v>TikTok Shop</x:v>
      </x:c>
      <x:c r="K1520" t="str">
        <x:v>Social Commerce</x:v>
      </x:c>
      <x:c r="L1520" t="str">
        <x:v>All Geographies</x:v>
      </x:c>
      <x:c r="M1520" s="34" t="n">
        <x:v>1383</x:v>
      </x:c>
      <x:c r="N1520" s="28" t="n">
        <x:v>0.0417312</x:v>
      </x:c>
      <x:c r="O1520" s="34" t="n">
        <x:v>58</x:v>
      </x:c>
      <x:c r="P1520" s="34" t="n">
        <x:v>1</x:v>
      </x:c>
      <x:c r="Q1520" s="34" t="n">
        <x:v>58</x:v>
      </x:c>
      <x:c r="R1520" s="33" t="n">
        <x:v>42</x:v>
      </x:c>
      <x:c r="S1520" s="38" t="n">
        <x:v>2.436</x:v>
      </x:c>
      <x:c r="T1520" s="38" t="n">
        <x:v>0.29231999999999997</x:v>
      </x:c>
      <x:c r="U1520" s="38" t="n">
        <x:v>0.107184</x:v>
      </x:c>
      <x:c r="V1520" s="38" t="n">
        <x:v>2.0364959999999996</x:v>
      </x:c>
      <x:c r="W1520" s="38" t="n">
        <x:v>0.8729000000000001</x:v>
      </x:c>
      <x:c r="X1520" s="38" t="n">
        <x:v>0.05905838399999999</x:v>
      </x:c>
      <x:c r="Y1520" s="38" t="n">
        <x:v>0.12218975999999998</x:v>
      </x:c>
      <x:c r="Z1520" s="38" t="n">
        <x:v>0.29579999999999995</x:v>
      </x:c>
      <x:c r="AA1520" s="38" t="n">
        <x:v>0.1015</x:v>
      </x:c>
      <x:c r="AB1520" s="38" t="n">
        <x:v>0.0016239999999999998</x:v>
      </x:c>
      <x:c r="AC1520" s="38" t="n">
        <x:v>0.5834238559999997</x:v>
      </x:c>
      <x:c r="AD1520" s="28" t="n">
        <x:v>0.28648416495784906</x:v>
      </x:c>
    </x:row>
    <x:row r="1521">
      <x:c r="A1521" s="32" t="n">
        <x:v>46188</x:v>
      </x:c>
      <x:c r="B1521" s="32" t="n">
        <x:v>46174</x:v>
      </x:c>
      <x:c r="C1521" t="str">
        <x:v>Jun 2026</x:v>
      </x:c>
      <x:c r="D1521" t="str">
        <x:v>Forecast</x:v>
      </x:c>
      <x:c r="E1521" t="str">
        <x:v>DB-105</x:v>
      </x:c>
      <x:c r="F1521" t="str">
        <x:v>DreamFuel Refill Pack</x:v>
      </x:c>
      <x:c r="G1521" t="str">
        <x:v>Subscription</x:v>
      </x:c>
      <x:c r="H1521" t="str">
        <x:v>None</x:v>
      </x:c>
      <x:c r="I1521" t="str">
        <x:v>Active</x:v>
      </x:c>
      <x:c r="J1521" t="str">
        <x:v>Shopify DTC</x:v>
      </x:c>
      <x:c r="K1521" t="str">
        <x:v>Consumer</x:v>
      </x:c>
      <x:c r="L1521" t="str">
        <x:v>All Geographies</x:v>
      </x:c>
      <x:c r="M1521" s="34" t="n">
        <x:v>5051</x:v>
      </x:c>
      <x:c r="N1521" s="28" t="n">
        <x:v>0.03888</x:v>
      </x:c>
      <x:c r="O1521" s="34" t="n">
        <x:v>196</x:v>
      </x:c>
      <x:c r="P1521" s="34" t="n">
        <x:v>1</x:v>
      </x:c>
      <x:c r="Q1521" s="34" t="n">
        <x:v>196</x:v>
      </x:c>
      <x:c r="R1521" s="33" t="n">
        <x:v>56</x:v>
      </x:c>
      <x:c r="S1521" s="38" t="n">
        <x:v>10.976</x:v>
      </x:c>
      <x:c r="T1521" s="38" t="n">
        <x:v>0.8780800000000001</x:v>
      </x:c>
      <x:c r="U1521" s="38" t="n">
        <x:v>0.2019584</x:v>
      </x:c>
      <x:c r="V1521" s="38" t="n">
        <x:v>9.8959616</x:v>
      </x:c>
      <x:c r="W1521" s="38" t="n">
        <x:v>3.64952</x:v>
      </x:c>
      <x:c r="X1521" s="38" t="n">
        <x:v>0.2869828864</x:v>
      </x:c>
      <x:c r="Y1521" s="38" t="n">
        <x:v>0</x:v>
      </x:c>
      <x:c r="Z1521" s="38" t="n">
        <x:v>0.8134000000000001</x:v>
      </x:c>
      <x:c r="AA1521" s="38" t="n">
        <x:v>0.32339999999999997</x:v>
      </x:c>
      <x:c r="AB1521" s="38" t="n">
        <x:v>0.0007055999999999999</x:v>
      </x:c>
      <x:c r="AC1521" s="38" t="n">
        <x:v>4.8219531136</x:v>
      </x:c>
      <x:c r="AD1521" s="28" t="n">
        <x:v>0.4872647357079478</x:v>
      </x:c>
    </x:row>
    <x:row r="1522">
      <x:c r="A1522" s="32" t="n">
        <x:v>46188</x:v>
      </x:c>
      <x:c r="B1522" s="32" t="n">
        <x:v>46174</x:v>
      </x:c>
      <x:c r="C1522" t="str">
        <x:v>Jun 2026</x:v>
      </x:c>
      <x:c r="D1522" t="str">
        <x:v>Forecast</x:v>
      </x:c>
      <x:c r="E1522" t="str">
        <x:v>DB-105</x:v>
      </x:c>
      <x:c r="F1522" t="str">
        <x:v>DreamFuel Refill Pack</x:v>
      </x:c>
      <x:c r="G1522" t="str">
        <x:v>Subscription</x:v>
      </x:c>
      <x:c r="H1522" t="str">
        <x:v>None</x:v>
      </x:c>
      <x:c r="I1522" t="str">
        <x:v>Active</x:v>
      </x:c>
      <x:c r="J1522" t="str">
        <x:v>Amazon Marketplace</x:v>
      </x:c>
      <x:c r="K1522" t="str">
        <x:v>Marketplace Consumer</x:v>
      </x:c>
      <x:c r="L1522" t="str">
        <x:v>All Geographies</x:v>
      </x:c>
      <x:c r="M1522" s="34" t="n">
        <x:v>2525</x:v>
      </x:c>
      <x:c r="N1522" s="28" t="n">
        <x:v>0.0458784</x:v>
      </x:c>
      <x:c r="O1522" s="34" t="n">
        <x:v>116</x:v>
      </x:c>
      <x:c r="P1522" s="34" t="n">
        <x:v>1</x:v>
      </x:c>
      <x:c r="Q1522" s="34" t="n">
        <x:v>116</x:v>
      </x:c>
      <x:c r="R1522" s="33" t="n">
        <x:v>56</x:v>
      </x:c>
      <x:c r="S1522" s="38" t="n">
        <x:v>6.496</x:v>
      </x:c>
      <x:c r="T1522" s="38" t="n">
        <x:v>0.32480000000000003</x:v>
      </x:c>
      <x:c r="U1522" s="38" t="n">
        <x:v>0.12342400000000002</x:v>
      </x:c>
      <x:c r="V1522" s="38" t="n">
        <x:v>6.047776000000001</x:v>
      </x:c>
      <x:c r="W1522" s="38" t="n">
        <x:v>2.15992</x:v>
      </x:c>
      <x:c r="X1522" s="38" t="n">
        <x:v>0</x:v>
      </x:c>
      <x:c r="Y1522" s="38" t="n">
        <x:v>0.9071664</x:v>
      </x:c>
      <x:c r="Z1522" s="38" t="n">
        <x:v>0.6032000000000001</x:v>
      </x:c>
      <x:c r="AA1522" s="38" t="n">
        <x:v>0.24939999999999998</x:v>
      </x:c>
      <x:c r="AB1522" s="38" t="n">
        <x:v>0.0004176</x:v>
      </x:c>
      <x:c r="AC1522" s="38" t="n">
        <x:v>2.1276720000000005</x:v>
      </x:c>
      <x:c r="AD1522" s="28" t="n">
        <x:v>0.35181064907165877</x:v>
      </x:c>
    </x:row>
    <x:row r="1523">
      <x:c r="A1523" s="32" t="n">
        <x:v>46188</x:v>
      </x:c>
      <x:c r="B1523" s="32" t="n">
        <x:v>46174</x:v>
      </x:c>
      <x:c r="C1523" t="str">
        <x:v>Jun 2026</x:v>
      </x:c>
      <x:c r="D1523" t="str">
        <x:v>Forecast</x:v>
      </x:c>
      <x:c r="E1523" t="str">
        <x:v>DB-105</x:v>
      </x:c>
      <x:c r="F1523" t="str">
        <x:v>DreamFuel Refill Pack</x:v>
      </x:c>
      <x:c r="G1523" t="str">
        <x:v>Subscription</x:v>
      </x:c>
      <x:c r="H1523" t="str">
        <x:v>None</x:v>
      </x:c>
      <x:c r="I1523" t="str">
        <x:v>Active</x:v>
      </x:c>
      <x:c r="J1523" t="str">
        <x:v>Wholesale</x:v>
      </x:c>
      <x:c r="K1523" t="str">
        <x:v>Retailer</x:v>
      </x:c>
      <x:c r="L1523" t="str">
        <x:v>All Geographies</x:v>
      </x:c>
      <x:c r="M1523" s="34" t="n">
        <x:v>1515</x:v>
      </x:c>
      <x:c r="N1523" s="28" t="n">
        <x:v>0.021384000000000004</x:v>
      </x:c>
      <x:c r="O1523" s="34" t="n">
        <x:v>32</x:v>
      </x:c>
      <x:c r="P1523" s="34" t="n">
        <x:v>1</x:v>
      </x:c>
      <x:c r="Q1523" s="34" t="n">
        <x:v>32</x:v>
      </x:c>
      <x:c r="R1523" s="33" t="n">
        <x:v>56</x:v>
      </x:c>
      <x:c r="S1523" s="38" t="n">
        <x:v>1.792</x:v>
      </x:c>
      <x:c r="T1523" s="38" t="n">
        <x:v>0.6272</x:v>
      </x:c>
      <x:c r="U1523" s="38" t="n">
        <x:v>0.023296</x:v>
      </x:c>
      <x:c r="V1523" s="38" t="n">
        <x:v>1.141504</x:v>
      </x:c>
      <x:c r="W1523" s="38" t="n">
        <x:v>0.59584</x:v>
      </x:c>
      <x:c r="X1523" s="38" t="n">
        <x:v>0</x:v>
      </x:c>
      <x:c r="Y1523" s="38" t="n">
        <x:v>0</x:v>
      </x:c>
      <x:c r="Z1523" s="38" t="n">
        <x:v>0.0736</x:v>
      </x:c>
      <x:c r="AA1523" s="38" t="n">
        <x:v>0.0272</x:v>
      </x:c>
      <x:c r="AB1523" s="38" t="n">
        <x:v>0.0001152</x:v>
      </x:c>
      <x:c r="AC1523" s="38" t="n">
        <x:v>0.44474880000000006</x:v>
      </x:c>
      <x:c r="AD1523" s="28" t="n">
        <x:v>0.3896165059430366</x:v>
      </x:c>
    </x:row>
    <x:row r="1524">
      <x:c r="A1524" s="32" t="n">
        <x:v>46188</x:v>
      </x:c>
      <x:c r="B1524" s="32" t="n">
        <x:v>46174</x:v>
      </x:c>
      <x:c r="C1524" t="str">
        <x:v>Jun 2026</x:v>
      </x:c>
      <x:c r="D1524" t="str">
        <x:v>Forecast</x:v>
      </x:c>
      <x:c r="E1524" t="str">
        <x:v>DB-105</x:v>
      </x:c>
      <x:c r="F1524" t="str">
        <x:v>DreamFuel Refill Pack</x:v>
      </x:c>
      <x:c r="G1524" t="str">
        <x:v>Subscription</x:v>
      </x:c>
      <x:c r="H1524" t="str">
        <x:v>None</x:v>
      </x:c>
      <x:c r="I1524" t="str">
        <x:v>Active</x:v>
      </x:c>
      <x:c r="J1524" t="str">
        <x:v>TikTok Shop</x:v>
      </x:c>
      <x:c r="K1524" t="str">
        <x:v>Social Commerce</x:v>
      </x:c>
      <x:c r="L1524" t="str">
        <x:v>All Geographies</x:v>
      </x:c>
      <x:c r="M1524" s="34" t="n">
        <x:v>1010</x:v>
      </x:c>
      <x:c r="N1524" s="28" t="n">
        <x:v>0.0489888</x:v>
      </x:c>
      <x:c r="O1524" s="34" t="n">
        <x:v>49</x:v>
      </x:c>
      <x:c r="P1524" s="34" t="n">
        <x:v>1</x:v>
      </x:c>
      <x:c r="Q1524" s="34" t="n">
        <x:v>49</x:v>
      </x:c>
      <x:c r="R1524" s="33" t="n">
        <x:v>56</x:v>
      </x:c>
      <x:c r="S1524" s="38" t="n">
        <x:v>2.744</x:v>
      </x:c>
      <x:c r="T1524" s="38" t="n">
        <x:v>0.32928</x:v>
      </x:c>
      <x:c r="U1524" s="38" t="n">
        <x:v>0.0482944</x:v>
      </x:c>
      <x:c r="V1524" s="38" t="n">
        <x:v>2.3664256</x:v>
      </x:c>
      <x:c r="W1524" s="38" t="n">
        <x:v>0.91238</x:v>
      </x:c>
      <x:c r="X1524" s="38" t="n">
        <x:v>0.0686263424</x:v>
      </x:c>
      <x:c r="Y1524" s="38" t="n">
        <x:v>0.141985536</x:v>
      </x:c>
      <x:c r="Z1524" s="38" t="n">
        <x:v>0.24989999999999998</x:v>
      </x:c>
      <x:c r="AA1524" s="38" t="n">
        <x:v>0.08575</x:v>
      </x:c>
      <x:c r="AB1524" s="38" t="n">
        <x:v>0.00017639999999999998</x:v>
      </x:c>
      <x:c r="AC1524" s="38" t="n">
        <x:v>0.9076073216</x:v>
      </x:c>
      <x:c r="AD1524" s="28" t="n">
        <x:v>0.3835351179432812</x:v>
      </x:c>
    </x:row>
    <x:row r="1525">
      <x:c r="A1525" s="32" t="n">
        <x:v>46195</x:v>
      </x:c>
      <x:c r="B1525" s="32" t="n">
        <x:v>46174</x:v>
      </x:c>
      <x:c r="C1525" t="str">
        <x:v>Jun 2026</x:v>
      </x:c>
      <x:c r="D1525" t="str">
        <x:v>Forecast</x:v>
      </x:c>
      <x:c r="E1525" t="str">
        <x:v>DB-101</x:v>
      </x:c>
      <x:c r="F1525" t="str">
        <x:v>AeroSip Bottle</x:v>
      </x:c>
      <x:c r="G1525" t="str">
        <x:v>One-time purchase</x:v>
      </x:c>
      <x:c r="H1525" t="str">
        <x:v>None</x:v>
      </x:c>
      <x:c r="I1525" t="str">
        <x:v>Active</x:v>
      </x:c>
      <x:c r="J1525" t="str">
        <x:v>Shopify DTC</x:v>
      </x:c>
      <x:c r="K1525" t="str">
        <x:v>Consumer</x:v>
      </x:c>
      <x:c r="L1525" t="str">
        <x:v>All Geographies</x:v>
      </x:c>
      <x:c r="M1525" s="34" t="n">
        <x:v>7296</x:v>
      </x:c>
      <x:c r="N1525" s="28" t="n">
        <x:v>0.034199999999999994</x:v>
      </x:c>
      <x:c r="O1525" s="34" t="n">
        <x:v>250</x:v>
      </x:c>
      <x:c r="P1525" s="34" t="n">
        <x:v>1</x:v>
      </x:c>
      <x:c r="Q1525" s="34" t="n">
        <x:v>250</x:v>
      </x:c>
      <x:c r="R1525" s="33" t="n">
        <x:v>29</x:v>
      </x:c>
      <x:c r="S1525" s="38" t="n">
        <x:v>7.25</x:v>
      </x:c>
      <x:c r="T1525" s="38" t="n">
        <x:v>0.58</x:v>
      </x:c>
      <x:c r="U1525" s="38" t="n">
        <x:v>0.30015</x:v>
      </x:c>
      <x:c r="V1525" s="38" t="n">
        <x:v>6.36985</x:v>
      </x:c>
      <x:c r="W1525" s="38" t="n">
        <x:v>2.7</x:v>
      </x:c>
      <x:c r="X1525" s="38" t="n">
        <x:v>0.18472565</x:v>
      </x:c>
      <x:c r="Y1525" s="38" t="n">
        <x:v>0</x:v>
      </x:c>
      <x:c r="Z1525" s="38" t="n">
        <x:v>1.0375</x:v>
      </x:c>
      <x:c r="AA1525" s="38" t="n">
        <x:v>0.4125</x:v>
      </x:c>
      <x:c r="AB1525" s="38" t="n">
        <x:v>0.009</x:v>
      </x:c>
      <x:c r="AC1525" s="38" t="n">
        <x:v>2.0261243499999995</x:v>
      </x:c>
      <x:c r="AD1525" s="28" t="n">
        <x:v>0.31808038650831644</x:v>
      </x:c>
    </x:row>
    <x:row r="1526">
      <x:c r="A1526" s="32" t="n">
        <x:v>46195</x:v>
      </x:c>
      <x:c r="B1526" s="32" t="n">
        <x:v>46174</x:v>
      </x:c>
      <x:c r="C1526" t="str">
        <x:v>Jun 2026</x:v>
      </x:c>
      <x:c r="D1526" t="str">
        <x:v>Forecast</x:v>
      </x:c>
      <x:c r="E1526" t="str">
        <x:v>DB-101</x:v>
      </x:c>
      <x:c r="F1526" t="str">
        <x:v>AeroSip Bottle</x:v>
      </x:c>
      <x:c r="G1526" t="str">
        <x:v>One-time purchase</x:v>
      </x:c>
      <x:c r="H1526" t="str">
        <x:v>None</x:v>
      </x:c>
      <x:c r="I1526" t="str">
        <x:v>Active</x:v>
      </x:c>
      <x:c r="J1526" t="str">
        <x:v>Amazon Marketplace</x:v>
      </x:c>
      <x:c r="K1526" t="str">
        <x:v>Marketplace Consumer</x:v>
      </x:c>
      <x:c r="L1526" t="str">
        <x:v>All Geographies</x:v>
      </x:c>
      <x:c r="M1526" s="34" t="n">
        <x:v>3648</x:v>
      </x:c>
      <x:c r="N1526" s="28" t="n">
        <x:v>0.040355999999999996</x:v>
      </x:c>
      <x:c r="O1526" s="34" t="n">
        <x:v>147</x:v>
      </x:c>
      <x:c r="P1526" s="34" t="n">
        <x:v>1</x:v>
      </x:c>
      <x:c r="Q1526" s="34" t="n">
        <x:v>147</x:v>
      </x:c>
      <x:c r="R1526" s="33" t="n">
        <x:v>29</x:v>
      </x:c>
      <x:c r="S1526" s="38" t="n">
        <x:v>4.263</x:v>
      </x:c>
      <x:c r="T1526" s="38" t="n">
        <x:v>0.21315</x:v>
      </x:c>
      <x:c r="U1526" s="38" t="n">
        <x:v>0.18224325</x:v>
      </x:c>
      <x:c r="V1526" s="38" t="n">
        <x:v>3.86760675</x:v>
      </x:c>
      <x:c r="W1526" s="38" t="n">
        <x:v>1.5876000000000001</x:v>
      </x:c>
      <x:c r="X1526" s="38" t="n">
        <x:v>0</x:v>
      </x:c>
      <x:c r="Y1526" s="38" t="n">
        <x:v>0.5801410125</x:v>
      </x:c>
      <x:c r="Z1526" s="38" t="n">
        <x:v>0.7644</x:v>
      </x:c>
      <x:c r="AA1526" s="38" t="n">
        <x:v>0.31605</x:v>
      </x:c>
      <x:c r="AB1526" s="38" t="n">
        <x:v>0.005292</x:v>
      </x:c>
      <x:c r="AC1526" s="38" t="n">
        <x:v>0.6141237375000003</x:v>
      </x:c>
      <x:c r="AD1526" s="28" t="n">
        <x:v>0.15878649955815705</x:v>
      </x:c>
    </x:row>
    <x:row r="1527">
      <x:c r="A1527" s="32" t="n">
        <x:v>46195</x:v>
      </x:c>
      <x:c r="B1527" s="32" t="n">
        <x:v>46174</x:v>
      </x:c>
      <x:c r="C1527" t="str">
        <x:v>Jun 2026</x:v>
      </x:c>
      <x:c r="D1527" t="str">
        <x:v>Forecast</x:v>
      </x:c>
      <x:c r="E1527" t="str">
        <x:v>DB-101</x:v>
      </x:c>
      <x:c r="F1527" t="str">
        <x:v>AeroSip Bottle</x:v>
      </x:c>
      <x:c r="G1527" t="str">
        <x:v>One-time purchase</x:v>
      </x:c>
      <x:c r="H1527" t="str">
        <x:v>None</x:v>
      </x:c>
      <x:c r="I1527" t="str">
        <x:v>Active</x:v>
      </x:c>
      <x:c r="J1527" t="str">
        <x:v>Wholesale</x:v>
      </x:c>
      <x:c r="K1527" t="str">
        <x:v>Retailer</x:v>
      </x:c>
      <x:c r="L1527" t="str">
        <x:v>All Geographies</x:v>
      </x:c>
      <x:c r="M1527" s="34" t="n">
        <x:v>2189</x:v>
      </x:c>
      <x:c r="N1527" s="28" t="n">
        <x:v>0.01881</x:v>
      </x:c>
      <x:c r="O1527" s="34" t="n">
        <x:v>41</x:v>
      </x:c>
      <x:c r="P1527" s="34" t="n">
        <x:v>1</x:v>
      </x:c>
      <x:c r="Q1527" s="34" t="n">
        <x:v>41</x:v>
      </x:c>
      <x:c r="R1527" s="33" t="n">
        <x:v>29</x:v>
      </x:c>
      <x:c r="S1527" s="38" t="n">
        <x:v>1.189</x:v>
      </x:c>
      <x:c r="T1527" s="38" t="n">
        <x:v>0.41615</x:v>
      </x:c>
      <x:c r="U1527" s="38" t="n">
        <x:v>0.034778250000000004</x:v>
      </x:c>
      <x:c r="V1527" s="38" t="n">
        <x:v>0.73807175</x:v>
      </x:c>
      <x:c r="W1527" s="38" t="n">
        <x:v>0.4428</x:v>
      </x:c>
      <x:c r="X1527" s="38" t="n">
        <x:v>0</x:v>
      </x:c>
      <x:c r="Y1527" s="38" t="n">
        <x:v>0</x:v>
      </x:c>
      <x:c r="Z1527" s="38" t="n">
        <x:v>0.0943</x:v>
      </x:c>
      <x:c r="AA1527" s="38" t="n">
        <x:v>0.03485</x:v>
      </x:c>
      <x:c r="AB1527" s="38" t="n">
        <x:v>0.0014759999999999999</x:v>
      </x:c>
      <x:c r="AC1527" s="38" t="n">
        <x:v>0.16464575</x:v>
      </x:c>
      <x:c r="AD1527" s="28" t="n">
        <x:v>0.22307553432305194</x:v>
      </x:c>
    </x:row>
    <x:row r="1528">
      <x:c r="A1528" s="32" t="n">
        <x:v>46195</x:v>
      </x:c>
      <x:c r="B1528" s="32" t="n">
        <x:v>46174</x:v>
      </x:c>
      <x:c r="C1528" t="str">
        <x:v>Jun 2026</x:v>
      </x:c>
      <x:c r="D1528" t="str">
        <x:v>Forecast</x:v>
      </x:c>
      <x:c r="E1528" t="str">
        <x:v>DB-101</x:v>
      </x:c>
      <x:c r="F1528" t="str">
        <x:v>AeroSip Bottle</x:v>
      </x:c>
      <x:c r="G1528" t="str">
        <x:v>One-time purchase</x:v>
      </x:c>
      <x:c r="H1528" t="str">
        <x:v>None</x:v>
      </x:c>
      <x:c r="I1528" t="str">
        <x:v>Active</x:v>
      </x:c>
      <x:c r="J1528" t="str">
        <x:v>TikTok Shop</x:v>
      </x:c>
      <x:c r="K1528" t="str">
        <x:v>Social Commerce</x:v>
      </x:c>
      <x:c r="L1528" t="str">
        <x:v>All Geographies</x:v>
      </x:c>
      <x:c r="M1528" s="34" t="n">
        <x:v>1459</x:v>
      </x:c>
      <x:c r="N1528" s="28" t="n">
        <x:v>0.043092</x:v>
      </x:c>
      <x:c r="O1528" s="34" t="n">
        <x:v>63</x:v>
      </x:c>
      <x:c r="P1528" s="34" t="n">
        <x:v>1</x:v>
      </x:c>
      <x:c r="Q1528" s="34" t="n">
        <x:v>63</x:v>
      </x:c>
      <x:c r="R1528" s="33" t="n">
        <x:v>29</x:v>
      </x:c>
      <x:c r="S1528" s="38" t="n">
        <x:v>1.827</x:v>
      </x:c>
      <x:c r="T1528" s="38" t="n">
        <x:v>0.21924</x:v>
      </x:c>
      <x:c r="U1528" s="38" t="n">
        <x:v>0.07234919999999999</x:v>
      </x:c>
      <x:c r="V1528" s="38" t="n">
        <x:v>1.5354108</x:v>
      </x:c>
      <x:c r="W1528" s="38" t="n">
        <x:v>0.6804000000000001</x:v>
      </x:c>
      <x:c r="X1528" s="38" t="n">
        <x:v>0.044526913200000004</x:v>
      </x:c>
      <x:c r="Y1528" s="38" t="n">
        <x:v>0.09212464799999999</x:v>
      </x:c>
      <x:c r="Z1528" s="38" t="n">
        <x:v>0.3213</x:v>
      </x:c>
      <x:c r="AA1528" s="38" t="n">
        <x:v>0.11025</x:v>
      </x:c>
      <x:c r="AB1528" s="38" t="n">
        <x:v>0.0022679999999999996</x:v>
      </x:c>
      <x:c r="AC1528" s="38" t="n">
        <x:v>0.2845412387999999</x:v>
      </x:c>
      <x:c r="AD1528" s="28" t="n">
        <x:v>0.18531928966501987</x:v>
      </x:c>
    </x:row>
    <x:row r="1529">
      <x:c r="A1529" s="32" t="n">
        <x:v>46195</x:v>
      </x:c>
      <x:c r="B1529" s="32" t="n">
        <x:v>46174</x:v>
      </x:c>
      <x:c r="C1529" t="str">
        <x:v>Jun 2026</x:v>
      </x:c>
      <x:c r="D1529" t="str">
        <x:v>Forecast</x:v>
      </x:c>
      <x:c r="E1529" t="str">
        <x:v>DB-102</x:v>
      </x:c>
      <x:c r="F1529" t="str">
        <x:v>GlowPatch Balm</x:v>
      </x:c>
      <x:c r="G1529" t="str">
        <x:v>Consumable repeat</x:v>
      </x:c>
      <x:c r="H1529" t="str">
        <x:v>None</x:v>
      </x:c>
      <x:c r="I1529" t="str">
        <x:v>Active</x:v>
      </x:c>
      <x:c r="J1529" t="str">
        <x:v>Shopify DTC</x:v>
      </x:c>
      <x:c r="K1529" t="str">
        <x:v>Consumer</x:v>
      </x:c>
      <x:c r="L1529" t="str">
        <x:v>All Geographies</x:v>
      </x:c>
      <x:c r="M1529" s="34" t="n">
        <x:v>5893</x:v>
      </x:c>
      <x:c r="N1529" s="28" t="n">
        <x:v>0.04248</x:v>
      </x:c>
      <x:c r="O1529" s="34" t="n">
        <x:v>250</x:v>
      </x:c>
      <x:c r="P1529" s="34" t="n">
        <x:v>1</x:v>
      </x:c>
      <x:c r="Q1529" s="34" t="n">
        <x:v>250</x:v>
      </x:c>
      <x:c r="R1529" s="33" t="n">
        <x:v>18</x:v>
      </x:c>
      <x:c r="S1529" s="38" t="n">
        <x:v>4.5</x:v>
      </x:c>
      <x:c r="T1529" s="38" t="n">
        <x:v>0.36</x:v>
      </x:c>
      <x:c r="U1529" s="38" t="n">
        <x:v>0.1035</x:v>
      </x:c>
      <x:c r="V1529" s="38" t="n">
        <x:v>4.036499999999999</x:v>
      </x:c>
      <x:c r="W1529" s="38" t="n">
        <x:v>1.3525</x:v>
      </x:c>
      <x:c r="X1529" s="38" t="n">
        <x:v>0.11705849999999998</x:v>
      </x:c>
      <x:c r="Y1529" s="38" t="n">
        <x:v>0</x:v>
      </x:c>
      <x:c r="Z1529" s="38" t="n">
        <x:v>1.0375</x:v>
      </x:c>
      <x:c r="AA1529" s="38" t="n">
        <x:v>0.4125</x:v>
      </x:c>
      <x:c r="AB1529" s="38" t="n">
        <x:v>0.0015</x:v>
      </x:c>
      <x:c r="AC1529" s="38" t="n">
        <x:v>1.1154414999999989</x:v>
      </x:c>
      <x:c r="AD1529" s="28" t="n">
        <x:v>0.2763387835996529</x:v>
      </x:c>
    </x:row>
    <x:row r="1530">
      <x:c r="A1530" s="32" t="n">
        <x:v>46195</x:v>
      </x:c>
      <x:c r="B1530" s="32" t="n">
        <x:v>46174</x:v>
      </x:c>
      <x:c r="C1530" t="str">
        <x:v>Jun 2026</x:v>
      </x:c>
      <x:c r="D1530" t="str">
        <x:v>Forecast</x:v>
      </x:c>
      <x:c r="E1530" t="str">
        <x:v>DB-102</x:v>
      </x:c>
      <x:c r="F1530" t="str">
        <x:v>GlowPatch Balm</x:v>
      </x:c>
      <x:c r="G1530" t="str">
        <x:v>Consumable repeat</x:v>
      </x:c>
      <x:c r="H1530" t="str">
        <x:v>None</x:v>
      </x:c>
      <x:c r="I1530" t="str">
        <x:v>Active</x:v>
      </x:c>
      <x:c r="J1530" t="str">
        <x:v>Amazon Marketplace</x:v>
      </x:c>
      <x:c r="K1530" t="str">
        <x:v>Marketplace Consumer</x:v>
      </x:c>
      <x:c r="L1530" t="str">
        <x:v>All Geographies</x:v>
      </x:c>
      <x:c r="M1530" s="34" t="n">
        <x:v>2946</x:v>
      </x:c>
      <x:c r="N1530" s="28" t="n">
        <x:v>0.050126399999999995</x:v>
      </x:c>
      <x:c r="O1530" s="34" t="n">
        <x:v>148</x:v>
      </x:c>
      <x:c r="P1530" s="34" t="n">
        <x:v>1</x:v>
      </x:c>
      <x:c r="Q1530" s="34" t="n">
        <x:v>148</x:v>
      </x:c>
      <x:c r="R1530" s="33" t="n">
        <x:v>18</x:v>
      </x:c>
      <x:c r="S1530" s="38" t="n">
        <x:v>2.664</x:v>
      </x:c>
      <x:c r="T1530" s="38" t="n">
        <x:v>0.1332</x:v>
      </x:c>
      <x:c r="U1530" s="38" t="n">
        <x:v>0.06327</x:v>
      </x:c>
      <x:c r="V1530" s="38" t="n">
        <x:v>2.46753</x:v>
      </x:c>
      <x:c r="W1530" s="38" t="n">
        <x:v>0.8006800000000001</x:v>
      </x:c>
      <x:c r="X1530" s="38" t="n">
        <x:v>0</x:v>
      </x:c>
      <x:c r="Y1530" s="38" t="n">
        <x:v>0.3701295</x:v>
      </x:c>
      <x:c r="Z1530" s="38" t="n">
        <x:v>0.7696000000000001</x:v>
      </x:c>
      <x:c r="AA1530" s="38" t="n">
        <x:v>0.3182</x:v>
      </x:c>
      <x:c r="AB1530" s="38" t="n">
        <x:v>0.0008879999999999999</x:v>
      </x:c>
      <x:c r="AC1530" s="38" t="n">
        <x:v>0.2080324999999999</x:v>
      </x:c>
      <x:c r="AD1530" s="28" t="n">
        <x:v>0.084307992202729</x:v>
      </x:c>
    </x:row>
    <x:row r="1531">
      <x:c r="A1531" s="32" t="n">
        <x:v>46195</x:v>
      </x:c>
      <x:c r="B1531" s="32" t="n">
        <x:v>46174</x:v>
      </x:c>
      <x:c r="C1531" t="str">
        <x:v>Jun 2026</x:v>
      </x:c>
      <x:c r="D1531" t="str">
        <x:v>Forecast</x:v>
      </x:c>
      <x:c r="E1531" t="str">
        <x:v>DB-102</x:v>
      </x:c>
      <x:c r="F1531" t="str">
        <x:v>GlowPatch Balm</x:v>
      </x:c>
      <x:c r="G1531" t="str">
        <x:v>Consumable repeat</x:v>
      </x:c>
      <x:c r="H1531" t="str">
        <x:v>None</x:v>
      </x:c>
      <x:c r="I1531" t="str">
        <x:v>Active</x:v>
      </x:c>
      <x:c r="J1531" t="str">
        <x:v>Wholesale</x:v>
      </x:c>
      <x:c r="K1531" t="str">
        <x:v>Retailer</x:v>
      </x:c>
      <x:c r="L1531" t="str">
        <x:v>All Geographies</x:v>
      </x:c>
      <x:c r="M1531" s="34" t="n">
        <x:v>1768</x:v>
      </x:c>
      <x:c r="N1531" s="28" t="n">
        <x:v>0.023364</x:v>
      </x:c>
      <x:c r="O1531" s="34" t="n">
        <x:v>41</x:v>
      </x:c>
      <x:c r="P1531" s="34" t="n">
        <x:v>1</x:v>
      </x:c>
      <x:c r="Q1531" s="34" t="n">
        <x:v>41</x:v>
      </x:c>
      <x:c r="R1531" s="33" t="n">
        <x:v>18</x:v>
      </x:c>
      <x:c r="S1531" s="38" t="n">
        <x:v>0.738</x:v>
      </x:c>
      <x:c r="T1531" s="38" t="n">
        <x:v>0.2583</x:v>
      </x:c>
      <x:c r="U1531" s="38" t="n">
        <x:v>0.011992500000000001</x:v>
      </x:c>
      <x:c r="V1531" s="38" t="n">
        <x:v>0.4677075</x:v>
      </x:c>
      <x:c r="W1531" s="38" t="n">
        <x:v>0.22181</x:v>
      </x:c>
      <x:c r="X1531" s="38" t="n">
        <x:v>0</x:v>
      </x:c>
      <x:c r="Y1531" s="38" t="n">
        <x:v>0</x:v>
      </x:c>
      <x:c r="Z1531" s="38" t="n">
        <x:v>0.0943</x:v>
      </x:c>
      <x:c r="AA1531" s="38" t="n">
        <x:v>0.03485</x:v>
      </x:c>
      <x:c r="AB1531" s="38" t="n">
        <x:v>0.000246</x:v>
      </x:c>
      <x:c r="AC1531" s="38" t="n">
        <x:v>0.11650150000000001</x:v>
      </x:c>
      <x:c r="AD1531" s="28" t="n">
        <x:v>0.2490905106289722</x:v>
      </x:c>
    </x:row>
    <x:row r="1532">
      <x:c r="A1532" s="32" t="n">
        <x:v>46195</x:v>
      </x:c>
      <x:c r="B1532" s="32" t="n">
        <x:v>46174</x:v>
      </x:c>
      <x:c r="C1532" t="str">
        <x:v>Jun 2026</x:v>
      </x:c>
      <x:c r="D1532" t="str">
        <x:v>Forecast</x:v>
      </x:c>
      <x:c r="E1532" t="str">
        <x:v>DB-102</x:v>
      </x:c>
      <x:c r="F1532" t="str">
        <x:v>GlowPatch Balm</x:v>
      </x:c>
      <x:c r="G1532" t="str">
        <x:v>Consumable repeat</x:v>
      </x:c>
      <x:c r="H1532" t="str">
        <x:v>None</x:v>
      </x:c>
      <x:c r="I1532" t="str">
        <x:v>Active</x:v>
      </x:c>
      <x:c r="J1532" t="str">
        <x:v>TikTok Shop</x:v>
      </x:c>
      <x:c r="K1532" t="str">
        <x:v>Social Commerce</x:v>
      </x:c>
      <x:c r="L1532" t="str">
        <x:v>All Geographies</x:v>
      </x:c>
      <x:c r="M1532" s="34" t="n">
        <x:v>1179</x:v>
      </x:c>
      <x:c r="N1532" s="28" t="n">
        <x:v>0.0535248</x:v>
      </x:c>
      <x:c r="O1532" s="34" t="n">
        <x:v>63</x:v>
      </x:c>
      <x:c r="P1532" s="34" t="n">
        <x:v>1</x:v>
      </x:c>
      <x:c r="Q1532" s="34" t="n">
        <x:v>63</x:v>
      </x:c>
      <x:c r="R1532" s="33" t="n">
        <x:v>18</x:v>
      </x:c>
      <x:c r="S1532" s="38" t="n">
        <x:v>1.134</x:v>
      </x:c>
      <x:c r="T1532" s="38" t="n">
        <x:v>0.13607999999999998</x:v>
      </x:c>
      <x:c r="U1532" s="38" t="n">
        <x:v>0.024947999999999998</x:v>
      </x:c>
      <x:c r="V1532" s="38" t="n">
        <x:v>0.972972</x:v>
      </x:c>
      <x:c r="W1532" s="38" t="n">
        <x:v>0.34082999999999997</x:v>
      </x:c>
      <x:c r="X1532" s="38" t="n">
        <x:v>0.028216188</x:v>
      </x:c>
      <x:c r="Y1532" s="38" t="n">
        <x:v>0.05837832</x:v>
      </x:c>
      <x:c r="Z1532" s="38" t="n">
        <x:v>0.3213</x:v>
      </x:c>
      <x:c r="AA1532" s="38" t="n">
        <x:v>0.11025</x:v>
      </x:c>
      <x:c r="AB1532" s="38" t="n">
        <x:v>0.000378</x:v>
      </x:c>
      <x:c r="AC1532" s="38" t="n">
        <x:v>0.11361949199999999</x:v>
      </x:c>
      <x:c r="AD1532" s="28" t="n">
        <x:v>0.11677570577570577</x:v>
      </x:c>
    </x:row>
    <x:row r="1533">
      <x:c r="A1533" s="32" t="n">
        <x:v>46195</x:v>
      </x:c>
      <x:c r="B1533" s="32" t="n">
        <x:v>46174</x:v>
      </x:c>
      <x:c r="C1533" t="str">
        <x:v>Jun 2026</x:v>
      </x:c>
      <x:c r="D1533" t="str">
        <x:v>Forecast</x:v>
      </x:c>
      <x:c r="E1533" t="str">
        <x:v>DB-103</x:v>
      </x:c>
      <x:c r="F1533" t="str">
        <x:v>EmberTrail Camp Mug</x:v>
      </x:c>
      <x:c r="G1533" t="str">
        <x:v>One-time purchase</x:v>
      </x:c>
      <x:c r="H1533" t="str">
        <x:v>Winter peak</x:v>
      </x:c>
      <x:c r="I1533" t="str">
        <x:v>Active</x:v>
      </x:c>
      <x:c r="J1533" t="str">
        <x:v>Shopify DTC</x:v>
      </x:c>
      <x:c r="K1533" t="str">
        <x:v>Consumer</x:v>
      </x:c>
      <x:c r="L1533" t="str">
        <x:v>All Geographies</x:v>
      </x:c>
      <x:c r="M1533" s="34" t="n">
        <x:v>3788</x:v>
      </x:c>
      <x:c r="N1533" s="28" t="n">
        <x:v>0.0324</x:v>
      </x:c>
      <x:c r="O1533" s="34" t="n">
        <x:v>123</x:v>
      </x:c>
      <x:c r="P1533" s="34" t="n">
        <x:v>1</x:v>
      </x:c>
      <x:c r="Q1533" s="34" t="n">
        <x:v>123</x:v>
      </x:c>
      <x:c r="R1533" s="33" t="n">
        <x:v>34</x:v>
      </x:c>
      <x:c r="S1533" s="38" t="n">
        <x:v>4.182</x:v>
      </x:c>
      <x:c r="T1533" s="38" t="n">
        <x:v>0.33456</x:v>
      </x:c>
      <x:c r="U1533" s="38" t="n">
        <x:v>0.21160920000000003</x:v>
      </x:c>
      <x:c r="V1533" s="38" t="n">
        <x:v>3.6358308000000004</x:v>
      </x:c>
      <x:c r="W1533" s="38" t="n">
        <x:v>1.68141</x:v>
      </x:c>
      <x:c r="X1533" s="38" t="n">
        <x:v>0.10543909320000001</x:v>
      </x:c>
      <x:c r="Y1533" s="38" t="n">
        <x:v>0</x:v>
      </x:c>
      <x:c r="Z1533" s="38" t="n">
        <x:v>0.5104500000000001</x:v>
      </x:c>
      <x:c r="AA1533" s="38" t="n">
        <x:v>0.20295</x:v>
      </x:c>
      <x:c r="AB1533" s="38" t="n">
        <x:v>0.006888</x:v>
      </x:c>
      <x:c r="AC1533" s="38" t="n">
        <x:v>1.1286937068000003</x:v>
      </x:c>
      <x:c r="AD1533" s="28" t="n">
        <x:v>0.3104362575948254</x:v>
      </x:c>
    </x:row>
    <x:row r="1534">
      <x:c r="A1534" s="32" t="n">
        <x:v>46195</x:v>
      </x:c>
      <x:c r="B1534" s="32" t="n">
        <x:v>46174</x:v>
      </x:c>
      <x:c r="C1534" t="str">
        <x:v>Jun 2026</x:v>
      </x:c>
      <x:c r="D1534" t="str">
        <x:v>Forecast</x:v>
      </x:c>
      <x:c r="E1534" t="str">
        <x:v>DB-103</x:v>
      </x:c>
      <x:c r="F1534" t="str">
        <x:v>EmberTrail Camp Mug</x:v>
      </x:c>
      <x:c r="G1534" t="str">
        <x:v>One-time purchase</x:v>
      </x:c>
      <x:c r="H1534" t="str">
        <x:v>Winter peak</x:v>
      </x:c>
      <x:c r="I1534" t="str">
        <x:v>Active</x:v>
      </x:c>
      <x:c r="J1534" t="str">
        <x:v>Amazon Marketplace</x:v>
      </x:c>
      <x:c r="K1534" t="str">
        <x:v>Marketplace Consumer</x:v>
      </x:c>
      <x:c r="L1534" t="str">
        <x:v>All Geographies</x:v>
      </x:c>
      <x:c r="M1534" s="34" t="n">
        <x:v>1894</x:v>
      </x:c>
      <x:c r="N1534" s="28" t="n">
        <x:v>0.038231999999999995</x:v>
      </x:c>
      <x:c r="O1534" s="34" t="n">
        <x:v>72</x:v>
      </x:c>
      <x:c r="P1534" s="34" t="n">
        <x:v>1</x:v>
      </x:c>
      <x:c r="Q1534" s="34" t="n">
        <x:v>72</x:v>
      </x:c>
      <x:c r="R1534" s="33" t="n">
        <x:v>34</x:v>
      </x:c>
      <x:c r="S1534" s="38" t="n">
        <x:v>2.448</x:v>
      </x:c>
      <x:c r="T1534" s="38" t="n">
        <x:v>0.12240000000000001</x:v>
      </x:c>
      <x:c r="U1534" s="38" t="n">
        <x:v>0.127908</x:v>
      </x:c>
      <x:c r="V1534" s="38" t="n">
        <x:v>2.197692</x:v>
      </x:c>
      <x:c r="W1534" s="38" t="n">
        <x:v>0.98424</x:v>
      </x:c>
      <x:c r="X1534" s="38" t="n">
        <x:v>0</x:v>
      </x:c>
      <x:c r="Y1534" s="38" t="n">
        <x:v>0.3296538</x:v>
      </x:c>
      <x:c r="Z1534" s="38" t="n">
        <x:v>0.3744</x:v>
      </x:c>
      <x:c r="AA1534" s="38" t="n">
        <x:v>0.1548</x:v>
      </x:c>
      <x:c r="AB1534" s="38" t="n">
        <x:v>0.004032</x:v>
      </x:c>
      <x:c r="AC1534" s="38" t="n">
        <x:v>0.35056619999999994</x:v>
      </x:c>
      <x:c r="AD1534" s="28" t="n">
        <x:v>0.1595156191131423</x:v>
      </x:c>
    </x:row>
    <x:row r="1535">
      <x:c r="A1535" s="32" t="n">
        <x:v>46195</x:v>
      </x:c>
      <x:c r="B1535" s="32" t="n">
        <x:v>46174</x:v>
      </x:c>
      <x:c r="C1535" t="str">
        <x:v>Jun 2026</x:v>
      </x:c>
      <x:c r="D1535" t="str">
        <x:v>Forecast</x:v>
      </x:c>
      <x:c r="E1535" t="str">
        <x:v>DB-103</x:v>
      </x:c>
      <x:c r="F1535" t="str">
        <x:v>EmberTrail Camp Mug</x:v>
      </x:c>
      <x:c r="G1535" t="str">
        <x:v>One-time purchase</x:v>
      </x:c>
      <x:c r="H1535" t="str">
        <x:v>Winter peak</x:v>
      </x:c>
      <x:c r="I1535" t="str">
        <x:v>Active</x:v>
      </x:c>
      <x:c r="J1535" t="str">
        <x:v>Wholesale</x:v>
      </x:c>
      <x:c r="K1535" t="str">
        <x:v>Retailer</x:v>
      </x:c>
      <x:c r="L1535" t="str">
        <x:v>All Geographies</x:v>
      </x:c>
      <x:c r="M1535" s="34" t="n">
        <x:v>1136</x:v>
      </x:c>
      <x:c r="N1535" s="28" t="n">
        <x:v>0.017820000000000003</x:v>
      </x:c>
      <x:c r="O1535" s="34" t="n">
        <x:v>20</x:v>
      </x:c>
      <x:c r="P1535" s="34" t="n">
        <x:v>1</x:v>
      </x:c>
      <x:c r="Q1535" s="34" t="n">
        <x:v>20</x:v>
      </x:c>
      <x:c r="R1535" s="33" t="n">
        <x:v>34</x:v>
      </x:c>
      <x:c r="S1535" s="38" t="n">
        <x:v>0.68</x:v>
      </x:c>
      <x:c r="T1535" s="38" t="n">
        <x:v>0.238</x:v>
      </x:c>
      <x:c r="U1535" s="38" t="n">
        <x:v>0.024310000000000002</x:v>
      </x:c>
      <x:c r="V1535" s="38" t="n">
        <x:v>0.41769000000000006</x:v>
      </x:c>
      <x:c r="W1535" s="38" t="n">
        <x:v>0.2734</x:v>
      </x:c>
      <x:c r="X1535" s="38" t="n">
        <x:v>0</x:v>
      </x:c>
      <x:c r="Y1535" s="38" t="n">
        <x:v>0</x:v>
      </x:c>
      <x:c r="Z1535" s="38" t="n">
        <x:v>0.046</x:v>
      </x:c>
      <x:c r="AA1535" s="38" t="n">
        <x:v>0.017</x:v>
      </x:c>
      <x:c r="AB1535" s="38" t="n">
        <x:v>0.0011200000000000001</x:v>
      </x:c>
      <x:c r="AC1535" s="38" t="n">
        <x:v>0.08017000000000009</x:v>
      </x:c>
      <x:c r="AD1535" s="28" t="n">
        <x:v>0.19193660370130977</x:v>
      </x:c>
    </x:row>
    <x:row r="1536">
      <x:c r="A1536" s="32" t="n">
        <x:v>46195</x:v>
      </x:c>
      <x:c r="B1536" s="32" t="n">
        <x:v>46174</x:v>
      </x:c>
      <x:c r="C1536" t="str">
        <x:v>Jun 2026</x:v>
      </x:c>
      <x:c r="D1536" t="str">
        <x:v>Forecast</x:v>
      </x:c>
      <x:c r="E1536" t="str">
        <x:v>DB-103</x:v>
      </x:c>
      <x:c r="F1536" t="str">
        <x:v>EmberTrail Camp Mug</x:v>
      </x:c>
      <x:c r="G1536" t="str">
        <x:v>One-time purchase</x:v>
      </x:c>
      <x:c r="H1536" t="str">
        <x:v>Winter peak</x:v>
      </x:c>
      <x:c r="I1536" t="str">
        <x:v>Active</x:v>
      </x:c>
      <x:c r="J1536" t="str">
        <x:v>TikTok Shop</x:v>
      </x:c>
      <x:c r="K1536" t="str">
        <x:v>Social Commerce</x:v>
      </x:c>
      <x:c r="L1536" t="str">
        <x:v>All Geographies</x:v>
      </x:c>
      <x:c r="M1536" s="34" t="n">
        <x:v>758</x:v>
      </x:c>
      <x:c r="N1536" s="28" t="n">
        <x:v>0.040824</x:v>
      </x:c>
      <x:c r="O1536" s="34" t="n">
        <x:v>31</x:v>
      </x:c>
      <x:c r="P1536" s="34" t="n">
        <x:v>1</x:v>
      </x:c>
      <x:c r="Q1536" s="34" t="n">
        <x:v>31</x:v>
      </x:c>
      <x:c r="R1536" s="33" t="n">
        <x:v>34</x:v>
      </x:c>
      <x:c r="S1536" s="38" t="n">
        <x:v>1.054</x:v>
      </x:c>
      <x:c r="T1536" s="38" t="n">
        <x:v>0.12648</x:v>
      </x:c>
      <x:c r="U1536" s="38" t="n">
        <x:v>0.0510136</x:v>
      </x:c>
      <x:c r="V1536" s="38" t="n">
        <x:v>0.8765064</x:v>
      </x:c>
      <x:c r="W1536" s="38" t="n">
        <x:v>0.42377</x:v>
      </x:c>
      <x:c r="X1536" s="38" t="n">
        <x:v>0.0254186856</x:v>
      </x:c>
      <x:c r="Y1536" s="38" t="n">
        <x:v>0.052590384</x:v>
      </x:c>
      <x:c r="Z1536" s="38" t="n">
        <x:v>0.1581</x:v>
      </x:c>
      <x:c r="AA1536" s="38" t="n">
        <x:v>0.05425</x:v>
      </x:c>
      <x:c r="AB1536" s="38" t="n">
        <x:v>0.001736</x:v>
      </x:c>
      <x:c r="AC1536" s="38" t="n">
        <x:v>0.1606413304000001</x:v>
      </x:c>
      <x:c r="AD1536" s="28" t="n">
        <x:v>0.18327456639221354</x:v>
      </x:c>
    </x:row>
    <x:row r="1537">
      <x:c r="A1537" s="32" t="n">
        <x:v>46195</x:v>
      </x:c>
      <x:c r="B1537" s="32" t="n">
        <x:v>46174</x:v>
      </x:c>
      <x:c r="C1537" t="str">
        <x:v>Jun 2026</x:v>
      </x:c>
      <x:c r="D1537" t="str">
        <x:v>Forecast</x:v>
      </x:c>
      <x:c r="E1537" t="str">
        <x:v>DB-104</x:v>
      </x:c>
      <x:c r="F1537" t="str">
        <x:v>SunNest Cooling Towel</x:v>
      </x:c>
      <x:c r="G1537" t="str">
        <x:v>Consumable repeat</x:v>
      </x:c>
      <x:c r="H1537" t="str">
        <x:v>Summer peak</x:v>
      </x:c>
      <x:c r="I1537" t="str">
        <x:v>Active</x:v>
      </x:c>
      <x:c r="J1537" t="str">
        <x:v>Shopify DTC</x:v>
      </x:c>
      <x:c r="K1537" t="str">
        <x:v>Consumer</x:v>
      </x:c>
      <x:c r="L1537" t="str">
        <x:v>All Geographies</x:v>
      </x:c>
      <x:c r="M1537" s="34" t="n">
        <x:v>6917</x:v>
      </x:c>
      <x:c r="N1537" s="28" t="n">
        <x:v>0.03312</x:v>
      </x:c>
      <x:c r="O1537" s="34" t="n">
        <x:v>229</x:v>
      </x:c>
      <x:c r="P1537" s="34" t="n">
        <x:v>1</x:v>
      </x:c>
      <x:c r="Q1537" s="34" t="n">
        <x:v>229</x:v>
      </x:c>
      <x:c r="R1537" s="33" t="n">
        <x:v>42</x:v>
      </x:c>
      <x:c r="S1537" s="38" t="n">
        <x:v>9.618</x:v>
      </x:c>
      <x:c r="T1537" s="38" t="n">
        <x:v>0.76944</x:v>
      </x:c>
      <x:c r="U1537" s="38" t="n">
        <x:v>0.44242800000000004</x:v>
      </x:c>
      <x:c r="V1537" s="38" t="n">
        <x:v>8.406132000000001</x:v>
      </x:c>
      <x:c r="W1537" s="38" t="n">
        <x:v>3.4464500000000005</x:v>
      </x:c>
      <x:c r="X1537" s="38" t="n">
        <x:v>0.24377782800000006</x:v>
      </x:c>
      <x:c r="Y1537" s="38" t="n">
        <x:v>0</x:v>
      </x:c>
      <x:c r="Z1537" s="38" t="n">
        <x:v>0.9503500000000001</x:v>
      </x:c>
      <x:c r="AA1537" s="38" t="n">
        <x:v>0.37784999999999996</x:v>
      </x:c>
      <x:c r="AB1537" s="38" t="n">
        <x:v>0.006412</x:v>
      </x:c>
      <x:c r="AC1537" s="38" t="n">
        <x:v>3.3812921720000007</x:v>
      </x:c>
      <x:c r="AD1537" s="28" t="n">
        <x:v>0.40224114634412117</x:v>
      </x:c>
    </x:row>
    <x:row r="1538">
      <x:c r="A1538" s="32" t="n">
        <x:v>46195</x:v>
      </x:c>
      <x:c r="B1538" s="32" t="n">
        <x:v>46174</x:v>
      </x:c>
      <x:c r="C1538" t="str">
        <x:v>Jun 2026</x:v>
      </x:c>
      <x:c r="D1538" t="str">
        <x:v>Forecast</x:v>
      </x:c>
      <x:c r="E1538" t="str">
        <x:v>DB-104</x:v>
      </x:c>
      <x:c r="F1538" t="str">
        <x:v>SunNest Cooling Towel</x:v>
      </x:c>
      <x:c r="G1538" t="str">
        <x:v>Consumable repeat</x:v>
      </x:c>
      <x:c r="H1538" t="str">
        <x:v>Summer peak</x:v>
      </x:c>
      <x:c r="I1538" t="str">
        <x:v>Active</x:v>
      </x:c>
      <x:c r="J1538" t="str">
        <x:v>Amazon Marketplace</x:v>
      </x:c>
      <x:c r="K1538" t="str">
        <x:v>Marketplace Consumer</x:v>
      </x:c>
      <x:c r="L1538" t="str">
        <x:v>All Geographies</x:v>
      </x:c>
      <x:c r="M1538" s="34" t="n">
        <x:v>3458</x:v>
      </x:c>
      <x:c r="N1538" s="28" t="n">
        <x:v>0.0390816</x:v>
      </x:c>
      <x:c r="O1538" s="34" t="n">
        <x:v>135</x:v>
      </x:c>
      <x:c r="P1538" s="34" t="n">
        <x:v>1</x:v>
      </x:c>
      <x:c r="Q1538" s="34" t="n">
        <x:v>135</x:v>
      </x:c>
      <x:c r="R1538" s="33" t="n">
        <x:v>42</x:v>
      </x:c>
      <x:c r="S1538" s="38" t="n">
        <x:v>5.67</x:v>
      </x:c>
      <x:c r="T1538" s="38" t="n">
        <x:v>0.28350000000000003</x:v>
      </x:c>
      <x:c r="U1538" s="38" t="n">
        <x:v>0.269325</x:v>
      </x:c>
      <x:c r="V1538" s="38" t="n">
        <x:v>5.117175</x:v>
      </x:c>
      <x:c r="W1538" s="38" t="n">
        <x:v>2.03175</x:v>
      </x:c>
      <x:c r="X1538" s="38" t="n">
        <x:v>0</x:v>
      </x:c>
      <x:c r="Y1538" s="38" t="n">
        <x:v>0.76757625</x:v>
      </x:c>
      <x:c r="Z1538" s="38" t="n">
        <x:v>0.702</x:v>
      </x:c>
      <x:c r="AA1538" s="38" t="n">
        <x:v>0.29025</x:v>
      </x:c>
      <x:c r="AB1538" s="38" t="n">
        <x:v>0.00378</x:v>
      </x:c>
      <x:c r="AC1538" s="38" t="n">
        <x:v>1.3218187499999998</x:v>
      </x:c>
      <x:c r="AD1538" s="28" t="n">
        <x:v>0.2583102493074792</x:v>
      </x:c>
    </x:row>
    <x:row r="1539">
      <x:c r="A1539" s="32" t="n">
        <x:v>46195</x:v>
      </x:c>
      <x:c r="B1539" s="32" t="n">
        <x:v>46174</x:v>
      </x:c>
      <x:c r="C1539" t="str">
        <x:v>Jun 2026</x:v>
      </x:c>
      <x:c r="D1539" t="str">
        <x:v>Forecast</x:v>
      </x:c>
      <x:c r="E1539" t="str">
        <x:v>DB-104</x:v>
      </x:c>
      <x:c r="F1539" t="str">
        <x:v>SunNest Cooling Towel</x:v>
      </x:c>
      <x:c r="G1539" t="str">
        <x:v>Consumable repeat</x:v>
      </x:c>
      <x:c r="H1539" t="str">
        <x:v>Summer peak</x:v>
      </x:c>
      <x:c r="I1539" t="str">
        <x:v>Active</x:v>
      </x:c>
      <x:c r="J1539" t="str">
        <x:v>Wholesale</x:v>
      </x:c>
      <x:c r="K1539" t="str">
        <x:v>Retailer</x:v>
      </x:c>
      <x:c r="L1539" t="str">
        <x:v>All Geographies</x:v>
      </x:c>
      <x:c r="M1539" s="34" t="n">
        <x:v>2075</x:v>
      </x:c>
      <x:c r="N1539" s="28" t="n">
        <x:v>0.018216000000000003</x:v>
      </x:c>
      <x:c r="O1539" s="34" t="n">
        <x:v>38</x:v>
      </x:c>
      <x:c r="P1539" s="34" t="n">
        <x:v>1</x:v>
      </x:c>
      <x:c r="Q1539" s="34" t="n">
        <x:v>38</x:v>
      </x:c>
      <x:c r="R1539" s="33" t="n">
        <x:v>42</x:v>
      </x:c>
      <x:c r="S1539" s="38" t="n">
        <x:v>1.596</x:v>
      </x:c>
      <x:c r="T1539" s="38" t="n">
        <x:v>0.5586</x:v>
      </x:c>
      <x:c r="U1539" s="38" t="n">
        <x:v>0.051870000000000006</x:v>
      </x:c>
      <x:c r="V1539" s="38" t="n">
        <x:v>0.9855300000000001</x:v>
      </x:c>
      <x:c r="W1539" s="38" t="n">
        <x:v>0.5719</x:v>
      </x:c>
      <x:c r="X1539" s="38" t="n">
        <x:v>0</x:v>
      </x:c>
      <x:c r="Y1539" s="38" t="n">
        <x:v>0</x:v>
      </x:c>
      <x:c r="Z1539" s="38" t="n">
        <x:v>0.08739999999999999</x:v>
      </x:c>
      <x:c r="AA1539" s="38" t="n">
        <x:v>0.032299999999999995</x:v>
      </x:c>
      <x:c r="AB1539" s="38" t="n">
        <x:v>0.0010639999999999998</x:v>
      </x:c>
      <x:c r="AC1539" s="38" t="n">
        <x:v>0.2928660000000002</x:v>
      </x:c>
      <x:c r="AD1539" s="28" t="n">
        <x:v>0.29716599190283416</x:v>
      </x:c>
    </x:row>
    <x:row r="1540">
      <x:c r="A1540" s="32" t="n">
        <x:v>46195</x:v>
      </x:c>
      <x:c r="B1540" s="32" t="n">
        <x:v>46174</x:v>
      </x:c>
      <x:c r="C1540" t="str">
        <x:v>Jun 2026</x:v>
      </x:c>
      <x:c r="D1540" t="str">
        <x:v>Forecast</x:v>
      </x:c>
      <x:c r="E1540" t="str">
        <x:v>DB-104</x:v>
      </x:c>
      <x:c r="F1540" t="str">
        <x:v>SunNest Cooling Towel</x:v>
      </x:c>
      <x:c r="G1540" t="str">
        <x:v>Consumable repeat</x:v>
      </x:c>
      <x:c r="H1540" t="str">
        <x:v>Summer peak</x:v>
      </x:c>
      <x:c r="I1540" t="str">
        <x:v>Active</x:v>
      </x:c>
      <x:c r="J1540" t="str">
        <x:v>TikTok Shop</x:v>
      </x:c>
      <x:c r="K1540" t="str">
        <x:v>Social Commerce</x:v>
      </x:c>
      <x:c r="L1540" t="str">
        <x:v>All Geographies</x:v>
      </x:c>
      <x:c r="M1540" s="34" t="n">
        <x:v>1383</x:v>
      </x:c>
      <x:c r="N1540" s="28" t="n">
        <x:v>0.0417312</x:v>
      </x:c>
      <x:c r="O1540" s="34" t="n">
        <x:v>58</x:v>
      </x:c>
      <x:c r="P1540" s="34" t="n">
        <x:v>1</x:v>
      </x:c>
      <x:c r="Q1540" s="34" t="n">
        <x:v>58</x:v>
      </x:c>
      <x:c r="R1540" s="33" t="n">
        <x:v>42</x:v>
      </x:c>
      <x:c r="S1540" s="38" t="n">
        <x:v>2.436</x:v>
      </x:c>
      <x:c r="T1540" s="38" t="n">
        <x:v>0.29231999999999997</x:v>
      </x:c>
      <x:c r="U1540" s="38" t="n">
        <x:v>0.107184</x:v>
      </x:c>
      <x:c r="V1540" s="38" t="n">
        <x:v>2.0364959999999996</x:v>
      </x:c>
      <x:c r="W1540" s="38" t="n">
        <x:v>0.8729000000000001</x:v>
      </x:c>
      <x:c r="X1540" s="38" t="n">
        <x:v>0.05905838399999999</x:v>
      </x:c>
      <x:c r="Y1540" s="38" t="n">
        <x:v>0.12218975999999998</x:v>
      </x:c>
      <x:c r="Z1540" s="38" t="n">
        <x:v>0.29579999999999995</x:v>
      </x:c>
      <x:c r="AA1540" s="38" t="n">
        <x:v>0.1015</x:v>
      </x:c>
      <x:c r="AB1540" s="38" t="n">
        <x:v>0.0016239999999999998</x:v>
      </x:c>
      <x:c r="AC1540" s="38" t="n">
        <x:v>0.5834238559999997</x:v>
      </x:c>
      <x:c r="AD1540" s="28" t="n">
        <x:v>0.28648416495784906</x:v>
      </x:c>
    </x:row>
    <x:row r="1541">
      <x:c r="A1541" s="32" t="n">
        <x:v>46195</x:v>
      </x:c>
      <x:c r="B1541" s="32" t="n">
        <x:v>46174</x:v>
      </x:c>
      <x:c r="C1541" t="str">
        <x:v>Jun 2026</x:v>
      </x:c>
      <x:c r="D1541" t="str">
        <x:v>Forecast</x:v>
      </x:c>
      <x:c r="E1541" t="str">
        <x:v>DB-105</x:v>
      </x:c>
      <x:c r="F1541" t="str">
        <x:v>DreamFuel Refill Pack</x:v>
      </x:c>
      <x:c r="G1541" t="str">
        <x:v>Subscription</x:v>
      </x:c>
      <x:c r="H1541" t="str">
        <x:v>None</x:v>
      </x:c>
      <x:c r="I1541" t="str">
        <x:v>Active</x:v>
      </x:c>
      <x:c r="J1541" t="str">
        <x:v>Shopify DTC</x:v>
      </x:c>
      <x:c r="K1541" t="str">
        <x:v>Consumer</x:v>
      </x:c>
      <x:c r="L1541" t="str">
        <x:v>All Geographies</x:v>
      </x:c>
      <x:c r="M1541" s="34" t="n">
        <x:v>5051</x:v>
      </x:c>
      <x:c r="N1541" s="28" t="n">
        <x:v>0.03888</x:v>
      </x:c>
      <x:c r="O1541" s="34" t="n">
        <x:v>196</x:v>
      </x:c>
      <x:c r="P1541" s="34" t="n">
        <x:v>1</x:v>
      </x:c>
      <x:c r="Q1541" s="34" t="n">
        <x:v>196</x:v>
      </x:c>
      <x:c r="R1541" s="33" t="n">
        <x:v>56</x:v>
      </x:c>
      <x:c r="S1541" s="38" t="n">
        <x:v>10.976</x:v>
      </x:c>
      <x:c r="T1541" s="38" t="n">
        <x:v>0.8780800000000001</x:v>
      </x:c>
      <x:c r="U1541" s="38" t="n">
        <x:v>0.2019584</x:v>
      </x:c>
      <x:c r="V1541" s="38" t="n">
        <x:v>9.8959616</x:v>
      </x:c>
      <x:c r="W1541" s="38" t="n">
        <x:v>3.64952</x:v>
      </x:c>
      <x:c r="X1541" s="38" t="n">
        <x:v>0.2869828864</x:v>
      </x:c>
      <x:c r="Y1541" s="38" t="n">
        <x:v>0</x:v>
      </x:c>
      <x:c r="Z1541" s="38" t="n">
        <x:v>0.8134000000000001</x:v>
      </x:c>
      <x:c r="AA1541" s="38" t="n">
        <x:v>0.32339999999999997</x:v>
      </x:c>
      <x:c r="AB1541" s="38" t="n">
        <x:v>0.0007055999999999999</x:v>
      </x:c>
      <x:c r="AC1541" s="38" t="n">
        <x:v>4.8219531136</x:v>
      </x:c>
      <x:c r="AD1541" s="28" t="n">
        <x:v>0.4872647357079478</x:v>
      </x:c>
    </x:row>
    <x:row r="1542">
      <x:c r="A1542" s="32" t="n">
        <x:v>46195</x:v>
      </x:c>
      <x:c r="B1542" s="32" t="n">
        <x:v>46174</x:v>
      </x:c>
      <x:c r="C1542" t="str">
        <x:v>Jun 2026</x:v>
      </x:c>
      <x:c r="D1542" t="str">
        <x:v>Forecast</x:v>
      </x:c>
      <x:c r="E1542" t="str">
        <x:v>DB-105</x:v>
      </x:c>
      <x:c r="F1542" t="str">
        <x:v>DreamFuel Refill Pack</x:v>
      </x:c>
      <x:c r="G1542" t="str">
        <x:v>Subscription</x:v>
      </x:c>
      <x:c r="H1542" t="str">
        <x:v>None</x:v>
      </x:c>
      <x:c r="I1542" t="str">
        <x:v>Active</x:v>
      </x:c>
      <x:c r="J1542" t="str">
        <x:v>Amazon Marketplace</x:v>
      </x:c>
      <x:c r="K1542" t="str">
        <x:v>Marketplace Consumer</x:v>
      </x:c>
      <x:c r="L1542" t="str">
        <x:v>All Geographies</x:v>
      </x:c>
      <x:c r="M1542" s="34" t="n">
        <x:v>2525</x:v>
      </x:c>
      <x:c r="N1542" s="28" t="n">
        <x:v>0.0458784</x:v>
      </x:c>
      <x:c r="O1542" s="34" t="n">
        <x:v>116</x:v>
      </x:c>
      <x:c r="P1542" s="34" t="n">
        <x:v>1</x:v>
      </x:c>
      <x:c r="Q1542" s="34" t="n">
        <x:v>116</x:v>
      </x:c>
      <x:c r="R1542" s="33" t="n">
        <x:v>56</x:v>
      </x:c>
      <x:c r="S1542" s="38" t="n">
        <x:v>6.496</x:v>
      </x:c>
      <x:c r="T1542" s="38" t="n">
        <x:v>0.32480000000000003</x:v>
      </x:c>
      <x:c r="U1542" s="38" t="n">
        <x:v>0.12342400000000002</x:v>
      </x:c>
      <x:c r="V1542" s="38" t="n">
        <x:v>6.047776000000001</x:v>
      </x:c>
      <x:c r="W1542" s="38" t="n">
        <x:v>2.15992</x:v>
      </x:c>
      <x:c r="X1542" s="38" t="n">
        <x:v>0</x:v>
      </x:c>
      <x:c r="Y1542" s="38" t="n">
        <x:v>0.9071664</x:v>
      </x:c>
      <x:c r="Z1542" s="38" t="n">
        <x:v>0.6032000000000001</x:v>
      </x:c>
      <x:c r="AA1542" s="38" t="n">
        <x:v>0.24939999999999998</x:v>
      </x:c>
      <x:c r="AB1542" s="38" t="n">
        <x:v>0.0004176</x:v>
      </x:c>
      <x:c r="AC1542" s="38" t="n">
        <x:v>2.1276720000000005</x:v>
      </x:c>
      <x:c r="AD1542" s="28" t="n">
        <x:v>0.35181064907165877</x:v>
      </x:c>
    </x:row>
    <x:row r="1543">
      <x:c r="A1543" s="32" t="n">
        <x:v>46195</x:v>
      </x:c>
      <x:c r="B1543" s="32" t="n">
        <x:v>46174</x:v>
      </x:c>
      <x:c r="C1543" t="str">
        <x:v>Jun 2026</x:v>
      </x:c>
      <x:c r="D1543" t="str">
        <x:v>Forecast</x:v>
      </x:c>
      <x:c r="E1543" t="str">
        <x:v>DB-105</x:v>
      </x:c>
      <x:c r="F1543" t="str">
        <x:v>DreamFuel Refill Pack</x:v>
      </x:c>
      <x:c r="G1543" t="str">
        <x:v>Subscription</x:v>
      </x:c>
      <x:c r="H1543" t="str">
        <x:v>None</x:v>
      </x:c>
      <x:c r="I1543" t="str">
        <x:v>Active</x:v>
      </x:c>
      <x:c r="J1543" t="str">
        <x:v>Wholesale</x:v>
      </x:c>
      <x:c r="K1543" t="str">
        <x:v>Retailer</x:v>
      </x:c>
      <x:c r="L1543" t="str">
        <x:v>All Geographies</x:v>
      </x:c>
      <x:c r="M1543" s="34" t="n">
        <x:v>1515</x:v>
      </x:c>
      <x:c r="N1543" s="28" t="n">
        <x:v>0.021384000000000004</x:v>
      </x:c>
      <x:c r="O1543" s="34" t="n">
        <x:v>32</x:v>
      </x:c>
      <x:c r="P1543" s="34" t="n">
        <x:v>1</x:v>
      </x:c>
      <x:c r="Q1543" s="34" t="n">
        <x:v>32</x:v>
      </x:c>
      <x:c r="R1543" s="33" t="n">
        <x:v>56</x:v>
      </x:c>
      <x:c r="S1543" s="38" t="n">
        <x:v>1.792</x:v>
      </x:c>
      <x:c r="T1543" s="38" t="n">
        <x:v>0.6272</x:v>
      </x:c>
      <x:c r="U1543" s="38" t="n">
        <x:v>0.023296</x:v>
      </x:c>
      <x:c r="V1543" s="38" t="n">
        <x:v>1.141504</x:v>
      </x:c>
      <x:c r="W1543" s="38" t="n">
        <x:v>0.59584</x:v>
      </x:c>
      <x:c r="X1543" s="38" t="n">
        <x:v>0</x:v>
      </x:c>
      <x:c r="Y1543" s="38" t="n">
        <x:v>0</x:v>
      </x:c>
      <x:c r="Z1543" s="38" t="n">
        <x:v>0.0736</x:v>
      </x:c>
      <x:c r="AA1543" s="38" t="n">
        <x:v>0.0272</x:v>
      </x:c>
      <x:c r="AB1543" s="38" t="n">
        <x:v>0.0001152</x:v>
      </x:c>
      <x:c r="AC1543" s="38" t="n">
        <x:v>0.44474880000000006</x:v>
      </x:c>
      <x:c r="AD1543" s="28" t="n">
        <x:v>0.3896165059430366</x:v>
      </x:c>
    </x:row>
    <x:row r="1544">
      <x:c r="A1544" s="32" t="n">
        <x:v>46195</x:v>
      </x:c>
      <x:c r="B1544" s="32" t="n">
        <x:v>46174</x:v>
      </x:c>
      <x:c r="C1544" t="str">
        <x:v>Jun 2026</x:v>
      </x:c>
      <x:c r="D1544" t="str">
        <x:v>Forecast</x:v>
      </x:c>
      <x:c r="E1544" t="str">
        <x:v>DB-105</x:v>
      </x:c>
      <x:c r="F1544" t="str">
        <x:v>DreamFuel Refill Pack</x:v>
      </x:c>
      <x:c r="G1544" t="str">
        <x:v>Subscription</x:v>
      </x:c>
      <x:c r="H1544" t="str">
        <x:v>None</x:v>
      </x:c>
      <x:c r="I1544" t="str">
        <x:v>Active</x:v>
      </x:c>
      <x:c r="J1544" t="str">
        <x:v>TikTok Shop</x:v>
      </x:c>
      <x:c r="K1544" t="str">
        <x:v>Social Commerce</x:v>
      </x:c>
      <x:c r="L1544" t="str">
        <x:v>All Geographies</x:v>
      </x:c>
      <x:c r="M1544" s="34" t="n">
        <x:v>1010</x:v>
      </x:c>
      <x:c r="N1544" s="28" t="n">
        <x:v>0.0489888</x:v>
      </x:c>
      <x:c r="O1544" s="34" t="n">
        <x:v>49</x:v>
      </x:c>
      <x:c r="P1544" s="34" t="n">
        <x:v>1</x:v>
      </x:c>
      <x:c r="Q1544" s="34" t="n">
        <x:v>49</x:v>
      </x:c>
      <x:c r="R1544" s="33" t="n">
        <x:v>56</x:v>
      </x:c>
      <x:c r="S1544" s="38" t="n">
        <x:v>2.744</x:v>
      </x:c>
      <x:c r="T1544" s="38" t="n">
        <x:v>0.32928</x:v>
      </x:c>
      <x:c r="U1544" s="38" t="n">
        <x:v>0.0482944</x:v>
      </x:c>
      <x:c r="V1544" s="38" t="n">
        <x:v>2.3664256</x:v>
      </x:c>
      <x:c r="W1544" s="38" t="n">
        <x:v>0.91238</x:v>
      </x:c>
      <x:c r="X1544" s="38" t="n">
        <x:v>0.0686263424</x:v>
      </x:c>
      <x:c r="Y1544" s="38" t="n">
        <x:v>0.141985536</x:v>
      </x:c>
      <x:c r="Z1544" s="38" t="n">
        <x:v>0.24989999999999998</x:v>
      </x:c>
      <x:c r="AA1544" s="38" t="n">
        <x:v>0.08575</x:v>
      </x:c>
      <x:c r="AB1544" s="38" t="n">
        <x:v>0.00017639999999999998</x:v>
      </x:c>
      <x:c r="AC1544" s="38" t="n">
        <x:v>0.9076073216</x:v>
      </x:c>
      <x:c r="AD1544" s="28" t="n">
        <x:v>0.3835351179432812</x:v>
      </x:c>
    </x:row>
    <x:row r="1545">
      <x:c r="A1545" s="32" t="n">
        <x:v>46202</x:v>
      </x:c>
      <x:c r="B1545" s="32" t="n">
        <x:v>46174</x:v>
      </x:c>
      <x:c r="C1545" t="str">
        <x:v>Jun 2026</x:v>
      </x:c>
      <x:c r="D1545" t="str">
        <x:v>Forecast</x:v>
      </x:c>
      <x:c r="E1545" t="str">
        <x:v>DB-101</x:v>
      </x:c>
      <x:c r="F1545" t="str">
        <x:v>AeroSip Bottle</x:v>
      </x:c>
      <x:c r="G1545" t="str">
        <x:v>One-time purchase</x:v>
      </x:c>
      <x:c r="H1545" t="str">
        <x:v>None</x:v>
      </x:c>
      <x:c r="I1545" t="str">
        <x:v>Active</x:v>
      </x:c>
      <x:c r="J1545" t="str">
        <x:v>Shopify DTC</x:v>
      </x:c>
      <x:c r="K1545" t="str">
        <x:v>Consumer</x:v>
      </x:c>
      <x:c r="L1545" t="str">
        <x:v>All Geographies</x:v>
      </x:c>
      <x:c r="M1545" s="34" t="n">
        <x:v>7296</x:v>
      </x:c>
      <x:c r="N1545" s="28" t="n">
        <x:v>0.034199999999999994</x:v>
      </x:c>
      <x:c r="O1545" s="34" t="n">
        <x:v>250</x:v>
      </x:c>
      <x:c r="P1545" s="34" t="n">
        <x:v>1</x:v>
      </x:c>
      <x:c r="Q1545" s="34" t="n">
        <x:v>250</x:v>
      </x:c>
      <x:c r="R1545" s="33" t="n">
        <x:v>29</x:v>
      </x:c>
      <x:c r="S1545" s="38" t="n">
        <x:v>7.25</x:v>
      </x:c>
      <x:c r="T1545" s="38" t="n">
        <x:v>0.58</x:v>
      </x:c>
      <x:c r="U1545" s="38" t="n">
        <x:v>0.30015</x:v>
      </x:c>
      <x:c r="V1545" s="38" t="n">
        <x:v>6.36985</x:v>
      </x:c>
      <x:c r="W1545" s="38" t="n">
        <x:v>2.7</x:v>
      </x:c>
      <x:c r="X1545" s="38" t="n">
        <x:v>0.18472565</x:v>
      </x:c>
      <x:c r="Y1545" s="38" t="n">
        <x:v>0</x:v>
      </x:c>
      <x:c r="Z1545" s="38" t="n">
        <x:v>1.0375</x:v>
      </x:c>
      <x:c r="AA1545" s="38" t="n">
        <x:v>0.4125</x:v>
      </x:c>
      <x:c r="AB1545" s="38" t="n">
        <x:v>0.009</x:v>
      </x:c>
      <x:c r="AC1545" s="38" t="n">
        <x:v>2.0261243499999995</x:v>
      </x:c>
      <x:c r="AD1545" s="28" t="n">
        <x:v>0.31808038650831644</x:v>
      </x:c>
    </x:row>
    <x:row r="1546">
      <x:c r="A1546" s="32" t="n">
        <x:v>46202</x:v>
      </x:c>
      <x:c r="B1546" s="32" t="n">
        <x:v>46174</x:v>
      </x:c>
      <x:c r="C1546" t="str">
        <x:v>Jun 2026</x:v>
      </x:c>
      <x:c r="D1546" t="str">
        <x:v>Forecast</x:v>
      </x:c>
      <x:c r="E1546" t="str">
        <x:v>DB-101</x:v>
      </x:c>
      <x:c r="F1546" t="str">
        <x:v>AeroSip Bottle</x:v>
      </x:c>
      <x:c r="G1546" t="str">
        <x:v>One-time purchase</x:v>
      </x:c>
      <x:c r="H1546" t="str">
        <x:v>None</x:v>
      </x:c>
      <x:c r="I1546" t="str">
        <x:v>Active</x:v>
      </x:c>
      <x:c r="J1546" t="str">
        <x:v>Amazon Marketplace</x:v>
      </x:c>
      <x:c r="K1546" t="str">
        <x:v>Marketplace Consumer</x:v>
      </x:c>
      <x:c r="L1546" t="str">
        <x:v>All Geographies</x:v>
      </x:c>
      <x:c r="M1546" s="34" t="n">
        <x:v>3648</x:v>
      </x:c>
      <x:c r="N1546" s="28" t="n">
        <x:v>0.040355999999999996</x:v>
      </x:c>
      <x:c r="O1546" s="34" t="n">
        <x:v>147</x:v>
      </x:c>
      <x:c r="P1546" s="34" t="n">
        <x:v>1</x:v>
      </x:c>
      <x:c r="Q1546" s="34" t="n">
        <x:v>147</x:v>
      </x:c>
      <x:c r="R1546" s="33" t="n">
        <x:v>29</x:v>
      </x:c>
      <x:c r="S1546" s="38" t="n">
        <x:v>4.263</x:v>
      </x:c>
      <x:c r="T1546" s="38" t="n">
        <x:v>0.21315</x:v>
      </x:c>
      <x:c r="U1546" s="38" t="n">
        <x:v>0.18224325</x:v>
      </x:c>
      <x:c r="V1546" s="38" t="n">
        <x:v>3.86760675</x:v>
      </x:c>
      <x:c r="W1546" s="38" t="n">
        <x:v>1.5876000000000001</x:v>
      </x:c>
      <x:c r="X1546" s="38" t="n">
        <x:v>0</x:v>
      </x:c>
      <x:c r="Y1546" s="38" t="n">
        <x:v>0.5801410125</x:v>
      </x:c>
      <x:c r="Z1546" s="38" t="n">
        <x:v>0.7644</x:v>
      </x:c>
      <x:c r="AA1546" s="38" t="n">
        <x:v>0.31605</x:v>
      </x:c>
      <x:c r="AB1546" s="38" t="n">
        <x:v>0.005292</x:v>
      </x:c>
      <x:c r="AC1546" s="38" t="n">
        <x:v>0.6141237375000003</x:v>
      </x:c>
      <x:c r="AD1546" s="28" t="n">
        <x:v>0.15878649955815705</x:v>
      </x:c>
    </x:row>
    <x:row r="1547">
      <x:c r="A1547" s="32" t="n">
        <x:v>46202</x:v>
      </x:c>
      <x:c r="B1547" s="32" t="n">
        <x:v>46174</x:v>
      </x:c>
      <x:c r="C1547" t="str">
        <x:v>Jun 2026</x:v>
      </x:c>
      <x:c r="D1547" t="str">
        <x:v>Forecast</x:v>
      </x:c>
      <x:c r="E1547" t="str">
        <x:v>DB-101</x:v>
      </x:c>
      <x:c r="F1547" t="str">
        <x:v>AeroSip Bottle</x:v>
      </x:c>
      <x:c r="G1547" t="str">
        <x:v>One-time purchase</x:v>
      </x:c>
      <x:c r="H1547" t="str">
        <x:v>None</x:v>
      </x:c>
      <x:c r="I1547" t="str">
        <x:v>Active</x:v>
      </x:c>
      <x:c r="J1547" t="str">
        <x:v>Wholesale</x:v>
      </x:c>
      <x:c r="K1547" t="str">
        <x:v>Retailer</x:v>
      </x:c>
      <x:c r="L1547" t="str">
        <x:v>All Geographies</x:v>
      </x:c>
      <x:c r="M1547" s="34" t="n">
        <x:v>2189</x:v>
      </x:c>
      <x:c r="N1547" s="28" t="n">
        <x:v>0.01881</x:v>
      </x:c>
      <x:c r="O1547" s="34" t="n">
        <x:v>41</x:v>
      </x:c>
      <x:c r="P1547" s="34" t="n">
        <x:v>1</x:v>
      </x:c>
      <x:c r="Q1547" s="34" t="n">
        <x:v>41</x:v>
      </x:c>
      <x:c r="R1547" s="33" t="n">
        <x:v>29</x:v>
      </x:c>
      <x:c r="S1547" s="38" t="n">
        <x:v>1.189</x:v>
      </x:c>
      <x:c r="T1547" s="38" t="n">
        <x:v>0.41615</x:v>
      </x:c>
      <x:c r="U1547" s="38" t="n">
        <x:v>0.034778250000000004</x:v>
      </x:c>
      <x:c r="V1547" s="38" t="n">
        <x:v>0.73807175</x:v>
      </x:c>
      <x:c r="W1547" s="38" t="n">
        <x:v>0.4428</x:v>
      </x:c>
      <x:c r="X1547" s="38" t="n">
        <x:v>0</x:v>
      </x:c>
      <x:c r="Y1547" s="38" t="n">
        <x:v>0</x:v>
      </x:c>
      <x:c r="Z1547" s="38" t="n">
        <x:v>0.0943</x:v>
      </x:c>
      <x:c r="AA1547" s="38" t="n">
        <x:v>0.03485</x:v>
      </x:c>
      <x:c r="AB1547" s="38" t="n">
        <x:v>0.0014759999999999999</x:v>
      </x:c>
      <x:c r="AC1547" s="38" t="n">
        <x:v>0.16464575</x:v>
      </x:c>
      <x:c r="AD1547" s="28" t="n">
        <x:v>0.22307553432305194</x:v>
      </x:c>
    </x:row>
    <x:row r="1548">
      <x:c r="A1548" s="32" t="n">
        <x:v>46202</x:v>
      </x:c>
      <x:c r="B1548" s="32" t="n">
        <x:v>46174</x:v>
      </x:c>
      <x:c r="C1548" t="str">
        <x:v>Jun 2026</x:v>
      </x:c>
      <x:c r="D1548" t="str">
        <x:v>Forecast</x:v>
      </x:c>
      <x:c r="E1548" t="str">
        <x:v>DB-101</x:v>
      </x:c>
      <x:c r="F1548" t="str">
        <x:v>AeroSip Bottle</x:v>
      </x:c>
      <x:c r="G1548" t="str">
        <x:v>One-time purchase</x:v>
      </x:c>
      <x:c r="H1548" t="str">
        <x:v>None</x:v>
      </x:c>
      <x:c r="I1548" t="str">
        <x:v>Active</x:v>
      </x:c>
      <x:c r="J1548" t="str">
        <x:v>TikTok Shop</x:v>
      </x:c>
      <x:c r="K1548" t="str">
        <x:v>Social Commerce</x:v>
      </x:c>
      <x:c r="L1548" t="str">
        <x:v>All Geographies</x:v>
      </x:c>
      <x:c r="M1548" s="34" t="n">
        <x:v>1459</x:v>
      </x:c>
      <x:c r="N1548" s="28" t="n">
        <x:v>0.043092</x:v>
      </x:c>
      <x:c r="O1548" s="34" t="n">
        <x:v>63</x:v>
      </x:c>
      <x:c r="P1548" s="34" t="n">
        <x:v>1</x:v>
      </x:c>
      <x:c r="Q1548" s="34" t="n">
        <x:v>63</x:v>
      </x:c>
      <x:c r="R1548" s="33" t="n">
        <x:v>29</x:v>
      </x:c>
      <x:c r="S1548" s="38" t="n">
        <x:v>1.827</x:v>
      </x:c>
      <x:c r="T1548" s="38" t="n">
        <x:v>0.21924</x:v>
      </x:c>
      <x:c r="U1548" s="38" t="n">
        <x:v>0.07234919999999999</x:v>
      </x:c>
      <x:c r="V1548" s="38" t="n">
        <x:v>1.5354108</x:v>
      </x:c>
      <x:c r="W1548" s="38" t="n">
        <x:v>0.6804000000000001</x:v>
      </x:c>
      <x:c r="X1548" s="38" t="n">
        <x:v>0.044526913200000004</x:v>
      </x:c>
      <x:c r="Y1548" s="38" t="n">
        <x:v>0.09212464799999999</x:v>
      </x:c>
      <x:c r="Z1548" s="38" t="n">
        <x:v>0.3213</x:v>
      </x:c>
      <x:c r="AA1548" s="38" t="n">
        <x:v>0.11025</x:v>
      </x:c>
      <x:c r="AB1548" s="38" t="n">
        <x:v>0.0022679999999999996</x:v>
      </x:c>
      <x:c r="AC1548" s="38" t="n">
        <x:v>0.2845412387999999</x:v>
      </x:c>
      <x:c r="AD1548" s="28" t="n">
        <x:v>0.18531928966501987</x:v>
      </x:c>
    </x:row>
    <x:row r="1549">
      <x:c r="A1549" s="32" t="n">
        <x:v>46202</x:v>
      </x:c>
      <x:c r="B1549" s="32" t="n">
        <x:v>46174</x:v>
      </x:c>
      <x:c r="C1549" t="str">
        <x:v>Jun 2026</x:v>
      </x:c>
      <x:c r="D1549" t="str">
        <x:v>Forecast</x:v>
      </x:c>
      <x:c r="E1549" t="str">
        <x:v>DB-102</x:v>
      </x:c>
      <x:c r="F1549" t="str">
        <x:v>GlowPatch Balm</x:v>
      </x:c>
      <x:c r="G1549" t="str">
        <x:v>Consumable repeat</x:v>
      </x:c>
      <x:c r="H1549" t="str">
        <x:v>None</x:v>
      </x:c>
      <x:c r="I1549" t="str">
        <x:v>Active</x:v>
      </x:c>
      <x:c r="J1549" t="str">
        <x:v>Shopify DTC</x:v>
      </x:c>
      <x:c r="K1549" t="str">
        <x:v>Consumer</x:v>
      </x:c>
      <x:c r="L1549" t="str">
        <x:v>All Geographies</x:v>
      </x:c>
      <x:c r="M1549" s="34" t="n">
        <x:v>5893</x:v>
      </x:c>
      <x:c r="N1549" s="28" t="n">
        <x:v>0.04248</x:v>
      </x:c>
      <x:c r="O1549" s="34" t="n">
        <x:v>250</x:v>
      </x:c>
      <x:c r="P1549" s="34" t="n">
        <x:v>1</x:v>
      </x:c>
      <x:c r="Q1549" s="34" t="n">
        <x:v>250</x:v>
      </x:c>
      <x:c r="R1549" s="33" t="n">
        <x:v>18</x:v>
      </x:c>
      <x:c r="S1549" s="38" t="n">
        <x:v>4.5</x:v>
      </x:c>
      <x:c r="T1549" s="38" t="n">
        <x:v>0.36</x:v>
      </x:c>
      <x:c r="U1549" s="38" t="n">
        <x:v>0.1035</x:v>
      </x:c>
      <x:c r="V1549" s="38" t="n">
        <x:v>4.036499999999999</x:v>
      </x:c>
      <x:c r="W1549" s="38" t="n">
        <x:v>1.3525</x:v>
      </x:c>
      <x:c r="X1549" s="38" t="n">
        <x:v>0.11705849999999998</x:v>
      </x:c>
      <x:c r="Y1549" s="38" t="n">
        <x:v>0</x:v>
      </x:c>
      <x:c r="Z1549" s="38" t="n">
        <x:v>1.0375</x:v>
      </x:c>
      <x:c r="AA1549" s="38" t="n">
        <x:v>0.4125</x:v>
      </x:c>
      <x:c r="AB1549" s="38" t="n">
        <x:v>0.0015</x:v>
      </x:c>
      <x:c r="AC1549" s="38" t="n">
        <x:v>1.1154414999999989</x:v>
      </x:c>
      <x:c r="AD1549" s="28" t="n">
        <x:v>0.2763387835996529</x:v>
      </x:c>
    </x:row>
    <x:row r="1550">
      <x:c r="A1550" s="32" t="n">
        <x:v>46202</x:v>
      </x:c>
      <x:c r="B1550" s="32" t="n">
        <x:v>46174</x:v>
      </x:c>
      <x:c r="C1550" t="str">
        <x:v>Jun 2026</x:v>
      </x:c>
      <x:c r="D1550" t="str">
        <x:v>Forecast</x:v>
      </x:c>
      <x:c r="E1550" t="str">
        <x:v>DB-102</x:v>
      </x:c>
      <x:c r="F1550" t="str">
        <x:v>GlowPatch Balm</x:v>
      </x:c>
      <x:c r="G1550" t="str">
        <x:v>Consumable repeat</x:v>
      </x:c>
      <x:c r="H1550" t="str">
        <x:v>None</x:v>
      </x:c>
      <x:c r="I1550" t="str">
        <x:v>Active</x:v>
      </x:c>
      <x:c r="J1550" t="str">
        <x:v>Amazon Marketplace</x:v>
      </x:c>
      <x:c r="K1550" t="str">
        <x:v>Marketplace Consumer</x:v>
      </x:c>
      <x:c r="L1550" t="str">
        <x:v>All Geographies</x:v>
      </x:c>
      <x:c r="M1550" s="34" t="n">
        <x:v>2946</x:v>
      </x:c>
      <x:c r="N1550" s="28" t="n">
        <x:v>0.050126399999999995</x:v>
      </x:c>
      <x:c r="O1550" s="34" t="n">
        <x:v>148</x:v>
      </x:c>
      <x:c r="P1550" s="34" t="n">
        <x:v>1</x:v>
      </x:c>
      <x:c r="Q1550" s="34" t="n">
        <x:v>148</x:v>
      </x:c>
      <x:c r="R1550" s="33" t="n">
        <x:v>18</x:v>
      </x:c>
      <x:c r="S1550" s="38" t="n">
        <x:v>2.664</x:v>
      </x:c>
      <x:c r="T1550" s="38" t="n">
        <x:v>0.1332</x:v>
      </x:c>
      <x:c r="U1550" s="38" t="n">
        <x:v>0.06327</x:v>
      </x:c>
      <x:c r="V1550" s="38" t="n">
        <x:v>2.46753</x:v>
      </x:c>
      <x:c r="W1550" s="38" t="n">
        <x:v>0.8006800000000001</x:v>
      </x:c>
      <x:c r="X1550" s="38" t="n">
        <x:v>0</x:v>
      </x:c>
      <x:c r="Y1550" s="38" t="n">
        <x:v>0.3701295</x:v>
      </x:c>
      <x:c r="Z1550" s="38" t="n">
        <x:v>0.7696000000000001</x:v>
      </x:c>
      <x:c r="AA1550" s="38" t="n">
        <x:v>0.3182</x:v>
      </x:c>
      <x:c r="AB1550" s="38" t="n">
        <x:v>0.0008879999999999999</x:v>
      </x:c>
      <x:c r="AC1550" s="38" t="n">
        <x:v>0.2080324999999999</x:v>
      </x:c>
      <x:c r="AD1550" s="28" t="n">
        <x:v>0.084307992202729</x:v>
      </x:c>
    </x:row>
    <x:row r="1551">
      <x:c r="A1551" s="32" t="n">
        <x:v>46202</x:v>
      </x:c>
      <x:c r="B1551" s="32" t="n">
        <x:v>46174</x:v>
      </x:c>
      <x:c r="C1551" t="str">
        <x:v>Jun 2026</x:v>
      </x:c>
      <x:c r="D1551" t="str">
        <x:v>Forecast</x:v>
      </x:c>
      <x:c r="E1551" t="str">
        <x:v>DB-102</x:v>
      </x:c>
      <x:c r="F1551" t="str">
        <x:v>GlowPatch Balm</x:v>
      </x:c>
      <x:c r="G1551" t="str">
        <x:v>Consumable repeat</x:v>
      </x:c>
      <x:c r="H1551" t="str">
        <x:v>None</x:v>
      </x:c>
      <x:c r="I1551" t="str">
        <x:v>Active</x:v>
      </x:c>
      <x:c r="J1551" t="str">
        <x:v>Wholesale</x:v>
      </x:c>
      <x:c r="K1551" t="str">
        <x:v>Retailer</x:v>
      </x:c>
      <x:c r="L1551" t="str">
        <x:v>All Geographies</x:v>
      </x:c>
      <x:c r="M1551" s="34" t="n">
        <x:v>1768</x:v>
      </x:c>
      <x:c r="N1551" s="28" t="n">
        <x:v>0.023364</x:v>
      </x:c>
      <x:c r="O1551" s="34" t="n">
        <x:v>41</x:v>
      </x:c>
      <x:c r="P1551" s="34" t="n">
        <x:v>1</x:v>
      </x:c>
      <x:c r="Q1551" s="34" t="n">
        <x:v>41</x:v>
      </x:c>
      <x:c r="R1551" s="33" t="n">
        <x:v>18</x:v>
      </x:c>
      <x:c r="S1551" s="38" t="n">
        <x:v>0.738</x:v>
      </x:c>
      <x:c r="T1551" s="38" t="n">
        <x:v>0.2583</x:v>
      </x:c>
      <x:c r="U1551" s="38" t="n">
        <x:v>0.011992500000000001</x:v>
      </x:c>
      <x:c r="V1551" s="38" t="n">
        <x:v>0.4677075</x:v>
      </x:c>
      <x:c r="W1551" s="38" t="n">
        <x:v>0.22181</x:v>
      </x:c>
      <x:c r="X1551" s="38" t="n">
        <x:v>0</x:v>
      </x:c>
      <x:c r="Y1551" s="38" t="n">
        <x:v>0</x:v>
      </x:c>
      <x:c r="Z1551" s="38" t="n">
        <x:v>0.0943</x:v>
      </x:c>
      <x:c r="AA1551" s="38" t="n">
        <x:v>0.03485</x:v>
      </x:c>
      <x:c r="AB1551" s="38" t="n">
        <x:v>0.000246</x:v>
      </x:c>
      <x:c r="AC1551" s="38" t="n">
        <x:v>0.11650150000000001</x:v>
      </x:c>
      <x:c r="AD1551" s="28" t="n">
        <x:v>0.2490905106289722</x:v>
      </x:c>
    </x:row>
    <x:row r="1552">
      <x:c r="A1552" s="32" t="n">
        <x:v>46202</x:v>
      </x:c>
      <x:c r="B1552" s="32" t="n">
        <x:v>46174</x:v>
      </x:c>
      <x:c r="C1552" t="str">
        <x:v>Jun 2026</x:v>
      </x:c>
      <x:c r="D1552" t="str">
        <x:v>Forecast</x:v>
      </x:c>
      <x:c r="E1552" t="str">
        <x:v>DB-102</x:v>
      </x:c>
      <x:c r="F1552" t="str">
        <x:v>GlowPatch Balm</x:v>
      </x:c>
      <x:c r="G1552" t="str">
        <x:v>Consumable repeat</x:v>
      </x:c>
      <x:c r="H1552" t="str">
        <x:v>None</x:v>
      </x:c>
      <x:c r="I1552" t="str">
        <x:v>Active</x:v>
      </x:c>
      <x:c r="J1552" t="str">
        <x:v>TikTok Shop</x:v>
      </x:c>
      <x:c r="K1552" t="str">
        <x:v>Social Commerce</x:v>
      </x:c>
      <x:c r="L1552" t="str">
        <x:v>All Geographies</x:v>
      </x:c>
      <x:c r="M1552" s="34" t="n">
        <x:v>1179</x:v>
      </x:c>
      <x:c r="N1552" s="28" t="n">
        <x:v>0.0535248</x:v>
      </x:c>
      <x:c r="O1552" s="34" t="n">
        <x:v>63</x:v>
      </x:c>
      <x:c r="P1552" s="34" t="n">
        <x:v>1</x:v>
      </x:c>
      <x:c r="Q1552" s="34" t="n">
        <x:v>63</x:v>
      </x:c>
      <x:c r="R1552" s="33" t="n">
        <x:v>18</x:v>
      </x:c>
      <x:c r="S1552" s="38" t="n">
        <x:v>1.134</x:v>
      </x:c>
      <x:c r="T1552" s="38" t="n">
        <x:v>0.13607999999999998</x:v>
      </x:c>
      <x:c r="U1552" s="38" t="n">
        <x:v>0.024947999999999998</x:v>
      </x:c>
      <x:c r="V1552" s="38" t="n">
        <x:v>0.972972</x:v>
      </x:c>
      <x:c r="W1552" s="38" t="n">
        <x:v>0.34082999999999997</x:v>
      </x:c>
      <x:c r="X1552" s="38" t="n">
        <x:v>0.028216188</x:v>
      </x:c>
      <x:c r="Y1552" s="38" t="n">
        <x:v>0.05837832</x:v>
      </x:c>
      <x:c r="Z1552" s="38" t="n">
        <x:v>0.3213</x:v>
      </x:c>
      <x:c r="AA1552" s="38" t="n">
        <x:v>0.11025</x:v>
      </x:c>
      <x:c r="AB1552" s="38" t="n">
        <x:v>0.000378</x:v>
      </x:c>
      <x:c r="AC1552" s="38" t="n">
        <x:v>0.11361949199999999</x:v>
      </x:c>
      <x:c r="AD1552" s="28" t="n">
        <x:v>0.11677570577570577</x:v>
      </x:c>
    </x:row>
    <x:row r="1553">
      <x:c r="A1553" s="32" t="n">
        <x:v>46202</x:v>
      </x:c>
      <x:c r="B1553" s="32" t="n">
        <x:v>46174</x:v>
      </x:c>
      <x:c r="C1553" t="str">
        <x:v>Jun 2026</x:v>
      </x:c>
      <x:c r="D1553" t="str">
        <x:v>Forecast</x:v>
      </x:c>
      <x:c r="E1553" t="str">
        <x:v>DB-103</x:v>
      </x:c>
      <x:c r="F1553" t="str">
        <x:v>EmberTrail Camp Mug</x:v>
      </x:c>
      <x:c r="G1553" t="str">
        <x:v>One-time purchase</x:v>
      </x:c>
      <x:c r="H1553" t="str">
        <x:v>Winter peak</x:v>
      </x:c>
      <x:c r="I1553" t="str">
        <x:v>Active</x:v>
      </x:c>
      <x:c r="J1553" t="str">
        <x:v>Shopify DTC</x:v>
      </x:c>
      <x:c r="K1553" t="str">
        <x:v>Consumer</x:v>
      </x:c>
      <x:c r="L1553" t="str">
        <x:v>All Geographies</x:v>
      </x:c>
      <x:c r="M1553" s="34" t="n">
        <x:v>3788</x:v>
      </x:c>
      <x:c r="N1553" s="28" t="n">
        <x:v>0.0324</x:v>
      </x:c>
      <x:c r="O1553" s="34" t="n">
        <x:v>123</x:v>
      </x:c>
      <x:c r="P1553" s="34" t="n">
        <x:v>1</x:v>
      </x:c>
      <x:c r="Q1553" s="34" t="n">
        <x:v>123</x:v>
      </x:c>
      <x:c r="R1553" s="33" t="n">
        <x:v>34</x:v>
      </x:c>
      <x:c r="S1553" s="38" t="n">
        <x:v>4.182</x:v>
      </x:c>
      <x:c r="T1553" s="38" t="n">
        <x:v>0.33456</x:v>
      </x:c>
      <x:c r="U1553" s="38" t="n">
        <x:v>0.21160920000000003</x:v>
      </x:c>
      <x:c r="V1553" s="38" t="n">
        <x:v>3.6358308000000004</x:v>
      </x:c>
      <x:c r="W1553" s="38" t="n">
        <x:v>1.68141</x:v>
      </x:c>
      <x:c r="X1553" s="38" t="n">
        <x:v>0.10543909320000001</x:v>
      </x:c>
      <x:c r="Y1553" s="38" t="n">
        <x:v>0</x:v>
      </x:c>
      <x:c r="Z1553" s="38" t="n">
        <x:v>0.5104500000000001</x:v>
      </x:c>
      <x:c r="AA1553" s="38" t="n">
        <x:v>0.20295</x:v>
      </x:c>
      <x:c r="AB1553" s="38" t="n">
        <x:v>0.006888</x:v>
      </x:c>
      <x:c r="AC1553" s="38" t="n">
        <x:v>1.1286937068000003</x:v>
      </x:c>
      <x:c r="AD1553" s="28" t="n">
        <x:v>0.3104362575948254</x:v>
      </x:c>
    </x:row>
    <x:row r="1554">
      <x:c r="A1554" s="32" t="n">
        <x:v>46202</x:v>
      </x:c>
      <x:c r="B1554" s="32" t="n">
        <x:v>46174</x:v>
      </x:c>
      <x:c r="C1554" t="str">
        <x:v>Jun 2026</x:v>
      </x:c>
      <x:c r="D1554" t="str">
        <x:v>Forecast</x:v>
      </x:c>
      <x:c r="E1554" t="str">
        <x:v>DB-103</x:v>
      </x:c>
      <x:c r="F1554" t="str">
        <x:v>EmberTrail Camp Mug</x:v>
      </x:c>
      <x:c r="G1554" t="str">
        <x:v>One-time purchase</x:v>
      </x:c>
      <x:c r="H1554" t="str">
        <x:v>Winter peak</x:v>
      </x:c>
      <x:c r="I1554" t="str">
        <x:v>Active</x:v>
      </x:c>
      <x:c r="J1554" t="str">
        <x:v>Amazon Marketplace</x:v>
      </x:c>
      <x:c r="K1554" t="str">
        <x:v>Marketplace Consumer</x:v>
      </x:c>
      <x:c r="L1554" t="str">
        <x:v>All Geographies</x:v>
      </x:c>
      <x:c r="M1554" s="34" t="n">
        <x:v>1894</x:v>
      </x:c>
      <x:c r="N1554" s="28" t="n">
        <x:v>0.038231999999999995</x:v>
      </x:c>
      <x:c r="O1554" s="34" t="n">
        <x:v>72</x:v>
      </x:c>
      <x:c r="P1554" s="34" t="n">
        <x:v>1</x:v>
      </x:c>
      <x:c r="Q1554" s="34" t="n">
        <x:v>72</x:v>
      </x:c>
      <x:c r="R1554" s="33" t="n">
        <x:v>34</x:v>
      </x:c>
      <x:c r="S1554" s="38" t="n">
        <x:v>2.448</x:v>
      </x:c>
      <x:c r="T1554" s="38" t="n">
        <x:v>0.12240000000000001</x:v>
      </x:c>
      <x:c r="U1554" s="38" t="n">
        <x:v>0.127908</x:v>
      </x:c>
      <x:c r="V1554" s="38" t="n">
        <x:v>2.197692</x:v>
      </x:c>
      <x:c r="W1554" s="38" t="n">
        <x:v>0.98424</x:v>
      </x:c>
      <x:c r="X1554" s="38" t="n">
        <x:v>0</x:v>
      </x:c>
      <x:c r="Y1554" s="38" t="n">
        <x:v>0.3296538</x:v>
      </x:c>
      <x:c r="Z1554" s="38" t="n">
        <x:v>0.3744</x:v>
      </x:c>
      <x:c r="AA1554" s="38" t="n">
        <x:v>0.1548</x:v>
      </x:c>
      <x:c r="AB1554" s="38" t="n">
        <x:v>0.004032</x:v>
      </x:c>
      <x:c r="AC1554" s="38" t="n">
        <x:v>0.35056619999999994</x:v>
      </x:c>
      <x:c r="AD1554" s="28" t="n">
        <x:v>0.1595156191131423</x:v>
      </x:c>
    </x:row>
    <x:row r="1555">
      <x:c r="A1555" s="32" t="n">
        <x:v>46202</x:v>
      </x:c>
      <x:c r="B1555" s="32" t="n">
        <x:v>46174</x:v>
      </x:c>
      <x:c r="C1555" t="str">
        <x:v>Jun 2026</x:v>
      </x:c>
      <x:c r="D1555" t="str">
        <x:v>Forecast</x:v>
      </x:c>
      <x:c r="E1555" t="str">
        <x:v>DB-103</x:v>
      </x:c>
      <x:c r="F1555" t="str">
        <x:v>EmberTrail Camp Mug</x:v>
      </x:c>
      <x:c r="G1555" t="str">
        <x:v>One-time purchase</x:v>
      </x:c>
      <x:c r="H1555" t="str">
        <x:v>Winter peak</x:v>
      </x:c>
      <x:c r="I1555" t="str">
        <x:v>Active</x:v>
      </x:c>
      <x:c r="J1555" t="str">
        <x:v>Wholesale</x:v>
      </x:c>
      <x:c r="K1555" t="str">
        <x:v>Retailer</x:v>
      </x:c>
      <x:c r="L1555" t="str">
        <x:v>All Geographies</x:v>
      </x:c>
      <x:c r="M1555" s="34" t="n">
        <x:v>1136</x:v>
      </x:c>
      <x:c r="N1555" s="28" t="n">
        <x:v>0.017820000000000003</x:v>
      </x:c>
      <x:c r="O1555" s="34" t="n">
        <x:v>20</x:v>
      </x:c>
      <x:c r="P1555" s="34" t="n">
        <x:v>1</x:v>
      </x:c>
      <x:c r="Q1555" s="34" t="n">
        <x:v>20</x:v>
      </x:c>
      <x:c r="R1555" s="33" t="n">
        <x:v>34</x:v>
      </x:c>
      <x:c r="S1555" s="38" t="n">
        <x:v>0.68</x:v>
      </x:c>
      <x:c r="T1555" s="38" t="n">
        <x:v>0.238</x:v>
      </x:c>
      <x:c r="U1555" s="38" t="n">
        <x:v>0.024310000000000002</x:v>
      </x:c>
      <x:c r="V1555" s="38" t="n">
        <x:v>0.41769000000000006</x:v>
      </x:c>
      <x:c r="W1555" s="38" t="n">
        <x:v>0.2734</x:v>
      </x:c>
      <x:c r="X1555" s="38" t="n">
        <x:v>0</x:v>
      </x:c>
      <x:c r="Y1555" s="38" t="n">
        <x:v>0</x:v>
      </x:c>
      <x:c r="Z1555" s="38" t="n">
        <x:v>0.046</x:v>
      </x:c>
      <x:c r="AA1555" s="38" t="n">
        <x:v>0.017</x:v>
      </x:c>
      <x:c r="AB1555" s="38" t="n">
        <x:v>0.0011200000000000001</x:v>
      </x:c>
      <x:c r="AC1555" s="38" t="n">
        <x:v>0.08017000000000009</x:v>
      </x:c>
      <x:c r="AD1555" s="28" t="n">
        <x:v>0.19193660370130977</x:v>
      </x:c>
    </x:row>
    <x:row r="1556">
      <x:c r="A1556" s="32" t="n">
        <x:v>46202</x:v>
      </x:c>
      <x:c r="B1556" s="32" t="n">
        <x:v>46174</x:v>
      </x:c>
      <x:c r="C1556" t="str">
        <x:v>Jun 2026</x:v>
      </x:c>
      <x:c r="D1556" t="str">
        <x:v>Forecast</x:v>
      </x:c>
      <x:c r="E1556" t="str">
        <x:v>DB-103</x:v>
      </x:c>
      <x:c r="F1556" t="str">
        <x:v>EmberTrail Camp Mug</x:v>
      </x:c>
      <x:c r="G1556" t="str">
        <x:v>One-time purchase</x:v>
      </x:c>
      <x:c r="H1556" t="str">
        <x:v>Winter peak</x:v>
      </x:c>
      <x:c r="I1556" t="str">
        <x:v>Active</x:v>
      </x:c>
      <x:c r="J1556" t="str">
        <x:v>TikTok Shop</x:v>
      </x:c>
      <x:c r="K1556" t="str">
        <x:v>Social Commerce</x:v>
      </x:c>
      <x:c r="L1556" t="str">
        <x:v>All Geographies</x:v>
      </x:c>
      <x:c r="M1556" s="34" t="n">
        <x:v>758</x:v>
      </x:c>
      <x:c r="N1556" s="28" t="n">
        <x:v>0.040824</x:v>
      </x:c>
      <x:c r="O1556" s="34" t="n">
        <x:v>31</x:v>
      </x:c>
      <x:c r="P1556" s="34" t="n">
        <x:v>1</x:v>
      </x:c>
      <x:c r="Q1556" s="34" t="n">
        <x:v>31</x:v>
      </x:c>
      <x:c r="R1556" s="33" t="n">
        <x:v>34</x:v>
      </x:c>
      <x:c r="S1556" s="38" t="n">
        <x:v>1.054</x:v>
      </x:c>
      <x:c r="T1556" s="38" t="n">
        <x:v>0.12648</x:v>
      </x:c>
      <x:c r="U1556" s="38" t="n">
        <x:v>0.0510136</x:v>
      </x:c>
      <x:c r="V1556" s="38" t="n">
        <x:v>0.8765064</x:v>
      </x:c>
      <x:c r="W1556" s="38" t="n">
        <x:v>0.42377</x:v>
      </x:c>
      <x:c r="X1556" s="38" t="n">
        <x:v>0.0254186856</x:v>
      </x:c>
      <x:c r="Y1556" s="38" t="n">
        <x:v>0.052590384</x:v>
      </x:c>
      <x:c r="Z1556" s="38" t="n">
        <x:v>0.1581</x:v>
      </x:c>
      <x:c r="AA1556" s="38" t="n">
        <x:v>0.05425</x:v>
      </x:c>
      <x:c r="AB1556" s="38" t="n">
        <x:v>0.001736</x:v>
      </x:c>
      <x:c r="AC1556" s="38" t="n">
        <x:v>0.1606413304000001</x:v>
      </x:c>
      <x:c r="AD1556" s="28" t="n">
        <x:v>0.18327456639221354</x:v>
      </x:c>
    </x:row>
    <x:row r="1557">
      <x:c r="A1557" s="32" t="n">
        <x:v>46202</x:v>
      </x:c>
      <x:c r="B1557" s="32" t="n">
        <x:v>46174</x:v>
      </x:c>
      <x:c r="C1557" t="str">
        <x:v>Jun 2026</x:v>
      </x:c>
      <x:c r="D1557" t="str">
        <x:v>Forecast</x:v>
      </x:c>
      <x:c r="E1557" t="str">
        <x:v>DB-104</x:v>
      </x:c>
      <x:c r="F1557" t="str">
        <x:v>SunNest Cooling Towel</x:v>
      </x:c>
      <x:c r="G1557" t="str">
        <x:v>Consumable repeat</x:v>
      </x:c>
      <x:c r="H1557" t="str">
        <x:v>Summer peak</x:v>
      </x:c>
      <x:c r="I1557" t="str">
        <x:v>Active</x:v>
      </x:c>
      <x:c r="J1557" t="str">
        <x:v>Shopify DTC</x:v>
      </x:c>
      <x:c r="K1557" t="str">
        <x:v>Consumer</x:v>
      </x:c>
      <x:c r="L1557" t="str">
        <x:v>All Geographies</x:v>
      </x:c>
      <x:c r="M1557" s="34" t="n">
        <x:v>6917</x:v>
      </x:c>
      <x:c r="N1557" s="28" t="n">
        <x:v>0.03312</x:v>
      </x:c>
      <x:c r="O1557" s="34" t="n">
        <x:v>229</x:v>
      </x:c>
      <x:c r="P1557" s="34" t="n">
        <x:v>1</x:v>
      </x:c>
      <x:c r="Q1557" s="34" t="n">
        <x:v>229</x:v>
      </x:c>
      <x:c r="R1557" s="33" t="n">
        <x:v>42</x:v>
      </x:c>
      <x:c r="S1557" s="38" t="n">
        <x:v>9.618</x:v>
      </x:c>
      <x:c r="T1557" s="38" t="n">
        <x:v>0.76944</x:v>
      </x:c>
      <x:c r="U1557" s="38" t="n">
        <x:v>0.44242800000000004</x:v>
      </x:c>
      <x:c r="V1557" s="38" t="n">
        <x:v>8.406132000000001</x:v>
      </x:c>
      <x:c r="W1557" s="38" t="n">
        <x:v>3.4464500000000005</x:v>
      </x:c>
      <x:c r="X1557" s="38" t="n">
        <x:v>0.24377782800000006</x:v>
      </x:c>
      <x:c r="Y1557" s="38" t="n">
        <x:v>0</x:v>
      </x:c>
      <x:c r="Z1557" s="38" t="n">
        <x:v>0.9503500000000001</x:v>
      </x:c>
      <x:c r="AA1557" s="38" t="n">
        <x:v>0.37784999999999996</x:v>
      </x:c>
      <x:c r="AB1557" s="38" t="n">
        <x:v>0.006412</x:v>
      </x:c>
      <x:c r="AC1557" s="38" t="n">
        <x:v>3.3812921720000007</x:v>
      </x:c>
      <x:c r="AD1557" s="28" t="n">
        <x:v>0.40224114634412117</x:v>
      </x:c>
    </x:row>
    <x:row r="1558">
      <x:c r="A1558" s="32" t="n">
        <x:v>46202</x:v>
      </x:c>
      <x:c r="B1558" s="32" t="n">
        <x:v>46174</x:v>
      </x:c>
      <x:c r="C1558" t="str">
        <x:v>Jun 2026</x:v>
      </x:c>
      <x:c r="D1558" t="str">
        <x:v>Forecast</x:v>
      </x:c>
      <x:c r="E1558" t="str">
        <x:v>DB-104</x:v>
      </x:c>
      <x:c r="F1558" t="str">
        <x:v>SunNest Cooling Towel</x:v>
      </x:c>
      <x:c r="G1558" t="str">
        <x:v>Consumable repeat</x:v>
      </x:c>
      <x:c r="H1558" t="str">
        <x:v>Summer peak</x:v>
      </x:c>
      <x:c r="I1558" t="str">
        <x:v>Active</x:v>
      </x:c>
      <x:c r="J1558" t="str">
        <x:v>Amazon Marketplace</x:v>
      </x:c>
      <x:c r="K1558" t="str">
        <x:v>Marketplace Consumer</x:v>
      </x:c>
      <x:c r="L1558" t="str">
        <x:v>All Geographies</x:v>
      </x:c>
      <x:c r="M1558" s="34" t="n">
        <x:v>3458</x:v>
      </x:c>
      <x:c r="N1558" s="28" t="n">
        <x:v>0.0390816</x:v>
      </x:c>
      <x:c r="O1558" s="34" t="n">
        <x:v>135</x:v>
      </x:c>
      <x:c r="P1558" s="34" t="n">
        <x:v>1</x:v>
      </x:c>
      <x:c r="Q1558" s="34" t="n">
        <x:v>135</x:v>
      </x:c>
      <x:c r="R1558" s="33" t="n">
        <x:v>42</x:v>
      </x:c>
      <x:c r="S1558" s="38" t="n">
        <x:v>5.67</x:v>
      </x:c>
      <x:c r="T1558" s="38" t="n">
        <x:v>0.28350000000000003</x:v>
      </x:c>
      <x:c r="U1558" s="38" t="n">
        <x:v>0.269325</x:v>
      </x:c>
      <x:c r="V1558" s="38" t="n">
        <x:v>5.117175</x:v>
      </x:c>
      <x:c r="W1558" s="38" t="n">
        <x:v>2.03175</x:v>
      </x:c>
      <x:c r="X1558" s="38" t="n">
        <x:v>0</x:v>
      </x:c>
      <x:c r="Y1558" s="38" t="n">
        <x:v>0.76757625</x:v>
      </x:c>
      <x:c r="Z1558" s="38" t="n">
        <x:v>0.702</x:v>
      </x:c>
      <x:c r="AA1558" s="38" t="n">
        <x:v>0.29025</x:v>
      </x:c>
      <x:c r="AB1558" s="38" t="n">
        <x:v>0.00378</x:v>
      </x:c>
      <x:c r="AC1558" s="38" t="n">
        <x:v>1.3218187499999998</x:v>
      </x:c>
      <x:c r="AD1558" s="28" t="n">
        <x:v>0.2583102493074792</x:v>
      </x:c>
    </x:row>
    <x:row r="1559">
      <x:c r="A1559" s="32" t="n">
        <x:v>46202</x:v>
      </x:c>
      <x:c r="B1559" s="32" t="n">
        <x:v>46174</x:v>
      </x:c>
      <x:c r="C1559" t="str">
        <x:v>Jun 2026</x:v>
      </x:c>
      <x:c r="D1559" t="str">
        <x:v>Forecast</x:v>
      </x:c>
      <x:c r="E1559" t="str">
        <x:v>DB-104</x:v>
      </x:c>
      <x:c r="F1559" t="str">
        <x:v>SunNest Cooling Towel</x:v>
      </x:c>
      <x:c r="G1559" t="str">
        <x:v>Consumable repeat</x:v>
      </x:c>
      <x:c r="H1559" t="str">
        <x:v>Summer peak</x:v>
      </x:c>
      <x:c r="I1559" t="str">
        <x:v>Active</x:v>
      </x:c>
      <x:c r="J1559" t="str">
        <x:v>Wholesale</x:v>
      </x:c>
      <x:c r="K1559" t="str">
        <x:v>Retailer</x:v>
      </x:c>
      <x:c r="L1559" t="str">
        <x:v>All Geographies</x:v>
      </x:c>
      <x:c r="M1559" s="34" t="n">
        <x:v>2075</x:v>
      </x:c>
      <x:c r="N1559" s="28" t="n">
        <x:v>0.018216000000000003</x:v>
      </x:c>
      <x:c r="O1559" s="34" t="n">
        <x:v>38</x:v>
      </x:c>
      <x:c r="P1559" s="34" t="n">
        <x:v>1</x:v>
      </x:c>
      <x:c r="Q1559" s="34" t="n">
        <x:v>38</x:v>
      </x:c>
      <x:c r="R1559" s="33" t="n">
        <x:v>42</x:v>
      </x:c>
      <x:c r="S1559" s="38" t="n">
        <x:v>1.596</x:v>
      </x:c>
      <x:c r="T1559" s="38" t="n">
        <x:v>0.5586</x:v>
      </x:c>
      <x:c r="U1559" s="38" t="n">
        <x:v>0.051870000000000006</x:v>
      </x:c>
      <x:c r="V1559" s="38" t="n">
        <x:v>0.9855300000000001</x:v>
      </x:c>
      <x:c r="W1559" s="38" t="n">
        <x:v>0.5719</x:v>
      </x:c>
      <x:c r="X1559" s="38" t="n">
        <x:v>0</x:v>
      </x:c>
      <x:c r="Y1559" s="38" t="n">
        <x:v>0</x:v>
      </x:c>
      <x:c r="Z1559" s="38" t="n">
        <x:v>0.08739999999999999</x:v>
      </x:c>
      <x:c r="AA1559" s="38" t="n">
        <x:v>0.032299999999999995</x:v>
      </x:c>
      <x:c r="AB1559" s="38" t="n">
        <x:v>0.0010639999999999998</x:v>
      </x:c>
      <x:c r="AC1559" s="38" t="n">
        <x:v>0.2928660000000002</x:v>
      </x:c>
      <x:c r="AD1559" s="28" t="n">
        <x:v>0.29716599190283416</x:v>
      </x:c>
    </x:row>
    <x:row r="1560">
      <x:c r="A1560" s="32" t="n">
        <x:v>46202</x:v>
      </x:c>
      <x:c r="B1560" s="32" t="n">
        <x:v>46174</x:v>
      </x:c>
      <x:c r="C1560" t="str">
        <x:v>Jun 2026</x:v>
      </x:c>
      <x:c r="D1560" t="str">
        <x:v>Forecast</x:v>
      </x:c>
      <x:c r="E1560" t="str">
        <x:v>DB-104</x:v>
      </x:c>
      <x:c r="F1560" t="str">
        <x:v>SunNest Cooling Towel</x:v>
      </x:c>
      <x:c r="G1560" t="str">
        <x:v>Consumable repeat</x:v>
      </x:c>
      <x:c r="H1560" t="str">
        <x:v>Summer peak</x:v>
      </x:c>
      <x:c r="I1560" t="str">
        <x:v>Active</x:v>
      </x:c>
      <x:c r="J1560" t="str">
        <x:v>TikTok Shop</x:v>
      </x:c>
      <x:c r="K1560" t="str">
        <x:v>Social Commerce</x:v>
      </x:c>
      <x:c r="L1560" t="str">
        <x:v>All Geographies</x:v>
      </x:c>
      <x:c r="M1560" s="34" t="n">
        <x:v>1383</x:v>
      </x:c>
      <x:c r="N1560" s="28" t="n">
        <x:v>0.0417312</x:v>
      </x:c>
      <x:c r="O1560" s="34" t="n">
        <x:v>58</x:v>
      </x:c>
      <x:c r="P1560" s="34" t="n">
        <x:v>1</x:v>
      </x:c>
      <x:c r="Q1560" s="34" t="n">
        <x:v>58</x:v>
      </x:c>
      <x:c r="R1560" s="33" t="n">
        <x:v>42</x:v>
      </x:c>
      <x:c r="S1560" s="38" t="n">
        <x:v>2.436</x:v>
      </x:c>
      <x:c r="T1560" s="38" t="n">
        <x:v>0.29231999999999997</x:v>
      </x:c>
      <x:c r="U1560" s="38" t="n">
        <x:v>0.107184</x:v>
      </x:c>
      <x:c r="V1560" s="38" t="n">
        <x:v>2.0364959999999996</x:v>
      </x:c>
      <x:c r="W1560" s="38" t="n">
        <x:v>0.8729000000000001</x:v>
      </x:c>
      <x:c r="X1560" s="38" t="n">
        <x:v>0.05905838399999999</x:v>
      </x:c>
      <x:c r="Y1560" s="38" t="n">
        <x:v>0.12218975999999998</x:v>
      </x:c>
      <x:c r="Z1560" s="38" t="n">
        <x:v>0.29579999999999995</x:v>
      </x:c>
      <x:c r="AA1560" s="38" t="n">
        <x:v>0.1015</x:v>
      </x:c>
      <x:c r="AB1560" s="38" t="n">
        <x:v>0.0016239999999999998</x:v>
      </x:c>
      <x:c r="AC1560" s="38" t="n">
        <x:v>0.5834238559999997</x:v>
      </x:c>
      <x:c r="AD1560" s="28" t="n">
        <x:v>0.28648416495784906</x:v>
      </x:c>
    </x:row>
    <x:row r="1561">
      <x:c r="A1561" s="32" t="n">
        <x:v>46202</x:v>
      </x:c>
      <x:c r="B1561" s="32" t="n">
        <x:v>46174</x:v>
      </x:c>
      <x:c r="C1561" t="str">
        <x:v>Jun 2026</x:v>
      </x:c>
      <x:c r="D1561" t="str">
        <x:v>Forecast</x:v>
      </x:c>
      <x:c r="E1561" t="str">
        <x:v>DB-105</x:v>
      </x:c>
      <x:c r="F1561" t="str">
        <x:v>DreamFuel Refill Pack</x:v>
      </x:c>
      <x:c r="G1561" t="str">
        <x:v>Subscription</x:v>
      </x:c>
      <x:c r="H1561" t="str">
        <x:v>None</x:v>
      </x:c>
      <x:c r="I1561" t="str">
        <x:v>Active</x:v>
      </x:c>
      <x:c r="J1561" t="str">
        <x:v>Shopify DTC</x:v>
      </x:c>
      <x:c r="K1561" t="str">
        <x:v>Consumer</x:v>
      </x:c>
      <x:c r="L1561" t="str">
        <x:v>All Geographies</x:v>
      </x:c>
      <x:c r="M1561" s="34" t="n">
        <x:v>5051</x:v>
      </x:c>
      <x:c r="N1561" s="28" t="n">
        <x:v>0.03888</x:v>
      </x:c>
      <x:c r="O1561" s="34" t="n">
        <x:v>196</x:v>
      </x:c>
      <x:c r="P1561" s="34" t="n">
        <x:v>1</x:v>
      </x:c>
      <x:c r="Q1561" s="34" t="n">
        <x:v>196</x:v>
      </x:c>
      <x:c r="R1561" s="33" t="n">
        <x:v>56</x:v>
      </x:c>
      <x:c r="S1561" s="38" t="n">
        <x:v>10.976</x:v>
      </x:c>
      <x:c r="T1561" s="38" t="n">
        <x:v>0.8780800000000001</x:v>
      </x:c>
      <x:c r="U1561" s="38" t="n">
        <x:v>0.2019584</x:v>
      </x:c>
      <x:c r="V1561" s="38" t="n">
        <x:v>9.8959616</x:v>
      </x:c>
      <x:c r="W1561" s="38" t="n">
        <x:v>3.64952</x:v>
      </x:c>
      <x:c r="X1561" s="38" t="n">
        <x:v>0.2869828864</x:v>
      </x:c>
      <x:c r="Y1561" s="38" t="n">
        <x:v>0</x:v>
      </x:c>
      <x:c r="Z1561" s="38" t="n">
        <x:v>0.8134000000000001</x:v>
      </x:c>
      <x:c r="AA1561" s="38" t="n">
        <x:v>0.32339999999999997</x:v>
      </x:c>
      <x:c r="AB1561" s="38" t="n">
        <x:v>0.0007055999999999999</x:v>
      </x:c>
      <x:c r="AC1561" s="38" t="n">
        <x:v>4.8219531136</x:v>
      </x:c>
      <x:c r="AD1561" s="28" t="n">
        <x:v>0.4872647357079478</x:v>
      </x:c>
    </x:row>
    <x:row r="1562">
      <x:c r="A1562" s="32" t="n">
        <x:v>46202</x:v>
      </x:c>
      <x:c r="B1562" s="32" t="n">
        <x:v>46174</x:v>
      </x:c>
      <x:c r="C1562" t="str">
        <x:v>Jun 2026</x:v>
      </x:c>
      <x:c r="D1562" t="str">
        <x:v>Forecast</x:v>
      </x:c>
      <x:c r="E1562" t="str">
        <x:v>DB-105</x:v>
      </x:c>
      <x:c r="F1562" t="str">
        <x:v>DreamFuel Refill Pack</x:v>
      </x:c>
      <x:c r="G1562" t="str">
        <x:v>Subscription</x:v>
      </x:c>
      <x:c r="H1562" t="str">
        <x:v>None</x:v>
      </x:c>
      <x:c r="I1562" t="str">
        <x:v>Active</x:v>
      </x:c>
      <x:c r="J1562" t="str">
        <x:v>Amazon Marketplace</x:v>
      </x:c>
      <x:c r="K1562" t="str">
        <x:v>Marketplace Consumer</x:v>
      </x:c>
      <x:c r="L1562" t="str">
        <x:v>All Geographies</x:v>
      </x:c>
      <x:c r="M1562" s="34" t="n">
        <x:v>2525</x:v>
      </x:c>
      <x:c r="N1562" s="28" t="n">
        <x:v>0.0458784</x:v>
      </x:c>
      <x:c r="O1562" s="34" t="n">
        <x:v>116</x:v>
      </x:c>
      <x:c r="P1562" s="34" t="n">
        <x:v>1</x:v>
      </x:c>
      <x:c r="Q1562" s="34" t="n">
        <x:v>116</x:v>
      </x:c>
      <x:c r="R1562" s="33" t="n">
        <x:v>56</x:v>
      </x:c>
      <x:c r="S1562" s="38" t="n">
        <x:v>6.496</x:v>
      </x:c>
      <x:c r="T1562" s="38" t="n">
        <x:v>0.32480000000000003</x:v>
      </x:c>
      <x:c r="U1562" s="38" t="n">
        <x:v>0.12342400000000002</x:v>
      </x:c>
      <x:c r="V1562" s="38" t="n">
        <x:v>6.047776000000001</x:v>
      </x:c>
      <x:c r="W1562" s="38" t="n">
        <x:v>2.15992</x:v>
      </x:c>
      <x:c r="X1562" s="38" t="n">
        <x:v>0</x:v>
      </x:c>
      <x:c r="Y1562" s="38" t="n">
        <x:v>0.9071664</x:v>
      </x:c>
      <x:c r="Z1562" s="38" t="n">
        <x:v>0.6032000000000001</x:v>
      </x:c>
      <x:c r="AA1562" s="38" t="n">
        <x:v>0.24939999999999998</x:v>
      </x:c>
      <x:c r="AB1562" s="38" t="n">
        <x:v>0.0004176</x:v>
      </x:c>
      <x:c r="AC1562" s="38" t="n">
        <x:v>2.1276720000000005</x:v>
      </x:c>
      <x:c r="AD1562" s="28" t="n">
        <x:v>0.35181064907165877</x:v>
      </x:c>
    </x:row>
    <x:row r="1563">
      <x:c r="A1563" s="32" t="n">
        <x:v>46202</x:v>
      </x:c>
      <x:c r="B1563" s="32" t="n">
        <x:v>46174</x:v>
      </x:c>
      <x:c r="C1563" t="str">
        <x:v>Jun 2026</x:v>
      </x:c>
      <x:c r="D1563" t="str">
        <x:v>Forecast</x:v>
      </x:c>
      <x:c r="E1563" t="str">
        <x:v>DB-105</x:v>
      </x:c>
      <x:c r="F1563" t="str">
        <x:v>DreamFuel Refill Pack</x:v>
      </x:c>
      <x:c r="G1563" t="str">
        <x:v>Subscription</x:v>
      </x:c>
      <x:c r="H1563" t="str">
        <x:v>None</x:v>
      </x:c>
      <x:c r="I1563" t="str">
        <x:v>Active</x:v>
      </x:c>
      <x:c r="J1563" t="str">
        <x:v>Wholesale</x:v>
      </x:c>
      <x:c r="K1563" t="str">
        <x:v>Retailer</x:v>
      </x:c>
      <x:c r="L1563" t="str">
        <x:v>All Geographies</x:v>
      </x:c>
      <x:c r="M1563" s="34" t="n">
        <x:v>1515</x:v>
      </x:c>
      <x:c r="N1563" s="28" t="n">
        <x:v>0.021384000000000004</x:v>
      </x:c>
      <x:c r="O1563" s="34" t="n">
        <x:v>32</x:v>
      </x:c>
      <x:c r="P1563" s="34" t="n">
        <x:v>1</x:v>
      </x:c>
      <x:c r="Q1563" s="34" t="n">
        <x:v>32</x:v>
      </x:c>
      <x:c r="R1563" s="33" t="n">
        <x:v>56</x:v>
      </x:c>
      <x:c r="S1563" s="38" t="n">
        <x:v>1.792</x:v>
      </x:c>
      <x:c r="T1563" s="38" t="n">
        <x:v>0.6272</x:v>
      </x:c>
      <x:c r="U1563" s="38" t="n">
        <x:v>0.023296</x:v>
      </x:c>
      <x:c r="V1563" s="38" t="n">
        <x:v>1.141504</x:v>
      </x:c>
      <x:c r="W1563" s="38" t="n">
        <x:v>0.59584</x:v>
      </x:c>
      <x:c r="X1563" s="38" t="n">
        <x:v>0</x:v>
      </x:c>
      <x:c r="Y1563" s="38" t="n">
        <x:v>0</x:v>
      </x:c>
      <x:c r="Z1563" s="38" t="n">
        <x:v>0.0736</x:v>
      </x:c>
      <x:c r="AA1563" s="38" t="n">
        <x:v>0.0272</x:v>
      </x:c>
      <x:c r="AB1563" s="38" t="n">
        <x:v>0.0001152</x:v>
      </x:c>
      <x:c r="AC1563" s="38" t="n">
        <x:v>0.44474880000000006</x:v>
      </x:c>
      <x:c r="AD1563" s="28" t="n">
        <x:v>0.3896165059430366</x:v>
      </x:c>
    </x:row>
    <x:row r="1564">
      <x:c r="A1564" s="32" t="n">
        <x:v>46202</x:v>
      </x:c>
      <x:c r="B1564" s="32" t="n">
        <x:v>46174</x:v>
      </x:c>
      <x:c r="C1564" t="str">
        <x:v>Jun 2026</x:v>
      </x:c>
      <x:c r="D1564" t="str">
        <x:v>Forecast</x:v>
      </x:c>
      <x:c r="E1564" t="str">
        <x:v>DB-105</x:v>
      </x:c>
      <x:c r="F1564" t="str">
        <x:v>DreamFuel Refill Pack</x:v>
      </x:c>
      <x:c r="G1564" t="str">
        <x:v>Subscription</x:v>
      </x:c>
      <x:c r="H1564" t="str">
        <x:v>None</x:v>
      </x:c>
      <x:c r="I1564" t="str">
        <x:v>Active</x:v>
      </x:c>
      <x:c r="J1564" t="str">
        <x:v>TikTok Shop</x:v>
      </x:c>
      <x:c r="K1564" t="str">
        <x:v>Social Commerce</x:v>
      </x:c>
      <x:c r="L1564" t="str">
        <x:v>All Geographies</x:v>
      </x:c>
      <x:c r="M1564" s="34" t="n">
        <x:v>1010</x:v>
      </x:c>
      <x:c r="N1564" s="28" t="n">
        <x:v>0.0489888</x:v>
      </x:c>
      <x:c r="O1564" s="34" t="n">
        <x:v>49</x:v>
      </x:c>
      <x:c r="P1564" s="34" t="n">
        <x:v>1</x:v>
      </x:c>
      <x:c r="Q1564" s="34" t="n">
        <x:v>49</x:v>
      </x:c>
      <x:c r="R1564" s="33" t="n">
        <x:v>56</x:v>
      </x:c>
      <x:c r="S1564" s="38" t="n">
        <x:v>2.744</x:v>
      </x:c>
      <x:c r="T1564" s="38" t="n">
        <x:v>0.32928</x:v>
      </x:c>
      <x:c r="U1564" s="38" t="n">
        <x:v>0.0482944</x:v>
      </x:c>
      <x:c r="V1564" s="38" t="n">
        <x:v>2.3664256</x:v>
      </x:c>
      <x:c r="W1564" s="38" t="n">
        <x:v>0.91238</x:v>
      </x:c>
      <x:c r="X1564" s="38" t="n">
        <x:v>0.0686263424</x:v>
      </x:c>
      <x:c r="Y1564" s="38" t="n">
        <x:v>0.141985536</x:v>
      </x:c>
      <x:c r="Z1564" s="38" t="n">
        <x:v>0.24989999999999998</x:v>
      </x:c>
      <x:c r="AA1564" s="38" t="n">
        <x:v>0.08575</x:v>
      </x:c>
      <x:c r="AB1564" s="38" t="n">
        <x:v>0.00017639999999999998</x:v>
      </x:c>
      <x:c r="AC1564" s="38" t="n">
        <x:v>0.9076073216</x:v>
      </x:c>
      <x:c r="AD1564" s="28" t="n">
        <x:v>0.3835351179432812</x:v>
      </x:c>
    </x:row>
    <x:row r="1565">
      <x:c r="A1565" s="32" t="n">
        <x:v>46209</x:v>
      </x:c>
      <x:c r="B1565" s="32" t="n">
        <x:v>46204</x:v>
      </x:c>
      <x:c r="C1565" t="str">
        <x:v>Jul 2026</x:v>
      </x:c>
      <x:c r="D1565" t="str">
        <x:v>Forecast</x:v>
      </x:c>
      <x:c r="E1565" t="str">
        <x:v>DB-101</x:v>
      </x:c>
      <x:c r="F1565" t="str">
        <x:v>AeroSip Bottle</x:v>
      </x:c>
      <x:c r="G1565" t="str">
        <x:v>One-time purchase</x:v>
      </x:c>
      <x:c r="H1565" t="str">
        <x:v>None</x:v>
      </x:c>
      <x:c r="I1565" t="str">
        <x:v>Active</x:v>
      </x:c>
      <x:c r="J1565" t="str">
        <x:v>Shopify DTC</x:v>
      </x:c>
      <x:c r="K1565" t="str">
        <x:v>Consumer</x:v>
      </x:c>
      <x:c r="L1565" t="str">
        <x:v>All Geographies</x:v>
      </x:c>
      <x:c r="M1565" s="34" t="n">
        <x:v>7296</x:v>
      </x:c>
      <x:c r="N1565" s="28" t="n">
        <x:v>0.034199999999999994</x:v>
      </x:c>
      <x:c r="O1565" s="34" t="n">
        <x:v>250</x:v>
      </x:c>
      <x:c r="P1565" s="34" t="n">
        <x:v>1</x:v>
      </x:c>
      <x:c r="Q1565" s="34" t="n">
        <x:v>250</x:v>
      </x:c>
      <x:c r="R1565" s="33" t="n">
        <x:v>29</x:v>
      </x:c>
      <x:c r="S1565" s="38" t="n">
        <x:v>7.25</x:v>
      </x:c>
      <x:c r="T1565" s="38" t="n">
        <x:v>0.58</x:v>
      </x:c>
      <x:c r="U1565" s="38" t="n">
        <x:v>0.30015</x:v>
      </x:c>
      <x:c r="V1565" s="38" t="n">
        <x:v>6.36985</x:v>
      </x:c>
      <x:c r="W1565" s="38" t="n">
        <x:v>2.7</x:v>
      </x:c>
      <x:c r="X1565" s="38" t="n">
        <x:v>0.18472565</x:v>
      </x:c>
      <x:c r="Y1565" s="38" t="n">
        <x:v>0</x:v>
      </x:c>
      <x:c r="Z1565" s="38" t="n">
        <x:v>1.0375</x:v>
      </x:c>
      <x:c r="AA1565" s="38" t="n">
        <x:v>0.4125</x:v>
      </x:c>
      <x:c r="AB1565" s="38" t="n">
        <x:v>0.009</x:v>
      </x:c>
      <x:c r="AC1565" s="38" t="n">
        <x:v>2.0261243499999995</x:v>
      </x:c>
      <x:c r="AD1565" s="28" t="n">
        <x:v>0.31808038650831644</x:v>
      </x:c>
    </x:row>
    <x:row r="1566">
      <x:c r="A1566" s="32" t="n">
        <x:v>46209</x:v>
      </x:c>
      <x:c r="B1566" s="32" t="n">
        <x:v>46204</x:v>
      </x:c>
      <x:c r="C1566" t="str">
        <x:v>Jul 2026</x:v>
      </x:c>
      <x:c r="D1566" t="str">
        <x:v>Forecast</x:v>
      </x:c>
      <x:c r="E1566" t="str">
        <x:v>DB-101</x:v>
      </x:c>
      <x:c r="F1566" t="str">
        <x:v>AeroSip Bottle</x:v>
      </x:c>
      <x:c r="G1566" t="str">
        <x:v>One-time purchase</x:v>
      </x:c>
      <x:c r="H1566" t="str">
        <x:v>None</x:v>
      </x:c>
      <x:c r="I1566" t="str">
        <x:v>Active</x:v>
      </x:c>
      <x:c r="J1566" t="str">
        <x:v>Amazon Marketplace</x:v>
      </x:c>
      <x:c r="K1566" t="str">
        <x:v>Marketplace Consumer</x:v>
      </x:c>
      <x:c r="L1566" t="str">
        <x:v>All Geographies</x:v>
      </x:c>
      <x:c r="M1566" s="34" t="n">
        <x:v>3648</x:v>
      </x:c>
      <x:c r="N1566" s="28" t="n">
        <x:v>0.040355999999999996</x:v>
      </x:c>
      <x:c r="O1566" s="34" t="n">
        <x:v>147</x:v>
      </x:c>
      <x:c r="P1566" s="34" t="n">
        <x:v>1</x:v>
      </x:c>
      <x:c r="Q1566" s="34" t="n">
        <x:v>147</x:v>
      </x:c>
      <x:c r="R1566" s="33" t="n">
        <x:v>29</x:v>
      </x:c>
      <x:c r="S1566" s="38" t="n">
        <x:v>4.263</x:v>
      </x:c>
      <x:c r="T1566" s="38" t="n">
        <x:v>0.21315</x:v>
      </x:c>
      <x:c r="U1566" s="38" t="n">
        <x:v>0.18224325</x:v>
      </x:c>
      <x:c r="V1566" s="38" t="n">
        <x:v>3.86760675</x:v>
      </x:c>
      <x:c r="W1566" s="38" t="n">
        <x:v>1.5876000000000001</x:v>
      </x:c>
      <x:c r="X1566" s="38" t="n">
        <x:v>0</x:v>
      </x:c>
      <x:c r="Y1566" s="38" t="n">
        <x:v>0.5801410125</x:v>
      </x:c>
      <x:c r="Z1566" s="38" t="n">
        <x:v>0.7644</x:v>
      </x:c>
      <x:c r="AA1566" s="38" t="n">
        <x:v>0.31605</x:v>
      </x:c>
      <x:c r="AB1566" s="38" t="n">
        <x:v>0.005292</x:v>
      </x:c>
      <x:c r="AC1566" s="38" t="n">
        <x:v>0.6141237375000003</x:v>
      </x:c>
      <x:c r="AD1566" s="28" t="n">
        <x:v>0.15878649955815705</x:v>
      </x:c>
    </x:row>
    <x:row r="1567">
      <x:c r="A1567" s="32" t="n">
        <x:v>46209</x:v>
      </x:c>
      <x:c r="B1567" s="32" t="n">
        <x:v>46204</x:v>
      </x:c>
      <x:c r="C1567" t="str">
        <x:v>Jul 2026</x:v>
      </x:c>
      <x:c r="D1567" t="str">
        <x:v>Forecast</x:v>
      </x:c>
      <x:c r="E1567" t="str">
        <x:v>DB-101</x:v>
      </x:c>
      <x:c r="F1567" t="str">
        <x:v>AeroSip Bottle</x:v>
      </x:c>
      <x:c r="G1567" t="str">
        <x:v>One-time purchase</x:v>
      </x:c>
      <x:c r="H1567" t="str">
        <x:v>None</x:v>
      </x:c>
      <x:c r="I1567" t="str">
        <x:v>Active</x:v>
      </x:c>
      <x:c r="J1567" t="str">
        <x:v>Wholesale</x:v>
      </x:c>
      <x:c r="K1567" t="str">
        <x:v>Retailer</x:v>
      </x:c>
      <x:c r="L1567" t="str">
        <x:v>All Geographies</x:v>
      </x:c>
      <x:c r="M1567" s="34" t="n">
        <x:v>2189</x:v>
      </x:c>
      <x:c r="N1567" s="28" t="n">
        <x:v>0.01881</x:v>
      </x:c>
      <x:c r="O1567" s="34" t="n">
        <x:v>41</x:v>
      </x:c>
      <x:c r="P1567" s="34" t="n">
        <x:v>1</x:v>
      </x:c>
      <x:c r="Q1567" s="34" t="n">
        <x:v>41</x:v>
      </x:c>
      <x:c r="R1567" s="33" t="n">
        <x:v>29</x:v>
      </x:c>
      <x:c r="S1567" s="38" t="n">
        <x:v>1.189</x:v>
      </x:c>
      <x:c r="T1567" s="38" t="n">
        <x:v>0.41615</x:v>
      </x:c>
      <x:c r="U1567" s="38" t="n">
        <x:v>0.034778250000000004</x:v>
      </x:c>
      <x:c r="V1567" s="38" t="n">
        <x:v>0.73807175</x:v>
      </x:c>
      <x:c r="W1567" s="38" t="n">
        <x:v>0.4428</x:v>
      </x:c>
      <x:c r="X1567" s="38" t="n">
        <x:v>0</x:v>
      </x:c>
      <x:c r="Y1567" s="38" t="n">
        <x:v>0</x:v>
      </x:c>
      <x:c r="Z1567" s="38" t="n">
        <x:v>0.0943</x:v>
      </x:c>
      <x:c r="AA1567" s="38" t="n">
        <x:v>0.03485</x:v>
      </x:c>
      <x:c r="AB1567" s="38" t="n">
        <x:v>0.0014759999999999999</x:v>
      </x:c>
      <x:c r="AC1567" s="38" t="n">
        <x:v>0.16464575</x:v>
      </x:c>
      <x:c r="AD1567" s="28" t="n">
        <x:v>0.22307553432305194</x:v>
      </x:c>
    </x:row>
    <x:row r="1568">
      <x:c r="A1568" s="32" t="n">
        <x:v>46209</x:v>
      </x:c>
      <x:c r="B1568" s="32" t="n">
        <x:v>46204</x:v>
      </x:c>
      <x:c r="C1568" t="str">
        <x:v>Jul 2026</x:v>
      </x:c>
      <x:c r="D1568" t="str">
        <x:v>Forecast</x:v>
      </x:c>
      <x:c r="E1568" t="str">
        <x:v>DB-101</x:v>
      </x:c>
      <x:c r="F1568" t="str">
        <x:v>AeroSip Bottle</x:v>
      </x:c>
      <x:c r="G1568" t="str">
        <x:v>One-time purchase</x:v>
      </x:c>
      <x:c r="H1568" t="str">
        <x:v>None</x:v>
      </x:c>
      <x:c r="I1568" t="str">
        <x:v>Active</x:v>
      </x:c>
      <x:c r="J1568" t="str">
        <x:v>TikTok Shop</x:v>
      </x:c>
      <x:c r="K1568" t="str">
        <x:v>Social Commerce</x:v>
      </x:c>
      <x:c r="L1568" t="str">
        <x:v>All Geographies</x:v>
      </x:c>
      <x:c r="M1568" s="34" t="n">
        <x:v>1459</x:v>
      </x:c>
      <x:c r="N1568" s="28" t="n">
        <x:v>0.043092</x:v>
      </x:c>
      <x:c r="O1568" s="34" t="n">
        <x:v>63</x:v>
      </x:c>
      <x:c r="P1568" s="34" t="n">
        <x:v>1</x:v>
      </x:c>
      <x:c r="Q1568" s="34" t="n">
        <x:v>63</x:v>
      </x:c>
      <x:c r="R1568" s="33" t="n">
        <x:v>29</x:v>
      </x:c>
      <x:c r="S1568" s="38" t="n">
        <x:v>1.827</x:v>
      </x:c>
      <x:c r="T1568" s="38" t="n">
        <x:v>0.21924</x:v>
      </x:c>
      <x:c r="U1568" s="38" t="n">
        <x:v>0.07234919999999999</x:v>
      </x:c>
      <x:c r="V1568" s="38" t="n">
        <x:v>1.5354108</x:v>
      </x:c>
      <x:c r="W1568" s="38" t="n">
        <x:v>0.6804000000000001</x:v>
      </x:c>
      <x:c r="X1568" s="38" t="n">
        <x:v>0.044526913200000004</x:v>
      </x:c>
      <x:c r="Y1568" s="38" t="n">
        <x:v>0.09212464799999999</x:v>
      </x:c>
      <x:c r="Z1568" s="38" t="n">
        <x:v>0.3213</x:v>
      </x:c>
      <x:c r="AA1568" s="38" t="n">
        <x:v>0.11025</x:v>
      </x:c>
      <x:c r="AB1568" s="38" t="n">
        <x:v>0.0022679999999999996</x:v>
      </x:c>
      <x:c r="AC1568" s="38" t="n">
        <x:v>0.2845412387999999</x:v>
      </x:c>
      <x:c r="AD1568" s="28" t="n">
        <x:v>0.18531928966501987</x:v>
      </x:c>
    </x:row>
    <x:row r="1569">
      <x:c r="A1569" s="32" t="n">
        <x:v>46209</x:v>
      </x:c>
      <x:c r="B1569" s="32" t="n">
        <x:v>46204</x:v>
      </x:c>
      <x:c r="C1569" t="str">
        <x:v>Jul 2026</x:v>
      </x:c>
      <x:c r="D1569" t="str">
        <x:v>Forecast</x:v>
      </x:c>
      <x:c r="E1569" t="str">
        <x:v>DB-102</x:v>
      </x:c>
      <x:c r="F1569" t="str">
        <x:v>GlowPatch Balm</x:v>
      </x:c>
      <x:c r="G1569" t="str">
        <x:v>Consumable repeat</x:v>
      </x:c>
      <x:c r="H1569" t="str">
        <x:v>None</x:v>
      </x:c>
      <x:c r="I1569" t="str">
        <x:v>Active</x:v>
      </x:c>
      <x:c r="J1569" t="str">
        <x:v>Shopify DTC</x:v>
      </x:c>
      <x:c r="K1569" t="str">
        <x:v>Consumer</x:v>
      </x:c>
      <x:c r="L1569" t="str">
        <x:v>All Geographies</x:v>
      </x:c>
      <x:c r="M1569" s="34" t="n">
        <x:v>5893</x:v>
      </x:c>
      <x:c r="N1569" s="28" t="n">
        <x:v>0.04248</x:v>
      </x:c>
      <x:c r="O1569" s="34" t="n">
        <x:v>250</x:v>
      </x:c>
      <x:c r="P1569" s="34" t="n">
        <x:v>1</x:v>
      </x:c>
      <x:c r="Q1569" s="34" t="n">
        <x:v>250</x:v>
      </x:c>
      <x:c r="R1569" s="33" t="n">
        <x:v>18</x:v>
      </x:c>
      <x:c r="S1569" s="38" t="n">
        <x:v>4.5</x:v>
      </x:c>
      <x:c r="T1569" s="38" t="n">
        <x:v>0.36</x:v>
      </x:c>
      <x:c r="U1569" s="38" t="n">
        <x:v>0.1035</x:v>
      </x:c>
      <x:c r="V1569" s="38" t="n">
        <x:v>4.036499999999999</x:v>
      </x:c>
      <x:c r="W1569" s="38" t="n">
        <x:v>1.3525</x:v>
      </x:c>
      <x:c r="X1569" s="38" t="n">
        <x:v>0.11705849999999998</x:v>
      </x:c>
      <x:c r="Y1569" s="38" t="n">
        <x:v>0</x:v>
      </x:c>
      <x:c r="Z1569" s="38" t="n">
        <x:v>1.0375</x:v>
      </x:c>
      <x:c r="AA1569" s="38" t="n">
        <x:v>0.4125</x:v>
      </x:c>
      <x:c r="AB1569" s="38" t="n">
        <x:v>0.0015</x:v>
      </x:c>
      <x:c r="AC1569" s="38" t="n">
        <x:v>1.1154414999999989</x:v>
      </x:c>
      <x:c r="AD1569" s="28" t="n">
        <x:v>0.2763387835996529</x:v>
      </x:c>
    </x:row>
    <x:row r="1570">
      <x:c r="A1570" s="32" t="n">
        <x:v>46209</x:v>
      </x:c>
      <x:c r="B1570" s="32" t="n">
        <x:v>46204</x:v>
      </x:c>
      <x:c r="C1570" t="str">
        <x:v>Jul 2026</x:v>
      </x:c>
      <x:c r="D1570" t="str">
        <x:v>Forecast</x:v>
      </x:c>
      <x:c r="E1570" t="str">
        <x:v>DB-102</x:v>
      </x:c>
      <x:c r="F1570" t="str">
        <x:v>GlowPatch Balm</x:v>
      </x:c>
      <x:c r="G1570" t="str">
        <x:v>Consumable repeat</x:v>
      </x:c>
      <x:c r="H1570" t="str">
        <x:v>None</x:v>
      </x:c>
      <x:c r="I1570" t="str">
        <x:v>Active</x:v>
      </x:c>
      <x:c r="J1570" t="str">
        <x:v>Amazon Marketplace</x:v>
      </x:c>
      <x:c r="K1570" t="str">
        <x:v>Marketplace Consumer</x:v>
      </x:c>
      <x:c r="L1570" t="str">
        <x:v>All Geographies</x:v>
      </x:c>
      <x:c r="M1570" s="34" t="n">
        <x:v>2946</x:v>
      </x:c>
      <x:c r="N1570" s="28" t="n">
        <x:v>0.050126399999999995</x:v>
      </x:c>
      <x:c r="O1570" s="34" t="n">
        <x:v>148</x:v>
      </x:c>
      <x:c r="P1570" s="34" t="n">
        <x:v>1</x:v>
      </x:c>
      <x:c r="Q1570" s="34" t="n">
        <x:v>148</x:v>
      </x:c>
      <x:c r="R1570" s="33" t="n">
        <x:v>18</x:v>
      </x:c>
      <x:c r="S1570" s="38" t="n">
        <x:v>2.664</x:v>
      </x:c>
      <x:c r="T1570" s="38" t="n">
        <x:v>0.1332</x:v>
      </x:c>
      <x:c r="U1570" s="38" t="n">
        <x:v>0.06327</x:v>
      </x:c>
      <x:c r="V1570" s="38" t="n">
        <x:v>2.46753</x:v>
      </x:c>
      <x:c r="W1570" s="38" t="n">
        <x:v>0.8006800000000001</x:v>
      </x:c>
      <x:c r="X1570" s="38" t="n">
        <x:v>0</x:v>
      </x:c>
      <x:c r="Y1570" s="38" t="n">
        <x:v>0.3701295</x:v>
      </x:c>
      <x:c r="Z1570" s="38" t="n">
        <x:v>0.7696000000000001</x:v>
      </x:c>
      <x:c r="AA1570" s="38" t="n">
        <x:v>0.3182</x:v>
      </x:c>
      <x:c r="AB1570" s="38" t="n">
        <x:v>0.0008879999999999999</x:v>
      </x:c>
      <x:c r="AC1570" s="38" t="n">
        <x:v>0.2080324999999999</x:v>
      </x:c>
      <x:c r="AD1570" s="28" t="n">
        <x:v>0.084307992202729</x:v>
      </x:c>
    </x:row>
    <x:row r="1571">
      <x:c r="A1571" s="32" t="n">
        <x:v>46209</x:v>
      </x:c>
      <x:c r="B1571" s="32" t="n">
        <x:v>46204</x:v>
      </x:c>
      <x:c r="C1571" t="str">
        <x:v>Jul 2026</x:v>
      </x:c>
      <x:c r="D1571" t="str">
        <x:v>Forecast</x:v>
      </x:c>
      <x:c r="E1571" t="str">
        <x:v>DB-102</x:v>
      </x:c>
      <x:c r="F1571" t="str">
        <x:v>GlowPatch Balm</x:v>
      </x:c>
      <x:c r="G1571" t="str">
        <x:v>Consumable repeat</x:v>
      </x:c>
      <x:c r="H1571" t="str">
        <x:v>None</x:v>
      </x:c>
      <x:c r="I1571" t="str">
        <x:v>Active</x:v>
      </x:c>
      <x:c r="J1571" t="str">
        <x:v>Wholesale</x:v>
      </x:c>
      <x:c r="K1571" t="str">
        <x:v>Retailer</x:v>
      </x:c>
      <x:c r="L1571" t="str">
        <x:v>All Geographies</x:v>
      </x:c>
      <x:c r="M1571" s="34" t="n">
        <x:v>1768</x:v>
      </x:c>
      <x:c r="N1571" s="28" t="n">
        <x:v>0.023364</x:v>
      </x:c>
      <x:c r="O1571" s="34" t="n">
        <x:v>41</x:v>
      </x:c>
      <x:c r="P1571" s="34" t="n">
        <x:v>1</x:v>
      </x:c>
      <x:c r="Q1571" s="34" t="n">
        <x:v>41</x:v>
      </x:c>
      <x:c r="R1571" s="33" t="n">
        <x:v>18</x:v>
      </x:c>
      <x:c r="S1571" s="38" t="n">
        <x:v>0.738</x:v>
      </x:c>
      <x:c r="T1571" s="38" t="n">
        <x:v>0.2583</x:v>
      </x:c>
      <x:c r="U1571" s="38" t="n">
        <x:v>0.011992500000000001</x:v>
      </x:c>
      <x:c r="V1571" s="38" t="n">
        <x:v>0.4677075</x:v>
      </x:c>
      <x:c r="W1571" s="38" t="n">
        <x:v>0.22181</x:v>
      </x:c>
      <x:c r="X1571" s="38" t="n">
        <x:v>0</x:v>
      </x:c>
      <x:c r="Y1571" s="38" t="n">
        <x:v>0</x:v>
      </x:c>
      <x:c r="Z1571" s="38" t="n">
        <x:v>0.0943</x:v>
      </x:c>
      <x:c r="AA1571" s="38" t="n">
        <x:v>0.03485</x:v>
      </x:c>
      <x:c r="AB1571" s="38" t="n">
        <x:v>0.000246</x:v>
      </x:c>
      <x:c r="AC1571" s="38" t="n">
        <x:v>0.11650150000000001</x:v>
      </x:c>
      <x:c r="AD1571" s="28" t="n">
        <x:v>0.2490905106289722</x:v>
      </x:c>
    </x:row>
    <x:row r="1572">
      <x:c r="A1572" s="32" t="n">
        <x:v>46209</x:v>
      </x:c>
      <x:c r="B1572" s="32" t="n">
        <x:v>46204</x:v>
      </x:c>
      <x:c r="C1572" t="str">
        <x:v>Jul 2026</x:v>
      </x:c>
      <x:c r="D1572" t="str">
        <x:v>Forecast</x:v>
      </x:c>
      <x:c r="E1572" t="str">
        <x:v>DB-102</x:v>
      </x:c>
      <x:c r="F1572" t="str">
        <x:v>GlowPatch Balm</x:v>
      </x:c>
      <x:c r="G1572" t="str">
        <x:v>Consumable repeat</x:v>
      </x:c>
      <x:c r="H1572" t="str">
        <x:v>None</x:v>
      </x:c>
      <x:c r="I1572" t="str">
        <x:v>Active</x:v>
      </x:c>
      <x:c r="J1572" t="str">
        <x:v>TikTok Shop</x:v>
      </x:c>
      <x:c r="K1572" t="str">
        <x:v>Social Commerce</x:v>
      </x:c>
      <x:c r="L1572" t="str">
        <x:v>All Geographies</x:v>
      </x:c>
      <x:c r="M1572" s="34" t="n">
        <x:v>1179</x:v>
      </x:c>
      <x:c r="N1572" s="28" t="n">
        <x:v>0.0535248</x:v>
      </x:c>
      <x:c r="O1572" s="34" t="n">
        <x:v>63</x:v>
      </x:c>
      <x:c r="P1572" s="34" t="n">
        <x:v>1</x:v>
      </x:c>
      <x:c r="Q1572" s="34" t="n">
        <x:v>63</x:v>
      </x:c>
      <x:c r="R1572" s="33" t="n">
        <x:v>18</x:v>
      </x:c>
      <x:c r="S1572" s="38" t="n">
        <x:v>1.134</x:v>
      </x:c>
      <x:c r="T1572" s="38" t="n">
        <x:v>0.13607999999999998</x:v>
      </x:c>
      <x:c r="U1572" s="38" t="n">
        <x:v>0.024947999999999998</x:v>
      </x:c>
      <x:c r="V1572" s="38" t="n">
        <x:v>0.972972</x:v>
      </x:c>
      <x:c r="W1572" s="38" t="n">
        <x:v>0.34082999999999997</x:v>
      </x:c>
      <x:c r="X1572" s="38" t="n">
        <x:v>0.028216188</x:v>
      </x:c>
      <x:c r="Y1572" s="38" t="n">
        <x:v>0.05837832</x:v>
      </x:c>
      <x:c r="Z1572" s="38" t="n">
        <x:v>0.3213</x:v>
      </x:c>
      <x:c r="AA1572" s="38" t="n">
        <x:v>0.11025</x:v>
      </x:c>
      <x:c r="AB1572" s="38" t="n">
        <x:v>0.000378</x:v>
      </x:c>
      <x:c r="AC1572" s="38" t="n">
        <x:v>0.11361949199999999</x:v>
      </x:c>
      <x:c r="AD1572" s="28" t="n">
        <x:v>0.11677570577570577</x:v>
      </x:c>
    </x:row>
    <x:row r="1573">
      <x:c r="A1573" s="32" t="n">
        <x:v>46209</x:v>
      </x:c>
      <x:c r="B1573" s="32" t="n">
        <x:v>46204</x:v>
      </x:c>
      <x:c r="C1573" t="str">
        <x:v>Jul 2026</x:v>
      </x:c>
      <x:c r="D1573" t="str">
        <x:v>Forecast</x:v>
      </x:c>
      <x:c r="E1573" t="str">
        <x:v>DB-103</x:v>
      </x:c>
      <x:c r="F1573" t="str">
        <x:v>EmberTrail Camp Mug</x:v>
      </x:c>
      <x:c r="G1573" t="str">
        <x:v>One-time purchase</x:v>
      </x:c>
      <x:c r="H1573" t="str">
        <x:v>Winter peak</x:v>
      </x:c>
      <x:c r="I1573" t="str">
        <x:v>Active</x:v>
      </x:c>
      <x:c r="J1573" t="str">
        <x:v>Shopify DTC</x:v>
      </x:c>
      <x:c r="K1573" t="str">
        <x:v>Consumer</x:v>
      </x:c>
      <x:c r="L1573" t="str">
        <x:v>All Geographies</x:v>
      </x:c>
      <x:c r="M1573" s="34" t="n">
        <x:v>3940</x:v>
      </x:c>
      <x:c r="N1573" s="28" t="n">
        <x:v>0.0324</x:v>
      </x:c>
      <x:c r="O1573" s="34" t="n">
        <x:v>128</x:v>
      </x:c>
      <x:c r="P1573" s="34" t="n">
        <x:v>1</x:v>
      </x:c>
      <x:c r="Q1573" s="34" t="n">
        <x:v>128</x:v>
      </x:c>
      <x:c r="R1573" s="33" t="n">
        <x:v>34</x:v>
      </x:c>
      <x:c r="S1573" s="38" t="n">
        <x:v>4.352</x:v>
      </x:c>
      <x:c r="T1573" s="38" t="n">
        <x:v>0.34816</x:v>
      </x:c>
      <x:c r="U1573" s="38" t="n">
        <x:v>0.22021120000000002</x:v>
      </x:c>
      <x:c r="V1573" s="38" t="n">
        <x:v>3.7836288000000002</x:v>
      </x:c>
      <x:c r="W1573" s="38" t="n">
        <x:v>1.74976</x:v>
      </x:c>
      <x:c r="X1573" s="38" t="n">
        <x:v>0.10972523520000001</x:v>
      </x:c>
      <x:c r="Y1573" s="38" t="n">
        <x:v>0</x:v>
      </x:c>
      <x:c r="Z1573" s="38" t="n">
        <x:v>0.5312</x:v>
      </x:c>
      <x:c r="AA1573" s="38" t="n">
        <x:v>0.2112</x:v>
      </x:c>
      <x:c r="AB1573" s="38" t="n">
        <x:v>0.007168</x:v>
      </x:c>
      <x:c r="AC1573" s="38" t="n">
        <x:v>1.1745755648000002</x:v>
      </x:c>
      <x:c r="AD1573" s="28" t="n">
        <x:v>0.3104362575948254</x:v>
      </x:c>
    </x:row>
    <x:row r="1574">
      <x:c r="A1574" s="32" t="n">
        <x:v>46209</x:v>
      </x:c>
      <x:c r="B1574" s="32" t="n">
        <x:v>46204</x:v>
      </x:c>
      <x:c r="C1574" t="str">
        <x:v>Jul 2026</x:v>
      </x:c>
      <x:c r="D1574" t="str">
        <x:v>Forecast</x:v>
      </x:c>
      <x:c r="E1574" t="str">
        <x:v>DB-103</x:v>
      </x:c>
      <x:c r="F1574" t="str">
        <x:v>EmberTrail Camp Mug</x:v>
      </x:c>
      <x:c r="G1574" t="str">
        <x:v>One-time purchase</x:v>
      </x:c>
      <x:c r="H1574" t="str">
        <x:v>Winter peak</x:v>
      </x:c>
      <x:c r="I1574" t="str">
        <x:v>Active</x:v>
      </x:c>
      <x:c r="J1574" t="str">
        <x:v>Amazon Marketplace</x:v>
      </x:c>
      <x:c r="K1574" t="str">
        <x:v>Marketplace Consumer</x:v>
      </x:c>
      <x:c r="L1574" t="str">
        <x:v>All Geographies</x:v>
      </x:c>
      <x:c r="M1574" s="34" t="n">
        <x:v>1970</x:v>
      </x:c>
      <x:c r="N1574" s="28" t="n">
        <x:v>0.038231999999999995</x:v>
      </x:c>
      <x:c r="O1574" s="34" t="n">
        <x:v>75</x:v>
      </x:c>
      <x:c r="P1574" s="34" t="n">
        <x:v>1</x:v>
      </x:c>
      <x:c r="Q1574" s="34" t="n">
        <x:v>75</x:v>
      </x:c>
      <x:c r="R1574" s="33" t="n">
        <x:v>34</x:v>
      </x:c>
      <x:c r="S1574" s="38" t="n">
        <x:v>2.55</x:v>
      </x:c>
      <x:c r="T1574" s="38" t="n">
        <x:v>0.1275</x:v>
      </x:c>
      <x:c r="U1574" s="38" t="n">
        <x:v>0.13323749999999998</x:v>
      </x:c>
      <x:c r="V1574" s="38" t="n">
        <x:v>2.2892625</x:v>
      </x:c>
      <x:c r="W1574" s="38" t="n">
        <x:v>1.02525</x:v>
      </x:c>
      <x:c r="X1574" s="38" t="n">
        <x:v>0</x:v>
      </x:c>
      <x:c r="Y1574" s="38" t="n">
        <x:v>0.343389375</x:v>
      </x:c>
      <x:c r="Z1574" s="38" t="n">
        <x:v>0.39</x:v>
      </x:c>
      <x:c r="AA1574" s="38" t="n">
        <x:v>0.16125</x:v>
      </x:c>
      <x:c r="AB1574" s="38" t="n">
        <x:v>0.004200000000000001</x:v>
      </x:c>
      <x:c r="AC1574" s="38" t="n">
        <x:v>0.365173125</x:v>
      </x:c>
      <x:c r="AD1574" s="28" t="n">
        <x:v>0.15951561911314233</x:v>
      </x:c>
    </x:row>
    <x:row r="1575">
      <x:c r="A1575" s="32" t="n">
        <x:v>46209</x:v>
      </x:c>
      <x:c r="B1575" s="32" t="n">
        <x:v>46204</x:v>
      </x:c>
      <x:c r="C1575" t="str">
        <x:v>Jul 2026</x:v>
      </x:c>
      <x:c r="D1575" t="str">
        <x:v>Forecast</x:v>
      </x:c>
      <x:c r="E1575" t="str">
        <x:v>DB-103</x:v>
      </x:c>
      <x:c r="F1575" t="str">
        <x:v>EmberTrail Camp Mug</x:v>
      </x:c>
      <x:c r="G1575" t="str">
        <x:v>One-time purchase</x:v>
      </x:c>
      <x:c r="H1575" t="str">
        <x:v>Winter peak</x:v>
      </x:c>
      <x:c r="I1575" t="str">
        <x:v>Active</x:v>
      </x:c>
      <x:c r="J1575" t="str">
        <x:v>Wholesale</x:v>
      </x:c>
      <x:c r="K1575" t="str">
        <x:v>Retailer</x:v>
      </x:c>
      <x:c r="L1575" t="str">
        <x:v>All Geographies</x:v>
      </x:c>
      <x:c r="M1575" s="34" t="n">
        <x:v>1182</x:v>
      </x:c>
      <x:c r="N1575" s="28" t="n">
        <x:v>0.017820000000000003</x:v>
      </x:c>
      <x:c r="O1575" s="34" t="n">
        <x:v>21</x:v>
      </x:c>
      <x:c r="P1575" s="34" t="n">
        <x:v>1</x:v>
      </x:c>
      <x:c r="Q1575" s="34" t="n">
        <x:v>21</x:v>
      </x:c>
      <x:c r="R1575" s="33" t="n">
        <x:v>34</x:v>
      </x:c>
      <x:c r="S1575" s="38" t="n">
        <x:v>0.714</x:v>
      </x:c>
      <x:c r="T1575" s="38" t="n">
        <x:v>0.24989999999999998</x:v>
      </x:c>
      <x:c r="U1575" s="38" t="n">
        <x:v>0.025525499999999996</x:v>
      </x:c>
      <x:c r="V1575" s="38" t="n">
        <x:v>0.4385745</x:v>
      </x:c>
      <x:c r="W1575" s="38" t="n">
        <x:v>0.28707</x:v>
      </x:c>
      <x:c r="X1575" s="38" t="n">
        <x:v>0</x:v>
      </x:c>
      <x:c r="Y1575" s="38" t="n">
        <x:v>0</x:v>
      </x:c>
      <x:c r="Z1575" s="38" t="n">
        <x:v>0.048299999999999996</x:v>
      </x:c>
      <x:c r="AA1575" s="38" t="n">
        <x:v>0.017849999999999998</x:v>
      </x:c>
      <x:c r="AB1575" s="38" t="n">
        <x:v>0.0011760000000000002</x:v>
      </x:c>
      <x:c r="AC1575" s="38" t="n">
        <x:v>0.0841785</x:v>
      </x:c>
      <x:c r="AD1575" s="28" t="n">
        <x:v>0.1919366037013096</x:v>
      </x:c>
    </x:row>
    <x:row r="1576">
      <x:c r="A1576" s="32" t="n">
        <x:v>46209</x:v>
      </x:c>
      <x:c r="B1576" s="32" t="n">
        <x:v>46204</x:v>
      </x:c>
      <x:c r="C1576" t="str">
        <x:v>Jul 2026</x:v>
      </x:c>
      <x:c r="D1576" t="str">
        <x:v>Forecast</x:v>
      </x:c>
      <x:c r="E1576" t="str">
        <x:v>DB-103</x:v>
      </x:c>
      <x:c r="F1576" t="str">
        <x:v>EmberTrail Camp Mug</x:v>
      </x:c>
      <x:c r="G1576" t="str">
        <x:v>One-time purchase</x:v>
      </x:c>
      <x:c r="H1576" t="str">
        <x:v>Winter peak</x:v>
      </x:c>
      <x:c r="I1576" t="str">
        <x:v>Active</x:v>
      </x:c>
      <x:c r="J1576" t="str">
        <x:v>TikTok Shop</x:v>
      </x:c>
      <x:c r="K1576" t="str">
        <x:v>Social Commerce</x:v>
      </x:c>
      <x:c r="L1576" t="str">
        <x:v>All Geographies</x:v>
      </x:c>
      <x:c r="M1576" s="34" t="n">
        <x:v>788</x:v>
      </x:c>
      <x:c r="N1576" s="28" t="n">
        <x:v>0.040824</x:v>
      </x:c>
      <x:c r="O1576" s="34" t="n">
        <x:v>32</x:v>
      </x:c>
      <x:c r="P1576" s="34" t="n">
        <x:v>1</x:v>
      </x:c>
      <x:c r="Q1576" s="34" t="n">
        <x:v>32</x:v>
      </x:c>
      <x:c r="R1576" s="33" t="n">
        <x:v>34</x:v>
      </x:c>
      <x:c r="S1576" s="38" t="n">
        <x:v>1.088</x:v>
      </x:c>
      <x:c r="T1576" s="38" t="n">
        <x:v>0.13056</x:v>
      </x:c>
      <x:c r="U1576" s="38" t="n">
        <x:v>0.0526592</x:v>
      </x:c>
      <x:c r="V1576" s="38" t="n">
        <x:v>0.9047808</x:v>
      </x:c>
      <x:c r="W1576" s="38" t="n">
        <x:v>0.43744</x:v>
      </x:c>
      <x:c r="X1576" s="38" t="n">
        <x:v>0.0262386432</x:v>
      </x:c>
      <x:c r="Y1576" s="38" t="n">
        <x:v>0.054286848</x:v>
      </x:c>
      <x:c r="Z1576" s="38" t="n">
        <x:v>0.16319999999999998</x:v>
      </x:c>
      <x:c r="AA1576" s="38" t="n">
        <x:v>0.056</x:v>
      </x:c>
      <x:c r="AB1576" s="38" t="n">
        <x:v>0.001792</x:v>
      </x:c>
      <x:c r="AC1576" s="38" t="n">
        <x:v>0.16582330880000007</x:v>
      </x:c>
      <x:c r="AD1576" s="28" t="n">
        <x:v>0.1832745663922135</x:v>
      </x:c>
    </x:row>
    <x:row r="1577">
      <x:c r="A1577" s="32" t="n">
        <x:v>46209</x:v>
      </x:c>
      <x:c r="B1577" s="32" t="n">
        <x:v>46204</x:v>
      </x:c>
      <x:c r="C1577" t="str">
        <x:v>Jul 2026</x:v>
      </x:c>
      <x:c r="D1577" t="str">
        <x:v>Forecast</x:v>
      </x:c>
      <x:c r="E1577" t="str">
        <x:v>DB-104</x:v>
      </x:c>
      <x:c r="F1577" t="str">
        <x:v>SunNest Cooling Towel</x:v>
      </x:c>
      <x:c r="G1577" t="str">
        <x:v>Consumable repeat</x:v>
      </x:c>
      <x:c r="H1577" t="str">
        <x:v>Summer peak</x:v>
      </x:c>
      <x:c r="I1577" t="str">
        <x:v>Active</x:v>
      </x:c>
      <x:c r="J1577" t="str">
        <x:v>Shopify DTC</x:v>
      </x:c>
      <x:c r="K1577" t="str">
        <x:v>Consumer</x:v>
      </x:c>
      <x:c r="L1577" t="str">
        <x:v>All Geographies</x:v>
      </x:c>
      <x:c r="M1577" s="34" t="n">
        <x:v>6774</x:v>
      </x:c>
      <x:c r="N1577" s="28" t="n">
        <x:v>0.03312</x:v>
      </x:c>
      <x:c r="O1577" s="34" t="n">
        <x:v>224</x:v>
      </x:c>
      <x:c r="P1577" s="34" t="n">
        <x:v>1</x:v>
      </x:c>
      <x:c r="Q1577" s="34" t="n">
        <x:v>224</x:v>
      </x:c>
      <x:c r="R1577" s="33" t="n">
        <x:v>42</x:v>
      </x:c>
      <x:c r="S1577" s="38" t="n">
        <x:v>9.408</x:v>
      </x:c>
      <x:c r="T1577" s="38" t="n">
        <x:v>0.75264</x:v>
      </x:c>
      <x:c r="U1577" s="38" t="n">
        <x:v>0.43276800000000004</x:v>
      </x:c>
      <x:c r="V1577" s="38" t="n">
        <x:v>8.222592</x:v>
      </x:c>
      <x:c r="W1577" s="38" t="n">
        <x:v>3.3712000000000004</x:v>
      </x:c>
      <x:c r="X1577" s="38" t="n">
        <x:v>0.23845516800000002</x:v>
      </x:c>
      <x:c r="Y1577" s="38" t="n">
        <x:v>0</x:v>
      </x:c>
      <x:c r="Z1577" s="38" t="n">
        <x:v>0.9296000000000001</x:v>
      </x:c>
      <x:c r="AA1577" s="38" t="n">
        <x:v>0.3696</x:v>
      </x:c>
      <x:c r="AB1577" s="38" t="n">
        <x:v>0.006272000000000001</x:v>
      </x:c>
      <x:c r="AC1577" s="38" t="n">
        <x:v>3.3074648320000004</x:v>
      </x:c>
      <x:c r="AD1577" s="28" t="n">
        <x:v>0.40224114634412117</x:v>
      </x:c>
    </x:row>
    <x:row r="1578">
      <x:c r="A1578" s="32" t="n">
        <x:v>46209</x:v>
      </x:c>
      <x:c r="B1578" s="32" t="n">
        <x:v>46204</x:v>
      </x:c>
      <x:c r="C1578" t="str">
        <x:v>Jul 2026</x:v>
      </x:c>
      <x:c r="D1578" t="str">
        <x:v>Forecast</x:v>
      </x:c>
      <x:c r="E1578" t="str">
        <x:v>DB-104</x:v>
      </x:c>
      <x:c r="F1578" t="str">
        <x:v>SunNest Cooling Towel</x:v>
      </x:c>
      <x:c r="G1578" t="str">
        <x:v>Consumable repeat</x:v>
      </x:c>
      <x:c r="H1578" t="str">
        <x:v>Summer peak</x:v>
      </x:c>
      <x:c r="I1578" t="str">
        <x:v>Active</x:v>
      </x:c>
      <x:c r="J1578" t="str">
        <x:v>Amazon Marketplace</x:v>
      </x:c>
      <x:c r="K1578" t="str">
        <x:v>Marketplace Consumer</x:v>
      </x:c>
      <x:c r="L1578" t="str">
        <x:v>All Geographies</x:v>
      </x:c>
      <x:c r="M1578" s="34" t="n">
        <x:v>3387</x:v>
      </x:c>
      <x:c r="N1578" s="28" t="n">
        <x:v>0.0390816</x:v>
      </x:c>
      <x:c r="O1578" s="34" t="n">
        <x:v>132</x:v>
      </x:c>
      <x:c r="P1578" s="34" t="n">
        <x:v>1</x:v>
      </x:c>
      <x:c r="Q1578" s="34" t="n">
        <x:v>132</x:v>
      </x:c>
      <x:c r="R1578" s="33" t="n">
        <x:v>42</x:v>
      </x:c>
      <x:c r="S1578" s="38" t="n">
        <x:v>5.544</x:v>
      </x:c>
      <x:c r="T1578" s="38" t="n">
        <x:v>0.2772</x:v>
      </x:c>
      <x:c r="U1578" s="38" t="n">
        <x:v>0.26334</x:v>
      </x:c>
      <x:c r="V1578" s="38" t="n">
        <x:v>5.00346</x:v>
      </x:c>
      <x:c r="W1578" s="38" t="n">
        <x:v>1.9866000000000001</x:v>
      </x:c>
      <x:c r="X1578" s="38" t="n">
        <x:v>0</x:v>
      </x:c>
      <x:c r="Y1578" s="38" t="n">
        <x:v>0.7505189999999999</x:v>
      </x:c>
      <x:c r="Z1578" s="38" t="n">
        <x:v>0.6864</x:v>
      </x:c>
      <x:c r="AA1578" s="38" t="n">
        <x:v>0.2838</x:v>
      </x:c>
      <x:c r="AB1578" s="38" t="n">
        <x:v>0.0036959999999999996</x:v>
      </x:c>
      <x:c r="AC1578" s="38" t="n">
        <x:v>1.2924449999999998</x:v>
      </x:c>
      <x:c r="AD1578" s="28" t="n">
        <x:v>0.2583102493074792</x:v>
      </x:c>
    </x:row>
    <x:row r="1579">
      <x:c r="A1579" s="32" t="n">
        <x:v>46209</x:v>
      </x:c>
      <x:c r="B1579" s="32" t="n">
        <x:v>46204</x:v>
      </x:c>
      <x:c r="C1579" t="str">
        <x:v>Jul 2026</x:v>
      </x:c>
      <x:c r="D1579" t="str">
        <x:v>Forecast</x:v>
      </x:c>
      <x:c r="E1579" t="str">
        <x:v>DB-104</x:v>
      </x:c>
      <x:c r="F1579" t="str">
        <x:v>SunNest Cooling Towel</x:v>
      </x:c>
      <x:c r="G1579" t="str">
        <x:v>Consumable repeat</x:v>
      </x:c>
      <x:c r="H1579" t="str">
        <x:v>Summer peak</x:v>
      </x:c>
      <x:c r="I1579" t="str">
        <x:v>Active</x:v>
      </x:c>
      <x:c r="J1579" t="str">
        <x:v>Wholesale</x:v>
      </x:c>
      <x:c r="K1579" t="str">
        <x:v>Retailer</x:v>
      </x:c>
      <x:c r="L1579" t="str">
        <x:v>All Geographies</x:v>
      </x:c>
      <x:c r="M1579" s="34" t="n">
        <x:v>2032</x:v>
      </x:c>
      <x:c r="N1579" s="28" t="n">
        <x:v>0.018216000000000003</x:v>
      </x:c>
      <x:c r="O1579" s="34" t="n">
        <x:v>37</x:v>
      </x:c>
      <x:c r="P1579" s="34" t="n">
        <x:v>1</x:v>
      </x:c>
      <x:c r="Q1579" s="34" t="n">
        <x:v>37</x:v>
      </x:c>
      <x:c r="R1579" s="33" t="n">
        <x:v>42</x:v>
      </x:c>
      <x:c r="S1579" s="38" t="n">
        <x:v>1.554</x:v>
      </x:c>
      <x:c r="T1579" s="38" t="n">
        <x:v>0.5438999999999999</x:v>
      </x:c>
      <x:c r="U1579" s="38" t="n">
        <x:v>0.050505</x:v>
      </x:c>
      <x:c r="V1579" s="38" t="n">
        <x:v>0.959595</x:v>
      </x:c>
      <x:c r="W1579" s="38" t="n">
        <x:v>0.5568500000000001</x:v>
      </x:c>
      <x:c r="X1579" s="38" t="n">
        <x:v>0</x:v>
      </x:c>
      <x:c r="Y1579" s="38" t="n">
        <x:v>0</x:v>
      </x:c>
      <x:c r="Z1579" s="38" t="n">
        <x:v>0.0851</x:v>
      </x:c>
      <x:c r="AA1579" s="38" t="n">
        <x:v>0.03145</x:v>
      </x:c>
      <x:c r="AB1579" s="38" t="n">
        <x:v>0.001036</x:v>
      </x:c>
      <x:c r="AC1579" s="38" t="n">
        <x:v>0.28515899999999994</x:v>
      </x:c>
      <x:c r="AD1579" s="28" t="n">
        <x:v>0.29716599190283394</x:v>
      </x:c>
    </x:row>
    <x:row r="1580">
      <x:c r="A1580" s="32" t="n">
        <x:v>46209</x:v>
      </x:c>
      <x:c r="B1580" s="32" t="n">
        <x:v>46204</x:v>
      </x:c>
      <x:c r="C1580" t="str">
        <x:v>Jul 2026</x:v>
      </x:c>
      <x:c r="D1580" t="str">
        <x:v>Forecast</x:v>
      </x:c>
      <x:c r="E1580" t="str">
        <x:v>DB-104</x:v>
      </x:c>
      <x:c r="F1580" t="str">
        <x:v>SunNest Cooling Towel</x:v>
      </x:c>
      <x:c r="G1580" t="str">
        <x:v>Consumable repeat</x:v>
      </x:c>
      <x:c r="H1580" t="str">
        <x:v>Summer peak</x:v>
      </x:c>
      <x:c r="I1580" t="str">
        <x:v>Active</x:v>
      </x:c>
      <x:c r="J1580" t="str">
        <x:v>TikTok Shop</x:v>
      </x:c>
      <x:c r="K1580" t="str">
        <x:v>Social Commerce</x:v>
      </x:c>
      <x:c r="L1580" t="str">
        <x:v>All Geographies</x:v>
      </x:c>
      <x:c r="M1580" s="34" t="n">
        <x:v>1355</x:v>
      </x:c>
      <x:c r="N1580" s="28" t="n">
        <x:v>0.0417312</x:v>
      </x:c>
      <x:c r="O1580" s="34" t="n">
        <x:v>57</x:v>
      </x:c>
      <x:c r="P1580" s="34" t="n">
        <x:v>1</x:v>
      </x:c>
      <x:c r="Q1580" s="34" t="n">
        <x:v>57</x:v>
      </x:c>
      <x:c r="R1580" s="33" t="n">
        <x:v>42</x:v>
      </x:c>
      <x:c r="S1580" s="38" t="n">
        <x:v>2.394</x:v>
      </x:c>
      <x:c r="T1580" s="38" t="n">
        <x:v>0.28728</x:v>
      </x:c>
      <x:c r="U1580" s="38" t="n">
        <x:v>0.10533600000000001</x:v>
      </x:c>
      <x:c r="V1580" s="38" t="n">
        <x:v>2.0013840000000003</x:v>
      </x:c>
      <x:c r="W1580" s="38" t="n">
        <x:v>0.85785</x:v>
      </x:c>
      <x:c r="X1580" s="38" t="n">
        <x:v>0.05804013600000001</x:v>
      </x:c>
      <x:c r="Y1580" s="38" t="n">
        <x:v>0.12008304000000002</x:v>
      </x:c>
      <x:c r="Z1580" s="38" t="n">
        <x:v>0.2907</x:v>
      </x:c>
      <x:c r="AA1580" s="38" t="n">
        <x:v>0.09975</x:v>
      </x:c>
      <x:c r="AB1580" s="38" t="n">
        <x:v>0.001596</x:v>
      </x:c>
      <x:c r="AC1580" s="38" t="n">
        <x:v>0.5733648240000001</x:v>
      </x:c>
      <x:c r="AD1580" s="28" t="n">
        <x:v>0.2864841649578492</x:v>
      </x:c>
    </x:row>
    <x:row r="1581">
      <x:c r="A1581" s="32" t="n">
        <x:v>46209</x:v>
      </x:c>
      <x:c r="B1581" s="32" t="n">
        <x:v>46204</x:v>
      </x:c>
      <x:c r="C1581" t="str">
        <x:v>Jul 2026</x:v>
      </x:c>
      <x:c r="D1581" t="str">
        <x:v>Forecast</x:v>
      </x:c>
      <x:c r="E1581" t="str">
        <x:v>DB-105</x:v>
      </x:c>
      <x:c r="F1581" t="str">
        <x:v>DreamFuel Refill Pack</x:v>
      </x:c>
      <x:c r="G1581" t="str">
        <x:v>Subscription</x:v>
      </x:c>
      <x:c r="H1581" t="str">
        <x:v>None</x:v>
      </x:c>
      <x:c r="I1581" t="str">
        <x:v>Active</x:v>
      </x:c>
      <x:c r="J1581" t="str">
        <x:v>Shopify DTC</x:v>
      </x:c>
      <x:c r="K1581" t="str">
        <x:v>Consumer</x:v>
      </x:c>
      <x:c r="L1581" t="str">
        <x:v>All Geographies</x:v>
      </x:c>
      <x:c r="M1581" s="34" t="n">
        <x:v>5051</x:v>
      </x:c>
      <x:c r="N1581" s="28" t="n">
        <x:v>0.03888</x:v>
      </x:c>
      <x:c r="O1581" s="34" t="n">
        <x:v>196</x:v>
      </x:c>
      <x:c r="P1581" s="34" t="n">
        <x:v>1</x:v>
      </x:c>
      <x:c r="Q1581" s="34" t="n">
        <x:v>196</x:v>
      </x:c>
      <x:c r="R1581" s="33" t="n">
        <x:v>56</x:v>
      </x:c>
      <x:c r="S1581" s="38" t="n">
        <x:v>10.976</x:v>
      </x:c>
      <x:c r="T1581" s="38" t="n">
        <x:v>0.8780800000000001</x:v>
      </x:c>
      <x:c r="U1581" s="38" t="n">
        <x:v>0.2019584</x:v>
      </x:c>
      <x:c r="V1581" s="38" t="n">
        <x:v>9.8959616</x:v>
      </x:c>
      <x:c r="W1581" s="38" t="n">
        <x:v>3.64952</x:v>
      </x:c>
      <x:c r="X1581" s="38" t="n">
        <x:v>0.2869828864</x:v>
      </x:c>
      <x:c r="Y1581" s="38" t="n">
        <x:v>0</x:v>
      </x:c>
      <x:c r="Z1581" s="38" t="n">
        <x:v>0.8134000000000001</x:v>
      </x:c>
      <x:c r="AA1581" s="38" t="n">
        <x:v>0.32339999999999997</x:v>
      </x:c>
      <x:c r="AB1581" s="38" t="n">
        <x:v>0.0007055999999999999</x:v>
      </x:c>
      <x:c r="AC1581" s="38" t="n">
        <x:v>4.8219531136</x:v>
      </x:c>
      <x:c r="AD1581" s="28" t="n">
        <x:v>0.4872647357079478</x:v>
      </x:c>
    </x:row>
    <x:row r="1582">
      <x:c r="A1582" s="32" t="n">
        <x:v>46209</x:v>
      </x:c>
      <x:c r="B1582" s="32" t="n">
        <x:v>46204</x:v>
      </x:c>
      <x:c r="C1582" t="str">
        <x:v>Jul 2026</x:v>
      </x:c>
      <x:c r="D1582" t="str">
        <x:v>Forecast</x:v>
      </x:c>
      <x:c r="E1582" t="str">
        <x:v>DB-105</x:v>
      </x:c>
      <x:c r="F1582" t="str">
        <x:v>DreamFuel Refill Pack</x:v>
      </x:c>
      <x:c r="G1582" t="str">
        <x:v>Subscription</x:v>
      </x:c>
      <x:c r="H1582" t="str">
        <x:v>None</x:v>
      </x:c>
      <x:c r="I1582" t="str">
        <x:v>Active</x:v>
      </x:c>
      <x:c r="J1582" t="str">
        <x:v>Amazon Marketplace</x:v>
      </x:c>
      <x:c r="K1582" t="str">
        <x:v>Marketplace Consumer</x:v>
      </x:c>
      <x:c r="L1582" t="str">
        <x:v>All Geographies</x:v>
      </x:c>
      <x:c r="M1582" s="34" t="n">
        <x:v>2525</x:v>
      </x:c>
      <x:c r="N1582" s="28" t="n">
        <x:v>0.0458784</x:v>
      </x:c>
      <x:c r="O1582" s="34" t="n">
        <x:v>116</x:v>
      </x:c>
      <x:c r="P1582" s="34" t="n">
        <x:v>1</x:v>
      </x:c>
      <x:c r="Q1582" s="34" t="n">
        <x:v>116</x:v>
      </x:c>
      <x:c r="R1582" s="33" t="n">
        <x:v>56</x:v>
      </x:c>
      <x:c r="S1582" s="38" t="n">
        <x:v>6.496</x:v>
      </x:c>
      <x:c r="T1582" s="38" t="n">
        <x:v>0.32480000000000003</x:v>
      </x:c>
      <x:c r="U1582" s="38" t="n">
        <x:v>0.12342400000000002</x:v>
      </x:c>
      <x:c r="V1582" s="38" t="n">
        <x:v>6.047776000000001</x:v>
      </x:c>
      <x:c r="W1582" s="38" t="n">
        <x:v>2.15992</x:v>
      </x:c>
      <x:c r="X1582" s="38" t="n">
        <x:v>0</x:v>
      </x:c>
      <x:c r="Y1582" s="38" t="n">
        <x:v>0.9071664</x:v>
      </x:c>
      <x:c r="Z1582" s="38" t="n">
        <x:v>0.6032000000000001</x:v>
      </x:c>
      <x:c r="AA1582" s="38" t="n">
        <x:v>0.24939999999999998</x:v>
      </x:c>
      <x:c r="AB1582" s="38" t="n">
        <x:v>0.0004176</x:v>
      </x:c>
      <x:c r="AC1582" s="38" t="n">
        <x:v>2.1276720000000005</x:v>
      </x:c>
      <x:c r="AD1582" s="28" t="n">
        <x:v>0.35181064907165877</x:v>
      </x:c>
    </x:row>
    <x:row r="1583">
      <x:c r="A1583" s="32" t="n">
        <x:v>46209</x:v>
      </x:c>
      <x:c r="B1583" s="32" t="n">
        <x:v>46204</x:v>
      </x:c>
      <x:c r="C1583" t="str">
        <x:v>Jul 2026</x:v>
      </x:c>
      <x:c r="D1583" t="str">
        <x:v>Forecast</x:v>
      </x:c>
      <x:c r="E1583" t="str">
        <x:v>DB-105</x:v>
      </x:c>
      <x:c r="F1583" t="str">
        <x:v>DreamFuel Refill Pack</x:v>
      </x:c>
      <x:c r="G1583" t="str">
        <x:v>Subscription</x:v>
      </x:c>
      <x:c r="H1583" t="str">
        <x:v>None</x:v>
      </x:c>
      <x:c r="I1583" t="str">
        <x:v>Active</x:v>
      </x:c>
      <x:c r="J1583" t="str">
        <x:v>Wholesale</x:v>
      </x:c>
      <x:c r="K1583" t="str">
        <x:v>Retailer</x:v>
      </x:c>
      <x:c r="L1583" t="str">
        <x:v>All Geographies</x:v>
      </x:c>
      <x:c r="M1583" s="34" t="n">
        <x:v>1515</x:v>
      </x:c>
      <x:c r="N1583" s="28" t="n">
        <x:v>0.021384000000000004</x:v>
      </x:c>
      <x:c r="O1583" s="34" t="n">
        <x:v>32</x:v>
      </x:c>
      <x:c r="P1583" s="34" t="n">
        <x:v>1</x:v>
      </x:c>
      <x:c r="Q1583" s="34" t="n">
        <x:v>32</x:v>
      </x:c>
      <x:c r="R1583" s="33" t="n">
        <x:v>56</x:v>
      </x:c>
      <x:c r="S1583" s="38" t="n">
        <x:v>1.792</x:v>
      </x:c>
      <x:c r="T1583" s="38" t="n">
        <x:v>0.6272</x:v>
      </x:c>
      <x:c r="U1583" s="38" t="n">
        <x:v>0.023296</x:v>
      </x:c>
      <x:c r="V1583" s="38" t="n">
        <x:v>1.141504</x:v>
      </x:c>
      <x:c r="W1583" s="38" t="n">
        <x:v>0.59584</x:v>
      </x:c>
      <x:c r="X1583" s="38" t="n">
        <x:v>0</x:v>
      </x:c>
      <x:c r="Y1583" s="38" t="n">
        <x:v>0</x:v>
      </x:c>
      <x:c r="Z1583" s="38" t="n">
        <x:v>0.0736</x:v>
      </x:c>
      <x:c r="AA1583" s="38" t="n">
        <x:v>0.0272</x:v>
      </x:c>
      <x:c r="AB1583" s="38" t="n">
        <x:v>0.0001152</x:v>
      </x:c>
      <x:c r="AC1583" s="38" t="n">
        <x:v>0.44474880000000006</x:v>
      </x:c>
      <x:c r="AD1583" s="28" t="n">
        <x:v>0.3896165059430366</x:v>
      </x:c>
    </x:row>
    <x:row r="1584">
      <x:c r="A1584" s="32" t="n">
        <x:v>46209</x:v>
      </x:c>
      <x:c r="B1584" s="32" t="n">
        <x:v>46204</x:v>
      </x:c>
      <x:c r="C1584" t="str">
        <x:v>Jul 2026</x:v>
      </x:c>
      <x:c r="D1584" t="str">
        <x:v>Forecast</x:v>
      </x:c>
      <x:c r="E1584" t="str">
        <x:v>DB-105</x:v>
      </x:c>
      <x:c r="F1584" t="str">
        <x:v>DreamFuel Refill Pack</x:v>
      </x:c>
      <x:c r="G1584" t="str">
        <x:v>Subscription</x:v>
      </x:c>
      <x:c r="H1584" t="str">
        <x:v>None</x:v>
      </x:c>
      <x:c r="I1584" t="str">
        <x:v>Active</x:v>
      </x:c>
      <x:c r="J1584" t="str">
        <x:v>TikTok Shop</x:v>
      </x:c>
      <x:c r="K1584" t="str">
        <x:v>Social Commerce</x:v>
      </x:c>
      <x:c r="L1584" t="str">
        <x:v>All Geographies</x:v>
      </x:c>
      <x:c r="M1584" s="34" t="n">
        <x:v>1010</x:v>
      </x:c>
      <x:c r="N1584" s="28" t="n">
        <x:v>0.0489888</x:v>
      </x:c>
      <x:c r="O1584" s="34" t="n">
        <x:v>49</x:v>
      </x:c>
      <x:c r="P1584" s="34" t="n">
        <x:v>1</x:v>
      </x:c>
      <x:c r="Q1584" s="34" t="n">
        <x:v>49</x:v>
      </x:c>
      <x:c r="R1584" s="33" t="n">
        <x:v>56</x:v>
      </x:c>
      <x:c r="S1584" s="38" t="n">
        <x:v>2.744</x:v>
      </x:c>
      <x:c r="T1584" s="38" t="n">
        <x:v>0.32928</x:v>
      </x:c>
      <x:c r="U1584" s="38" t="n">
        <x:v>0.0482944</x:v>
      </x:c>
      <x:c r="V1584" s="38" t="n">
        <x:v>2.3664256</x:v>
      </x:c>
      <x:c r="W1584" s="38" t="n">
        <x:v>0.91238</x:v>
      </x:c>
      <x:c r="X1584" s="38" t="n">
        <x:v>0.0686263424</x:v>
      </x:c>
      <x:c r="Y1584" s="38" t="n">
        <x:v>0.141985536</x:v>
      </x:c>
      <x:c r="Z1584" s="38" t="n">
        <x:v>0.24989999999999998</x:v>
      </x:c>
      <x:c r="AA1584" s="38" t="n">
        <x:v>0.08575</x:v>
      </x:c>
      <x:c r="AB1584" s="38" t="n">
        <x:v>0.00017639999999999998</x:v>
      </x:c>
      <x:c r="AC1584" s="38" t="n">
        <x:v>0.9076073216</x:v>
      </x:c>
      <x:c r="AD1584" s="28" t="n">
        <x:v>0.3835351179432812</x:v>
      </x:c>
    </x:row>
    <x:row r="1585">
      <x:c r="A1585" s="32" t="n">
        <x:v>46216</x:v>
      </x:c>
      <x:c r="B1585" s="32" t="n">
        <x:v>46204</x:v>
      </x:c>
      <x:c r="C1585" t="str">
        <x:v>Jul 2026</x:v>
      </x:c>
      <x:c r="D1585" t="str">
        <x:v>Forecast</x:v>
      </x:c>
      <x:c r="E1585" t="str">
        <x:v>DB-101</x:v>
      </x:c>
      <x:c r="F1585" t="str">
        <x:v>AeroSip Bottle</x:v>
      </x:c>
      <x:c r="G1585" t="str">
        <x:v>One-time purchase</x:v>
      </x:c>
      <x:c r="H1585" t="str">
        <x:v>None</x:v>
      </x:c>
      <x:c r="I1585" t="str">
        <x:v>Active</x:v>
      </x:c>
      <x:c r="J1585" t="str">
        <x:v>Shopify DTC</x:v>
      </x:c>
      <x:c r="K1585" t="str">
        <x:v>Consumer</x:v>
      </x:c>
      <x:c r="L1585" t="str">
        <x:v>All Geographies</x:v>
      </x:c>
      <x:c r="M1585" s="34" t="n">
        <x:v>7296</x:v>
      </x:c>
      <x:c r="N1585" s="28" t="n">
        <x:v>0.034199999999999994</x:v>
      </x:c>
      <x:c r="O1585" s="34" t="n">
        <x:v>250</x:v>
      </x:c>
      <x:c r="P1585" s="34" t="n">
        <x:v>1</x:v>
      </x:c>
      <x:c r="Q1585" s="34" t="n">
        <x:v>250</x:v>
      </x:c>
      <x:c r="R1585" s="33" t="n">
        <x:v>29</x:v>
      </x:c>
      <x:c r="S1585" s="38" t="n">
        <x:v>7.25</x:v>
      </x:c>
      <x:c r="T1585" s="38" t="n">
        <x:v>0.58</x:v>
      </x:c>
      <x:c r="U1585" s="38" t="n">
        <x:v>0.30015</x:v>
      </x:c>
      <x:c r="V1585" s="38" t="n">
        <x:v>6.36985</x:v>
      </x:c>
      <x:c r="W1585" s="38" t="n">
        <x:v>2.7</x:v>
      </x:c>
      <x:c r="X1585" s="38" t="n">
        <x:v>0.18472565</x:v>
      </x:c>
      <x:c r="Y1585" s="38" t="n">
        <x:v>0</x:v>
      </x:c>
      <x:c r="Z1585" s="38" t="n">
        <x:v>1.0375</x:v>
      </x:c>
      <x:c r="AA1585" s="38" t="n">
        <x:v>0.4125</x:v>
      </x:c>
      <x:c r="AB1585" s="38" t="n">
        <x:v>0.009</x:v>
      </x:c>
      <x:c r="AC1585" s="38" t="n">
        <x:v>2.0261243499999995</x:v>
      </x:c>
      <x:c r="AD1585" s="28" t="n">
        <x:v>0.31808038650831644</x:v>
      </x:c>
    </x:row>
    <x:row r="1586">
      <x:c r="A1586" s="32" t="n">
        <x:v>46216</x:v>
      </x:c>
      <x:c r="B1586" s="32" t="n">
        <x:v>46204</x:v>
      </x:c>
      <x:c r="C1586" t="str">
        <x:v>Jul 2026</x:v>
      </x:c>
      <x:c r="D1586" t="str">
        <x:v>Forecast</x:v>
      </x:c>
      <x:c r="E1586" t="str">
        <x:v>DB-101</x:v>
      </x:c>
      <x:c r="F1586" t="str">
        <x:v>AeroSip Bottle</x:v>
      </x:c>
      <x:c r="G1586" t="str">
        <x:v>One-time purchase</x:v>
      </x:c>
      <x:c r="H1586" t="str">
        <x:v>None</x:v>
      </x:c>
      <x:c r="I1586" t="str">
        <x:v>Active</x:v>
      </x:c>
      <x:c r="J1586" t="str">
        <x:v>Amazon Marketplace</x:v>
      </x:c>
      <x:c r="K1586" t="str">
        <x:v>Marketplace Consumer</x:v>
      </x:c>
      <x:c r="L1586" t="str">
        <x:v>All Geographies</x:v>
      </x:c>
      <x:c r="M1586" s="34" t="n">
        <x:v>3648</x:v>
      </x:c>
      <x:c r="N1586" s="28" t="n">
        <x:v>0.040355999999999996</x:v>
      </x:c>
      <x:c r="O1586" s="34" t="n">
        <x:v>147</x:v>
      </x:c>
      <x:c r="P1586" s="34" t="n">
        <x:v>1</x:v>
      </x:c>
      <x:c r="Q1586" s="34" t="n">
        <x:v>147</x:v>
      </x:c>
      <x:c r="R1586" s="33" t="n">
        <x:v>29</x:v>
      </x:c>
      <x:c r="S1586" s="38" t="n">
        <x:v>4.263</x:v>
      </x:c>
      <x:c r="T1586" s="38" t="n">
        <x:v>0.21315</x:v>
      </x:c>
      <x:c r="U1586" s="38" t="n">
        <x:v>0.18224325</x:v>
      </x:c>
      <x:c r="V1586" s="38" t="n">
        <x:v>3.86760675</x:v>
      </x:c>
      <x:c r="W1586" s="38" t="n">
        <x:v>1.5876000000000001</x:v>
      </x:c>
      <x:c r="X1586" s="38" t="n">
        <x:v>0</x:v>
      </x:c>
      <x:c r="Y1586" s="38" t="n">
        <x:v>0.5801410125</x:v>
      </x:c>
      <x:c r="Z1586" s="38" t="n">
        <x:v>0.7644</x:v>
      </x:c>
      <x:c r="AA1586" s="38" t="n">
        <x:v>0.31605</x:v>
      </x:c>
      <x:c r="AB1586" s="38" t="n">
        <x:v>0.005292</x:v>
      </x:c>
      <x:c r="AC1586" s="38" t="n">
        <x:v>0.6141237375000003</x:v>
      </x:c>
      <x:c r="AD1586" s="28" t="n">
        <x:v>0.15878649955815705</x:v>
      </x:c>
    </x:row>
    <x:row r="1587">
      <x:c r="A1587" s="32" t="n">
        <x:v>46216</x:v>
      </x:c>
      <x:c r="B1587" s="32" t="n">
        <x:v>46204</x:v>
      </x:c>
      <x:c r="C1587" t="str">
        <x:v>Jul 2026</x:v>
      </x:c>
      <x:c r="D1587" t="str">
        <x:v>Forecast</x:v>
      </x:c>
      <x:c r="E1587" t="str">
        <x:v>DB-101</x:v>
      </x:c>
      <x:c r="F1587" t="str">
        <x:v>AeroSip Bottle</x:v>
      </x:c>
      <x:c r="G1587" t="str">
        <x:v>One-time purchase</x:v>
      </x:c>
      <x:c r="H1587" t="str">
        <x:v>None</x:v>
      </x:c>
      <x:c r="I1587" t="str">
        <x:v>Active</x:v>
      </x:c>
      <x:c r="J1587" t="str">
        <x:v>Wholesale</x:v>
      </x:c>
      <x:c r="K1587" t="str">
        <x:v>Retailer</x:v>
      </x:c>
      <x:c r="L1587" t="str">
        <x:v>All Geographies</x:v>
      </x:c>
      <x:c r="M1587" s="34" t="n">
        <x:v>2189</x:v>
      </x:c>
      <x:c r="N1587" s="28" t="n">
        <x:v>0.01881</x:v>
      </x:c>
      <x:c r="O1587" s="34" t="n">
        <x:v>41</x:v>
      </x:c>
      <x:c r="P1587" s="34" t="n">
        <x:v>1</x:v>
      </x:c>
      <x:c r="Q1587" s="34" t="n">
        <x:v>41</x:v>
      </x:c>
      <x:c r="R1587" s="33" t="n">
        <x:v>29</x:v>
      </x:c>
      <x:c r="S1587" s="38" t="n">
        <x:v>1.189</x:v>
      </x:c>
      <x:c r="T1587" s="38" t="n">
        <x:v>0.41615</x:v>
      </x:c>
      <x:c r="U1587" s="38" t="n">
        <x:v>0.034778250000000004</x:v>
      </x:c>
      <x:c r="V1587" s="38" t="n">
        <x:v>0.73807175</x:v>
      </x:c>
      <x:c r="W1587" s="38" t="n">
        <x:v>0.4428</x:v>
      </x:c>
      <x:c r="X1587" s="38" t="n">
        <x:v>0</x:v>
      </x:c>
      <x:c r="Y1587" s="38" t="n">
        <x:v>0</x:v>
      </x:c>
      <x:c r="Z1587" s="38" t="n">
        <x:v>0.0943</x:v>
      </x:c>
      <x:c r="AA1587" s="38" t="n">
        <x:v>0.03485</x:v>
      </x:c>
      <x:c r="AB1587" s="38" t="n">
        <x:v>0.0014759999999999999</x:v>
      </x:c>
      <x:c r="AC1587" s="38" t="n">
        <x:v>0.16464575</x:v>
      </x:c>
      <x:c r="AD1587" s="28" t="n">
        <x:v>0.22307553432305194</x:v>
      </x:c>
    </x:row>
    <x:row r="1588">
      <x:c r="A1588" s="32" t="n">
        <x:v>46216</x:v>
      </x:c>
      <x:c r="B1588" s="32" t="n">
        <x:v>46204</x:v>
      </x:c>
      <x:c r="C1588" t="str">
        <x:v>Jul 2026</x:v>
      </x:c>
      <x:c r="D1588" t="str">
        <x:v>Forecast</x:v>
      </x:c>
      <x:c r="E1588" t="str">
        <x:v>DB-101</x:v>
      </x:c>
      <x:c r="F1588" t="str">
        <x:v>AeroSip Bottle</x:v>
      </x:c>
      <x:c r="G1588" t="str">
        <x:v>One-time purchase</x:v>
      </x:c>
      <x:c r="H1588" t="str">
        <x:v>None</x:v>
      </x:c>
      <x:c r="I1588" t="str">
        <x:v>Active</x:v>
      </x:c>
      <x:c r="J1588" t="str">
        <x:v>TikTok Shop</x:v>
      </x:c>
      <x:c r="K1588" t="str">
        <x:v>Social Commerce</x:v>
      </x:c>
      <x:c r="L1588" t="str">
        <x:v>All Geographies</x:v>
      </x:c>
      <x:c r="M1588" s="34" t="n">
        <x:v>1459</x:v>
      </x:c>
      <x:c r="N1588" s="28" t="n">
        <x:v>0.043092</x:v>
      </x:c>
      <x:c r="O1588" s="34" t="n">
        <x:v>63</x:v>
      </x:c>
      <x:c r="P1588" s="34" t="n">
        <x:v>1</x:v>
      </x:c>
      <x:c r="Q1588" s="34" t="n">
        <x:v>63</x:v>
      </x:c>
      <x:c r="R1588" s="33" t="n">
        <x:v>29</x:v>
      </x:c>
      <x:c r="S1588" s="38" t="n">
        <x:v>1.827</x:v>
      </x:c>
      <x:c r="T1588" s="38" t="n">
        <x:v>0.21924</x:v>
      </x:c>
      <x:c r="U1588" s="38" t="n">
        <x:v>0.07234919999999999</x:v>
      </x:c>
      <x:c r="V1588" s="38" t="n">
        <x:v>1.5354108</x:v>
      </x:c>
      <x:c r="W1588" s="38" t="n">
        <x:v>0.6804000000000001</x:v>
      </x:c>
      <x:c r="X1588" s="38" t="n">
        <x:v>0.044526913200000004</x:v>
      </x:c>
      <x:c r="Y1588" s="38" t="n">
        <x:v>0.09212464799999999</x:v>
      </x:c>
      <x:c r="Z1588" s="38" t="n">
        <x:v>0.3213</x:v>
      </x:c>
      <x:c r="AA1588" s="38" t="n">
        <x:v>0.11025</x:v>
      </x:c>
      <x:c r="AB1588" s="38" t="n">
        <x:v>0.0022679999999999996</x:v>
      </x:c>
      <x:c r="AC1588" s="38" t="n">
        <x:v>0.2845412387999999</x:v>
      </x:c>
      <x:c r="AD1588" s="28" t="n">
        <x:v>0.18531928966501987</x:v>
      </x:c>
    </x:row>
    <x:row r="1589">
      <x:c r="A1589" s="32" t="n">
        <x:v>46216</x:v>
      </x:c>
      <x:c r="B1589" s="32" t="n">
        <x:v>46204</x:v>
      </x:c>
      <x:c r="C1589" t="str">
        <x:v>Jul 2026</x:v>
      </x:c>
      <x:c r="D1589" t="str">
        <x:v>Forecast</x:v>
      </x:c>
      <x:c r="E1589" t="str">
        <x:v>DB-102</x:v>
      </x:c>
      <x:c r="F1589" t="str">
        <x:v>GlowPatch Balm</x:v>
      </x:c>
      <x:c r="G1589" t="str">
        <x:v>Consumable repeat</x:v>
      </x:c>
      <x:c r="H1589" t="str">
        <x:v>None</x:v>
      </x:c>
      <x:c r="I1589" t="str">
        <x:v>Active</x:v>
      </x:c>
      <x:c r="J1589" t="str">
        <x:v>Shopify DTC</x:v>
      </x:c>
      <x:c r="K1589" t="str">
        <x:v>Consumer</x:v>
      </x:c>
      <x:c r="L1589" t="str">
        <x:v>All Geographies</x:v>
      </x:c>
      <x:c r="M1589" s="34" t="n">
        <x:v>5893</x:v>
      </x:c>
      <x:c r="N1589" s="28" t="n">
        <x:v>0.04248</x:v>
      </x:c>
      <x:c r="O1589" s="34" t="n">
        <x:v>250</x:v>
      </x:c>
      <x:c r="P1589" s="34" t="n">
        <x:v>1</x:v>
      </x:c>
      <x:c r="Q1589" s="34" t="n">
        <x:v>250</x:v>
      </x:c>
      <x:c r="R1589" s="33" t="n">
        <x:v>18</x:v>
      </x:c>
      <x:c r="S1589" s="38" t="n">
        <x:v>4.5</x:v>
      </x:c>
      <x:c r="T1589" s="38" t="n">
        <x:v>0.36</x:v>
      </x:c>
      <x:c r="U1589" s="38" t="n">
        <x:v>0.1035</x:v>
      </x:c>
      <x:c r="V1589" s="38" t="n">
        <x:v>4.036499999999999</x:v>
      </x:c>
      <x:c r="W1589" s="38" t="n">
        <x:v>1.3525</x:v>
      </x:c>
      <x:c r="X1589" s="38" t="n">
        <x:v>0.11705849999999998</x:v>
      </x:c>
      <x:c r="Y1589" s="38" t="n">
        <x:v>0</x:v>
      </x:c>
      <x:c r="Z1589" s="38" t="n">
        <x:v>1.0375</x:v>
      </x:c>
      <x:c r="AA1589" s="38" t="n">
        <x:v>0.4125</x:v>
      </x:c>
      <x:c r="AB1589" s="38" t="n">
        <x:v>0.0015</x:v>
      </x:c>
      <x:c r="AC1589" s="38" t="n">
        <x:v>1.1154414999999989</x:v>
      </x:c>
      <x:c r="AD1589" s="28" t="n">
        <x:v>0.2763387835996529</x:v>
      </x:c>
    </x:row>
    <x:row r="1590">
      <x:c r="A1590" s="32" t="n">
        <x:v>46216</x:v>
      </x:c>
      <x:c r="B1590" s="32" t="n">
        <x:v>46204</x:v>
      </x:c>
      <x:c r="C1590" t="str">
        <x:v>Jul 2026</x:v>
      </x:c>
      <x:c r="D1590" t="str">
        <x:v>Forecast</x:v>
      </x:c>
      <x:c r="E1590" t="str">
        <x:v>DB-102</x:v>
      </x:c>
      <x:c r="F1590" t="str">
        <x:v>GlowPatch Balm</x:v>
      </x:c>
      <x:c r="G1590" t="str">
        <x:v>Consumable repeat</x:v>
      </x:c>
      <x:c r="H1590" t="str">
        <x:v>None</x:v>
      </x:c>
      <x:c r="I1590" t="str">
        <x:v>Active</x:v>
      </x:c>
      <x:c r="J1590" t="str">
        <x:v>Amazon Marketplace</x:v>
      </x:c>
      <x:c r="K1590" t="str">
        <x:v>Marketplace Consumer</x:v>
      </x:c>
      <x:c r="L1590" t="str">
        <x:v>All Geographies</x:v>
      </x:c>
      <x:c r="M1590" s="34" t="n">
        <x:v>2946</x:v>
      </x:c>
      <x:c r="N1590" s="28" t="n">
        <x:v>0.050126399999999995</x:v>
      </x:c>
      <x:c r="O1590" s="34" t="n">
        <x:v>148</x:v>
      </x:c>
      <x:c r="P1590" s="34" t="n">
        <x:v>1</x:v>
      </x:c>
      <x:c r="Q1590" s="34" t="n">
        <x:v>148</x:v>
      </x:c>
      <x:c r="R1590" s="33" t="n">
        <x:v>18</x:v>
      </x:c>
      <x:c r="S1590" s="38" t="n">
        <x:v>2.664</x:v>
      </x:c>
      <x:c r="T1590" s="38" t="n">
        <x:v>0.1332</x:v>
      </x:c>
      <x:c r="U1590" s="38" t="n">
        <x:v>0.06327</x:v>
      </x:c>
      <x:c r="V1590" s="38" t="n">
        <x:v>2.46753</x:v>
      </x:c>
      <x:c r="W1590" s="38" t="n">
        <x:v>0.8006800000000001</x:v>
      </x:c>
      <x:c r="X1590" s="38" t="n">
        <x:v>0</x:v>
      </x:c>
      <x:c r="Y1590" s="38" t="n">
        <x:v>0.3701295</x:v>
      </x:c>
      <x:c r="Z1590" s="38" t="n">
        <x:v>0.7696000000000001</x:v>
      </x:c>
      <x:c r="AA1590" s="38" t="n">
        <x:v>0.3182</x:v>
      </x:c>
      <x:c r="AB1590" s="38" t="n">
        <x:v>0.0008879999999999999</x:v>
      </x:c>
      <x:c r="AC1590" s="38" t="n">
        <x:v>0.2080324999999999</x:v>
      </x:c>
      <x:c r="AD1590" s="28" t="n">
        <x:v>0.084307992202729</x:v>
      </x:c>
    </x:row>
    <x:row r="1591">
      <x:c r="A1591" s="32" t="n">
        <x:v>46216</x:v>
      </x:c>
      <x:c r="B1591" s="32" t="n">
        <x:v>46204</x:v>
      </x:c>
      <x:c r="C1591" t="str">
        <x:v>Jul 2026</x:v>
      </x:c>
      <x:c r="D1591" t="str">
        <x:v>Forecast</x:v>
      </x:c>
      <x:c r="E1591" t="str">
        <x:v>DB-102</x:v>
      </x:c>
      <x:c r="F1591" t="str">
        <x:v>GlowPatch Balm</x:v>
      </x:c>
      <x:c r="G1591" t="str">
        <x:v>Consumable repeat</x:v>
      </x:c>
      <x:c r="H1591" t="str">
        <x:v>None</x:v>
      </x:c>
      <x:c r="I1591" t="str">
        <x:v>Active</x:v>
      </x:c>
      <x:c r="J1591" t="str">
        <x:v>Wholesale</x:v>
      </x:c>
      <x:c r="K1591" t="str">
        <x:v>Retailer</x:v>
      </x:c>
      <x:c r="L1591" t="str">
        <x:v>All Geographies</x:v>
      </x:c>
      <x:c r="M1591" s="34" t="n">
        <x:v>1768</x:v>
      </x:c>
      <x:c r="N1591" s="28" t="n">
        <x:v>0.023364</x:v>
      </x:c>
      <x:c r="O1591" s="34" t="n">
        <x:v>41</x:v>
      </x:c>
      <x:c r="P1591" s="34" t="n">
        <x:v>1</x:v>
      </x:c>
      <x:c r="Q1591" s="34" t="n">
        <x:v>41</x:v>
      </x:c>
      <x:c r="R1591" s="33" t="n">
        <x:v>18</x:v>
      </x:c>
      <x:c r="S1591" s="38" t="n">
        <x:v>0.738</x:v>
      </x:c>
      <x:c r="T1591" s="38" t="n">
        <x:v>0.2583</x:v>
      </x:c>
      <x:c r="U1591" s="38" t="n">
        <x:v>0.011992500000000001</x:v>
      </x:c>
      <x:c r="V1591" s="38" t="n">
        <x:v>0.4677075</x:v>
      </x:c>
      <x:c r="W1591" s="38" t="n">
        <x:v>0.22181</x:v>
      </x:c>
      <x:c r="X1591" s="38" t="n">
        <x:v>0</x:v>
      </x:c>
      <x:c r="Y1591" s="38" t="n">
        <x:v>0</x:v>
      </x:c>
      <x:c r="Z1591" s="38" t="n">
        <x:v>0.0943</x:v>
      </x:c>
      <x:c r="AA1591" s="38" t="n">
        <x:v>0.03485</x:v>
      </x:c>
      <x:c r="AB1591" s="38" t="n">
        <x:v>0.000246</x:v>
      </x:c>
      <x:c r="AC1591" s="38" t="n">
        <x:v>0.11650150000000001</x:v>
      </x:c>
      <x:c r="AD1591" s="28" t="n">
        <x:v>0.2490905106289722</x:v>
      </x:c>
    </x:row>
    <x:row r="1592">
      <x:c r="A1592" s="32" t="n">
        <x:v>46216</x:v>
      </x:c>
      <x:c r="B1592" s="32" t="n">
        <x:v>46204</x:v>
      </x:c>
      <x:c r="C1592" t="str">
        <x:v>Jul 2026</x:v>
      </x:c>
      <x:c r="D1592" t="str">
        <x:v>Forecast</x:v>
      </x:c>
      <x:c r="E1592" t="str">
        <x:v>DB-102</x:v>
      </x:c>
      <x:c r="F1592" t="str">
        <x:v>GlowPatch Balm</x:v>
      </x:c>
      <x:c r="G1592" t="str">
        <x:v>Consumable repeat</x:v>
      </x:c>
      <x:c r="H1592" t="str">
        <x:v>None</x:v>
      </x:c>
      <x:c r="I1592" t="str">
        <x:v>Active</x:v>
      </x:c>
      <x:c r="J1592" t="str">
        <x:v>TikTok Shop</x:v>
      </x:c>
      <x:c r="K1592" t="str">
        <x:v>Social Commerce</x:v>
      </x:c>
      <x:c r="L1592" t="str">
        <x:v>All Geographies</x:v>
      </x:c>
      <x:c r="M1592" s="34" t="n">
        <x:v>1179</x:v>
      </x:c>
      <x:c r="N1592" s="28" t="n">
        <x:v>0.0535248</x:v>
      </x:c>
      <x:c r="O1592" s="34" t="n">
        <x:v>63</x:v>
      </x:c>
      <x:c r="P1592" s="34" t="n">
        <x:v>1</x:v>
      </x:c>
      <x:c r="Q1592" s="34" t="n">
        <x:v>63</x:v>
      </x:c>
      <x:c r="R1592" s="33" t="n">
        <x:v>18</x:v>
      </x:c>
      <x:c r="S1592" s="38" t="n">
        <x:v>1.134</x:v>
      </x:c>
      <x:c r="T1592" s="38" t="n">
        <x:v>0.13607999999999998</x:v>
      </x:c>
      <x:c r="U1592" s="38" t="n">
        <x:v>0.024947999999999998</x:v>
      </x:c>
      <x:c r="V1592" s="38" t="n">
        <x:v>0.972972</x:v>
      </x:c>
      <x:c r="W1592" s="38" t="n">
        <x:v>0.34082999999999997</x:v>
      </x:c>
      <x:c r="X1592" s="38" t="n">
        <x:v>0.028216188</x:v>
      </x:c>
      <x:c r="Y1592" s="38" t="n">
        <x:v>0.05837832</x:v>
      </x:c>
      <x:c r="Z1592" s="38" t="n">
        <x:v>0.3213</x:v>
      </x:c>
      <x:c r="AA1592" s="38" t="n">
        <x:v>0.11025</x:v>
      </x:c>
      <x:c r="AB1592" s="38" t="n">
        <x:v>0.000378</x:v>
      </x:c>
      <x:c r="AC1592" s="38" t="n">
        <x:v>0.11361949199999999</x:v>
      </x:c>
      <x:c r="AD1592" s="28" t="n">
        <x:v>0.11677570577570577</x:v>
      </x:c>
    </x:row>
    <x:row r="1593">
      <x:c r="A1593" s="32" t="n">
        <x:v>46216</x:v>
      </x:c>
      <x:c r="B1593" s="32" t="n">
        <x:v>46204</x:v>
      </x:c>
      <x:c r="C1593" t="str">
        <x:v>Jul 2026</x:v>
      </x:c>
      <x:c r="D1593" t="str">
        <x:v>Forecast</x:v>
      </x:c>
      <x:c r="E1593" t="str">
        <x:v>DB-103</x:v>
      </x:c>
      <x:c r="F1593" t="str">
        <x:v>EmberTrail Camp Mug</x:v>
      </x:c>
      <x:c r="G1593" t="str">
        <x:v>One-time purchase</x:v>
      </x:c>
      <x:c r="H1593" t="str">
        <x:v>Winter peak</x:v>
      </x:c>
      <x:c r="I1593" t="str">
        <x:v>Active</x:v>
      </x:c>
      <x:c r="J1593" t="str">
        <x:v>Shopify DTC</x:v>
      </x:c>
      <x:c r="K1593" t="str">
        <x:v>Consumer</x:v>
      </x:c>
      <x:c r="L1593" t="str">
        <x:v>All Geographies</x:v>
      </x:c>
      <x:c r="M1593" s="34" t="n">
        <x:v>3940</x:v>
      </x:c>
      <x:c r="N1593" s="28" t="n">
        <x:v>0.0324</x:v>
      </x:c>
      <x:c r="O1593" s="34" t="n">
        <x:v>128</x:v>
      </x:c>
      <x:c r="P1593" s="34" t="n">
        <x:v>1</x:v>
      </x:c>
      <x:c r="Q1593" s="34" t="n">
        <x:v>128</x:v>
      </x:c>
      <x:c r="R1593" s="33" t="n">
        <x:v>34</x:v>
      </x:c>
      <x:c r="S1593" s="38" t="n">
        <x:v>4.352</x:v>
      </x:c>
      <x:c r="T1593" s="38" t="n">
        <x:v>0.34816</x:v>
      </x:c>
      <x:c r="U1593" s="38" t="n">
        <x:v>0.22021120000000002</x:v>
      </x:c>
      <x:c r="V1593" s="38" t="n">
        <x:v>3.7836288000000002</x:v>
      </x:c>
      <x:c r="W1593" s="38" t="n">
        <x:v>1.74976</x:v>
      </x:c>
      <x:c r="X1593" s="38" t="n">
        <x:v>0.10972523520000001</x:v>
      </x:c>
      <x:c r="Y1593" s="38" t="n">
        <x:v>0</x:v>
      </x:c>
      <x:c r="Z1593" s="38" t="n">
        <x:v>0.5312</x:v>
      </x:c>
      <x:c r="AA1593" s="38" t="n">
        <x:v>0.2112</x:v>
      </x:c>
      <x:c r="AB1593" s="38" t="n">
        <x:v>0.007168</x:v>
      </x:c>
      <x:c r="AC1593" s="38" t="n">
        <x:v>1.1745755648000002</x:v>
      </x:c>
      <x:c r="AD1593" s="28" t="n">
        <x:v>0.3104362575948254</x:v>
      </x:c>
    </x:row>
    <x:row r="1594">
      <x:c r="A1594" s="32" t="n">
        <x:v>46216</x:v>
      </x:c>
      <x:c r="B1594" s="32" t="n">
        <x:v>46204</x:v>
      </x:c>
      <x:c r="C1594" t="str">
        <x:v>Jul 2026</x:v>
      </x:c>
      <x:c r="D1594" t="str">
        <x:v>Forecast</x:v>
      </x:c>
      <x:c r="E1594" t="str">
        <x:v>DB-103</x:v>
      </x:c>
      <x:c r="F1594" t="str">
        <x:v>EmberTrail Camp Mug</x:v>
      </x:c>
      <x:c r="G1594" t="str">
        <x:v>One-time purchase</x:v>
      </x:c>
      <x:c r="H1594" t="str">
        <x:v>Winter peak</x:v>
      </x:c>
      <x:c r="I1594" t="str">
        <x:v>Active</x:v>
      </x:c>
      <x:c r="J1594" t="str">
        <x:v>Amazon Marketplace</x:v>
      </x:c>
      <x:c r="K1594" t="str">
        <x:v>Marketplace Consumer</x:v>
      </x:c>
      <x:c r="L1594" t="str">
        <x:v>All Geographies</x:v>
      </x:c>
      <x:c r="M1594" s="34" t="n">
        <x:v>1970</x:v>
      </x:c>
      <x:c r="N1594" s="28" t="n">
        <x:v>0.038231999999999995</x:v>
      </x:c>
      <x:c r="O1594" s="34" t="n">
        <x:v>75</x:v>
      </x:c>
      <x:c r="P1594" s="34" t="n">
        <x:v>1</x:v>
      </x:c>
      <x:c r="Q1594" s="34" t="n">
        <x:v>75</x:v>
      </x:c>
      <x:c r="R1594" s="33" t="n">
        <x:v>34</x:v>
      </x:c>
      <x:c r="S1594" s="38" t="n">
        <x:v>2.55</x:v>
      </x:c>
      <x:c r="T1594" s="38" t="n">
        <x:v>0.1275</x:v>
      </x:c>
      <x:c r="U1594" s="38" t="n">
        <x:v>0.13323749999999998</x:v>
      </x:c>
      <x:c r="V1594" s="38" t="n">
        <x:v>2.2892625</x:v>
      </x:c>
      <x:c r="W1594" s="38" t="n">
        <x:v>1.02525</x:v>
      </x:c>
      <x:c r="X1594" s="38" t="n">
        <x:v>0</x:v>
      </x:c>
      <x:c r="Y1594" s="38" t="n">
        <x:v>0.343389375</x:v>
      </x:c>
      <x:c r="Z1594" s="38" t="n">
        <x:v>0.39</x:v>
      </x:c>
      <x:c r="AA1594" s="38" t="n">
        <x:v>0.16125</x:v>
      </x:c>
      <x:c r="AB1594" s="38" t="n">
        <x:v>0.004200000000000001</x:v>
      </x:c>
      <x:c r="AC1594" s="38" t="n">
        <x:v>0.365173125</x:v>
      </x:c>
      <x:c r="AD1594" s="28" t="n">
        <x:v>0.15951561911314233</x:v>
      </x:c>
    </x:row>
    <x:row r="1595">
      <x:c r="A1595" s="32" t="n">
        <x:v>46216</x:v>
      </x:c>
      <x:c r="B1595" s="32" t="n">
        <x:v>46204</x:v>
      </x:c>
      <x:c r="C1595" t="str">
        <x:v>Jul 2026</x:v>
      </x:c>
      <x:c r="D1595" t="str">
        <x:v>Forecast</x:v>
      </x:c>
      <x:c r="E1595" t="str">
        <x:v>DB-103</x:v>
      </x:c>
      <x:c r="F1595" t="str">
        <x:v>EmberTrail Camp Mug</x:v>
      </x:c>
      <x:c r="G1595" t="str">
        <x:v>One-time purchase</x:v>
      </x:c>
      <x:c r="H1595" t="str">
        <x:v>Winter peak</x:v>
      </x:c>
      <x:c r="I1595" t="str">
        <x:v>Active</x:v>
      </x:c>
      <x:c r="J1595" t="str">
        <x:v>Wholesale</x:v>
      </x:c>
      <x:c r="K1595" t="str">
        <x:v>Retailer</x:v>
      </x:c>
      <x:c r="L1595" t="str">
        <x:v>All Geographies</x:v>
      </x:c>
      <x:c r="M1595" s="34" t="n">
        <x:v>1182</x:v>
      </x:c>
      <x:c r="N1595" s="28" t="n">
        <x:v>0.017820000000000003</x:v>
      </x:c>
      <x:c r="O1595" s="34" t="n">
        <x:v>21</x:v>
      </x:c>
      <x:c r="P1595" s="34" t="n">
        <x:v>1</x:v>
      </x:c>
      <x:c r="Q1595" s="34" t="n">
        <x:v>21</x:v>
      </x:c>
      <x:c r="R1595" s="33" t="n">
        <x:v>34</x:v>
      </x:c>
      <x:c r="S1595" s="38" t="n">
        <x:v>0.714</x:v>
      </x:c>
      <x:c r="T1595" s="38" t="n">
        <x:v>0.24989999999999998</x:v>
      </x:c>
      <x:c r="U1595" s="38" t="n">
        <x:v>0.025525499999999996</x:v>
      </x:c>
      <x:c r="V1595" s="38" t="n">
        <x:v>0.4385745</x:v>
      </x:c>
      <x:c r="W1595" s="38" t="n">
        <x:v>0.28707</x:v>
      </x:c>
      <x:c r="X1595" s="38" t="n">
        <x:v>0</x:v>
      </x:c>
      <x:c r="Y1595" s="38" t="n">
        <x:v>0</x:v>
      </x:c>
      <x:c r="Z1595" s="38" t="n">
        <x:v>0.048299999999999996</x:v>
      </x:c>
      <x:c r="AA1595" s="38" t="n">
        <x:v>0.017849999999999998</x:v>
      </x:c>
      <x:c r="AB1595" s="38" t="n">
        <x:v>0.0011760000000000002</x:v>
      </x:c>
      <x:c r="AC1595" s="38" t="n">
        <x:v>0.0841785</x:v>
      </x:c>
      <x:c r="AD1595" s="28" t="n">
        <x:v>0.1919366037013096</x:v>
      </x:c>
    </x:row>
    <x:row r="1596">
      <x:c r="A1596" s="32" t="n">
        <x:v>46216</x:v>
      </x:c>
      <x:c r="B1596" s="32" t="n">
        <x:v>46204</x:v>
      </x:c>
      <x:c r="C1596" t="str">
        <x:v>Jul 2026</x:v>
      </x:c>
      <x:c r="D1596" t="str">
        <x:v>Forecast</x:v>
      </x:c>
      <x:c r="E1596" t="str">
        <x:v>DB-103</x:v>
      </x:c>
      <x:c r="F1596" t="str">
        <x:v>EmberTrail Camp Mug</x:v>
      </x:c>
      <x:c r="G1596" t="str">
        <x:v>One-time purchase</x:v>
      </x:c>
      <x:c r="H1596" t="str">
        <x:v>Winter peak</x:v>
      </x:c>
      <x:c r="I1596" t="str">
        <x:v>Active</x:v>
      </x:c>
      <x:c r="J1596" t="str">
        <x:v>TikTok Shop</x:v>
      </x:c>
      <x:c r="K1596" t="str">
        <x:v>Social Commerce</x:v>
      </x:c>
      <x:c r="L1596" t="str">
        <x:v>All Geographies</x:v>
      </x:c>
      <x:c r="M1596" s="34" t="n">
        <x:v>788</x:v>
      </x:c>
      <x:c r="N1596" s="28" t="n">
        <x:v>0.040824</x:v>
      </x:c>
      <x:c r="O1596" s="34" t="n">
        <x:v>32</x:v>
      </x:c>
      <x:c r="P1596" s="34" t="n">
        <x:v>1</x:v>
      </x:c>
      <x:c r="Q1596" s="34" t="n">
        <x:v>32</x:v>
      </x:c>
      <x:c r="R1596" s="33" t="n">
        <x:v>34</x:v>
      </x:c>
      <x:c r="S1596" s="38" t="n">
        <x:v>1.088</x:v>
      </x:c>
      <x:c r="T1596" s="38" t="n">
        <x:v>0.13056</x:v>
      </x:c>
      <x:c r="U1596" s="38" t="n">
        <x:v>0.0526592</x:v>
      </x:c>
      <x:c r="V1596" s="38" t="n">
        <x:v>0.9047808</x:v>
      </x:c>
      <x:c r="W1596" s="38" t="n">
        <x:v>0.43744</x:v>
      </x:c>
      <x:c r="X1596" s="38" t="n">
        <x:v>0.0262386432</x:v>
      </x:c>
      <x:c r="Y1596" s="38" t="n">
        <x:v>0.054286848</x:v>
      </x:c>
      <x:c r="Z1596" s="38" t="n">
        <x:v>0.16319999999999998</x:v>
      </x:c>
      <x:c r="AA1596" s="38" t="n">
        <x:v>0.056</x:v>
      </x:c>
      <x:c r="AB1596" s="38" t="n">
        <x:v>0.001792</x:v>
      </x:c>
      <x:c r="AC1596" s="38" t="n">
        <x:v>0.16582330880000007</x:v>
      </x:c>
      <x:c r="AD1596" s="28" t="n">
        <x:v>0.1832745663922135</x:v>
      </x:c>
    </x:row>
    <x:row r="1597">
      <x:c r="A1597" s="32" t="n">
        <x:v>46216</x:v>
      </x:c>
      <x:c r="B1597" s="32" t="n">
        <x:v>46204</x:v>
      </x:c>
      <x:c r="C1597" t="str">
        <x:v>Jul 2026</x:v>
      </x:c>
      <x:c r="D1597" t="str">
        <x:v>Forecast</x:v>
      </x:c>
      <x:c r="E1597" t="str">
        <x:v>DB-104</x:v>
      </x:c>
      <x:c r="F1597" t="str">
        <x:v>SunNest Cooling Towel</x:v>
      </x:c>
      <x:c r="G1597" t="str">
        <x:v>Consumable repeat</x:v>
      </x:c>
      <x:c r="H1597" t="str">
        <x:v>Summer peak</x:v>
      </x:c>
      <x:c r="I1597" t="str">
        <x:v>Active</x:v>
      </x:c>
      <x:c r="J1597" t="str">
        <x:v>Shopify DTC</x:v>
      </x:c>
      <x:c r="K1597" t="str">
        <x:v>Consumer</x:v>
      </x:c>
      <x:c r="L1597" t="str">
        <x:v>All Geographies</x:v>
      </x:c>
      <x:c r="M1597" s="34" t="n">
        <x:v>6774</x:v>
      </x:c>
      <x:c r="N1597" s="28" t="n">
        <x:v>0.03312</x:v>
      </x:c>
      <x:c r="O1597" s="34" t="n">
        <x:v>224</x:v>
      </x:c>
      <x:c r="P1597" s="34" t="n">
        <x:v>1</x:v>
      </x:c>
      <x:c r="Q1597" s="34" t="n">
        <x:v>224</x:v>
      </x:c>
      <x:c r="R1597" s="33" t="n">
        <x:v>42</x:v>
      </x:c>
      <x:c r="S1597" s="38" t="n">
        <x:v>9.408</x:v>
      </x:c>
      <x:c r="T1597" s="38" t="n">
        <x:v>0.75264</x:v>
      </x:c>
      <x:c r="U1597" s="38" t="n">
        <x:v>0.43276800000000004</x:v>
      </x:c>
      <x:c r="V1597" s="38" t="n">
        <x:v>8.222592</x:v>
      </x:c>
      <x:c r="W1597" s="38" t="n">
        <x:v>3.3712000000000004</x:v>
      </x:c>
      <x:c r="X1597" s="38" t="n">
        <x:v>0.23845516800000002</x:v>
      </x:c>
      <x:c r="Y1597" s="38" t="n">
        <x:v>0</x:v>
      </x:c>
      <x:c r="Z1597" s="38" t="n">
        <x:v>0.9296000000000001</x:v>
      </x:c>
      <x:c r="AA1597" s="38" t="n">
        <x:v>0.3696</x:v>
      </x:c>
      <x:c r="AB1597" s="38" t="n">
        <x:v>0.006272000000000001</x:v>
      </x:c>
      <x:c r="AC1597" s="38" t="n">
        <x:v>3.3074648320000004</x:v>
      </x:c>
      <x:c r="AD1597" s="28" t="n">
        <x:v>0.40224114634412117</x:v>
      </x:c>
    </x:row>
    <x:row r="1598">
      <x:c r="A1598" s="32" t="n">
        <x:v>46216</x:v>
      </x:c>
      <x:c r="B1598" s="32" t="n">
        <x:v>46204</x:v>
      </x:c>
      <x:c r="C1598" t="str">
        <x:v>Jul 2026</x:v>
      </x:c>
      <x:c r="D1598" t="str">
        <x:v>Forecast</x:v>
      </x:c>
      <x:c r="E1598" t="str">
        <x:v>DB-104</x:v>
      </x:c>
      <x:c r="F1598" t="str">
        <x:v>SunNest Cooling Towel</x:v>
      </x:c>
      <x:c r="G1598" t="str">
        <x:v>Consumable repeat</x:v>
      </x:c>
      <x:c r="H1598" t="str">
        <x:v>Summer peak</x:v>
      </x:c>
      <x:c r="I1598" t="str">
        <x:v>Active</x:v>
      </x:c>
      <x:c r="J1598" t="str">
        <x:v>Amazon Marketplace</x:v>
      </x:c>
      <x:c r="K1598" t="str">
        <x:v>Marketplace Consumer</x:v>
      </x:c>
      <x:c r="L1598" t="str">
        <x:v>All Geographies</x:v>
      </x:c>
      <x:c r="M1598" s="34" t="n">
        <x:v>3387</x:v>
      </x:c>
      <x:c r="N1598" s="28" t="n">
        <x:v>0.0390816</x:v>
      </x:c>
      <x:c r="O1598" s="34" t="n">
        <x:v>132</x:v>
      </x:c>
      <x:c r="P1598" s="34" t="n">
        <x:v>1</x:v>
      </x:c>
      <x:c r="Q1598" s="34" t="n">
        <x:v>132</x:v>
      </x:c>
      <x:c r="R1598" s="33" t="n">
        <x:v>42</x:v>
      </x:c>
      <x:c r="S1598" s="38" t="n">
        <x:v>5.544</x:v>
      </x:c>
      <x:c r="T1598" s="38" t="n">
        <x:v>0.2772</x:v>
      </x:c>
      <x:c r="U1598" s="38" t="n">
        <x:v>0.26334</x:v>
      </x:c>
      <x:c r="V1598" s="38" t="n">
        <x:v>5.00346</x:v>
      </x:c>
      <x:c r="W1598" s="38" t="n">
        <x:v>1.9866000000000001</x:v>
      </x:c>
      <x:c r="X1598" s="38" t="n">
        <x:v>0</x:v>
      </x:c>
      <x:c r="Y1598" s="38" t="n">
        <x:v>0.7505189999999999</x:v>
      </x:c>
      <x:c r="Z1598" s="38" t="n">
        <x:v>0.6864</x:v>
      </x:c>
      <x:c r="AA1598" s="38" t="n">
        <x:v>0.2838</x:v>
      </x:c>
      <x:c r="AB1598" s="38" t="n">
        <x:v>0.0036959999999999996</x:v>
      </x:c>
      <x:c r="AC1598" s="38" t="n">
        <x:v>1.2924449999999998</x:v>
      </x:c>
      <x:c r="AD1598" s="28" t="n">
        <x:v>0.2583102493074792</x:v>
      </x:c>
    </x:row>
    <x:row r="1599">
      <x:c r="A1599" s="32" t="n">
        <x:v>46216</x:v>
      </x:c>
      <x:c r="B1599" s="32" t="n">
        <x:v>46204</x:v>
      </x:c>
      <x:c r="C1599" t="str">
        <x:v>Jul 2026</x:v>
      </x:c>
      <x:c r="D1599" t="str">
        <x:v>Forecast</x:v>
      </x:c>
      <x:c r="E1599" t="str">
        <x:v>DB-104</x:v>
      </x:c>
      <x:c r="F1599" t="str">
        <x:v>SunNest Cooling Towel</x:v>
      </x:c>
      <x:c r="G1599" t="str">
        <x:v>Consumable repeat</x:v>
      </x:c>
      <x:c r="H1599" t="str">
        <x:v>Summer peak</x:v>
      </x:c>
      <x:c r="I1599" t="str">
        <x:v>Active</x:v>
      </x:c>
      <x:c r="J1599" t="str">
        <x:v>Wholesale</x:v>
      </x:c>
      <x:c r="K1599" t="str">
        <x:v>Retailer</x:v>
      </x:c>
      <x:c r="L1599" t="str">
        <x:v>All Geographies</x:v>
      </x:c>
      <x:c r="M1599" s="34" t="n">
        <x:v>2032</x:v>
      </x:c>
      <x:c r="N1599" s="28" t="n">
        <x:v>0.018216000000000003</x:v>
      </x:c>
      <x:c r="O1599" s="34" t="n">
        <x:v>37</x:v>
      </x:c>
      <x:c r="P1599" s="34" t="n">
        <x:v>1</x:v>
      </x:c>
      <x:c r="Q1599" s="34" t="n">
        <x:v>37</x:v>
      </x:c>
      <x:c r="R1599" s="33" t="n">
        <x:v>42</x:v>
      </x:c>
      <x:c r="S1599" s="38" t="n">
        <x:v>1.554</x:v>
      </x:c>
      <x:c r="T1599" s="38" t="n">
        <x:v>0.5438999999999999</x:v>
      </x:c>
      <x:c r="U1599" s="38" t="n">
        <x:v>0.050505</x:v>
      </x:c>
      <x:c r="V1599" s="38" t="n">
        <x:v>0.959595</x:v>
      </x:c>
      <x:c r="W1599" s="38" t="n">
        <x:v>0.5568500000000001</x:v>
      </x:c>
      <x:c r="X1599" s="38" t="n">
        <x:v>0</x:v>
      </x:c>
      <x:c r="Y1599" s="38" t="n">
        <x:v>0</x:v>
      </x:c>
      <x:c r="Z1599" s="38" t="n">
        <x:v>0.0851</x:v>
      </x:c>
      <x:c r="AA1599" s="38" t="n">
        <x:v>0.03145</x:v>
      </x:c>
      <x:c r="AB1599" s="38" t="n">
        <x:v>0.001036</x:v>
      </x:c>
      <x:c r="AC1599" s="38" t="n">
        <x:v>0.28515899999999994</x:v>
      </x:c>
      <x:c r="AD1599" s="28" t="n">
        <x:v>0.29716599190283394</x:v>
      </x:c>
    </x:row>
    <x:row r="1600">
      <x:c r="A1600" s="32" t="n">
        <x:v>46216</x:v>
      </x:c>
      <x:c r="B1600" s="32" t="n">
        <x:v>46204</x:v>
      </x:c>
      <x:c r="C1600" t="str">
        <x:v>Jul 2026</x:v>
      </x:c>
      <x:c r="D1600" t="str">
        <x:v>Forecast</x:v>
      </x:c>
      <x:c r="E1600" t="str">
        <x:v>DB-104</x:v>
      </x:c>
      <x:c r="F1600" t="str">
        <x:v>SunNest Cooling Towel</x:v>
      </x:c>
      <x:c r="G1600" t="str">
        <x:v>Consumable repeat</x:v>
      </x:c>
      <x:c r="H1600" t="str">
        <x:v>Summer peak</x:v>
      </x:c>
      <x:c r="I1600" t="str">
        <x:v>Active</x:v>
      </x:c>
      <x:c r="J1600" t="str">
        <x:v>TikTok Shop</x:v>
      </x:c>
      <x:c r="K1600" t="str">
        <x:v>Social Commerce</x:v>
      </x:c>
      <x:c r="L1600" t="str">
        <x:v>All Geographies</x:v>
      </x:c>
      <x:c r="M1600" s="34" t="n">
        <x:v>1355</x:v>
      </x:c>
      <x:c r="N1600" s="28" t="n">
        <x:v>0.0417312</x:v>
      </x:c>
      <x:c r="O1600" s="34" t="n">
        <x:v>57</x:v>
      </x:c>
      <x:c r="P1600" s="34" t="n">
        <x:v>1</x:v>
      </x:c>
      <x:c r="Q1600" s="34" t="n">
        <x:v>57</x:v>
      </x:c>
      <x:c r="R1600" s="33" t="n">
        <x:v>42</x:v>
      </x:c>
      <x:c r="S1600" s="38" t="n">
        <x:v>2.394</x:v>
      </x:c>
      <x:c r="T1600" s="38" t="n">
        <x:v>0.28728</x:v>
      </x:c>
      <x:c r="U1600" s="38" t="n">
        <x:v>0.10533600000000001</x:v>
      </x:c>
      <x:c r="V1600" s="38" t="n">
        <x:v>2.0013840000000003</x:v>
      </x:c>
      <x:c r="W1600" s="38" t="n">
        <x:v>0.85785</x:v>
      </x:c>
      <x:c r="X1600" s="38" t="n">
        <x:v>0.05804013600000001</x:v>
      </x:c>
      <x:c r="Y1600" s="38" t="n">
        <x:v>0.12008304000000002</x:v>
      </x:c>
      <x:c r="Z1600" s="38" t="n">
        <x:v>0.2907</x:v>
      </x:c>
      <x:c r="AA1600" s="38" t="n">
        <x:v>0.09975</x:v>
      </x:c>
      <x:c r="AB1600" s="38" t="n">
        <x:v>0.001596</x:v>
      </x:c>
      <x:c r="AC1600" s="38" t="n">
        <x:v>0.5733648240000001</x:v>
      </x:c>
      <x:c r="AD1600" s="28" t="n">
        <x:v>0.2864841649578492</x:v>
      </x:c>
    </x:row>
    <x:row r="1601">
      <x:c r="A1601" s="32" t="n">
        <x:v>46216</x:v>
      </x:c>
      <x:c r="B1601" s="32" t="n">
        <x:v>46204</x:v>
      </x:c>
      <x:c r="C1601" t="str">
        <x:v>Jul 2026</x:v>
      </x:c>
      <x:c r="D1601" t="str">
        <x:v>Forecast</x:v>
      </x:c>
      <x:c r="E1601" t="str">
        <x:v>DB-105</x:v>
      </x:c>
      <x:c r="F1601" t="str">
        <x:v>DreamFuel Refill Pack</x:v>
      </x:c>
      <x:c r="G1601" t="str">
        <x:v>Subscription</x:v>
      </x:c>
      <x:c r="H1601" t="str">
        <x:v>None</x:v>
      </x:c>
      <x:c r="I1601" t="str">
        <x:v>Active</x:v>
      </x:c>
      <x:c r="J1601" t="str">
        <x:v>Shopify DTC</x:v>
      </x:c>
      <x:c r="K1601" t="str">
        <x:v>Consumer</x:v>
      </x:c>
      <x:c r="L1601" t="str">
        <x:v>All Geographies</x:v>
      </x:c>
      <x:c r="M1601" s="34" t="n">
        <x:v>5051</x:v>
      </x:c>
      <x:c r="N1601" s="28" t="n">
        <x:v>0.03888</x:v>
      </x:c>
      <x:c r="O1601" s="34" t="n">
        <x:v>196</x:v>
      </x:c>
      <x:c r="P1601" s="34" t="n">
        <x:v>1</x:v>
      </x:c>
      <x:c r="Q1601" s="34" t="n">
        <x:v>196</x:v>
      </x:c>
      <x:c r="R1601" s="33" t="n">
        <x:v>56</x:v>
      </x:c>
      <x:c r="S1601" s="38" t="n">
        <x:v>10.976</x:v>
      </x:c>
      <x:c r="T1601" s="38" t="n">
        <x:v>0.8780800000000001</x:v>
      </x:c>
      <x:c r="U1601" s="38" t="n">
        <x:v>0.2019584</x:v>
      </x:c>
      <x:c r="V1601" s="38" t="n">
        <x:v>9.8959616</x:v>
      </x:c>
      <x:c r="W1601" s="38" t="n">
        <x:v>3.64952</x:v>
      </x:c>
      <x:c r="X1601" s="38" t="n">
        <x:v>0.2869828864</x:v>
      </x:c>
      <x:c r="Y1601" s="38" t="n">
        <x:v>0</x:v>
      </x:c>
      <x:c r="Z1601" s="38" t="n">
        <x:v>0.8134000000000001</x:v>
      </x:c>
      <x:c r="AA1601" s="38" t="n">
        <x:v>0.32339999999999997</x:v>
      </x:c>
      <x:c r="AB1601" s="38" t="n">
        <x:v>0.0007055999999999999</x:v>
      </x:c>
      <x:c r="AC1601" s="38" t="n">
        <x:v>4.8219531136</x:v>
      </x:c>
      <x:c r="AD1601" s="28" t="n">
        <x:v>0.4872647357079478</x:v>
      </x:c>
    </x:row>
    <x:row r="1602">
      <x:c r="A1602" s="32" t="n">
        <x:v>46216</x:v>
      </x:c>
      <x:c r="B1602" s="32" t="n">
        <x:v>46204</x:v>
      </x:c>
      <x:c r="C1602" t="str">
        <x:v>Jul 2026</x:v>
      </x:c>
      <x:c r="D1602" t="str">
        <x:v>Forecast</x:v>
      </x:c>
      <x:c r="E1602" t="str">
        <x:v>DB-105</x:v>
      </x:c>
      <x:c r="F1602" t="str">
        <x:v>DreamFuel Refill Pack</x:v>
      </x:c>
      <x:c r="G1602" t="str">
        <x:v>Subscription</x:v>
      </x:c>
      <x:c r="H1602" t="str">
        <x:v>None</x:v>
      </x:c>
      <x:c r="I1602" t="str">
        <x:v>Active</x:v>
      </x:c>
      <x:c r="J1602" t="str">
        <x:v>Amazon Marketplace</x:v>
      </x:c>
      <x:c r="K1602" t="str">
        <x:v>Marketplace Consumer</x:v>
      </x:c>
      <x:c r="L1602" t="str">
        <x:v>All Geographies</x:v>
      </x:c>
      <x:c r="M1602" s="34" t="n">
        <x:v>2525</x:v>
      </x:c>
      <x:c r="N1602" s="28" t="n">
        <x:v>0.0458784</x:v>
      </x:c>
      <x:c r="O1602" s="34" t="n">
        <x:v>116</x:v>
      </x:c>
      <x:c r="P1602" s="34" t="n">
        <x:v>1</x:v>
      </x:c>
      <x:c r="Q1602" s="34" t="n">
        <x:v>116</x:v>
      </x:c>
      <x:c r="R1602" s="33" t="n">
        <x:v>56</x:v>
      </x:c>
      <x:c r="S1602" s="38" t="n">
        <x:v>6.496</x:v>
      </x:c>
      <x:c r="T1602" s="38" t="n">
        <x:v>0.32480000000000003</x:v>
      </x:c>
      <x:c r="U1602" s="38" t="n">
        <x:v>0.12342400000000002</x:v>
      </x:c>
      <x:c r="V1602" s="38" t="n">
        <x:v>6.047776000000001</x:v>
      </x:c>
      <x:c r="W1602" s="38" t="n">
        <x:v>2.15992</x:v>
      </x:c>
      <x:c r="X1602" s="38" t="n">
        <x:v>0</x:v>
      </x:c>
      <x:c r="Y1602" s="38" t="n">
        <x:v>0.9071664</x:v>
      </x:c>
      <x:c r="Z1602" s="38" t="n">
        <x:v>0.6032000000000001</x:v>
      </x:c>
      <x:c r="AA1602" s="38" t="n">
        <x:v>0.24939999999999998</x:v>
      </x:c>
      <x:c r="AB1602" s="38" t="n">
        <x:v>0.0004176</x:v>
      </x:c>
      <x:c r="AC1602" s="38" t="n">
        <x:v>2.1276720000000005</x:v>
      </x:c>
      <x:c r="AD1602" s="28" t="n">
        <x:v>0.35181064907165877</x:v>
      </x:c>
    </x:row>
    <x:row r="1603">
      <x:c r="A1603" s="32" t="n">
        <x:v>46216</x:v>
      </x:c>
      <x:c r="B1603" s="32" t="n">
        <x:v>46204</x:v>
      </x:c>
      <x:c r="C1603" t="str">
        <x:v>Jul 2026</x:v>
      </x:c>
      <x:c r="D1603" t="str">
        <x:v>Forecast</x:v>
      </x:c>
      <x:c r="E1603" t="str">
        <x:v>DB-105</x:v>
      </x:c>
      <x:c r="F1603" t="str">
        <x:v>DreamFuel Refill Pack</x:v>
      </x:c>
      <x:c r="G1603" t="str">
        <x:v>Subscription</x:v>
      </x:c>
      <x:c r="H1603" t="str">
        <x:v>None</x:v>
      </x:c>
      <x:c r="I1603" t="str">
        <x:v>Active</x:v>
      </x:c>
      <x:c r="J1603" t="str">
        <x:v>Wholesale</x:v>
      </x:c>
      <x:c r="K1603" t="str">
        <x:v>Retailer</x:v>
      </x:c>
      <x:c r="L1603" t="str">
        <x:v>All Geographies</x:v>
      </x:c>
      <x:c r="M1603" s="34" t="n">
        <x:v>1515</x:v>
      </x:c>
      <x:c r="N1603" s="28" t="n">
        <x:v>0.021384000000000004</x:v>
      </x:c>
      <x:c r="O1603" s="34" t="n">
        <x:v>32</x:v>
      </x:c>
      <x:c r="P1603" s="34" t="n">
        <x:v>1</x:v>
      </x:c>
      <x:c r="Q1603" s="34" t="n">
        <x:v>32</x:v>
      </x:c>
      <x:c r="R1603" s="33" t="n">
        <x:v>56</x:v>
      </x:c>
      <x:c r="S1603" s="38" t="n">
        <x:v>1.792</x:v>
      </x:c>
      <x:c r="T1603" s="38" t="n">
        <x:v>0.6272</x:v>
      </x:c>
      <x:c r="U1603" s="38" t="n">
        <x:v>0.023296</x:v>
      </x:c>
      <x:c r="V1603" s="38" t="n">
        <x:v>1.141504</x:v>
      </x:c>
      <x:c r="W1603" s="38" t="n">
        <x:v>0.59584</x:v>
      </x:c>
      <x:c r="X1603" s="38" t="n">
        <x:v>0</x:v>
      </x:c>
      <x:c r="Y1603" s="38" t="n">
        <x:v>0</x:v>
      </x:c>
      <x:c r="Z1603" s="38" t="n">
        <x:v>0.0736</x:v>
      </x:c>
      <x:c r="AA1603" s="38" t="n">
        <x:v>0.0272</x:v>
      </x:c>
      <x:c r="AB1603" s="38" t="n">
        <x:v>0.0001152</x:v>
      </x:c>
      <x:c r="AC1603" s="38" t="n">
        <x:v>0.44474880000000006</x:v>
      </x:c>
      <x:c r="AD1603" s="28" t="n">
        <x:v>0.3896165059430366</x:v>
      </x:c>
    </x:row>
    <x:row r="1604">
      <x:c r="A1604" s="32" t="n">
        <x:v>46216</x:v>
      </x:c>
      <x:c r="B1604" s="32" t="n">
        <x:v>46204</x:v>
      </x:c>
      <x:c r="C1604" t="str">
        <x:v>Jul 2026</x:v>
      </x:c>
      <x:c r="D1604" t="str">
        <x:v>Forecast</x:v>
      </x:c>
      <x:c r="E1604" t="str">
        <x:v>DB-105</x:v>
      </x:c>
      <x:c r="F1604" t="str">
        <x:v>DreamFuel Refill Pack</x:v>
      </x:c>
      <x:c r="G1604" t="str">
        <x:v>Subscription</x:v>
      </x:c>
      <x:c r="H1604" t="str">
        <x:v>None</x:v>
      </x:c>
      <x:c r="I1604" t="str">
        <x:v>Active</x:v>
      </x:c>
      <x:c r="J1604" t="str">
        <x:v>TikTok Shop</x:v>
      </x:c>
      <x:c r="K1604" t="str">
        <x:v>Social Commerce</x:v>
      </x:c>
      <x:c r="L1604" t="str">
        <x:v>All Geographies</x:v>
      </x:c>
      <x:c r="M1604" s="34" t="n">
        <x:v>1010</x:v>
      </x:c>
      <x:c r="N1604" s="28" t="n">
        <x:v>0.0489888</x:v>
      </x:c>
      <x:c r="O1604" s="34" t="n">
        <x:v>49</x:v>
      </x:c>
      <x:c r="P1604" s="34" t="n">
        <x:v>1</x:v>
      </x:c>
      <x:c r="Q1604" s="34" t="n">
        <x:v>49</x:v>
      </x:c>
      <x:c r="R1604" s="33" t="n">
        <x:v>56</x:v>
      </x:c>
      <x:c r="S1604" s="38" t="n">
        <x:v>2.744</x:v>
      </x:c>
      <x:c r="T1604" s="38" t="n">
        <x:v>0.32928</x:v>
      </x:c>
      <x:c r="U1604" s="38" t="n">
        <x:v>0.0482944</x:v>
      </x:c>
      <x:c r="V1604" s="38" t="n">
        <x:v>2.3664256</x:v>
      </x:c>
      <x:c r="W1604" s="38" t="n">
        <x:v>0.91238</x:v>
      </x:c>
      <x:c r="X1604" s="38" t="n">
        <x:v>0.0686263424</x:v>
      </x:c>
      <x:c r="Y1604" s="38" t="n">
        <x:v>0.141985536</x:v>
      </x:c>
      <x:c r="Z1604" s="38" t="n">
        <x:v>0.24989999999999998</x:v>
      </x:c>
      <x:c r="AA1604" s="38" t="n">
        <x:v>0.08575</x:v>
      </x:c>
      <x:c r="AB1604" s="38" t="n">
        <x:v>0.00017639999999999998</x:v>
      </x:c>
      <x:c r="AC1604" s="38" t="n">
        <x:v>0.9076073216</x:v>
      </x:c>
      <x:c r="AD1604" s="28" t="n">
        <x:v>0.3835351179432812</x:v>
      </x:c>
    </x:row>
    <x:row r="1605">
      <x:c r="A1605" s="32" t="n">
        <x:v>46223</x:v>
      </x:c>
      <x:c r="B1605" s="32" t="n">
        <x:v>46204</x:v>
      </x:c>
      <x:c r="C1605" t="str">
        <x:v>Jul 2026</x:v>
      </x:c>
      <x:c r="D1605" t="str">
        <x:v>Forecast</x:v>
      </x:c>
      <x:c r="E1605" t="str">
        <x:v>DB-101</x:v>
      </x:c>
      <x:c r="F1605" t="str">
        <x:v>AeroSip Bottle</x:v>
      </x:c>
      <x:c r="G1605" t="str">
        <x:v>One-time purchase</x:v>
      </x:c>
      <x:c r="H1605" t="str">
        <x:v>None</x:v>
      </x:c>
      <x:c r="I1605" t="str">
        <x:v>Active</x:v>
      </x:c>
      <x:c r="J1605" t="str">
        <x:v>Shopify DTC</x:v>
      </x:c>
      <x:c r="K1605" t="str">
        <x:v>Consumer</x:v>
      </x:c>
      <x:c r="L1605" t="str">
        <x:v>All Geographies</x:v>
      </x:c>
      <x:c r="M1605" s="34" t="n">
        <x:v>7296</x:v>
      </x:c>
      <x:c r="N1605" s="28" t="n">
        <x:v>0.034199999999999994</x:v>
      </x:c>
      <x:c r="O1605" s="34" t="n">
        <x:v>250</x:v>
      </x:c>
      <x:c r="P1605" s="34" t="n">
        <x:v>1</x:v>
      </x:c>
      <x:c r="Q1605" s="34" t="n">
        <x:v>250</x:v>
      </x:c>
      <x:c r="R1605" s="33" t="n">
        <x:v>29</x:v>
      </x:c>
      <x:c r="S1605" s="38" t="n">
        <x:v>7.25</x:v>
      </x:c>
      <x:c r="T1605" s="38" t="n">
        <x:v>0.58</x:v>
      </x:c>
      <x:c r="U1605" s="38" t="n">
        <x:v>0.30015</x:v>
      </x:c>
      <x:c r="V1605" s="38" t="n">
        <x:v>6.36985</x:v>
      </x:c>
      <x:c r="W1605" s="38" t="n">
        <x:v>2.7</x:v>
      </x:c>
      <x:c r="X1605" s="38" t="n">
        <x:v>0.18472565</x:v>
      </x:c>
      <x:c r="Y1605" s="38" t="n">
        <x:v>0</x:v>
      </x:c>
      <x:c r="Z1605" s="38" t="n">
        <x:v>1.0375</x:v>
      </x:c>
      <x:c r="AA1605" s="38" t="n">
        <x:v>0.4125</x:v>
      </x:c>
      <x:c r="AB1605" s="38" t="n">
        <x:v>0.009</x:v>
      </x:c>
      <x:c r="AC1605" s="38" t="n">
        <x:v>2.0261243499999995</x:v>
      </x:c>
      <x:c r="AD1605" s="28" t="n">
        <x:v>0.31808038650831644</x:v>
      </x:c>
    </x:row>
    <x:row r="1606">
      <x:c r="A1606" s="32" t="n">
        <x:v>46223</x:v>
      </x:c>
      <x:c r="B1606" s="32" t="n">
        <x:v>46204</x:v>
      </x:c>
      <x:c r="C1606" t="str">
        <x:v>Jul 2026</x:v>
      </x:c>
      <x:c r="D1606" t="str">
        <x:v>Forecast</x:v>
      </x:c>
      <x:c r="E1606" t="str">
        <x:v>DB-101</x:v>
      </x:c>
      <x:c r="F1606" t="str">
        <x:v>AeroSip Bottle</x:v>
      </x:c>
      <x:c r="G1606" t="str">
        <x:v>One-time purchase</x:v>
      </x:c>
      <x:c r="H1606" t="str">
        <x:v>None</x:v>
      </x:c>
      <x:c r="I1606" t="str">
        <x:v>Active</x:v>
      </x:c>
      <x:c r="J1606" t="str">
        <x:v>Amazon Marketplace</x:v>
      </x:c>
      <x:c r="K1606" t="str">
        <x:v>Marketplace Consumer</x:v>
      </x:c>
      <x:c r="L1606" t="str">
        <x:v>All Geographies</x:v>
      </x:c>
      <x:c r="M1606" s="34" t="n">
        <x:v>3648</x:v>
      </x:c>
      <x:c r="N1606" s="28" t="n">
        <x:v>0.040355999999999996</x:v>
      </x:c>
      <x:c r="O1606" s="34" t="n">
        <x:v>147</x:v>
      </x:c>
      <x:c r="P1606" s="34" t="n">
        <x:v>1</x:v>
      </x:c>
      <x:c r="Q1606" s="34" t="n">
        <x:v>147</x:v>
      </x:c>
      <x:c r="R1606" s="33" t="n">
        <x:v>29</x:v>
      </x:c>
      <x:c r="S1606" s="38" t="n">
        <x:v>4.263</x:v>
      </x:c>
      <x:c r="T1606" s="38" t="n">
        <x:v>0.21315</x:v>
      </x:c>
      <x:c r="U1606" s="38" t="n">
        <x:v>0.18224325</x:v>
      </x:c>
      <x:c r="V1606" s="38" t="n">
        <x:v>3.86760675</x:v>
      </x:c>
      <x:c r="W1606" s="38" t="n">
        <x:v>1.5876000000000001</x:v>
      </x:c>
      <x:c r="X1606" s="38" t="n">
        <x:v>0</x:v>
      </x:c>
      <x:c r="Y1606" s="38" t="n">
        <x:v>0.5801410125</x:v>
      </x:c>
      <x:c r="Z1606" s="38" t="n">
        <x:v>0.7644</x:v>
      </x:c>
      <x:c r="AA1606" s="38" t="n">
        <x:v>0.31605</x:v>
      </x:c>
      <x:c r="AB1606" s="38" t="n">
        <x:v>0.005292</x:v>
      </x:c>
      <x:c r="AC1606" s="38" t="n">
        <x:v>0.6141237375000003</x:v>
      </x:c>
      <x:c r="AD1606" s="28" t="n">
        <x:v>0.15878649955815705</x:v>
      </x:c>
    </x:row>
    <x:row r="1607">
      <x:c r="A1607" s="32" t="n">
        <x:v>46223</x:v>
      </x:c>
      <x:c r="B1607" s="32" t="n">
        <x:v>46204</x:v>
      </x:c>
      <x:c r="C1607" t="str">
        <x:v>Jul 2026</x:v>
      </x:c>
      <x:c r="D1607" t="str">
        <x:v>Forecast</x:v>
      </x:c>
      <x:c r="E1607" t="str">
        <x:v>DB-101</x:v>
      </x:c>
      <x:c r="F1607" t="str">
        <x:v>AeroSip Bottle</x:v>
      </x:c>
      <x:c r="G1607" t="str">
        <x:v>One-time purchase</x:v>
      </x:c>
      <x:c r="H1607" t="str">
        <x:v>None</x:v>
      </x:c>
      <x:c r="I1607" t="str">
        <x:v>Active</x:v>
      </x:c>
      <x:c r="J1607" t="str">
        <x:v>Wholesale</x:v>
      </x:c>
      <x:c r="K1607" t="str">
        <x:v>Retailer</x:v>
      </x:c>
      <x:c r="L1607" t="str">
        <x:v>All Geographies</x:v>
      </x:c>
      <x:c r="M1607" s="34" t="n">
        <x:v>2189</x:v>
      </x:c>
      <x:c r="N1607" s="28" t="n">
        <x:v>0.01881</x:v>
      </x:c>
      <x:c r="O1607" s="34" t="n">
        <x:v>41</x:v>
      </x:c>
      <x:c r="P1607" s="34" t="n">
        <x:v>1</x:v>
      </x:c>
      <x:c r="Q1607" s="34" t="n">
        <x:v>41</x:v>
      </x:c>
      <x:c r="R1607" s="33" t="n">
        <x:v>29</x:v>
      </x:c>
      <x:c r="S1607" s="38" t="n">
        <x:v>1.189</x:v>
      </x:c>
      <x:c r="T1607" s="38" t="n">
        <x:v>0.41615</x:v>
      </x:c>
      <x:c r="U1607" s="38" t="n">
        <x:v>0.034778250000000004</x:v>
      </x:c>
      <x:c r="V1607" s="38" t="n">
        <x:v>0.73807175</x:v>
      </x:c>
      <x:c r="W1607" s="38" t="n">
        <x:v>0.4428</x:v>
      </x:c>
      <x:c r="X1607" s="38" t="n">
        <x:v>0</x:v>
      </x:c>
      <x:c r="Y1607" s="38" t="n">
        <x:v>0</x:v>
      </x:c>
      <x:c r="Z1607" s="38" t="n">
        <x:v>0.0943</x:v>
      </x:c>
      <x:c r="AA1607" s="38" t="n">
        <x:v>0.03485</x:v>
      </x:c>
      <x:c r="AB1607" s="38" t="n">
        <x:v>0.0014759999999999999</x:v>
      </x:c>
      <x:c r="AC1607" s="38" t="n">
        <x:v>0.16464575</x:v>
      </x:c>
      <x:c r="AD1607" s="28" t="n">
        <x:v>0.22307553432305194</x:v>
      </x:c>
    </x:row>
    <x:row r="1608">
      <x:c r="A1608" s="32" t="n">
        <x:v>46223</x:v>
      </x:c>
      <x:c r="B1608" s="32" t="n">
        <x:v>46204</x:v>
      </x:c>
      <x:c r="C1608" t="str">
        <x:v>Jul 2026</x:v>
      </x:c>
      <x:c r="D1608" t="str">
        <x:v>Forecast</x:v>
      </x:c>
      <x:c r="E1608" t="str">
        <x:v>DB-101</x:v>
      </x:c>
      <x:c r="F1608" t="str">
        <x:v>AeroSip Bottle</x:v>
      </x:c>
      <x:c r="G1608" t="str">
        <x:v>One-time purchase</x:v>
      </x:c>
      <x:c r="H1608" t="str">
        <x:v>None</x:v>
      </x:c>
      <x:c r="I1608" t="str">
        <x:v>Active</x:v>
      </x:c>
      <x:c r="J1608" t="str">
        <x:v>TikTok Shop</x:v>
      </x:c>
      <x:c r="K1608" t="str">
        <x:v>Social Commerce</x:v>
      </x:c>
      <x:c r="L1608" t="str">
        <x:v>All Geographies</x:v>
      </x:c>
      <x:c r="M1608" s="34" t="n">
        <x:v>1459</x:v>
      </x:c>
      <x:c r="N1608" s="28" t="n">
        <x:v>0.043092</x:v>
      </x:c>
      <x:c r="O1608" s="34" t="n">
        <x:v>63</x:v>
      </x:c>
      <x:c r="P1608" s="34" t="n">
        <x:v>1</x:v>
      </x:c>
      <x:c r="Q1608" s="34" t="n">
        <x:v>63</x:v>
      </x:c>
      <x:c r="R1608" s="33" t="n">
        <x:v>29</x:v>
      </x:c>
      <x:c r="S1608" s="38" t="n">
        <x:v>1.827</x:v>
      </x:c>
      <x:c r="T1608" s="38" t="n">
        <x:v>0.21924</x:v>
      </x:c>
      <x:c r="U1608" s="38" t="n">
        <x:v>0.07234919999999999</x:v>
      </x:c>
      <x:c r="V1608" s="38" t="n">
        <x:v>1.5354108</x:v>
      </x:c>
      <x:c r="W1608" s="38" t="n">
        <x:v>0.6804000000000001</x:v>
      </x:c>
      <x:c r="X1608" s="38" t="n">
        <x:v>0.044526913200000004</x:v>
      </x:c>
      <x:c r="Y1608" s="38" t="n">
        <x:v>0.09212464799999999</x:v>
      </x:c>
      <x:c r="Z1608" s="38" t="n">
        <x:v>0.3213</x:v>
      </x:c>
      <x:c r="AA1608" s="38" t="n">
        <x:v>0.11025</x:v>
      </x:c>
      <x:c r="AB1608" s="38" t="n">
        <x:v>0.0022679999999999996</x:v>
      </x:c>
      <x:c r="AC1608" s="38" t="n">
        <x:v>0.2845412387999999</x:v>
      </x:c>
      <x:c r="AD1608" s="28" t="n">
        <x:v>0.18531928966501987</x:v>
      </x:c>
    </x:row>
    <x:row r="1609">
      <x:c r="A1609" s="32" t="n">
        <x:v>46223</x:v>
      </x:c>
      <x:c r="B1609" s="32" t="n">
        <x:v>46204</x:v>
      </x:c>
      <x:c r="C1609" t="str">
        <x:v>Jul 2026</x:v>
      </x:c>
      <x:c r="D1609" t="str">
        <x:v>Forecast</x:v>
      </x:c>
      <x:c r="E1609" t="str">
        <x:v>DB-102</x:v>
      </x:c>
      <x:c r="F1609" t="str">
        <x:v>GlowPatch Balm</x:v>
      </x:c>
      <x:c r="G1609" t="str">
        <x:v>Consumable repeat</x:v>
      </x:c>
      <x:c r="H1609" t="str">
        <x:v>None</x:v>
      </x:c>
      <x:c r="I1609" t="str">
        <x:v>Active</x:v>
      </x:c>
      <x:c r="J1609" t="str">
        <x:v>Shopify DTC</x:v>
      </x:c>
      <x:c r="K1609" t="str">
        <x:v>Consumer</x:v>
      </x:c>
      <x:c r="L1609" t="str">
        <x:v>All Geographies</x:v>
      </x:c>
      <x:c r="M1609" s="34" t="n">
        <x:v>5893</x:v>
      </x:c>
      <x:c r="N1609" s="28" t="n">
        <x:v>0.04248</x:v>
      </x:c>
      <x:c r="O1609" s="34" t="n">
        <x:v>250</x:v>
      </x:c>
      <x:c r="P1609" s="34" t="n">
        <x:v>1</x:v>
      </x:c>
      <x:c r="Q1609" s="34" t="n">
        <x:v>250</x:v>
      </x:c>
      <x:c r="R1609" s="33" t="n">
        <x:v>18</x:v>
      </x:c>
      <x:c r="S1609" s="38" t="n">
        <x:v>4.5</x:v>
      </x:c>
      <x:c r="T1609" s="38" t="n">
        <x:v>0.36</x:v>
      </x:c>
      <x:c r="U1609" s="38" t="n">
        <x:v>0.1035</x:v>
      </x:c>
      <x:c r="V1609" s="38" t="n">
        <x:v>4.036499999999999</x:v>
      </x:c>
      <x:c r="W1609" s="38" t="n">
        <x:v>1.3525</x:v>
      </x:c>
      <x:c r="X1609" s="38" t="n">
        <x:v>0.11705849999999998</x:v>
      </x:c>
      <x:c r="Y1609" s="38" t="n">
        <x:v>0</x:v>
      </x:c>
      <x:c r="Z1609" s="38" t="n">
        <x:v>1.0375</x:v>
      </x:c>
      <x:c r="AA1609" s="38" t="n">
        <x:v>0.4125</x:v>
      </x:c>
      <x:c r="AB1609" s="38" t="n">
        <x:v>0.0015</x:v>
      </x:c>
      <x:c r="AC1609" s="38" t="n">
        <x:v>1.1154414999999989</x:v>
      </x:c>
      <x:c r="AD1609" s="28" t="n">
        <x:v>0.2763387835996529</x:v>
      </x:c>
    </x:row>
    <x:row r="1610">
      <x:c r="A1610" s="32" t="n">
        <x:v>46223</x:v>
      </x:c>
      <x:c r="B1610" s="32" t="n">
        <x:v>46204</x:v>
      </x:c>
      <x:c r="C1610" t="str">
        <x:v>Jul 2026</x:v>
      </x:c>
      <x:c r="D1610" t="str">
        <x:v>Forecast</x:v>
      </x:c>
      <x:c r="E1610" t="str">
        <x:v>DB-102</x:v>
      </x:c>
      <x:c r="F1610" t="str">
        <x:v>GlowPatch Balm</x:v>
      </x:c>
      <x:c r="G1610" t="str">
        <x:v>Consumable repeat</x:v>
      </x:c>
      <x:c r="H1610" t="str">
        <x:v>None</x:v>
      </x:c>
      <x:c r="I1610" t="str">
        <x:v>Active</x:v>
      </x:c>
      <x:c r="J1610" t="str">
        <x:v>Amazon Marketplace</x:v>
      </x:c>
      <x:c r="K1610" t="str">
        <x:v>Marketplace Consumer</x:v>
      </x:c>
      <x:c r="L1610" t="str">
        <x:v>All Geographies</x:v>
      </x:c>
      <x:c r="M1610" s="34" t="n">
        <x:v>2946</x:v>
      </x:c>
      <x:c r="N1610" s="28" t="n">
        <x:v>0.050126399999999995</x:v>
      </x:c>
      <x:c r="O1610" s="34" t="n">
        <x:v>148</x:v>
      </x:c>
      <x:c r="P1610" s="34" t="n">
        <x:v>1</x:v>
      </x:c>
      <x:c r="Q1610" s="34" t="n">
        <x:v>148</x:v>
      </x:c>
      <x:c r="R1610" s="33" t="n">
        <x:v>18</x:v>
      </x:c>
      <x:c r="S1610" s="38" t="n">
        <x:v>2.664</x:v>
      </x:c>
      <x:c r="T1610" s="38" t="n">
        <x:v>0.1332</x:v>
      </x:c>
      <x:c r="U1610" s="38" t="n">
        <x:v>0.06327</x:v>
      </x:c>
      <x:c r="V1610" s="38" t="n">
        <x:v>2.46753</x:v>
      </x:c>
      <x:c r="W1610" s="38" t="n">
        <x:v>0.8006800000000001</x:v>
      </x:c>
      <x:c r="X1610" s="38" t="n">
        <x:v>0</x:v>
      </x:c>
      <x:c r="Y1610" s="38" t="n">
        <x:v>0.3701295</x:v>
      </x:c>
      <x:c r="Z1610" s="38" t="n">
        <x:v>0.7696000000000001</x:v>
      </x:c>
      <x:c r="AA1610" s="38" t="n">
        <x:v>0.3182</x:v>
      </x:c>
      <x:c r="AB1610" s="38" t="n">
        <x:v>0.0008879999999999999</x:v>
      </x:c>
      <x:c r="AC1610" s="38" t="n">
        <x:v>0.2080324999999999</x:v>
      </x:c>
      <x:c r="AD1610" s="28" t="n">
        <x:v>0.084307992202729</x:v>
      </x:c>
    </x:row>
    <x:row r="1611">
      <x:c r="A1611" s="32" t="n">
        <x:v>46223</x:v>
      </x:c>
      <x:c r="B1611" s="32" t="n">
        <x:v>46204</x:v>
      </x:c>
      <x:c r="C1611" t="str">
        <x:v>Jul 2026</x:v>
      </x:c>
      <x:c r="D1611" t="str">
        <x:v>Forecast</x:v>
      </x:c>
      <x:c r="E1611" t="str">
        <x:v>DB-102</x:v>
      </x:c>
      <x:c r="F1611" t="str">
        <x:v>GlowPatch Balm</x:v>
      </x:c>
      <x:c r="G1611" t="str">
        <x:v>Consumable repeat</x:v>
      </x:c>
      <x:c r="H1611" t="str">
        <x:v>None</x:v>
      </x:c>
      <x:c r="I1611" t="str">
        <x:v>Active</x:v>
      </x:c>
      <x:c r="J1611" t="str">
        <x:v>Wholesale</x:v>
      </x:c>
      <x:c r="K1611" t="str">
        <x:v>Retailer</x:v>
      </x:c>
      <x:c r="L1611" t="str">
        <x:v>All Geographies</x:v>
      </x:c>
      <x:c r="M1611" s="34" t="n">
        <x:v>1768</x:v>
      </x:c>
      <x:c r="N1611" s="28" t="n">
        <x:v>0.023364</x:v>
      </x:c>
      <x:c r="O1611" s="34" t="n">
        <x:v>41</x:v>
      </x:c>
      <x:c r="P1611" s="34" t="n">
        <x:v>1</x:v>
      </x:c>
      <x:c r="Q1611" s="34" t="n">
        <x:v>41</x:v>
      </x:c>
      <x:c r="R1611" s="33" t="n">
        <x:v>18</x:v>
      </x:c>
      <x:c r="S1611" s="38" t="n">
        <x:v>0.738</x:v>
      </x:c>
      <x:c r="T1611" s="38" t="n">
        <x:v>0.2583</x:v>
      </x:c>
      <x:c r="U1611" s="38" t="n">
        <x:v>0.011992500000000001</x:v>
      </x:c>
      <x:c r="V1611" s="38" t="n">
        <x:v>0.4677075</x:v>
      </x:c>
      <x:c r="W1611" s="38" t="n">
        <x:v>0.22181</x:v>
      </x:c>
      <x:c r="X1611" s="38" t="n">
        <x:v>0</x:v>
      </x:c>
      <x:c r="Y1611" s="38" t="n">
        <x:v>0</x:v>
      </x:c>
      <x:c r="Z1611" s="38" t="n">
        <x:v>0.0943</x:v>
      </x:c>
      <x:c r="AA1611" s="38" t="n">
        <x:v>0.03485</x:v>
      </x:c>
      <x:c r="AB1611" s="38" t="n">
        <x:v>0.000246</x:v>
      </x:c>
      <x:c r="AC1611" s="38" t="n">
        <x:v>0.11650150000000001</x:v>
      </x:c>
      <x:c r="AD1611" s="28" t="n">
        <x:v>0.2490905106289722</x:v>
      </x:c>
    </x:row>
    <x:row r="1612">
      <x:c r="A1612" s="32" t="n">
        <x:v>46223</x:v>
      </x:c>
      <x:c r="B1612" s="32" t="n">
        <x:v>46204</x:v>
      </x:c>
      <x:c r="C1612" t="str">
        <x:v>Jul 2026</x:v>
      </x:c>
      <x:c r="D1612" t="str">
        <x:v>Forecast</x:v>
      </x:c>
      <x:c r="E1612" t="str">
        <x:v>DB-102</x:v>
      </x:c>
      <x:c r="F1612" t="str">
        <x:v>GlowPatch Balm</x:v>
      </x:c>
      <x:c r="G1612" t="str">
        <x:v>Consumable repeat</x:v>
      </x:c>
      <x:c r="H1612" t="str">
        <x:v>None</x:v>
      </x:c>
      <x:c r="I1612" t="str">
        <x:v>Active</x:v>
      </x:c>
      <x:c r="J1612" t="str">
        <x:v>TikTok Shop</x:v>
      </x:c>
      <x:c r="K1612" t="str">
        <x:v>Social Commerce</x:v>
      </x:c>
      <x:c r="L1612" t="str">
        <x:v>All Geographies</x:v>
      </x:c>
      <x:c r="M1612" s="34" t="n">
        <x:v>1179</x:v>
      </x:c>
      <x:c r="N1612" s="28" t="n">
        <x:v>0.0535248</x:v>
      </x:c>
      <x:c r="O1612" s="34" t="n">
        <x:v>63</x:v>
      </x:c>
      <x:c r="P1612" s="34" t="n">
        <x:v>1</x:v>
      </x:c>
      <x:c r="Q1612" s="34" t="n">
        <x:v>63</x:v>
      </x:c>
      <x:c r="R1612" s="33" t="n">
        <x:v>18</x:v>
      </x:c>
      <x:c r="S1612" s="38" t="n">
        <x:v>1.134</x:v>
      </x:c>
      <x:c r="T1612" s="38" t="n">
        <x:v>0.13607999999999998</x:v>
      </x:c>
      <x:c r="U1612" s="38" t="n">
        <x:v>0.024947999999999998</x:v>
      </x:c>
      <x:c r="V1612" s="38" t="n">
        <x:v>0.972972</x:v>
      </x:c>
      <x:c r="W1612" s="38" t="n">
        <x:v>0.34082999999999997</x:v>
      </x:c>
      <x:c r="X1612" s="38" t="n">
        <x:v>0.028216188</x:v>
      </x:c>
      <x:c r="Y1612" s="38" t="n">
        <x:v>0.05837832</x:v>
      </x:c>
      <x:c r="Z1612" s="38" t="n">
        <x:v>0.3213</x:v>
      </x:c>
      <x:c r="AA1612" s="38" t="n">
        <x:v>0.11025</x:v>
      </x:c>
      <x:c r="AB1612" s="38" t="n">
        <x:v>0.000378</x:v>
      </x:c>
      <x:c r="AC1612" s="38" t="n">
        <x:v>0.11361949199999999</x:v>
      </x:c>
      <x:c r="AD1612" s="28" t="n">
        <x:v>0.11677570577570577</x:v>
      </x:c>
    </x:row>
    <x:row r="1613">
      <x:c r="A1613" s="32" t="n">
        <x:v>46223</x:v>
      </x:c>
      <x:c r="B1613" s="32" t="n">
        <x:v>46204</x:v>
      </x:c>
      <x:c r="C1613" t="str">
        <x:v>Jul 2026</x:v>
      </x:c>
      <x:c r="D1613" t="str">
        <x:v>Forecast</x:v>
      </x:c>
      <x:c r="E1613" t="str">
        <x:v>DB-103</x:v>
      </x:c>
      <x:c r="F1613" t="str">
        <x:v>EmberTrail Camp Mug</x:v>
      </x:c>
      <x:c r="G1613" t="str">
        <x:v>One-time purchase</x:v>
      </x:c>
      <x:c r="H1613" t="str">
        <x:v>Winter peak</x:v>
      </x:c>
      <x:c r="I1613" t="str">
        <x:v>Active</x:v>
      </x:c>
      <x:c r="J1613" t="str">
        <x:v>Shopify DTC</x:v>
      </x:c>
      <x:c r="K1613" t="str">
        <x:v>Consumer</x:v>
      </x:c>
      <x:c r="L1613" t="str">
        <x:v>All Geographies</x:v>
      </x:c>
      <x:c r="M1613" s="34" t="n">
        <x:v>3940</x:v>
      </x:c>
      <x:c r="N1613" s="28" t="n">
        <x:v>0.0324</x:v>
      </x:c>
      <x:c r="O1613" s="34" t="n">
        <x:v>128</x:v>
      </x:c>
      <x:c r="P1613" s="34" t="n">
        <x:v>1</x:v>
      </x:c>
      <x:c r="Q1613" s="34" t="n">
        <x:v>128</x:v>
      </x:c>
      <x:c r="R1613" s="33" t="n">
        <x:v>34</x:v>
      </x:c>
      <x:c r="S1613" s="38" t="n">
        <x:v>4.352</x:v>
      </x:c>
      <x:c r="T1613" s="38" t="n">
        <x:v>0.34816</x:v>
      </x:c>
      <x:c r="U1613" s="38" t="n">
        <x:v>0.22021120000000002</x:v>
      </x:c>
      <x:c r="V1613" s="38" t="n">
        <x:v>3.7836288000000002</x:v>
      </x:c>
      <x:c r="W1613" s="38" t="n">
        <x:v>1.74976</x:v>
      </x:c>
      <x:c r="X1613" s="38" t="n">
        <x:v>0.10972523520000001</x:v>
      </x:c>
      <x:c r="Y1613" s="38" t="n">
        <x:v>0</x:v>
      </x:c>
      <x:c r="Z1613" s="38" t="n">
        <x:v>0.5312</x:v>
      </x:c>
      <x:c r="AA1613" s="38" t="n">
        <x:v>0.2112</x:v>
      </x:c>
      <x:c r="AB1613" s="38" t="n">
        <x:v>0.007168</x:v>
      </x:c>
      <x:c r="AC1613" s="38" t="n">
        <x:v>1.1745755648000002</x:v>
      </x:c>
      <x:c r="AD1613" s="28" t="n">
        <x:v>0.3104362575948254</x:v>
      </x:c>
    </x:row>
    <x:row r="1614">
      <x:c r="A1614" s="32" t="n">
        <x:v>46223</x:v>
      </x:c>
      <x:c r="B1614" s="32" t="n">
        <x:v>46204</x:v>
      </x:c>
      <x:c r="C1614" t="str">
        <x:v>Jul 2026</x:v>
      </x:c>
      <x:c r="D1614" t="str">
        <x:v>Forecast</x:v>
      </x:c>
      <x:c r="E1614" t="str">
        <x:v>DB-103</x:v>
      </x:c>
      <x:c r="F1614" t="str">
        <x:v>EmberTrail Camp Mug</x:v>
      </x:c>
      <x:c r="G1614" t="str">
        <x:v>One-time purchase</x:v>
      </x:c>
      <x:c r="H1614" t="str">
        <x:v>Winter peak</x:v>
      </x:c>
      <x:c r="I1614" t="str">
        <x:v>Active</x:v>
      </x:c>
      <x:c r="J1614" t="str">
        <x:v>Amazon Marketplace</x:v>
      </x:c>
      <x:c r="K1614" t="str">
        <x:v>Marketplace Consumer</x:v>
      </x:c>
      <x:c r="L1614" t="str">
        <x:v>All Geographies</x:v>
      </x:c>
      <x:c r="M1614" s="34" t="n">
        <x:v>1970</x:v>
      </x:c>
      <x:c r="N1614" s="28" t="n">
        <x:v>0.038231999999999995</x:v>
      </x:c>
      <x:c r="O1614" s="34" t="n">
        <x:v>75</x:v>
      </x:c>
      <x:c r="P1614" s="34" t="n">
        <x:v>1</x:v>
      </x:c>
      <x:c r="Q1614" s="34" t="n">
        <x:v>75</x:v>
      </x:c>
      <x:c r="R1614" s="33" t="n">
        <x:v>34</x:v>
      </x:c>
      <x:c r="S1614" s="38" t="n">
        <x:v>2.55</x:v>
      </x:c>
      <x:c r="T1614" s="38" t="n">
        <x:v>0.1275</x:v>
      </x:c>
      <x:c r="U1614" s="38" t="n">
        <x:v>0.13323749999999998</x:v>
      </x:c>
      <x:c r="V1614" s="38" t="n">
        <x:v>2.2892625</x:v>
      </x:c>
      <x:c r="W1614" s="38" t="n">
        <x:v>1.02525</x:v>
      </x:c>
      <x:c r="X1614" s="38" t="n">
        <x:v>0</x:v>
      </x:c>
      <x:c r="Y1614" s="38" t="n">
        <x:v>0.343389375</x:v>
      </x:c>
      <x:c r="Z1614" s="38" t="n">
        <x:v>0.39</x:v>
      </x:c>
      <x:c r="AA1614" s="38" t="n">
        <x:v>0.16125</x:v>
      </x:c>
      <x:c r="AB1614" s="38" t="n">
        <x:v>0.004200000000000001</x:v>
      </x:c>
      <x:c r="AC1614" s="38" t="n">
        <x:v>0.365173125</x:v>
      </x:c>
      <x:c r="AD1614" s="28" t="n">
        <x:v>0.15951561911314233</x:v>
      </x:c>
    </x:row>
    <x:row r="1615">
      <x:c r="A1615" s="32" t="n">
        <x:v>46223</x:v>
      </x:c>
      <x:c r="B1615" s="32" t="n">
        <x:v>46204</x:v>
      </x:c>
      <x:c r="C1615" t="str">
        <x:v>Jul 2026</x:v>
      </x:c>
      <x:c r="D1615" t="str">
        <x:v>Forecast</x:v>
      </x:c>
      <x:c r="E1615" t="str">
        <x:v>DB-103</x:v>
      </x:c>
      <x:c r="F1615" t="str">
        <x:v>EmberTrail Camp Mug</x:v>
      </x:c>
      <x:c r="G1615" t="str">
        <x:v>One-time purchase</x:v>
      </x:c>
      <x:c r="H1615" t="str">
        <x:v>Winter peak</x:v>
      </x:c>
      <x:c r="I1615" t="str">
        <x:v>Active</x:v>
      </x:c>
      <x:c r="J1615" t="str">
        <x:v>Wholesale</x:v>
      </x:c>
      <x:c r="K1615" t="str">
        <x:v>Retailer</x:v>
      </x:c>
      <x:c r="L1615" t="str">
        <x:v>All Geographies</x:v>
      </x:c>
      <x:c r="M1615" s="34" t="n">
        <x:v>1182</x:v>
      </x:c>
      <x:c r="N1615" s="28" t="n">
        <x:v>0.017820000000000003</x:v>
      </x:c>
      <x:c r="O1615" s="34" t="n">
        <x:v>21</x:v>
      </x:c>
      <x:c r="P1615" s="34" t="n">
        <x:v>1</x:v>
      </x:c>
      <x:c r="Q1615" s="34" t="n">
        <x:v>21</x:v>
      </x:c>
      <x:c r="R1615" s="33" t="n">
        <x:v>34</x:v>
      </x:c>
      <x:c r="S1615" s="38" t="n">
        <x:v>0.714</x:v>
      </x:c>
      <x:c r="T1615" s="38" t="n">
        <x:v>0.24989999999999998</x:v>
      </x:c>
      <x:c r="U1615" s="38" t="n">
        <x:v>0.025525499999999996</x:v>
      </x:c>
      <x:c r="V1615" s="38" t="n">
        <x:v>0.4385745</x:v>
      </x:c>
      <x:c r="W1615" s="38" t="n">
        <x:v>0.28707</x:v>
      </x:c>
      <x:c r="X1615" s="38" t="n">
        <x:v>0</x:v>
      </x:c>
      <x:c r="Y1615" s="38" t="n">
        <x:v>0</x:v>
      </x:c>
      <x:c r="Z1615" s="38" t="n">
        <x:v>0.048299999999999996</x:v>
      </x:c>
      <x:c r="AA1615" s="38" t="n">
        <x:v>0.017849999999999998</x:v>
      </x:c>
      <x:c r="AB1615" s="38" t="n">
        <x:v>0.0011760000000000002</x:v>
      </x:c>
      <x:c r="AC1615" s="38" t="n">
        <x:v>0.0841785</x:v>
      </x:c>
      <x:c r="AD1615" s="28" t="n">
        <x:v>0.1919366037013096</x:v>
      </x:c>
    </x:row>
    <x:row r="1616">
      <x:c r="A1616" s="32" t="n">
        <x:v>46223</x:v>
      </x:c>
      <x:c r="B1616" s="32" t="n">
        <x:v>46204</x:v>
      </x:c>
      <x:c r="C1616" t="str">
        <x:v>Jul 2026</x:v>
      </x:c>
      <x:c r="D1616" t="str">
        <x:v>Forecast</x:v>
      </x:c>
      <x:c r="E1616" t="str">
        <x:v>DB-103</x:v>
      </x:c>
      <x:c r="F1616" t="str">
        <x:v>EmberTrail Camp Mug</x:v>
      </x:c>
      <x:c r="G1616" t="str">
        <x:v>One-time purchase</x:v>
      </x:c>
      <x:c r="H1616" t="str">
        <x:v>Winter peak</x:v>
      </x:c>
      <x:c r="I1616" t="str">
        <x:v>Active</x:v>
      </x:c>
      <x:c r="J1616" t="str">
        <x:v>TikTok Shop</x:v>
      </x:c>
      <x:c r="K1616" t="str">
        <x:v>Social Commerce</x:v>
      </x:c>
      <x:c r="L1616" t="str">
        <x:v>All Geographies</x:v>
      </x:c>
      <x:c r="M1616" s="34" t="n">
        <x:v>788</x:v>
      </x:c>
      <x:c r="N1616" s="28" t="n">
        <x:v>0.040824</x:v>
      </x:c>
      <x:c r="O1616" s="34" t="n">
        <x:v>32</x:v>
      </x:c>
      <x:c r="P1616" s="34" t="n">
        <x:v>1</x:v>
      </x:c>
      <x:c r="Q1616" s="34" t="n">
        <x:v>32</x:v>
      </x:c>
      <x:c r="R1616" s="33" t="n">
        <x:v>34</x:v>
      </x:c>
      <x:c r="S1616" s="38" t="n">
        <x:v>1.088</x:v>
      </x:c>
      <x:c r="T1616" s="38" t="n">
        <x:v>0.13056</x:v>
      </x:c>
      <x:c r="U1616" s="38" t="n">
        <x:v>0.0526592</x:v>
      </x:c>
      <x:c r="V1616" s="38" t="n">
        <x:v>0.9047808</x:v>
      </x:c>
      <x:c r="W1616" s="38" t="n">
        <x:v>0.43744</x:v>
      </x:c>
      <x:c r="X1616" s="38" t="n">
        <x:v>0.0262386432</x:v>
      </x:c>
      <x:c r="Y1616" s="38" t="n">
        <x:v>0.054286848</x:v>
      </x:c>
      <x:c r="Z1616" s="38" t="n">
        <x:v>0.16319999999999998</x:v>
      </x:c>
      <x:c r="AA1616" s="38" t="n">
        <x:v>0.056</x:v>
      </x:c>
      <x:c r="AB1616" s="38" t="n">
        <x:v>0.001792</x:v>
      </x:c>
      <x:c r="AC1616" s="38" t="n">
        <x:v>0.16582330880000007</x:v>
      </x:c>
      <x:c r="AD1616" s="28" t="n">
        <x:v>0.1832745663922135</x:v>
      </x:c>
    </x:row>
    <x:row r="1617">
      <x:c r="A1617" s="32" t="n">
        <x:v>46223</x:v>
      </x:c>
      <x:c r="B1617" s="32" t="n">
        <x:v>46204</x:v>
      </x:c>
      <x:c r="C1617" t="str">
        <x:v>Jul 2026</x:v>
      </x:c>
      <x:c r="D1617" t="str">
        <x:v>Forecast</x:v>
      </x:c>
      <x:c r="E1617" t="str">
        <x:v>DB-104</x:v>
      </x:c>
      <x:c r="F1617" t="str">
        <x:v>SunNest Cooling Towel</x:v>
      </x:c>
      <x:c r="G1617" t="str">
        <x:v>Consumable repeat</x:v>
      </x:c>
      <x:c r="H1617" t="str">
        <x:v>Summer peak</x:v>
      </x:c>
      <x:c r="I1617" t="str">
        <x:v>Active</x:v>
      </x:c>
      <x:c r="J1617" t="str">
        <x:v>Shopify DTC</x:v>
      </x:c>
      <x:c r="K1617" t="str">
        <x:v>Consumer</x:v>
      </x:c>
      <x:c r="L1617" t="str">
        <x:v>All Geographies</x:v>
      </x:c>
      <x:c r="M1617" s="34" t="n">
        <x:v>6774</x:v>
      </x:c>
      <x:c r="N1617" s="28" t="n">
        <x:v>0.03312</x:v>
      </x:c>
      <x:c r="O1617" s="34" t="n">
        <x:v>224</x:v>
      </x:c>
      <x:c r="P1617" s="34" t="n">
        <x:v>1</x:v>
      </x:c>
      <x:c r="Q1617" s="34" t="n">
        <x:v>224</x:v>
      </x:c>
      <x:c r="R1617" s="33" t="n">
        <x:v>42</x:v>
      </x:c>
      <x:c r="S1617" s="38" t="n">
        <x:v>9.408</x:v>
      </x:c>
      <x:c r="T1617" s="38" t="n">
        <x:v>0.75264</x:v>
      </x:c>
      <x:c r="U1617" s="38" t="n">
        <x:v>0.43276800000000004</x:v>
      </x:c>
      <x:c r="V1617" s="38" t="n">
        <x:v>8.222592</x:v>
      </x:c>
      <x:c r="W1617" s="38" t="n">
        <x:v>3.3712000000000004</x:v>
      </x:c>
      <x:c r="X1617" s="38" t="n">
        <x:v>0.23845516800000002</x:v>
      </x:c>
      <x:c r="Y1617" s="38" t="n">
        <x:v>0</x:v>
      </x:c>
      <x:c r="Z1617" s="38" t="n">
        <x:v>0.9296000000000001</x:v>
      </x:c>
      <x:c r="AA1617" s="38" t="n">
        <x:v>0.3696</x:v>
      </x:c>
      <x:c r="AB1617" s="38" t="n">
        <x:v>0.006272000000000001</x:v>
      </x:c>
      <x:c r="AC1617" s="38" t="n">
        <x:v>3.3074648320000004</x:v>
      </x:c>
      <x:c r="AD1617" s="28" t="n">
        <x:v>0.40224114634412117</x:v>
      </x:c>
    </x:row>
    <x:row r="1618">
      <x:c r="A1618" s="32" t="n">
        <x:v>46223</x:v>
      </x:c>
      <x:c r="B1618" s="32" t="n">
        <x:v>46204</x:v>
      </x:c>
      <x:c r="C1618" t="str">
        <x:v>Jul 2026</x:v>
      </x:c>
      <x:c r="D1618" t="str">
        <x:v>Forecast</x:v>
      </x:c>
      <x:c r="E1618" t="str">
        <x:v>DB-104</x:v>
      </x:c>
      <x:c r="F1618" t="str">
        <x:v>SunNest Cooling Towel</x:v>
      </x:c>
      <x:c r="G1618" t="str">
        <x:v>Consumable repeat</x:v>
      </x:c>
      <x:c r="H1618" t="str">
        <x:v>Summer peak</x:v>
      </x:c>
      <x:c r="I1618" t="str">
        <x:v>Active</x:v>
      </x:c>
      <x:c r="J1618" t="str">
        <x:v>Amazon Marketplace</x:v>
      </x:c>
      <x:c r="K1618" t="str">
        <x:v>Marketplace Consumer</x:v>
      </x:c>
      <x:c r="L1618" t="str">
        <x:v>All Geographies</x:v>
      </x:c>
      <x:c r="M1618" s="34" t="n">
        <x:v>3387</x:v>
      </x:c>
      <x:c r="N1618" s="28" t="n">
        <x:v>0.0390816</x:v>
      </x:c>
      <x:c r="O1618" s="34" t="n">
        <x:v>132</x:v>
      </x:c>
      <x:c r="P1618" s="34" t="n">
        <x:v>1</x:v>
      </x:c>
      <x:c r="Q1618" s="34" t="n">
        <x:v>132</x:v>
      </x:c>
      <x:c r="R1618" s="33" t="n">
        <x:v>42</x:v>
      </x:c>
      <x:c r="S1618" s="38" t="n">
        <x:v>5.544</x:v>
      </x:c>
      <x:c r="T1618" s="38" t="n">
        <x:v>0.2772</x:v>
      </x:c>
      <x:c r="U1618" s="38" t="n">
        <x:v>0.26334</x:v>
      </x:c>
      <x:c r="V1618" s="38" t="n">
        <x:v>5.00346</x:v>
      </x:c>
      <x:c r="W1618" s="38" t="n">
        <x:v>1.9866000000000001</x:v>
      </x:c>
      <x:c r="X1618" s="38" t="n">
        <x:v>0</x:v>
      </x:c>
      <x:c r="Y1618" s="38" t="n">
        <x:v>0.7505189999999999</x:v>
      </x:c>
      <x:c r="Z1618" s="38" t="n">
        <x:v>0.6864</x:v>
      </x:c>
      <x:c r="AA1618" s="38" t="n">
        <x:v>0.2838</x:v>
      </x:c>
      <x:c r="AB1618" s="38" t="n">
        <x:v>0.0036959999999999996</x:v>
      </x:c>
      <x:c r="AC1618" s="38" t="n">
        <x:v>1.2924449999999998</x:v>
      </x:c>
      <x:c r="AD1618" s="28" t="n">
        <x:v>0.2583102493074792</x:v>
      </x:c>
    </x:row>
    <x:row r="1619">
      <x:c r="A1619" s="32" t="n">
        <x:v>46223</x:v>
      </x:c>
      <x:c r="B1619" s="32" t="n">
        <x:v>46204</x:v>
      </x:c>
      <x:c r="C1619" t="str">
        <x:v>Jul 2026</x:v>
      </x:c>
      <x:c r="D1619" t="str">
        <x:v>Forecast</x:v>
      </x:c>
      <x:c r="E1619" t="str">
        <x:v>DB-104</x:v>
      </x:c>
      <x:c r="F1619" t="str">
        <x:v>SunNest Cooling Towel</x:v>
      </x:c>
      <x:c r="G1619" t="str">
        <x:v>Consumable repeat</x:v>
      </x:c>
      <x:c r="H1619" t="str">
        <x:v>Summer peak</x:v>
      </x:c>
      <x:c r="I1619" t="str">
        <x:v>Active</x:v>
      </x:c>
      <x:c r="J1619" t="str">
        <x:v>Wholesale</x:v>
      </x:c>
      <x:c r="K1619" t="str">
        <x:v>Retailer</x:v>
      </x:c>
      <x:c r="L1619" t="str">
        <x:v>All Geographies</x:v>
      </x:c>
      <x:c r="M1619" s="34" t="n">
        <x:v>2032</x:v>
      </x:c>
      <x:c r="N1619" s="28" t="n">
        <x:v>0.018216000000000003</x:v>
      </x:c>
      <x:c r="O1619" s="34" t="n">
        <x:v>37</x:v>
      </x:c>
      <x:c r="P1619" s="34" t="n">
        <x:v>1</x:v>
      </x:c>
      <x:c r="Q1619" s="34" t="n">
        <x:v>37</x:v>
      </x:c>
      <x:c r="R1619" s="33" t="n">
        <x:v>42</x:v>
      </x:c>
      <x:c r="S1619" s="38" t="n">
        <x:v>1.554</x:v>
      </x:c>
      <x:c r="T1619" s="38" t="n">
        <x:v>0.5438999999999999</x:v>
      </x:c>
      <x:c r="U1619" s="38" t="n">
        <x:v>0.050505</x:v>
      </x:c>
      <x:c r="V1619" s="38" t="n">
        <x:v>0.959595</x:v>
      </x:c>
      <x:c r="W1619" s="38" t="n">
        <x:v>0.5568500000000001</x:v>
      </x:c>
      <x:c r="X1619" s="38" t="n">
        <x:v>0</x:v>
      </x:c>
      <x:c r="Y1619" s="38" t="n">
        <x:v>0</x:v>
      </x:c>
      <x:c r="Z1619" s="38" t="n">
        <x:v>0.0851</x:v>
      </x:c>
      <x:c r="AA1619" s="38" t="n">
        <x:v>0.03145</x:v>
      </x:c>
      <x:c r="AB1619" s="38" t="n">
        <x:v>0.001036</x:v>
      </x:c>
      <x:c r="AC1619" s="38" t="n">
        <x:v>0.28515899999999994</x:v>
      </x:c>
      <x:c r="AD1619" s="28" t="n">
        <x:v>0.29716599190283394</x:v>
      </x:c>
    </x:row>
    <x:row r="1620">
      <x:c r="A1620" s="32" t="n">
        <x:v>46223</x:v>
      </x:c>
      <x:c r="B1620" s="32" t="n">
        <x:v>46204</x:v>
      </x:c>
      <x:c r="C1620" t="str">
        <x:v>Jul 2026</x:v>
      </x:c>
      <x:c r="D1620" t="str">
        <x:v>Forecast</x:v>
      </x:c>
      <x:c r="E1620" t="str">
        <x:v>DB-104</x:v>
      </x:c>
      <x:c r="F1620" t="str">
        <x:v>SunNest Cooling Towel</x:v>
      </x:c>
      <x:c r="G1620" t="str">
        <x:v>Consumable repeat</x:v>
      </x:c>
      <x:c r="H1620" t="str">
        <x:v>Summer peak</x:v>
      </x:c>
      <x:c r="I1620" t="str">
        <x:v>Active</x:v>
      </x:c>
      <x:c r="J1620" t="str">
        <x:v>TikTok Shop</x:v>
      </x:c>
      <x:c r="K1620" t="str">
        <x:v>Social Commerce</x:v>
      </x:c>
      <x:c r="L1620" t="str">
        <x:v>All Geographies</x:v>
      </x:c>
      <x:c r="M1620" s="34" t="n">
        <x:v>1355</x:v>
      </x:c>
      <x:c r="N1620" s="28" t="n">
        <x:v>0.0417312</x:v>
      </x:c>
      <x:c r="O1620" s="34" t="n">
        <x:v>57</x:v>
      </x:c>
      <x:c r="P1620" s="34" t="n">
        <x:v>1</x:v>
      </x:c>
      <x:c r="Q1620" s="34" t="n">
        <x:v>57</x:v>
      </x:c>
      <x:c r="R1620" s="33" t="n">
        <x:v>42</x:v>
      </x:c>
      <x:c r="S1620" s="38" t="n">
        <x:v>2.394</x:v>
      </x:c>
      <x:c r="T1620" s="38" t="n">
        <x:v>0.28728</x:v>
      </x:c>
      <x:c r="U1620" s="38" t="n">
        <x:v>0.10533600000000001</x:v>
      </x:c>
      <x:c r="V1620" s="38" t="n">
        <x:v>2.0013840000000003</x:v>
      </x:c>
      <x:c r="W1620" s="38" t="n">
        <x:v>0.85785</x:v>
      </x:c>
      <x:c r="X1620" s="38" t="n">
        <x:v>0.05804013600000001</x:v>
      </x:c>
      <x:c r="Y1620" s="38" t="n">
        <x:v>0.12008304000000002</x:v>
      </x:c>
      <x:c r="Z1620" s="38" t="n">
        <x:v>0.2907</x:v>
      </x:c>
      <x:c r="AA1620" s="38" t="n">
        <x:v>0.09975</x:v>
      </x:c>
      <x:c r="AB1620" s="38" t="n">
        <x:v>0.001596</x:v>
      </x:c>
      <x:c r="AC1620" s="38" t="n">
        <x:v>0.5733648240000001</x:v>
      </x:c>
      <x:c r="AD1620" s="28" t="n">
        <x:v>0.2864841649578492</x:v>
      </x:c>
    </x:row>
    <x:row r="1621">
      <x:c r="A1621" s="32" t="n">
        <x:v>46223</x:v>
      </x:c>
      <x:c r="B1621" s="32" t="n">
        <x:v>46204</x:v>
      </x:c>
      <x:c r="C1621" t="str">
        <x:v>Jul 2026</x:v>
      </x:c>
      <x:c r="D1621" t="str">
        <x:v>Forecast</x:v>
      </x:c>
      <x:c r="E1621" t="str">
        <x:v>DB-105</x:v>
      </x:c>
      <x:c r="F1621" t="str">
        <x:v>DreamFuel Refill Pack</x:v>
      </x:c>
      <x:c r="G1621" t="str">
        <x:v>Subscription</x:v>
      </x:c>
      <x:c r="H1621" t="str">
        <x:v>None</x:v>
      </x:c>
      <x:c r="I1621" t="str">
        <x:v>Active</x:v>
      </x:c>
      <x:c r="J1621" t="str">
        <x:v>Shopify DTC</x:v>
      </x:c>
      <x:c r="K1621" t="str">
        <x:v>Consumer</x:v>
      </x:c>
      <x:c r="L1621" t="str">
        <x:v>All Geographies</x:v>
      </x:c>
      <x:c r="M1621" s="34" t="n">
        <x:v>5051</x:v>
      </x:c>
      <x:c r="N1621" s="28" t="n">
        <x:v>0.03888</x:v>
      </x:c>
      <x:c r="O1621" s="34" t="n">
        <x:v>196</x:v>
      </x:c>
      <x:c r="P1621" s="34" t="n">
        <x:v>1</x:v>
      </x:c>
      <x:c r="Q1621" s="34" t="n">
        <x:v>196</x:v>
      </x:c>
      <x:c r="R1621" s="33" t="n">
        <x:v>56</x:v>
      </x:c>
      <x:c r="S1621" s="38" t="n">
        <x:v>10.976</x:v>
      </x:c>
      <x:c r="T1621" s="38" t="n">
        <x:v>0.8780800000000001</x:v>
      </x:c>
      <x:c r="U1621" s="38" t="n">
        <x:v>0.2019584</x:v>
      </x:c>
      <x:c r="V1621" s="38" t="n">
        <x:v>9.8959616</x:v>
      </x:c>
      <x:c r="W1621" s="38" t="n">
        <x:v>3.64952</x:v>
      </x:c>
      <x:c r="X1621" s="38" t="n">
        <x:v>0.2869828864</x:v>
      </x:c>
      <x:c r="Y1621" s="38" t="n">
        <x:v>0</x:v>
      </x:c>
      <x:c r="Z1621" s="38" t="n">
        <x:v>0.8134000000000001</x:v>
      </x:c>
      <x:c r="AA1621" s="38" t="n">
        <x:v>0.32339999999999997</x:v>
      </x:c>
      <x:c r="AB1621" s="38" t="n">
        <x:v>0.0007055999999999999</x:v>
      </x:c>
      <x:c r="AC1621" s="38" t="n">
        <x:v>4.8219531136</x:v>
      </x:c>
      <x:c r="AD1621" s="28" t="n">
        <x:v>0.4872647357079478</x:v>
      </x:c>
    </x:row>
    <x:row r="1622">
      <x:c r="A1622" s="32" t="n">
        <x:v>46223</x:v>
      </x:c>
      <x:c r="B1622" s="32" t="n">
        <x:v>46204</x:v>
      </x:c>
      <x:c r="C1622" t="str">
        <x:v>Jul 2026</x:v>
      </x:c>
      <x:c r="D1622" t="str">
        <x:v>Forecast</x:v>
      </x:c>
      <x:c r="E1622" t="str">
        <x:v>DB-105</x:v>
      </x:c>
      <x:c r="F1622" t="str">
        <x:v>DreamFuel Refill Pack</x:v>
      </x:c>
      <x:c r="G1622" t="str">
        <x:v>Subscription</x:v>
      </x:c>
      <x:c r="H1622" t="str">
        <x:v>None</x:v>
      </x:c>
      <x:c r="I1622" t="str">
        <x:v>Active</x:v>
      </x:c>
      <x:c r="J1622" t="str">
        <x:v>Amazon Marketplace</x:v>
      </x:c>
      <x:c r="K1622" t="str">
        <x:v>Marketplace Consumer</x:v>
      </x:c>
      <x:c r="L1622" t="str">
        <x:v>All Geographies</x:v>
      </x:c>
      <x:c r="M1622" s="34" t="n">
        <x:v>2525</x:v>
      </x:c>
      <x:c r="N1622" s="28" t="n">
        <x:v>0.0458784</x:v>
      </x:c>
      <x:c r="O1622" s="34" t="n">
        <x:v>116</x:v>
      </x:c>
      <x:c r="P1622" s="34" t="n">
        <x:v>1</x:v>
      </x:c>
      <x:c r="Q1622" s="34" t="n">
        <x:v>116</x:v>
      </x:c>
      <x:c r="R1622" s="33" t="n">
        <x:v>56</x:v>
      </x:c>
      <x:c r="S1622" s="38" t="n">
        <x:v>6.496</x:v>
      </x:c>
      <x:c r="T1622" s="38" t="n">
        <x:v>0.32480000000000003</x:v>
      </x:c>
      <x:c r="U1622" s="38" t="n">
        <x:v>0.12342400000000002</x:v>
      </x:c>
      <x:c r="V1622" s="38" t="n">
        <x:v>6.047776000000001</x:v>
      </x:c>
      <x:c r="W1622" s="38" t="n">
        <x:v>2.15992</x:v>
      </x:c>
      <x:c r="X1622" s="38" t="n">
        <x:v>0</x:v>
      </x:c>
      <x:c r="Y1622" s="38" t="n">
        <x:v>0.9071664</x:v>
      </x:c>
      <x:c r="Z1622" s="38" t="n">
        <x:v>0.6032000000000001</x:v>
      </x:c>
      <x:c r="AA1622" s="38" t="n">
        <x:v>0.24939999999999998</x:v>
      </x:c>
      <x:c r="AB1622" s="38" t="n">
        <x:v>0.0004176</x:v>
      </x:c>
      <x:c r="AC1622" s="38" t="n">
        <x:v>2.1276720000000005</x:v>
      </x:c>
      <x:c r="AD1622" s="28" t="n">
        <x:v>0.35181064907165877</x:v>
      </x:c>
    </x:row>
    <x:row r="1623">
      <x:c r="A1623" s="32" t="n">
        <x:v>46223</x:v>
      </x:c>
      <x:c r="B1623" s="32" t="n">
        <x:v>46204</x:v>
      </x:c>
      <x:c r="C1623" t="str">
        <x:v>Jul 2026</x:v>
      </x:c>
      <x:c r="D1623" t="str">
        <x:v>Forecast</x:v>
      </x:c>
      <x:c r="E1623" t="str">
        <x:v>DB-105</x:v>
      </x:c>
      <x:c r="F1623" t="str">
        <x:v>DreamFuel Refill Pack</x:v>
      </x:c>
      <x:c r="G1623" t="str">
        <x:v>Subscription</x:v>
      </x:c>
      <x:c r="H1623" t="str">
        <x:v>None</x:v>
      </x:c>
      <x:c r="I1623" t="str">
        <x:v>Active</x:v>
      </x:c>
      <x:c r="J1623" t="str">
        <x:v>Wholesale</x:v>
      </x:c>
      <x:c r="K1623" t="str">
        <x:v>Retailer</x:v>
      </x:c>
      <x:c r="L1623" t="str">
        <x:v>All Geographies</x:v>
      </x:c>
      <x:c r="M1623" s="34" t="n">
        <x:v>1515</x:v>
      </x:c>
      <x:c r="N1623" s="28" t="n">
        <x:v>0.021384000000000004</x:v>
      </x:c>
      <x:c r="O1623" s="34" t="n">
        <x:v>32</x:v>
      </x:c>
      <x:c r="P1623" s="34" t="n">
        <x:v>1</x:v>
      </x:c>
      <x:c r="Q1623" s="34" t="n">
        <x:v>32</x:v>
      </x:c>
      <x:c r="R1623" s="33" t="n">
        <x:v>56</x:v>
      </x:c>
      <x:c r="S1623" s="38" t="n">
        <x:v>1.792</x:v>
      </x:c>
      <x:c r="T1623" s="38" t="n">
        <x:v>0.6272</x:v>
      </x:c>
      <x:c r="U1623" s="38" t="n">
        <x:v>0.023296</x:v>
      </x:c>
      <x:c r="V1623" s="38" t="n">
        <x:v>1.141504</x:v>
      </x:c>
      <x:c r="W1623" s="38" t="n">
        <x:v>0.59584</x:v>
      </x:c>
      <x:c r="X1623" s="38" t="n">
        <x:v>0</x:v>
      </x:c>
      <x:c r="Y1623" s="38" t="n">
        <x:v>0</x:v>
      </x:c>
      <x:c r="Z1623" s="38" t="n">
        <x:v>0.0736</x:v>
      </x:c>
      <x:c r="AA1623" s="38" t="n">
        <x:v>0.0272</x:v>
      </x:c>
      <x:c r="AB1623" s="38" t="n">
        <x:v>0.0001152</x:v>
      </x:c>
      <x:c r="AC1623" s="38" t="n">
        <x:v>0.44474880000000006</x:v>
      </x:c>
      <x:c r="AD1623" s="28" t="n">
        <x:v>0.3896165059430366</x:v>
      </x:c>
    </x:row>
    <x:row r="1624">
      <x:c r="A1624" s="32" t="n">
        <x:v>46223</x:v>
      </x:c>
      <x:c r="B1624" s="32" t="n">
        <x:v>46204</x:v>
      </x:c>
      <x:c r="C1624" t="str">
        <x:v>Jul 2026</x:v>
      </x:c>
      <x:c r="D1624" t="str">
        <x:v>Forecast</x:v>
      </x:c>
      <x:c r="E1624" t="str">
        <x:v>DB-105</x:v>
      </x:c>
      <x:c r="F1624" t="str">
        <x:v>DreamFuel Refill Pack</x:v>
      </x:c>
      <x:c r="G1624" t="str">
        <x:v>Subscription</x:v>
      </x:c>
      <x:c r="H1624" t="str">
        <x:v>None</x:v>
      </x:c>
      <x:c r="I1624" t="str">
        <x:v>Active</x:v>
      </x:c>
      <x:c r="J1624" t="str">
        <x:v>TikTok Shop</x:v>
      </x:c>
      <x:c r="K1624" t="str">
        <x:v>Social Commerce</x:v>
      </x:c>
      <x:c r="L1624" t="str">
        <x:v>All Geographies</x:v>
      </x:c>
      <x:c r="M1624" s="34" t="n">
        <x:v>1010</x:v>
      </x:c>
      <x:c r="N1624" s="28" t="n">
        <x:v>0.0489888</x:v>
      </x:c>
      <x:c r="O1624" s="34" t="n">
        <x:v>49</x:v>
      </x:c>
      <x:c r="P1624" s="34" t="n">
        <x:v>1</x:v>
      </x:c>
      <x:c r="Q1624" s="34" t="n">
        <x:v>49</x:v>
      </x:c>
      <x:c r="R1624" s="33" t="n">
        <x:v>56</x:v>
      </x:c>
      <x:c r="S1624" s="38" t="n">
        <x:v>2.744</x:v>
      </x:c>
      <x:c r="T1624" s="38" t="n">
        <x:v>0.32928</x:v>
      </x:c>
      <x:c r="U1624" s="38" t="n">
        <x:v>0.0482944</x:v>
      </x:c>
      <x:c r="V1624" s="38" t="n">
        <x:v>2.3664256</x:v>
      </x:c>
      <x:c r="W1624" s="38" t="n">
        <x:v>0.91238</x:v>
      </x:c>
      <x:c r="X1624" s="38" t="n">
        <x:v>0.0686263424</x:v>
      </x:c>
      <x:c r="Y1624" s="38" t="n">
        <x:v>0.141985536</x:v>
      </x:c>
      <x:c r="Z1624" s="38" t="n">
        <x:v>0.24989999999999998</x:v>
      </x:c>
      <x:c r="AA1624" s="38" t="n">
        <x:v>0.08575</x:v>
      </x:c>
      <x:c r="AB1624" s="38" t="n">
        <x:v>0.00017639999999999998</x:v>
      </x:c>
      <x:c r="AC1624" s="38" t="n">
        <x:v>0.9076073216</x:v>
      </x:c>
      <x:c r="AD1624" s="28" t="n">
        <x:v>0.3835351179432812</x:v>
      </x:c>
    </x:row>
    <x:row r="1625">
      <x:c r="A1625" s="32" t="n">
        <x:v>46230</x:v>
      </x:c>
      <x:c r="B1625" s="32" t="n">
        <x:v>46204</x:v>
      </x:c>
      <x:c r="C1625" t="str">
        <x:v>Jul 2026</x:v>
      </x:c>
      <x:c r="D1625" t="str">
        <x:v>Forecast</x:v>
      </x:c>
      <x:c r="E1625" t="str">
        <x:v>DB-101</x:v>
      </x:c>
      <x:c r="F1625" t="str">
        <x:v>AeroSip Bottle</x:v>
      </x:c>
      <x:c r="G1625" t="str">
        <x:v>One-time purchase</x:v>
      </x:c>
      <x:c r="H1625" t="str">
        <x:v>None</x:v>
      </x:c>
      <x:c r="I1625" t="str">
        <x:v>Active</x:v>
      </x:c>
      <x:c r="J1625" t="str">
        <x:v>Shopify DTC</x:v>
      </x:c>
      <x:c r="K1625" t="str">
        <x:v>Consumer</x:v>
      </x:c>
      <x:c r="L1625" t="str">
        <x:v>All Geographies</x:v>
      </x:c>
      <x:c r="M1625" s="34" t="n">
        <x:v>7296</x:v>
      </x:c>
      <x:c r="N1625" s="28" t="n">
        <x:v>0.034199999999999994</x:v>
      </x:c>
      <x:c r="O1625" s="34" t="n">
        <x:v>250</x:v>
      </x:c>
      <x:c r="P1625" s="34" t="n">
        <x:v>1</x:v>
      </x:c>
      <x:c r="Q1625" s="34" t="n">
        <x:v>250</x:v>
      </x:c>
      <x:c r="R1625" s="33" t="n">
        <x:v>29</x:v>
      </x:c>
      <x:c r="S1625" s="38" t="n">
        <x:v>7.25</x:v>
      </x:c>
      <x:c r="T1625" s="38" t="n">
        <x:v>0.58</x:v>
      </x:c>
      <x:c r="U1625" s="38" t="n">
        <x:v>0.30015</x:v>
      </x:c>
      <x:c r="V1625" s="38" t="n">
        <x:v>6.36985</x:v>
      </x:c>
      <x:c r="W1625" s="38" t="n">
        <x:v>2.7</x:v>
      </x:c>
      <x:c r="X1625" s="38" t="n">
        <x:v>0.18472565</x:v>
      </x:c>
      <x:c r="Y1625" s="38" t="n">
        <x:v>0</x:v>
      </x:c>
      <x:c r="Z1625" s="38" t="n">
        <x:v>1.0375</x:v>
      </x:c>
      <x:c r="AA1625" s="38" t="n">
        <x:v>0.4125</x:v>
      </x:c>
      <x:c r="AB1625" s="38" t="n">
        <x:v>0.009</x:v>
      </x:c>
      <x:c r="AC1625" s="38" t="n">
        <x:v>2.0261243499999995</x:v>
      </x:c>
      <x:c r="AD1625" s="28" t="n">
        <x:v>0.31808038650831644</x:v>
      </x:c>
    </x:row>
    <x:row r="1626">
      <x:c r="A1626" s="32" t="n">
        <x:v>46230</x:v>
      </x:c>
      <x:c r="B1626" s="32" t="n">
        <x:v>46204</x:v>
      </x:c>
      <x:c r="C1626" t="str">
        <x:v>Jul 2026</x:v>
      </x:c>
      <x:c r="D1626" t="str">
        <x:v>Forecast</x:v>
      </x:c>
      <x:c r="E1626" t="str">
        <x:v>DB-101</x:v>
      </x:c>
      <x:c r="F1626" t="str">
        <x:v>AeroSip Bottle</x:v>
      </x:c>
      <x:c r="G1626" t="str">
        <x:v>One-time purchase</x:v>
      </x:c>
      <x:c r="H1626" t="str">
        <x:v>None</x:v>
      </x:c>
      <x:c r="I1626" t="str">
        <x:v>Active</x:v>
      </x:c>
      <x:c r="J1626" t="str">
        <x:v>Amazon Marketplace</x:v>
      </x:c>
      <x:c r="K1626" t="str">
        <x:v>Marketplace Consumer</x:v>
      </x:c>
      <x:c r="L1626" t="str">
        <x:v>All Geographies</x:v>
      </x:c>
      <x:c r="M1626" s="34" t="n">
        <x:v>3648</x:v>
      </x:c>
      <x:c r="N1626" s="28" t="n">
        <x:v>0.040355999999999996</x:v>
      </x:c>
      <x:c r="O1626" s="34" t="n">
        <x:v>147</x:v>
      </x:c>
      <x:c r="P1626" s="34" t="n">
        <x:v>1</x:v>
      </x:c>
      <x:c r="Q1626" s="34" t="n">
        <x:v>147</x:v>
      </x:c>
      <x:c r="R1626" s="33" t="n">
        <x:v>29</x:v>
      </x:c>
      <x:c r="S1626" s="38" t="n">
        <x:v>4.263</x:v>
      </x:c>
      <x:c r="T1626" s="38" t="n">
        <x:v>0.21315</x:v>
      </x:c>
      <x:c r="U1626" s="38" t="n">
        <x:v>0.18224325</x:v>
      </x:c>
      <x:c r="V1626" s="38" t="n">
        <x:v>3.86760675</x:v>
      </x:c>
      <x:c r="W1626" s="38" t="n">
        <x:v>1.5876000000000001</x:v>
      </x:c>
      <x:c r="X1626" s="38" t="n">
        <x:v>0</x:v>
      </x:c>
      <x:c r="Y1626" s="38" t="n">
        <x:v>0.5801410125</x:v>
      </x:c>
      <x:c r="Z1626" s="38" t="n">
        <x:v>0.7644</x:v>
      </x:c>
      <x:c r="AA1626" s="38" t="n">
        <x:v>0.31605</x:v>
      </x:c>
      <x:c r="AB1626" s="38" t="n">
        <x:v>0.005292</x:v>
      </x:c>
      <x:c r="AC1626" s="38" t="n">
        <x:v>0.6141237375000003</x:v>
      </x:c>
      <x:c r="AD1626" s="28" t="n">
        <x:v>0.15878649955815705</x:v>
      </x:c>
    </x:row>
    <x:row r="1627">
      <x:c r="A1627" s="32" t="n">
        <x:v>46230</x:v>
      </x:c>
      <x:c r="B1627" s="32" t="n">
        <x:v>46204</x:v>
      </x:c>
      <x:c r="C1627" t="str">
        <x:v>Jul 2026</x:v>
      </x:c>
      <x:c r="D1627" t="str">
        <x:v>Forecast</x:v>
      </x:c>
      <x:c r="E1627" t="str">
        <x:v>DB-101</x:v>
      </x:c>
      <x:c r="F1627" t="str">
        <x:v>AeroSip Bottle</x:v>
      </x:c>
      <x:c r="G1627" t="str">
        <x:v>One-time purchase</x:v>
      </x:c>
      <x:c r="H1627" t="str">
        <x:v>None</x:v>
      </x:c>
      <x:c r="I1627" t="str">
        <x:v>Active</x:v>
      </x:c>
      <x:c r="J1627" t="str">
        <x:v>Wholesale</x:v>
      </x:c>
      <x:c r="K1627" t="str">
        <x:v>Retailer</x:v>
      </x:c>
      <x:c r="L1627" t="str">
        <x:v>All Geographies</x:v>
      </x:c>
      <x:c r="M1627" s="34" t="n">
        <x:v>2189</x:v>
      </x:c>
      <x:c r="N1627" s="28" t="n">
        <x:v>0.01881</x:v>
      </x:c>
      <x:c r="O1627" s="34" t="n">
        <x:v>41</x:v>
      </x:c>
      <x:c r="P1627" s="34" t="n">
        <x:v>1</x:v>
      </x:c>
      <x:c r="Q1627" s="34" t="n">
        <x:v>41</x:v>
      </x:c>
      <x:c r="R1627" s="33" t="n">
        <x:v>29</x:v>
      </x:c>
      <x:c r="S1627" s="38" t="n">
        <x:v>1.189</x:v>
      </x:c>
      <x:c r="T1627" s="38" t="n">
        <x:v>0.41615</x:v>
      </x:c>
      <x:c r="U1627" s="38" t="n">
        <x:v>0.034778250000000004</x:v>
      </x:c>
      <x:c r="V1627" s="38" t="n">
        <x:v>0.73807175</x:v>
      </x:c>
      <x:c r="W1627" s="38" t="n">
        <x:v>0.4428</x:v>
      </x:c>
      <x:c r="X1627" s="38" t="n">
        <x:v>0</x:v>
      </x:c>
      <x:c r="Y1627" s="38" t="n">
        <x:v>0</x:v>
      </x:c>
      <x:c r="Z1627" s="38" t="n">
        <x:v>0.0943</x:v>
      </x:c>
      <x:c r="AA1627" s="38" t="n">
        <x:v>0.03485</x:v>
      </x:c>
      <x:c r="AB1627" s="38" t="n">
        <x:v>0.0014759999999999999</x:v>
      </x:c>
      <x:c r="AC1627" s="38" t="n">
        <x:v>0.16464575</x:v>
      </x:c>
      <x:c r="AD1627" s="28" t="n">
        <x:v>0.22307553432305194</x:v>
      </x:c>
    </x:row>
    <x:row r="1628">
      <x:c r="A1628" s="32" t="n">
        <x:v>46230</x:v>
      </x:c>
      <x:c r="B1628" s="32" t="n">
        <x:v>46204</x:v>
      </x:c>
      <x:c r="C1628" t="str">
        <x:v>Jul 2026</x:v>
      </x:c>
      <x:c r="D1628" t="str">
        <x:v>Forecast</x:v>
      </x:c>
      <x:c r="E1628" t="str">
        <x:v>DB-101</x:v>
      </x:c>
      <x:c r="F1628" t="str">
        <x:v>AeroSip Bottle</x:v>
      </x:c>
      <x:c r="G1628" t="str">
        <x:v>One-time purchase</x:v>
      </x:c>
      <x:c r="H1628" t="str">
        <x:v>None</x:v>
      </x:c>
      <x:c r="I1628" t="str">
        <x:v>Active</x:v>
      </x:c>
      <x:c r="J1628" t="str">
        <x:v>TikTok Shop</x:v>
      </x:c>
      <x:c r="K1628" t="str">
        <x:v>Social Commerce</x:v>
      </x:c>
      <x:c r="L1628" t="str">
        <x:v>All Geographies</x:v>
      </x:c>
      <x:c r="M1628" s="34" t="n">
        <x:v>1459</x:v>
      </x:c>
      <x:c r="N1628" s="28" t="n">
        <x:v>0.043092</x:v>
      </x:c>
      <x:c r="O1628" s="34" t="n">
        <x:v>63</x:v>
      </x:c>
      <x:c r="P1628" s="34" t="n">
        <x:v>1</x:v>
      </x:c>
      <x:c r="Q1628" s="34" t="n">
        <x:v>63</x:v>
      </x:c>
      <x:c r="R1628" s="33" t="n">
        <x:v>29</x:v>
      </x:c>
      <x:c r="S1628" s="38" t="n">
        <x:v>1.827</x:v>
      </x:c>
      <x:c r="T1628" s="38" t="n">
        <x:v>0.21924</x:v>
      </x:c>
      <x:c r="U1628" s="38" t="n">
        <x:v>0.07234919999999999</x:v>
      </x:c>
      <x:c r="V1628" s="38" t="n">
        <x:v>1.5354108</x:v>
      </x:c>
      <x:c r="W1628" s="38" t="n">
        <x:v>0.6804000000000001</x:v>
      </x:c>
      <x:c r="X1628" s="38" t="n">
        <x:v>0.044526913200000004</x:v>
      </x:c>
      <x:c r="Y1628" s="38" t="n">
        <x:v>0.09212464799999999</x:v>
      </x:c>
      <x:c r="Z1628" s="38" t="n">
        <x:v>0.3213</x:v>
      </x:c>
      <x:c r="AA1628" s="38" t="n">
        <x:v>0.11025</x:v>
      </x:c>
      <x:c r="AB1628" s="38" t="n">
        <x:v>0.0022679999999999996</x:v>
      </x:c>
      <x:c r="AC1628" s="38" t="n">
        <x:v>0.2845412387999999</x:v>
      </x:c>
      <x:c r="AD1628" s="28" t="n">
        <x:v>0.18531928966501987</x:v>
      </x:c>
    </x:row>
    <x:row r="1629">
      <x:c r="A1629" s="32" t="n">
        <x:v>46230</x:v>
      </x:c>
      <x:c r="B1629" s="32" t="n">
        <x:v>46204</x:v>
      </x:c>
      <x:c r="C1629" t="str">
        <x:v>Jul 2026</x:v>
      </x:c>
      <x:c r="D1629" t="str">
        <x:v>Forecast</x:v>
      </x:c>
      <x:c r="E1629" t="str">
        <x:v>DB-102</x:v>
      </x:c>
      <x:c r="F1629" t="str">
        <x:v>GlowPatch Balm</x:v>
      </x:c>
      <x:c r="G1629" t="str">
        <x:v>Consumable repeat</x:v>
      </x:c>
      <x:c r="H1629" t="str">
        <x:v>None</x:v>
      </x:c>
      <x:c r="I1629" t="str">
        <x:v>Active</x:v>
      </x:c>
      <x:c r="J1629" t="str">
        <x:v>Shopify DTC</x:v>
      </x:c>
      <x:c r="K1629" t="str">
        <x:v>Consumer</x:v>
      </x:c>
      <x:c r="L1629" t="str">
        <x:v>All Geographies</x:v>
      </x:c>
      <x:c r="M1629" s="34" t="n">
        <x:v>5893</x:v>
      </x:c>
      <x:c r="N1629" s="28" t="n">
        <x:v>0.04248</x:v>
      </x:c>
      <x:c r="O1629" s="34" t="n">
        <x:v>250</x:v>
      </x:c>
      <x:c r="P1629" s="34" t="n">
        <x:v>1</x:v>
      </x:c>
      <x:c r="Q1629" s="34" t="n">
        <x:v>250</x:v>
      </x:c>
      <x:c r="R1629" s="33" t="n">
        <x:v>18</x:v>
      </x:c>
      <x:c r="S1629" s="38" t="n">
        <x:v>4.5</x:v>
      </x:c>
      <x:c r="T1629" s="38" t="n">
        <x:v>0.36</x:v>
      </x:c>
      <x:c r="U1629" s="38" t="n">
        <x:v>0.1035</x:v>
      </x:c>
      <x:c r="V1629" s="38" t="n">
        <x:v>4.036499999999999</x:v>
      </x:c>
      <x:c r="W1629" s="38" t="n">
        <x:v>1.3525</x:v>
      </x:c>
      <x:c r="X1629" s="38" t="n">
        <x:v>0.11705849999999998</x:v>
      </x:c>
      <x:c r="Y1629" s="38" t="n">
        <x:v>0</x:v>
      </x:c>
      <x:c r="Z1629" s="38" t="n">
        <x:v>1.0375</x:v>
      </x:c>
      <x:c r="AA1629" s="38" t="n">
        <x:v>0.4125</x:v>
      </x:c>
      <x:c r="AB1629" s="38" t="n">
        <x:v>0.0015</x:v>
      </x:c>
      <x:c r="AC1629" s="38" t="n">
        <x:v>1.1154414999999989</x:v>
      </x:c>
      <x:c r="AD1629" s="28" t="n">
        <x:v>0.2763387835996529</x:v>
      </x:c>
    </x:row>
    <x:row r="1630">
      <x:c r="A1630" s="32" t="n">
        <x:v>46230</x:v>
      </x:c>
      <x:c r="B1630" s="32" t="n">
        <x:v>46204</x:v>
      </x:c>
      <x:c r="C1630" t="str">
        <x:v>Jul 2026</x:v>
      </x:c>
      <x:c r="D1630" t="str">
        <x:v>Forecast</x:v>
      </x:c>
      <x:c r="E1630" t="str">
        <x:v>DB-102</x:v>
      </x:c>
      <x:c r="F1630" t="str">
        <x:v>GlowPatch Balm</x:v>
      </x:c>
      <x:c r="G1630" t="str">
        <x:v>Consumable repeat</x:v>
      </x:c>
      <x:c r="H1630" t="str">
        <x:v>None</x:v>
      </x:c>
      <x:c r="I1630" t="str">
        <x:v>Active</x:v>
      </x:c>
      <x:c r="J1630" t="str">
        <x:v>Amazon Marketplace</x:v>
      </x:c>
      <x:c r="K1630" t="str">
        <x:v>Marketplace Consumer</x:v>
      </x:c>
      <x:c r="L1630" t="str">
        <x:v>All Geographies</x:v>
      </x:c>
      <x:c r="M1630" s="34" t="n">
        <x:v>2946</x:v>
      </x:c>
      <x:c r="N1630" s="28" t="n">
        <x:v>0.050126399999999995</x:v>
      </x:c>
      <x:c r="O1630" s="34" t="n">
        <x:v>148</x:v>
      </x:c>
      <x:c r="P1630" s="34" t="n">
        <x:v>1</x:v>
      </x:c>
      <x:c r="Q1630" s="34" t="n">
        <x:v>148</x:v>
      </x:c>
      <x:c r="R1630" s="33" t="n">
        <x:v>18</x:v>
      </x:c>
      <x:c r="S1630" s="38" t="n">
        <x:v>2.664</x:v>
      </x:c>
      <x:c r="T1630" s="38" t="n">
        <x:v>0.1332</x:v>
      </x:c>
      <x:c r="U1630" s="38" t="n">
        <x:v>0.06327</x:v>
      </x:c>
      <x:c r="V1630" s="38" t="n">
        <x:v>2.46753</x:v>
      </x:c>
      <x:c r="W1630" s="38" t="n">
        <x:v>0.8006800000000001</x:v>
      </x:c>
      <x:c r="X1630" s="38" t="n">
        <x:v>0</x:v>
      </x:c>
      <x:c r="Y1630" s="38" t="n">
        <x:v>0.3701295</x:v>
      </x:c>
      <x:c r="Z1630" s="38" t="n">
        <x:v>0.7696000000000001</x:v>
      </x:c>
      <x:c r="AA1630" s="38" t="n">
        <x:v>0.3182</x:v>
      </x:c>
      <x:c r="AB1630" s="38" t="n">
        <x:v>0.0008879999999999999</x:v>
      </x:c>
      <x:c r="AC1630" s="38" t="n">
        <x:v>0.2080324999999999</x:v>
      </x:c>
      <x:c r="AD1630" s="28" t="n">
        <x:v>0.084307992202729</x:v>
      </x:c>
    </x:row>
    <x:row r="1631">
      <x:c r="A1631" s="32" t="n">
        <x:v>46230</x:v>
      </x:c>
      <x:c r="B1631" s="32" t="n">
        <x:v>46204</x:v>
      </x:c>
      <x:c r="C1631" t="str">
        <x:v>Jul 2026</x:v>
      </x:c>
      <x:c r="D1631" t="str">
        <x:v>Forecast</x:v>
      </x:c>
      <x:c r="E1631" t="str">
        <x:v>DB-102</x:v>
      </x:c>
      <x:c r="F1631" t="str">
        <x:v>GlowPatch Balm</x:v>
      </x:c>
      <x:c r="G1631" t="str">
        <x:v>Consumable repeat</x:v>
      </x:c>
      <x:c r="H1631" t="str">
        <x:v>None</x:v>
      </x:c>
      <x:c r="I1631" t="str">
        <x:v>Active</x:v>
      </x:c>
      <x:c r="J1631" t="str">
        <x:v>Wholesale</x:v>
      </x:c>
      <x:c r="K1631" t="str">
        <x:v>Retailer</x:v>
      </x:c>
      <x:c r="L1631" t="str">
        <x:v>All Geographies</x:v>
      </x:c>
      <x:c r="M1631" s="34" t="n">
        <x:v>1768</x:v>
      </x:c>
      <x:c r="N1631" s="28" t="n">
        <x:v>0.023364</x:v>
      </x:c>
      <x:c r="O1631" s="34" t="n">
        <x:v>41</x:v>
      </x:c>
      <x:c r="P1631" s="34" t="n">
        <x:v>1</x:v>
      </x:c>
      <x:c r="Q1631" s="34" t="n">
        <x:v>41</x:v>
      </x:c>
      <x:c r="R1631" s="33" t="n">
        <x:v>18</x:v>
      </x:c>
      <x:c r="S1631" s="38" t="n">
        <x:v>0.738</x:v>
      </x:c>
      <x:c r="T1631" s="38" t="n">
        <x:v>0.2583</x:v>
      </x:c>
      <x:c r="U1631" s="38" t="n">
        <x:v>0.011992500000000001</x:v>
      </x:c>
      <x:c r="V1631" s="38" t="n">
        <x:v>0.4677075</x:v>
      </x:c>
      <x:c r="W1631" s="38" t="n">
        <x:v>0.22181</x:v>
      </x:c>
      <x:c r="X1631" s="38" t="n">
        <x:v>0</x:v>
      </x:c>
      <x:c r="Y1631" s="38" t="n">
        <x:v>0</x:v>
      </x:c>
      <x:c r="Z1631" s="38" t="n">
        <x:v>0.0943</x:v>
      </x:c>
      <x:c r="AA1631" s="38" t="n">
        <x:v>0.03485</x:v>
      </x:c>
      <x:c r="AB1631" s="38" t="n">
        <x:v>0.000246</x:v>
      </x:c>
      <x:c r="AC1631" s="38" t="n">
        <x:v>0.11650150000000001</x:v>
      </x:c>
      <x:c r="AD1631" s="28" t="n">
        <x:v>0.2490905106289722</x:v>
      </x:c>
    </x:row>
    <x:row r="1632">
      <x:c r="A1632" s="32" t="n">
        <x:v>46230</x:v>
      </x:c>
      <x:c r="B1632" s="32" t="n">
        <x:v>46204</x:v>
      </x:c>
      <x:c r="C1632" t="str">
        <x:v>Jul 2026</x:v>
      </x:c>
      <x:c r="D1632" t="str">
        <x:v>Forecast</x:v>
      </x:c>
      <x:c r="E1632" t="str">
        <x:v>DB-102</x:v>
      </x:c>
      <x:c r="F1632" t="str">
        <x:v>GlowPatch Balm</x:v>
      </x:c>
      <x:c r="G1632" t="str">
        <x:v>Consumable repeat</x:v>
      </x:c>
      <x:c r="H1632" t="str">
        <x:v>None</x:v>
      </x:c>
      <x:c r="I1632" t="str">
        <x:v>Active</x:v>
      </x:c>
      <x:c r="J1632" t="str">
        <x:v>TikTok Shop</x:v>
      </x:c>
      <x:c r="K1632" t="str">
        <x:v>Social Commerce</x:v>
      </x:c>
      <x:c r="L1632" t="str">
        <x:v>All Geographies</x:v>
      </x:c>
      <x:c r="M1632" s="34" t="n">
        <x:v>1179</x:v>
      </x:c>
      <x:c r="N1632" s="28" t="n">
        <x:v>0.0535248</x:v>
      </x:c>
      <x:c r="O1632" s="34" t="n">
        <x:v>63</x:v>
      </x:c>
      <x:c r="P1632" s="34" t="n">
        <x:v>1</x:v>
      </x:c>
      <x:c r="Q1632" s="34" t="n">
        <x:v>63</x:v>
      </x:c>
      <x:c r="R1632" s="33" t="n">
        <x:v>18</x:v>
      </x:c>
      <x:c r="S1632" s="38" t="n">
        <x:v>1.134</x:v>
      </x:c>
      <x:c r="T1632" s="38" t="n">
        <x:v>0.13607999999999998</x:v>
      </x:c>
      <x:c r="U1632" s="38" t="n">
        <x:v>0.024947999999999998</x:v>
      </x:c>
      <x:c r="V1632" s="38" t="n">
        <x:v>0.972972</x:v>
      </x:c>
      <x:c r="W1632" s="38" t="n">
        <x:v>0.34082999999999997</x:v>
      </x:c>
      <x:c r="X1632" s="38" t="n">
        <x:v>0.028216188</x:v>
      </x:c>
      <x:c r="Y1632" s="38" t="n">
        <x:v>0.05837832</x:v>
      </x:c>
      <x:c r="Z1632" s="38" t="n">
        <x:v>0.3213</x:v>
      </x:c>
      <x:c r="AA1632" s="38" t="n">
        <x:v>0.11025</x:v>
      </x:c>
      <x:c r="AB1632" s="38" t="n">
        <x:v>0.000378</x:v>
      </x:c>
      <x:c r="AC1632" s="38" t="n">
        <x:v>0.11361949199999999</x:v>
      </x:c>
      <x:c r="AD1632" s="28" t="n">
        <x:v>0.11677570577570577</x:v>
      </x:c>
    </x:row>
    <x:row r="1633">
      <x:c r="A1633" s="32" t="n">
        <x:v>46230</x:v>
      </x:c>
      <x:c r="B1633" s="32" t="n">
        <x:v>46204</x:v>
      </x:c>
      <x:c r="C1633" t="str">
        <x:v>Jul 2026</x:v>
      </x:c>
      <x:c r="D1633" t="str">
        <x:v>Forecast</x:v>
      </x:c>
      <x:c r="E1633" t="str">
        <x:v>DB-103</x:v>
      </x:c>
      <x:c r="F1633" t="str">
        <x:v>EmberTrail Camp Mug</x:v>
      </x:c>
      <x:c r="G1633" t="str">
        <x:v>One-time purchase</x:v>
      </x:c>
      <x:c r="H1633" t="str">
        <x:v>Winter peak</x:v>
      </x:c>
      <x:c r="I1633" t="str">
        <x:v>Active</x:v>
      </x:c>
      <x:c r="J1633" t="str">
        <x:v>Shopify DTC</x:v>
      </x:c>
      <x:c r="K1633" t="str">
        <x:v>Consumer</x:v>
      </x:c>
      <x:c r="L1633" t="str">
        <x:v>All Geographies</x:v>
      </x:c>
      <x:c r="M1633" s="34" t="n">
        <x:v>3940</x:v>
      </x:c>
      <x:c r="N1633" s="28" t="n">
        <x:v>0.0324</x:v>
      </x:c>
      <x:c r="O1633" s="34" t="n">
        <x:v>128</x:v>
      </x:c>
      <x:c r="P1633" s="34" t="n">
        <x:v>1</x:v>
      </x:c>
      <x:c r="Q1633" s="34" t="n">
        <x:v>128</x:v>
      </x:c>
      <x:c r="R1633" s="33" t="n">
        <x:v>34</x:v>
      </x:c>
      <x:c r="S1633" s="38" t="n">
        <x:v>4.352</x:v>
      </x:c>
      <x:c r="T1633" s="38" t="n">
        <x:v>0.34816</x:v>
      </x:c>
      <x:c r="U1633" s="38" t="n">
        <x:v>0.22021120000000002</x:v>
      </x:c>
      <x:c r="V1633" s="38" t="n">
        <x:v>3.7836288000000002</x:v>
      </x:c>
      <x:c r="W1633" s="38" t="n">
        <x:v>1.74976</x:v>
      </x:c>
      <x:c r="X1633" s="38" t="n">
        <x:v>0.10972523520000001</x:v>
      </x:c>
      <x:c r="Y1633" s="38" t="n">
        <x:v>0</x:v>
      </x:c>
      <x:c r="Z1633" s="38" t="n">
        <x:v>0.5312</x:v>
      </x:c>
      <x:c r="AA1633" s="38" t="n">
        <x:v>0.2112</x:v>
      </x:c>
      <x:c r="AB1633" s="38" t="n">
        <x:v>0.007168</x:v>
      </x:c>
      <x:c r="AC1633" s="38" t="n">
        <x:v>1.1745755648000002</x:v>
      </x:c>
      <x:c r="AD1633" s="28" t="n">
        <x:v>0.3104362575948254</x:v>
      </x:c>
    </x:row>
    <x:row r="1634">
      <x:c r="A1634" s="32" t="n">
        <x:v>46230</x:v>
      </x:c>
      <x:c r="B1634" s="32" t="n">
        <x:v>46204</x:v>
      </x:c>
      <x:c r="C1634" t="str">
        <x:v>Jul 2026</x:v>
      </x:c>
      <x:c r="D1634" t="str">
        <x:v>Forecast</x:v>
      </x:c>
      <x:c r="E1634" t="str">
        <x:v>DB-103</x:v>
      </x:c>
      <x:c r="F1634" t="str">
        <x:v>EmberTrail Camp Mug</x:v>
      </x:c>
      <x:c r="G1634" t="str">
        <x:v>One-time purchase</x:v>
      </x:c>
      <x:c r="H1634" t="str">
        <x:v>Winter peak</x:v>
      </x:c>
      <x:c r="I1634" t="str">
        <x:v>Active</x:v>
      </x:c>
      <x:c r="J1634" t="str">
        <x:v>Amazon Marketplace</x:v>
      </x:c>
      <x:c r="K1634" t="str">
        <x:v>Marketplace Consumer</x:v>
      </x:c>
      <x:c r="L1634" t="str">
        <x:v>All Geographies</x:v>
      </x:c>
      <x:c r="M1634" s="34" t="n">
        <x:v>1970</x:v>
      </x:c>
      <x:c r="N1634" s="28" t="n">
        <x:v>0.038231999999999995</x:v>
      </x:c>
      <x:c r="O1634" s="34" t="n">
        <x:v>75</x:v>
      </x:c>
      <x:c r="P1634" s="34" t="n">
        <x:v>1</x:v>
      </x:c>
      <x:c r="Q1634" s="34" t="n">
        <x:v>75</x:v>
      </x:c>
      <x:c r="R1634" s="33" t="n">
        <x:v>34</x:v>
      </x:c>
      <x:c r="S1634" s="38" t="n">
        <x:v>2.55</x:v>
      </x:c>
      <x:c r="T1634" s="38" t="n">
        <x:v>0.1275</x:v>
      </x:c>
      <x:c r="U1634" s="38" t="n">
        <x:v>0.13323749999999998</x:v>
      </x:c>
      <x:c r="V1634" s="38" t="n">
        <x:v>2.2892625</x:v>
      </x:c>
      <x:c r="W1634" s="38" t="n">
        <x:v>1.02525</x:v>
      </x:c>
      <x:c r="X1634" s="38" t="n">
        <x:v>0</x:v>
      </x:c>
      <x:c r="Y1634" s="38" t="n">
        <x:v>0.343389375</x:v>
      </x:c>
      <x:c r="Z1634" s="38" t="n">
        <x:v>0.39</x:v>
      </x:c>
      <x:c r="AA1634" s="38" t="n">
        <x:v>0.16125</x:v>
      </x:c>
      <x:c r="AB1634" s="38" t="n">
        <x:v>0.004200000000000001</x:v>
      </x:c>
      <x:c r="AC1634" s="38" t="n">
        <x:v>0.365173125</x:v>
      </x:c>
      <x:c r="AD1634" s="28" t="n">
        <x:v>0.15951561911314233</x:v>
      </x:c>
    </x:row>
    <x:row r="1635">
      <x:c r="A1635" s="32" t="n">
        <x:v>46230</x:v>
      </x:c>
      <x:c r="B1635" s="32" t="n">
        <x:v>46204</x:v>
      </x:c>
      <x:c r="C1635" t="str">
        <x:v>Jul 2026</x:v>
      </x:c>
      <x:c r="D1635" t="str">
        <x:v>Forecast</x:v>
      </x:c>
      <x:c r="E1635" t="str">
        <x:v>DB-103</x:v>
      </x:c>
      <x:c r="F1635" t="str">
        <x:v>EmberTrail Camp Mug</x:v>
      </x:c>
      <x:c r="G1635" t="str">
        <x:v>One-time purchase</x:v>
      </x:c>
      <x:c r="H1635" t="str">
        <x:v>Winter peak</x:v>
      </x:c>
      <x:c r="I1635" t="str">
        <x:v>Active</x:v>
      </x:c>
      <x:c r="J1635" t="str">
        <x:v>Wholesale</x:v>
      </x:c>
      <x:c r="K1635" t="str">
        <x:v>Retailer</x:v>
      </x:c>
      <x:c r="L1635" t="str">
        <x:v>All Geographies</x:v>
      </x:c>
      <x:c r="M1635" s="34" t="n">
        <x:v>1182</x:v>
      </x:c>
      <x:c r="N1635" s="28" t="n">
        <x:v>0.017820000000000003</x:v>
      </x:c>
      <x:c r="O1635" s="34" t="n">
        <x:v>21</x:v>
      </x:c>
      <x:c r="P1635" s="34" t="n">
        <x:v>1</x:v>
      </x:c>
      <x:c r="Q1635" s="34" t="n">
        <x:v>21</x:v>
      </x:c>
      <x:c r="R1635" s="33" t="n">
        <x:v>34</x:v>
      </x:c>
      <x:c r="S1635" s="38" t="n">
        <x:v>0.714</x:v>
      </x:c>
      <x:c r="T1635" s="38" t="n">
        <x:v>0.24989999999999998</x:v>
      </x:c>
      <x:c r="U1635" s="38" t="n">
        <x:v>0.025525499999999996</x:v>
      </x:c>
      <x:c r="V1635" s="38" t="n">
        <x:v>0.4385745</x:v>
      </x:c>
      <x:c r="W1635" s="38" t="n">
        <x:v>0.28707</x:v>
      </x:c>
      <x:c r="X1635" s="38" t="n">
        <x:v>0</x:v>
      </x:c>
      <x:c r="Y1635" s="38" t="n">
        <x:v>0</x:v>
      </x:c>
      <x:c r="Z1635" s="38" t="n">
        <x:v>0.048299999999999996</x:v>
      </x:c>
      <x:c r="AA1635" s="38" t="n">
        <x:v>0.017849999999999998</x:v>
      </x:c>
      <x:c r="AB1635" s="38" t="n">
        <x:v>0.0011760000000000002</x:v>
      </x:c>
      <x:c r="AC1635" s="38" t="n">
        <x:v>0.0841785</x:v>
      </x:c>
      <x:c r="AD1635" s="28" t="n">
        <x:v>0.1919366037013096</x:v>
      </x:c>
    </x:row>
    <x:row r="1636">
      <x:c r="A1636" s="32" t="n">
        <x:v>46230</x:v>
      </x:c>
      <x:c r="B1636" s="32" t="n">
        <x:v>46204</x:v>
      </x:c>
      <x:c r="C1636" t="str">
        <x:v>Jul 2026</x:v>
      </x:c>
      <x:c r="D1636" t="str">
        <x:v>Forecast</x:v>
      </x:c>
      <x:c r="E1636" t="str">
        <x:v>DB-103</x:v>
      </x:c>
      <x:c r="F1636" t="str">
        <x:v>EmberTrail Camp Mug</x:v>
      </x:c>
      <x:c r="G1636" t="str">
        <x:v>One-time purchase</x:v>
      </x:c>
      <x:c r="H1636" t="str">
        <x:v>Winter peak</x:v>
      </x:c>
      <x:c r="I1636" t="str">
        <x:v>Active</x:v>
      </x:c>
      <x:c r="J1636" t="str">
        <x:v>TikTok Shop</x:v>
      </x:c>
      <x:c r="K1636" t="str">
        <x:v>Social Commerce</x:v>
      </x:c>
      <x:c r="L1636" t="str">
        <x:v>All Geographies</x:v>
      </x:c>
      <x:c r="M1636" s="34" t="n">
        <x:v>788</x:v>
      </x:c>
      <x:c r="N1636" s="28" t="n">
        <x:v>0.040824</x:v>
      </x:c>
      <x:c r="O1636" s="34" t="n">
        <x:v>32</x:v>
      </x:c>
      <x:c r="P1636" s="34" t="n">
        <x:v>1</x:v>
      </x:c>
      <x:c r="Q1636" s="34" t="n">
        <x:v>32</x:v>
      </x:c>
      <x:c r="R1636" s="33" t="n">
        <x:v>34</x:v>
      </x:c>
      <x:c r="S1636" s="38" t="n">
        <x:v>1.088</x:v>
      </x:c>
      <x:c r="T1636" s="38" t="n">
        <x:v>0.13056</x:v>
      </x:c>
      <x:c r="U1636" s="38" t="n">
        <x:v>0.0526592</x:v>
      </x:c>
      <x:c r="V1636" s="38" t="n">
        <x:v>0.9047808</x:v>
      </x:c>
      <x:c r="W1636" s="38" t="n">
        <x:v>0.43744</x:v>
      </x:c>
      <x:c r="X1636" s="38" t="n">
        <x:v>0.0262386432</x:v>
      </x:c>
      <x:c r="Y1636" s="38" t="n">
        <x:v>0.054286848</x:v>
      </x:c>
      <x:c r="Z1636" s="38" t="n">
        <x:v>0.16319999999999998</x:v>
      </x:c>
      <x:c r="AA1636" s="38" t="n">
        <x:v>0.056</x:v>
      </x:c>
      <x:c r="AB1636" s="38" t="n">
        <x:v>0.001792</x:v>
      </x:c>
      <x:c r="AC1636" s="38" t="n">
        <x:v>0.16582330880000007</x:v>
      </x:c>
      <x:c r="AD1636" s="28" t="n">
        <x:v>0.1832745663922135</x:v>
      </x:c>
    </x:row>
    <x:row r="1637">
      <x:c r="A1637" s="32" t="n">
        <x:v>46230</x:v>
      </x:c>
      <x:c r="B1637" s="32" t="n">
        <x:v>46204</x:v>
      </x:c>
      <x:c r="C1637" t="str">
        <x:v>Jul 2026</x:v>
      </x:c>
      <x:c r="D1637" t="str">
        <x:v>Forecast</x:v>
      </x:c>
      <x:c r="E1637" t="str">
        <x:v>DB-104</x:v>
      </x:c>
      <x:c r="F1637" t="str">
        <x:v>SunNest Cooling Towel</x:v>
      </x:c>
      <x:c r="G1637" t="str">
        <x:v>Consumable repeat</x:v>
      </x:c>
      <x:c r="H1637" t="str">
        <x:v>Summer peak</x:v>
      </x:c>
      <x:c r="I1637" t="str">
        <x:v>Active</x:v>
      </x:c>
      <x:c r="J1637" t="str">
        <x:v>Shopify DTC</x:v>
      </x:c>
      <x:c r="K1637" t="str">
        <x:v>Consumer</x:v>
      </x:c>
      <x:c r="L1637" t="str">
        <x:v>All Geographies</x:v>
      </x:c>
      <x:c r="M1637" s="34" t="n">
        <x:v>6774</x:v>
      </x:c>
      <x:c r="N1637" s="28" t="n">
        <x:v>0.03312</x:v>
      </x:c>
      <x:c r="O1637" s="34" t="n">
        <x:v>224</x:v>
      </x:c>
      <x:c r="P1637" s="34" t="n">
        <x:v>1</x:v>
      </x:c>
      <x:c r="Q1637" s="34" t="n">
        <x:v>224</x:v>
      </x:c>
      <x:c r="R1637" s="33" t="n">
        <x:v>42</x:v>
      </x:c>
      <x:c r="S1637" s="38" t="n">
        <x:v>9.408</x:v>
      </x:c>
      <x:c r="T1637" s="38" t="n">
        <x:v>0.75264</x:v>
      </x:c>
      <x:c r="U1637" s="38" t="n">
        <x:v>0.43276800000000004</x:v>
      </x:c>
      <x:c r="V1637" s="38" t="n">
        <x:v>8.222592</x:v>
      </x:c>
      <x:c r="W1637" s="38" t="n">
        <x:v>3.3712000000000004</x:v>
      </x:c>
      <x:c r="X1637" s="38" t="n">
        <x:v>0.23845516800000002</x:v>
      </x:c>
      <x:c r="Y1637" s="38" t="n">
        <x:v>0</x:v>
      </x:c>
      <x:c r="Z1637" s="38" t="n">
        <x:v>0.9296000000000001</x:v>
      </x:c>
      <x:c r="AA1637" s="38" t="n">
        <x:v>0.3696</x:v>
      </x:c>
      <x:c r="AB1637" s="38" t="n">
        <x:v>0.006272000000000001</x:v>
      </x:c>
      <x:c r="AC1637" s="38" t="n">
        <x:v>3.3074648320000004</x:v>
      </x:c>
      <x:c r="AD1637" s="28" t="n">
        <x:v>0.40224114634412117</x:v>
      </x:c>
    </x:row>
    <x:row r="1638">
      <x:c r="A1638" s="32" t="n">
        <x:v>46230</x:v>
      </x:c>
      <x:c r="B1638" s="32" t="n">
        <x:v>46204</x:v>
      </x:c>
      <x:c r="C1638" t="str">
        <x:v>Jul 2026</x:v>
      </x:c>
      <x:c r="D1638" t="str">
        <x:v>Forecast</x:v>
      </x:c>
      <x:c r="E1638" t="str">
        <x:v>DB-104</x:v>
      </x:c>
      <x:c r="F1638" t="str">
        <x:v>SunNest Cooling Towel</x:v>
      </x:c>
      <x:c r="G1638" t="str">
        <x:v>Consumable repeat</x:v>
      </x:c>
      <x:c r="H1638" t="str">
        <x:v>Summer peak</x:v>
      </x:c>
      <x:c r="I1638" t="str">
        <x:v>Active</x:v>
      </x:c>
      <x:c r="J1638" t="str">
        <x:v>Amazon Marketplace</x:v>
      </x:c>
      <x:c r="K1638" t="str">
        <x:v>Marketplace Consumer</x:v>
      </x:c>
      <x:c r="L1638" t="str">
        <x:v>All Geographies</x:v>
      </x:c>
      <x:c r="M1638" s="34" t="n">
        <x:v>3387</x:v>
      </x:c>
      <x:c r="N1638" s="28" t="n">
        <x:v>0.0390816</x:v>
      </x:c>
      <x:c r="O1638" s="34" t="n">
        <x:v>132</x:v>
      </x:c>
      <x:c r="P1638" s="34" t="n">
        <x:v>1</x:v>
      </x:c>
      <x:c r="Q1638" s="34" t="n">
        <x:v>132</x:v>
      </x:c>
      <x:c r="R1638" s="33" t="n">
        <x:v>42</x:v>
      </x:c>
      <x:c r="S1638" s="38" t="n">
        <x:v>5.544</x:v>
      </x:c>
      <x:c r="T1638" s="38" t="n">
        <x:v>0.2772</x:v>
      </x:c>
      <x:c r="U1638" s="38" t="n">
        <x:v>0.26334</x:v>
      </x:c>
      <x:c r="V1638" s="38" t="n">
        <x:v>5.00346</x:v>
      </x:c>
      <x:c r="W1638" s="38" t="n">
        <x:v>1.9866000000000001</x:v>
      </x:c>
      <x:c r="X1638" s="38" t="n">
        <x:v>0</x:v>
      </x:c>
      <x:c r="Y1638" s="38" t="n">
        <x:v>0.7505189999999999</x:v>
      </x:c>
      <x:c r="Z1638" s="38" t="n">
        <x:v>0.6864</x:v>
      </x:c>
      <x:c r="AA1638" s="38" t="n">
        <x:v>0.2838</x:v>
      </x:c>
      <x:c r="AB1638" s="38" t="n">
        <x:v>0.0036959999999999996</x:v>
      </x:c>
      <x:c r="AC1638" s="38" t="n">
        <x:v>1.2924449999999998</x:v>
      </x:c>
      <x:c r="AD1638" s="28" t="n">
        <x:v>0.2583102493074792</x:v>
      </x:c>
    </x:row>
    <x:row r="1639">
      <x:c r="A1639" s="32" t="n">
        <x:v>46230</x:v>
      </x:c>
      <x:c r="B1639" s="32" t="n">
        <x:v>46204</x:v>
      </x:c>
      <x:c r="C1639" t="str">
        <x:v>Jul 2026</x:v>
      </x:c>
      <x:c r="D1639" t="str">
        <x:v>Forecast</x:v>
      </x:c>
      <x:c r="E1639" t="str">
        <x:v>DB-104</x:v>
      </x:c>
      <x:c r="F1639" t="str">
        <x:v>SunNest Cooling Towel</x:v>
      </x:c>
      <x:c r="G1639" t="str">
        <x:v>Consumable repeat</x:v>
      </x:c>
      <x:c r="H1639" t="str">
        <x:v>Summer peak</x:v>
      </x:c>
      <x:c r="I1639" t="str">
        <x:v>Active</x:v>
      </x:c>
      <x:c r="J1639" t="str">
        <x:v>Wholesale</x:v>
      </x:c>
      <x:c r="K1639" t="str">
        <x:v>Retailer</x:v>
      </x:c>
      <x:c r="L1639" t="str">
        <x:v>All Geographies</x:v>
      </x:c>
      <x:c r="M1639" s="34" t="n">
        <x:v>2032</x:v>
      </x:c>
      <x:c r="N1639" s="28" t="n">
        <x:v>0.018216000000000003</x:v>
      </x:c>
      <x:c r="O1639" s="34" t="n">
        <x:v>37</x:v>
      </x:c>
      <x:c r="P1639" s="34" t="n">
        <x:v>1</x:v>
      </x:c>
      <x:c r="Q1639" s="34" t="n">
        <x:v>37</x:v>
      </x:c>
      <x:c r="R1639" s="33" t="n">
        <x:v>42</x:v>
      </x:c>
      <x:c r="S1639" s="38" t="n">
        <x:v>1.554</x:v>
      </x:c>
      <x:c r="T1639" s="38" t="n">
        <x:v>0.5438999999999999</x:v>
      </x:c>
      <x:c r="U1639" s="38" t="n">
        <x:v>0.050505</x:v>
      </x:c>
      <x:c r="V1639" s="38" t="n">
        <x:v>0.959595</x:v>
      </x:c>
      <x:c r="W1639" s="38" t="n">
        <x:v>0.5568500000000001</x:v>
      </x:c>
      <x:c r="X1639" s="38" t="n">
        <x:v>0</x:v>
      </x:c>
      <x:c r="Y1639" s="38" t="n">
        <x:v>0</x:v>
      </x:c>
      <x:c r="Z1639" s="38" t="n">
        <x:v>0.0851</x:v>
      </x:c>
      <x:c r="AA1639" s="38" t="n">
        <x:v>0.03145</x:v>
      </x:c>
      <x:c r="AB1639" s="38" t="n">
        <x:v>0.001036</x:v>
      </x:c>
      <x:c r="AC1639" s="38" t="n">
        <x:v>0.28515899999999994</x:v>
      </x:c>
      <x:c r="AD1639" s="28" t="n">
        <x:v>0.29716599190283394</x:v>
      </x:c>
    </x:row>
    <x:row r="1640">
      <x:c r="A1640" s="32" t="n">
        <x:v>46230</x:v>
      </x:c>
      <x:c r="B1640" s="32" t="n">
        <x:v>46204</x:v>
      </x:c>
      <x:c r="C1640" t="str">
        <x:v>Jul 2026</x:v>
      </x:c>
      <x:c r="D1640" t="str">
        <x:v>Forecast</x:v>
      </x:c>
      <x:c r="E1640" t="str">
        <x:v>DB-104</x:v>
      </x:c>
      <x:c r="F1640" t="str">
        <x:v>SunNest Cooling Towel</x:v>
      </x:c>
      <x:c r="G1640" t="str">
        <x:v>Consumable repeat</x:v>
      </x:c>
      <x:c r="H1640" t="str">
        <x:v>Summer peak</x:v>
      </x:c>
      <x:c r="I1640" t="str">
        <x:v>Active</x:v>
      </x:c>
      <x:c r="J1640" t="str">
        <x:v>TikTok Shop</x:v>
      </x:c>
      <x:c r="K1640" t="str">
        <x:v>Social Commerce</x:v>
      </x:c>
      <x:c r="L1640" t="str">
        <x:v>All Geographies</x:v>
      </x:c>
      <x:c r="M1640" s="34" t="n">
        <x:v>1355</x:v>
      </x:c>
      <x:c r="N1640" s="28" t="n">
        <x:v>0.0417312</x:v>
      </x:c>
      <x:c r="O1640" s="34" t="n">
        <x:v>57</x:v>
      </x:c>
      <x:c r="P1640" s="34" t="n">
        <x:v>1</x:v>
      </x:c>
      <x:c r="Q1640" s="34" t="n">
        <x:v>57</x:v>
      </x:c>
      <x:c r="R1640" s="33" t="n">
        <x:v>42</x:v>
      </x:c>
      <x:c r="S1640" s="38" t="n">
        <x:v>2.394</x:v>
      </x:c>
      <x:c r="T1640" s="38" t="n">
        <x:v>0.28728</x:v>
      </x:c>
      <x:c r="U1640" s="38" t="n">
        <x:v>0.10533600000000001</x:v>
      </x:c>
      <x:c r="V1640" s="38" t="n">
        <x:v>2.0013840000000003</x:v>
      </x:c>
      <x:c r="W1640" s="38" t="n">
        <x:v>0.85785</x:v>
      </x:c>
      <x:c r="X1640" s="38" t="n">
        <x:v>0.05804013600000001</x:v>
      </x:c>
      <x:c r="Y1640" s="38" t="n">
        <x:v>0.12008304000000002</x:v>
      </x:c>
      <x:c r="Z1640" s="38" t="n">
        <x:v>0.2907</x:v>
      </x:c>
      <x:c r="AA1640" s="38" t="n">
        <x:v>0.09975</x:v>
      </x:c>
      <x:c r="AB1640" s="38" t="n">
        <x:v>0.001596</x:v>
      </x:c>
      <x:c r="AC1640" s="38" t="n">
        <x:v>0.5733648240000001</x:v>
      </x:c>
      <x:c r="AD1640" s="28" t="n">
        <x:v>0.2864841649578492</x:v>
      </x:c>
    </x:row>
    <x:row r="1641">
      <x:c r="A1641" s="32" t="n">
        <x:v>46230</x:v>
      </x:c>
      <x:c r="B1641" s="32" t="n">
        <x:v>46204</x:v>
      </x:c>
      <x:c r="C1641" t="str">
        <x:v>Jul 2026</x:v>
      </x:c>
      <x:c r="D1641" t="str">
        <x:v>Forecast</x:v>
      </x:c>
      <x:c r="E1641" t="str">
        <x:v>DB-105</x:v>
      </x:c>
      <x:c r="F1641" t="str">
        <x:v>DreamFuel Refill Pack</x:v>
      </x:c>
      <x:c r="G1641" t="str">
        <x:v>Subscription</x:v>
      </x:c>
      <x:c r="H1641" t="str">
        <x:v>None</x:v>
      </x:c>
      <x:c r="I1641" t="str">
        <x:v>Active</x:v>
      </x:c>
      <x:c r="J1641" t="str">
        <x:v>Shopify DTC</x:v>
      </x:c>
      <x:c r="K1641" t="str">
        <x:v>Consumer</x:v>
      </x:c>
      <x:c r="L1641" t="str">
        <x:v>All Geographies</x:v>
      </x:c>
      <x:c r="M1641" s="34" t="n">
        <x:v>5051</x:v>
      </x:c>
      <x:c r="N1641" s="28" t="n">
        <x:v>0.03888</x:v>
      </x:c>
      <x:c r="O1641" s="34" t="n">
        <x:v>196</x:v>
      </x:c>
      <x:c r="P1641" s="34" t="n">
        <x:v>1</x:v>
      </x:c>
      <x:c r="Q1641" s="34" t="n">
        <x:v>196</x:v>
      </x:c>
      <x:c r="R1641" s="33" t="n">
        <x:v>56</x:v>
      </x:c>
      <x:c r="S1641" s="38" t="n">
        <x:v>10.976</x:v>
      </x:c>
      <x:c r="T1641" s="38" t="n">
        <x:v>0.8780800000000001</x:v>
      </x:c>
      <x:c r="U1641" s="38" t="n">
        <x:v>0.2019584</x:v>
      </x:c>
      <x:c r="V1641" s="38" t="n">
        <x:v>9.8959616</x:v>
      </x:c>
      <x:c r="W1641" s="38" t="n">
        <x:v>3.64952</x:v>
      </x:c>
      <x:c r="X1641" s="38" t="n">
        <x:v>0.2869828864</x:v>
      </x:c>
      <x:c r="Y1641" s="38" t="n">
        <x:v>0</x:v>
      </x:c>
      <x:c r="Z1641" s="38" t="n">
        <x:v>0.8134000000000001</x:v>
      </x:c>
      <x:c r="AA1641" s="38" t="n">
        <x:v>0.32339999999999997</x:v>
      </x:c>
      <x:c r="AB1641" s="38" t="n">
        <x:v>0.0007055999999999999</x:v>
      </x:c>
      <x:c r="AC1641" s="38" t="n">
        <x:v>4.8219531136</x:v>
      </x:c>
      <x:c r="AD1641" s="28" t="n">
        <x:v>0.4872647357079478</x:v>
      </x:c>
    </x:row>
    <x:row r="1642">
      <x:c r="A1642" s="32" t="n">
        <x:v>46230</x:v>
      </x:c>
      <x:c r="B1642" s="32" t="n">
        <x:v>46204</x:v>
      </x:c>
      <x:c r="C1642" t="str">
        <x:v>Jul 2026</x:v>
      </x:c>
      <x:c r="D1642" t="str">
        <x:v>Forecast</x:v>
      </x:c>
      <x:c r="E1642" t="str">
        <x:v>DB-105</x:v>
      </x:c>
      <x:c r="F1642" t="str">
        <x:v>DreamFuel Refill Pack</x:v>
      </x:c>
      <x:c r="G1642" t="str">
        <x:v>Subscription</x:v>
      </x:c>
      <x:c r="H1642" t="str">
        <x:v>None</x:v>
      </x:c>
      <x:c r="I1642" t="str">
        <x:v>Active</x:v>
      </x:c>
      <x:c r="J1642" t="str">
        <x:v>Amazon Marketplace</x:v>
      </x:c>
      <x:c r="K1642" t="str">
        <x:v>Marketplace Consumer</x:v>
      </x:c>
      <x:c r="L1642" t="str">
        <x:v>All Geographies</x:v>
      </x:c>
      <x:c r="M1642" s="34" t="n">
        <x:v>2525</x:v>
      </x:c>
      <x:c r="N1642" s="28" t="n">
        <x:v>0.0458784</x:v>
      </x:c>
      <x:c r="O1642" s="34" t="n">
        <x:v>116</x:v>
      </x:c>
      <x:c r="P1642" s="34" t="n">
        <x:v>1</x:v>
      </x:c>
      <x:c r="Q1642" s="34" t="n">
        <x:v>116</x:v>
      </x:c>
      <x:c r="R1642" s="33" t="n">
        <x:v>56</x:v>
      </x:c>
      <x:c r="S1642" s="38" t="n">
        <x:v>6.496</x:v>
      </x:c>
      <x:c r="T1642" s="38" t="n">
        <x:v>0.32480000000000003</x:v>
      </x:c>
      <x:c r="U1642" s="38" t="n">
        <x:v>0.12342400000000002</x:v>
      </x:c>
      <x:c r="V1642" s="38" t="n">
        <x:v>6.047776000000001</x:v>
      </x:c>
      <x:c r="W1642" s="38" t="n">
        <x:v>2.15992</x:v>
      </x:c>
      <x:c r="X1642" s="38" t="n">
        <x:v>0</x:v>
      </x:c>
      <x:c r="Y1642" s="38" t="n">
        <x:v>0.9071664</x:v>
      </x:c>
      <x:c r="Z1642" s="38" t="n">
        <x:v>0.6032000000000001</x:v>
      </x:c>
      <x:c r="AA1642" s="38" t="n">
        <x:v>0.24939999999999998</x:v>
      </x:c>
      <x:c r="AB1642" s="38" t="n">
        <x:v>0.0004176</x:v>
      </x:c>
      <x:c r="AC1642" s="38" t="n">
        <x:v>2.1276720000000005</x:v>
      </x:c>
      <x:c r="AD1642" s="28" t="n">
        <x:v>0.35181064907165877</x:v>
      </x:c>
    </x:row>
    <x:row r="1643">
      <x:c r="A1643" s="32" t="n">
        <x:v>46230</x:v>
      </x:c>
      <x:c r="B1643" s="32" t="n">
        <x:v>46204</x:v>
      </x:c>
      <x:c r="C1643" t="str">
        <x:v>Jul 2026</x:v>
      </x:c>
      <x:c r="D1643" t="str">
        <x:v>Forecast</x:v>
      </x:c>
      <x:c r="E1643" t="str">
        <x:v>DB-105</x:v>
      </x:c>
      <x:c r="F1643" t="str">
        <x:v>DreamFuel Refill Pack</x:v>
      </x:c>
      <x:c r="G1643" t="str">
        <x:v>Subscription</x:v>
      </x:c>
      <x:c r="H1643" t="str">
        <x:v>None</x:v>
      </x:c>
      <x:c r="I1643" t="str">
        <x:v>Active</x:v>
      </x:c>
      <x:c r="J1643" t="str">
        <x:v>Wholesale</x:v>
      </x:c>
      <x:c r="K1643" t="str">
        <x:v>Retailer</x:v>
      </x:c>
      <x:c r="L1643" t="str">
        <x:v>All Geographies</x:v>
      </x:c>
      <x:c r="M1643" s="34" t="n">
        <x:v>1515</x:v>
      </x:c>
      <x:c r="N1643" s="28" t="n">
        <x:v>0.021384000000000004</x:v>
      </x:c>
      <x:c r="O1643" s="34" t="n">
        <x:v>32</x:v>
      </x:c>
      <x:c r="P1643" s="34" t="n">
        <x:v>1</x:v>
      </x:c>
      <x:c r="Q1643" s="34" t="n">
        <x:v>32</x:v>
      </x:c>
      <x:c r="R1643" s="33" t="n">
        <x:v>56</x:v>
      </x:c>
      <x:c r="S1643" s="38" t="n">
        <x:v>1.792</x:v>
      </x:c>
      <x:c r="T1643" s="38" t="n">
        <x:v>0.6272</x:v>
      </x:c>
      <x:c r="U1643" s="38" t="n">
        <x:v>0.023296</x:v>
      </x:c>
      <x:c r="V1643" s="38" t="n">
        <x:v>1.141504</x:v>
      </x:c>
      <x:c r="W1643" s="38" t="n">
        <x:v>0.59584</x:v>
      </x:c>
      <x:c r="X1643" s="38" t="n">
        <x:v>0</x:v>
      </x:c>
      <x:c r="Y1643" s="38" t="n">
        <x:v>0</x:v>
      </x:c>
      <x:c r="Z1643" s="38" t="n">
        <x:v>0.0736</x:v>
      </x:c>
      <x:c r="AA1643" s="38" t="n">
        <x:v>0.0272</x:v>
      </x:c>
      <x:c r="AB1643" s="38" t="n">
        <x:v>0.0001152</x:v>
      </x:c>
      <x:c r="AC1643" s="38" t="n">
        <x:v>0.44474880000000006</x:v>
      </x:c>
      <x:c r="AD1643" s="28" t="n">
        <x:v>0.3896165059430366</x:v>
      </x:c>
    </x:row>
    <x:row r="1644">
      <x:c r="A1644" s="32" t="n">
        <x:v>46230</x:v>
      </x:c>
      <x:c r="B1644" s="32" t="n">
        <x:v>46204</x:v>
      </x:c>
      <x:c r="C1644" t="str">
        <x:v>Jul 2026</x:v>
      </x:c>
      <x:c r="D1644" t="str">
        <x:v>Forecast</x:v>
      </x:c>
      <x:c r="E1644" t="str">
        <x:v>DB-105</x:v>
      </x:c>
      <x:c r="F1644" t="str">
        <x:v>DreamFuel Refill Pack</x:v>
      </x:c>
      <x:c r="G1644" t="str">
        <x:v>Subscription</x:v>
      </x:c>
      <x:c r="H1644" t="str">
        <x:v>None</x:v>
      </x:c>
      <x:c r="I1644" t="str">
        <x:v>Active</x:v>
      </x:c>
      <x:c r="J1644" t="str">
        <x:v>TikTok Shop</x:v>
      </x:c>
      <x:c r="K1644" t="str">
        <x:v>Social Commerce</x:v>
      </x:c>
      <x:c r="L1644" t="str">
        <x:v>All Geographies</x:v>
      </x:c>
      <x:c r="M1644" s="34" t="n">
        <x:v>1010</x:v>
      </x:c>
      <x:c r="N1644" s="28" t="n">
        <x:v>0.0489888</x:v>
      </x:c>
      <x:c r="O1644" s="34" t="n">
        <x:v>49</x:v>
      </x:c>
      <x:c r="P1644" s="34" t="n">
        <x:v>1</x:v>
      </x:c>
      <x:c r="Q1644" s="34" t="n">
        <x:v>49</x:v>
      </x:c>
      <x:c r="R1644" s="33" t="n">
        <x:v>56</x:v>
      </x:c>
      <x:c r="S1644" s="38" t="n">
        <x:v>2.744</x:v>
      </x:c>
      <x:c r="T1644" s="38" t="n">
        <x:v>0.32928</x:v>
      </x:c>
      <x:c r="U1644" s="38" t="n">
        <x:v>0.0482944</x:v>
      </x:c>
      <x:c r="V1644" s="38" t="n">
        <x:v>2.3664256</x:v>
      </x:c>
      <x:c r="W1644" s="38" t="n">
        <x:v>0.91238</x:v>
      </x:c>
      <x:c r="X1644" s="38" t="n">
        <x:v>0.0686263424</x:v>
      </x:c>
      <x:c r="Y1644" s="38" t="n">
        <x:v>0.141985536</x:v>
      </x:c>
      <x:c r="Z1644" s="38" t="n">
        <x:v>0.24989999999999998</x:v>
      </x:c>
      <x:c r="AA1644" s="38" t="n">
        <x:v>0.08575</x:v>
      </x:c>
      <x:c r="AB1644" s="38" t="n">
        <x:v>0.00017639999999999998</x:v>
      </x:c>
      <x:c r="AC1644" s="38" t="n">
        <x:v>0.9076073216</x:v>
      </x:c>
      <x:c r="AD1644" s="28" t="n">
        <x:v>0.3835351179432812</x:v>
      </x:c>
    </x:row>
    <x:row r="1645">
      <x:c r="A1645" s="32" t="n">
        <x:v>46237</x:v>
      </x:c>
      <x:c r="B1645" s="32" t="n">
        <x:v>46235</x:v>
      </x:c>
      <x:c r="C1645" t="str">
        <x:v>Aug 2026</x:v>
      </x:c>
      <x:c r="D1645" t="str">
        <x:v>Forecast</x:v>
      </x:c>
      <x:c r="E1645" t="str">
        <x:v>DB-101</x:v>
      </x:c>
      <x:c r="F1645" t="str">
        <x:v>AeroSip Bottle</x:v>
      </x:c>
      <x:c r="G1645" t="str">
        <x:v>One-time purchase</x:v>
      </x:c>
      <x:c r="H1645" t="str">
        <x:v>None</x:v>
      </x:c>
      <x:c r="I1645" t="str">
        <x:v>Active</x:v>
      </x:c>
      <x:c r="J1645" t="str">
        <x:v>Shopify DTC</x:v>
      </x:c>
      <x:c r="K1645" t="str">
        <x:v>Consumer</x:v>
      </x:c>
      <x:c r="L1645" t="str">
        <x:v>All Geographies</x:v>
      </x:c>
      <x:c r="M1645" s="34" t="n">
        <x:v>7296</x:v>
      </x:c>
      <x:c r="N1645" s="28" t="n">
        <x:v>0.034199999999999994</x:v>
      </x:c>
      <x:c r="O1645" s="34" t="n">
        <x:v>250</x:v>
      </x:c>
      <x:c r="P1645" s="34" t="n">
        <x:v>1</x:v>
      </x:c>
      <x:c r="Q1645" s="34" t="n">
        <x:v>250</x:v>
      </x:c>
      <x:c r="R1645" s="33" t="n">
        <x:v>29</x:v>
      </x:c>
      <x:c r="S1645" s="38" t="n">
        <x:v>7.25</x:v>
      </x:c>
      <x:c r="T1645" s="38" t="n">
        <x:v>0.58</x:v>
      </x:c>
      <x:c r="U1645" s="38" t="n">
        <x:v>0.30015</x:v>
      </x:c>
      <x:c r="V1645" s="38" t="n">
        <x:v>6.36985</x:v>
      </x:c>
      <x:c r="W1645" s="38" t="n">
        <x:v>2.7</x:v>
      </x:c>
      <x:c r="X1645" s="38" t="n">
        <x:v>0.18472565</x:v>
      </x:c>
      <x:c r="Y1645" s="38" t="n">
        <x:v>0</x:v>
      </x:c>
      <x:c r="Z1645" s="38" t="n">
        <x:v>1.0375</x:v>
      </x:c>
      <x:c r="AA1645" s="38" t="n">
        <x:v>0.4125</x:v>
      </x:c>
      <x:c r="AB1645" s="38" t="n">
        <x:v>0.009</x:v>
      </x:c>
      <x:c r="AC1645" s="38" t="n">
        <x:v>2.0261243499999995</x:v>
      </x:c>
      <x:c r="AD1645" s="28" t="n">
        <x:v>0.31808038650831644</x:v>
      </x:c>
    </x:row>
    <x:row r="1646">
      <x:c r="A1646" s="32" t="n">
        <x:v>46237</x:v>
      </x:c>
      <x:c r="B1646" s="32" t="n">
        <x:v>46235</x:v>
      </x:c>
      <x:c r="C1646" t="str">
        <x:v>Aug 2026</x:v>
      </x:c>
      <x:c r="D1646" t="str">
        <x:v>Forecast</x:v>
      </x:c>
      <x:c r="E1646" t="str">
        <x:v>DB-101</x:v>
      </x:c>
      <x:c r="F1646" t="str">
        <x:v>AeroSip Bottle</x:v>
      </x:c>
      <x:c r="G1646" t="str">
        <x:v>One-time purchase</x:v>
      </x:c>
      <x:c r="H1646" t="str">
        <x:v>None</x:v>
      </x:c>
      <x:c r="I1646" t="str">
        <x:v>Active</x:v>
      </x:c>
      <x:c r="J1646" t="str">
        <x:v>Amazon Marketplace</x:v>
      </x:c>
      <x:c r="K1646" t="str">
        <x:v>Marketplace Consumer</x:v>
      </x:c>
      <x:c r="L1646" t="str">
        <x:v>All Geographies</x:v>
      </x:c>
      <x:c r="M1646" s="34" t="n">
        <x:v>3648</x:v>
      </x:c>
      <x:c r="N1646" s="28" t="n">
        <x:v>0.040355999999999996</x:v>
      </x:c>
      <x:c r="O1646" s="34" t="n">
        <x:v>147</x:v>
      </x:c>
      <x:c r="P1646" s="34" t="n">
        <x:v>1</x:v>
      </x:c>
      <x:c r="Q1646" s="34" t="n">
        <x:v>147</x:v>
      </x:c>
      <x:c r="R1646" s="33" t="n">
        <x:v>29</x:v>
      </x:c>
      <x:c r="S1646" s="38" t="n">
        <x:v>4.263</x:v>
      </x:c>
      <x:c r="T1646" s="38" t="n">
        <x:v>0.21315</x:v>
      </x:c>
      <x:c r="U1646" s="38" t="n">
        <x:v>0.18224325</x:v>
      </x:c>
      <x:c r="V1646" s="38" t="n">
        <x:v>3.86760675</x:v>
      </x:c>
      <x:c r="W1646" s="38" t="n">
        <x:v>1.5876000000000001</x:v>
      </x:c>
      <x:c r="X1646" s="38" t="n">
        <x:v>0</x:v>
      </x:c>
      <x:c r="Y1646" s="38" t="n">
        <x:v>0.5801410125</x:v>
      </x:c>
      <x:c r="Z1646" s="38" t="n">
        <x:v>0.7644</x:v>
      </x:c>
      <x:c r="AA1646" s="38" t="n">
        <x:v>0.31605</x:v>
      </x:c>
      <x:c r="AB1646" s="38" t="n">
        <x:v>0.005292</x:v>
      </x:c>
      <x:c r="AC1646" s="38" t="n">
        <x:v>0.6141237375000003</x:v>
      </x:c>
      <x:c r="AD1646" s="28" t="n">
        <x:v>0.15878649955815705</x:v>
      </x:c>
    </x:row>
    <x:row r="1647">
      <x:c r="A1647" s="32" t="n">
        <x:v>46237</x:v>
      </x:c>
      <x:c r="B1647" s="32" t="n">
        <x:v>46235</x:v>
      </x:c>
      <x:c r="C1647" t="str">
        <x:v>Aug 2026</x:v>
      </x:c>
      <x:c r="D1647" t="str">
        <x:v>Forecast</x:v>
      </x:c>
      <x:c r="E1647" t="str">
        <x:v>DB-101</x:v>
      </x:c>
      <x:c r="F1647" t="str">
        <x:v>AeroSip Bottle</x:v>
      </x:c>
      <x:c r="G1647" t="str">
        <x:v>One-time purchase</x:v>
      </x:c>
      <x:c r="H1647" t="str">
        <x:v>None</x:v>
      </x:c>
      <x:c r="I1647" t="str">
        <x:v>Active</x:v>
      </x:c>
      <x:c r="J1647" t="str">
        <x:v>Wholesale</x:v>
      </x:c>
      <x:c r="K1647" t="str">
        <x:v>Retailer</x:v>
      </x:c>
      <x:c r="L1647" t="str">
        <x:v>All Geographies</x:v>
      </x:c>
      <x:c r="M1647" s="34" t="n">
        <x:v>2189</x:v>
      </x:c>
      <x:c r="N1647" s="28" t="n">
        <x:v>0.01881</x:v>
      </x:c>
      <x:c r="O1647" s="34" t="n">
        <x:v>41</x:v>
      </x:c>
      <x:c r="P1647" s="34" t="n">
        <x:v>1</x:v>
      </x:c>
      <x:c r="Q1647" s="34" t="n">
        <x:v>41</x:v>
      </x:c>
      <x:c r="R1647" s="33" t="n">
        <x:v>29</x:v>
      </x:c>
      <x:c r="S1647" s="38" t="n">
        <x:v>1.189</x:v>
      </x:c>
      <x:c r="T1647" s="38" t="n">
        <x:v>0.41615</x:v>
      </x:c>
      <x:c r="U1647" s="38" t="n">
        <x:v>0.034778250000000004</x:v>
      </x:c>
      <x:c r="V1647" s="38" t="n">
        <x:v>0.73807175</x:v>
      </x:c>
      <x:c r="W1647" s="38" t="n">
        <x:v>0.4428</x:v>
      </x:c>
      <x:c r="X1647" s="38" t="n">
        <x:v>0</x:v>
      </x:c>
      <x:c r="Y1647" s="38" t="n">
        <x:v>0</x:v>
      </x:c>
      <x:c r="Z1647" s="38" t="n">
        <x:v>0.0943</x:v>
      </x:c>
      <x:c r="AA1647" s="38" t="n">
        <x:v>0.03485</x:v>
      </x:c>
      <x:c r="AB1647" s="38" t="n">
        <x:v>0.0014759999999999999</x:v>
      </x:c>
      <x:c r="AC1647" s="38" t="n">
        <x:v>0.16464575</x:v>
      </x:c>
      <x:c r="AD1647" s="28" t="n">
        <x:v>0.22307553432305194</x:v>
      </x:c>
    </x:row>
    <x:row r="1648">
      <x:c r="A1648" s="32" t="n">
        <x:v>46237</x:v>
      </x:c>
      <x:c r="B1648" s="32" t="n">
        <x:v>46235</x:v>
      </x:c>
      <x:c r="C1648" t="str">
        <x:v>Aug 2026</x:v>
      </x:c>
      <x:c r="D1648" t="str">
        <x:v>Forecast</x:v>
      </x:c>
      <x:c r="E1648" t="str">
        <x:v>DB-101</x:v>
      </x:c>
      <x:c r="F1648" t="str">
        <x:v>AeroSip Bottle</x:v>
      </x:c>
      <x:c r="G1648" t="str">
        <x:v>One-time purchase</x:v>
      </x:c>
      <x:c r="H1648" t="str">
        <x:v>None</x:v>
      </x:c>
      <x:c r="I1648" t="str">
        <x:v>Active</x:v>
      </x:c>
      <x:c r="J1648" t="str">
        <x:v>TikTok Shop</x:v>
      </x:c>
      <x:c r="K1648" t="str">
        <x:v>Social Commerce</x:v>
      </x:c>
      <x:c r="L1648" t="str">
        <x:v>All Geographies</x:v>
      </x:c>
      <x:c r="M1648" s="34" t="n">
        <x:v>1459</x:v>
      </x:c>
      <x:c r="N1648" s="28" t="n">
        <x:v>0.043092</x:v>
      </x:c>
      <x:c r="O1648" s="34" t="n">
        <x:v>63</x:v>
      </x:c>
      <x:c r="P1648" s="34" t="n">
        <x:v>1</x:v>
      </x:c>
      <x:c r="Q1648" s="34" t="n">
        <x:v>63</x:v>
      </x:c>
      <x:c r="R1648" s="33" t="n">
        <x:v>29</x:v>
      </x:c>
      <x:c r="S1648" s="38" t="n">
        <x:v>1.827</x:v>
      </x:c>
      <x:c r="T1648" s="38" t="n">
        <x:v>0.21924</x:v>
      </x:c>
      <x:c r="U1648" s="38" t="n">
        <x:v>0.07234919999999999</x:v>
      </x:c>
      <x:c r="V1648" s="38" t="n">
        <x:v>1.5354108</x:v>
      </x:c>
      <x:c r="W1648" s="38" t="n">
        <x:v>0.6804000000000001</x:v>
      </x:c>
      <x:c r="X1648" s="38" t="n">
        <x:v>0.044526913200000004</x:v>
      </x:c>
      <x:c r="Y1648" s="38" t="n">
        <x:v>0.09212464799999999</x:v>
      </x:c>
      <x:c r="Z1648" s="38" t="n">
        <x:v>0.3213</x:v>
      </x:c>
      <x:c r="AA1648" s="38" t="n">
        <x:v>0.11025</x:v>
      </x:c>
      <x:c r="AB1648" s="38" t="n">
        <x:v>0.0022679999999999996</x:v>
      </x:c>
      <x:c r="AC1648" s="38" t="n">
        <x:v>0.2845412387999999</x:v>
      </x:c>
      <x:c r="AD1648" s="28" t="n">
        <x:v>0.18531928966501987</x:v>
      </x:c>
    </x:row>
    <x:row r="1649">
      <x:c r="A1649" s="32" t="n">
        <x:v>46237</x:v>
      </x:c>
      <x:c r="B1649" s="32" t="n">
        <x:v>46235</x:v>
      </x:c>
      <x:c r="C1649" t="str">
        <x:v>Aug 2026</x:v>
      </x:c>
      <x:c r="D1649" t="str">
        <x:v>Forecast</x:v>
      </x:c>
      <x:c r="E1649" t="str">
        <x:v>DB-102</x:v>
      </x:c>
      <x:c r="F1649" t="str">
        <x:v>GlowPatch Balm</x:v>
      </x:c>
      <x:c r="G1649" t="str">
        <x:v>Consumable repeat</x:v>
      </x:c>
      <x:c r="H1649" t="str">
        <x:v>None</x:v>
      </x:c>
      <x:c r="I1649" t="str">
        <x:v>Active</x:v>
      </x:c>
      <x:c r="J1649" t="str">
        <x:v>Shopify DTC</x:v>
      </x:c>
      <x:c r="K1649" t="str">
        <x:v>Consumer</x:v>
      </x:c>
      <x:c r="L1649" t="str">
        <x:v>All Geographies</x:v>
      </x:c>
      <x:c r="M1649" s="34" t="n">
        <x:v>5893</x:v>
      </x:c>
      <x:c r="N1649" s="28" t="n">
        <x:v>0.04248</x:v>
      </x:c>
      <x:c r="O1649" s="34" t="n">
        <x:v>250</x:v>
      </x:c>
      <x:c r="P1649" s="34" t="n">
        <x:v>1</x:v>
      </x:c>
      <x:c r="Q1649" s="34" t="n">
        <x:v>250</x:v>
      </x:c>
      <x:c r="R1649" s="33" t="n">
        <x:v>18</x:v>
      </x:c>
      <x:c r="S1649" s="38" t="n">
        <x:v>4.5</x:v>
      </x:c>
      <x:c r="T1649" s="38" t="n">
        <x:v>0.36</x:v>
      </x:c>
      <x:c r="U1649" s="38" t="n">
        <x:v>0.1035</x:v>
      </x:c>
      <x:c r="V1649" s="38" t="n">
        <x:v>4.036499999999999</x:v>
      </x:c>
      <x:c r="W1649" s="38" t="n">
        <x:v>1.3525</x:v>
      </x:c>
      <x:c r="X1649" s="38" t="n">
        <x:v>0.11705849999999998</x:v>
      </x:c>
      <x:c r="Y1649" s="38" t="n">
        <x:v>0</x:v>
      </x:c>
      <x:c r="Z1649" s="38" t="n">
        <x:v>1.0375</x:v>
      </x:c>
      <x:c r="AA1649" s="38" t="n">
        <x:v>0.4125</x:v>
      </x:c>
      <x:c r="AB1649" s="38" t="n">
        <x:v>0.0015</x:v>
      </x:c>
      <x:c r="AC1649" s="38" t="n">
        <x:v>1.1154414999999989</x:v>
      </x:c>
      <x:c r="AD1649" s="28" t="n">
        <x:v>0.2763387835996529</x:v>
      </x:c>
    </x:row>
    <x:row r="1650">
      <x:c r="A1650" s="32" t="n">
        <x:v>46237</x:v>
      </x:c>
      <x:c r="B1650" s="32" t="n">
        <x:v>46235</x:v>
      </x:c>
      <x:c r="C1650" t="str">
        <x:v>Aug 2026</x:v>
      </x:c>
      <x:c r="D1650" t="str">
        <x:v>Forecast</x:v>
      </x:c>
      <x:c r="E1650" t="str">
        <x:v>DB-102</x:v>
      </x:c>
      <x:c r="F1650" t="str">
        <x:v>GlowPatch Balm</x:v>
      </x:c>
      <x:c r="G1650" t="str">
        <x:v>Consumable repeat</x:v>
      </x:c>
      <x:c r="H1650" t="str">
        <x:v>None</x:v>
      </x:c>
      <x:c r="I1650" t="str">
        <x:v>Active</x:v>
      </x:c>
      <x:c r="J1650" t="str">
        <x:v>Amazon Marketplace</x:v>
      </x:c>
      <x:c r="K1650" t="str">
        <x:v>Marketplace Consumer</x:v>
      </x:c>
      <x:c r="L1650" t="str">
        <x:v>All Geographies</x:v>
      </x:c>
      <x:c r="M1650" s="34" t="n">
        <x:v>2946</x:v>
      </x:c>
      <x:c r="N1650" s="28" t="n">
        <x:v>0.050126399999999995</x:v>
      </x:c>
      <x:c r="O1650" s="34" t="n">
        <x:v>148</x:v>
      </x:c>
      <x:c r="P1650" s="34" t="n">
        <x:v>1</x:v>
      </x:c>
      <x:c r="Q1650" s="34" t="n">
        <x:v>148</x:v>
      </x:c>
      <x:c r="R1650" s="33" t="n">
        <x:v>18</x:v>
      </x:c>
      <x:c r="S1650" s="38" t="n">
        <x:v>2.664</x:v>
      </x:c>
      <x:c r="T1650" s="38" t="n">
        <x:v>0.1332</x:v>
      </x:c>
      <x:c r="U1650" s="38" t="n">
        <x:v>0.06327</x:v>
      </x:c>
      <x:c r="V1650" s="38" t="n">
        <x:v>2.46753</x:v>
      </x:c>
      <x:c r="W1650" s="38" t="n">
        <x:v>0.8006800000000001</x:v>
      </x:c>
      <x:c r="X1650" s="38" t="n">
        <x:v>0</x:v>
      </x:c>
      <x:c r="Y1650" s="38" t="n">
        <x:v>0.3701295</x:v>
      </x:c>
      <x:c r="Z1650" s="38" t="n">
        <x:v>0.7696000000000001</x:v>
      </x:c>
      <x:c r="AA1650" s="38" t="n">
        <x:v>0.3182</x:v>
      </x:c>
      <x:c r="AB1650" s="38" t="n">
        <x:v>0.0008879999999999999</x:v>
      </x:c>
      <x:c r="AC1650" s="38" t="n">
        <x:v>0.2080324999999999</x:v>
      </x:c>
      <x:c r="AD1650" s="28" t="n">
        <x:v>0.084307992202729</x:v>
      </x:c>
    </x:row>
    <x:row r="1651">
      <x:c r="A1651" s="32" t="n">
        <x:v>46237</x:v>
      </x:c>
      <x:c r="B1651" s="32" t="n">
        <x:v>46235</x:v>
      </x:c>
      <x:c r="C1651" t="str">
        <x:v>Aug 2026</x:v>
      </x:c>
      <x:c r="D1651" t="str">
        <x:v>Forecast</x:v>
      </x:c>
      <x:c r="E1651" t="str">
        <x:v>DB-102</x:v>
      </x:c>
      <x:c r="F1651" t="str">
        <x:v>GlowPatch Balm</x:v>
      </x:c>
      <x:c r="G1651" t="str">
        <x:v>Consumable repeat</x:v>
      </x:c>
      <x:c r="H1651" t="str">
        <x:v>None</x:v>
      </x:c>
      <x:c r="I1651" t="str">
        <x:v>Active</x:v>
      </x:c>
      <x:c r="J1651" t="str">
        <x:v>Wholesale</x:v>
      </x:c>
      <x:c r="K1651" t="str">
        <x:v>Retailer</x:v>
      </x:c>
      <x:c r="L1651" t="str">
        <x:v>All Geographies</x:v>
      </x:c>
      <x:c r="M1651" s="34" t="n">
        <x:v>1768</x:v>
      </x:c>
      <x:c r="N1651" s="28" t="n">
        <x:v>0.023364</x:v>
      </x:c>
      <x:c r="O1651" s="34" t="n">
        <x:v>41</x:v>
      </x:c>
      <x:c r="P1651" s="34" t="n">
        <x:v>1</x:v>
      </x:c>
      <x:c r="Q1651" s="34" t="n">
        <x:v>41</x:v>
      </x:c>
      <x:c r="R1651" s="33" t="n">
        <x:v>18</x:v>
      </x:c>
      <x:c r="S1651" s="38" t="n">
        <x:v>0.738</x:v>
      </x:c>
      <x:c r="T1651" s="38" t="n">
        <x:v>0.2583</x:v>
      </x:c>
      <x:c r="U1651" s="38" t="n">
        <x:v>0.011992500000000001</x:v>
      </x:c>
      <x:c r="V1651" s="38" t="n">
        <x:v>0.4677075</x:v>
      </x:c>
      <x:c r="W1651" s="38" t="n">
        <x:v>0.22181</x:v>
      </x:c>
      <x:c r="X1651" s="38" t="n">
        <x:v>0</x:v>
      </x:c>
      <x:c r="Y1651" s="38" t="n">
        <x:v>0</x:v>
      </x:c>
      <x:c r="Z1651" s="38" t="n">
        <x:v>0.0943</x:v>
      </x:c>
      <x:c r="AA1651" s="38" t="n">
        <x:v>0.03485</x:v>
      </x:c>
      <x:c r="AB1651" s="38" t="n">
        <x:v>0.000246</x:v>
      </x:c>
      <x:c r="AC1651" s="38" t="n">
        <x:v>0.11650150000000001</x:v>
      </x:c>
      <x:c r="AD1651" s="28" t="n">
        <x:v>0.2490905106289722</x:v>
      </x:c>
    </x:row>
    <x:row r="1652">
      <x:c r="A1652" s="32" t="n">
        <x:v>46237</x:v>
      </x:c>
      <x:c r="B1652" s="32" t="n">
        <x:v>46235</x:v>
      </x:c>
      <x:c r="C1652" t="str">
        <x:v>Aug 2026</x:v>
      </x:c>
      <x:c r="D1652" t="str">
        <x:v>Forecast</x:v>
      </x:c>
      <x:c r="E1652" t="str">
        <x:v>DB-102</x:v>
      </x:c>
      <x:c r="F1652" t="str">
        <x:v>GlowPatch Balm</x:v>
      </x:c>
      <x:c r="G1652" t="str">
        <x:v>Consumable repeat</x:v>
      </x:c>
      <x:c r="H1652" t="str">
        <x:v>None</x:v>
      </x:c>
      <x:c r="I1652" t="str">
        <x:v>Active</x:v>
      </x:c>
      <x:c r="J1652" t="str">
        <x:v>TikTok Shop</x:v>
      </x:c>
      <x:c r="K1652" t="str">
        <x:v>Social Commerce</x:v>
      </x:c>
      <x:c r="L1652" t="str">
        <x:v>All Geographies</x:v>
      </x:c>
      <x:c r="M1652" s="34" t="n">
        <x:v>1179</x:v>
      </x:c>
      <x:c r="N1652" s="28" t="n">
        <x:v>0.0535248</x:v>
      </x:c>
      <x:c r="O1652" s="34" t="n">
        <x:v>63</x:v>
      </x:c>
      <x:c r="P1652" s="34" t="n">
        <x:v>1</x:v>
      </x:c>
      <x:c r="Q1652" s="34" t="n">
        <x:v>63</x:v>
      </x:c>
      <x:c r="R1652" s="33" t="n">
        <x:v>18</x:v>
      </x:c>
      <x:c r="S1652" s="38" t="n">
        <x:v>1.134</x:v>
      </x:c>
      <x:c r="T1652" s="38" t="n">
        <x:v>0.13607999999999998</x:v>
      </x:c>
      <x:c r="U1652" s="38" t="n">
        <x:v>0.024947999999999998</x:v>
      </x:c>
      <x:c r="V1652" s="38" t="n">
        <x:v>0.972972</x:v>
      </x:c>
      <x:c r="W1652" s="38" t="n">
        <x:v>0.34082999999999997</x:v>
      </x:c>
      <x:c r="X1652" s="38" t="n">
        <x:v>0.028216188</x:v>
      </x:c>
      <x:c r="Y1652" s="38" t="n">
        <x:v>0.05837832</x:v>
      </x:c>
      <x:c r="Z1652" s="38" t="n">
        <x:v>0.3213</x:v>
      </x:c>
      <x:c r="AA1652" s="38" t="n">
        <x:v>0.11025</x:v>
      </x:c>
      <x:c r="AB1652" s="38" t="n">
        <x:v>0.000378</x:v>
      </x:c>
      <x:c r="AC1652" s="38" t="n">
        <x:v>0.11361949199999999</x:v>
      </x:c>
      <x:c r="AD1652" s="28" t="n">
        <x:v>0.11677570577570577</x:v>
      </x:c>
    </x:row>
    <x:row r="1653">
      <x:c r="A1653" s="32" t="n">
        <x:v>46237</x:v>
      </x:c>
      <x:c r="B1653" s="32" t="n">
        <x:v>46235</x:v>
      </x:c>
      <x:c r="C1653" t="str">
        <x:v>Aug 2026</x:v>
      </x:c>
      <x:c r="D1653" t="str">
        <x:v>Forecast</x:v>
      </x:c>
      <x:c r="E1653" t="str">
        <x:v>DB-103</x:v>
      </x:c>
      <x:c r="F1653" t="str">
        <x:v>EmberTrail Camp Mug</x:v>
      </x:c>
      <x:c r="G1653" t="str">
        <x:v>One-time purchase</x:v>
      </x:c>
      <x:c r="H1653" t="str">
        <x:v>Winter peak</x:v>
      </x:c>
      <x:c r="I1653" t="str">
        <x:v>Active</x:v>
      </x:c>
      <x:c r="J1653" t="str">
        <x:v>Shopify DTC</x:v>
      </x:c>
      <x:c r="K1653" t="str">
        <x:v>Consumer</x:v>
      </x:c>
      <x:c r="L1653" t="str">
        <x:v>All Geographies</x:v>
      </x:c>
      <x:c r="M1653" s="34" t="n">
        <x:v>4344</x:v>
      </x:c>
      <x:c r="N1653" s="28" t="n">
        <x:v>0.0324</x:v>
      </x:c>
      <x:c r="O1653" s="34" t="n">
        <x:v>141</x:v>
      </x:c>
      <x:c r="P1653" s="34" t="n">
        <x:v>1</x:v>
      </x:c>
      <x:c r="Q1653" s="34" t="n">
        <x:v>141</x:v>
      </x:c>
      <x:c r="R1653" s="33" t="n">
        <x:v>34</x:v>
      </x:c>
      <x:c r="S1653" s="38" t="n">
        <x:v>4.794</x:v>
      </x:c>
      <x:c r="T1653" s="38" t="n">
        <x:v>0.38351999999999997</x:v>
      </x:c>
      <x:c r="U1653" s="38" t="n">
        <x:v>0.2425764</x:v>
      </x:c>
      <x:c r="V1653" s="38" t="n">
        <x:v>4.1679036</x:v>
      </x:c>
      <x:c r="W1653" s="38" t="n">
        <x:v>1.92747</x:v>
      </x:c>
      <x:c r="X1653" s="38" t="n">
        <x:v>0.1208692044</x:v>
      </x:c>
      <x:c r="Y1653" s="38" t="n">
        <x:v>0</x:v>
      </x:c>
      <x:c r="Z1653" s="38" t="n">
        <x:v>0.5851500000000001</x:v>
      </x:c>
      <x:c r="AA1653" s="38" t="n">
        <x:v>0.23264999999999997</x:v>
      </x:c>
      <x:c r="AB1653" s="38" t="n">
        <x:v>0.007896</x:v>
      </x:c>
      <x:c r="AC1653" s="38" t="n">
        <x:v>1.2938683955999999</x:v>
      </x:c>
      <x:c r="AD1653" s="28" t="n">
        <x:v>0.31043625759482535</x:v>
      </x:c>
    </x:row>
    <x:row r="1654">
      <x:c r="A1654" s="32" t="n">
        <x:v>46237</x:v>
      </x:c>
      <x:c r="B1654" s="32" t="n">
        <x:v>46235</x:v>
      </x:c>
      <x:c r="C1654" t="str">
        <x:v>Aug 2026</x:v>
      </x:c>
      <x:c r="D1654" t="str">
        <x:v>Forecast</x:v>
      </x:c>
      <x:c r="E1654" t="str">
        <x:v>DB-103</x:v>
      </x:c>
      <x:c r="F1654" t="str">
        <x:v>EmberTrail Camp Mug</x:v>
      </x:c>
      <x:c r="G1654" t="str">
        <x:v>One-time purchase</x:v>
      </x:c>
      <x:c r="H1654" t="str">
        <x:v>Winter peak</x:v>
      </x:c>
      <x:c r="I1654" t="str">
        <x:v>Active</x:v>
      </x:c>
      <x:c r="J1654" t="str">
        <x:v>Amazon Marketplace</x:v>
      </x:c>
      <x:c r="K1654" t="str">
        <x:v>Marketplace Consumer</x:v>
      </x:c>
      <x:c r="L1654" t="str">
        <x:v>All Geographies</x:v>
      </x:c>
      <x:c r="M1654" s="34" t="n">
        <x:v>2172</x:v>
      </x:c>
      <x:c r="N1654" s="28" t="n">
        <x:v>0.038231999999999995</x:v>
      </x:c>
      <x:c r="O1654" s="34" t="n">
        <x:v>83</x:v>
      </x:c>
      <x:c r="P1654" s="34" t="n">
        <x:v>1</x:v>
      </x:c>
      <x:c r="Q1654" s="34" t="n">
        <x:v>83</x:v>
      </x:c>
      <x:c r="R1654" s="33" t="n">
        <x:v>34</x:v>
      </x:c>
      <x:c r="S1654" s="38" t="n">
        <x:v>2.822</x:v>
      </x:c>
      <x:c r="T1654" s="38" t="n">
        <x:v>0.1411</x:v>
      </x:c>
      <x:c r="U1654" s="38" t="n">
        <x:v>0.1474495</x:v>
      </x:c>
      <x:c r="V1654" s="38" t="n">
        <x:v>2.5334505000000003</x:v>
      </x:c>
      <x:c r="W1654" s="38" t="n">
        <x:v>1.13461</x:v>
      </x:c>
      <x:c r="X1654" s="38" t="n">
        <x:v>0</x:v>
      </x:c>
      <x:c r="Y1654" s="38" t="n">
        <x:v>0.38001757500000005</x:v>
      </x:c>
      <x:c r="Z1654" s="38" t="n">
        <x:v>0.43160000000000004</x:v>
      </x:c>
      <x:c r="AA1654" s="38" t="n">
        <x:v>0.17845</x:v>
      </x:c>
      <x:c r="AB1654" s="38" t="n">
        <x:v>0.004648</x:v>
      </x:c>
      <x:c r="AC1654" s="38" t="n">
        <x:v>0.4041249250000003</x:v>
      </x:c>
      <x:c r="AD1654" s="28" t="n">
        <x:v>0.15951561911314244</x:v>
      </x:c>
    </x:row>
    <x:row r="1655">
      <x:c r="A1655" s="32" t="n">
        <x:v>46237</x:v>
      </x:c>
      <x:c r="B1655" s="32" t="n">
        <x:v>46235</x:v>
      </x:c>
      <x:c r="C1655" t="str">
        <x:v>Aug 2026</x:v>
      </x:c>
      <x:c r="D1655" t="str">
        <x:v>Forecast</x:v>
      </x:c>
      <x:c r="E1655" t="str">
        <x:v>DB-103</x:v>
      </x:c>
      <x:c r="F1655" t="str">
        <x:v>EmberTrail Camp Mug</x:v>
      </x:c>
      <x:c r="G1655" t="str">
        <x:v>One-time purchase</x:v>
      </x:c>
      <x:c r="H1655" t="str">
        <x:v>Winter peak</x:v>
      </x:c>
      <x:c r="I1655" t="str">
        <x:v>Active</x:v>
      </x:c>
      <x:c r="J1655" t="str">
        <x:v>Wholesale</x:v>
      </x:c>
      <x:c r="K1655" t="str">
        <x:v>Retailer</x:v>
      </x:c>
      <x:c r="L1655" t="str">
        <x:v>All Geographies</x:v>
      </x:c>
      <x:c r="M1655" s="34" t="n">
        <x:v>1303</x:v>
      </x:c>
      <x:c r="N1655" s="28" t="n">
        <x:v>0.017820000000000003</x:v>
      </x:c>
      <x:c r="O1655" s="34" t="n">
        <x:v>23</x:v>
      </x:c>
      <x:c r="P1655" s="34" t="n">
        <x:v>1</x:v>
      </x:c>
      <x:c r="Q1655" s="34" t="n">
        <x:v>23</x:v>
      </x:c>
      <x:c r="R1655" s="33" t="n">
        <x:v>34</x:v>
      </x:c>
      <x:c r="S1655" s="38" t="n">
        <x:v>0.782</x:v>
      </x:c>
      <x:c r="T1655" s="38" t="n">
        <x:v>0.2737</x:v>
      </x:c>
      <x:c r="U1655" s="38" t="n">
        <x:v>0.0279565</x:v>
      </x:c>
      <x:c r="V1655" s="38" t="n">
        <x:v>0.4803435</x:v>
      </x:c>
      <x:c r="W1655" s="38" t="n">
        <x:v>0.31441</x:v>
      </x:c>
      <x:c r="X1655" s="38" t="n">
        <x:v>0</x:v>
      </x:c>
      <x:c r="Y1655" s="38" t="n">
        <x:v>0</x:v>
      </x:c>
      <x:c r="Z1655" s="38" t="n">
        <x:v>0.052899999999999996</x:v>
      </x:c>
      <x:c r="AA1655" s="38" t="n">
        <x:v>0.01955</x:v>
      </x:c>
      <x:c r="AB1655" s="38" t="n">
        <x:v>0.001288</x:v>
      </x:c>
      <x:c r="AC1655" s="38" t="n">
        <x:v>0.09219549999999996</x:v>
      </x:c>
      <x:c r="AD1655" s="28" t="n">
        <x:v>0.1919366037013095</x:v>
      </x:c>
    </x:row>
    <x:row r="1656">
      <x:c r="A1656" s="32" t="n">
        <x:v>46237</x:v>
      </x:c>
      <x:c r="B1656" s="32" t="n">
        <x:v>46235</x:v>
      </x:c>
      <x:c r="C1656" t="str">
        <x:v>Aug 2026</x:v>
      </x:c>
      <x:c r="D1656" t="str">
        <x:v>Forecast</x:v>
      </x:c>
      <x:c r="E1656" t="str">
        <x:v>DB-103</x:v>
      </x:c>
      <x:c r="F1656" t="str">
        <x:v>EmberTrail Camp Mug</x:v>
      </x:c>
      <x:c r="G1656" t="str">
        <x:v>One-time purchase</x:v>
      </x:c>
      <x:c r="H1656" t="str">
        <x:v>Winter peak</x:v>
      </x:c>
      <x:c r="I1656" t="str">
        <x:v>Active</x:v>
      </x:c>
      <x:c r="J1656" t="str">
        <x:v>TikTok Shop</x:v>
      </x:c>
      <x:c r="K1656" t="str">
        <x:v>Social Commerce</x:v>
      </x:c>
      <x:c r="L1656" t="str">
        <x:v>All Geographies</x:v>
      </x:c>
      <x:c r="M1656" s="34" t="n">
        <x:v>869</x:v>
      </x:c>
      <x:c r="N1656" s="28" t="n">
        <x:v>0.040824</x:v>
      </x:c>
      <x:c r="O1656" s="34" t="n">
        <x:v>35</x:v>
      </x:c>
      <x:c r="P1656" s="34" t="n">
        <x:v>1</x:v>
      </x:c>
      <x:c r="Q1656" s="34" t="n">
        <x:v>35</x:v>
      </x:c>
      <x:c r="R1656" s="33" t="n">
        <x:v>34</x:v>
      </x:c>
      <x:c r="S1656" s="38" t="n">
        <x:v>1.19</x:v>
      </x:c>
      <x:c r="T1656" s="38" t="n">
        <x:v>0.14279999999999998</x:v>
      </x:c>
      <x:c r="U1656" s="38" t="n">
        <x:v>0.057595999999999994</x:v>
      </x:c>
      <x:c r="V1656" s="38" t="n">
        <x:v>0.9896039999999999</x:v>
      </x:c>
      <x:c r="W1656" s="38" t="n">
        <x:v>0.47845</x:v>
      </x:c>
      <x:c r="X1656" s="38" t="n">
        <x:v>0.028698516</x:v>
      </x:c>
      <x:c r="Y1656" s="38" t="n">
        <x:v>0.05937624</x:v>
      </x:c>
      <x:c r="Z1656" s="38" t="n">
        <x:v>0.1785</x:v>
      </x:c>
      <x:c r="AA1656" s="38" t="n">
        <x:v>0.06125</x:v>
      </x:c>
      <x:c r="AB1656" s="38" t="n">
        <x:v>0.0019600000000000004</x:v>
      </x:c>
      <x:c r="AC1656" s="38" t="n">
        <x:v>0.18136924399999987</x:v>
      </x:c>
      <x:c r="AD1656" s="28" t="n">
        <x:v>0.18327456639221335</x:v>
      </x:c>
    </x:row>
    <x:row r="1657">
      <x:c r="A1657" s="32" t="n">
        <x:v>46237</x:v>
      </x:c>
      <x:c r="B1657" s="32" t="n">
        <x:v>46235</x:v>
      </x:c>
      <x:c r="C1657" t="str">
        <x:v>Aug 2026</x:v>
      </x:c>
      <x:c r="D1657" t="str">
        <x:v>Forecast</x:v>
      </x:c>
      <x:c r="E1657" t="str">
        <x:v>DB-104</x:v>
      </x:c>
      <x:c r="F1657" t="str">
        <x:v>SunNest Cooling Towel</x:v>
      </x:c>
      <x:c r="G1657" t="str">
        <x:v>Consumable repeat</x:v>
      </x:c>
      <x:c r="H1657" t="str">
        <x:v>Summer peak</x:v>
      </x:c>
      <x:c r="I1657" t="str">
        <x:v>Active</x:v>
      </x:c>
      <x:c r="J1657" t="str">
        <x:v>Shopify DTC</x:v>
      </x:c>
      <x:c r="K1657" t="str">
        <x:v>Consumer</x:v>
      </x:c>
      <x:c r="L1657" t="str">
        <x:v>All Geographies</x:v>
      </x:c>
      <x:c r="M1657" s="34" t="n">
        <x:v>5629</x:v>
      </x:c>
      <x:c r="N1657" s="28" t="n">
        <x:v>0.03312</x:v>
      </x:c>
      <x:c r="O1657" s="34" t="n">
        <x:v>186</x:v>
      </x:c>
      <x:c r="P1657" s="34" t="n">
        <x:v>1</x:v>
      </x:c>
      <x:c r="Q1657" s="34" t="n">
        <x:v>186</x:v>
      </x:c>
      <x:c r="R1657" s="33" t="n">
        <x:v>42</x:v>
      </x:c>
      <x:c r="S1657" s="38" t="n">
        <x:v>7.812</x:v>
      </x:c>
      <x:c r="T1657" s="38" t="n">
        <x:v>0.6249600000000001</x:v>
      </x:c>
      <x:c r="U1657" s="38" t="n">
        <x:v>0.35935200000000006</x:v>
      </x:c>
      <x:c r="V1657" s="38" t="n">
        <x:v>6.827688</x:v>
      </x:c>
      <x:c r="W1657" s="38" t="n">
        <x:v>2.7993</x:v>
      </x:c>
      <x:c r="X1657" s="38" t="n">
        <x:v>0.198002952</x:v>
      </x:c>
      <x:c r="Y1657" s="38" t="n">
        <x:v>0</x:v>
      </x:c>
      <x:c r="Z1657" s="38" t="n">
        <x:v>0.7719000000000001</x:v>
      </x:c>
      <x:c r="AA1657" s="38" t="n">
        <x:v>0.30689999999999995</x:v>
      </x:c>
      <x:c r="AB1657" s="38" t="n">
        <x:v>0.005208</x:v>
      </x:c>
      <x:c r="AC1657" s="38" t="n">
        <x:v>2.746377048</x:v>
      </x:c>
      <x:c r="AD1657" s="28" t="n">
        <x:v>0.4022411463441211</x:v>
      </x:c>
    </x:row>
    <x:row r="1658">
      <x:c r="A1658" s="32" t="n">
        <x:v>46237</x:v>
      </x:c>
      <x:c r="B1658" s="32" t="n">
        <x:v>46235</x:v>
      </x:c>
      <x:c r="C1658" t="str">
        <x:v>Aug 2026</x:v>
      </x:c>
      <x:c r="D1658" t="str">
        <x:v>Forecast</x:v>
      </x:c>
      <x:c r="E1658" t="str">
        <x:v>DB-104</x:v>
      </x:c>
      <x:c r="F1658" t="str">
        <x:v>SunNest Cooling Towel</x:v>
      </x:c>
      <x:c r="G1658" t="str">
        <x:v>Consumable repeat</x:v>
      </x:c>
      <x:c r="H1658" t="str">
        <x:v>Summer peak</x:v>
      </x:c>
      <x:c r="I1658" t="str">
        <x:v>Active</x:v>
      </x:c>
      <x:c r="J1658" t="str">
        <x:v>Amazon Marketplace</x:v>
      </x:c>
      <x:c r="K1658" t="str">
        <x:v>Marketplace Consumer</x:v>
      </x:c>
      <x:c r="L1658" t="str">
        <x:v>All Geographies</x:v>
      </x:c>
      <x:c r="M1658" s="34" t="n">
        <x:v>2814</x:v>
      </x:c>
      <x:c r="N1658" s="28" t="n">
        <x:v>0.0390816</x:v>
      </x:c>
      <x:c r="O1658" s="34" t="n">
        <x:v>110</x:v>
      </x:c>
      <x:c r="P1658" s="34" t="n">
        <x:v>1</x:v>
      </x:c>
      <x:c r="Q1658" s="34" t="n">
        <x:v>110</x:v>
      </x:c>
      <x:c r="R1658" s="33" t="n">
        <x:v>42</x:v>
      </x:c>
      <x:c r="S1658" s="38" t="n">
        <x:v>4.62</x:v>
      </x:c>
      <x:c r="T1658" s="38" t="n">
        <x:v>0.231</x:v>
      </x:c>
      <x:c r="U1658" s="38" t="n">
        <x:v>0.21945000000000003</x:v>
      </x:c>
      <x:c r="V1658" s="38" t="n">
        <x:v>4.16955</x:v>
      </x:c>
      <x:c r="W1658" s="38" t="n">
        <x:v>1.6555</x:v>
      </x:c>
      <x:c r="X1658" s="38" t="n">
        <x:v>0</x:v>
      </x:c>
      <x:c r="Y1658" s="38" t="n">
        <x:v>0.6254325</x:v>
      </x:c>
      <x:c r="Z1658" s="38" t="n">
        <x:v>0.572</x:v>
      </x:c>
      <x:c r="AA1658" s="38" t="n">
        <x:v>0.2365</x:v>
      </x:c>
      <x:c r="AB1658" s="38" t="n">
        <x:v>0.0030800000000000003</x:v>
      </x:c>
      <x:c r="AC1658" s="38" t="n">
        <x:v>1.0770375</x:v>
      </x:c>
      <x:c r="AD1658" s="28" t="n">
        <x:v>0.25831024930747926</x:v>
      </x:c>
    </x:row>
    <x:row r="1659">
      <x:c r="A1659" s="32" t="n">
        <x:v>46237</x:v>
      </x:c>
      <x:c r="B1659" s="32" t="n">
        <x:v>46235</x:v>
      </x:c>
      <x:c r="C1659" t="str">
        <x:v>Aug 2026</x:v>
      </x:c>
      <x:c r="D1659" t="str">
        <x:v>Forecast</x:v>
      </x:c>
      <x:c r="E1659" t="str">
        <x:v>DB-104</x:v>
      </x:c>
      <x:c r="F1659" t="str">
        <x:v>SunNest Cooling Towel</x:v>
      </x:c>
      <x:c r="G1659" t="str">
        <x:v>Consumable repeat</x:v>
      </x:c>
      <x:c r="H1659" t="str">
        <x:v>Summer peak</x:v>
      </x:c>
      <x:c r="I1659" t="str">
        <x:v>Active</x:v>
      </x:c>
      <x:c r="J1659" t="str">
        <x:v>Wholesale</x:v>
      </x:c>
      <x:c r="K1659" t="str">
        <x:v>Retailer</x:v>
      </x:c>
      <x:c r="L1659" t="str">
        <x:v>All Geographies</x:v>
      </x:c>
      <x:c r="M1659" s="34" t="n">
        <x:v>1689</x:v>
      </x:c>
      <x:c r="N1659" s="28" t="n">
        <x:v>0.018216000000000003</x:v>
      </x:c>
      <x:c r="O1659" s="34" t="n">
        <x:v>31</x:v>
      </x:c>
      <x:c r="P1659" s="34" t="n">
        <x:v>1</x:v>
      </x:c>
      <x:c r="Q1659" s="34" t="n">
        <x:v>31</x:v>
      </x:c>
      <x:c r="R1659" s="33" t="n">
        <x:v>42</x:v>
      </x:c>
      <x:c r="S1659" s="38" t="n">
        <x:v>1.302</x:v>
      </x:c>
      <x:c r="T1659" s="38" t="n">
        <x:v>0.4557</x:v>
      </x:c>
      <x:c r="U1659" s="38" t="n">
        <x:v>0.042315000000000005</x:v>
      </x:c>
      <x:c r="V1659" s="38" t="n">
        <x:v>0.8039850000000001</x:v>
      </x:c>
      <x:c r="W1659" s="38" t="n">
        <x:v>0.46655</x:v>
      </x:c>
      <x:c r="X1659" s="38" t="n">
        <x:v>0</x:v>
      </x:c>
      <x:c r="Y1659" s="38" t="n">
        <x:v>0</x:v>
      </x:c>
      <x:c r="Z1659" s="38" t="n">
        <x:v>0.0713</x:v>
      </x:c>
      <x:c r="AA1659" s="38" t="n">
        <x:v>0.02635</x:v>
      </x:c>
      <x:c r="AB1659" s="38" t="n">
        <x:v>0.000868</x:v>
      </x:c>
      <x:c r="AC1659" s="38" t="n">
        <x:v>0.23891700000000002</x:v>
      </x:c>
      <x:c r="AD1659" s="28" t="n">
        <x:v>0.297165991902834</x:v>
      </x:c>
    </x:row>
    <x:row r="1660">
      <x:c r="A1660" s="32" t="n">
        <x:v>46237</x:v>
      </x:c>
      <x:c r="B1660" s="32" t="n">
        <x:v>46235</x:v>
      </x:c>
      <x:c r="C1660" t="str">
        <x:v>Aug 2026</x:v>
      </x:c>
      <x:c r="D1660" t="str">
        <x:v>Forecast</x:v>
      </x:c>
      <x:c r="E1660" t="str">
        <x:v>DB-104</x:v>
      </x:c>
      <x:c r="F1660" t="str">
        <x:v>SunNest Cooling Towel</x:v>
      </x:c>
      <x:c r="G1660" t="str">
        <x:v>Consumable repeat</x:v>
      </x:c>
      <x:c r="H1660" t="str">
        <x:v>Summer peak</x:v>
      </x:c>
      <x:c r="I1660" t="str">
        <x:v>Active</x:v>
      </x:c>
      <x:c r="J1660" t="str">
        <x:v>TikTok Shop</x:v>
      </x:c>
      <x:c r="K1660" t="str">
        <x:v>Social Commerce</x:v>
      </x:c>
      <x:c r="L1660" t="str">
        <x:v>All Geographies</x:v>
      </x:c>
      <x:c r="M1660" s="34" t="n">
        <x:v>1126</x:v>
      </x:c>
      <x:c r="N1660" s="28" t="n">
        <x:v>0.0417312</x:v>
      </x:c>
      <x:c r="O1660" s="34" t="n">
        <x:v>47</x:v>
      </x:c>
      <x:c r="P1660" s="34" t="n">
        <x:v>1</x:v>
      </x:c>
      <x:c r="Q1660" s="34" t="n">
        <x:v>47</x:v>
      </x:c>
      <x:c r="R1660" s="33" t="n">
        <x:v>42</x:v>
      </x:c>
      <x:c r="S1660" s="38" t="n">
        <x:v>1.974</x:v>
      </x:c>
      <x:c r="T1660" s="38" t="n">
        <x:v>0.23687999999999998</x:v>
      </x:c>
      <x:c r="U1660" s="38" t="n">
        <x:v>0.086856</x:v>
      </x:c>
      <x:c r="V1660" s="38" t="n">
        <x:v>1.650264</x:v>
      </x:c>
      <x:c r="W1660" s="38" t="n">
        <x:v>0.70735</x:v>
      </x:c>
      <x:c r="X1660" s="38" t="n">
        <x:v>0.047857656</x:v>
      </x:c>
      <x:c r="Y1660" s="38" t="n">
        <x:v>0.09901584</x:v>
      </x:c>
      <x:c r="Z1660" s="38" t="n">
        <x:v>0.2397</x:v>
      </x:c>
      <x:c r="AA1660" s="38" t="n">
        <x:v>0.08225</x:v>
      </x:c>
      <x:c r="AB1660" s="38" t="n">
        <x:v>0.0013160000000000001</x:v>
      </x:c>
      <x:c r="AC1660" s="38" t="n">
        <x:v>0.47277450399999993</x:v>
      </x:c>
      <x:c r="AD1660" s="28" t="n">
        <x:v>0.2864841649578491</x:v>
      </x:c>
    </x:row>
    <x:row r="1661">
      <x:c r="A1661" s="32" t="n">
        <x:v>46237</x:v>
      </x:c>
      <x:c r="B1661" s="32" t="n">
        <x:v>46235</x:v>
      </x:c>
      <x:c r="C1661" t="str">
        <x:v>Aug 2026</x:v>
      </x:c>
      <x:c r="D1661" t="str">
        <x:v>Forecast</x:v>
      </x:c>
      <x:c r="E1661" t="str">
        <x:v>DB-105</x:v>
      </x:c>
      <x:c r="F1661" t="str">
        <x:v>DreamFuel Refill Pack</x:v>
      </x:c>
      <x:c r="G1661" t="str">
        <x:v>Subscription</x:v>
      </x:c>
      <x:c r="H1661" t="str">
        <x:v>None</x:v>
      </x:c>
      <x:c r="I1661" t="str">
        <x:v>Active</x:v>
      </x:c>
      <x:c r="J1661" t="str">
        <x:v>Shopify DTC</x:v>
      </x:c>
      <x:c r="K1661" t="str">
        <x:v>Consumer</x:v>
      </x:c>
      <x:c r="L1661" t="str">
        <x:v>All Geographies</x:v>
      </x:c>
      <x:c r="M1661" s="34" t="n">
        <x:v>5051</x:v>
      </x:c>
      <x:c r="N1661" s="28" t="n">
        <x:v>0.03888</x:v>
      </x:c>
      <x:c r="O1661" s="34" t="n">
        <x:v>196</x:v>
      </x:c>
      <x:c r="P1661" s="34" t="n">
        <x:v>1</x:v>
      </x:c>
      <x:c r="Q1661" s="34" t="n">
        <x:v>196</x:v>
      </x:c>
      <x:c r="R1661" s="33" t="n">
        <x:v>56</x:v>
      </x:c>
      <x:c r="S1661" s="38" t="n">
        <x:v>10.976</x:v>
      </x:c>
      <x:c r="T1661" s="38" t="n">
        <x:v>0.8780800000000001</x:v>
      </x:c>
      <x:c r="U1661" s="38" t="n">
        <x:v>0.2019584</x:v>
      </x:c>
      <x:c r="V1661" s="38" t="n">
        <x:v>9.8959616</x:v>
      </x:c>
      <x:c r="W1661" s="38" t="n">
        <x:v>3.64952</x:v>
      </x:c>
      <x:c r="X1661" s="38" t="n">
        <x:v>0.2869828864</x:v>
      </x:c>
      <x:c r="Y1661" s="38" t="n">
        <x:v>0</x:v>
      </x:c>
      <x:c r="Z1661" s="38" t="n">
        <x:v>0.8134000000000001</x:v>
      </x:c>
      <x:c r="AA1661" s="38" t="n">
        <x:v>0.32339999999999997</x:v>
      </x:c>
      <x:c r="AB1661" s="38" t="n">
        <x:v>0.0007055999999999999</x:v>
      </x:c>
      <x:c r="AC1661" s="38" t="n">
        <x:v>4.8219531136</x:v>
      </x:c>
      <x:c r="AD1661" s="28" t="n">
        <x:v>0.4872647357079478</x:v>
      </x:c>
    </x:row>
    <x:row r="1662">
      <x:c r="A1662" s="32" t="n">
        <x:v>46237</x:v>
      </x:c>
      <x:c r="B1662" s="32" t="n">
        <x:v>46235</x:v>
      </x:c>
      <x:c r="C1662" t="str">
        <x:v>Aug 2026</x:v>
      </x:c>
      <x:c r="D1662" t="str">
        <x:v>Forecast</x:v>
      </x:c>
      <x:c r="E1662" t="str">
        <x:v>DB-105</x:v>
      </x:c>
      <x:c r="F1662" t="str">
        <x:v>DreamFuel Refill Pack</x:v>
      </x:c>
      <x:c r="G1662" t="str">
        <x:v>Subscription</x:v>
      </x:c>
      <x:c r="H1662" t="str">
        <x:v>None</x:v>
      </x:c>
      <x:c r="I1662" t="str">
        <x:v>Active</x:v>
      </x:c>
      <x:c r="J1662" t="str">
        <x:v>Amazon Marketplace</x:v>
      </x:c>
      <x:c r="K1662" t="str">
        <x:v>Marketplace Consumer</x:v>
      </x:c>
      <x:c r="L1662" t="str">
        <x:v>All Geographies</x:v>
      </x:c>
      <x:c r="M1662" s="34" t="n">
        <x:v>2525</x:v>
      </x:c>
      <x:c r="N1662" s="28" t="n">
        <x:v>0.0458784</x:v>
      </x:c>
      <x:c r="O1662" s="34" t="n">
        <x:v>116</x:v>
      </x:c>
      <x:c r="P1662" s="34" t="n">
        <x:v>1</x:v>
      </x:c>
      <x:c r="Q1662" s="34" t="n">
        <x:v>116</x:v>
      </x:c>
      <x:c r="R1662" s="33" t="n">
        <x:v>56</x:v>
      </x:c>
      <x:c r="S1662" s="38" t="n">
        <x:v>6.496</x:v>
      </x:c>
      <x:c r="T1662" s="38" t="n">
        <x:v>0.32480000000000003</x:v>
      </x:c>
      <x:c r="U1662" s="38" t="n">
        <x:v>0.12342400000000002</x:v>
      </x:c>
      <x:c r="V1662" s="38" t="n">
        <x:v>6.047776000000001</x:v>
      </x:c>
      <x:c r="W1662" s="38" t="n">
        <x:v>2.15992</x:v>
      </x:c>
      <x:c r="X1662" s="38" t="n">
        <x:v>0</x:v>
      </x:c>
      <x:c r="Y1662" s="38" t="n">
        <x:v>0.9071664</x:v>
      </x:c>
      <x:c r="Z1662" s="38" t="n">
        <x:v>0.6032000000000001</x:v>
      </x:c>
      <x:c r="AA1662" s="38" t="n">
        <x:v>0.24939999999999998</x:v>
      </x:c>
      <x:c r="AB1662" s="38" t="n">
        <x:v>0.0004176</x:v>
      </x:c>
      <x:c r="AC1662" s="38" t="n">
        <x:v>2.1276720000000005</x:v>
      </x:c>
      <x:c r="AD1662" s="28" t="n">
        <x:v>0.35181064907165877</x:v>
      </x:c>
    </x:row>
    <x:row r="1663">
      <x:c r="A1663" s="32" t="n">
        <x:v>46237</x:v>
      </x:c>
      <x:c r="B1663" s="32" t="n">
        <x:v>46235</x:v>
      </x:c>
      <x:c r="C1663" t="str">
        <x:v>Aug 2026</x:v>
      </x:c>
      <x:c r="D1663" t="str">
        <x:v>Forecast</x:v>
      </x:c>
      <x:c r="E1663" t="str">
        <x:v>DB-105</x:v>
      </x:c>
      <x:c r="F1663" t="str">
        <x:v>DreamFuel Refill Pack</x:v>
      </x:c>
      <x:c r="G1663" t="str">
        <x:v>Subscription</x:v>
      </x:c>
      <x:c r="H1663" t="str">
        <x:v>None</x:v>
      </x:c>
      <x:c r="I1663" t="str">
        <x:v>Active</x:v>
      </x:c>
      <x:c r="J1663" t="str">
        <x:v>Wholesale</x:v>
      </x:c>
      <x:c r="K1663" t="str">
        <x:v>Retailer</x:v>
      </x:c>
      <x:c r="L1663" t="str">
        <x:v>All Geographies</x:v>
      </x:c>
      <x:c r="M1663" s="34" t="n">
        <x:v>1515</x:v>
      </x:c>
      <x:c r="N1663" s="28" t="n">
        <x:v>0.021384000000000004</x:v>
      </x:c>
      <x:c r="O1663" s="34" t="n">
        <x:v>32</x:v>
      </x:c>
      <x:c r="P1663" s="34" t="n">
        <x:v>1</x:v>
      </x:c>
      <x:c r="Q1663" s="34" t="n">
        <x:v>32</x:v>
      </x:c>
      <x:c r="R1663" s="33" t="n">
        <x:v>56</x:v>
      </x:c>
      <x:c r="S1663" s="38" t="n">
        <x:v>1.792</x:v>
      </x:c>
      <x:c r="T1663" s="38" t="n">
        <x:v>0.6272</x:v>
      </x:c>
      <x:c r="U1663" s="38" t="n">
        <x:v>0.023296</x:v>
      </x:c>
      <x:c r="V1663" s="38" t="n">
        <x:v>1.141504</x:v>
      </x:c>
      <x:c r="W1663" s="38" t="n">
        <x:v>0.59584</x:v>
      </x:c>
      <x:c r="X1663" s="38" t="n">
        <x:v>0</x:v>
      </x:c>
      <x:c r="Y1663" s="38" t="n">
        <x:v>0</x:v>
      </x:c>
      <x:c r="Z1663" s="38" t="n">
        <x:v>0.0736</x:v>
      </x:c>
      <x:c r="AA1663" s="38" t="n">
        <x:v>0.0272</x:v>
      </x:c>
      <x:c r="AB1663" s="38" t="n">
        <x:v>0.0001152</x:v>
      </x:c>
      <x:c r="AC1663" s="38" t="n">
        <x:v>0.44474880000000006</x:v>
      </x:c>
      <x:c r="AD1663" s="28" t="n">
        <x:v>0.3896165059430366</x:v>
      </x:c>
    </x:row>
    <x:row r="1664">
      <x:c r="A1664" s="32" t="n">
        <x:v>46237</x:v>
      </x:c>
      <x:c r="B1664" s="32" t="n">
        <x:v>46235</x:v>
      </x:c>
      <x:c r="C1664" t="str">
        <x:v>Aug 2026</x:v>
      </x:c>
      <x:c r="D1664" t="str">
        <x:v>Forecast</x:v>
      </x:c>
      <x:c r="E1664" t="str">
        <x:v>DB-105</x:v>
      </x:c>
      <x:c r="F1664" t="str">
        <x:v>DreamFuel Refill Pack</x:v>
      </x:c>
      <x:c r="G1664" t="str">
        <x:v>Subscription</x:v>
      </x:c>
      <x:c r="H1664" t="str">
        <x:v>None</x:v>
      </x:c>
      <x:c r="I1664" t="str">
        <x:v>Active</x:v>
      </x:c>
      <x:c r="J1664" t="str">
        <x:v>TikTok Shop</x:v>
      </x:c>
      <x:c r="K1664" t="str">
        <x:v>Social Commerce</x:v>
      </x:c>
      <x:c r="L1664" t="str">
        <x:v>All Geographies</x:v>
      </x:c>
      <x:c r="M1664" s="34" t="n">
        <x:v>1010</x:v>
      </x:c>
      <x:c r="N1664" s="28" t="n">
        <x:v>0.0489888</x:v>
      </x:c>
      <x:c r="O1664" s="34" t="n">
        <x:v>49</x:v>
      </x:c>
      <x:c r="P1664" s="34" t="n">
        <x:v>1</x:v>
      </x:c>
      <x:c r="Q1664" s="34" t="n">
        <x:v>49</x:v>
      </x:c>
      <x:c r="R1664" s="33" t="n">
        <x:v>56</x:v>
      </x:c>
      <x:c r="S1664" s="38" t="n">
        <x:v>2.744</x:v>
      </x:c>
      <x:c r="T1664" s="38" t="n">
        <x:v>0.32928</x:v>
      </x:c>
      <x:c r="U1664" s="38" t="n">
        <x:v>0.0482944</x:v>
      </x:c>
      <x:c r="V1664" s="38" t="n">
        <x:v>2.3664256</x:v>
      </x:c>
      <x:c r="W1664" s="38" t="n">
        <x:v>0.91238</x:v>
      </x:c>
      <x:c r="X1664" s="38" t="n">
        <x:v>0.0686263424</x:v>
      </x:c>
      <x:c r="Y1664" s="38" t="n">
        <x:v>0.141985536</x:v>
      </x:c>
      <x:c r="Z1664" s="38" t="n">
        <x:v>0.24989999999999998</x:v>
      </x:c>
      <x:c r="AA1664" s="38" t="n">
        <x:v>0.08575</x:v>
      </x:c>
      <x:c r="AB1664" s="38" t="n">
        <x:v>0.00017639999999999998</x:v>
      </x:c>
      <x:c r="AC1664" s="38" t="n">
        <x:v>0.9076073216</x:v>
      </x:c>
      <x:c r="AD1664" s="28" t="n">
        <x:v>0.3835351179432812</x:v>
      </x:c>
    </x:row>
    <x:row r="1665">
      <x:c r="A1665" s="32" t="n">
        <x:v>46244</x:v>
      </x:c>
      <x:c r="B1665" s="32" t="n">
        <x:v>46235</x:v>
      </x:c>
      <x:c r="C1665" t="str">
        <x:v>Aug 2026</x:v>
      </x:c>
      <x:c r="D1665" t="str">
        <x:v>Forecast</x:v>
      </x:c>
      <x:c r="E1665" t="str">
        <x:v>DB-101</x:v>
      </x:c>
      <x:c r="F1665" t="str">
        <x:v>AeroSip Bottle</x:v>
      </x:c>
      <x:c r="G1665" t="str">
        <x:v>One-time purchase</x:v>
      </x:c>
      <x:c r="H1665" t="str">
        <x:v>None</x:v>
      </x:c>
      <x:c r="I1665" t="str">
        <x:v>Active</x:v>
      </x:c>
      <x:c r="J1665" t="str">
        <x:v>Shopify DTC</x:v>
      </x:c>
      <x:c r="K1665" t="str">
        <x:v>Consumer</x:v>
      </x:c>
      <x:c r="L1665" t="str">
        <x:v>All Geographies</x:v>
      </x:c>
      <x:c r="M1665" s="34" t="n">
        <x:v>7296</x:v>
      </x:c>
      <x:c r="N1665" s="28" t="n">
        <x:v>0.034199999999999994</x:v>
      </x:c>
      <x:c r="O1665" s="34" t="n">
        <x:v>250</x:v>
      </x:c>
      <x:c r="P1665" s="34" t="n">
        <x:v>1</x:v>
      </x:c>
      <x:c r="Q1665" s="34" t="n">
        <x:v>250</x:v>
      </x:c>
      <x:c r="R1665" s="33" t="n">
        <x:v>29</x:v>
      </x:c>
      <x:c r="S1665" s="38" t="n">
        <x:v>7.25</x:v>
      </x:c>
      <x:c r="T1665" s="38" t="n">
        <x:v>0.58</x:v>
      </x:c>
      <x:c r="U1665" s="38" t="n">
        <x:v>0.30015</x:v>
      </x:c>
      <x:c r="V1665" s="38" t="n">
        <x:v>6.36985</x:v>
      </x:c>
      <x:c r="W1665" s="38" t="n">
        <x:v>2.7</x:v>
      </x:c>
      <x:c r="X1665" s="38" t="n">
        <x:v>0.18472565</x:v>
      </x:c>
      <x:c r="Y1665" s="38" t="n">
        <x:v>0</x:v>
      </x:c>
      <x:c r="Z1665" s="38" t="n">
        <x:v>1.0375</x:v>
      </x:c>
      <x:c r="AA1665" s="38" t="n">
        <x:v>0.4125</x:v>
      </x:c>
      <x:c r="AB1665" s="38" t="n">
        <x:v>0.009</x:v>
      </x:c>
      <x:c r="AC1665" s="38" t="n">
        <x:v>2.0261243499999995</x:v>
      </x:c>
      <x:c r="AD1665" s="28" t="n">
        <x:v>0.31808038650831644</x:v>
      </x:c>
    </x:row>
    <x:row r="1666">
      <x:c r="A1666" s="32" t="n">
        <x:v>46244</x:v>
      </x:c>
      <x:c r="B1666" s="32" t="n">
        <x:v>46235</x:v>
      </x:c>
      <x:c r="C1666" t="str">
        <x:v>Aug 2026</x:v>
      </x:c>
      <x:c r="D1666" t="str">
        <x:v>Forecast</x:v>
      </x:c>
      <x:c r="E1666" t="str">
        <x:v>DB-101</x:v>
      </x:c>
      <x:c r="F1666" t="str">
        <x:v>AeroSip Bottle</x:v>
      </x:c>
      <x:c r="G1666" t="str">
        <x:v>One-time purchase</x:v>
      </x:c>
      <x:c r="H1666" t="str">
        <x:v>None</x:v>
      </x:c>
      <x:c r="I1666" t="str">
        <x:v>Active</x:v>
      </x:c>
      <x:c r="J1666" t="str">
        <x:v>Amazon Marketplace</x:v>
      </x:c>
      <x:c r="K1666" t="str">
        <x:v>Marketplace Consumer</x:v>
      </x:c>
      <x:c r="L1666" t="str">
        <x:v>All Geographies</x:v>
      </x:c>
      <x:c r="M1666" s="34" t="n">
        <x:v>3648</x:v>
      </x:c>
      <x:c r="N1666" s="28" t="n">
        <x:v>0.040355999999999996</x:v>
      </x:c>
      <x:c r="O1666" s="34" t="n">
        <x:v>147</x:v>
      </x:c>
      <x:c r="P1666" s="34" t="n">
        <x:v>1</x:v>
      </x:c>
      <x:c r="Q1666" s="34" t="n">
        <x:v>147</x:v>
      </x:c>
      <x:c r="R1666" s="33" t="n">
        <x:v>29</x:v>
      </x:c>
      <x:c r="S1666" s="38" t="n">
        <x:v>4.263</x:v>
      </x:c>
      <x:c r="T1666" s="38" t="n">
        <x:v>0.21315</x:v>
      </x:c>
      <x:c r="U1666" s="38" t="n">
        <x:v>0.18224325</x:v>
      </x:c>
      <x:c r="V1666" s="38" t="n">
        <x:v>3.86760675</x:v>
      </x:c>
      <x:c r="W1666" s="38" t="n">
        <x:v>1.5876000000000001</x:v>
      </x:c>
      <x:c r="X1666" s="38" t="n">
        <x:v>0</x:v>
      </x:c>
      <x:c r="Y1666" s="38" t="n">
        <x:v>0.5801410125</x:v>
      </x:c>
      <x:c r="Z1666" s="38" t="n">
        <x:v>0.7644</x:v>
      </x:c>
      <x:c r="AA1666" s="38" t="n">
        <x:v>0.31605</x:v>
      </x:c>
      <x:c r="AB1666" s="38" t="n">
        <x:v>0.005292</x:v>
      </x:c>
      <x:c r="AC1666" s="38" t="n">
        <x:v>0.6141237375000003</x:v>
      </x:c>
      <x:c r="AD1666" s="28" t="n">
        <x:v>0.15878649955815705</x:v>
      </x:c>
    </x:row>
    <x:row r="1667">
      <x:c r="A1667" s="32" t="n">
        <x:v>46244</x:v>
      </x:c>
      <x:c r="B1667" s="32" t="n">
        <x:v>46235</x:v>
      </x:c>
      <x:c r="C1667" t="str">
        <x:v>Aug 2026</x:v>
      </x:c>
      <x:c r="D1667" t="str">
        <x:v>Forecast</x:v>
      </x:c>
      <x:c r="E1667" t="str">
        <x:v>DB-101</x:v>
      </x:c>
      <x:c r="F1667" t="str">
        <x:v>AeroSip Bottle</x:v>
      </x:c>
      <x:c r="G1667" t="str">
        <x:v>One-time purchase</x:v>
      </x:c>
      <x:c r="H1667" t="str">
        <x:v>None</x:v>
      </x:c>
      <x:c r="I1667" t="str">
        <x:v>Active</x:v>
      </x:c>
      <x:c r="J1667" t="str">
        <x:v>Wholesale</x:v>
      </x:c>
      <x:c r="K1667" t="str">
        <x:v>Retailer</x:v>
      </x:c>
      <x:c r="L1667" t="str">
        <x:v>All Geographies</x:v>
      </x:c>
      <x:c r="M1667" s="34" t="n">
        <x:v>2189</x:v>
      </x:c>
      <x:c r="N1667" s="28" t="n">
        <x:v>0.01881</x:v>
      </x:c>
      <x:c r="O1667" s="34" t="n">
        <x:v>41</x:v>
      </x:c>
      <x:c r="P1667" s="34" t="n">
        <x:v>1</x:v>
      </x:c>
      <x:c r="Q1667" s="34" t="n">
        <x:v>41</x:v>
      </x:c>
      <x:c r="R1667" s="33" t="n">
        <x:v>29</x:v>
      </x:c>
      <x:c r="S1667" s="38" t="n">
        <x:v>1.189</x:v>
      </x:c>
      <x:c r="T1667" s="38" t="n">
        <x:v>0.41615</x:v>
      </x:c>
      <x:c r="U1667" s="38" t="n">
        <x:v>0.034778250000000004</x:v>
      </x:c>
      <x:c r="V1667" s="38" t="n">
        <x:v>0.73807175</x:v>
      </x:c>
      <x:c r="W1667" s="38" t="n">
        <x:v>0.4428</x:v>
      </x:c>
      <x:c r="X1667" s="38" t="n">
        <x:v>0</x:v>
      </x:c>
      <x:c r="Y1667" s="38" t="n">
        <x:v>0</x:v>
      </x:c>
      <x:c r="Z1667" s="38" t="n">
        <x:v>0.0943</x:v>
      </x:c>
      <x:c r="AA1667" s="38" t="n">
        <x:v>0.03485</x:v>
      </x:c>
      <x:c r="AB1667" s="38" t="n">
        <x:v>0.0014759999999999999</x:v>
      </x:c>
      <x:c r="AC1667" s="38" t="n">
        <x:v>0.16464575</x:v>
      </x:c>
      <x:c r="AD1667" s="28" t="n">
        <x:v>0.22307553432305194</x:v>
      </x:c>
    </x:row>
    <x:row r="1668">
      <x:c r="A1668" s="32" t="n">
        <x:v>46244</x:v>
      </x:c>
      <x:c r="B1668" s="32" t="n">
        <x:v>46235</x:v>
      </x:c>
      <x:c r="C1668" t="str">
        <x:v>Aug 2026</x:v>
      </x:c>
      <x:c r="D1668" t="str">
        <x:v>Forecast</x:v>
      </x:c>
      <x:c r="E1668" t="str">
        <x:v>DB-101</x:v>
      </x:c>
      <x:c r="F1668" t="str">
        <x:v>AeroSip Bottle</x:v>
      </x:c>
      <x:c r="G1668" t="str">
        <x:v>One-time purchase</x:v>
      </x:c>
      <x:c r="H1668" t="str">
        <x:v>None</x:v>
      </x:c>
      <x:c r="I1668" t="str">
        <x:v>Active</x:v>
      </x:c>
      <x:c r="J1668" t="str">
        <x:v>TikTok Shop</x:v>
      </x:c>
      <x:c r="K1668" t="str">
        <x:v>Social Commerce</x:v>
      </x:c>
      <x:c r="L1668" t="str">
        <x:v>All Geographies</x:v>
      </x:c>
      <x:c r="M1668" s="34" t="n">
        <x:v>1459</x:v>
      </x:c>
      <x:c r="N1668" s="28" t="n">
        <x:v>0.043092</x:v>
      </x:c>
      <x:c r="O1668" s="34" t="n">
        <x:v>63</x:v>
      </x:c>
      <x:c r="P1668" s="34" t="n">
        <x:v>1</x:v>
      </x:c>
      <x:c r="Q1668" s="34" t="n">
        <x:v>63</x:v>
      </x:c>
      <x:c r="R1668" s="33" t="n">
        <x:v>29</x:v>
      </x:c>
      <x:c r="S1668" s="38" t="n">
        <x:v>1.827</x:v>
      </x:c>
      <x:c r="T1668" s="38" t="n">
        <x:v>0.21924</x:v>
      </x:c>
      <x:c r="U1668" s="38" t="n">
        <x:v>0.07234919999999999</x:v>
      </x:c>
      <x:c r="V1668" s="38" t="n">
        <x:v>1.5354108</x:v>
      </x:c>
      <x:c r="W1668" s="38" t="n">
        <x:v>0.6804000000000001</x:v>
      </x:c>
      <x:c r="X1668" s="38" t="n">
        <x:v>0.044526913200000004</x:v>
      </x:c>
      <x:c r="Y1668" s="38" t="n">
        <x:v>0.09212464799999999</x:v>
      </x:c>
      <x:c r="Z1668" s="38" t="n">
        <x:v>0.3213</x:v>
      </x:c>
      <x:c r="AA1668" s="38" t="n">
        <x:v>0.11025</x:v>
      </x:c>
      <x:c r="AB1668" s="38" t="n">
        <x:v>0.0022679999999999996</x:v>
      </x:c>
      <x:c r="AC1668" s="38" t="n">
        <x:v>0.2845412387999999</x:v>
      </x:c>
      <x:c r="AD1668" s="28" t="n">
        <x:v>0.18531928966501987</x:v>
      </x:c>
    </x:row>
    <x:row r="1669">
      <x:c r="A1669" s="32" t="n">
        <x:v>46244</x:v>
      </x:c>
      <x:c r="B1669" s="32" t="n">
        <x:v>46235</x:v>
      </x:c>
      <x:c r="C1669" t="str">
        <x:v>Aug 2026</x:v>
      </x:c>
      <x:c r="D1669" t="str">
        <x:v>Forecast</x:v>
      </x:c>
      <x:c r="E1669" t="str">
        <x:v>DB-102</x:v>
      </x:c>
      <x:c r="F1669" t="str">
        <x:v>GlowPatch Balm</x:v>
      </x:c>
      <x:c r="G1669" t="str">
        <x:v>Consumable repeat</x:v>
      </x:c>
      <x:c r="H1669" t="str">
        <x:v>None</x:v>
      </x:c>
      <x:c r="I1669" t="str">
        <x:v>Active</x:v>
      </x:c>
      <x:c r="J1669" t="str">
        <x:v>Shopify DTC</x:v>
      </x:c>
      <x:c r="K1669" t="str">
        <x:v>Consumer</x:v>
      </x:c>
      <x:c r="L1669" t="str">
        <x:v>All Geographies</x:v>
      </x:c>
      <x:c r="M1669" s="34" t="n">
        <x:v>5893</x:v>
      </x:c>
      <x:c r="N1669" s="28" t="n">
        <x:v>0.04248</x:v>
      </x:c>
      <x:c r="O1669" s="34" t="n">
        <x:v>250</x:v>
      </x:c>
      <x:c r="P1669" s="34" t="n">
        <x:v>1</x:v>
      </x:c>
      <x:c r="Q1669" s="34" t="n">
        <x:v>250</x:v>
      </x:c>
      <x:c r="R1669" s="33" t="n">
        <x:v>18</x:v>
      </x:c>
      <x:c r="S1669" s="38" t="n">
        <x:v>4.5</x:v>
      </x:c>
      <x:c r="T1669" s="38" t="n">
        <x:v>0.36</x:v>
      </x:c>
      <x:c r="U1669" s="38" t="n">
        <x:v>0.1035</x:v>
      </x:c>
      <x:c r="V1669" s="38" t="n">
        <x:v>4.036499999999999</x:v>
      </x:c>
      <x:c r="W1669" s="38" t="n">
        <x:v>1.3525</x:v>
      </x:c>
      <x:c r="X1669" s="38" t="n">
        <x:v>0.11705849999999998</x:v>
      </x:c>
      <x:c r="Y1669" s="38" t="n">
        <x:v>0</x:v>
      </x:c>
      <x:c r="Z1669" s="38" t="n">
        <x:v>1.0375</x:v>
      </x:c>
      <x:c r="AA1669" s="38" t="n">
        <x:v>0.4125</x:v>
      </x:c>
      <x:c r="AB1669" s="38" t="n">
        <x:v>0.0015</x:v>
      </x:c>
      <x:c r="AC1669" s="38" t="n">
        <x:v>1.1154414999999989</x:v>
      </x:c>
      <x:c r="AD1669" s="28" t="n">
        <x:v>0.2763387835996529</x:v>
      </x:c>
    </x:row>
    <x:row r="1670">
      <x:c r="A1670" s="32" t="n">
        <x:v>46244</x:v>
      </x:c>
      <x:c r="B1670" s="32" t="n">
        <x:v>46235</x:v>
      </x:c>
      <x:c r="C1670" t="str">
        <x:v>Aug 2026</x:v>
      </x:c>
      <x:c r="D1670" t="str">
        <x:v>Forecast</x:v>
      </x:c>
      <x:c r="E1670" t="str">
        <x:v>DB-102</x:v>
      </x:c>
      <x:c r="F1670" t="str">
        <x:v>GlowPatch Balm</x:v>
      </x:c>
      <x:c r="G1670" t="str">
        <x:v>Consumable repeat</x:v>
      </x:c>
      <x:c r="H1670" t="str">
        <x:v>None</x:v>
      </x:c>
      <x:c r="I1670" t="str">
        <x:v>Active</x:v>
      </x:c>
      <x:c r="J1670" t="str">
        <x:v>Amazon Marketplace</x:v>
      </x:c>
      <x:c r="K1670" t="str">
        <x:v>Marketplace Consumer</x:v>
      </x:c>
      <x:c r="L1670" t="str">
        <x:v>All Geographies</x:v>
      </x:c>
      <x:c r="M1670" s="34" t="n">
        <x:v>2946</x:v>
      </x:c>
      <x:c r="N1670" s="28" t="n">
        <x:v>0.050126399999999995</x:v>
      </x:c>
      <x:c r="O1670" s="34" t="n">
        <x:v>148</x:v>
      </x:c>
      <x:c r="P1670" s="34" t="n">
        <x:v>1</x:v>
      </x:c>
      <x:c r="Q1670" s="34" t="n">
        <x:v>148</x:v>
      </x:c>
      <x:c r="R1670" s="33" t="n">
        <x:v>18</x:v>
      </x:c>
      <x:c r="S1670" s="38" t="n">
        <x:v>2.664</x:v>
      </x:c>
      <x:c r="T1670" s="38" t="n">
        <x:v>0.1332</x:v>
      </x:c>
      <x:c r="U1670" s="38" t="n">
        <x:v>0.06327</x:v>
      </x:c>
      <x:c r="V1670" s="38" t="n">
        <x:v>2.46753</x:v>
      </x:c>
      <x:c r="W1670" s="38" t="n">
        <x:v>0.8006800000000001</x:v>
      </x:c>
      <x:c r="X1670" s="38" t="n">
        <x:v>0</x:v>
      </x:c>
      <x:c r="Y1670" s="38" t="n">
        <x:v>0.3701295</x:v>
      </x:c>
      <x:c r="Z1670" s="38" t="n">
        <x:v>0.7696000000000001</x:v>
      </x:c>
      <x:c r="AA1670" s="38" t="n">
        <x:v>0.3182</x:v>
      </x:c>
      <x:c r="AB1670" s="38" t="n">
        <x:v>0.0008879999999999999</x:v>
      </x:c>
      <x:c r="AC1670" s="38" t="n">
        <x:v>0.2080324999999999</x:v>
      </x:c>
      <x:c r="AD1670" s="28" t="n">
        <x:v>0.084307992202729</x:v>
      </x:c>
    </x:row>
    <x:row r="1671">
      <x:c r="A1671" s="32" t="n">
        <x:v>46244</x:v>
      </x:c>
      <x:c r="B1671" s="32" t="n">
        <x:v>46235</x:v>
      </x:c>
      <x:c r="C1671" t="str">
        <x:v>Aug 2026</x:v>
      </x:c>
      <x:c r="D1671" t="str">
        <x:v>Forecast</x:v>
      </x:c>
      <x:c r="E1671" t="str">
        <x:v>DB-102</x:v>
      </x:c>
      <x:c r="F1671" t="str">
        <x:v>GlowPatch Balm</x:v>
      </x:c>
      <x:c r="G1671" t="str">
        <x:v>Consumable repeat</x:v>
      </x:c>
      <x:c r="H1671" t="str">
        <x:v>None</x:v>
      </x:c>
      <x:c r="I1671" t="str">
        <x:v>Active</x:v>
      </x:c>
      <x:c r="J1671" t="str">
        <x:v>Wholesale</x:v>
      </x:c>
      <x:c r="K1671" t="str">
        <x:v>Retailer</x:v>
      </x:c>
      <x:c r="L1671" t="str">
        <x:v>All Geographies</x:v>
      </x:c>
      <x:c r="M1671" s="34" t="n">
        <x:v>1768</x:v>
      </x:c>
      <x:c r="N1671" s="28" t="n">
        <x:v>0.023364</x:v>
      </x:c>
      <x:c r="O1671" s="34" t="n">
        <x:v>41</x:v>
      </x:c>
      <x:c r="P1671" s="34" t="n">
        <x:v>1</x:v>
      </x:c>
      <x:c r="Q1671" s="34" t="n">
        <x:v>41</x:v>
      </x:c>
      <x:c r="R1671" s="33" t="n">
        <x:v>18</x:v>
      </x:c>
      <x:c r="S1671" s="38" t="n">
        <x:v>0.738</x:v>
      </x:c>
      <x:c r="T1671" s="38" t="n">
        <x:v>0.2583</x:v>
      </x:c>
      <x:c r="U1671" s="38" t="n">
        <x:v>0.011992500000000001</x:v>
      </x:c>
      <x:c r="V1671" s="38" t="n">
        <x:v>0.4677075</x:v>
      </x:c>
      <x:c r="W1671" s="38" t="n">
        <x:v>0.22181</x:v>
      </x:c>
      <x:c r="X1671" s="38" t="n">
        <x:v>0</x:v>
      </x:c>
      <x:c r="Y1671" s="38" t="n">
        <x:v>0</x:v>
      </x:c>
      <x:c r="Z1671" s="38" t="n">
        <x:v>0.0943</x:v>
      </x:c>
      <x:c r="AA1671" s="38" t="n">
        <x:v>0.03485</x:v>
      </x:c>
      <x:c r="AB1671" s="38" t="n">
        <x:v>0.000246</x:v>
      </x:c>
      <x:c r="AC1671" s="38" t="n">
        <x:v>0.11650150000000001</x:v>
      </x:c>
      <x:c r="AD1671" s="28" t="n">
        <x:v>0.2490905106289722</x:v>
      </x:c>
    </x:row>
    <x:row r="1672">
      <x:c r="A1672" s="32" t="n">
        <x:v>46244</x:v>
      </x:c>
      <x:c r="B1672" s="32" t="n">
        <x:v>46235</x:v>
      </x:c>
      <x:c r="C1672" t="str">
        <x:v>Aug 2026</x:v>
      </x:c>
      <x:c r="D1672" t="str">
        <x:v>Forecast</x:v>
      </x:c>
      <x:c r="E1672" t="str">
        <x:v>DB-102</x:v>
      </x:c>
      <x:c r="F1672" t="str">
        <x:v>GlowPatch Balm</x:v>
      </x:c>
      <x:c r="G1672" t="str">
        <x:v>Consumable repeat</x:v>
      </x:c>
      <x:c r="H1672" t="str">
        <x:v>None</x:v>
      </x:c>
      <x:c r="I1672" t="str">
        <x:v>Active</x:v>
      </x:c>
      <x:c r="J1672" t="str">
        <x:v>TikTok Shop</x:v>
      </x:c>
      <x:c r="K1672" t="str">
        <x:v>Social Commerce</x:v>
      </x:c>
      <x:c r="L1672" t="str">
        <x:v>All Geographies</x:v>
      </x:c>
      <x:c r="M1672" s="34" t="n">
        <x:v>1179</x:v>
      </x:c>
      <x:c r="N1672" s="28" t="n">
        <x:v>0.0535248</x:v>
      </x:c>
      <x:c r="O1672" s="34" t="n">
        <x:v>63</x:v>
      </x:c>
      <x:c r="P1672" s="34" t="n">
        <x:v>1</x:v>
      </x:c>
      <x:c r="Q1672" s="34" t="n">
        <x:v>63</x:v>
      </x:c>
      <x:c r="R1672" s="33" t="n">
        <x:v>18</x:v>
      </x:c>
      <x:c r="S1672" s="38" t="n">
        <x:v>1.134</x:v>
      </x:c>
      <x:c r="T1672" s="38" t="n">
        <x:v>0.13607999999999998</x:v>
      </x:c>
      <x:c r="U1672" s="38" t="n">
        <x:v>0.024947999999999998</x:v>
      </x:c>
      <x:c r="V1672" s="38" t="n">
        <x:v>0.972972</x:v>
      </x:c>
      <x:c r="W1672" s="38" t="n">
        <x:v>0.34082999999999997</x:v>
      </x:c>
      <x:c r="X1672" s="38" t="n">
        <x:v>0.028216188</x:v>
      </x:c>
      <x:c r="Y1672" s="38" t="n">
        <x:v>0.05837832</x:v>
      </x:c>
      <x:c r="Z1672" s="38" t="n">
        <x:v>0.3213</x:v>
      </x:c>
      <x:c r="AA1672" s="38" t="n">
        <x:v>0.11025</x:v>
      </x:c>
      <x:c r="AB1672" s="38" t="n">
        <x:v>0.000378</x:v>
      </x:c>
      <x:c r="AC1672" s="38" t="n">
        <x:v>0.11361949199999999</x:v>
      </x:c>
      <x:c r="AD1672" s="28" t="n">
        <x:v>0.11677570577570577</x:v>
      </x:c>
    </x:row>
    <x:row r="1673">
      <x:c r="A1673" s="32" t="n">
        <x:v>46244</x:v>
      </x:c>
      <x:c r="B1673" s="32" t="n">
        <x:v>46235</x:v>
      </x:c>
      <x:c r="C1673" t="str">
        <x:v>Aug 2026</x:v>
      </x:c>
      <x:c r="D1673" t="str">
        <x:v>Forecast</x:v>
      </x:c>
      <x:c r="E1673" t="str">
        <x:v>DB-103</x:v>
      </x:c>
      <x:c r="F1673" t="str">
        <x:v>EmberTrail Camp Mug</x:v>
      </x:c>
      <x:c r="G1673" t="str">
        <x:v>One-time purchase</x:v>
      </x:c>
      <x:c r="H1673" t="str">
        <x:v>Winter peak</x:v>
      </x:c>
      <x:c r="I1673" t="str">
        <x:v>Active</x:v>
      </x:c>
      <x:c r="J1673" t="str">
        <x:v>Shopify DTC</x:v>
      </x:c>
      <x:c r="K1673" t="str">
        <x:v>Consumer</x:v>
      </x:c>
      <x:c r="L1673" t="str">
        <x:v>All Geographies</x:v>
      </x:c>
      <x:c r="M1673" s="34" t="n">
        <x:v>4344</x:v>
      </x:c>
      <x:c r="N1673" s="28" t="n">
        <x:v>0.0324</x:v>
      </x:c>
      <x:c r="O1673" s="34" t="n">
        <x:v>141</x:v>
      </x:c>
      <x:c r="P1673" s="34" t="n">
        <x:v>1</x:v>
      </x:c>
      <x:c r="Q1673" s="34" t="n">
        <x:v>141</x:v>
      </x:c>
      <x:c r="R1673" s="33" t="n">
        <x:v>34</x:v>
      </x:c>
      <x:c r="S1673" s="38" t="n">
        <x:v>4.794</x:v>
      </x:c>
      <x:c r="T1673" s="38" t="n">
        <x:v>0.38351999999999997</x:v>
      </x:c>
      <x:c r="U1673" s="38" t="n">
        <x:v>0.2425764</x:v>
      </x:c>
      <x:c r="V1673" s="38" t="n">
        <x:v>4.1679036</x:v>
      </x:c>
      <x:c r="W1673" s="38" t="n">
        <x:v>1.92747</x:v>
      </x:c>
      <x:c r="X1673" s="38" t="n">
        <x:v>0.1208692044</x:v>
      </x:c>
      <x:c r="Y1673" s="38" t="n">
        <x:v>0</x:v>
      </x:c>
      <x:c r="Z1673" s="38" t="n">
        <x:v>0.5851500000000001</x:v>
      </x:c>
      <x:c r="AA1673" s="38" t="n">
        <x:v>0.23264999999999997</x:v>
      </x:c>
      <x:c r="AB1673" s="38" t="n">
        <x:v>0.007896</x:v>
      </x:c>
      <x:c r="AC1673" s="38" t="n">
        <x:v>1.2938683955999999</x:v>
      </x:c>
      <x:c r="AD1673" s="28" t="n">
        <x:v>0.31043625759482535</x:v>
      </x:c>
    </x:row>
    <x:row r="1674">
      <x:c r="A1674" s="32" t="n">
        <x:v>46244</x:v>
      </x:c>
      <x:c r="B1674" s="32" t="n">
        <x:v>46235</x:v>
      </x:c>
      <x:c r="C1674" t="str">
        <x:v>Aug 2026</x:v>
      </x:c>
      <x:c r="D1674" t="str">
        <x:v>Forecast</x:v>
      </x:c>
      <x:c r="E1674" t="str">
        <x:v>DB-103</x:v>
      </x:c>
      <x:c r="F1674" t="str">
        <x:v>EmberTrail Camp Mug</x:v>
      </x:c>
      <x:c r="G1674" t="str">
        <x:v>One-time purchase</x:v>
      </x:c>
      <x:c r="H1674" t="str">
        <x:v>Winter peak</x:v>
      </x:c>
      <x:c r="I1674" t="str">
        <x:v>Active</x:v>
      </x:c>
      <x:c r="J1674" t="str">
        <x:v>Amazon Marketplace</x:v>
      </x:c>
      <x:c r="K1674" t="str">
        <x:v>Marketplace Consumer</x:v>
      </x:c>
      <x:c r="L1674" t="str">
        <x:v>All Geographies</x:v>
      </x:c>
      <x:c r="M1674" s="34" t="n">
        <x:v>2172</x:v>
      </x:c>
      <x:c r="N1674" s="28" t="n">
        <x:v>0.038231999999999995</x:v>
      </x:c>
      <x:c r="O1674" s="34" t="n">
        <x:v>83</x:v>
      </x:c>
      <x:c r="P1674" s="34" t="n">
        <x:v>1</x:v>
      </x:c>
      <x:c r="Q1674" s="34" t="n">
        <x:v>83</x:v>
      </x:c>
      <x:c r="R1674" s="33" t="n">
        <x:v>34</x:v>
      </x:c>
      <x:c r="S1674" s="38" t="n">
        <x:v>2.822</x:v>
      </x:c>
      <x:c r="T1674" s="38" t="n">
        <x:v>0.1411</x:v>
      </x:c>
      <x:c r="U1674" s="38" t="n">
        <x:v>0.1474495</x:v>
      </x:c>
      <x:c r="V1674" s="38" t="n">
        <x:v>2.5334505000000003</x:v>
      </x:c>
      <x:c r="W1674" s="38" t="n">
        <x:v>1.13461</x:v>
      </x:c>
      <x:c r="X1674" s="38" t="n">
        <x:v>0</x:v>
      </x:c>
      <x:c r="Y1674" s="38" t="n">
        <x:v>0.38001757500000005</x:v>
      </x:c>
      <x:c r="Z1674" s="38" t="n">
        <x:v>0.43160000000000004</x:v>
      </x:c>
      <x:c r="AA1674" s="38" t="n">
        <x:v>0.17845</x:v>
      </x:c>
      <x:c r="AB1674" s="38" t="n">
        <x:v>0.004648</x:v>
      </x:c>
      <x:c r="AC1674" s="38" t="n">
        <x:v>0.4041249250000003</x:v>
      </x:c>
      <x:c r="AD1674" s="28" t="n">
        <x:v>0.15951561911314244</x:v>
      </x:c>
    </x:row>
    <x:row r="1675">
      <x:c r="A1675" s="32" t="n">
        <x:v>46244</x:v>
      </x:c>
      <x:c r="B1675" s="32" t="n">
        <x:v>46235</x:v>
      </x:c>
      <x:c r="C1675" t="str">
        <x:v>Aug 2026</x:v>
      </x:c>
      <x:c r="D1675" t="str">
        <x:v>Forecast</x:v>
      </x:c>
      <x:c r="E1675" t="str">
        <x:v>DB-103</x:v>
      </x:c>
      <x:c r="F1675" t="str">
        <x:v>EmberTrail Camp Mug</x:v>
      </x:c>
      <x:c r="G1675" t="str">
        <x:v>One-time purchase</x:v>
      </x:c>
      <x:c r="H1675" t="str">
        <x:v>Winter peak</x:v>
      </x:c>
      <x:c r="I1675" t="str">
        <x:v>Active</x:v>
      </x:c>
      <x:c r="J1675" t="str">
        <x:v>Wholesale</x:v>
      </x:c>
      <x:c r="K1675" t="str">
        <x:v>Retailer</x:v>
      </x:c>
      <x:c r="L1675" t="str">
        <x:v>All Geographies</x:v>
      </x:c>
      <x:c r="M1675" s="34" t="n">
        <x:v>1303</x:v>
      </x:c>
      <x:c r="N1675" s="28" t="n">
        <x:v>0.017820000000000003</x:v>
      </x:c>
      <x:c r="O1675" s="34" t="n">
        <x:v>23</x:v>
      </x:c>
      <x:c r="P1675" s="34" t="n">
        <x:v>1</x:v>
      </x:c>
      <x:c r="Q1675" s="34" t="n">
        <x:v>23</x:v>
      </x:c>
      <x:c r="R1675" s="33" t="n">
        <x:v>34</x:v>
      </x:c>
      <x:c r="S1675" s="38" t="n">
        <x:v>0.782</x:v>
      </x:c>
      <x:c r="T1675" s="38" t="n">
        <x:v>0.2737</x:v>
      </x:c>
      <x:c r="U1675" s="38" t="n">
        <x:v>0.0279565</x:v>
      </x:c>
      <x:c r="V1675" s="38" t="n">
        <x:v>0.4803435</x:v>
      </x:c>
      <x:c r="W1675" s="38" t="n">
        <x:v>0.31441</x:v>
      </x:c>
      <x:c r="X1675" s="38" t="n">
        <x:v>0</x:v>
      </x:c>
      <x:c r="Y1675" s="38" t="n">
        <x:v>0</x:v>
      </x:c>
      <x:c r="Z1675" s="38" t="n">
        <x:v>0.052899999999999996</x:v>
      </x:c>
      <x:c r="AA1675" s="38" t="n">
        <x:v>0.01955</x:v>
      </x:c>
      <x:c r="AB1675" s="38" t="n">
        <x:v>0.001288</x:v>
      </x:c>
      <x:c r="AC1675" s="38" t="n">
        <x:v>0.09219549999999996</x:v>
      </x:c>
      <x:c r="AD1675" s="28" t="n">
        <x:v>0.1919366037013095</x:v>
      </x:c>
    </x:row>
    <x:row r="1676">
      <x:c r="A1676" s="32" t="n">
        <x:v>46244</x:v>
      </x:c>
      <x:c r="B1676" s="32" t="n">
        <x:v>46235</x:v>
      </x:c>
      <x:c r="C1676" t="str">
        <x:v>Aug 2026</x:v>
      </x:c>
      <x:c r="D1676" t="str">
        <x:v>Forecast</x:v>
      </x:c>
      <x:c r="E1676" t="str">
        <x:v>DB-103</x:v>
      </x:c>
      <x:c r="F1676" t="str">
        <x:v>EmberTrail Camp Mug</x:v>
      </x:c>
      <x:c r="G1676" t="str">
        <x:v>One-time purchase</x:v>
      </x:c>
      <x:c r="H1676" t="str">
        <x:v>Winter peak</x:v>
      </x:c>
      <x:c r="I1676" t="str">
        <x:v>Active</x:v>
      </x:c>
      <x:c r="J1676" t="str">
        <x:v>TikTok Shop</x:v>
      </x:c>
      <x:c r="K1676" t="str">
        <x:v>Social Commerce</x:v>
      </x:c>
      <x:c r="L1676" t="str">
        <x:v>All Geographies</x:v>
      </x:c>
      <x:c r="M1676" s="34" t="n">
        <x:v>869</x:v>
      </x:c>
      <x:c r="N1676" s="28" t="n">
        <x:v>0.040824</x:v>
      </x:c>
      <x:c r="O1676" s="34" t="n">
        <x:v>35</x:v>
      </x:c>
      <x:c r="P1676" s="34" t="n">
        <x:v>1</x:v>
      </x:c>
      <x:c r="Q1676" s="34" t="n">
        <x:v>35</x:v>
      </x:c>
      <x:c r="R1676" s="33" t="n">
        <x:v>34</x:v>
      </x:c>
      <x:c r="S1676" s="38" t="n">
        <x:v>1.19</x:v>
      </x:c>
      <x:c r="T1676" s="38" t="n">
        <x:v>0.14279999999999998</x:v>
      </x:c>
      <x:c r="U1676" s="38" t="n">
        <x:v>0.057595999999999994</x:v>
      </x:c>
      <x:c r="V1676" s="38" t="n">
        <x:v>0.9896039999999999</x:v>
      </x:c>
      <x:c r="W1676" s="38" t="n">
        <x:v>0.47845</x:v>
      </x:c>
      <x:c r="X1676" s="38" t="n">
        <x:v>0.028698516</x:v>
      </x:c>
      <x:c r="Y1676" s="38" t="n">
        <x:v>0.05937624</x:v>
      </x:c>
      <x:c r="Z1676" s="38" t="n">
        <x:v>0.1785</x:v>
      </x:c>
      <x:c r="AA1676" s="38" t="n">
        <x:v>0.06125</x:v>
      </x:c>
      <x:c r="AB1676" s="38" t="n">
        <x:v>0.0019600000000000004</x:v>
      </x:c>
      <x:c r="AC1676" s="38" t="n">
        <x:v>0.18136924399999987</x:v>
      </x:c>
      <x:c r="AD1676" s="28" t="n">
        <x:v>0.18327456639221335</x:v>
      </x:c>
    </x:row>
    <x:row r="1677">
      <x:c r="A1677" s="32" t="n">
        <x:v>46244</x:v>
      </x:c>
      <x:c r="B1677" s="32" t="n">
        <x:v>46235</x:v>
      </x:c>
      <x:c r="C1677" t="str">
        <x:v>Aug 2026</x:v>
      </x:c>
      <x:c r="D1677" t="str">
        <x:v>Forecast</x:v>
      </x:c>
      <x:c r="E1677" t="str">
        <x:v>DB-104</x:v>
      </x:c>
      <x:c r="F1677" t="str">
        <x:v>SunNest Cooling Towel</x:v>
      </x:c>
      <x:c r="G1677" t="str">
        <x:v>Consumable repeat</x:v>
      </x:c>
      <x:c r="H1677" t="str">
        <x:v>Summer peak</x:v>
      </x:c>
      <x:c r="I1677" t="str">
        <x:v>Active</x:v>
      </x:c>
      <x:c r="J1677" t="str">
        <x:v>Shopify DTC</x:v>
      </x:c>
      <x:c r="K1677" t="str">
        <x:v>Consumer</x:v>
      </x:c>
      <x:c r="L1677" t="str">
        <x:v>All Geographies</x:v>
      </x:c>
      <x:c r="M1677" s="34" t="n">
        <x:v>5629</x:v>
      </x:c>
      <x:c r="N1677" s="28" t="n">
        <x:v>0.03312</x:v>
      </x:c>
      <x:c r="O1677" s="34" t="n">
        <x:v>186</x:v>
      </x:c>
      <x:c r="P1677" s="34" t="n">
        <x:v>1</x:v>
      </x:c>
      <x:c r="Q1677" s="34" t="n">
        <x:v>186</x:v>
      </x:c>
      <x:c r="R1677" s="33" t="n">
        <x:v>42</x:v>
      </x:c>
      <x:c r="S1677" s="38" t="n">
        <x:v>7.812</x:v>
      </x:c>
      <x:c r="T1677" s="38" t="n">
        <x:v>0.6249600000000001</x:v>
      </x:c>
      <x:c r="U1677" s="38" t="n">
        <x:v>0.35935200000000006</x:v>
      </x:c>
      <x:c r="V1677" s="38" t="n">
        <x:v>6.827688</x:v>
      </x:c>
      <x:c r="W1677" s="38" t="n">
        <x:v>2.7993</x:v>
      </x:c>
      <x:c r="X1677" s="38" t="n">
        <x:v>0.198002952</x:v>
      </x:c>
      <x:c r="Y1677" s="38" t="n">
        <x:v>0</x:v>
      </x:c>
      <x:c r="Z1677" s="38" t="n">
        <x:v>0.7719000000000001</x:v>
      </x:c>
      <x:c r="AA1677" s="38" t="n">
        <x:v>0.30689999999999995</x:v>
      </x:c>
      <x:c r="AB1677" s="38" t="n">
        <x:v>0.005208</x:v>
      </x:c>
      <x:c r="AC1677" s="38" t="n">
        <x:v>2.746377048</x:v>
      </x:c>
      <x:c r="AD1677" s="28" t="n">
        <x:v>0.4022411463441211</x:v>
      </x:c>
    </x:row>
    <x:row r="1678">
      <x:c r="A1678" s="32" t="n">
        <x:v>46244</x:v>
      </x:c>
      <x:c r="B1678" s="32" t="n">
        <x:v>46235</x:v>
      </x:c>
      <x:c r="C1678" t="str">
        <x:v>Aug 2026</x:v>
      </x:c>
      <x:c r="D1678" t="str">
        <x:v>Forecast</x:v>
      </x:c>
      <x:c r="E1678" t="str">
        <x:v>DB-104</x:v>
      </x:c>
      <x:c r="F1678" t="str">
        <x:v>SunNest Cooling Towel</x:v>
      </x:c>
      <x:c r="G1678" t="str">
        <x:v>Consumable repeat</x:v>
      </x:c>
      <x:c r="H1678" t="str">
        <x:v>Summer peak</x:v>
      </x:c>
      <x:c r="I1678" t="str">
        <x:v>Active</x:v>
      </x:c>
      <x:c r="J1678" t="str">
        <x:v>Amazon Marketplace</x:v>
      </x:c>
      <x:c r="K1678" t="str">
        <x:v>Marketplace Consumer</x:v>
      </x:c>
      <x:c r="L1678" t="str">
        <x:v>All Geographies</x:v>
      </x:c>
      <x:c r="M1678" s="34" t="n">
        <x:v>2814</x:v>
      </x:c>
      <x:c r="N1678" s="28" t="n">
        <x:v>0.0390816</x:v>
      </x:c>
      <x:c r="O1678" s="34" t="n">
        <x:v>110</x:v>
      </x:c>
      <x:c r="P1678" s="34" t="n">
        <x:v>1</x:v>
      </x:c>
      <x:c r="Q1678" s="34" t="n">
        <x:v>110</x:v>
      </x:c>
      <x:c r="R1678" s="33" t="n">
        <x:v>42</x:v>
      </x:c>
      <x:c r="S1678" s="38" t="n">
        <x:v>4.62</x:v>
      </x:c>
      <x:c r="T1678" s="38" t="n">
        <x:v>0.231</x:v>
      </x:c>
      <x:c r="U1678" s="38" t="n">
        <x:v>0.21945000000000003</x:v>
      </x:c>
      <x:c r="V1678" s="38" t="n">
        <x:v>4.16955</x:v>
      </x:c>
      <x:c r="W1678" s="38" t="n">
        <x:v>1.6555</x:v>
      </x:c>
      <x:c r="X1678" s="38" t="n">
        <x:v>0</x:v>
      </x:c>
      <x:c r="Y1678" s="38" t="n">
        <x:v>0.6254325</x:v>
      </x:c>
      <x:c r="Z1678" s="38" t="n">
        <x:v>0.572</x:v>
      </x:c>
      <x:c r="AA1678" s="38" t="n">
        <x:v>0.2365</x:v>
      </x:c>
      <x:c r="AB1678" s="38" t="n">
        <x:v>0.0030800000000000003</x:v>
      </x:c>
      <x:c r="AC1678" s="38" t="n">
        <x:v>1.0770375</x:v>
      </x:c>
      <x:c r="AD1678" s="28" t="n">
        <x:v>0.25831024930747926</x:v>
      </x:c>
    </x:row>
    <x:row r="1679">
      <x:c r="A1679" s="32" t="n">
        <x:v>46244</x:v>
      </x:c>
      <x:c r="B1679" s="32" t="n">
        <x:v>46235</x:v>
      </x:c>
      <x:c r="C1679" t="str">
        <x:v>Aug 2026</x:v>
      </x:c>
      <x:c r="D1679" t="str">
        <x:v>Forecast</x:v>
      </x:c>
      <x:c r="E1679" t="str">
        <x:v>DB-104</x:v>
      </x:c>
      <x:c r="F1679" t="str">
        <x:v>SunNest Cooling Towel</x:v>
      </x:c>
      <x:c r="G1679" t="str">
        <x:v>Consumable repeat</x:v>
      </x:c>
      <x:c r="H1679" t="str">
        <x:v>Summer peak</x:v>
      </x:c>
      <x:c r="I1679" t="str">
        <x:v>Active</x:v>
      </x:c>
      <x:c r="J1679" t="str">
        <x:v>Wholesale</x:v>
      </x:c>
      <x:c r="K1679" t="str">
        <x:v>Retailer</x:v>
      </x:c>
      <x:c r="L1679" t="str">
        <x:v>All Geographies</x:v>
      </x:c>
      <x:c r="M1679" s="34" t="n">
        <x:v>1689</x:v>
      </x:c>
      <x:c r="N1679" s="28" t="n">
        <x:v>0.018216000000000003</x:v>
      </x:c>
      <x:c r="O1679" s="34" t="n">
        <x:v>31</x:v>
      </x:c>
      <x:c r="P1679" s="34" t="n">
        <x:v>1</x:v>
      </x:c>
      <x:c r="Q1679" s="34" t="n">
        <x:v>31</x:v>
      </x:c>
      <x:c r="R1679" s="33" t="n">
        <x:v>42</x:v>
      </x:c>
      <x:c r="S1679" s="38" t="n">
        <x:v>1.302</x:v>
      </x:c>
      <x:c r="T1679" s="38" t="n">
        <x:v>0.4557</x:v>
      </x:c>
      <x:c r="U1679" s="38" t="n">
        <x:v>0.042315000000000005</x:v>
      </x:c>
      <x:c r="V1679" s="38" t="n">
        <x:v>0.8039850000000001</x:v>
      </x:c>
      <x:c r="W1679" s="38" t="n">
        <x:v>0.46655</x:v>
      </x:c>
      <x:c r="X1679" s="38" t="n">
        <x:v>0</x:v>
      </x:c>
      <x:c r="Y1679" s="38" t="n">
        <x:v>0</x:v>
      </x:c>
      <x:c r="Z1679" s="38" t="n">
        <x:v>0.0713</x:v>
      </x:c>
      <x:c r="AA1679" s="38" t="n">
        <x:v>0.02635</x:v>
      </x:c>
      <x:c r="AB1679" s="38" t="n">
        <x:v>0.000868</x:v>
      </x:c>
      <x:c r="AC1679" s="38" t="n">
        <x:v>0.23891700000000002</x:v>
      </x:c>
      <x:c r="AD1679" s="28" t="n">
        <x:v>0.297165991902834</x:v>
      </x:c>
    </x:row>
    <x:row r="1680">
      <x:c r="A1680" s="32" t="n">
        <x:v>46244</x:v>
      </x:c>
      <x:c r="B1680" s="32" t="n">
        <x:v>46235</x:v>
      </x:c>
      <x:c r="C1680" t="str">
        <x:v>Aug 2026</x:v>
      </x:c>
      <x:c r="D1680" t="str">
        <x:v>Forecast</x:v>
      </x:c>
      <x:c r="E1680" t="str">
        <x:v>DB-104</x:v>
      </x:c>
      <x:c r="F1680" t="str">
        <x:v>SunNest Cooling Towel</x:v>
      </x:c>
      <x:c r="G1680" t="str">
        <x:v>Consumable repeat</x:v>
      </x:c>
      <x:c r="H1680" t="str">
        <x:v>Summer peak</x:v>
      </x:c>
      <x:c r="I1680" t="str">
        <x:v>Active</x:v>
      </x:c>
      <x:c r="J1680" t="str">
        <x:v>TikTok Shop</x:v>
      </x:c>
      <x:c r="K1680" t="str">
        <x:v>Social Commerce</x:v>
      </x:c>
      <x:c r="L1680" t="str">
        <x:v>All Geographies</x:v>
      </x:c>
      <x:c r="M1680" s="34" t="n">
        <x:v>1126</x:v>
      </x:c>
      <x:c r="N1680" s="28" t="n">
        <x:v>0.0417312</x:v>
      </x:c>
      <x:c r="O1680" s="34" t="n">
        <x:v>47</x:v>
      </x:c>
      <x:c r="P1680" s="34" t="n">
        <x:v>1</x:v>
      </x:c>
      <x:c r="Q1680" s="34" t="n">
        <x:v>47</x:v>
      </x:c>
      <x:c r="R1680" s="33" t="n">
        <x:v>42</x:v>
      </x:c>
      <x:c r="S1680" s="38" t="n">
        <x:v>1.974</x:v>
      </x:c>
      <x:c r="T1680" s="38" t="n">
        <x:v>0.23687999999999998</x:v>
      </x:c>
      <x:c r="U1680" s="38" t="n">
        <x:v>0.086856</x:v>
      </x:c>
      <x:c r="V1680" s="38" t="n">
        <x:v>1.650264</x:v>
      </x:c>
      <x:c r="W1680" s="38" t="n">
        <x:v>0.70735</x:v>
      </x:c>
      <x:c r="X1680" s="38" t="n">
        <x:v>0.047857656</x:v>
      </x:c>
      <x:c r="Y1680" s="38" t="n">
        <x:v>0.09901584</x:v>
      </x:c>
      <x:c r="Z1680" s="38" t="n">
        <x:v>0.2397</x:v>
      </x:c>
      <x:c r="AA1680" s="38" t="n">
        <x:v>0.08225</x:v>
      </x:c>
      <x:c r="AB1680" s="38" t="n">
        <x:v>0.0013160000000000001</x:v>
      </x:c>
      <x:c r="AC1680" s="38" t="n">
        <x:v>0.47277450399999993</x:v>
      </x:c>
      <x:c r="AD1680" s="28" t="n">
        <x:v>0.2864841649578491</x:v>
      </x:c>
    </x:row>
    <x:row r="1681">
      <x:c r="A1681" s="32" t="n">
        <x:v>46244</x:v>
      </x:c>
      <x:c r="B1681" s="32" t="n">
        <x:v>46235</x:v>
      </x:c>
      <x:c r="C1681" t="str">
        <x:v>Aug 2026</x:v>
      </x:c>
      <x:c r="D1681" t="str">
        <x:v>Forecast</x:v>
      </x:c>
      <x:c r="E1681" t="str">
        <x:v>DB-105</x:v>
      </x:c>
      <x:c r="F1681" t="str">
        <x:v>DreamFuel Refill Pack</x:v>
      </x:c>
      <x:c r="G1681" t="str">
        <x:v>Subscription</x:v>
      </x:c>
      <x:c r="H1681" t="str">
        <x:v>None</x:v>
      </x:c>
      <x:c r="I1681" t="str">
        <x:v>Active</x:v>
      </x:c>
      <x:c r="J1681" t="str">
        <x:v>Shopify DTC</x:v>
      </x:c>
      <x:c r="K1681" t="str">
        <x:v>Consumer</x:v>
      </x:c>
      <x:c r="L1681" t="str">
        <x:v>All Geographies</x:v>
      </x:c>
      <x:c r="M1681" s="34" t="n">
        <x:v>5051</x:v>
      </x:c>
      <x:c r="N1681" s="28" t="n">
        <x:v>0.03888</x:v>
      </x:c>
      <x:c r="O1681" s="34" t="n">
        <x:v>196</x:v>
      </x:c>
      <x:c r="P1681" s="34" t="n">
        <x:v>1</x:v>
      </x:c>
      <x:c r="Q1681" s="34" t="n">
        <x:v>196</x:v>
      </x:c>
      <x:c r="R1681" s="33" t="n">
        <x:v>56</x:v>
      </x:c>
      <x:c r="S1681" s="38" t="n">
        <x:v>10.976</x:v>
      </x:c>
      <x:c r="T1681" s="38" t="n">
        <x:v>0.8780800000000001</x:v>
      </x:c>
      <x:c r="U1681" s="38" t="n">
        <x:v>0.2019584</x:v>
      </x:c>
      <x:c r="V1681" s="38" t="n">
        <x:v>9.8959616</x:v>
      </x:c>
      <x:c r="W1681" s="38" t="n">
        <x:v>3.64952</x:v>
      </x:c>
      <x:c r="X1681" s="38" t="n">
        <x:v>0.2869828864</x:v>
      </x:c>
      <x:c r="Y1681" s="38" t="n">
        <x:v>0</x:v>
      </x:c>
      <x:c r="Z1681" s="38" t="n">
        <x:v>0.8134000000000001</x:v>
      </x:c>
      <x:c r="AA1681" s="38" t="n">
        <x:v>0.32339999999999997</x:v>
      </x:c>
      <x:c r="AB1681" s="38" t="n">
        <x:v>0.0007055999999999999</x:v>
      </x:c>
      <x:c r="AC1681" s="38" t="n">
        <x:v>4.8219531136</x:v>
      </x:c>
      <x:c r="AD1681" s="28" t="n">
        <x:v>0.4872647357079478</x:v>
      </x:c>
    </x:row>
    <x:row r="1682">
      <x:c r="A1682" s="32" t="n">
        <x:v>46244</x:v>
      </x:c>
      <x:c r="B1682" s="32" t="n">
        <x:v>46235</x:v>
      </x:c>
      <x:c r="C1682" t="str">
        <x:v>Aug 2026</x:v>
      </x:c>
      <x:c r="D1682" t="str">
        <x:v>Forecast</x:v>
      </x:c>
      <x:c r="E1682" t="str">
        <x:v>DB-105</x:v>
      </x:c>
      <x:c r="F1682" t="str">
        <x:v>DreamFuel Refill Pack</x:v>
      </x:c>
      <x:c r="G1682" t="str">
        <x:v>Subscription</x:v>
      </x:c>
      <x:c r="H1682" t="str">
        <x:v>None</x:v>
      </x:c>
      <x:c r="I1682" t="str">
        <x:v>Active</x:v>
      </x:c>
      <x:c r="J1682" t="str">
        <x:v>Amazon Marketplace</x:v>
      </x:c>
      <x:c r="K1682" t="str">
        <x:v>Marketplace Consumer</x:v>
      </x:c>
      <x:c r="L1682" t="str">
        <x:v>All Geographies</x:v>
      </x:c>
      <x:c r="M1682" s="34" t="n">
        <x:v>2525</x:v>
      </x:c>
      <x:c r="N1682" s="28" t="n">
        <x:v>0.0458784</x:v>
      </x:c>
      <x:c r="O1682" s="34" t="n">
        <x:v>116</x:v>
      </x:c>
      <x:c r="P1682" s="34" t="n">
        <x:v>1</x:v>
      </x:c>
      <x:c r="Q1682" s="34" t="n">
        <x:v>116</x:v>
      </x:c>
      <x:c r="R1682" s="33" t="n">
        <x:v>56</x:v>
      </x:c>
      <x:c r="S1682" s="38" t="n">
        <x:v>6.496</x:v>
      </x:c>
      <x:c r="T1682" s="38" t="n">
        <x:v>0.32480000000000003</x:v>
      </x:c>
      <x:c r="U1682" s="38" t="n">
        <x:v>0.12342400000000002</x:v>
      </x:c>
      <x:c r="V1682" s="38" t="n">
        <x:v>6.047776000000001</x:v>
      </x:c>
      <x:c r="W1682" s="38" t="n">
        <x:v>2.15992</x:v>
      </x:c>
      <x:c r="X1682" s="38" t="n">
        <x:v>0</x:v>
      </x:c>
      <x:c r="Y1682" s="38" t="n">
        <x:v>0.9071664</x:v>
      </x:c>
      <x:c r="Z1682" s="38" t="n">
        <x:v>0.6032000000000001</x:v>
      </x:c>
      <x:c r="AA1682" s="38" t="n">
        <x:v>0.24939999999999998</x:v>
      </x:c>
      <x:c r="AB1682" s="38" t="n">
        <x:v>0.0004176</x:v>
      </x:c>
      <x:c r="AC1682" s="38" t="n">
        <x:v>2.1276720000000005</x:v>
      </x:c>
      <x:c r="AD1682" s="28" t="n">
        <x:v>0.35181064907165877</x:v>
      </x:c>
    </x:row>
    <x:row r="1683">
      <x:c r="A1683" s="32" t="n">
        <x:v>46244</x:v>
      </x:c>
      <x:c r="B1683" s="32" t="n">
        <x:v>46235</x:v>
      </x:c>
      <x:c r="C1683" t="str">
        <x:v>Aug 2026</x:v>
      </x:c>
      <x:c r="D1683" t="str">
        <x:v>Forecast</x:v>
      </x:c>
      <x:c r="E1683" t="str">
        <x:v>DB-105</x:v>
      </x:c>
      <x:c r="F1683" t="str">
        <x:v>DreamFuel Refill Pack</x:v>
      </x:c>
      <x:c r="G1683" t="str">
        <x:v>Subscription</x:v>
      </x:c>
      <x:c r="H1683" t="str">
        <x:v>None</x:v>
      </x:c>
      <x:c r="I1683" t="str">
        <x:v>Active</x:v>
      </x:c>
      <x:c r="J1683" t="str">
        <x:v>Wholesale</x:v>
      </x:c>
      <x:c r="K1683" t="str">
        <x:v>Retailer</x:v>
      </x:c>
      <x:c r="L1683" t="str">
        <x:v>All Geographies</x:v>
      </x:c>
      <x:c r="M1683" s="34" t="n">
        <x:v>1515</x:v>
      </x:c>
      <x:c r="N1683" s="28" t="n">
        <x:v>0.021384000000000004</x:v>
      </x:c>
      <x:c r="O1683" s="34" t="n">
        <x:v>32</x:v>
      </x:c>
      <x:c r="P1683" s="34" t="n">
        <x:v>1</x:v>
      </x:c>
      <x:c r="Q1683" s="34" t="n">
        <x:v>32</x:v>
      </x:c>
      <x:c r="R1683" s="33" t="n">
        <x:v>56</x:v>
      </x:c>
      <x:c r="S1683" s="38" t="n">
        <x:v>1.792</x:v>
      </x:c>
      <x:c r="T1683" s="38" t="n">
        <x:v>0.6272</x:v>
      </x:c>
      <x:c r="U1683" s="38" t="n">
        <x:v>0.023296</x:v>
      </x:c>
      <x:c r="V1683" s="38" t="n">
        <x:v>1.141504</x:v>
      </x:c>
      <x:c r="W1683" s="38" t="n">
        <x:v>0.59584</x:v>
      </x:c>
      <x:c r="X1683" s="38" t="n">
        <x:v>0</x:v>
      </x:c>
      <x:c r="Y1683" s="38" t="n">
        <x:v>0</x:v>
      </x:c>
      <x:c r="Z1683" s="38" t="n">
        <x:v>0.0736</x:v>
      </x:c>
      <x:c r="AA1683" s="38" t="n">
        <x:v>0.0272</x:v>
      </x:c>
      <x:c r="AB1683" s="38" t="n">
        <x:v>0.0001152</x:v>
      </x:c>
      <x:c r="AC1683" s="38" t="n">
        <x:v>0.44474880000000006</x:v>
      </x:c>
      <x:c r="AD1683" s="28" t="n">
        <x:v>0.3896165059430366</x:v>
      </x:c>
    </x:row>
    <x:row r="1684">
      <x:c r="A1684" s="32" t="n">
        <x:v>46244</x:v>
      </x:c>
      <x:c r="B1684" s="32" t="n">
        <x:v>46235</x:v>
      </x:c>
      <x:c r="C1684" t="str">
        <x:v>Aug 2026</x:v>
      </x:c>
      <x:c r="D1684" t="str">
        <x:v>Forecast</x:v>
      </x:c>
      <x:c r="E1684" t="str">
        <x:v>DB-105</x:v>
      </x:c>
      <x:c r="F1684" t="str">
        <x:v>DreamFuel Refill Pack</x:v>
      </x:c>
      <x:c r="G1684" t="str">
        <x:v>Subscription</x:v>
      </x:c>
      <x:c r="H1684" t="str">
        <x:v>None</x:v>
      </x:c>
      <x:c r="I1684" t="str">
        <x:v>Active</x:v>
      </x:c>
      <x:c r="J1684" t="str">
        <x:v>TikTok Shop</x:v>
      </x:c>
      <x:c r="K1684" t="str">
        <x:v>Social Commerce</x:v>
      </x:c>
      <x:c r="L1684" t="str">
        <x:v>All Geographies</x:v>
      </x:c>
      <x:c r="M1684" s="34" t="n">
        <x:v>1010</x:v>
      </x:c>
      <x:c r="N1684" s="28" t="n">
        <x:v>0.0489888</x:v>
      </x:c>
      <x:c r="O1684" s="34" t="n">
        <x:v>49</x:v>
      </x:c>
      <x:c r="P1684" s="34" t="n">
        <x:v>1</x:v>
      </x:c>
      <x:c r="Q1684" s="34" t="n">
        <x:v>49</x:v>
      </x:c>
      <x:c r="R1684" s="33" t="n">
        <x:v>56</x:v>
      </x:c>
      <x:c r="S1684" s="38" t="n">
        <x:v>2.744</x:v>
      </x:c>
      <x:c r="T1684" s="38" t="n">
        <x:v>0.32928</x:v>
      </x:c>
      <x:c r="U1684" s="38" t="n">
        <x:v>0.0482944</x:v>
      </x:c>
      <x:c r="V1684" s="38" t="n">
        <x:v>2.3664256</x:v>
      </x:c>
      <x:c r="W1684" s="38" t="n">
        <x:v>0.91238</x:v>
      </x:c>
      <x:c r="X1684" s="38" t="n">
        <x:v>0.0686263424</x:v>
      </x:c>
      <x:c r="Y1684" s="38" t="n">
        <x:v>0.141985536</x:v>
      </x:c>
      <x:c r="Z1684" s="38" t="n">
        <x:v>0.24989999999999998</x:v>
      </x:c>
      <x:c r="AA1684" s="38" t="n">
        <x:v>0.08575</x:v>
      </x:c>
      <x:c r="AB1684" s="38" t="n">
        <x:v>0.00017639999999999998</x:v>
      </x:c>
      <x:c r="AC1684" s="38" t="n">
        <x:v>0.9076073216</x:v>
      </x:c>
      <x:c r="AD1684" s="28" t="n">
        <x:v>0.3835351179432812</x:v>
      </x:c>
    </x:row>
    <x:row r="1685">
      <x:c r="A1685" s="32" t="n">
        <x:v>46251</x:v>
      </x:c>
      <x:c r="B1685" s="32" t="n">
        <x:v>46235</x:v>
      </x:c>
      <x:c r="C1685" t="str">
        <x:v>Aug 2026</x:v>
      </x:c>
      <x:c r="D1685" t="str">
        <x:v>Forecast</x:v>
      </x:c>
      <x:c r="E1685" t="str">
        <x:v>DB-101</x:v>
      </x:c>
      <x:c r="F1685" t="str">
        <x:v>AeroSip Bottle</x:v>
      </x:c>
      <x:c r="G1685" t="str">
        <x:v>One-time purchase</x:v>
      </x:c>
      <x:c r="H1685" t="str">
        <x:v>None</x:v>
      </x:c>
      <x:c r="I1685" t="str">
        <x:v>Active</x:v>
      </x:c>
      <x:c r="J1685" t="str">
        <x:v>Shopify DTC</x:v>
      </x:c>
      <x:c r="K1685" t="str">
        <x:v>Consumer</x:v>
      </x:c>
      <x:c r="L1685" t="str">
        <x:v>All Geographies</x:v>
      </x:c>
      <x:c r="M1685" s="34" t="n">
        <x:v>7296</x:v>
      </x:c>
      <x:c r="N1685" s="28" t="n">
        <x:v>0.034199999999999994</x:v>
      </x:c>
      <x:c r="O1685" s="34" t="n">
        <x:v>250</x:v>
      </x:c>
      <x:c r="P1685" s="34" t="n">
        <x:v>1</x:v>
      </x:c>
      <x:c r="Q1685" s="34" t="n">
        <x:v>250</x:v>
      </x:c>
      <x:c r="R1685" s="33" t="n">
        <x:v>29</x:v>
      </x:c>
      <x:c r="S1685" s="38" t="n">
        <x:v>7.25</x:v>
      </x:c>
      <x:c r="T1685" s="38" t="n">
        <x:v>0.58</x:v>
      </x:c>
      <x:c r="U1685" s="38" t="n">
        <x:v>0.30015</x:v>
      </x:c>
      <x:c r="V1685" s="38" t="n">
        <x:v>6.36985</x:v>
      </x:c>
      <x:c r="W1685" s="38" t="n">
        <x:v>2.7</x:v>
      </x:c>
      <x:c r="X1685" s="38" t="n">
        <x:v>0.18472565</x:v>
      </x:c>
      <x:c r="Y1685" s="38" t="n">
        <x:v>0</x:v>
      </x:c>
      <x:c r="Z1685" s="38" t="n">
        <x:v>1.0375</x:v>
      </x:c>
      <x:c r="AA1685" s="38" t="n">
        <x:v>0.4125</x:v>
      </x:c>
      <x:c r="AB1685" s="38" t="n">
        <x:v>0.009</x:v>
      </x:c>
      <x:c r="AC1685" s="38" t="n">
        <x:v>2.0261243499999995</x:v>
      </x:c>
      <x:c r="AD1685" s="28" t="n">
        <x:v>0.31808038650831644</x:v>
      </x:c>
    </x:row>
    <x:row r="1686">
      <x:c r="A1686" s="32" t="n">
        <x:v>46251</x:v>
      </x:c>
      <x:c r="B1686" s="32" t="n">
        <x:v>46235</x:v>
      </x:c>
      <x:c r="C1686" t="str">
        <x:v>Aug 2026</x:v>
      </x:c>
      <x:c r="D1686" t="str">
        <x:v>Forecast</x:v>
      </x:c>
      <x:c r="E1686" t="str">
        <x:v>DB-101</x:v>
      </x:c>
      <x:c r="F1686" t="str">
        <x:v>AeroSip Bottle</x:v>
      </x:c>
      <x:c r="G1686" t="str">
        <x:v>One-time purchase</x:v>
      </x:c>
      <x:c r="H1686" t="str">
        <x:v>None</x:v>
      </x:c>
      <x:c r="I1686" t="str">
        <x:v>Active</x:v>
      </x:c>
      <x:c r="J1686" t="str">
        <x:v>Amazon Marketplace</x:v>
      </x:c>
      <x:c r="K1686" t="str">
        <x:v>Marketplace Consumer</x:v>
      </x:c>
      <x:c r="L1686" t="str">
        <x:v>All Geographies</x:v>
      </x:c>
      <x:c r="M1686" s="34" t="n">
        <x:v>3648</x:v>
      </x:c>
      <x:c r="N1686" s="28" t="n">
        <x:v>0.040355999999999996</x:v>
      </x:c>
      <x:c r="O1686" s="34" t="n">
        <x:v>147</x:v>
      </x:c>
      <x:c r="P1686" s="34" t="n">
        <x:v>1</x:v>
      </x:c>
      <x:c r="Q1686" s="34" t="n">
        <x:v>147</x:v>
      </x:c>
      <x:c r="R1686" s="33" t="n">
        <x:v>29</x:v>
      </x:c>
      <x:c r="S1686" s="38" t="n">
        <x:v>4.263</x:v>
      </x:c>
      <x:c r="T1686" s="38" t="n">
        <x:v>0.21315</x:v>
      </x:c>
      <x:c r="U1686" s="38" t="n">
        <x:v>0.18224325</x:v>
      </x:c>
      <x:c r="V1686" s="38" t="n">
        <x:v>3.86760675</x:v>
      </x:c>
      <x:c r="W1686" s="38" t="n">
        <x:v>1.5876000000000001</x:v>
      </x:c>
      <x:c r="X1686" s="38" t="n">
        <x:v>0</x:v>
      </x:c>
      <x:c r="Y1686" s="38" t="n">
        <x:v>0.5801410125</x:v>
      </x:c>
      <x:c r="Z1686" s="38" t="n">
        <x:v>0.7644</x:v>
      </x:c>
      <x:c r="AA1686" s="38" t="n">
        <x:v>0.31605</x:v>
      </x:c>
      <x:c r="AB1686" s="38" t="n">
        <x:v>0.005292</x:v>
      </x:c>
      <x:c r="AC1686" s="38" t="n">
        <x:v>0.6141237375000003</x:v>
      </x:c>
      <x:c r="AD1686" s="28" t="n">
        <x:v>0.15878649955815705</x:v>
      </x:c>
    </x:row>
    <x:row r="1687">
      <x:c r="A1687" s="32" t="n">
        <x:v>46251</x:v>
      </x:c>
      <x:c r="B1687" s="32" t="n">
        <x:v>46235</x:v>
      </x:c>
      <x:c r="C1687" t="str">
        <x:v>Aug 2026</x:v>
      </x:c>
      <x:c r="D1687" t="str">
        <x:v>Forecast</x:v>
      </x:c>
      <x:c r="E1687" t="str">
        <x:v>DB-101</x:v>
      </x:c>
      <x:c r="F1687" t="str">
        <x:v>AeroSip Bottle</x:v>
      </x:c>
      <x:c r="G1687" t="str">
        <x:v>One-time purchase</x:v>
      </x:c>
      <x:c r="H1687" t="str">
        <x:v>None</x:v>
      </x:c>
      <x:c r="I1687" t="str">
        <x:v>Active</x:v>
      </x:c>
      <x:c r="J1687" t="str">
        <x:v>Wholesale</x:v>
      </x:c>
      <x:c r="K1687" t="str">
        <x:v>Retailer</x:v>
      </x:c>
      <x:c r="L1687" t="str">
        <x:v>All Geographies</x:v>
      </x:c>
      <x:c r="M1687" s="34" t="n">
        <x:v>2189</x:v>
      </x:c>
      <x:c r="N1687" s="28" t="n">
        <x:v>0.01881</x:v>
      </x:c>
      <x:c r="O1687" s="34" t="n">
        <x:v>41</x:v>
      </x:c>
      <x:c r="P1687" s="34" t="n">
        <x:v>1</x:v>
      </x:c>
      <x:c r="Q1687" s="34" t="n">
        <x:v>41</x:v>
      </x:c>
      <x:c r="R1687" s="33" t="n">
        <x:v>29</x:v>
      </x:c>
      <x:c r="S1687" s="38" t="n">
        <x:v>1.189</x:v>
      </x:c>
      <x:c r="T1687" s="38" t="n">
        <x:v>0.41615</x:v>
      </x:c>
      <x:c r="U1687" s="38" t="n">
        <x:v>0.034778250000000004</x:v>
      </x:c>
      <x:c r="V1687" s="38" t="n">
        <x:v>0.73807175</x:v>
      </x:c>
      <x:c r="W1687" s="38" t="n">
        <x:v>0.4428</x:v>
      </x:c>
      <x:c r="X1687" s="38" t="n">
        <x:v>0</x:v>
      </x:c>
      <x:c r="Y1687" s="38" t="n">
        <x:v>0</x:v>
      </x:c>
      <x:c r="Z1687" s="38" t="n">
        <x:v>0.0943</x:v>
      </x:c>
      <x:c r="AA1687" s="38" t="n">
        <x:v>0.03485</x:v>
      </x:c>
      <x:c r="AB1687" s="38" t="n">
        <x:v>0.0014759999999999999</x:v>
      </x:c>
      <x:c r="AC1687" s="38" t="n">
        <x:v>0.16464575</x:v>
      </x:c>
      <x:c r="AD1687" s="28" t="n">
        <x:v>0.22307553432305194</x:v>
      </x:c>
    </x:row>
    <x:row r="1688">
      <x:c r="A1688" s="32" t="n">
        <x:v>46251</x:v>
      </x:c>
      <x:c r="B1688" s="32" t="n">
        <x:v>46235</x:v>
      </x:c>
      <x:c r="C1688" t="str">
        <x:v>Aug 2026</x:v>
      </x:c>
      <x:c r="D1688" t="str">
        <x:v>Forecast</x:v>
      </x:c>
      <x:c r="E1688" t="str">
        <x:v>DB-101</x:v>
      </x:c>
      <x:c r="F1688" t="str">
        <x:v>AeroSip Bottle</x:v>
      </x:c>
      <x:c r="G1688" t="str">
        <x:v>One-time purchase</x:v>
      </x:c>
      <x:c r="H1688" t="str">
        <x:v>None</x:v>
      </x:c>
      <x:c r="I1688" t="str">
        <x:v>Active</x:v>
      </x:c>
      <x:c r="J1688" t="str">
        <x:v>TikTok Shop</x:v>
      </x:c>
      <x:c r="K1688" t="str">
        <x:v>Social Commerce</x:v>
      </x:c>
      <x:c r="L1688" t="str">
        <x:v>All Geographies</x:v>
      </x:c>
      <x:c r="M1688" s="34" t="n">
        <x:v>1459</x:v>
      </x:c>
      <x:c r="N1688" s="28" t="n">
        <x:v>0.043092</x:v>
      </x:c>
      <x:c r="O1688" s="34" t="n">
        <x:v>63</x:v>
      </x:c>
      <x:c r="P1688" s="34" t="n">
        <x:v>1</x:v>
      </x:c>
      <x:c r="Q1688" s="34" t="n">
        <x:v>63</x:v>
      </x:c>
      <x:c r="R1688" s="33" t="n">
        <x:v>29</x:v>
      </x:c>
      <x:c r="S1688" s="38" t="n">
        <x:v>1.827</x:v>
      </x:c>
      <x:c r="T1688" s="38" t="n">
        <x:v>0.21924</x:v>
      </x:c>
      <x:c r="U1688" s="38" t="n">
        <x:v>0.07234919999999999</x:v>
      </x:c>
      <x:c r="V1688" s="38" t="n">
        <x:v>1.5354108</x:v>
      </x:c>
      <x:c r="W1688" s="38" t="n">
        <x:v>0.6804000000000001</x:v>
      </x:c>
      <x:c r="X1688" s="38" t="n">
        <x:v>0.044526913200000004</x:v>
      </x:c>
      <x:c r="Y1688" s="38" t="n">
        <x:v>0.09212464799999999</x:v>
      </x:c>
      <x:c r="Z1688" s="38" t="n">
        <x:v>0.3213</x:v>
      </x:c>
      <x:c r="AA1688" s="38" t="n">
        <x:v>0.11025</x:v>
      </x:c>
      <x:c r="AB1688" s="38" t="n">
        <x:v>0.0022679999999999996</x:v>
      </x:c>
      <x:c r="AC1688" s="38" t="n">
        <x:v>0.2845412387999999</x:v>
      </x:c>
      <x:c r="AD1688" s="28" t="n">
        <x:v>0.18531928966501987</x:v>
      </x:c>
    </x:row>
    <x:row r="1689">
      <x:c r="A1689" s="32" t="n">
        <x:v>46251</x:v>
      </x:c>
      <x:c r="B1689" s="32" t="n">
        <x:v>46235</x:v>
      </x:c>
      <x:c r="C1689" t="str">
        <x:v>Aug 2026</x:v>
      </x:c>
      <x:c r="D1689" t="str">
        <x:v>Forecast</x:v>
      </x:c>
      <x:c r="E1689" t="str">
        <x:v>DB-102</x:v>
      </x:c>
      <x:c r="F1689" t="str">
        <x:v>GlowPatch Balm</x:v>
      </x:c>
      <x:c r="G1689" t="str">
        <x:v>Consumable repeat</x:v>
      </x:c>
      <x:c r="H1689" t="str">
        <x:v>None</x:v>
      </x:c>
      <x:c r="I1689" t="str">
        <x:v>Active</x:v>
      </x:c>
      <x:c r="J1689" t="str">
        <x:v>Shopify DTC</x:v>
      </x:c>
      <x:c r="K1689" t="str">
        <x:v>Consumer</x:v>
      </x:c>
      <x:c r="L1689" t="str">
        <x:v>All Geographies</x:v>
      </x:c>
      <x:c r="M1689" s="34" t="n">
        <x:v>5893</x:v>
      </x:c>
      <x:c r="N1689" s="28" t="n">
        <x:v>0.04248</x:v>
      </x:c>
      <x:c r="O1689" s="34" t="n">
        <x:v>250</x:v>
      </x:c>
      <x:c r="P1689" s="34" t="n">
        <x:v>1</x:v>
      </x:c>
      <x:c r="Q1689" s="34" t="n">
        <x:v>250</x:v>
      </x:c>
      <x:c r="R1689" s="33" t="n">
        <x:v>18</x:v>
      </x:c>
      <x:c r="S1689" s="38" t="n">
        <x:v>4.5</x:v>
      </x:c>
      <x:c r="T1689" s="38" t="n">
        <x:v>0.36</x:v>
      </x:c>
      <x:c r="U1689" s="38" t="n">
        <x:v>0.1035</x:v>
      </x:c>
      <x:c r="V1689" s="38" t="n">
        <x:v>4.036499999999999</x:v>
      </x:c>
      <x:c r="W1689" s="38" t="n">
        <x:v>1.3525</x:v>
      </x:c>
      <x:c r="X1689" s="38" t="n">
        <x:v>0.11705849999999998</x:v>
      </x:c>
      <x:c r="Y1689" s="38" t="n">
        <x:v>0</x:v>
      </x:c>
      <x:c r="Z1689" s="38" t="n">
        <x:v>1.0375</x:v>
      </x:c>
      <x:c r="AA1689" s="38" t="n">
        <x:v>0.4125</x:v>
      </x:c>
      <x:c r="AB1689" s="38" t="n">
        <x:v>0.0015</x:v>
      </x:c>
      <x:c r="AC1689" s="38" t="n">
        <x:v>1.1154414999999989</x:v>
      </x:c>
      <x:c r="AD1689" s="28" t="n">
        <x:v>0.2763387835996529</x:v>
      </x:c>
    </x:row>
    <x:row r="1690">
      <x:c r="A1690" s="32" t="n">
        <x:v>46251</x:v>
      </x:c>
      <x:c r="B1690" s="32" t="n">
        <x:v>46235</x:v>
      </x:c>
      <x:c r="C1690" t="str">
        <x:v>Aug 2026</x:v>
      </x:c>
      <x:c r="D1690" t="str">
        <x:v>Forecast</x:v>
      </x:c>
      <x:c r="E1690" t="str">
        <x:v>DB-102</x:v>
      </x:c>
      <x:c r="F1690" t="str">
        <x:v>GlowPatch Balm</x:v>
      </x:c>
      <x:c r="G1690" t="str">
        <x:v>Consumable repeat</x:v>
      </x:c>
      <x:c r="H1690" t="str">
        <x:v>None</x:v>
      </x:c>
      <x:c r="I1690" t="str">
        <x:v>Active</x:v>
      </x:c>
      <x:c r="J1690" t="str">
        <x:v>Amazon Marketplace</x:v>
      </x:c>
      <x:c r="K1690" t="str">
        <x:v>Marketplace Consumer</x:v>
      </x:c>
      <x:c r="L1690" t="str">
        <x:v>All Geographies</x:v>
      </x:c>
      <x:c r="M1690" s="34" t="n">
        <x:v>2946</x:v>
      </x:c>
      <x:c r="N1690" s="28" t="n">
        <x:v>0.050126399999999995</x:v>
      </x:c>
      <x:c r="O1690" s="34" t="n">
        <x:v>148</x:v>
      </x:c>
      <x:c r="P1690" s="34" t="n">
        <x:v>1</x:v>
      </x:c>
      <x:c r="Q1690" s="34" t="n">
        <x:v>148</x:v>
      </x:c>
      <x:c r="R1690" s="33" t="n">
        <x:v>18</x:v>
      </x:c>
      <x:c r="S1690" s="38" t="n">
        <x:v>2.664</x:v>
      </x:c>
      <x:c r="T1690" s="38" t="n">
        <x:v>0.1332</x:v>
      </x:c>
      <x:c r="U1690" s="38" t="n">
        <x:v>0.06327</x:v>
      </x:c>
      <x:c r="V1690" s="38" t="n">
        <x:v>2.46753</x:v>
      </x:c>
      <x:c r="W1690" s="38" t="n">
        <x:v>0.8006800000000001</x:v>
      </x:c>
      <x:c r="X1690" s="38" t="n">
        <x:v>0</x:v>
      </x:c>
      <x:c r="Y1690" s="38" t="n">
        <x:v>0.3701295</x:v>
      </x:c>
      <x:c r="Z1690" s="38" t="n">
        <x:v>0.7696000000000001</x:v>
      </x:c>
      <x:c r="AA1690" s="38" t="n">
        <x:v>0.3182</x:v>
      </x:c>
      <x:c r="AB1690" s="38" t="n">
        <x:v>0.0008879999999999999</x:v>
      </x:c>
      <x:c r="AC1690" s="38" t="n">
        <x:v>0.2080324999999999</x:v>
      </x:c>
      <x:c r="AD1690" s="28" t="n">
        <x:v>0.084307992202729</x:v>
      </x:c>
    </x:row>
    <x:row r="1691">
      <x:c r="A1691" s="32" t="n">
        <x:v>46251</x:v>
      </x:c>
      <x:c r="B1691" s="32" t="n">
        <x:v>46235</x:v>
      </x:c>
      <x:c r="C1691" t="str">
        <x:v>Aug 2026</x:v>
      </x:c>
      <x:c r="D1691" t="str">
        <x:v>Forecast</x:v>
      </x:c>
      <x:c r="E1691" t="str">
        <x:v>DB-102</x:v>
      </x:c>
      <x:c r="F1691" t="str">
        <x:v>GlowPatch Balm</x:v>
      </x:c>
      <x:c r="G1691" t="str">
        <x:v>Consumable repeat</x:v>
      </x:c>
      <x:c r="H1691" t="str">
        <x:v>None</x:v>
      </x:c>
      <x:c r="I1691" t="str">
        <x:v>Active</x:v>
      </x:c>
      <x:c r="J1691" t="str">
        <x:v>Wholesale</x:v>
      </x:c>
      <x:c r="K1691" t="str">
        <x:v>Retailer</x:v>
      </x:c>
      <x:c r="L1691" t="str">
        <x:v>All Geographies</x:v>
      </x:c>
      <x:c r="M1691" s="34" t="n">
        <x:v>1768</x:v>
      </x:c>
      <x:c r="N1691" s="28" t="n">
        <x:v>0.023364</x:v>
      </x:c>
      <x:c r="O1691" s="34" t="n">
        <x:v>41</x:v>
      </x:c>
      <x:c r="P1691" s="34" t="n">
        <x:v>1</x:v>
      </x:c>
      <x:c r="Q1691" s="34" t="n">
        <x:v>41</x:v>
      </x:c>
      <x:c r="R1691" s="33" t="n">
        <x:v>18</x:v>
      </x:c>
      <x:c r="S1691" s="38" t="n">
        <x:v>0.738</x:v>
      </x:c>
      <x:c r="T1691" s="38" t="n">
        <x:v>0.2583</x:v>
      </x:c>
      <x:c r="U1691" s="38" t="n">
        <x:v>0.011992500000000001</x:v>
      </x:c>
      <x:c r="V1691" s="38" t="n">
        <x:v>0.4677075</x:v>
      </x:c>
      <x:c r="W1691" s="38" t="n">
        <x:v>0.22181</x:v>
      </x:c>
      <x:c r="X1691" s="38" t="n">
        <x:v>0</x:v>
      </x:c>
      <x:c r="Y1691" s="38" t="n">
        <x:v>0</x:v>
      </x:c>
      <x:c r="Z1691" s="38" t="n">
        <x:v>0.0943</x:v>
      </x:c>
      <x:c r="AA1691" s="38" t="n">
        <x:v>0.03485</x:v>
      </x:c>
      <x:c r="AB1691" s="38" t="n">
        <x:v>0.000246</x:v>
      </x:c>
      <x:c r="AC1691" s="38" t="n">
        <x:v>0.11650150000000001</x:v>
      </x:c>
      <x:c r="AD1691" s="28" t="n">
        <x:v>0.2490905106289722</x:v>
      </x:c>
    </x:row>
    <x:row r="1692">
      <x:c r="A1692" s="32" t="n">
        <x:v>46251</x:v>
      </x:c>
      <x:c r="B1692" s="32" t="n">
        <x:v>46235</x:v>
      </x:c>
      <x:c r="C1692" t="str">
        <x:v>Aug 2026</x:v>
      </x:c>
      <x:c r="D1692" t="str">
        <x:v>Forecast</x:v>
      </x:c>
      <x:c r="E1692" t="str">
        <x:v>DB-102</x:v>
      </x:c>
      <x:c r="F1692" t="str">
        <x:v>GlowPatch Balm</x:v>
      </x:c>
      <x:c r="G1692" t="str">
        <x:v>Consumable repeat</x:v>
      </x:c>
      <x:c r="H1692" t="str">
        <x:v>None</x:v>
      </x:c>
      <x:c r="I1692" t="str">
        <x:v>Active</x:v>
      </x:c>
      <x:c r="J1692" t="str">
        <x:v>TikTok Shop</x:v>
      </x:c>
      <x:c r="K1692" t="str">
        <x:v>Social Commerce</x:v>
      </x:c>
      <x:c r="L1692" t="str">
        <x:v>All Geographies</x:v>
      </x:c>
      <x:c r="M1692" s="34" t="n">
        <x:v>1179</x:v>
      </x:c>
      <x:c r="N1692" s="28" t="n">
        <x:v>0.0535248</x:v>
      </x:c>
      <x:c r="O1692" s="34" t="n">
        <x:v>63</x:v>
      </x:c>
      <x:c r="P1692" s="34" t="n">
        <x:v>1</x:v>
      </x:c>
      <x:c r="Q1692" s="34" t="n">
        <x:v>63</x:v>
      </x:c>
      <x:c r="R1692" s="33" t="n">
        <x:v>18</x:v>
      </x:c>
      <x:c r="S1692" s="38" t="n">
        <x:v>1.134</x:v>
      </x:c>
      <x:c r="T1692" s="38" t="n">
        <x:v>0.13607999999999998</x:v>
      </x:c>
      <x:c r="U1692" s="38" t="n">
        <x:v>0.024947999999999998</x:v>
      </x:c>
      <x:c r="V1692" s="38" t="n">
        <x:v>0.972972</x:v>
      </x:c>
      <x:c r="W1692" s="38" t="n">
        <x:v>0.34082999999999997</x:v>
      </x:c>
      <x:c r="X1692" s="38" t="n">
        <x:v>0.028216188</x:v>
      </x:c>
      <x:c r="Y1692" s="38" t="n">
        <x:v>0.05837832</x:v>
      </x:c>
      <x:c r="Z1692" s="38" t="n">
        <x:v>0.3213</x:v>
      </x:c>
      <x:c r="AA1692" s="38" t="n">
        <x:v>0.11025</x:v>
      </x:c>
      <x:c r="AB1692" s="38" t="n">
        <x:v>0.000378</x:v>
      </x:c>
      <x:c r="AC1692" s="38" t="n">
        <x:v>0.11361949199999999</x:v>
      </x:c>
      <x:c r="AD1692" s="28" t="n">
        <x:v>0.11677570577570577</x:v>
      </x:c>
    </x:row>
    <x:row r="1693">
      <x:c r="A1693" s="32" t="n">
        <x:v>46251</x:v>
      </x:c>
      <x:c r="B1693" s="32" t="n">
        <x:v>46235</x:v>
      </x:c>
      <x:c r="C1693" t="str">
        <x:v>Aug 2026</x:v>
      </x:c>
      <x:c r="D1693" t="str">
        <x:v>Forecast</x:v>
      </x:c>
      <x:c r="E1693" t="str">
        <x:v>DB-103</x:v>
      </x:c>
      <x:c r="F1693" t="str">
        <x:v>EmberTrail Camp Mug</x:v>
      </x:c>
      <x:c r="G1693" t="str">
        <x:v>One-time purchase</x:v>
      </x:c>
      <x:c r="H1693" t="str">
        <x:v>Winter peak</x:v>
      </x:c>
      <x:c r="I1693" t="str">
        <x:v>Active</x:v>
      </x:c>
      <x:c r="J1693" t="str">
        <x:v>Shopify DTC</x:v>
      </x:c>
      <x:c r="K1693" t="str">
        <x:v>Consumer</x:v>
      </x:c>
      <x:c r="L1693" t="str">
        <x:v>All Geographies</x:v>
      </x:c>
      <x:c r="M1693" s="34" t="n">
        <x:v>4344</x:v>
      </x:c>
      <x:c r="N1693" s="28" t="n">
        <x:v>0.0324</x:v>
      </x:c>
      <x:c r="O1693" s="34" t="n">
        <x:v>141</x:v>
      </x:c>
      <x:c r="P1693" s="34" t="n">
        <x:v>1</x:v>
      </x:c>
      <x:c r="Q1693" s="34" t="n">
        <x:v>141</x:v>
      </x:c>
      <x:c r="R1693" s="33" t="n">
        <x:v>34</x:v>
      </x:c>
      <x:c r="S1693" s="38" t="n">
        <x:v>4.794</x:v>
      </x:c>
      <x:c r="T1693" s="38" t="n">
        <x:v>0.38351999999999997</x:v>
      </x:c>
      <x:c r="U1693" s="38" t="n">
        <x:v>0.2425764</x:v>
      </x:c>
      <x:c r="V1693" s="38" t="n">
        <x:v>4.1679036</x:v>
      </x:c>
      <x:c r="W1693" s="38" t="n">
        <x:v>1.92747</x:v>
      </x:c>
      <x:c r="X1693" s="38" t="n">
        <x:v>0.1208692044</x:v>
      </x:c>
      <x:c r="Y1693" s="38" t="n">
        <x:v>0</x:v>
      </x:c>
      <x:c r="Z1693" s="38" t="n">
        <x:v>0.5851500000000001</x:v>
      </x:c>
      <x:c r="AA1693" s="38" t="n">
        <x:v>0.23264999999999997</x:v>
      </x:c>
      <x:c r="AB1693" s="38" t="n">
        <x:v>0.007896</x:v>
      </x:c>
      <x:c r="AC1693" s="38" t="n">
        <x:v>1.2938683955999999</x:v>
      </x:c>
      <x:c r="AD1693" s="28" t="n">
        <x:v>0.31043625759482535</x:v>
      </x:c>
    </x:row>
    <x:row r="1694">
      <x:c r="A1694" s="32" t="n">
        <x:v>46251</x:v>
      </x:c>
      <x:c r="B1694" s="32" t="n">
        <x:v>46235</x:v>
      </x:c>
      <x:c r="C1694" t="str">
        <x:v>Aug 2026</x:v>
      </x:c>
      <x:c r="D1694" t="str">
        <x:v>Forecast</x:v>
      </x:c>
      <x:c r="E1694" t="str">
        <x:v>DB-103</x:v>
      </x:c>
      <x:c r="F1694" t="str">
        <x:v>EmberTrail Camp Mug</x:v>
      </x:c>
      <x:c r="G1694" t="str">
        <x:v>One-time purchase</x:v>
      </x:c>
      <x:c r="H1694" t="str">
        <x:v>Winter peak</x:v>
      </x:c>
      <x:c r="I1694" t="str">
        <x:v>Active</x:v>
      </x:c>
      <x:c r="J1694" t="str">
        <x:v>Amazon Marketplace</x:v>
      </x:c>
      <x:c r="K1694" t="str">
        <x:v>Marketplace Consumer</x:v>
      </x:c>
      <x:c r="L1694" t="str">
        <x:v>All Geographies</x:v>
      </x:c>
      <x:c r="M1694" s="34" t="n">
        <x:v>2172</x:v>
      </x:c>
      <x:c r="N1694" s="28" t="n">
        <x:v>0.038231999999999995</x:v>
      </x:c>
      <x:c r="O1694" s="34" t="n">
        <x:v>83</x:v>
      </x:c>
      <x:c r="P1694" s="34" t="n">
        <x:v>1</x:v>
      </x:c>
      <x:c r="Q1694" s="34" t="n">
        <x:v>83</x:v>
      </x:c>
      <x:c r="R1694" s="33" t="n">
        <x:v>34</x:v>
      </x:c>
      <x:c r="S1694" s="38" t="n">
        <x:v>2.822</x:v>
      </x:c>
      <x:c r="T1694" s="38" t="n">
        <x:v>0.1411</x:v>
      </x:c>
      <x:c r="U1694" s="38" t="n">
        <x:v>0.1474495</x:v>
      </x:c>
      <x:c r="V1694" s="38" t="n">
        <x:v>2.5334505000000003</x:v>
      </x:c>
      <x:c r="W1694" s="38" t="n">
        <x:v>1.13461</x:v>
      </x:c>
      <x:c r="X1694" s="38" t="n">
        <x:v>0</x:v>
      </x:c>
      <x:c r="Y1694" s="38" t="n">
        <x:v>0.38001757500000005</x:v>
      </x:c>
      <x:c r="Z1694" s="38" t="n">
        <x:v>0.43160000000000004</x:v>
      </x:c>
      <x:c r="AA1694" s="38" t="n">
        <x:v>0.17845</x:v>
      </x:c>
      <x:c r="AB1694" s="38" t="n">
        <x:v>0.004648</x:v>
      </x:c>
      <x:c r="AC1694" s="38" t="n">
        <x:v>0.4041249250000003</x:v>
      </x:c>
      <x:c r="AD1694" s="28" t="n">
        <x:v>0.15951561911314244</x:v>
      </x:c>
    </x:row>
    <x:row r="1695">
      <x:c r="A1695" s="32" t="n">
        <x:v>46251</x:v>
      </x:c>
      <x:c r="B1695" s="32" t="n">
        <x:v>46235</x:v>
      </x:c>
      <x:c r="C1695" t="str">
        <x:v>Aug 2026</x:v>
      </x:c>
      <x:c r="D1695" t="str">
        <x:v>Forecast</x:v>
      </x:c>
      <x:c r="E1695" t="str">
        <x:v>DB-103</x:v>
      </x:c>
      <x:c r="F1695" t="str">
        <x:v>EmberTrail Camp Mug</x:v>
      </x:c>
      <x:c r="G1695" t="str">
        <x:v>One-time purchase</x:v>
      </x:c>
      <x:c r="H1695" t="str">
        <x:v>Winter peak</x:v>
      </x:c>
      <x:c r="I1695" t="str">
        <x:v>Active</x:v>
      </x:c>
      <x:c r="J1695" t="str">
        <x:v>Wholesale</x:v>
      </x:c>
      <x:c r="K1695" t="str">
        <x:v>Retailer</x:v>
      </x:c>
      <x:c r="L1695" t="str">
        <x:v>All Geographies</x:v>
      </x:c>
      <x:c r="M1695" s="34" t="n">
        <x:v>1303</x:v>
      </x:c>
      <x:c r="N1695" s="28" t="n">
        <x:v>0.017820000000000003</x:v>
      </x:c>
      <x:c r="O1695" s="34" t="n">
        <x:v>23</x:v>
      </x:c>
      <x:c r="P1695" s="34" t="n">
        <x:v>1</x:v>
      </x:c>
      <x:c r="Q1695" s="34" t="n">
        <x:v>23</x:v>
      </x:c>
      <x:c r="R1695" s="33" t="n">
        <x:v>34</x:v>
      </x:c>
      <x:c r="S1695" s="38" t="n">
        <x:v>0.782</x:v>
      </x:c>
      <x:c r="T1695" s="38" t="n">
        <x:v>0.2737</x:v>
      </x:c>
      <x:c r="U1695" s="38" t="n">
        <x:v>0.0279565</x:v>
      </x:c>
      <x:c r="V1695" s="38" t="n">
        <x:v>0.4803435</x:v>
      </x:c>
      <x:c r="W1695" s="38" t="n">
        <x:v>0.31441</x:v>
      </x:c>
      <x:c r="X1695" s="38" t="n">
        <x:v>0</x:v>
      </x:c>
      <x:c r="Y1695" s="38" t="n">
        <x:v>0</x:v>
      </x:c>
      <x:c r="Z1695" s="38" t="n">
        <x:v>0.052899999999999996</x:v>
      </x:c>
      <x:c r="AA1695" s="38" t="n">
        <x:v>0.01955</x:v>
      </x:c>
      <x:c r="AB1695" s="38" t="n">
        <x:v>0.001288</x:v>
      </x:c>
      <x:c r="AC1695" s="38" t="n">
        <x:v>0.09219549999999996</x:v>
      </x:c>
      <x:c r="AD1695" s="28" t="n">
        <x:v>0.1919366037013095</x:v>
      </x:c>
    </x:row>
    <x:row r="1696">
      <x:c r="A1696" s="32" t="n">
        <x:v>46251</x:v>
      </x:c>
      <x:c r="B1696" s="32" t="n">
        <x:v>46235</x:v>
      </x:c>
      <x:c r="C1696" t="str">
        <x:v>Aug 2026</x:v>
      </x:c>
      <x:c r="D1696" t="str">
        <x:v>Forecast</x:v>
      </x:c>
      <x:c r="E1696" t="str">
        <x:v>DB-103</x:v>
      </x:c>
      <x:c r="F1696" t="str">
        <x:v>EmberTrail Camp Mug</x:v>
      </x:c>
      <x:c r="G1696" t="str">
        <x:v>One-time purchase</x:v>
      </x:c>
      <x:c r="H1696" t="str">
        <x:v>Winter peak</x:v>
      </x:c>
      <x:c r="I1696" t="str">
        <x:v>Active</x:v>
      </x:c>
      <x:c r="J1696" t="str">
        <x:v>TikTok Shop</x:v>
      </x:c>
      <x:c r="K1696" t="str">
        <x:v>Social Commerce</x:v>
      </x:c>
      <x:c r="L1696" t="str">
        <x:v>All Geographies</x:v>
      </x:c>
      <x:c r="M1696" s="34" t="n">
        <x:v>869</x:v>
      </x:c>
      <x:c r="N1696" s="28" t="n">
        <x:v>0.040824</x:v>
      </x:c>
      <x:c r="O1696" s="34" t="n">
        <x:v>35</x:v>
      </x:c>
      <x:c r="P1696" s="34" t="n">
        <x:v>1</x:v>
      </x:c>
      <x:c r="Q1696" s="34" t="n">
        <x:v>35</x:v>
      </x:c>
      <x:c r="R1696" s="33" t="n">
        <x:v>34</x:v>
      </x:c>
      <x:c r="S1696" s="38" t="n">
        <x:v>1.19</x:v>
      </x:c>
      <x:c r="T1696" s="38" t="n">
        <x:v>0.14279999999999998</x:v>
      </x:c>
      <x:c r="U1696" s="38" t="n">
        <x:v>0.057595999999999994</x:v>
      </x:c>
      <x:c r="V1696" s="38" t="n">
        <x:v>0.9896039999999999</x:v>
      </x:c>
      <x:c r="W1696" s="38" t="n">
        <x:v>0.47845</x:v>
      </x:c>
      <x:c r="X1696" s="38" t="n">
        <x:v>0.028698516</x:v>
      </x:c>
      <x:c r="Y1696" s="38" t="n">
        <x:v>0.05937624</x:v>
      </x:c>
      <x:c r="Z1696" s="38" t="n">
        <x:v>0.1785</x:v>
      </x:c>
      <x:c r="AA1696" s="38" t="n">
        <x:v>0.06125</x:v>
      </x:c>
      <x:c r="AB1696" s="38" t="n">
        <x:v>0.0019600000000000004</x:v>
      </x:c>
      <x:c r="AC1696" s="38" t="n">
        <x:v>0.18136924399999987</x:v>
      </x:c>
      <x:c r="AD1696" s="28" t="n">
        <x:v>0.18327456639221335</x:v>
      </x:c>
    </x:row>
    <x:row r="1697">
      <x:c r="A1697" s="32" t="n">
        <x:v>46251</x:v>
      </x:c>
      <x:c r="B1697" s="32" t="n">
        <x:v>46235</x:v>
      </x:c>
      <x:c r="C1697" t="str">
        <x:v>Aug 2026</x:v>
      </x:c>
      <x:c r="D1697" t="str">
        <x:v>Forecast</x:v>
      </x:c>
      <x:c r="E1697" t="str">
        <x:v>DB-104</x:v>
      </x:c>
      <x:c r="F1697" t="str">
        <x:v>SunNest Cooling Towel</x:v>
      </x:c>
      <x:c r="G1697" t="str">
        <x:v>Consumable repeat</x:v>
      </x:c>
      <x:c r="H1697" t="str">
        <x:v>Summer peak</x:v>
      </x:c>
      <x:c r="I1697" t="str">
        <x:v>Active</x:v>
      </x:c>
      <x:c r="J1697" t="str">
        <x:v>Shopify DTC</x:v>
      </x:c>
      <x:c r="K1697" t="str">
        <x:v>Consumer</x:v>
      </x:c>
      <x:c r="L1697" t="str">
        <x:v>All Geographies</x:v>
      </x:c>
      <x:c r="M1697" s="34" t="n">
        <x:v>5629</x:v>
      </x:c>
      <x:c r="N1697" s="28" t="n">
        <x:v>0.03312</x:v>
      </x:c>
      <x:c r="O1697" s="34" t="n">
        <x:v>186</x:v>
      </x:c>
      <x:c r="P1697" s="34" t="n">
        <x:v>1</x:v>
      </x:c>
      <x:c r="Q1697" s="34" t="n">
        <x:v>186</x:v>
      </x:c>
      <x:c r="R1697" s="33" t="n">
        <x:v>42</x:v>
      </x:c>
      <x:c r="S1697" s="38" t="n">
        <x:v>7.812</x:v>
      </x:c>
      <x:c r="T1697" s="38" t="n">
        <x:v>0.6249600000000001</x:v>
      </x:c>
      <x:c r="U1697" s="38" t="n">
        <x:v>0.35935200000000006</x:v>
      </x:c>
      <x:c r="V1697" s="38" t="n">
        <x:v>6.827688</x:v>
      </x:c>
      <x:c r="W1697" s="38" t="n">
        <x:v>2.7993</x:v>
      </x:c>
      <x:c r="X1697" s="38" t="n">
        <x:v>0.198002952</x:v>
      </x:c>
      <x:c r="Y1697" s="38" t="n">
        <x:v>0</x:v>
      </x:c>
      <x:c r="Z1697" s="38" t="n">
        <x:v>0.7719000000000001</x:v>
      </x:c>
      <x:c r="AA1697" s="38" t="n">
        <x:v>0.30689999999999995</x:v>
      </x:c>
      <x:c r="AB1697" s="38" t="n">
        <x:v>0.005208</x:v>
      </x:c>
      <x:c r="AC1697" s="38" t="n">
        <x:v>2.746377048</x:v>
      </x:c>
      <x:c r="AD1697" s="28" t="n">
        <x:v>0.4022411463441211</x:v>
      </x:c>
    </x:row>
    <x:row r="1698">
      <x:c r="A1698" s="32" t="n">
        <x:v>46251</x:v>
      </x:c>
      <x:c r="B1698" s="32" t="n">
        <x:v>46235</x:v>
      </x:c>
      <x:c r="C1698" t="str">
        <x:v>Aug 2026</x:v>
      </x:c>
      <x:c r="D1698" t="str">
        <x:v>Forecast</x:v>
      </x:c>
      <x:c r="E1698" t="str">
        <x:v>DB-104</x:v>
      </x:c>
      <x:c r="F1698" t="str">
        <x:v>SunNest Cooling Towel</x:v>
      </x:c>
      <x:c r="G1698" t="str">
        <x:v>Consumable repeat</x:v>
      </x:c>
      <x:c r="H1698" t="str">
        <x:v>Summer peak</x:v>
      </x:c>
      <x:c r="I1698" t="str">
        <x:v>Active</x:v>
      </x:c>
      <x:c r="J1698" t="str">
        <x:v>Amazon Marketplace</x:v>
      </x:c>
      <x:c r="K1698" t="str">
        <x:v>Marketplace Consumer</x:v>
      </x:c>
      <x:c r="L1698" t="str">
        <x:v>All Geographies</x:v>
      </x:c>
      <x:c r="M1698" s="34" t="n">
        <x:v>2814</x:v>
      </x:c>
      <x:c r="N1698" s="28" t="n">
        <x:v>0.0390816</x:v>
      </x:c>
      <x:c r="O1698" s="34" t="n">
        <x:v>110</x:v>
      </x:c>
      <x:c r="P1698" s="34" t="n">
        <x:v>1</x:v>
      </x:c>
      <x:c r="Q1698" s="34" t="n">
        <x:v>110</x:v>
      </x:c>
      <x:c r="R1698" s="33" t="n">
        <x:v>42</x:v>
      </x:c>
      <x:c r="S1698" s="38" t="n">
        <x:v>4.62</x:v>
      </x:c>
      <x:c r="T1698" s="38" t="n">
        <x:v>0.231</x:v>
      </x:c>
      <x:c r="U1698" s="38" t="n">
        <x:v>0.21945000000000003</x:v>
      </x:c>
      <x:c r="V1698" s="38" t="n">
        <x:v>4.16955</x:v>
      </x:c>
      <x:c r="W1698" s="38" t="n">
        <x:v>1.6555</x:v>
      </x:c>
      <x:c r="X1698" s="38" t="n">
        <x:v>0</x:v>
      </x:c>
      <x:c r="Y1698" s="38" t="n">
        <x:v>0.6254325</x:v>
      </x:c>
      <x:c r="Z1698" s="38" t="n">
        <x:v>0.572</x:v>
      </x:c>
      <x:c r="AA1698" s="38" t="n">
        <x:v>0.2365</x:v>
      </x:c>
      <x:c r="AB1698" s="38" t="n">
        <x:v>0.0030800000000000003</x:v>
      </x:c>
      <x:c r="AC1698" s="38" t="n">
        <x:v>1.0770375</x:v>
      </x:c>
      <x:c r="AD1698" s="28" t="n">
        <x:v>0.25831024930747926</x:v>
      </x:c>
    </x:row>
    <x:row r="1699">
      <x:c r="A1699" s="32" t="n">
        <x:v>46251</x:v>
      </x:c>
      <x:c r="B1699" s="32" t="n">
        <x:v>46235</x:v>
      </x:c>
      <x:c r="C1699" t="str">
        <x:v>Aug 2026</x:v>
      </x:c>
      <x:c r="D1699" t="str">
        <x:v>Forecast</x:v>
      </x:c>
      <x:c r="E1699" t="str">
        <x:v>DB-104</x:v>
      </x:c>
      <x:c r="F1699" t="str">
        <x:v>SunNest Cooling Towel</x:v>
      </x:c>
      <x:c r="G1699" t="str">
        <x:v>Consumable repeat</x:v>
      </x:c>
      <x:c r="H1699" t="str">
        <x:v>Summer peak</x:v>
      </x:c>
      <x:c r="I1699" t="str">
        <x:v>Active</x:v>
      </x:c>
      <x:c r="J1699" t="str">
        <x:v>Wholesale</x:v>
      </x:c>
      <x:c r="K1699" t="str">
        <x:v>Retailer</x:v>
      </x:c>
      <x:c r="L1699" t="str">
        <x:v>All Geographies</x:v>
      </x:c>
      <x:c r="M1699" s="34" t="n">
        <x:v>1689</x:v>
      </x:c>
      <x:c r="N1699" s="28" t="n">
        <x:v>0.018216000000000003</x:v>
      </x:c>
      <x:c r="O1699" s="34" t="n">
        <x:v>31</x:v>
      </x:c>
      <x:c r="P1699" s="34" t="n">
        <x:v>1</x:v>
      </x:c>
      <x:c r="Q1699" s="34" t="n">
        <x:v>31</x:v>
      </x:c>
      <x:c r="R1699" s="33" t="n">
        <x:v>42</x:v>
      </x:c>
      <x:c r="S1699" s="38" t="n">
        <x:v>1.302</x:v>
      </x:c>
      <x:c r="T1699" s="38" t="n">
        <x:v>0.4557</x:v>
      </x:c>
      <x:c r="U1699" s="38" t="n">
        <x:v>0.042315000000000005</x:v>
      </x:c>
      <x:c r="V1699" s="38" t="n">
        <x:v>0.8039850000000001</x:v>
      </x:c>
      <x:c r="W1699" s="38" t="n">
        <x:v>0.46655</x:v>
      </x:c>
      <x:c r="X1699" s="38" t="n">
        <x:v>0</x:v>
      </x:c>
      <x:c r="Y1699" s="38" t="n">
        <x:v>0</x:v>
      </x:c>
      <x:c r="Z1699" s="38" t="n">
        <x:v>0.0713</x:v>
      </x:c>
      <x:c r="AA1699" s="38" t="n">
        <x:v>0.02635</x:v>
      </x:c>
      <x:c r="AB1699" s="38" t="n">
        <x:v>0.000868</x:v>
      </x:c>
      <x:c r="AC1699" s="38" t="n">
        <x:v>0.23891700000000002</x:v>
      </x:c>
      <x:c r="AD1699" s="28" t="n">
        <x:v>0.297165991902834</x:v>
      </x:c>
    </x:row>
    <x:row r="1700">
      <x:c r="A1700" s="32" t="n">
        <x:v>46251</x:v>
      </x:c>
      <x:c r="B1700" s="32" t="n">
        <x:v>46235</x:v>
      </x:c>
      <x:c r="C1700" t="str">
        <x:v>Aug 2026</x:v>
      </x:c>
      <x:c r="D1700" t="str">
        <x:v>Forecast</x:v>
      </x:c>
      <x:c r="E1700" t="str">
        <x:v>DB-104</x:v>
      </x:c>
      <x:c r="F1700" t="str">
        <x:v>SunNest Cooling Towel</x:v>
      </x:c>
      <x:c r="G1700" t="str">
        <x:v>Consumable repeat</x:v>
      </x:c>
      <x:c r="H1700" t="str">
        <x:v>Summer peak</x:v>
      </x:c>
      <x:c r="I1700" t="str">
        <x:v>Active</x:v>
      </x:c>
      <x:c r="J1700" t="str">
        <x:v>TikTok Shop</x:v>
      </x:c>
      <x:c r="K1700" t="str">
        <x:v>Social Commerce</x:v>
      </x:c>
      <x:c r="L1700" t="str">
        <x:v>All Geographies</x:v>
      </x:c>
      <x:c r="M1700" s="34" t="n">
        <x:v>1126</x:v>
      </x:c>
      <x:c r="N1700" s="28" t="n">
        <x:v>0.0417312</x:v>
      </x:c>
      <x:c r="O1700" s="34" t="n">
        <x:v>47</x:v>
      </x:c>
      <x:c r="P1700" s="34" t="n">
        <x:v>1</x:v>
      </x:c>
      <x:c r="Q1700" s="34" t="n">
        <x:v>47</x:v>
      </x:c>
      <x:c r="R1700" s="33" t="n">
        <x:v>42</x:v>
      </x:c>
      <x:c r="S1700" s="38" t="n">
        <x:v>1.974</x:v>
      </x:c>
      <x:c r="T1700" s="38" t="n">
        <x:v>0.23687999999999998</x:v>
      </x:c>
      <x:c r="U1700" s="38" t="n">
        <x:v>0.086856</x:v>
      </x:c>
      <x:c r="V1700" s="38" t="n">
        <x:v>1.650264</x:v>
      </x:c>
      <x:c r="W1700" s="38" t="n">
        <x:v>0.70735</x:v>
      </x:c>
      <x:c r="X1700" s="38" t="n">
        <x:v>0.047857656</x:v>
      </x:c>
      <x:c r="Y1700" s="38" t="n">
        <x:v>0.09901584</x:v>
      </x:c>
      <x:c r="Z1700" s="38" t="n">
        <x:v>0.2397</x:v>
      </x:c>
      <x:c r="AA1700" s="38" t="n">
        <x:v>0.08225</x:v>
      </x:c>
      <x:c r="AB1700" s="38" t="n">
        <x:v>0.0013160000000000001</x:v>
      </x:c>
      <x:c r="AC1700" s="38" t="n">
        <x:v>0.47277450399999993</x:v>
      </x:c>
      <x:c r="AD1700" s="28" t="n">
        <x:v>0.2864841649578491</x:v>
      </x:c>
    </x:row>
    <x:row r="1701">
      <x:c r="A1701" s="32" t="n">
        <x:v>46251</x:v>
      </x:c>
      <x:c r="B1701" s="32" t="n">
        <x:v>46235</x:v>
      </x:c>
      <x:c r="C1701" t="str">
        <x:v>Aug 2026</x:v>
      </x:c>
      <x:c r="D1701" t="str">
        <x:v>Forecast</x:v>
      </x:c>
      <x:c r="E1701" t="str">
        <x:v>DB-105</x:v>
      </x:c>
      <x:c r="F1701" t="str">
        <x:v>DreamFuel Refill Pack</x:v>
      </x:c>
      <x:c r="G1701" t="str">
        <x:v>Subscription</x:v>
      </x:c>
      <x:c r="H1701" t="str">
        <x:v>None</x:v>
      </x:c>
      <x:c r="I1701" t="str">
        <x:v>Active</x:v>
      </x:c>
      <x:c r="J1701" t="str">
        <x:v>Shopify DTC</x:v>
      </x:c>
      <x:c r="K1701" t="str">
        <x:v>Consumer</x:v>
      </x:c>
      <x:c r="L1701" t="str">
        <x:v>All Geographies</x:v>
      </x:c>
      <x:c r="M1701" s="34" t="n">
        <x:v>5051</x:v>
      </x:c>
      <x:c r="N1701" s="28" t="n">
        <x:v>0.03888</x:v>
      </x:c>
      <x:c r="O1701" s="34" t="n">
        <x:v>196</x:v>
      </x:c>
      <x:c r="P1701" s="34" t="n">
        <x:v>1</x:v>
      </x:c>
      <x:c r="Q1701" s="34" t="n">
        <x:v>196</x:v>
      </x:c>
      <x:c r="R1701" s="33" t="n">
        <x:v>56</x:v>
      </x:c>
      <x:c r="S1701" s="38" t="n">
        <x:v>10.976</x:v>
      </x:c>
      <x:c r="T1701" s="38" t="n">
        <x:v>0.8780800000000001</x:v>
      </x:c>
      <x:c r="U1701" s="38" t="n">
        <x:v>0.2019584</x:v>
      </x:c>
      <x:c r="V1701" s="38" t="n">
        <x:v>9.8959616</x:v>
      </x:c>
      <x:c r="W1701" s="38" t="n">
        <x:v>3.64952</x:v>
      </x:c>
      <x:c r="X1701" s="38" t="n">
        <x:v>0.2869828864</x:v>
      </x:c>
      <x:c r="Y1701" s="38" t="n">
        <x:v>0</x:v>
      </x:c>
      <x:c r="Z1701" s="38" t="n">
        <x:v>0.8134000000000001</x:v>
      </x:c>
      <x:c r="AA1701" s="38" t="n">
        <x:v>0.32339999999999997</x:v>
      </x:c>
      <x:c r="AB1701" s="38" t="n">
        <x:v>0.0007055999999999999</x:v>
      </x:c>
      <x:c r="AC1701" s="38" t="n">
        <x:v>4.8219531136</x:v>
      </x:c>
      <x:c r="AD1701" s="28" t="n">
        <x:v>0.4872647357079478</x:v>
      </x:c>
    </x:row>
    <x:row r="1702">
      <x:c r="A1702" s="32" t="n">
        <x:v>46251</x:v>
      </x:c>
      <x:c r="B1702" s="32" t="n">
        <x:v>46235</x:v>
      </x:c>
      <x:c r="C1702" t="str">
        <x:v>Aug 2026</x:v>
      </x:c>
      <x:c r="D1702" t="str">
        <x:v>Forecast</x:v>
      </x:c>
      <x:c r="E1702" t="str">
        <x:v>DB-105</x:v>
      </x:c>
      <x:c r="F1702" t="str">
        <x:v>DreamFuel Refill Pack</x:v>
      </x:c>
      <x:c r="G1702" t="str">
        <x:v>Subscription</x:v>
      </x:c>
      <x:c r="H1702" t="str">
        <x:v>None</x:v>
      </x:c>
      <x:c r="I1702" t="str">
        <x:v>Active</x:v>
      </x:c>
      <x:c r="J1702" t="str">
        <x:v>Amazon Marketplace</x:v>
      </x:c>
      <x:c r="K1702" t="str">
        <x:v>Marketplace Consumer</x:v>
      </x:c>
      <x:c r="L1702" t="str">
        <x:v>All Geographies</x:v>
      </x:c>
      <x:c r="M1702" s="34" t="n">
        <x:v>2525</x:v>
      </x:c>
      <x:c r="N1702" s="28" t="n">
        <x:v>0.0458784</x:v>
      </x:c>
      <x:c r="O1702" s="34" t="n">
        <x:v>116</x:v>
      </x:c>
      <x:c r="P1702" s="34" t="n">
        <x:v>1</x:v>
      </x:c>
      <x:c r="Q1702" s="34" t="n">
        <x:v>116</x:v>
      </x:c>
      <x:c r="R1702" s="33" t="n">
        <x:v>56</x:v>
      </x:c>
      <x:c r="S1702" s="38" t="n">
        <x:v>6.496</x:v>
      </x:c>
      <x:c r="T1702" s="38" t="n">
        <x:v>0.32480000000000003</x:v>
      </x:c>
      <x:c r="U1702" s="38" t="n">
        <x:v>0.12342400000000002</x:v>
      </x:c>
      <x:c r="V1702" s="38" t="n">
        <x:v>6.047776000000001</x:v>
      </x:c>
      <x:c r="W1702" s="38" t="n">
        <x:v>2.15992</x:v>
      </x:c>
      <x:c r="X1702" s="38" t="n">
        <x:v>0</x:v>
      </x:c>
      <x:c r="Y1702" s="38" t="n">
        <x:v>0.9071664</x:v>
      </x:c>
      <x:c r="Z1702" s="38" t="n">
        <x:v>0.6032000000000001</x:v>
      </x:c>
      <x:c r="AA1702" s="38" t="n">
        <x:v>0.24939999999999998</x:v>
      </x:c>
      <x:c r="AB1702" s="38" t="n">
        <x:v>0.0004176</x:v>
      </x:c>
      <x:c r="AC1702" s="38" t="n">
        <x:v>2.1276720000000005</x:v>
      </x:c>
      <x:c r="AD1702" s="28" t="n">
        <x:v>0.35181064907165877</x:v>
      </x:c>
    </x:row>
    <x:row r="1703">
      <x:c r="A1703" s="32" t="n">
        <x:v>46251</x:v>
      </x:c>
      <x:c r="B1703" s="32" t="n">
        <x:v>46235</x:v>
      </x:c>
      <x:c r="C1703" t="str">
        <x:v>Aug 2026</x:v>
      </x:c>
      <x:c r="D1703" t="str">
        <x:v>Forecast</x:v>
      </x:c>
      <x:c r="E1703" t="str">
        <x:v>DB-105</x:v>
      </x:c>
      <x:c r="F1703" t="str">
        <x:v>DreamFuel Refill Pack</x:v>
      </x:c>
      <x:c r="G1703" t="str">
        <x:v>Subscription</x:v>
      </x:c>
      <x:c r="H1703" t="str">
        <x:v>None</x:v>
      </x:c>
      <x:c r="I1703" t="str">
        <x:v>Active</x:v>
      </x:c>
      <x:c r="J1703" t="str">
        <x:v>Wholesale</x:v>
      </x:c>
      <x:c r="K1703" t="str">
        <x:v>Retailer</x:v>
      </x:c>
      <x:c r="L1703" t="str">
        <x:v>All Geographies</x:v>
      </x:c>
      <x:c r="M1703" s="34" t="n">
        <x:v>1515</x:v>
      </x:c>
      <x:c r="N1703" s="28" t="n">
        <x:v>0.021384000000000004</x:v>
      </x:c>
      <x:c r="O1703" s="34" t="n">
        <x:v>32</x:v>
      </x:c>
      <x:c r="P1703" s="34" t="n">
        <x:v>1</x:v>
      </x:c>
      <x:c r="Q1703" s="34" t="n">
        <x:v>32</x:v>
      </x:c>
      <x:c r="R1703" s="33" t="n">
        <x:v>56</x:v>
      </x:c>
      <x:c r="S1703" s="38" t="n">
        <x:v>1.792</x:v>
      </x:c>
      <x:c r="T1703" s="38" t="n">
        <x:v>0.6272</x:v>
      </x:c>
      <x:c r="U1703" s="38" t="n">
        <x:v>0.023296</x:v>
      </x:c>
      <x:c r="V1703" s="38" t="n">
        <x:v>1.141504</x:v>
      </x:c>
      <x:c r="W1703" s="38" t="n">
        <x:v>0.59584</x:v>
      </x:c>
      <x:c r="X1703" s="38" t="n">
        <x:v>0</x:v>
      </x:c>
      <x:c r="Y1703" s="38" t="n">
        <x:v>0</x:v>
      </x:c>
      <x:c r="Z1703" s="38" t="n">
        <x:v>0.0736</x:v>
      </x:c>
      <x:c r="AA1703" s="38" t="n">
        <x:v>0.0272</x:v>
      </x:c>
      <x:c r="AB1703" s="38" t="n">
        <x:v>0.0001152</x:v>
      </x:c>
      <x:c r="AC1703" s="38" t="n">
        <x:v>0.44474880000000006</x:v>
      </x:c>
      <x:c r="AD1703" s="28" t="n">
        <x:v>0.3896165059430366</x:v>
      </x:c>
    </x:row>
    <x:row r="1704">
      <x:c r="A1704" s="32" t="n">
        <x:v>46251</x:v>
      </x:c>
      <x:c r="B1704" s="32" t="n">
        <x:v>46235</x:v>
      </x:c>
      <x:c r="C1704" t="str">
        <x:v>Aug 2026</x:v>
      </x:c>
      <x:c r="D1704" t="str">
        <x:v>Forecast</x:v>
      </x:c>
      <x:c r="E1704" t="str">
        <x:v>DB-105</x:v>
      </x:c>
      <x:c r="F1704" t="str">
        <x:v>DreamFuel Refill Pack</x:v>
      </x:c>
      <x:c r="G1704" t="str">
        <x:v>Subscription</x:v>
      </x:c>
      <x:c r="H1704" t="str">
        <x:v>None</x:v>
      </x:c>
      <x:c r="I1704" t="str">
        <x:v>Active</x:v>
      </x:c>
      <x:c r="J1704" t="str">
        <x:v>TikTok Shop</x:v>
      </x:c>
      <x:c r="K1704" t="str">
        <x:v>Social Commerce</x:v>
      </x:c>
      <x:c r="L1704" t="str">
        <x:v>All Geographies</x:v>
      </x:c>
      <x:c r="M1704" s="34" t="n">
        <x:v>1010</x:v>
      </x:c>
      <x:c r="N1704" s="28" t="n">
        <x:v>0.0489888</x:v>
      </x:c>
      <x:c r="O1704" s="34" t="n">
        <x:v>49</x:v>
      </x:c>
      <x:c r="P1704" s="34" t="n">
        <x:v>1</x:v>
      </x:c>
      <x:c r="Q1704" s="34" t="n">
        <x:v>49</x:v>
      </x:c>
      <x:c r="R1704" s="33" t="n">
        <x:v>56</x:v>
      </x:c>
      <x:c r="S1704" s="38" t="n">
        <x:v>2.744</x:v>
      </x:c>
      <x:c r="T1704" s="38" t="n">
        <x:v>0.32928</x:v>
      </x:c>
      <x:c r="U1704" s="38" t="n">
        <x:v>0.0482944</x:v>
      </x:c>
      <x:c r="V1704" s="38" t="n">
        <x:v>2.3664256</x:v>
      </x:c>
      <x:c r="W1704" s="38" t="n">
        <x:v>0.91238</x:v>
      </x:c>
      <x:c r="X1704" s="38" t="n">
        <x:v>0.0686263424</x:v>
      </x:c>
      <x:c r="Y1704" s="38" t="n">
        <x:v>0.141985536</x:v>
      </x:c>
      <x:c r="Z1704" s="38" t="n">
        <x:v>0.24989999999999998</x:v>
      </x:c>
      <x:c r="AA1704" s="38" t="n">
        <x:v>0.08575</x:v>
      </x:c>
      <x:c r="AB1704" s="38" t="n">
        <x:v>0.00017639999999999998</x:v>
      </x:c>
      <x:c r="AC1704" s="38" t="n">
        <x:v>0.9076073216</x:v>
      </x:c>
      <x:c r="AD1704" s="28" t="n">
        <x:v>0.3835351179432812</x:v>
      </x:c>
    </x:row>
    <x:row r="1705">
      <x:c r="A1705" s="32" t="n">
        <x:v>46258</x:v>
      </x:c>
      <x:c r="B1705" s="32" t="n">
        <x:v>46235</x:v>
      </x:c>
      <x:c r="C1705" t="str">
        <x:v>Aug 2026</x:v>
      </x:c>
      <x:c r="D1705" t="str">
        <x:v>Forecast</x:v>
      </x:c>
      <x:c r="E1705" t="str">
        <x:v>DB-101</x:v>
      </x:c>
      <x:c r="F1705" t="str">
        <x:v>AeroSip Bottle</x:v>
      </x:c>
      <x:c r="G1705" t="str">
        <x:v>One-time purchase</x:v>
      </x:c>
      <x:c r="H1705" t="str">
        <x:v>None</x:v>
      </x:c>
      <x:c r="I1705" t="str">
        <x:v>Active</x:v>
      </x:c>
      <x:c r="J1705" t="str">
        <x:v>Shopify DTC</x:v>
      </x:c>
      <x:c r="K1705" t="str">
        <x:v>Consumer</x:v>
      </x:c>
      <x:c r="L1705" t="str">
        <x:v>All Geographies</x:v>
      </x:c>
      <x:c r="M1705" s="34" t="n">
        <x:v>7296</x:v>
      </x:c>
      <x:c r="N1705" s="28" t="n">
        <x:v>0.034199999999999994</x:v>
      </x:c>
      <x:c r="O1705" s="34" t="n">
        <x:v>250</x:v>
      </x:c>
      <x:c r="P1705" s="34" t="n">
        <x:v>1</x:v>
      </x:c>
      <x:c r="Q1705" s="34" t="n">
        <x:v>250</x:v>
      </x:c>
      <x:c r="R1705" s="33" t="n">
        <x:v>29</x:v>
      </x:c>
      <x:c r="S1705" s="38" t="n">
        <x:v>7.25</x:v>
      </x:c>
      <x:c r="T1705" s="38" t="n">
        <x:v>0.58</x:v>
      </x:c>
      <x:c r="U1705" s="38" t="n">
        <x:v>0.30015</x:v>
      </x:c>
      <x:c r="V1705" s="38" t="n">
        <x:v>6.36985</x:v>
      </x:c>
      <x:c r="W1705" s="38" t="n">
        <x:v>2.7</x:v>
      </x:c>
      <x:c r="X1705" s="38" t="n">
        <x:v>0.18472565</x:v>
      </x:c>
      <x:c r="Y1705" s="38" t="n">
        <x:v>0</x:v>
      </x:c>
      <x:c r="Z1705" s="38" t="n">
        <x:v>1.0375</x:v>
      </x:c>
      <x:c r="AA1705" s="38" t="n">
        <x:v>0.4125</x:v>
      </x:c>
      <x:c r="AB1705" s="38" t="n">
        <x:v>0.009</x:v>
      </x:c>
      <x:c r="AC1705" s="38" t="n">
        <x:v>2.0261243499999995</x:v>
      </x:c>
      <x:c r="AD1705" s="28" t="n">
        <x:v>0.31808038650831644</x:v>
      </x:c>
    </x:row>
    <x:row r="1706">
      <x:c r="A1706" s="32" t="n">
        <x:v>46258</x:v>
      </x:c>
      <x:c r="B1706" s="32" t="n">
        <x:v>46235</x:v>
      </x:c>
      <x:c r="C1706" t="str">
        <x:v>Aug 2026</x:v>
      </x:c>
      <x:c r="D1706" t="str">
        <x:v>Forecast</x:v>
      </x:c>
      <x:c r="E1706" t="str">
        <x:v>DB-101</x:v>
      </x:c>
      <x:c r="F1706" t="str">
        <x:v>AeroSip Bottle</x:v>
      </x:c>
      <x:c r="G1706" t="str">
        <x:v>One-time purchase</x:v>
      </x:c>
      <x:c r="H1706" t="str">
        <x:v>None</x:v>
      </x:c>
      <x:c r="I1706" t="str">
        <x:v>Active</x:v>
      </x:c>
      <x:c r="J1706" t="str">
        <x:v>Amazon Marketplace</x:v>
      </x:c>
      <x:c r="K1706" t="str">
        <x:v>Marketplace Consumer</x:v>
      </x:c>
      <x:c r="L1706" t="str">
        <x:v>All Geographies</x:v>
      </x:c>
      <x:c r="M1706" s="34" t="n">
        <x:v>3648</x:v>
      </x:c>
      <x:c r="N1706" s="28" t="n">
        <x:v>0.040355999999999996</x:v>
      </x:c>
      <x:c r="O1706" s="34" t="n">
        <x:v>147</x:v>
      </x:c>
      <x:c r="P1706" s="34" t="n">
        <x:v>1</x:v>
      </x:c>
      <x:c r="Q1706" s="34" t="n">
        <x:v>147</x:v>
      </x:c>
      <x:c r="R1706" s="33" t="n">
        <x:v>29</x:v>
      </x:c>
      <x:c r="S1706" s="38" t="n">
        <x:v>4.263</x:v>
      </x:c>
      <x:c r="T1706" s="38" t="n">
        <x:v>0.21315</x:v>
      </x:c>
      <x:c r="U1706" s="38" t="n">
        <x:v>0.18224325</x:v>
      </x:c>
      <x:c r="V1706" s="38" t="n">
        <x:v>3.86760675</x:v>
      </x:c>
      <x:c r="W1706" s="38" t="n">
        <x:v>1.5876000000000001</x:v>
      </x:c>
      <x:c r="X1706" s="38" t="n">
        <x:v>0</x:v>
      </x:c>
      <x:c r="Y1706" s="38" t="n">
        <x:v>0.5801410125</x:v>
      </x:c>
      <x:c r="Z1706" s="38" t="n">
        <x:v>0.7644</x:v>
      </x:c>
      <x:c r="AA1706" s="38" t="n">
        <x:v>0.31605</x:v>
      </x:c>
      <x:c r="AB1706" s="38" t="n">
        <x:v>0.005292</x:v>
      </x:c>
      <x:c r="AC1706" s="38" t="n">
        <x:v>0.6141237375000003</x:v>
      </x:c>
      <x:c r="AD1706" s="28" t="n">
        <x:v>0.15878649955815705</x:v>
      </x:c>
    </x:row>
    <x:row r="1707">
      <x:c r="A1707" s="32" t="n">
        <x:v>46258</x:v>
      </x:c>
      <x:c r="B1707" s="32" t="n">
        <x:v>46235</x:v>
      </x:c>
      <x:c r="C1707" t="str">
        <x:v>Aug 2026</x:v>
      </x:c>
      <x:c r="D1707" t="str">
        <x:v>Forecast</x:v>
      </x:c>
      <x:c r="E1707" t="str">
        <x:v>DB-101</x:v>
      </x:c>
      <x:c r="F1707" t="str">
        <x:v>AeroSip Bottle</x:v>
      </x:c>
      <x:c r="G1707" t="str">
        <x:v>One-time purchase</x:v>
      </x:c>
      <x:c r="H1707" t="str">
        <x:v>None</x:v>
      </x:c>
      <x:c r="I1707" t="str">
        <x:v>Active</x:v>
      </x:c>
      <x:c r="J1707" t="str">
        <x:v>Wholesale</x:v>
      </x:c>
      <x:c r="K1707" t="str">
        <x:v>Retailer</x:v>
      </x:c>
      <x:c r="L1707" t="str">
        <x:v>All Geographies</x:v>
      </x:c>
      <x:c r="M1707" s="34" t="n">
        <x:v>2189</x:v>
      </x:c>
      <x:c r="N1707" s="28" t="n">
        <x:v>0.01881</x:v>
      </x:c>
      <x:c r="O1707" s="34" t="n">
        <x:v>41</x:v>
      </x:c>
      <x:c r="P1707" s="34" t="n">
        <x:v>1</x:v>
      </x:c>
      <x:c r="Q1707" s="34" t="n">
        <x:v>41</x:v>
      </x:c>
      <x:c r="R1707" s="33" t="n">
        <x:v>29</x:v>
      </x:c>
      <x:c r="S1707" s="38" t="n">
        <x:v>1.189</x:v>
      </x:c>
      <x:c r="T1707" s="38" t="n">
        <x:v>0.41615</x:v>
      </x:c>
      <x:c r="U1707" s="38" t="n">
        <x:v>0.034778250000000004</x:v>
      </x:c>
      <x:c r="V1707" s="38" t="n">
        <x:v>0.73807175</x:v>
      </x:c>
      <x:c r="W1707" s="38" t="n">
        <x:v>0.4428</x:v>
      </x:c>
      <x:c r="X1707" s="38" t="n">
        <x:v>0</x:v>
      </x:c>
      <x:c r="Y1707" s="38" t="n">
        <x:v>0</x:v>
      </x:c>
      <x:c r="Z1707" s="38" t="n">
        <x:v>0.0943</x:v>
      </x:c>
      <x:c r="AA1707" s="38" t="n">
        <x:v>0.03485</x:v>
      </x:c>
      <x:c r="AB1707" s="38" t="n">
        <x:v>0.0014759999999999999</x:v>
      </x:c>
      <x:c r="AC1707" s="38" t="n">
        <x:v>0.16464575</x:v>
      </x:c>
      <x:c r="AD1707" s="28" t="n">
        <x:v>0.22307553432305194</x:v>
      </x:c>
    </x:row>
    <x:row r="1708">
      <x:c r="A1708" s="32" t="n">
        <x:v>46258</x:v>
      </x:c>
      <x:c r="B1708" s="32" t="n">
        <x:v>46235</x:v>
      </x:c>
      <x:c r="C1708" t="str">
        <x:v>Aug 2026</x:v>
      </x:c>
      <x:c r="D1708" t="str">
        <x:v>Forecast</x:v>
      </x:c>
      <x:c r="E1708" t="str">
        <x:v>DB-101</x:v>
      </x:c>
      <x:c r="F1708" t="str">
        <x:v>AeroSip Bottle</x:v>
      </x:c>
      <x:c r="G1708" t="str">
        <x:v>One-time purchase</x:v>
      </x:c>
      <x:c r="H1708" t="str">
        <x:v>None</x:v>
      </x:c>
      <x:c r="I1708" t="str">
        <x:v>Active</x:v>
      </x:c>
      <x:c r="J1708" t="str">
        <x:v>TikTok Shop</x:v>
      </x:c>
      <x:c r="K1708" t="str">
        <x:v>Social Commerce</x:v>
      </x:c>
      <x:c r="L1708" t="str">
        <x:v>All Geographies</x:v>
      </x:c>
      <x:c r="M1708" s="34" t="n">
        <x:v>1459</x:v>
      </x:c>
      <x:c r="N1708" s="28" t="n">
        <x:v>0.043092</x:v>
      </x:c>
      <x:c r="O1708" s="34" t="n">
        <x:v>63</x:v>
      </x:c>
      <x:c r="P1708" s="34" t="n">
        <x:v>1</x:v>
      </x:c>
      <x:c r="Q1708" s="34" t="n">
        <x:v>63</x:v>
      </x:c>
      <x:c r="R1708" s="33" t="n">
        <x:v>29</x:v>
      </x:c>
      <x:c r="S1708" s="38" t="n">
        <x:v>1.827</x:v>
      </x:c>
      <x:c r="T1708" s="38" t="n">
        <x:v>0.21924</x:v>
      </x:c>
      <x:c r="U1708" s="38" t="n">
        <x:v>0.07234919999999999</x:v>
      </x:c>
      <x:c r="V1708" s="38" t="n">
        <x:v>1.5354108</x:v>
      </x:c>
      <x:c r="W1708" s="38" t="n">
        <x:v>0.6804000000000001</x:v>
      </x:c>
      <x:c r="X1708" s="38" t="n">
        <x:v>0.044526913200000004</x:v>
      </x:c>
      <x:c r="Y1708" s="38" t="n">
        <x:v>0.09212464799999999</x:v>
      </x:c>
      <x:c r="Z1708" s="38" t="n">
        <x:v>0.3213</x:v>
      </x:c>
      <x:c r="AA1708" s="38" t="n">
        <x:v>0.11025</x:v>
      </x:c>
      <x:c r="AB1708" s="38" t="n">
        <x:v>0.0022679999999999996</x:v>
      </x:c>
      <x:c r="AC1708" s="38" t="n">
        <x:v>0.2845412387999999</x:v>
      </x:c>
      <x:c r="AD1708" s="28" t="n">
        <x:v>0.18531928966501987</x:v>
      </x:c>
    </x:row>
    <x:row r="1709">
      <x:c r="A1709" s="32" t="n">
        <x:v>46258</x:v>
      </x:c>
      <x:c r="B1709" s="32" t="n">
        <x:v>46235</x:v>
      </x:c>
      <x:c r="C1709" t="str">
        <x:v>Aug 2026</x:v>
      </x:c>
      <x:c r="D1709" t="str">
        <x:v>Forecast</x:v>
      </x:c>
      <x:c r="E1709" t="str">
        <x:v>DB-102</x:v>
      </x:c>
      <x:c r="F1709" t="str">
        <x:v>GlowPatch Balm</x:v>
      </x:c>
      <x:c r="G1709" t="str">
        <x:v>Consumable repeat</x:v>
      </x:c>
      <x:c r="H1709" t="str">
        <x:v>None</x:v>
      </x:c>
      <x:c r="I1709" t="str">
        <x:v>Active</x:v>
      </x:c>
      <x:c r="J1709" t="str">
        <x:v>Shopify DTC</x:v>
      </x:c>
      <x:c r="K1709" t="str">
        <x:v>Consumer</x:v>
      </x:c>
      <x:c r="L1709" t="str">
        <x:v>All Geographies</x:v>
      </x:c>
      <x:c r="M1709" s="34" t="n">
        <x:v>5893</x:v>
      </x:c>
      <x:c r="N1709" s="28" t="n">
        <x:v>0.04248</x:v>
      </x:c>
      <x:c r="O1709" s="34" t="n">
        <x:v>250</x:v>
      </x:c>
      <x:c r="P1709" s="34" t="n">
        <x:v>1</x:v>
      </x:c>
      <x:c r="Q1709" s="34" t="n">
        <x:v>250</x:v>
      </x:c>
      <x:c r="R1709" s="33" t="n">
        <x:v>18</x:v>
      </x:c>
      <x:c r="S1709" s="38" t="n">
        <x:v>4.5</x:v>
      </x:c>
      <x:c r="T1709" s="38" t="n">
        <x:v>0.36</x:v>
      </x:c>
      <x:c r="U1709" s="38" t="n">
        <x:v>0.1035</x:v>
      </x:c>
      <x:c r="V1709" s="38" t="n">
        <x:v>4.036499999999999</x:v>
      </x:c>
      <x:c r="W1709" s="38" t="n">
        <x:v>1.3525</x:v>
      </x:c>
      <x:c r="X1709" s="38" t="n">
        <x:v>0.11705849999999998</x:v>
      </x:c>
      <x:c r="Y1709" s="38" t="n">
        <x:v>0</x:v>
      </x:c>
      <x:c r="Z1709" s="38" t="n">
        <x:v>1.0375</x:v>
      </x:c>
      <x:c r="AA1709" s="38" t="n">
        <x:v>0.4125</x:v>
      </x:c>
      <x:c r="AB1709" s="38" t="n">
        <x:v>0.0015</x:v>
      </x:c>
      <x:c r="AC1709" s="38" t="n">
        <x:v>1.1154414999999989</x:v>
      </x:c>
      <x:c r="AD1709" s="28" t="n">
        <x:v>0.2763387835996529</x:v>
      </x:c>
    </x:row>
    <x:row r="1710">
      <x:c r="A1710" s="32" t="n">
        <x:v>46258</x:v>
      </x:c>
      <x:c r="B1710" s="32" t="n">
        <x:v>46235</x:v>
      </x:c>
      <x:c r="C1710" t="str">
        <x:v>Aug 2026</x:v>
      </x:c>
      <x:c r="D1710" t="str">
        <x:v>Forecast</x:v>
      </x:c>
      <x:c r="E1710" t="str">
        <x:v>DB-102</x:v>
      </x:c>
      <x:c r="F1710" t="str">
        <x:v>GlowPatch Balm</x:v>
      </x:c>
      <x:c r="G1710" t="str">
        <x:v>Consumable repeat</x:v>
      </x:c>
      <x:c r="H1710" t="str">
        <x:v>None</x:v>
      </x:c>
      <x:c r="I1710" t="str">
        <x:v>Active</x:v>
      </x:c>
      <x:c r="J1710" t="str">
        <x:v>Amazon Marketplace</x:v>
      </x:c>
      <x:c r="K1710" t="str">
        <x:v>Marketplace Consumer</x:v>
      </x:c>
      <x:c r="L1710" t="str">
        <x:v>All Geographies</x:v>
      </x:c>
      <x:c r="M1710" s="34" t="n">
        <x:v>2946</x:v>
      </x:c>
      <x:c r="N1710" s="28" t="n">
        <x:v>0.050126399999999995</x:v>
      </x:c>
      <x:c r="O1710" s="34" t="n">
        <x:v>148</x:v>
      </x:c>
      <x:c r="P1710" s="34" t="n">
        <x:v>1</x:v>
      </x:c>
      <x:c r="Q1710" s="34" t="n">
        <x:v>148</x:v>
      </x:c>
      <x:c r="R1710" s="33" t="n">
        <x:v>18</x:v>
      </x:c>
      <x:c r="S1710" s="38" t="n">
        <x:v>2.664</x:v>
      </x:c>
      <x:c r="T1710" s="38" t="n">
        <x:v>0.1332</x:v>
      </x:c>
      <x:c r="U1710" s="38" t="n">
        <x:v>0.06327</x:v>
      </x:c>
      <x:c r="V1710" s="38" t="n">
        <x:v>2.46753</x:v>
      </x:c>
      <x:c r="W1710" s="38" t="n">
        <x:v>0.8006800000000001</x:v>
      </x:c>
      <x:c r="X1710" s="38" t="n">
        <x:v>0</x:v>
      </x:c>
      <x:c r="Y1710" s="38" t="n">
        <x:v>0.3701295</x:v>
      </x:c>
      <x:c r="Z1710" s="38" t="n">
        <x:v>0.7696000000000001</x:v>
      </x:c>
      <x:c r="AA1710" s="38" t="n">
        <x:v>0.3182</x:v>
      </x:c>
      <x:c r="AB1710" s="38" t="n">
        <x:v>0.0008879999999999999</x:v>
      </x:c>
      <x:c r="AC1710" s="38" t="n">
        <x:v>0.2080324999999999</x:v>
      </x:c>
      <x:c r="AD1710" s="28" t="n">
        <x:v>0.084307992202729</x:v>
      </x:c>
    </x:row>
    <x:row r="1711">
      <x:c r="A1711" s="32" t="n">
        <x:v>46258</x:v>
      </x:c>
      <x:c r="B1711" s="32" t="n">
        <x:v>46235</x:v>
      </x:c>
      <x:c r="C1711" t="str">
        <x:v>Aug 2026</x:v>
      </x:c>
      <x:c r="D1711" t="str">
        <x:v>Forecast</x:v>
      </x:c>
      <x:c r="E1711" t="str">
        <x:v>DB-102</x:v>
      </x:c>
      <x:c r="F1711" t="str">
        <x:v>GlowPatch Balm</x:v>
      </x:c>
      <x:c r="G1711" t="str">
        <x:v>Consumable repeat</x:v>
      </x:c>
      <x:c r="H1711" t="str">
        <x:v>None</x:v>
      </x:c>
      <x:c r="I1711" t="str">
        <x:v>Active</x:v>
      </x:c>
      <x:c r="J1711" t="str">
        <x:v>Wholesale</x:v>
      </x:c>
      <x:c r="K1711" t="str">
        <x:v>Retailer</x:v>
      </x:c>
      <x:c r="L1711" t="str">
        <x:v>All Geographies</x:v>
      </x:c>
      <x:c r="M1711" s="34" t="n">
        <x:v>1768</x:v>
      </x:c>
      <x:c r="N1711" s="28" t="n">
        <x:v>0.023364</x:v>
      </x:c>
      <x:c r="O1711" s="34" t="n">
        <x:v>41</x:v>
      </x:c>
      <x:c r="P1711" s="34" t="n">
        <x:v>1</x:v>
      </x:c>
      <x:c r="Q1711" s="34" t="n">
        <x:v>41</x:v>
      </x:c>
      <x:c r="R1711" s="33" t="n">
        <x:v>18</x:v>
      </x:c>
      <x:c r="S1711" s="38" t="n">
        <x:v>0.738</x:v>
      </x:c>
      <x:c r="T1711" s="38" t="n">
        <x:v>0.2583</x:v>
      </x:c>
      <x:c r="U1711" s="38" t="n">
        <x:v>0.011992500000000001</x:v>
      </x:c>
      <x:c r="V1711" s="38" t="n">
        <x:v>0.4677075</x:v>
      </x:c>
      <x:c r="W1711" s="38" t="n">
        <x:v>0.22181</x:v>
      </x:c>
      <x:c r="X1711" s="38" t="n">
        <x:v>0</x:v>
      </x:c>
      <x:c r="Y1711" s="38" t="n">
        <x:v>0</x:v>
      </x:c>
      <x:c r="Z1711" s="38" t="n">
        <x:v>0.0943</x:v>
      </x:c>
      <x:c r="AA1711" s="38" t="n">
        <x:v>0.03485</x:v>
      </x:c>
      <x:c r="AB1711" s="38" t="n">
        <x:v>0.000246</x:v>
      </x:c>
      <x:c r="AC1711" s="38" t="n">
        <x:v>0.11650150000000001</x:v>
      </x:c>
      <x:c r="AD1711" s="28" t="n">
        <x:v>0.2490905106289722</x:v>
      </x:c>
    </x:row>
    <x:row r="1712">
      <x:c r="A1712" s="32" t="n">
        <x:v>46258</x:v>
      </x:c>
      <x:c r="B1712" s="32" t="n">
        <x:v>46235</x:v>
      </x:c>
      <x:c r="C1712" t="str">
        <x:v>Aug 2026</x:v>
      </x:c>
      <x:c r="D1712" t="str">
        <x:v>Forecast</x:v>
      </x:c>
      <x:c r="E1712" t="str">
        <x:v>DB-102</x:v>
      </x:c>
      <x:c r="F1712" t="str">
        <x:v>GlowPatch Balm</x:v>
      </x:c>
      <x:c r="G1712" t="str">
        <x:v>Consumable repeat</x:v>
      </x:c>
      <x:c r="H1712" t="str">
        <x:v>None</x:v>
      </x:c>
      <x:c r="I1712" t="str">
        <x:v>Active</x:v>
      </x:c>
      <x:c r="J1712" t="str">
        <x:v>TikTok Shop</x:v>
      </x:c>
      <x:c r="K1712" t="str">
        <x:v>Social Commerce</x:v>
      </x:c>
      <x:c r="L1712" t="str">
        <x:v>All Geographies</x:v>
      </x:c>
      <x:c r="M1712" s="34" t="n">
        <x:v>1179</x:v>
      </x:c>
      <x:c r="N1712" s="28" t="n">
        <x:v>0.0535248</x:v>
      </x:c>
      <x:c r="O1712" s="34" t="n">
        <x:v>63</x:v>
      </x:c>
      <x:c r="P1712" s="34" t="n">
        <x:v>1</x:v>
      </x:c>
      <x:c r="Q1712" s="34" t="n">
        <x:v>63</x:v>
      </x:c>
      <x:c r="R1712" s="33" t="n">
        <x:v>18</x:v>
      </x:c>
      <x:c r="S1712" s="38" t="n">
        <x:v>1.134</x:v>
      </x:c>
      <x:c r="T1712" s="38" t="n">
        <x:v>0.13607999999999998</x:v>
      </x:c>
      <x:c r="U1712" s="38" t="n">
        <x:v>0.024947999999999998</x:v>
      </x:c>
      <x:c r="V1712" s="38" t="n">
        <x:v>0.972972</x:v>
      </x:c>
      <x:c r="W1712" s="38" t="n">
        <x:v>0.34082999999999997</x:v>
      </x:c>
      <x:c r="X1712" s="38" t="n">
        <x:v>0.028216188</x:v>
      </x:c>
      <x:c r="Y1712" s="38" t="n">
        <x:v>0.05837832</x:v>
      </x:c>
      <x:c r="Z1712" s="38" t="n">
        <x:v>0.3213</x:v>
      </x:c>
      <x:c r="AA1712" s="38" t="n">
        <x:v>0.11025</x:v>
      </x:c>
      <x:c r="AB1712" s="38" t="n">
        <x:v>0.000378</x:v>
      </x:c>
      <x:c r="AC1712" s="38" t="n">
        <x:v>0.11361949199999999</x:v>
      </x:c>
      <x:c r="AD1712" s="28" t="n">
        <x:v>0.11677570577570577</x:v>
      </x:c>
    </x:row>
    <x:row r="1713">
      <x:c r="A1713" s="32" t="n">
        <x:v>46258</x:v>
      </x:c>
      <x:c r="B1713" s="32" t="n">
        <x:v>46235</x:v>
      </x:c>
      <x:c r="C1713" t="str">
        <x:v>Aug 2026</x:v>
      </x:c>
      <x:c r="D1713" t="str">
        <x:v>Forecast</x:v>
      </x:c>
      <x:c r="E1713" t="str">
        <x:v>DB-103</x:v>
      </x:c>
      <x:c r="F1713" t="str">
        <x:v>EmberTrail Camp Mug</x:v>
      </x:c>
      <x:c r="G1713" t="str">
        <x:v>One-time purchase</x:v>
      </x:c>
      <x:c r="H1713" t="str">
        <x:v>Winter peak</x:v>
      </x:c>
      <x:c r="I1713" t="str">
        <x:v>Active</x:v>
      </x:c>
      <x:c r="J1713" t="str">
        <x:v>Shopify DTC</x:v>
      </x:c>
      <x:c r="K1713" t="str">
        <x:v>Consumer</x:v>
      </x:c>
      <x:c r="L1713" t="str">
        <x:v>All Geographies</x:v>
      </x:c>
      <x:c r="M1713" s="34" t="n">
        <x:v>4344</x:v>
      </x:c>
      <x:c r="N1713" s="28" t="n">
        <x:v>0.0324</x:v>
      </x:c>
      <x:c r="O1713" s="34" t="n">
        <x:v>141</x:v>
      </x:c>
      <x:c r="P1713" s="34" t="n">
        <x:v>1</x:v>
      </x:c>
      <x:c r="Q1713" s="34" t="n">
        <x:v>141</x:v>
      </x:c>
      <x:c r="R1713" s="33" t="n">
        <x:v>34</x:v>
      </x:c>
      <x:c r="S1713" s="38" t="n">
        <x:v>4.794</x:v>
      </x:c>
      <x:c r="T1713" s="38" t="n">
        <x:v>0.38351999999999997</x:v>
      </x:c>
      <x:c r="U1713" s="38" t="n">
        <x:v>0.2425764</x:v>
      </x:c>
      <x:c r="V1713" s="38" t="n">
        <x:v>4.1679036</x:v>
      </x:c>
      <x:c r="W1713" s="38" t="n">
        <x:v>1.92747</x:v>
      </x:c>
      <x:c r="X1713" s="38" t="n">
        <x:v>0.1208692044</x:v>
      </x:c>
      <x:c r="Y1713" s="38" t="n">
        <x:v>0</x:v>
      </x:c>
      <x:c r="Z1713" s="38" t="n">
        <x:v>0.5851500000000001</x:v>
      </x:c>
      <x:c r="AA1713" s="38" t="n">
        <x:v>0.23264999999999997</x:v>
      </x:c>
      <x:c r="AB1713" s="38" t="n">
        <x:v>0.007896</x:v>
      </x:c>
      <x:c r="AC1713" s="38" t="n">
        <x:v>1.2938683955999999</x:v>
      </x:c>
      <x:c r="AD1713" s="28" t="n">
        <x:v>0.31043625759482535</x:v>
      </x:c>
    </x:row>
    <x:row r="1714">
      <x:c r="A1714" s="32" t="n">
        <x:v>46258</x:v>
      </x:c>
      <x:c r="B1714" s="32" t="n">
        <x:v>46235</x:v>
      </x:c>
      <x:c r="C1714" t="str">
        <x:v>Aug 2026</x:v>
      </x:c>
      <x:c r="D1714" t="str">
        <x:v>Forecast</x:v>
      </x:c>
      <x:c r="E1714" t="str">
        <x:v>DB-103</x:v>
      </x:c>
      <x:c r="F1714" t="str">
        <x:v>EmberTrail Camp Mug</x:v>
      </x:c>
      <x:c r="G1714" t="str">
        <x:v>One-time purchase</x:v>
      </x:c>
      <x:c r="H1714" t="str">
        <x:v>Winter peak</x:v>
      </x:c>
      <x:c r="I1714" t="str">
        <x:v>Active</x:v>
      </x:c>
      <x:c r="J1714" t="str">
        <x:v>Amazon Marketplace</x:v>
      </x:c>
      <x:c r="K1714" t="str">
        <x:v>Marketplace Consumer</x:v>
      </x:c>
      <x:c r="L1714" t="str">
        <x:v>All Geographies</x:v>
      </x:c>
      <x:c r="M1714" s="34" t="n">
        <x:v>2172</x:v>
      </x:c>
      <x:c r="N1714" s="28" t="n">
        <x:v>0.038231999999999995</x:v>
      </x:c>
      <x:c r="O1714" s="34" t="n">
        <x:v>83</x:v>
      </x:c>
      <x:c r="P1714" s="34" t="n">
        <x:v>1</x:v>
      </x:c>
      <x:c r="Q1714" s="34" t="n">
        <x:v>83</x:v>
      </x:c>
      <x:c r="R1714" s="33" t="n">
        <x:v>34</x:v>
      </x:c>
      <x:c r="S1714" s="38" t="n">
        <x:v>2.822</x:v>
      </x:c>
      <x:c r="T1714" s="38" t="n">
        <x:v>0.1411</x:v>
      </x:c>
      <x:c r="U1714" s="38" t="n">
        <x:v>0.1474495</x:v>
      </x:c>
      <x:c r="V1714" s="38" t="n">
        <x:v>2.5334505000000003</x:v>
      </x:c>
      <x:c r="W1714" s="38" t="n">
        <x:v>1.13461</x:v>
      </x:c>
      <x:c r="X1714" s="38" t="n">
        <x:v>0</x:v>
      </x:c>
      <x:c r="Y1714" s="38" t="n">
        <x:v>0.38001757500000005</x:v>
      </x:c>
      <x:c r="Z1714" s="38" t="n">
        <x:v>0.43160000000000004</x:v>
      </x:c>
      <x:c r="AA1714" s="38" t="n">
        <x:v>0.17845</x:v>
      </x:c>
      <x:c r="AB1714" s="38" t="n">
        <x:v>0.004648</x:v>
      </x:c>
      <x:c r="AC1714" s="38" t="n">
        <x:v>0.4041249250000003</x:v>
      </x:c>
      <x:c r="AD1714" s="28" t="n">
        <x:v>0.15951561911314244</x:v>
      </x:c>
    </x:row>
    <x:row r="1715">
      <x:c r="A1715" s="32" t="n">
        <x:v>46258</x:v>
      </x:c>
      <x:c r="B1715" s="32" t="n">
        <x:v>46235</x:v>
      </x:c>
      <x:c r="C1715" t="str">
        <x:v>Aug 2026</x:v>
      </x:c>
      <x:c r="D1715" t="str">
        <x:v>Forecast</x:v>
      </x:c>
      <x:c r="E1715" t="str">
        <x:v>DB-103</x:v>
      </x:c>
      <x:c r="F1715" t="str">
        <x:v>EmberTrail Camp Mug</x:v>
      </x:c>
      <x:c r="G1715" t="str">
        <x:v>One-time purchase</x:v>
      </x:c>
      <x:c r="H1715" t="str">
        <x:v>Winter peak</x:v>
      </x:c>
      <x:c r="I1715" t="str">
        <x:v>Active</x:v>
      </x:c>
      <x:c r="J1715" t="str">
        <x:v>Wholesale</x:v>
      </x:c>
      <x:c r="K1715" t="str">
        <x:v>Retailer</x:v>
      </x:c>
      <x:c r="L1715" t="str">
        <x:v>All Geographies</x:v>
      </x:c>
      <x:c r="M1715" s="34" t="n">
        <x:v>1303</x:v>
      </x:c>
      <x:c r="N1715" s="28" t="n">
        <x:v>0.017820000000000003</x:v>
      </x:c>
      <x:c r="O1715" s="34" t="n">
        <x:v>23</x:v>
      </x:c>
      <x:c r="P1715" s="34" t="n">
        <x:v>1</x:v>
      </x:c>
      <x:c r="Q1715" s="34" t="n">
        <x:v>23</x:v>
      </x:c>
      <x:c r="R1715" s="33" t="n">
        <x:v>34</x:v>
      </x:c>
      <x:c r="S1715" s="38" t="n">
        <x:v>0.782</x:v>
      </x:c>
      <x:c r="T1715" s="38" t="n">
        <x:v>0.2737</x:v>
      </x:c>
      <x:c r="U1715" s="38" t="n">
        <x:v>0.0279565</x:v>
      </x:c>
      <x:c r="V1715" s="38" t="n">
        <x:v>0.4803435</x:v>
      </x:c>
      <x:c r="W1715" s="38" t="n">
        <x:v>0.31441</x:v>
      </x:c>
      <x:c r="X1715" s="38" t="n">
        <x:v>0</x:v>
      </x:c>
      <x:c r="Y1715" s="38" t="n">
        <x:v>0</x:v>
      </x:c>
      <x:c r="Z1715" s="38" t="n">
        <x:v>0.052899999999999996</x:v>
      </x:c>
      <x:c r="AA1715" s="38" t="n">
        <x:v>0.01955</x:v>
      </x:c>
      <x:c r="AB1715" s="38" t="n">
        <x:v>0.001288</x:v>
      </x:c>
      <x:c r="AC1715" s="38" t="n">
        <x:v>0.09219549999999996</x:v>
      </x:c>
      <x:c r="AD1715" s="28" t="n">
        <x:v>0.1919366037013095</x:v>
      </x:c>
    </x:row>
    <x:row r="1716">
      <x:c r="A1716" s="32" t="n">
        <x:v>46258</x:v>
      </x:c>
      <x:c r="B1716" s="32" t="n">
        <x:v>46235</x:v>
      </x:c>
      <x:c r="C1716" t="str">
        <x:v>Aug 2026</x:v>
      </x:c>
      <x:c r="D1716" t="str">
        <x:v>Forecast</x:v>
      </x:c>
      <x:c r="E1716" t="str">
        <x:v>DB-103</x:v>
      </x:c>
      <x:c r="F1716" t="str">
        <x:v>EmberTrail Camp Mug</x:v>
      </x:c>
      <x:c r="G1716" t="str">
        <x:v>One-time purchase</x:v>
      </x:c>
      <x:c r="H1716" t="str">
        <x:v>Winter peak</x:v>
      </x:c>
      <x:c r="I1716" t="str">
        <x:v>Active</x:v>
      </x:c>
      <x:c r="J1716" t="str">
        <x:v>TikTok Shop</x:v>
      </x:c>
      <x:c r="K1716" t="str">
        <x:v>Social Commerce</x:v>
      </x:c>
      <x:c r="L1716" t="str">
        <x:v>All Geographies</x:v>
      </x:c>
      <x:c r="M1716" s="34" t="n">
        <x:v>869</x:v>
      </x:c>
      <x:c r="N1716" s="28" t="n">
        <x:v>0.040824</x:v>
      </x:c>
      <x:c r="O1716" s="34" t="n">
        <x:v>35</x:v>
      </x:c>
      <x:c r="P1716" s="34" t="n">
        <x:v>1</x:v>
      </x:c>
      <x:c r="Q1716" s="34" t="n">
        <x:v>35</x:v>
      </x:c>
      <x:c r="R1716" s="33" t="n">
        <x:v>34</x:v>
      </x:c>
      <x:c r="S1716" s="38" t="n">
        <x:v>1.19</x:v>
      </x:c>
      <x:c r="T1716" s="38" t="n">
        <x:v>0.14279999999999998</x:v>
      </x:c>
      <x:c r="U1716" s="38" t="n">
        <x:v>0.057595999999999994</x:v>
      </x:c>
      <x:c r="V1716" s="38" t="n">
        <x:v>0.9896039999999999</x:v>
      </x:c>
      <x:c r="W1716" s="38" t="n">
        <x:v>0.47845</x:v>
      </x:c>
      <x:c r="X1716" s="38" t="n">
        <x:v>0.028698516</x:v>
      </x:c>
      <x:c r="Y1716" s="38" t="n">
        <x:v>0.05937624</x:v>
      </x:c>
      <x:c r="Z1716" s="38" t="n">
        <x:v>0.1785</x:v>
      </x:c>
      <x:c r="AA1716" s="38" t="n">
        <x:v>0.06125</x:v>
      </x:c>
      <x:c r="AB1716" s="38" t="n">
        <x:v>0.0019600000000000004</x:v>
      </x:c>
      <x:c r="AC1716" s="38" t="n">
        <x:v>0.18136924399999987</x:v>
      </x:c>
      <x:c r="AD1716" s="28" t="n">
        <x:v>0.18327456639221335</x:v>
      </x:c>
    </x:row>
    <x:row r="1717">
      <x:c r="A1717" s="32" t="n">
        <x:v>46258</x:v>
      </x:c>
      <x:c r="B1717" s="32" t="n">
        <x:v>46235</x:v>
      </x:c>
      <x:c r="C1717" t="str">
        <x:v>Aug 2026</x:v>
      </x:c>
      <x:c r="D1717" t="str">
        <x:v>Forecast</x:v>
      </x:c>
      <x:c r="E1717" t="str">
        <x:v>DB-104</x:v>
      </x:c>
      <x:c r="F1717" t="str">
        <x:v>SunNest Cooling Towel</x:v>
      </x:c>
      <x:c r="G1717" t="str">
        <x:v>Consumable repeat</x:v>
      </x:c>
      <x:c r="H1717" t="str">
        <x:v>Summer peak</x:v>
      </x:c>
      <x:c r="I1717" t="str">
        <x:v>Active</x:v>
      </x:c>
      <x:c r="J1717" t="str">
        <x:v>Shopify DTC</x:v>
      </x:c>
      <x:c r="K1717" t="str">
        <x:v>Consumer</x:v>
      </x:c>
      <x:c r="L1717" t="str">
        <x:v>All Geographies</x:v>
      </x:c>
      <x:c r="M1717" s="34" t="n">
        <x:v>5629</x:v>
      </x:c>
      <x:c r="N1717" s="28" t="n">
        <x:v>0.03312</x:v>
      </x:c>
      <x:c r="O1717" s="34" t="n">
        <x:v>186</x:v>
      </x:c>
      <x:c r="P1717" s="34" t="n">
        <x:v>1</x:v>
      </x:c>
      <x:c r="Q1717" s="34" t="n">
        <x:v>186</x:v>
      </x:c>
      <x:c r="R1717" s="33" t="n">
        <x:v>42</x:v>
      </x:c>
      <x:c r="S1717" s="38" t="n">
        <x:v>7.812</x:v>
      </x:c>
      <x:c r="T1717" s="38" t="n">
        <x:v>0.6249600000000001</x:v>
      </x:c>
      <x:c r="U1717" s="38" t="n">
        <x:v>0.35935200000000006</x:v>
      </x:c>
      <x:c r="V1717" s="38" t="n">
        <x:v>6.827688</x:v>
      </x:c>
      <x:c r="W1717" s="38" t="n">
        <x:v>2.7993</x:v>
      </x:c>
      <x:c r="X1717" s="38" t="n">
        <x:v>0.198002952</x:v>
      </x:c>
      <x:c r="Y1717" s="38" t="n">
        <x:v>0</x:v>
      </x:c>
      <x:c r="Z1717" s="38" t="n">
        <x:v>0.7719000000000001</x:v>
      </x:c>
      <x:c r="AA1717" s="38" t="n">
        <x:v>0.30689999999999995</x:v>
      </x:c>
      <x:c r="AB1717" s="38" t="n">
        <x:v>0.005208</x:v>
      </x:c>
      <x:c r="AC1717" s="38" t="n">
        <x:v>2.746377048</x:v>
      </x:c>
      <x:c r="AD1717" s="28" t="n">
        <x:v>0.4022411463441211</x:v>
      </x:c>
    </x:row>
    <x:row r="1718">
      <x:c r="A1718" s="32" t="n">
        <x:v>46258</x:v>
      </x:c>
      <x:c r="B1718" s="32" t="n">
        <x:v>46235</x:v>
      </x:c>
      <x:c r="C1718" t="str">
        <x:v>Aug 2026</x:v>
      </x:c>
      <x:c r="D1718" t="str">
        <x:v>Forecast</x:v>
      </x:c>
      <x:c r="E1718" t="str">
        <x:v>DB-104</x:v>
      </x:c>
      <x:c r="F1718" t="str">
        <x:v>SunNest Cooling Towel</x:v>
      </x:c>
      <x:c r="G1718" t="str">
        <x:v>Consumable repeat</x:v>
      </x:c>
      <x:c r="H1718" t="str">
        <x:v>Summer peak</x:v>
      </x:c>
      <x:c r="I1718" t="str">
        <x:v>Active</x:v>
      </x:c>
      <x:c r="J1718" t="str">
        <x:v>Amazon Marketplace</x:v>
      </x:c>
      <x:c r="K1718" t="str">
        <x:v>Marketplace Consumer</x:v>
      </x:c>
      <x:c r="L1718" t="str">
        <x:v>All Geographies</x:v>
      </x:c>
      <x:c r="M1718" s="34" t="n">
        <x:v>2814</x:v>
      </x:c>
      <x:c r="N1718" s="28" t="n">
        <x:v>0.0390816</x:v>
      </x:c>
      <x:c r="O1718" s="34" t="n">
        <x:v>110</x:v>
      </x:c>
      <x:c r="P1718" s="34" t="n">
        <x:v>1</x:v>
      </x:c>
      <x:c r="Q1718" s="34" t="n">
        <x:v>110</x:v>
      </x:c>
      <x:c r="R1718" s="33" t="n">
        <x:v>42</x:v>
      </x:c>
      <x:c r="S1718" s="38" t="n">
        <x:v>4.62</x:v>
      </x:c>
      <x:c r="T1718" s="38" t="n">
        <x:v>0.231</x:v>
      </x:c>
      <x:c r="U1718" s="38" t="n">
        <x:v>0.21945000000000003</x:v>
      </x:c>
      <x:c r="V1718" s="38" t="n">
        <x:v>4.16955</x:v>
      </x:c>
      <x:c r="W1718" s="38" t="n">
        <x:v>1.6555</x:v>
      </x:c>
      <x:c r="X1718" s="38" t="n">
        <x:v>0</x:v>
      </x:c>
      <x:c r="Y1718" s="38" t="n">
        <x:v>0.6254325</x:v>
      </x:c>
      <x:c r="Z1718" s="38" t="n">
        <x:v>0.572</x:v>
      </x:c>
      <x:c r="AA1718" s="38" t="n">
        <x:v>0.2365</x:v>
      </x:c>
      <x:c r="AB1718" s="38" t="n">
        <x:v>0.0030800000000000003</x:v>
      </x:c>
      <x:c r="AC1718" s="38" t="n">
        <x:v>1.0770375</x:v>
      </x:c>
      <x:c r="AD1718" s="28" t="n">
        <x:v>0.25831024930747926</x:v>
      </x:c>
    </x:row>
    <x:row r="1719">
      <x:c r="A1719" s="32" t="n">
        <x:v>46258</x:v>
      </x:c>
      <x:c r="B1719" s="32" t="n">
        <x:v>46235</x:v>
      </x:c>
      <x:c r="C1719" t="str">
        <x:v>Aug 2026</x:v>
      </x:c>
      <x:c r="D1719" t="str">
        <x:v>Forecast</x:v>
      </x:c>
      <x:c r="E1719" t="str">
        <x:v>DB-104</x:v>
      </x:c>
      <x:c r="F1719" t="str">
        <x:v>SunNest Cooling Towel</x:v>
      </x:c>
      <x:c r="G1719" t="str">
        <x:v>Consumable repeat</x:v>
      </x:c>
      <x:c r="H1719" t="str">
        <x:v>Summer peak</x:v>
      </x:c>
      <x:c r="I1719" t="str">
        <x:v>Active</x:v>
      </x:c>
      <x:c r="J1719" t="str">
        <x:v>Wholesale</x:v>
      </x:c>
      <x:c r="K1719" t="str">
        <x:v>Retailer</x:v>
      </x:c>
      <x:c r="L1719" t="str">
        <x:v>All Geographies</x:v>
      </x:c>
      <x:c r="M1719" s="34" t="n">
        <x:v>1689</x:v>
      </x:c>
      <x:c r="N1719" s="28" t="n">
        <x:v>0.018216000000000003</x:v>
      </x:c>
      <x:c r="O1719" s="34" t="n">
        <x:v>31</x:v>
      </x:c>
      <x:c r="P1719" s="34" t="n">
        <x:v>1</x:v>
      </x:c>
      <x:c r="Q1719" s="34" t="n">
        <x:v>31</x:v>
      </x:c>
      <x:c r="R1719" s="33" t="n">
        <x:v>42</x:v>
      </x:c>
      <x:c r="S1719" s="38" t="n">
        <x:v>1.302</x:v>
      </x:c>
      <x:c r="T1719" s="38" t="n">
        <x:v>0.4557</x:v>
      </x:c>
      <x:c r="U1719" s="38" t="n">
        <x:v>0.042315000000000005</x:v>
      </x:c>
      <x:c r="V1719" s="38" t="n">
        <x:v>0.8039850000000001</x:v>
      </x:c>
      <x:c r="W1719" s="38" t="n">
        <x:v>0.46655</x:v>
      </x:c>
      <x:c r="X1719" s="38" t="n">
        <x:v>0</x:v>
      </x:c>
      <x:c r="Y1719" s="38" t="n">
        <x:v>0</x:v>
      </x:c>
      <x:c r="Z1719" s="38" t="n">
        <x:v>0.0713</x:v>
      </x:c>
      <x:c r="AA1719" s="38" t="n">
        <x:v>0.02635</x:v>
      </x:c>
      <x:c r="AB1719" s="38" t="n">
        <x:v>0.000868</x:v>
      </x:c>
      <x:c r="AC1719" s="38" t="n">
        <x:v>0.23891700000000002</x:v>
      </x:c>
      <x:c r="AD1719" s="28" t="n">
        <x:v>0.297165991902834</x:v>
      </x:c>
    </x:row>
    <x:row r="1720">
      <x:c r="A1720" s="32" t="n">
        <x:v>46258</x:v>
      </x:c>
      <x:c r="B1720" s="32" t="n">
        <x:v>46235</x:v>
      </x:c>
      <x:c r="C1720" t="str">
        <x:v>Aug 2026</x:v>
      </x:c>
      <x:c r="D1720" t="str">
        <x:v>Forecast</x:v>
      </x:c>
      <x:c r="E1720" t="str">
        <x:v>DB-104</x:v>
      </x:c>
      <x:c r="F1720" t="str">
        <x:v>SunNest Cooling Towel</x:v>
      </x:c>
      <x:c r="G1720" t="str">
        <x:v>Consumable repeat</x:v>
      </x:c>
      <x:c r="H1720" t="str">
        <x:v>Summer peak</x:v>
      </x:c>
      <x:c r="I1720" t="str">
        <x:v>Active</x:v>
      </x:c>
      <x:c r="J1720" t="str">
        <x:v>TikTok Shop</x:v>
      </x:c>
      <x:c r="K1720" t="str">
        <x:v>Social Commerce</x:v>
      </x:c>
      <x:c r="L1720" t="str">
        <x:v>All Geographies</x:v>
      </x:c>
      <x:c r="M1720" s="34" t="n">
        <x:v>1126</x:v>
      </x:c>
      <x:c r="N1720" s="28" t="n">
        <x:v>0.0417312</x:v>
      </x:c>
      <x:c r="O1720" s="34" t="n">
        <x:v>47</x:v>
      </x:c>
      <x:c r="P1720" s="34" t="n">
        <x:v>1</x:v>
      </x:c>
      <x:c r="Q1720" s="34" t="n">
        <x:v>47</x:v>
      </x:c>
      <x:c r="R1720" s="33" t="n">
        <x:v>42</x:v>
      </x:c>
      <x:c r="S1720" s="38" t="n">
        <x:v>1.974</x:v>
      </x:c>
      <x:c r="T1720" s="38" t="n">
        <x:v>0.23687999999999998</x:v>
      </x:c>
      <x:c r="U1720" s="38" t="n">
        <x:v>0.086856</x:v>
      </x:c>
      <x:c r="V1720" s="38" t="n">
        <x:v>1.650264</x:v>
      </x:c>
      <x:c r="W1720" s="38" t="n">
        <x:v>0.70735</x:v>
      </x:c>
      <x:c r="X1720" s="38" t="n">
        <x:v>0.047857656</x:v>
      </x:c>
      <x:c r="Y1720" s="38" t="n">
        <x:v>0.09901584</x:v>
      </x:c>
      <x:c r="Z1720" s="38" t="n">
        <x:v>0.2397</x:v>
      </x:c>
      <x:c r="AA1720" s="38" t="n">
        <x:v>0.08225</x:v>
      </x:c>
      <x:c r="AB1720" s="38" t="n">
        <x:v>0.0013160000000000001</x:v>
      </x:c>
      <x:c r="AC1720" s="38" t="n">
        <x:v>0.47277450399999993</x:v>
      </x:c>
      <x:c r="AD1720" s="28" t="n">
        <x:v>0.2864841649578491</x:v>
      </x:c>
    </x:row>
    <x:row r="1721">
      <x:c r="A1721" s="32" t="n">
        <x:v>46258</x:v>
      </x:c>
      <x:c r="B1721" s="32" t="n">
        <x:v>46235</x:v>
      </x:c>
      <x:c r="C1721" t="str">
        <x:v>Aug 2026</x:v>
      </x:c>
      <x:c r="D1721" t="str">
        <x:v>Forecast</x:v>
      </x:c>
      <x:c r="E1721" t="str">
        <x:v>DB-105</x:v>
      </x:c>
      <x:c r="F1721" t="str">
        <x:v>DreamFuel Refill Pack</x:v>
      </x:c>
      <x:c r="G1721" t="str">
        <x:v>Subscription</x:v>
      </x:c>
      <x:c r="H1721" t="str">
        <x:v>None</x:v>
      </x:c>
      <x:c r="I1721" t="str">
        <x:v>Active</x:v>
      </x:c>
      <x:c r="J1721" t="str">
        <x:v>Shopify DTC</x:v>
      </x:c>
      <x:c r="K1721" t="str">
        <x:v>Consumer</x:v>
      </x:c>
      <x:c r="L1721" t="str">
        <x:v>All Geographies</x:v>
      </x:c>
      <x:c r="M1721" s="34" t="n">
        <x:v>5051</x:v>
      </x:c>
      <x:c r="N1721" s="28" t="n">
        <x:v>0.03888</x:v>
      </x:c>
      <x:c r="O1721" s="34" t="n">
        <x:v>196</x:v>
      </x:c>
      <x:c r="P1721" s="34" t="n">
        <x:v>1</x:v>
      </x:c>
      <x:c r="Q1721" s="34" t="n">
        <x:v>196</x:v>
      </x:c>
      <x:c r="R1721" s="33" t="n">
        <x:v>56</x:v>
      </x:c>
      <x:c r="S1721" s="38" t="n">
        <x:v>10.976</x:v>
      </x:c>
      <x:c r="T1721" s="38" t="n">
        <x:v>0.8780800000000001</x:v>
      </x:c>
      <x:c r="U1721" s="38" t="n">
        <x:v>0.2019584</x:v>
      </x:c>
      <x:c r="V1721" s="38" t="n">
        <x:v>9.8959616</x:v>
      </x:c>
      <x:c r="W1721" s="38" t="n">
        <x:v>3.64952</x:v>
      </x:c>
      <x:c r="X1721" s="38" t="n">
        <x:v>0.2869828864</x:v>
      </x:c>
      <x:c r="Y1721" s="38" t="n">
        <x:v>0</x:v>
      </x:c>
      <x:c r="Z1721" s="38" t="n">
        <x:v>0.8134000000000001</x:v>
      </x:c>
      <x:c r="AA1721" s="38" t="n">
        <x:v>0.32339999999999997</x:v>
      </x:c>
      <x:c r="AB1721" s="38" t="n">
        <x:v>0.0007055999999999999</x:v>
      </x:c>
      <x:c r="AC1721" s="38" t="n">
        <x:v>4.8219531136</x:v>
      </x:c>
      <x:c r="AD1721" s="28" t="n">
        <x:v>0.4872647357079478</x:v>
      </x:c>
    </x:row>
    <x:row r="1722">
      <x:c r="A1722" s="32" t="n">
        <x:v>46258</x:v>
      </x:c>
      <x:c r="B1722" s="32" t="n">
        <x:v>46235</x:v>
      </x:c>
      <x:c r="C1722" t="str">
        <x:v>Aug 2026</x:v>
      </x:c>
      <x:c r="D1722" t="str">
        <x:v>Forecast</x:v>
      </x:c>
      <x:c r="E1722" t="str">
        <x:v>DB-105</x:v>
      </x:c>
      <x:c r="F1722" t="str">
        <x:v>DreamFuel Refill Pack</x:v>
      </x:c>
      <x:c r="G1722" t="str">
        <x:v>Subscription</x:v>
      </x:c>
      <x:c r="H1722" t="str">
        <x:v>None</x:v>
      </x:c>
      <x:c r="I1722" t="str">
        <x:v>Active</x:v>
      </x:c>
      <x:c r="J1722" t="str">
        <x:v>Amazon Marketplace</x:v>
      </x:c>
      <x:c r="K1722" t="str">
        <x:v>Marketplace Consumer</x:v>
      </x:c>
      <x:c r="L1722" t="str">
        <x:v>All Geographies</x:v>
      </x:c>
      <x:c r="M1722" s="34" t="n">
        <x:v>2525</x:v>
      </x:c>
      <x:c r="N1722" s="28" t="n">
        <x:v>0.0458784</x:v>
      </x:c>
      <x:c r="O1722" s="34" t="n">
        <x:v>116</x:v>
      </x:c>
      <x:c r="P1722" s="34" t="n">
        <x:v>1</x:v>
      </x:c>
      <x:c r="Q1722" s="34" t="n">
        <x:v>116</x:v>
      </x:c>
      <x:c r="R1722" s="33" t="n">
        <x:v>56</x:v>
      </x:c>
      <x:c r="S1722" s="38" t="n">
        <x:v>6.496</x:v>
      </x:c>
      <x:c r="T1722" s="38" t="n">
        <x:v>0.32480000000000003</x:v>
      </x:c>
      <x:c r="U1722" s="38" t="n">
        <x:v>0.12342400000000002</x:v>
      </x:c>
      <x:c r="V1722" s="38" t="n">
        <x:v>6.047776000000001</x:v>
      </x:c>
      <x:c r="W1722" s="38" t="n">
        <x:v>2.15992</x:v>
      </x:c>
      <x:c r="X1722" s="38" t="n">
        <x:v>0</x:v>
      </x:c>
      <x:c r="Y1722" s="38" t="n">
        <x:v>0.9071664</x:v>
      </x:c>
      <x:c r="Z1722" s="38" t="n">
        <x:v>0.6032000000000001</x:v>
      </x:c>
      <x:c r="AA1722" s="38" t="n">
        <x:v>0.24939999999999998</x:v>
      </x:c>
      <x:c r="AB1722" s="38" t="n">
        <x:v>0.0004176</x:v>
      </x:c>
      <x:c r="AC1722" s="38" t="n">
        <x:v>2.1276720000000005</x:v>
      </x:c>
      <x:c r="AD1722" s="28" t="n">
        <x:v>0.35181064907165877</x:v>
      </x:c>
    </x:row>
    <x:row r="1723">
      <x:c r="A1723" s="32" t="n">
        <x:v>46258</x:v>
      </x:c>
      <x:c r="B1723" s="32" t="n">
        <x:v>46235</x:v>
      </x:c>
      <x:c r="C1723" t="str">
        <x:v>Aug 2026</x:v>
      </x:c>
      <x:c r="D1723" t="str">
        <x:v>Forecast</x:v>
      </x:c>
      <x:c r="E1723" t="str">
        <x:v>DB-105</x:v>
      </x:c>
      <x:c r="F1723" t="str">
        <x:v>DreamFuel Refill Pack</x:v>
      </x:c>
      <x:c r="G1723" t="str">
        <x:v>Subscription</x:v>
      </x:c>
      <x:c r="H1723" t="str">
        <x:v>None</x:v>
      </x:c>
      <x:c r="I1723" t="str">
        <x:v>Active</x:v>
      </x:c>
      <x:c r="J1723" t="str">
        <x:v>Wholesale</x:v>
      </x:c>
      <x:c r="K1723" t="str">
        <x:v>Retailer</x:v>
      </x:c>
      <x:c r="L1723" t="str">
        <x:v>All Geographies</x:v>
      </x:c>
      <x:c r="M1723" s="34" t="n">
        <x:v>1515</x:v>
      </x:c>
      <x:c r="N1723" s="28" t="n">
        <x:v>0.021384000000000004</x:v>
      </x:c>
      <x:c r="O1723" s="34" t="n">
        <x:v>32</x:v>
      </x:c>
      <x:c r="P1723" s="34" t="n">
        <x:v>1</x:v>
      </x:c>
      <x:c r="Q1723" s="34" t="n">
        <x:v>32</x:v>
      </x:c>
      <x:c r="R1723" s="33" t="n">
        <x:v>56</x:v>
      </x:c>
      <x:c r="S1723" s="38" t="n">
        <x:v>1.792</x:v>
      </x:c>
      <x:c r="T1723" s="38" t="n">
        <x:v>0.6272</x:v>
      </x:c>
      <x:c r="U1723" s="38" t="n">
        <x:v>0.023296</x:v>
      </x:c>
      <x:c r="V1723" s="38" t="n">
        <x:v>1.141504</x:v>
      </x:c>
      <x:c r="W1723" s="38" t="n">
        <x:v>0.59584</x:v>
      </x:c>
      <x:c r="X1723" s="38" t="n">
        <x:v>0</x:v>
      </x:c>
      <x:c r="Y1723" s="38" t="n">
        <x:v>0</x:v>
      </x:c>
      <x:c r="Z1723" s="38" t="n">
        <x:v>0.0736</x:v>
      </x:c>
      <x:c r="AA1723" s="38" t="n">
        <x:v>0.0272</x:v>
      </x:c>
      <x:c r="AB1723" s="38" t="n">
        <x:v>0.0001152</x:v>
      </x:c>
      <x:c r="AC1723" s="38" t="n">
        <x:v>0.44474880000000006</x:v>
      </x:c>
      <x:c r="AD1723" s="28" t="n">
        <x:v>0.3896165059430366</x:v>
      </x:c>
    </x:row>
    <x:row r="1724">
      <x:c r="A1724" s="32" t="n">
        <x:v>46258</x:v>
      </x:c>
      <x:c r="B1724" s="32" t="n">
        <x:v>46235</x:v>
      </x:c>
      <x:c r="C1724" t="str">
        <x:v>Aug 2026</x:v>
      </x:c>
      <x:c r="D1724" t="str">
        <x:v>Forecast</x:v>
      </x:c>
      <x:c r="E1724" t="str">
        <x:v>DB-105</x:v>
      </x:c>
      <x:c r="F1724" t="str">
        <x:v>DreamFuel Refill Pack</x:v>
      </x:c>
      <x:c r="G1724" t="str">
        <x:v>Subscription</x:v>
      </x:c>
      <x:c r="H1724" t="str">
        <x:v>None</x:v>
      </x:c>
      <x:c r="I1724" t="str">
        <x:v>Active</x:v>
      </x:c>
      <x:c r="J1724" t="str">
        <x:v>TikTok Shop</x:v>
      </x:c>
      <x:c r="K1724" t="str">
        <x:v>Social Commerce</x:v>
      </x:c>
      <x:c r="L1724" t="str">
        <x:v>All Geographies</x:v>
      </x:c>
      <x:c r="M1724" s="34" t="n">
        <x:v>1010</x:v>
      </x:c>
      <x:c r="N1724" s="28" t="n">
        <x:v>0.0489888</x:v>
      </x:c>
      <x:c r="O1724" s="34" t="n">
        <x:v>49</x:v>
      </x:c>
      <x:c r="P1724" s="34" t="n">
        <x:v>1</x:v>
      </x:c>
      <x:c r="Q1724" s="34" t="n">
        <x:v>49</x:v>
      </x:c>
      <x:c r="R1724" s="33" t="n">
        <x:v>56</x:v>
      </x:c>
      <x:c r="S1724" s="38" t="n">
        <x:v>2.744</x:v>
      </x:c>
      <x:c r="T1724" s="38" t="n">
        <x:v>0.32928</x:v>
      </x:c>
      <x:c r="U1724" s="38" t="n">
        <x:v>0.0482944</x:v>
      </x:c>
      <x:c r="V1724" s="38" t="n">
        <x:v>2.3664256</x:v>
      </x:c>
      <x:c r="W1724" s="38" t="n">
        <x:v>0.91238</x:v>
      </x:c>
      <x:c r="X1724" s="38" t="n">
        <x:v>0.0686263424</x:v>
      </x:c>
      <x:c r="Y1724" s="38" t="n">
        <x:v>0.141985536</x:v>
      </x:c>
      <x:c r="Z1724" s="38" t="n">
        <x:v>0.24989999999999998</x:v>
      </x:c>
      <x:c r="AA1724" s="38" t="n">
        <x:v>0.08575</x:v>
      </x:c>
      <x:c r="AB1724" s="38" t="n">
        <x:v>0.00017639999999999998</x:v>
      </x:c>
      <x:c r="AC1724" s="38" t="n">
        <x:v>0.9076073216</x:v>
      </x:c>
      <x:c r="AD1724" s="28" t="n">
        <x:v>0.3835351179432812</x:v>
      </x:c>
    </x:row>
    <x:row r="1725">
      <x:c r="A1725" s="32" t="n">
        <x:v>46265</x:v>
      </x:c>
      <x:c r="B1725" s="32" t="n">
        <x:v>46235</x:v>
      </x:c>
      <x:c r="C1725" t="str">
        <x:v>Aug 2026</x:v>
      </x:c>
      <x:c r="D1725" t="str">
        <x:v>Forecast</x:v>
      </x:c>
      <x:c r="E1725" t="str">
        <x:v>DB-101</x:v>
      </x:c>
      <x:c r="F1725" t="str">
        <x:v>AeroSip Bottle</x:v>
      </x:c>
      <x:c r="G1725" t="str">
        <x:v>One-time purchase</x:v>
      </x:c>
      <x:c r="H1725" t="str">
        <x:v>None</x:v>
      </x:c>
      <x:c r="I1725" t="str">
        <x:v>Active</x:v>
      </x:c>
      <x:c r="J1725" t="str">
        <x:v>Shopify DTC</x:v>
      </x:c>
      <x:c r="K1725" t="str">
        <x:v>Consumer</x:v>
      </x:c>
      <x:c r="L1725" t="str">
        <x:v>All Geographies</x:v>
      </x:c>
      <x:c r="M1725" s="34" t="n">
        <x:v>7296</x:v>
      </x:c>
      <x:c r="N1725" s="28" t="n">
        <x:v>0.034199999999999994</x:v>
      </x:c>
      <x:c r="O1725" s="34" t="n">
        <x:v>250</x:v>
      </x:c>
      <x:c r="P1725" s="34" t="n">
        <x:v>1</x:v>
      </x:c>
      <x:c r="Q1725" s="34" t="n">
        <x:v>250</x:v>
      </x:c>
      <x:c r="R1725" s="33" t="n">
        <x:v>29</x:v>
      </x:c>
      <x:c r="S1725" s="38" t="n">
        <x:v>7.25</x:v>
      </x:c>
      <x:c r="T1725" s="38" t="n">
        <x:v>0.58</x:v>
      </x:c>
      <x:c r="U1725" s="38" t="n">
        <x:v>0.30015</x:v>
      </x:c>
      <x:c r="V1725" s="38" t="n">
        <x:v>6.36985</x:v>
      </x:c>
      <x:c r="W1725" s="38" t="n">
        <x:v>2.7</x:v>
      </x:c>
      <x:c r="X1725" s="38" t="n">
        <x:v>0.18472565</x:v>
      </x:c>
      <x:c r="Y1725" s="38" t="n">
        <x:v>0</x:v>
      </x:c>
      <x:c r="Z1725" s="38" t="n">
        <x:v>1.0375</x:v>
      </x:c>
      <x:c r="AA1725" s="38" t="n">
        <x:v>0.4125</x:v>
      </x:c>
      <x:c r="AB1725" s="38" t="n">
        <x:v>0.009</x:v>
      </x:c>
      <x:c r="AC1725" s="38" t="n">
        <x:v>2.0261243499999995</x:v>
      </x:c>
      <x:c r="AD1725" s="28" t="n">
        <x:v>0.31808038650831644</x:v>
      </x:c>
    </x:row>
    <x:row r="1726">
      <x:c r="A1726" s="32" t="n">
        <x:v>46265</x:v>
      </x:c>
      <x:c r="B1726" s="32" t="n">
        <x:v>46235</x:v>
      </x:c>
      <x:c r="C1726" t="str">
        <x:v>Aug 2026</x:v>
      </x:c>
      <x:c r="D1726" t="str">
        <x:v>Forecast</x:v>
      </x:c>
      <x:c r="E1726" t="str">
        <x:v>DB-101</x:v>
      </x:c>
      <x:c r="F1726" t="str">
        <x:v>AeroSip Bottle</x:v>
      </x:c>
      <x:c r="G1726" t="str">
        <x:v>One-time purchase</x:v>
      </x:c>
      <x:c r="H1726" t="str">
        <x:v>None</x:v>
      </x:c>
      <x:c r="I1726" t="str">
        <x:v>Active</x:v>
      </x:c>
      <x:c r="J1726" t="str">
        <x:v>Amazon Marketplace</x:v>
      </x:c>
      <x:c r="K1726" t="str">
        <x:v>Marketplace Consumer</x:v>
      </x:c>
      <x:c r="L1726" t="str">
        <x:v>All Geographies</x:v>
      </x:c>
      <x:c r="M1726" s="34" t="n">
        <x:v>3648</x:v>
      </x:c>
      <x:c r="N1726" s="28" t="n">
        <x:v>0.040355999999999996</x:v>
      </x:c>
      <x:c r="O1726" s="34" t="n">
        <x:v>147</x:v>
      </x:c>
      <x:c r="P1726" s="34" t="n">
        <x:v>1</x:v>
      </x:c>
      <x:c r="Q1726" s="34" t="n">
        <x:v>147</x:v>
      </x:c>
      <x:c r="R1726" s="33" t="n">
        <x:v>29</x:v>
      </x:c>
      <x:c r="S1726" s="38" t="n">
        <x:v>4.263</x:v>
      </x:c>
      <x:c r="T1726" s="38" t="n">
        <x:v>0.21315</x:v>
      </x:c>
      <x:c r="U1726" s="38" t="n">
        <x:v>0.18224325</x:v>
      </x:c>
      <x:c r="V1726" s="38" t="n">
        <x:v>3.86760675</x:v>
      </x:c>
      <x:c r="W1726" s="38" t="n">
        <x:v>1.5876000000000001</x:v>
      </x:c>
      <x:c r="X1726" s="38" t="n">
        <x:v>0</x:v>
      </x:c>
      <x:c r="Y1726" s="38" t="n">
        <x:v>0.5801410125</x:v>
      </x:c>
      <x:c r="Z1726" s="38" t="n">
        <x:v>0.7644</x:v>
      </x:c>
      <x:c r="AA1726" s="38" t="n">
        <x:v>0.31605</x:v>
      </x:c>
      <x:c r="AB1726" s="38" t="n">
        <x:v>0.005292</x:v>
      </x:c>
      <x:c r="AC1726" s="38" t="n">
        <x:v>0.6141237375000003</x:v>
      </x:c>
      <x:c r="AD1726" s="28" t="n">
        <x:v>0.15878649955815705</x:v>
      </x:c>
    </x:row>
    <x:row r="1727">
      <x:c r="A1727" s="32" t="n">
        <x:v>46265</x:v>
      </x:c>
      <x:c r="B1727" s="32" t="n">
        <x:v>46235</x:v>
      </x:c>
      <x:c r="C1727" t="str">
        <x:v>Aug 2026</x:v>
      </x:c>
      <x:c r="D1727" t="str">
        <x:v>Forecast</x:v>
      </x:c>
      <x:c r="E1727" t="str">
        <x:v>DB-101</x:v>
      </x:c>
      <x:c r="F1727" t="str">
        <x:v>AeroSip Bottle</x:v>
      </x:c>
      <x:c r="G1727" t="str">
        <x:v>One-time purchase</x:v>
      </x:c>
      <x:c r="H1727" t="str">
        <x:v>None</x:v>
      </x:c>
      <x:c r="I1727" t="str">
        <x:v>Active</x:v>
      </x:c>
      <x:c r="J1727" t="str">
        <x:v>Wholesale</x:v>
      </x:c>
      <x:c r="K1727" t="str">
        <x:v>Retailer</x:v>
      </x:c>
      <x:c r="L1727" t="str">
        <x:v>All Geographies</x:v>
      </x:c>
      <x:c r="M1727" s="34" t="n">
        <x:v>2189</x:v>
      </x:c>
      <x:c r="N1727" s="28" t="n">
        <x:v>0.01881</x:v>
      </x:c>
      <x:c r="O1727" s="34" t="n">
        <x:v>41</x:v>
      </x:c>
      <x:c r="P1727" s="34" t="n">
        <x:v>1</x:v>
      </x:c>
      <x:c r="Q1727" s="34" t="n">
        <x:v>41</x:v>
      </x:c>
      <x:c r="R1727" s="33" t="n">
        <x:v>29</x:v>
      </x:c>
      <x:c r="S1727" s="38" t="n">
        <x:v>1.189</x:v>
      </x:c>
      <x:c r="T1727" s="38" t="n">
        <x:v>0.41615</x:v>
      </x:c>
      <x:c r="U1727" s="38" t="n">
        <x:v>0.034778250000000004</x:v>
      </x:c>
      <x:c r="V1727" s="38" t="n">
        <x:v>0.73807175</x:v>
      </x:c>
      <x:c r="W1727" s="38" t="n">
        <x:v>0.4428</x:v>
      </x:c>
      <x:c r="X1727" s="38" t="n">
        <x:v>0</x:v>
      </x:c>
      <x:c r="Y1727" s="38" t="n">
        <x:v>0</x:v>
      </x:c>
      <x:c r="Z1727" s="38" t="n">
        <x:v>0.0943</x:v>
      </x:c>
      <x:c r="AA1727" s="38" t="n">
        <x:v>0.03485</x:v>
      </x:c>
      <x:c r="AB1727" s="38" t="n">
        <x:v>0.0014759999999999999</x:v>
      </x:c>
      <x:c r="AC1727" s="38" t="n">
        <x:v>0.16464575</x:v>
      </x:c>
      <x:c r="AD1727" s="28" t="n">
        <x:v>0.22307553432305194</x:v>
      </x:c>
    </x:row>
    <x:row r="1728">
      <x:c r="A1728" s="32" t="n">
        <x:v>46265</x:v>
      </x:c>
      <x:c r="B1728" s="32" t="n">
        <x:v>46235</x:v>
      </x:c>
      <x:c r="C1728" t="str">
        <x:v>Aug 2026</x:v>
      </x:c>
      <x:c r="D1728" t="str">
        <x:v>Forecast</x:v>
      </x:c>
      <x:c r="E1728" t="str">
        <x:v>DB-101</x:v>
      </x:c>
      <x:c r="F1728" t="str">
        <x:v>AeroSip Bottle</x:v>
      </x:c>
      <x:c r="G1728" t="str">
        <x:v>One-time purchase</x:v>
      </x:c>
      <x:c r="H1728" t="str">
        <x:v>None</x:v>
      </x:c>
      <x:c r="I1728" t="str">
        <x:v>Active</x:v>
      </x:c>
      <x:c r="J1728" t="str">
        <x:v>TikTok Shop</x:v>
      </x:c>
      <x:c r="K1728" t="str">
        <x:v>Social Commerce</x:v>
      </x:c>
      <x:c r="L1728" t="str">
        <x:v>All Geographies</x:v>
      </x:c>
      <x:c r="M1728" s="34" t="n">
        <x:v>1459</x:v>
      </x:c>
      <x:c r="N1728" s="28" t="n">
        <x:v>0.043092</x:v>
      </x:c>
      <x:c r="O1728" s="34" t="n">
        <x:v>63</x:v>
      </x:c>
      <x:c r="P1728" s="34" t="n">
        <x:v>1</x:v>
      </x:c>
      <x:c r="Q1728" s="34" t="n">
        <x:v>63</x:v>
      </x:c>
      <x:c r="R1728" s="33" t="n">
        <x:v>29</x:v>
      </x:c>
      <x:c r="S1728" s="38" t="n">
        <x:v>1.827</x:v>
      </x:c>
      <x:c r="T1728" s="38" t="n">
        <x:v>0.21924</x:v>
      </x:c>
      <x:c r="U1728" s="38" t="n">
        <x:v>0.07234919999999999</x:v>
      </x:c>
      <x:c r="V1728" s="38" t="n">
        <x:v>1.5354108</x:v>
      </x:c>
      <x:c r="W1728" s="38" t="n">
        <x:v>0.6804000000000001</x:v>
      </x:c>
      <x:c r="X1728" s="38" t="n">
        <x:v>0.044526913200000004</x:v>
      </x:c>
      <x:c r="Y1728" s="38" t="n">
        <x:v>0.09212464799999999</x:v>
      </x:c>
      <x:c r="Z1728" s="38" t="n">
        <x:v>0.3213</x:v>
      </x:c>
      <x:c r="AA1728" s="38" t="n">
        <x:v>0.11025</x:v>
      </x:c>
      <x:c r="AB1728" s="38" t="n">
        <x:v>0.0022679999999999996</x:v>
      </x:c>
      <x:c r="AC1728" s="38" t="n">
        <x:v>0.2845412387999999</x:v>
      </x:c>
      <x:c r="AD1728" s="28" t="n">
        <x:v>0.18531928966501987</x:v>
      </x:c>
    </x:row>
    <x:row r="1729">
      <x:c r="A1729" s="32" t="n">
        <x:v>46265</x:v>
      </x:c>
      <x:c r="B1729" s="32" t="n">
        <x:v>46235</x:v>
      </x:c>
      <x:c r="C1729" t="str">
        <x:v>Aug 2026</x:v>
      </x:c>
      <x:c r="D1729" t="str">
        <x:v>Forecast</x:v>
      </x:c>
      <x:c r="E1729" t="str">
        <x:v>DB-102</x:v>
      </x:c>
      <x:c r="F1729" t="str">
        <x:v>GlowPatch Balm</x:v>
      </x:c>
      <x:c r="G1729" t="str">
        <x:v>Consumable repeat</x:v>
      </x:c>
      <x:c r="H1729" t="str">
        <x:v>None</x:v>
      </x:c>
      <x:c r="I1729" t="str">
        <x:v>Active</x:v>
      </x:c>
      <x:c r="J1729" t="str">
        <x:v>Shopify DTC</x:v>
      </x:c>
      <x:c r="K1729" t="str">
        <x:v>Consumer</x:v>
      </x:c>
      <x:c r="L1729" t="str">
        <x:v>All Geographies</x:v>
      </x:c>
      <x:c r="M1729" s="34" t="n">
        <x:v>5893</x:v>
      </x:c>
      <x:c r="N1729" s="28" t="n">
        <x:v>0.04248</x:v>
      </x:c>
      <x:c r="O1729" s="34" t="n">
        <x:v>250</x:v>
      </x:c>
      <x:c r="P1729" s="34" t="n">
        <x:v>1</x:v>
      </x:c>
      <x:c r="Q1729" s="34" t="n">
        <x:v>250</x:v>
      </x:c>
      <x:c r="R1729" s="33" t="n">
        <x:v>18</x:v>
      </x:c>
      <x:c r="S1729" s="38" t="n">
        <x:v>4.5</x:v>
      </x:c>
      <x:c r="T1729" s="38" t="n">
        <x:v>0.36</x:v>
      </x:c>
      <x:c r="U1729" s="38" t="n">
        <x:v>0.1035</x:v>
      </x:c>
      <x:c r="V1729" s="38" t="n">
        <x:v>4.036499999999999</x:v>
      </x:c>
      <x:c r="W1729" s="38" t="n">
        <x:v>1.3525</x:v>
      </x:c>
      <x:c r="X1729" s="38" t="n">
        <x:v>0.11705849999999998</x:v>
      </x:c>
      <x:c r="Y1729" s="38" t="n">
        <x:v>0</x:v>
      </x:c>
      <x:c r="Z1729" s="38" t="n">
        <x:v>1.0375</x:v>
      </x:c>
      <x:c r="AA1729" s="38" t="n">
        <x:v>0.4125</x:v>
      </x:c>
      <x:c r="AB1729" s="38" t="n">
        <x:v>0.0015</x:v>
      </x:c>
      <x:c r="AC1729" s="38" t="n">
        <x:v>1.1154414999999989</x:v>
      </x:c>
      <x:c r="AD1729" s="28" t="n">
        <x:v>0.2763387835996529</x:v>
      </x:c>
    </x:row>
    <x:row r="1730">
      <x:c r="A1730" s="32" t="n">
        <x:v>46265</x:v>
      </x:c>
      <x:c r="B1730" s="32" t="n">
        <x:v>46235</x:v>
      </x:c>
      <x:c r="C1730" t="str">
        <x:v>Aug 2026</x:v>
      </x:c>
      <x:c r="D1730" t="str">
        <x:v>Forecast</x:v>
      </x:c>
      <x:c r="E1730" t="str">
        <x:v>DB-102</x:v>
      </x:c>
      <x:c r="F1730" t="str">
        <x:v>GlowPatch Balm</x:v>
      </x:c>
      <x:c r="G1730" t="str">
        <x:v>Consumable repeat</x:v>
      </x:c>
      <x:c r="H1730" t="str">
        <x:v>None</x:v>
      </x:c>
      <x:c r="I1730" t="str">
        <x:v>Active</x:v>
      </x:c>
      <x:c r="J1730" t="str">
        <x:v>Amazon Marketplace</x:v>
      </x:c>
      <x:c r="K1730" t="str">
        <x:v>Marketplace Consumer</x:v>
      </x:c>
      <x:c r="L1730" t="str">
        <x:v>All Geographies</x:v>
      </x:c>
      <x:c r="M1730" s="34" t="n">
        <x:v>2946</x:v>
      </x:c>
      <x:c r="N1730" s="28" t="n">
        <x:v>0.050126399999999995</x:v>
      </x:c>
      <x:c r="O1730" s="34" t="n">
        <x:v>148</x:v>
      </x:c>
      <x:c r="P1730" s="34" t="n">
        <x:v>1</x:v>
      </x:c>
      <x:c r="Q1730" s="34" t="n">
        <x:v>148</x:v>
      </x:c>
      <x:c r="R1730" s="33" t="n">
        <x:v>18</x:v>
      </x:c>
      <x:c r="S1730" s="38" t="n">
        <x:v>2.664</x:v>
      </x:c>
      <x:c r="T1730" s="38" t="n">
        <x:v>0.1332</x:v>
      </x:c>
      <x:c r="U1730" s="38" t="n">
        <x:v>0.06327</x:v>
      </x:c>
      <x:c r="V1730" s="38" t="n">
        <x:v>2.46753</x:v>
      </x:c>
      <x:c r="W1730" s="38" t="n">
        <x:v>0.8006800000000001</x:v>
      </x:c>
      <x:c r="X1730" s="38" t="n">
        <x:v>0</x:v>
      </x:c>
      <x:c r="Y1730" s="38" t="n">
        <x:v>0.3701295</x:v>
      </x:c>
      <x:c r="Z1730" s="38" t="n">
        <x:v>0.7696000000000001</x:v>
      </x:c>
      <x:c r="AA1730" s="38" t="n">
        <x:v>0.3182</x:v>
      </x:c>
      <x:c r="AB1730" s="38" t="n">
        <x:v>0.0008879999999999999</x:v>
      </x:c>
      <x:c r="AC1730" s="38" t="n">
        <x:v>0.2080324999999999</x:v>
      </x:c>
      <x:c r="AD1730" s="28" t="n">
        <x:v>0.084307992202729</x:v>
      </x:c>
    </x:row>
    <x:row r="1731">
      <x:c r="A1731" s="32" t="n">
        <x:v>46265</x:v>
      </x:c>
      <x:c r="B1731" s="32" t="n">
        <x:v>46235</x:v>
      </x:c>
      <x:c r="C1731" t="str">
        <x:v>Aug 2026</x:v>
      </x:c>
      <x:c r="D1731" t="str">
        <x:v>Forecast</x:v>
      </x:c>
      <x:c r="E1731" t="str">
        <x:v>DB-102</x:v>
      </x:c>
      <x:c r="F1731" t="str">
        <x:v>GlowPatch Balm</x:v>
      </x:c>
      <x:c r="G1731" t="str">
        <x:v>Consumable repeat</x:v>
      </x:c>
      <x:c r="H1731" t="str">
        <x:v>None</x:v>
      </x:c>
      <x:c r="I1731" t="str">
        <x:v>Active</x:v>
      </x:c>
      <x:c r="J1731" t="str">
        <x:v>Wholesale</x:v>
      </x:c>
      <x:c r="K1731" t="str">
        <x:v>Retailer</x:v>
      </x:c>
      <x:c r="L1731" t="str">
        <x:v>All Geographies</x:v>
      </x:c>
      <x:c r="M1731" s="34" t="n">
        <x:v>1768</x:v>
      </x:c>
      <x:c r="N1731" s="28" t="n">
        <x:v>0.023364</x:v>
      </x:c>
      <x:c r="O1731" s="34" t="n">
        <x:v>41</x:v>
      </x:c>
      <x:c r="P1731" s="34" t="n">
        <x:v>1</x:v>
      </x:c>
      <x:c r="Q1731" s="34" t="n">
        <x:v>41</x:v>
      </x:c>
      <x:c r="R1731" s="33" t="n">
        <x:v>18</x:v>
      </x:c>
      <x:c r="S1731" s="38" t="n">
        <x:v>0.738</x:v>
      </x:c>
      <x:c r="T1731" s="38" t="n">
        <x:v>0.2583</x:v>
      </x:c>
      <x:c r="U1731" s="38" t="n">
        <x:v>0.011992500000000001</x:v>
      </x:c>
      <x:c r="V1731" s="38" t="n">
        <x:v>0.4677075</x:v>
      </x:c>
      <x:c r="W1731" s="38" t="n">
        <x:v>0.22181</x:v>
      </x:c>
      <x:c r="X1731" s="38" t="n">
        <x:v>0</x:v>
      </x:c>
      <x:c r="Y1731" s="38" t="n">
        <x:v>0</x:v>
      </x:c>
      <x:c r="Z1731" s="38" t="n">
        <x:v>0.0943</x:v>
      </x:c>
      <x:c r="AA1731" s="38" t="n">
        <x:v>0.03485</x:v>
      </x:c>
      <x:c r="AB1731" s="38" t="n">
        <x:v>0.000246</x:v>
      </x:c>
      <x:c r="AC1731" s="38" t="n">
        <x:v>0.11650150000000001</x:v>
      </x:c>
      <x:c r="AD1731" s="28" t="n">
        <x:v>0.2490905106289722</x:v>
      </x:c>
    </x:row>
    <x:row r="1732">
      <x:c r="A1732" s="32" t="n">
        <x:v>46265</x:v>
      </x:c>
      <x:c r="B1732" s="32" t="n">
        <x:v>46235</x:v>
      </x:c>
      <x:c r="C1732" t="str">
        <x:v>Aug 2026</x:v>
      </x:c>
      <x:c r="D1732" t="str">
        <x:v>Forecast</x:v>
      </x:c>
      <x:c r="E1732" t="str">
        <x:v>DB-102</x:v>
      </x:c>
      <x:c r="F1732" t="str">
        <x:v>GlowPatch Balm</x:v>
      </x:c>
      <x:c r="G1732" t="str">
        <x:v>Consumable repeat</x:v>
      </x:c>
      <x:c r="H1732" t="str">
        <x:v>None</x:v>
      </x:c>
      <x:c r="I1732" t="str">
        <x:v>Active</x:v>
      </x:c>
      <x:c r="J1732" t="str">
        <x:v>TikTok Shop</x:v>
      </x:c>
      <x:c r="K1732" t="str">
        <x:v>Social Commerce</x:v>
      </x:c>
      <x:c r="L1732" t="str">
        <x:v>All Geographies</x:v>
      </x:c>
      <x:c r="M1732" s="34" t="n">
        <x:v>1179</x:v>
      </x:c>
      <x:c r="N1732" s="28" t="n">
        <x:v>0.0535248</x:v>
      </x:c>
      <x:c r="O1732" s="34" t="n">
        <x:v>63</x:v>
      </x:c>
      <x:c r="P1732" s="34" t="n">
        <x:v>1</x:v>
      </x:c>
      <x:c r="Q1732" s="34" t="n">
        <x:v>63</x:v>
      </x:c>
      <x:c r="R1732" s="33" t="n">
        <x:v>18</x:v>
      </x:c>
      <x:c r="S1732" s="38" t="n">
        <x:v>1.134</x:v>
      </x:c>
      <x:c r="T1732" s="38" t="n">
        <x:v>0.13607999999999998</x:v>
      </x:c>
      <x:c r="U1732" s="38" t="n">
        <x:v>0.024947999999999998</x:v>
      </x:c>
      <x:c r="V1732" s="38" t="n">
        <x:v>0.972972</x:v>
      </x:c>
      <x:c r="W1732" s="38" t="n">
        <x:v>0.34082999999999997</x:v>
      </x:c>
      <x:c r="X1732" s="38" t="n">
        <x:v>0.028216188</x:v>
      </x:c>
      <x:c r="Y1732" s="38" t="n">
        <x:v>0.05837832</x:v>
      </x:c>
      <x:c r="Z1732" s="38" t="n">
        <x:v>0.3213</x:v>
      </x:c>
      <x:c r="AA1732" s="38" t="n">
        <x:v>0.11025</x:v>
      </x:c>
      <x:c r="AB1732" s="38" t="n">
        <x:v>0.000378</x:v>
      </x:c>
      <x:c r="AC1732" s="38" t="n">
        <x:v>0.11361949199999999</x:v>
      </x:c>
      <x:c r="AD1732" s="28" t="n">
        <x:v>0.11677570577570577</x:v>
      </x:c>
    </x:row>
    <x:row r="1733">
      <x:c r="A1733" s="32" t="n">
        <x:v>46265</x:v>
      </x:c>
      <x:c r="B1733" s="32" t="n">
        <x:v>46235</x:v>
      </x:c>
      <x:c r="C1733" t="str">
        <x:v>Aug 2026</x:v>
      </x:c>
      <x:c r="D1733" t="str">
        <x:v>Forecast</x:v>
      </x:c>
      <x:c r="E1733" t="str">
        <x:v>DB-103</x:v>
      </x:c>
      <x:c r="F1733" t="str">
        <x:v>EmberTrail Camp Mug</x:v>
      </x:c>
      <x:c r="G1733" t="str">
        <x:v>One-time purchase</x:v>
      </x:c>
      <x:c r="H1733" t="str">
        <x:v>Winter peak</x:v>
      </x:c>
      <x:c r="I1733" t="str">
        <x:v>Active</x:v>
      </x:c>
      <x:c r="J1733" t="str">
        <x:v>Shopify DTC</x:v>
      </x:c>
      <x:c r="K1733" t="str">
        <x:v>Consumer</x:v>
      </x:c>
      <x:c r="L1733" t="str">
        <x:v>All Geographies</x:v>
      </x:c>
      <x:c r="M1733" s="34" t="n">
        <x:v>4344</x:v>
      </x:c>
      <x:c r="N1733" s="28" t="n">
        <x:v>0.0324</x:v>
      </x:c>
      <x:c r="O1733" s="34" t="n">
        <x:v>141</x:v>
      </x:c>
      <x:c r="P1733" s="34" t="n">
        <x:v>1</x:v>
      </x:c>
      <x:c r="Q1733" s="34" t="n">
        <x:v>141</x:v>
      </x:c>
      <x:c r="R1733" s="33" t="n">
        <x:v>34</x:v>
      </x:c>
      <x:c r="S1733" s="38" t="n">
        <x:v>4.794</x:v>
      </x:c>
      <x:c r="T1733" s="38" t="n">
        <x:v>0.38351999999999997</x:v>
      </x:c>
      <x:c r="U1733" s="38" t="n">
        <x:v>0.2425764</x:v>
      </x:c>
      <x:c r="V1733" s="38" t="n">
        <x:v>4.1679036</x:v>
      </x:c>
      <x:c r="W1733" s="38" t="n">
        <x:v>1.92747</x:v>
      </x:c>
      <x:c r="X1733" s="38" t="n">
        <x:v>0.1208692044</x:v>
      </x:c>
      <x:c r="Y1733" s="38" t="n">
        <x:v>0</x:v>
      </x:c>
      <x:c r="Z1733" s="38" t="n">
        <x:v>0.5851500000000001</x:v>
      </x:c>
      <x:c r="AA1733" s="38" t="n">
        <x:v>0.23264999999999997</x:v>
      </x:c>
      <x:c r="AB1733" s="38" t="n">
        <x:v>0.007896</x:v>
      </x:c>
      <x:c r="AC1733" s="38" t="n">
        <x:v>1.2938683955999999</x:v>
      </x:c>
      <x:c r="AD1733" s="28" t="n">
        <x:v>0.31043625759482535</x:v>
      </x:c>
    </x:row>
    <x:row r="1734">
      <x:c r="A1734" s="32" t="n">
        <x:v>46265</x:v>
      </x:c>
      <x:c r="B1734" s="32" t="n">
        <x:v>46235</x:v>
      </x:c>
      <x:c r="C1734" t="str">
        <x:v>Aug 2026</x:v>
      </x:c>
      <x:c r="D1734" t="str">
        <x:v>Forecast</x:v>
      </x:c>
      <x:c r="E1734" t="str">
        <x:v>DB-103</x:v>
      </x:c>
      <x:c r="F1734" t="str">
        <x:v>EmberTrail Camp Mug</x:v>
      </x:c>
      <x:c r="G1734" t="str">
        <x:v>One-time purchase</x:v>
      </x:c>
      <x:c r="H1734" t="str">
        <x:v>Winter peak</x:v>
      </x:c>
      <x:c r="I1734" t="str">
        <x:v>Active</x:v>
      </x:c>
      <x:c r="J1734" t="str">
        <x:v>Amazon Marketplace</x:v>
      </x:c>
      <x:c r="K1734" t="str">
        <x:v>Marketplace Consumer</x:v>
      </x:c>
      <x:c r="L1734" t="str">
        <x:v>All Geographies</x:v>
      </x:c>
      <x:c r="M1734" s="34" t="n">
        <x:v>2172</x:v>
      </x:c>
      <x:c r="N1734" s="28" t="n">
        <x:v>0.038231999999999995</x:v>
      </x:c>
      <x:c r="O1734" s="34" t="n">
        <x:v>83</x:v>
      </x:c>
      <x:c r="P1734" s="34" t="n">
        <x:v>1</x:v>
      </x:c>
      <x:c r="Q1734" s="34" t="n">
        <x:v>83</x:v>
      </x:c>
      <x:c r="R1734" s="33" t="n">
        <x:v>34</x:v>
      </x:c>
      <x:c r="S1734" s="38" t="n">
        <x:v>2.822</x:v>
      </x:c>
      <x:c r="T1734" s="38" t="n">
        <x:v>0.1411</x:v>
      </x:c>
      <x:c r="U1734" s="38" t="n">
        <x:v>0.1474495</x:v>
      </x:c>
      <x:c r="V1734" s="38" t="n">
        <x:v>2.5334505000000003</x:v>
      </x:c>
      <x:c r="W1734" s="38" t="n">
        <x:v>1.13461</x:v>
      </x:c>
      <x:c r="X1734" s="38" t="n">
        <x:v>0</x:v>
      </x:c>
      <x:c r="Y1734" s="38" t="n">
        <x:v>0.38001757500000005</x:v>
      </x:c>
      <x:c r="Z1734" s="38" t="n">
        <x:v>0.43160000000000004</x:v>
      </x:c>
      <x:c r="AA1734" s="38" t="n">
        <x:v>0.17845</x:v>
      </x:c>
      <x:c r="AB1734" s="38" t="n">
        <x:v>0.004648</x:v>
      </x:c>
      <x:c r="AC1734" s="38" t="n">
        <x:v>0.4041249250000003</x:v>
      </x:c>
      <x:c r="AD1734" s="28" t="n">
        <x:v>0.15951561911314244</x:v>
      </x:c>
    </x:row>
    <x:row r="1735">
      <x:c r="A1735" s="32" t="n">
        <x:v>46265</x:v>
      </x:c>
      <x:c r="B1735" s="32" t="n">
        <x:v>46235</x:v>
      </x:c>
      <x:c r="C1735" t="str">
        <x:v>Aug 2026</x:v>
      </x:c>
      <x:c r="D1735" t="str">
        <x:v>Forecast</x:v>
      </x:c>
      <x:c r="E1735" t="str">
        <x:v>DB-103</x:v>
      </x:c>
      <x:c r="F1735" t="str">
        <x:v>EmberTrail Camp Mug</x:v>
      </x:c>
      <x:c r="G1735" t="str">
        <x:v>One-time purchase</x:v>
      </x:c>
      <x:c r="H1735" t="str">
        <x:v>Winter peak</x:v>
      </x:c>
      <x:c r="I1735" t="str">
        <x:v>Active</x:v>
      </x:c>
      <x:c r="J1735" t="str">
        <x:v>Wholesale</x:v>
      </x:c>
      <x:c r="K1735" t="str">
        <x:v>Retailer</x:v>
      </x:c>
      <x:c r="L1735" t="str">
        <x:v>All Geographies</x:v>
      </x:c>
      <x:c r="M1735" s="34" t="n">
        <x:v>1303</x:v>
      </x:c>
      <x:c r="N1735" s="28" t="n">
        <x:v>0.017820000000000003</x:v>
      </x:c>
      <x:c r="O1735" s="34" t="n">
        <x:v>23</x:v>
      </x:c>
      <x:c r="P1735" s="34" t="n">
        <x:v>1</x:v>
      </x:c>
      <x:c r="Q1735" s="34" t="n">
        <x:v>23</x:v>
      </x:c>
      <x:c r="R1735" s="33" t="n">
        <x:v>34</x:v>
      </x:c>
      <x:c r="S1735" s="38" t="n">
        <x:v>0.782</x:v>
      </x:c>
      <x:c r="T1735" s="38" t="n">
        <x:v>0.2737</x:v>
      </x:c>
      <x:c r="U1735" s="38" t="n">
        <x:v>0.0279565</x:v>
      </x:c>
      <x:c r="V1735" s="38" t="n">
        <x:v>0.4803435</x:v>
      </x:c>
      <x:c r="W1735" s="38" t="n">
        <x:v>0.31441</x:v>
      </x:c>
      <x:c r="X1735" s="38" t="n">
        <x:v>0</x:v>
      </x:c>
      <x:c r="Y1735" s="38" t="n">
        <x:v>0</x:v>
      </x:c>
      <x:c r="Z1735" s="38" t="n">
        <x:v>0.052899999999999996</x:v>
      </x:c>
      <x:c r="AA1735" s="38" t="n">
        <x:v>0.01955</x:v>
      </x:c>
      <x:c r="AB1735" s="38" t="n">
        <x:v>0.001288</x:v>
      </x:c>
      <x:c r="AC1735" s="38" t="n">
        <x:v>0.09219549999999996</x:v>
      </x:c>
      <x:c r="AD1735" s="28" t="n">
        <x:v>0.1919366037013095</x:v>
      </x:c>
    </x:row>
    <x:row r="1736">
      <x:c r="A1736" s="32" t="n">
        <x:v>46265</x:v>
      </x:c>
      <x:c r="B1736" s="32" t="n">
        <x:v>46235</x:v>
      </x:c>
      <x:c r="C1736" t="str">
        <x:v>Aug 2026</x:v>
      </x:c>
      <x:c r="D1736" t="str">
        <x:v>Forecast</x:v>
      </x:c>
      <x:c r="E1736" t="str">
        <x:v>DB-103</x:v>
      </x:c>
      <x:c r="F1736" t="str">
        <x:v>EmberTrail Camp Mug</x:v>
      </x:c>
      <x:c r="G1736" t="str">
        <x:v>One-time purchase</x:v>
      </x:c>
      <x:c r="H1736" t="str">
        <x:v>Winter peak</x:v>
      </x:c>
      <x:c r="I1736" t="str">
        <x:v>Active</x:v>
      </x:c>
      <x:c r="J1736" t="str">
        <x:v>TikTok Shop</x:v>
      </x:c>
      <x:c r="K1736" t="str">
        <x:v>Social Commerce</x:v>
      </x:c>
      <x:c r="L1736" t="str">
        <x:v>All Geographies</x:v>
      </x:c>
      <x:c r="M1736" s="34" t="n">
        <x:v>869</x:v>
      </x:c>
      <x:c r="N1736" s="28" t="n">
        <x:v>0.040824</x:v>
      </x:c>
      <x:c r="O1736" s="34" t="n">
        <x:v>35</x:v>
      </x:c>
      <x:c r="P1736" s="34" t="n">
        <x:v>1</x:v>
      </x:c>
      <x:c r="Q1736" s="34" t="n">
        <x:v>35</x:v>
      </x:c>
      <x:c r="R1736" s="33" t="n">
        <x:v>34</x:v>
      </x:c>
      <x:c r="S1736" s="38" t="n">
        <x:v>1.19</x:v>
      </x:c>
      <x:c r="T1736" s="38" t="n">
        <x:v>0.14279999999999998</x:v>
      </x:c>
      <x:c r="U1736" s="38" t="n">
        <x:v>0.057595999999999994</x:v>
      </x:c>
      <x:c r="V1736" s="38" t="n">
        <x:v>0.9896039999999999</x:v>
      </x:c>
      <x:c r="W1736" s="38" t="n">
        <x:v>0.47845</x:v>
      </x:c>
      <x:c r="X1736" s="38" t="n">
        <x:v>0.028698516</x:v>
      </x:c>
      <x:c r="Y1736" s="38" t="n">
        <x:v>0.05937624</x:v>
      </x:c>
      <x:c r="Z1736" s="38" t="n">
        <x:v>0.1785</x:v>
      </x:c>
      <x:c r="AA1736" s="38" t="n">
        <x:v>0.06125</x:v>
      </x:c>
      <x:c r="AB1736" s="38" t="n">
        <x:v>0.0019600000000000004</x:v>
      </x:c>
      <x:c r="AC1736" s="38" t="n">
        <x:v>0.18136924399999987</x:v>
      </x:c>
      <x:c r="AD1736" s="28" t="n">
        <x:v>0.18327456639221335</x:v>
      </x:c>
    </x:row>
    <x:row r="1737">
      <x:c r="A1737" s="32" t="n">
        <x:v>46265</x:v>
      </x:c>
      <x:c r="B1737" s="32" t="n">
        <x:v>46235</x:v>
      </x:c>
      <x:c r="C1737" t="str">
        <x:v>Aug 2026</x:v>
      </x:c>
      <x:c r="D1737" t="str">
        <x:v>Forecast</x:v>
      </x:c>
      <x:c r="E1737" t="str">
        <x:v>DB-104</x:v>
      </x:c>
      <x:c r="F1737" t="str">
        <x:v>SunNest Cooling Towel</x:v>
      </x:c>
      <x:c r="G1737" t="str">
        <x:v>Consumable repeat</x:v>
      </x:c>
      <x:c r="H1737" t="str">
        <x:v>Summer peak</x:v>
      </x:c>
      <x:c r="I1737" t="str">
        <x:v>Active</x:v>
      </x:c>
      <x:c r="J1737" t="str">
        <x:v>Shopify DTC</x:v>
      </x:c>
      <x:c r="K1737" t="str">
        <x:v>Consumer</x:v>
      </x:c>
      <x:c r="L1737" t="str">
        <x:v>All Geographies</x:v>
      </x:c>
      <x:c r="M1737" s="34" t="n">
        <x:v>5629</x:v>
      </x:c>
      <x:c r="N1737" s="28" t="n">
        <x:v>0.03312</x:v>
      </x:c>
      <x:c r="O1737" s="34" t="n">
        <x:v>186</x:v>
      </x:c>
      <x:c r="P1737" s="34" t="n">
        <x:v>1</x:v>
      </x:c>
      <x:c r="Q1737" s="34" t="n">
        <x:v>186</x:v>
      </x:c>
      <x:c r="R1737" s="33" t="n">
        <x:v>42</x:v>
      </x:c>
      <x:c r="S1737" s="38" t="n">
        <x:v>7.812</x:v>
      </x:c>
      <x:c r="T1737" s="38" t="n">
        <x:v>0.6249600000000001</x:v>
      </x:c>
      <x:c r="U1737" s="38" t="n">
        <x:v>0.35935200000000006</x:v>
      </x:c>
      <x:c r="V1737" s="38" t="n">
        <x:v>6.827688</x:v>
      </x:c>
      <x:c r="W1737" s="38" t="n">
        <x:v>2.7993</x:v>
      </x:c>
      <x:c r="X1737" s="38" t="n">
        <x:v>0.198002952</x:v>
      </x:c>
      <x:c r="Y1737" s="38" t="n">
        <x:v>0</x:v>
      </x:c>
      <x:c r="Z1737" s="38" t="n">
        <x:v>0.7719000000000001</x:v>
      </x:c>
      <x:c r="AA1737" s="38" t="n">
        <x:v>0.30689999999999995</x:v>
      </x:c>
      <x:c r="AB1737" s="38" t="n">
        <x:v>0.005208</x:v>
      </x:c>
      <x:c r="AC1737" s="38" t="n">
        <x:v>2.746377048</x:v>
      </x:c>
      <x:c r="AD1737" s="28" t="n">
        <x:v>0.4022411463441211</x:v>
      </x:c>
    </x:row>
    <x:row r="1738">
      <x:c r="A1738" s="32" t="n">
        <x:v>46265</x:v>
      </x:c>
      <x:c r="B1738" s="32" t="n">
        <x:v>46235</x:v>
      </x:c>
      <x:c r="C1738" t="str">
        <x:v>Aug 2026</x:v>
      </x:c>
      <x:c r="D1738" t="str">
        <x:v>Forecast</x:v>
      </x:c>
      <x:c r="E1738" t="str">
        <x:v>DB-104</x:v>
      </x:c>
      <x:c r="F1738" t="str">
        <x:v>SunNest Cooling Towel</x:v>
      </x:c>
      <x:c r="G1738" t="str">
        <x:v>Consumable repeat</x:v>
      </x:c>
      <x:c r="H1738" t="str">
        <x:v>Summer peak</x:v>
      </x:c>
      <x:c r="I1738" t="str">
        <x:v>Active</x:v>
      </x:c>
      <x:c r="J1738" t="str">
        <x:v>Amazon Marketplace</x:v>
      </x:c>
      <x:c r="K1738" t="str">
        <x:v>Marketplace Consumer</x:v>
      </x:c>
      <x:c r="L1738" t="str">
        <x:v>All Geographies</x:v>
      </x:c>
      <x:c r="M1738" s="34" t="n">
        <x:v>2814</x:v>
      </x:c>
      <x:c r="N1738" s="28" t="n">
        <x:v>0.0390816</x:v>
      </x:c>
      <x:c r="O1738" s="34" t="n">
        <x:v>110</x:v>
      </x:c>
      <x:c r="P1738" s="34" t="n">
        <x:v>1</x:v>
      </x:c>
      <x:c r="Q1738" s="34" t="n">
        <x:v>110</x:v>
      </x:c>
      <x:c r="R1738" s="33" t="n">
        <x:v>42</x:v>
      </x:c>
      <x:c r="S1738" s="38" t="n">
        <x:v>4.62</x:v>
      </x:c>
      <x:c r="T1738" s="38" t="n">
        <x:v>0.231</x:v>
      </x:c>
      <x:c r="U1738" s="38" t="n">
        <x:v>0.21945000000000003</x:v>
      </x:c>
      <x:c r="V1738" s="38" t="n">
        <x:v>4.16955</x:v>
      </x:c>
      <x:c r="W1738" s="38" t="n">
        <x:v>1.6555</x:v>
      </x:c>
      <x:c r="X1738" s="38" t="n">
        <x:v>0</x:v>
      </x:c>
      <x:c r="Y1738" s="38" t="n">
        <x:v>0.6254325</x:v>
      </x:c>
      <x:c r="Z1738" s="38" t="n">
        <x:v>0.572</x:v>
      </x:c>
      <x:c r="AA1738" s="38" t="n">
        <x:v>0.2365</x:v>
      </x:c>
      <x:c r="AB1738" s="38" t="n">
        <x:v>0.0030800000000000003</x:v>
      </x:c>
      <x:c r="AC1738" s="38" t="n">
        <x:v>1.0770375</x:v>
      </x:c>
      <x:c r="AD1738" s="28" t="n">
        <x:v>0.25831024930747926</x:v>
      </x:c>
    </x:row>
    <x:row r="1739">
      <x:c r="A1739" s="32" t="n">
        <x:v>46265</x:v>
      </x:c>
      <x:c r="B1739" s="32" t="n">
        <x:v>46235</x:v>
      </x:c>
      <x:c r="C1739" t="str">
        <x:v>Aug 2026</x:v>
      </x:c>
      <x:c r="D1739" t="str">
        <x:v>Forecast</x:v>
      </x:c>
      <x:c r="E1739" t="str">
        <x:v>DB-104</x:v>
      </x:c>
      <x:c r="F1739" t="str">
        <x:v>SunNest Cooling Towel</x:v>
      </x:c>
      <x:c r="G1739" t="str">
        <x:v>Consumable repeat</x:v>
      </x:c>
      <x:c r="H1739" t="str">
        <x:v>Summer peak</x:v>
      </x:c>
      <x:c r="I1739" t="str">
        <x:v>Active</x:v>
      </x:c>
      <x:c r="J1739" t="str">
        <x:v>Wholesale</x:v>
      </x:c>
      <x:c r="K1739" t="str">
        <x:v>Retailer</x:v>
      </x:c>
      <x:c r="L1739" t="str">
        <x:v>All Geographies</x:v>
      </x:c>
      <x:c r="M1739" s="34" t="n">
        <x:v>1689</x:v>
      </x:c>
      <x:c r="N1739" s="28" t="n">
        <x:v>0.018216000000000003</x:v>
      </x:c>
      <x:c r="O1739" s="34" t="n">
        <x:v>31</x:v>
      </x:c>
      <x:c r="P1739" s="34" t="n">
        <x:v>1</x:v>
      </x:c>
      <x:c r="Q1739" s="34" t="n">
        <x:v>31</x:v>
      </x:c>
      <x:c r="R1739" s="33" t="n">
        <x:v>42</x:v>
      </x:c>
      <x:c r="S1739" s="38" t="n">
        <x:v>1.302</x:v>
      </x:c>
      <x:c r="T1739" s="38" t="n">
        <x:v>0.4557</x:v>
      </x:c>
      <x:c r="U1739" s="38" t="n">
        <x:v>0.042315000000000005</x:v>
      </x:c>
      <x:c r="V1739" s="38" t="n">
        <x:v>0.8039850000000001</x:v>
      </x:c>
      <x:c r="W1739" s="38" t="n">
        <x:v>0.46655</x:v>
      </x:c>
      <x:c r="X1739" s="38" t="n">
        <x:v>0</x:v>
      </x:c>
      <x:c r="Y1739" s="38" t="n">
        <x:v>0</x:v>
      </x:c>
      <x:c r="Z1739" s="38" t="n">
        <x:v>0.0713</x:v>
      </x:c>
      <x:c r="AA1739" s="38" t="n">
        <x:v>0.02635</x:v>
      </x:c>
      <x:c r="AB1739" s="38" t="n">
        <x:v>0.000868</x:v>
      </x:c>
      <x:c r="AC1739" s="38" t="n">
        <x:v>0.23891700000000002</x:v>
      </x:c>
      <x:c r="AD1739" s="28" t="n">
        <x:v>0.297165991902834</x:v>
      </x:c>
    </x:row>
    <x:row r="1740">
      <x:c r="A1740" s="32" t="n">
        <x:v>46265</x:v>
      </x:c>
      <x:c r="B1740" s="32" t="n">
        <x:v>46235</x:v>
      </x:c>
      <x:c r="C1740" t="str">
        <x:v>Aug 2026</x:v>
      </x:c>
      <x:c r="D1740" t="str">
        <x:v>Forecast</x:v>
      </x:c>
      <x:c r="E1740" t="str">
        <x:v>DB-104</x:v>
      </x:c>
      <x:c r="F1740" t="str">
        <x:v>SunNest Cooling Towel</x:v>
      </x:c>
      <x:c r="G1740" t="str">
        <x:v>Consumable repeat</x:v>
      </x:c>
      <x:c r="H1740" t="str">
        <x:v>Summer peak</x:v>
      </x:c>
      <x:c r="I1740" t="str">
        <x:v>Active</x:v>
      </x:c>
      <x:c r="J1740" t="str">
        <x:v>TikTok Shop</x:v>
      </x:c>
      <x:c r="K1740" t="str">
        <x:v>Social Commerce</x:v>
      </x:c>
      <x:c r="L1740" t="str">
        <x:v>All Geographies</x:v>
      </x:c>
      <x:c r="M1740" s="34" t="n">
        <x:v>1126</x:v>
      </x:c>
      <x:c r="N1740" s="28" t="n">
        <x:v>0.0417312</x:v>
      </x:c>
      <x:c r="O1740" s="34" t="n">
        <x:v>47</x:v>
      </x:c>
      <x:c r="P1740" s="34" t="n">
        <x:v>1</x:v>
      </x:c>
      <x:c r="Q1740" s="34" t="n">
        <x:v>47</x:v>
      </x:c>
      <x:c r="R1740" s="33" t="n">
        <x:v>42</x:v>
      </x:c>
      <x:c r="S1740" s="38" t="n">
        <x:v>1.974</x:v>
      </x:c>
      <x:c r="T1740" s="38" t="n">
        <x:v>0.23687999999999998</x:v>
      </x:c>
      <x:c r="U1740" s="38" t="n">
        <x:v>0.086856</x:v>
      </x:c>
      <x:c r="V1740" s="38" t="n">
        <x:v>1.650264</x:v>
      </x:c>
      <x:c r="W1740" s="38" t="n">
        <x:v>0.70735</x:v>
      </x:c>
      <x:c r="X1740" s="38" t="n">
        <x:v>0.047857656</x:v>
      </x:c>
      <x:c r="Y1740" s="38" t="n">
        <x:v>0.09901584</x:v>
      </x:c>
      <x:c r="Z1740" s="38" t="n">
        <x:v>0.2397</x:v>
      </x:c>
      <x:c r="AA1740" s="38" t="n">
        <x:v>0.08225</x:v>
      </x:c>
      <x:c r="AB1740" s="38" t="n">
        <x:v>0.0013160000000000001</x:v>
      </x:c>
      <x:c r="AC1740" s="38" t="n">
        <x:v>0.47277450399999993</x:v>
      </x:c>
      <x:c r="AD1740" s="28" t="n">
        <x:v>0.2864841649578491</x:v>
      </x:c>
    </x:row>
    <x:row r="1741">
      <x:c r="A1741" s="32" t="n">
        <x:v>46265</x:v>
      </x:c>
      <x:c r="B1741" s="32" t="n">
        <x:v>46235</x:v>
      </x:c>
      <x:c r="C1741" t="str">
        <x:v>Aug 2026</x:v>
      </x:c>
      <x:c r="D1741" t="str">
        <x:v>Forecast</x:v>
      </x:c>
      <x:c r="E1741" t="str">
        <x:v>DB-105</x:v>
      </x:c>
      <x:c r="F1741" t="str">
        <x:v>DreamFuel Refill Pack</x:v>
      </x:c>
      <x:c r="G1741" t="str">
        <x:v>Subscription</x:v>
      </x:c>
      <x:c r="H1741" t="str">
        <x:v>None</x:v>
      </x:c>
      <x:c r="I1741" t="str">
        <x:v>Active</x:v>
      </x:c>
      <x:c r="J1741" t="str">
        <x:v>Shopify DTC</x:v>
      </x:c>
      <x:c r="K1741" t="str">
        <x:v>Consumer</x:v>
      </x:c>
      <x:c r="L1741" t="str">
        <x:v>All Geographies</x:v>
      </x:c>
      <x:c r="M1741" s="34" t="n">
        <x:v>5051</x:v>
      </x:c>
      <x:c r="N1741" s="28" t="n">
        <x:v>0.03888</x:v>
      </x:c>
      <x:c r="O1741" s="34" t="n">
        <x:v>196</x:v>
      </x:c>
      <x:c r="P1741" s="34" t="n">
        <x:v>1</x:v>
      </x:c>
      <x:c r="Q1741" s="34" t="n">
        <x:v>196</x:v>
      </x:c>
      <x:c r="R1741" s="33" t="n">
        <x:v>56</x:v>
      </x:c>
      <x:c r="S1741" s="38" t="n">
        <x:v>10.976</x:v>
      </x:c>
      <x:c r="T1741" s="38" t="n">
        <x:v>0.8780800000000001</x:v>
      </x:c>
      <x:c r="U1741" s="38" t="n">
        <x:v>0.2019584</x:v>
      </x:c>
      <x:c r="V1741" s="38" t="n">
        <x:v>9.8959616</x:v>
      </x:c>
      <x:c r="W1741" s="38" t="n">
        <x:v>3.64952</x:v>
      </x:c>
      <x:c r="X1741" s="38" t="n">
        <x:v>0.2869828864</x:v>
      </x:c>
      <x:c r="Y1741" s="38" t="n">
        <x:v>0</x:v>
      </x:c>
      <x:c r="Z1741" s="38" t="n">
        <x:v>0.8134000000000001</x:v>
      </x:c>
      <x:c r="AA1741" s="38" t="n">
        <x:v>0.32339999999999997</x:v>
      </x:c>
      <x:c r="AB1741" s="38" t="n">
        <x:v>0.0007055999999999999</x:v>
      </x:c>
      <x:c r="AC1741" s="38" t="n">
        <x:v>4.8219531136</x:v>
      </x:c>
      <x:c r="AD1741" s="28" t="n">
        <x:v>0.4872647357079478</x:v>
      </x:c>
    </x:row>
    <x:row r="1742">
      <x:c r="A1742" s="32" t="n">
        <x:v>46265</x:v>
      </x:c>
      <x:c r="B1742" s="32" t="n">
        <x:v>46235</x:v>
      </x:c>
      <x:c r="C1742" t="str">
        <x:v>Aug 2026</x:v>
      </x:c>
      <x:c r="D1742" t="str">
        <x:v>Forecast</x:v>
      </x:c>
      <x:c r="E1742" t="str">
        <x:v>DB-105</x:v>
      </x:c>
      <x:c r="F1742" t="str">
        <x:v>DreamFuel Refill Pack</x:v>
      </x:c>
      <x:c r="G1742" t="str">
        <x:v>Subscription</x:v>
      </x:c>
      <x:c r="H1742" t="str">
        <x:v>None</x:v>
      </x:c>
      <x:c r="I1742" t="str">
        <x:v>Active</x:v>
      </x:c>
      <x:c r="J1742" t="str">
        <x:v>Amazon Marketplace</x:v>
      </x:c>
      <x:c r="K1742" t="str">
        <x:v>Marketplace Consumer</x:v>
      </x:c>
      <x:c r="L1742" t="str">
        <x:v>All Geographies</x:v>
      </x:c>
      <x:c r="M1742" s="34" t="n">
        <x:v>2525</x:v>
      </x:c>
      <x:c r="N1742" s="28" t="n">
        <x:v>0.0458784</x:v>
      </x:c>
      <x:c r="O1742" s="34" t="n">
        <x:v>116</x:v>
      </x:c>
      <x:c r="P1742" s="34" t="n">
        <x:v>1</x:v>
      </x:c>
      <x:c r="Q1742" s="34" t="n">
        <x:v>116</x:v>
      </x:c>
      <x:c r="R1742" s="33" t="n">
        <x:v>56</x:v>
      </x:c>
      <x:c r="S1742" s="38" t="n">
        <x:v>6.496</x:v>
      </x:c>
      <x:c r="T1742" s="38" t="n">
        <x:v>0.32480000000000003</x:v>
      </x:c>
      <x:c r="U1742" s="38" t="n">
        <x:v>0.12342400000000002</x:v>
      </x:c>
      <x:c r="V1742" s="38" t="n">
        <x:v>6.047776000000001</x:v>
      </x:c>
      <x:c r="W1742" s="38" t="n">
        <x:v>2.15992</x:v>
      </x:c>
      <x:c r="X1742" s="38" t="n">
        <x:v>0</x:v>
      </x:c>
      <x:c r="Y1742" s="38" t="n">
        <x:v>0.9071664</x:v>
      </x:c>
      <x:c r="Z1742" s="38" t="n">
        <x:v>0.6032000000000001</x:v>
      </x:c>
      <x:c r="AA1742" s="38" t="n">
        <x:v>0.24939999999999998</x:v>
      </x:c>
      <x:c r="AB1742" s="38" t="n">
        <x:v>0.0004176</x:v>
      </x:c>
      <x:c r="AC1742" s="38" t="n">
        <x:v>2.1276720000000005</x:v>
      </x:c>
      <x:c r="AD1742" s="28" t="n">
        <x:v>0.35181064907165877</x:v>
      </x:c>
    </x:row>
    <x:row r="1743">
      <x:c r="A1743" s="32" t="n">
        <x:v>46265</x:v>
      </x:c>
      <x:c r="B1743" s="32" t="n">
        <x:v>46235</x:v>
      </x:c>
      <x:c r="C1743" t="str">
        <x:v>Aug 2026</x:v>
      </x:c>
      <x:c r="D1743" t="str">
        <x:v>Forecast</x:v>
      </x:c>
      <x:c r="E1743" t="str">
        <x:v>DB-105</x:v>
      </x:c>
      <x:c r="F1743" t="str">
        <x:v>DreamFuel Refill Pack</x:v>
      </x:c>
      <x:c r="G1743" t="str">
        <x:v>Subscription</x:v>
      </x:c>
      <x:c r="H1743" t="str">
        <x:v>None</x:v>
      </x:c>
      <x:c r="I1743" t="str">
        <x:v>Active</x:v>
      </x:c>
      <x:c r="J1743" t="str">
        <x:v>Wholesale</x:v>
      </x:c>
      <x:c r="K1743" t="str">
        <x:v>Retailer</x:v>
      </x:c>
      <x:c r="L1743" t="str">
        <x:v>All Geographies</x:v>
      </x:c>
      <x:c r="M1743" s="34" t="n">
        <x:v>1515</x:v>
      </x:c>
      <x:c r="N1743" s="28" t="n">
        <x:v>0.021384000000000004</x:v>
      </x:c>
      <x:c r="O1743" s="34" t="n">
        <x:v>32</x:v>
      </x:c>
      <x:c r="P1743" s="34" t="n">
        <x:v>1</x:v>
      </x:c>
      <x:c r="Q1743" s="34" t="n">
        <x:v>32</x:v>
      </x:c>
      <x:c r="R1743" s="33" t="n">
        <x:v>56</x:v>
      </x:c>
      <x:c r="S1743" s="38" t="n">
        <x:v>1.792</x:v>
      </x:c>
      <x:c r="T1743" s="38" t="n">
        <x:v>0.6272</x:v>
      </x:c>
      <x:c r="U1743" s="38" t="n">
        <x:v>0.023296</x:v>
      </x:c>
      <x:c r="V1743" s="38" t="n">
        <x:v>1.141504</x:v>
      </x:c>
      <x:c r="W1743" s="38" t="n">
        <x:v>0.59584</x:v>
      </x:c>
      <x:c r="X1743" s="38" t="n">
        <x:v>0</x:v>
      </x:c>
      <x:c r="Y1743" s="38" t="n">
        <x:v>0</x:v>
      </x:c>
      <x:c r="Z1743" s="38" t="n">
        <x:v>0.0736</x:v>
      </x:c>
      <x:c r="AA1743" s="38" t="n">
        <x:v>0.0272</x:v>
      </x:c>
      <x:c r="AB1743" s="38" t="n">
        <x:v>0.0001152</x:v>
      </x:c>
      <x:c r="AC1743" s="38" t="n">
        <x:v>0.44474880000000006</x:v>
      </x:c>
      <x:c r="AD1743" s="28" t="n">
        <x:v>0.3896165059430366</x:v>
      </x:c>
    </x:row>
    <x:row r="1744">
      <x:c r="A1744" s="32" t="n">
        <x:v>46265</x:v>
      </x:c>
      <x:c r="B1744" s="32" t="n">
        <x:v>46235</x:v>
      </x:c>
      <x:c r="C1744" t="str">
        <x:v>Aug 2026</x:v>
      </x:c>
      <x:c r="D1744" t="str">
        <x:v>Forecast</x:v>
      </x:c>
      <x:c r="E1744" t="str">
        <x:v>DB-105</x:v>
      </x:c>
      <x:c r="F1744" t="str">
        <x:v>DreamFuel Refill Pack</x:v>
      </x:c>
      <x:c r="G1744" t="str">
        <x:v>Subscription</x:v>
      </x:c>
      <x:c r="H1744" t="str">
        <x:v>None</x:v>
      </x:c>
      <x:c r="I1744" t="str">
        <x:v>Active</x:v>
      </x:c>
      <x:c r="J1744" t="str">
        <x:v>TikTok Shop</x:v>
      </x:c>
      <x:c r="K1744" t="str">
        <x:v>Social Commerce</x:v>
      </x:c>
      <x:c r="L1744" t="str">
        <x:v>All Geographies</x:v>
      </x:c>
      <x:c r="M1744" s="34" t="n">
        <x:v>1010</x:v>
      </x:c>
      <x:c r="N1744" s="28" t="n">
        <x:v>0.0489888</x:v>
      </x:c>
      <x:c r="O1744" s="34" t="n">
        <x:v>49</x:v>
      </x:c>
      <x:c r="P1744" s="34" t="n">
        <x:v>1</x:v>
      </x:c>
      <x:c r="Q1744" s="34" t="n">
        <x:v>49</x:v>
      </x:c>
      <x:c r="R1744" s="33" t="n">
        <x:v>56</x:v>
      </x:c>
      <x:c r="S1744" s="38" t="n">
        <x:v>2.744</x:v>
      </x:c>
      <x:c r="T1744" s="38" t="n">
        <x:v>0.32928</x:v>
      </x:c>
      <x:c r="U1744" s="38" t="n">
        <x:v>0.0482944</x:v>
      </x:c>
      <x:c r="V1744" s="38" t="n">
        <x:v>2.3664256</x:v>
      </x:c>
      <x:c r="W1744" s="38" t="n">
        <x:v>0.91238</x:v>
      </x:c>
      <x:c r="X1744" s="38" t="n">
        <x:v>0.0686263424</x:v>
      </x:c>
      <x:c r="Y1744" s="38" t="n">
        <x:v>0.141985536</x:v>
      </x:c>
      <x:c r="Z1744" s="38" t="n">
        <x:v>0.24989999999999998</x:v>
      </x:c>
      <x:c r="AA1744" s="38" t="n">
        <x:v>0.08575</x:v>
      </x:c>
      <x:c r="AB1744" s="38" t="n">
        <x:v>0.00017639999999999998</x:v>
      </x:c>
      <x:c r="AC1744" s="38" t="n">
        <x:v>0.9076073216</x:v>
      </x:c>
      <x:c r="AD1744" s="28" t="n">
        <x:v>0.3835351179432812</x:v>
      </x:c>
    </x:row>
    <x:row r="1745">
      <x:c r="A1745" s="32" t="n">
        <x:v>46272</x:v>
      </x:c>
      <x:c r="B1745" s="32" t="n">
        <x:v>46266</x:v>
      </x:c>
      <x:c r="C1745" t="str">
        <x:v>Sep 2026</x:v>
      </x:c>
      <x:c r="D1745" t="str">
        <x:v>Forecast</x:v>
      </x:c>
      <x:c r="E1745" t="str">
        <x:v>DB-101</x:v>
      </x:c>
      <x:c r="F1745" t="str">
        <x:v>AeroSip Bottle</x:v>
      </x:c>
      <x:c r="G1745" t="str">
        <x:v>One-time purchase</x:v>
      </x:c>
      <x:c r="H1745" t="str">
        <x:v>None</x:v>
      </x:c>
      <x:c r="I1745" t="str">
        <x:v>Active</x:v>
      </x:c>
      <x:c r="J1745" t="str">
        <x:v>Shopify DTC</x:v>
      </x:c>
      <x:c r="K1745" t="str">
        <x:v>Consumer</x:v>
      </x:c>
      <x:c r="L1745" t="str">
        <x:v>All Geographies</x:v>
      </x:c>
      <x:c r="M1745" s="34" t="n">
        <x:v>7296</x:v>
      </x:c>
      <x:c r="N1745" s="28" t="n">
        <x:v>0.034199999999999994</x:v>
      </x:c>
      <x:c r="O1745" s="34" t="n">
        <x:v>250</x:v>
      </x:c>
      <x:c r="P1745" s="34" t="n">
        <x:v>1</x:v>
      </x:c>
      <x:c r="Q1745" s="34" t="n">
        <x:v>250</x:v>
      </x:c>
      <x:c r="R1745" s="33" t="n">
        <x:v>29</x:v>
      </x:c>
      <x:c r="S1745" s="38" t="n">
        <x:v>7.25</x:v>
      </x:c>
      <x:c r="T1745" s="38" t="n">
        <x:v>0.58</x:v>
      </x:c>
      <x:c r="U1745" s="38" t="n">
        <x:v>0.30015</x:v>
      </x:c>
      <x:c r="V1745" s="38" t="n">
        <x:v>6.36985</x:v>
      </x:c>
      <x:c r="W1745" s="38" t="n">
        <x:v>2.7</x:v>
      </x:c>
      <x:c r="X1745" s="38" t="n">
        <x:v>0.18472565</x:v>
      </x:c>
      <x:c r="Y1745" s="38" t="n">
        <x:v>0</x:v>
      </x:c>
      <x:c r="Z1745" s="38" t="n">
        <x:v>1.0375</x:v>
      </x:c>
      <x:c r="AA1745" s="38" t="n">
        <x:v>0.4125</x:v>
      </x:c>
      <x:c r="AB1745" s="38" t="n">
        <x:v>0.009</x:v>
      </x:c>
      <x:c r="AC1745" s="38" t="n">
        <x:v>2.0261243499999995</x:v>
      </x:c>
      <x:c r="AD1745" s="28" t="n">
        <x:v>0.31808038650831644</x:v>
      </x:c>
    </x:row>
    <x:row r="1746">
      <x:c r="A1746" s="32" t="n">
        <x:v>46272</x:v>
      </x:c>
      <x:c r="B1746" s="32" t="n">
        <x:v>46266</x:v>
      </x:c>
      <x:c r="C1746" t="str">
        <x:v>Sep 2026</x:v>
      </x:c>
      <x:c r="D1746" t="str">
        <x:v>Forecast</x:v>
      </x:c>
      <x:c r="E1746" t="str">
        <x:v>DB-101</x:v>
      </x:c>
      <x:c r="F1746" t="str">
        <x:v>AeroSip Bottle</x:v>
      </x:c>
      <x:c r="G1746" t="str">
        <x:v>One-time purchase</x:v>
      </x:c>
      <x:c r="H1746" t="str">
        <x:v>None</x:v>
      </x:c>
      <x:c r="I1746" t="str">
        <x:v>Active</x:v>
      </x:c>
      <x:c r="J1746" t="str">
        <x:v>Amazon Marketplace</x:v>
      </x:c>
      <x:c r="K1746" t="str">
        <x:v>Marketplace Consumer</x:v>
      </x:c>
      <x:c r="L1746" t="str">
        <x:v>All Geographies</x:v>
      </x:c>
      <x:c r="M1746" s="34" t="n">
        <x:v>3648</x:v>
      </x:c>
      <x:c r="N1746" s="28" t="n">
        <x:v>0.040355999999999996</x:v>
      </x:c>
      <x:c r="O1746" s="34" t="n">
        <x:v>147</x:v>
      </x:c>
      <x:c r="P1746" s="34" t="n">
        <x:v>1</x:v>
      </x:c>
      <x:c r="Q1746" s="34" t="n">
        <x:v>147</x:v>
      </x:c>
      <x:c r="R1746" s="33" t="n">
        <x:v>29</x:v>
      </x:c>
      <x:c r="S1746" s="38" t="n">
        <x:v>4.263</x:v>
      </x:c>
      <x:c r="T1746" s="38" t="n">
        <x:v>0.21315</x:v>
      </x:c>
      <x:c r="U1746" s="38" t="n">
        <x:v>0.18224325</x:v>
      </x:c>
      <x:c r="V1746" s="38" t="n">
        <x:v>3.86760675</x:v>
      </x:c>
      <x:c r="W1746" s="38" t="n">
        <x:v>1.5876000000000001</x:v>
      </x:c>
      <x:c r="X1746" s="38" t="n">
        <x:v>0</x:v>
      </x:c>
      <x:c r="Y1746" s="38" t="n">
        <x:v>0.5801410125</x:v>
      </x:c>
      <x:c r="Z1746" s="38" t="n">
        <x:v>0.7644</x:v>
      </x:c>
      <x:c r="AA1746" s="38" t="n">
        <x:v>0.31605</x:v>
      </x:c>
      <x:c r="AB1746" s="38" t="n">
        <x:v>0.005292</x:v>
      </x:c>
      <x:c r="AC1746" s="38" t="n">
        <x:v>0.6141237375000003</x:v>
      </x:c>
      <x:c r="AD1746" s="28" t="n">
        <x:v>0.15878649955815705</x:v>
      </x:c>
    </x:row>
    <x:row r="1747">
      <x:c r="A1747" s="32" t="n">
        <x:v>46272</x:v>
      </x:c>
      <x:c r="B1747" s="32" t="n">
        <x:v>46266</x:v>
      </x:c>
      <x:c r="C1747" t="str">
        <x:v>Sep 2026</x:v>
      </x:c>
      <x:c r="D1747" t="str">
        <x:v>Forecast</x:v>
      </x:c>
      <x:c r="E1747" t="str">
        <x:v>DB-101</x:v>
      </x:c>
      <x:c r="F1747" t="str">
        <x:v>AeroSip Bottle</x:v>
      </x:c>
      <x:c r="G1747" t="str">
        <x:v>One-time purchase</x:v>
      </x:c>
      <x:c r="H1747" t="str">
        <x:v>None</x:v>
      </x:c>
      <x:c r="I1747" t="str">
        <x:v>Active</x:v>
      </x:c>
      <x:c r="J1747" t="str">
        <x:v>Wholesale</x:v>
      </x:c>
      <x:c r="K1747" t="str">
        <x:v>Retailer</x:v>
      </x:c>
      <x:c r="L1747" t="str">
        <x:v>All Geographies</x:v>
      </x:c>
      <x:c r="M1747" s="34" t="n">
        <x:v>2189</x:v>
      </x:c>
      <x:c r="N1747" s="28" t="n">
        <x:v>0.01881</x:v>
      </x:c>
      <x:c r="O1747" s="34" t="n">
        <x:v>41</x:v>
      </x:c>
      <x:c r="P1747" s="34" t="n">
        <x:v>1</x:v>
      </x:c>
      <x:c r="Q1747" s="34" t="n">
        <x:v>41</x:v>
      </x:c>
      <x:c r="R1747" s="33" t="n">
        <x:v>29</x:v>
      </x:c>
      <x:c r="S1747" s="38" t="n">
        <x:v>1.189</x:v>
      </x:c>
      <x:c r="T1747" s="38" t="n">
        <x:v>0.41615</x:v>
      </x:c>
      <x:c r="U1747" s="38" t="n">
        <x:v>0.034778250000000004</x:v>
      </x:c>
      <x:c r="V1747" s="38" t="n">
        <x:v>0.73807175</x:v>
      </x:c>
      <x:c r="W1747" s="38" t="n">
        <x:v>0.4428</x:v>
      </x:c>
      <x:c r="X1747" s="38" t="n">
        <x:v>0</x:v>
      </x:c>
      <x:c r="Y1747" s="38" t="n">
        <x:v>0</x:v>
      </x:c>
      <x:c r="Z1747" s="38" t="n">
        <x:v>0.0943</x:v>
      </x:c>
      <x:c r="AA1747" s="38" t="n">
        <x:v>0.03485</x:v>
      </x:c>
      <x:c r="AB1747" s="38" t="n">
        <x:v>0.0014759999999999999</x:v>
      </x:c>
      <x:c r="AC1747" s="38" t="n">
        <x:v>0.16464575</x:v>
      </x:c>
      <x:c r="AD1747" s="28" t="n">
        <x:v>0.22307553432305194</x:v>
      </x:c>
    </x:row>
    <x:row r="1748">
      <x:c r="A1748" s="32" t="n">
        <x:v>46272</x:v>
      </x:c>
      <x:c r="B1748" s="32" t="n">
        <x:v>46266</x:v>
      </x:c>
      <x:c r="C1748" t="str">
        <x:v>Sep 2026</x:v>
      </x:c>
      <x:c r="D1748" t="str">
        <x:v>Forecast</x:v>
      </x:c>
      <x:c r="E1748" t="str">
        <x:v>DB-101</x:v>
      </x:c>
      <x:c r="F1748" t="str">
        <x:v>AeroSip Bottle</x:v>
      </x:c>
      <x:c r="G1748" t="str">
        <x:v>One-time purchase</x:v>
      </x:c>
      <x:c r="H1748" t="str">
        <x:v>None</x:v>
      </x:c>
      <x:c r="I1748" t="str">
        <x:v>Active</x:v>
      </x:c>
      <x:c r="J1748" t="str">
        <x:v>TikTok Shop</x:v>
      </x:c>
      <x:c r="K1748" t="str">
        <x:v>Social Commerce</x:v>
      </x:c>
      <x:c r="L1748" t="str">
        <x:v>All Geographies</x:v>
      </x:c>
      <x:c r="M1748" s="34" t="n">
        <x:v>1459</x:v>
      </x:c>
      <x:c r="N1748" s="28" t="n">
        <x:v>0.043092</x:v>
      </x:c>
      <x:c r="O1748" s="34" t="n">
        <x:v>63</x:v>
      </x:c>
      <x:c r="P1748" s="34" t="n">
        <x:v>1</x:v>
      </x:c>
      <x:c r="Q1748" s="34" t="n">
        <x:v>63</x:v>
      </x:c>
      <x:c r="R1748" s="33" t="n">
        <x:v>29</x:v>
      </x:c>
      <x:c r="S1748" s="38" t="n">
        <x:v>1.827</x:v>
      </x:c>
      <x:c r="T1748" s="38" t="n">
        <x:v>0.21924</x:v>
      </x:c>
      <x:c r="U1748" s="38" t="n">
        <x:v>0.07234919999999999</x:v>
      </x:c>
      <x:c r="V1748" s="38" t="n">
        <x:v>1.5354108</x:v>
      </x:c>
      <x:c r="W1748" s="38" t="n">
        <x:v>0.6804000000000001</x:v>
      </x:c>
      <x:c r="X1748" s="38" t="n">
        <x:v>0.044526913200000004</x:v>
      </x:c>
      <x:c r="Y1748" s="38" t="n">
        <x:v>0.09212464799999999</x:v>
      </x:c>
      <x:c r="Z1748" s="38" t="n">
        <x:v>0.3213</x:v>
      </x:c>
      <x:c r="AA1748" s="38" t="n">
        <x:v>0.11025</x:v>
      </x:c>
      <x:c r="AB1748" s="38" t="n">
        <x:v>0.0022679999999999996</x:v>
      </x:c>
      <x:c r="AC1748" s="38" t="n">
        <x:v>0.2845412387999999</x:v>
      </x:c>
      <x:c r="AD1748" s="28" t="n">
        <x:v>0.18531928966501987</x:v>
      </x:c>
    </x:row>
    <x:row r="1749">
      <x:c r="A1749" s="32" t="n">
        <x:v>46272</x:v>
      </x:c>
      <x:c r="B1749" s="32" t="n">
        <x:v>46266</x:v>
      </x:c>
      <x:c r="C1749" t="str">
        <x:v>Sep 2026</x:v>
      </x:c>
      <x:c r="D1749" t="str">
        <x:v>Forecast</x:v>
      </x:c>
      <x:c r="E1749" t="str">
        <x:v>DB-102</x:v>
      </x:c>
      <x:c r="F1749" t="str">
        <x:v>GlowPatch Balm</x:v>
      </x:c>
      <x:c r="G1749" t="str">
        <x:v>Consumable repeat</x:v>
      </x:c>
      <x:c r="H1749" t="str">
        <x:v>None</x:v>
      </x:c>
      <x:c r="I1749" t="str">
        <x:v>Active</x:v>
      </x:c>
      <x:c r="J1749" t="str">
        <x:v>Shopify DTC</x:v>
      </x:c>
      <x:c r="K1749" t="str">
        <x:v>Consumer</x:v>
      </x:c>
      <x:c r="L1749" t="str">
        <x:v>All Geographies</x:v>
      </x:c>
      <x:c r="M1749" s="34" t="n">
        <x:v>5893</x:v>
      </x:c>
      <x:c r="N1749" s="28" t="n">
        <x:v>0.04248</x:v>
      </x:c>
      <x:c r="O1749" s="34" t="n">
        <x:v>250</x:v>
      </x:c>
      <x:c r="P1749" s="34" t="n">
        <x:v>1</x:v>
      </x:c>
      <x:c r="Q1749" s="34" t="n">
        <x:v>250</x:v>
      </x:c>
      <x:c r="R1749" s="33" t="n">
        <x:v>18</x:v>
      </x:c>
      <x:c r="S1749" s="38" t="n">
        <x:v>4.5</x:v>
      </x:c>
      <x:c r="T1749" s="38" t="n">
        <x:v>0.36</x:v>
      </x:c>
      <x:c r="U1749" s="38" t="n">
        <x:v>0.1035</x:v>
      </x:c>
      <x:c r="V1749" s="38" t="n">
        <x:v>4.036499999999999</x:v>
      </x:c>
      <x:c r="W1749" s="38" t="n">
        <x:v>1.3525</x:v>
      </x:c>
      <x:c r="X1749" s="38" t="n">
        <x:v>0.11705849999999998</x:v>
      </x:c>
      <x:c r="Y1749" s="38" t="n">
        <x:v>0</x:v>
      </x:c>
      <x:c r="Z1749" s="38" t="n">
        <x:v>1.0375</x:v>
      </x:c>
      <x:c r="AA1749" s="38" t="n">
        <x:v>0.4125</x:v>
      </x:c>
      <x:c r="AB1749" s="38" t="n">
        <x:v>0.0015</x:v>
      </x:c>
      <x:c r="AC1749" s="38" t="n">
        <x:v>1.1154414999999989</x:v>
      </x:c>
      <x:c r="AD1749" s="28" t="n">
        <x:v>0.2763387835996529</x:v>
      </x:c>
    </x:row>
    <x:row r="1750">
      <x:c r="A1750" s="32" t="n">
        <x:v>46272</x:v>
      </x:c>
      <x:c r="B1750" s="32" t="n">
        <x:v>46266</x:v>
      </x:c>
      <x:c r="C1750" t="str">
        <x:v>Sep 2026</x:v>
      </x:c>
      <x:c r="D1750" t="str">
        <x:v>Forecast</x:v>
      </x:c>
      <x:c r="E1750" t="str">
        <x:v>DB-102</x:v>
      </x:c>
      <x:c r="F1750" t="str">
        <x:v>GlowPatch Balm</x:v>
      </x:c>
      <x:c r="G1750" t="str">
        <x:v>Consumable repeat</x:v>
      </x:c>
      <x:c r="H1750" t="str">
        <x:v>None</x:v>
      </x:c>
      <x:c r="I1750" t="str">
        <x:v>Active</x:v>
      </x:c>
      <x:c r="J1750" t="str">
        <x:v>Amazon Marketplace</x:v>
      </x:c>
      <x:c r="K1750" t="str">
        <x:v>Marketplace Consumer</x:v>
      </x:c>
      <x:c r="L1750" t="str">
        <x:v>All Geographies</x:v>
      </x:c>
      <x:c r="M1750" s="34" t="n">
        <x:v>2946</x:v>
      </x:c>
      <x:c r="N1750" s="28" t="n">
        <x:v>0.050126399999999995</x:v>
      </x:c>
      <x:c r="O1750" s="34" t="n">
        <x:v>148</x:v>
      </x:c>
      <x:c r="P1750" s="34" t="n">
        <x:v>1</x:v>
      </x:c>
      <x:c r="Q1750" s="34" t="n">
        <x:v>148</x:v>
      </x:c>
      <x:c r="R1750" s="33" t="n">
        <x:v>18</x:v>
      </x:c>
      <x:c r="S1750" s="38" t="n">
        <x:v>2.664</x:v>
      </x:c>
      <x:c r="T1750" s="38" t="n">
        <x:v>0.1332</x:v>
      </x:c>
      <x:c r="U1750" s="38" t="n">
        <x:v>0.06327</x:v>
      </x:c>
      <x:c r="V1750" s="38" t="n">
        <x:v>2.46753</x:v>
      </x:c>
      <x:c r="W1750" s="38" t="n">
        <x:v>0.8006800000000001</x:v>
      </x:c>
      <x:c r="X1750" s="38" t="n">
        <x:v>0</x:v>
      </x:c>
      <x:c r="Y1750" s="38" t="n">
        <x:v>0.3701295</x:v>
      </x:c>
      <x:c r="Z1750" s="38" t="n">
        <x:v>0.7696000000000001</x:v>
      </x:c>
      <x:c r="AA1750" s="38" t="n">
        <x:v>0.3182</x:v>
      </x:c>
      <x:c r="AB1750" s="38" t="n">
        <x:v>0.0008879999999999999</x:v>
      </x:c>
      <x:c r="AC1750" s="38" t="n">
        <x:v>0.2080324999999999</x:v>
      </x:c>
      <x:c r="AD1750" s="28" t="n">
        <x:v>0.084307992202729</x:v>
      </x:c>
    </x:row>
    <x:row r="1751">
      <x:c r="A1751" s="32" t="n">
        <x:v>46272</x:v>
      </x:c>
      <x:c r="B1751" s="32" t="n">
        <x:v>46266</x:v>
      </x:c>
      <x:c r="C1751" t="str">
        <x:v>Sep 2026</x:v>
      </x:c>
      <x:c r="D1751" t="str">
        <x:v>Forecast</x:v>
      </x:c>
      <x:c r="E1751" t="str">
        <x:v>DB-102</x:v>
      </x:c>
      <x:c r="F1751" t="str">
        <x:v>GlowPatch Balm</x:v>
      </x:c>
      <x:c r="G1751" t="str">
        <x:v>Consumable repeat</x:v>
      </x:c>
      <x:c r="H1751" t="str">
        <x:v>None</x:v>
      </x:c>
      <x:c r="I1751" t="str">
        <x:v>Active</x:v>
      </x:c>
      <x:c r="J1751" t="str">
        <x:v>Wholesale</x:v>
      </x:c>
      <x:c r="K1751" t="str">
        <x:v>Retailer</x:v>
      </x:c>
      <x:c r="L1751" t="str">
        <x:v>All Geographies</x:v>
      </x:c>
      <x:c r="M1751" s="34" t="n">
        <x:v>1768</x:v>
      </x:c>
      <x:c r="N1751" s="28" t="n">
        <x:v>0.023364</x:v>
      </x:c>
      <x:c r="O1751" s="34" t="n">
        <x:v>41</x:v>
      </x:c>
      <x:c r="P1751" s="34" t="n">
        <x:v>1</x:v>
      </x:c>
      <x:c r="Q1751" s="34" t="n">
        <x:v>41</x:v>
      </x:c>
      <x:c r="R1751" s="33" t="n">
        <x:v>18</x:v>
      </x:c>
      <x:c r="S1751" s="38" t="n">
        <x:v>0.738</x:v>
      </x:c>
      <x:c r="T1751" s="38" t="n">
        <x:v>0.2583</x:v>
      </x:c>
      <x:c r="U1751" s="38" t="n">
        <x:v>0.011992500000000001</x:v>
      </x:c>
      <x:c r="V1751" s="38" t="n">
        <x:v>0.4677075</x:v>
      </x:c>
      <x:c r="W1751" s="38" t="n">
        <x:v>0.22181</x:v>
      </x:c>
      <x:c r="X1751" s="38" t="n">
        <x:v>0</x:v>
      </x:c>
      <x:c r="Y1751" s="38" t="n">
        <x:v>0</x:v>
      </x:c>
      <x:c r="Z1751" s="38" t="n">
        <x:v>0.0943</x:v>
      </x:c>
      <x:c r="AA1751" s="38" t="n">
        <x:v>0.03485</x:v>
      </x:c>
      <x:c r="AB1751" s="38" t="n">
        <x:v>0.000246</x:v>
      </x:c>
      <x:c r="AC1751" s="38" t="n">
        <x:v>0.11650150000000001</x:v>
      </x:c>
      <x:c r="AD1751" s="28" t="n">
        <x:v>0.2490905106289722</x:v>
      </x:c>
    </x:row>
    <x:row r="1752">
      <x:c r="A1752" s="32" t="n">
        <x:v>46272</x:v>
      </x:c>
      <x:c r="B1752" s="32" t="n">
        <x:v>46266</x:v>
      </x:c>
      <x:c r="C1752" t="str">
        <x:v>Sep 2026</x:v>
      </x:c>
      <x:c r="D1752" t="str">
        <x:v>Forecast</x:v>
      </x:c>
      <x:c r="E1752" t="str">
        <x:v>DB-102</x:v>
      </x:c>
      <x:c r="F1752" t="str">
        <x:v>GlowPatch Balm</x:v>
      </x:c>
      <x:c r="G1752" t="str">
        <x:v>Consumable repeat</x:v>
      </x:c>
      <x:c r="H1752" t="str">
        <x:v>None</x:v>
      </x:c>
      <x:c r="I1752" t="str">
        <x:v>Active</x:v>
      </x:c>
      <x:c r="J1752" t="str">
        <x:v>TikTok Shop</x:v>
      </x:c>
      <x:c r="K1752" t="str">
        <x:v>Social Commerce</x:v>
      </x:c>
      <x:c r="L1752" t="str">
        <x:v>All Geographies</x:v>
      </x:c>
      <x:c r="M1752" s="34" t="n">
        <x:v>1179</x:v>
      </x:c>
      <x:c r="N1752" s="28" t="n">
        <x:v>0.0535248</x:v>
      </x:c>
      <x:c r="O1752" s="34" t="n">
        <x:v>63</x:v>
      </x:c>
      <x:c r="P1752" s="34" t="n">
        <x:v>1</x:v>
      </x:c>
      <x:c r="Q1752" s="34" t="n">
        <x:v>63</x:v>
      </x:c>
      <x:c r="R1752" s="33" t="n">
        <x:v>18</x:v>
      </x:c>
      <x:c r="S1752" s="38" t="n">
        <x:v>1.134</x:v>
      </x:c>
      <x:c r="T1752" s="38" t="n">
        <x:v>0.13607999999999998</x:v>
      </x:c>
      <x:c r="U1752" s="38" t="n">
        <x:v>0.024947999999999998</x:v>
      </x:c>
      <x:c r="V1752" s="38" t="n">
        <x:v>0.972972</x:v>
      </x:c>
      <x:c r="W1752" s="38" t="n">
        <x:v>0.34082999999999997</x:v>
      </x:c>
      <x:c r="X1752" s="38" t="n">
        <x:v>0.028216188</x:v>
      </x:c>
      <x:c r="Y1752" s="38" t="n">
        <x:v>0.05837832</x:v>
      </x:c>
      <x:c r="Z1752" s="38" t="n">
        <x:v>0.3213</x:v>
      </x:c>
      <x:c r="AA1752" s="38" t="n">
        <x:v>0.11025</x:v>
      </x:c>
      <x:c r="AB1752" s="38" t="n">
        <x:v>0.000378</x:v>
      </x:c>
      <x:c r="AC1752" s="38" t="n">
        <x:v>0.11361949199999999</x:v>
      </x:c>
      <x:c r="AD1752" s="28" t="n">
        <x:v>0.11677570577570577</x:v>
      </x:c>
    </x:row>
    <x:row r="1753">
      <x:c r="A1753" s="32" t="n">
        <x:v>46272</x:v>
      </x:c>
      <x:c r="B1753" s="32" t="n">
        <x:v>46266</x:v>
      </x:c>
      <x:c r="C1753" t="str">
        <x:v>Sep 2026</x:v>
      </x:c>
      <x:c r="D1753" t="str">
        <x:v>Forecast</x:v>
      </x:c>
      <x:c r="E1753" t="str">
        <x:v>DB-103</x:v>
      </x:c>
      <x:c r="F1753" t="str">
        <x:v>EmberTrail Camp Mug</x:v>
      </x:c>
      <x:c r="G1753" t="str">
        <x:v>One-time purchase</x:v>
      </x:c>
      <x:c r="H1753" t="str">
        <x:v>Winter peak</x:v>
      </x:c>
      <x:c r="I1753" t="str">
        <x:v>Active</x:v>
      </x:c>
      <x:c r="J1753" t="str">
        <x:v>Shopify DTC</x:v>
      </x:c>
      <x:c r="K1753" t="str">
        <x:v>Consumer</x:v>
      </x:c>
      <x:c r="L1753" t="str">
        <x:v>All Geographies</x:v>
      </x:c>
      <x:c r="M1753" s="34" t="n">
        <x:v>4950</x:v>
      </x:c>
      <x:c r="N1753" s="28" t="n">
        <x:v>0.0324</x:v>
      </x:c>
      <x:c r="O1753" s="34" t="n">
        <x:v>160</x:v>
      </x:c>
      <x:c r="P1753" s="34" t="n">
        <x:v>1</x:v>
      </x:c>
      <x:c r="Q1753" s="34" t="n">
        <x:v>160</x:v>
      </x:c>
      <x:c r="R1753" s="33" t="n">
        <x:v>34</x:v>
      </x:c>
      <x:c r="S1753" s="38" t="n">
        <x:v>5.44</x:v>
      </x:c>
      <x:c r="T1753" s="38" t="n">
        <x:v>0.43520000000000003</x:v>
      </x:c>
      <x:c r="U1753" s="38" t="n">
        <x:v>0.275264</x:v>
      </x:c>
      <x:c r="V1753" s="38" t="n">
        <x:v>4.729536</x:v>
      </x:c>
      <x:c r="W1753" s="38" t="n">
        <x:v>2.1872</x:v>
      </x:c>
      <x:c r="X1753" s="38" t="n">
        <x:v>0.13715654400000002</x:v>
      </x:c>
      <x:c r="Y1753" s="38" t="n">
        <x:v>0</x:v>
      </x:c>
      <x:c r="Z1753" s="38" t="n">
        <x:v>0.664</x:v>
      </x:c>
      <x:c r="AA1753" s="38" t="n">
        <x:v>0.264</x:v>
      </x:c>
      <x:c r="AB1753" s="38" t="n">
        <x:v>0.008960000000000001</x:v>
      </x:c>
      <x:c r="AC1753" s="38" t="n">
        <x:v>1.4682194560000001</x:v>
      </x:c>
      <x:c r="AD1753" s="28" t="n">
        <x:v>0.31043625759482535</x:v>
      </x:c>
    </x:row>
    <x:row r="1754">
      <x:c r="A1754" s="32" t="n">
        <x:v>46272</x:v>
      </x:c>
      <x:c r="B1754" s="32" t="n">
        <x:v>46266</x:v>
      </x:c>
      <x:c r="C1754" t="str">
        <x:v>Sep 2026</x:v>
      </x:c>
      <x:c r="D1754" t="str">
        <x:v>Forecast</x:v>
      </x:c>
      <x:c r="E1754" t="str">
        <x:v>DB-103</x:v>
      </x:c>
      <x:c r="F1754" t="str">
        <x:v>EmberTrail Camp Mug</x:v>
      </x:c>
      <x:c r="G1754" t="str">
        <x:v>One-time purchase</x:v>
      </x:c>
      <x:c r="H1754" t="str">
        <x:v>Winter peak</x:v>
      </x:c>
      <x:c r="I1754" t="str">
        <x:v>Active</x:v>
      </x:c>
      <x:c r="J1754" t="str">
        <x:v>Amazon Marketplace</x:v>
      </x:c>
      <x:c r="K1754" t="str">
        <x:v>Marketplace Consumer</x:v>
      </x:c>
      <x:c r="L1754" t="str">
        <x:v>All Geographies</x:v>
      </x:c>
      <x:c r="M1754" s="34" t="n">
        <x:v>2475</x:v>
      </x:c>
      <x:c r="N1754" s="28" t="n">
        <x:v>0.038231999999999995</x:v>
      </x:c>
      <x:c r="O1754" s="34" t="n">
        <x:v>95</x:v>
      </x:c>
      <x:c r="P1754" s="34" t="n">
        <x:v>1</x:v>
      </x:c>
      <x:c r="Q1754" s="34" t="n">
        <x:v>95</x:v>
      </x:c>
      <x:c r="R1754" s="33" t="n">
        <x:v>34</x:v>
      </x:c>
      <x:c r="S1754" s="38" t="n">
        <x:v>3.23</x:v>
      </x:c>
      <x:c r="T1754" s="38" t="n">
        <x:v>0.1615</x:v>
      </x:c>
      <x:c r="U1754" s="38" t="n">
        <x:v>0.1687675</x:v>
      </x:c>
      <x:c r="V1754" s="38" t="n">
        <x:v>2.8997325</x:v>
      </x:c>
      <x:c r="W1754" s="38" t="n">
        <x:v>1.29865</x:v>
      </x:c>
      <x:c r="X1754" s="38" t="n">
        <x:v>0</x:v>
      </x:c>
      <x:c r="Y1754" s="38" t="n">
        <x:v>0.43495987499999994</x:v>
      </x:c>
      <x:c r="Z1754" s="38" t="n">
        <x:v>0.494</x:v>
      </x:c>
      <x:c r="AA1754" s="38" t="n">
        <x:v>0.20425</x:v>
      </x:c>
      <x:c r="AB1754" s="38" t="n">
        <x:v>0.00532</x:v>
      </x:c>
      <x:c r="AC1754" s="38" t="n">
        <x:v>0.4625526249999999</x:v>
      </x:c>
      <x:c r="AD1754" s="28" t="n">
        <x:v>0.1595156191131423</x:v>
      </x:c>
    </x:row>
    <x:row r="1755">
      <x:c r="A1755" s="32" t="n">
        <x:v>46272</x:v>
      </x:c>
      <x:c r="B1755" s="32" t="n">
        <x:v>46266</x:v>
      </x:c>
      <x:c r="C1755" t="str">
        <x:v>Sep 2026</x:v>
      </x:c>
      <x:c r="D1755" t="str">
        <x:v>Forecast</x:v>
      </x:c>
      <x:c r="E1755" t="str">
        <x:v>DB-103</x:v>
      </x:c>
      <x:c r="F1755" t="str">
        <x:v>EmberTrail Camp Mug</x:v>
      </x:c>
      <x:c r="G1755" t="str">
        <x:v>One-time purchase</x:v>
      </x:c>
      <x:c r="H1755" t="str">
        <x:v>Winter peak</x:v>
      </x:c>
      <x:c r="I1755" t="str">
        <x:v>Active</x:v>
      </x:c>
      <x:c r="J1755" t="str">
        <x:v>Wholesale</x:v>
      </x:c>
      <x:c r="K1755" t="str">
        <x:v>Retailer</x:v>
      </x:c>
      <x:c r="L1755" t="str">
        <x:v>All Geographies</x:v>
      </x:c>
      <x:c r="M1755" s="34" t="n">
        <x:v>1485</x:v>
      </x:c>
      <x:c r="N1755" s="28" t="n">
        <x:v>0.017820000000000003</x:v>
      </x:c>
      <x:c r="O1755" s="34" t="n">
        <x:v>26</x:v>
      </x:c>
      <x:c r="P1755" s="34" t="n">
        <x:v>1</x:v>
      </x:c>
      <x:c r="Q1755" s="34" t="n">
        <x:v>26</x:v>
      </x:c>
      <x:c r="R1755" s="33" t="n">
        <x:v>34</x:v>
      </x:c>
      <x:c r="S1755" s="38" t="n">
        <x:v>0.884</x:v>
      </x:c>
      <x:c r="T1755" s="38" t="n">
        <x:v>0.3094</x:v>
      </x:c>
      <x:c r="U1755" s="38" t="n">
        <x:v>0.031603</x:v>
      </x:c>
      <x:c r="V1755" s="38" t="n">
        <x:v>0.542997</x:v>
      </x:c>
      <x:c r="W1755" s="38" t="n">
        <x:v>0.35542</x:v>
      </x:c>
      <x:c r="X1755" s="38" t="n">
        <x:v>0</x:v>
      </x:c>
      <x:c r="Y1755" s="38" t="n">
        <x:v>0</x:v>
      </x:c>
      <x:c r="Z1755" s="38" t="n">
        <x:v>0.0598</x:v>
      </x:c>
      <x:c r="AA1755" s="38" t="n">
        <x:v>0.022099999999999998</x:v>
      </x:c>
      <x:c r="AB1755" s="38" t="n">
        <x:v>0.0014560000000000003</x:v>
      </x:c>
      <x:c r="AC1755" s="38" t="n">
        <x:v>0.10422099999999995</x:v>
      </x:c>
      <x:c r="AD1755" s="28" t="n">
        <x:v>0.19193660370130952</x:v>
      </x:c>
    </x:row>
    <x:row r="1756">
      <x:c r="A1756" s="32" t="n">
        <x:v>46272</x:v>
      </x:c>
      <x:c r="B1756" s="32" t="n">
        <x:v>46266</x:v>
      </x:c>
      <x:c r="C1756" t="str">
        <x:v>Sep 2026</x:v>
      </x:c>
      <x:c r="D1756" t="str">
        <x:v>Forecast</x:v>
      </x:c>
      <x:c r="E1756" t="str">
        <x:v>DB-103</x:v>
      </x:c>
      <x:c r="F1756" t="str">
        <x:v>EmberTrail Camp Mug</x:v>
      </x:c>
      <x:c r="G1756" t="str">
        <x:v>One-time purchase</x:v>
      </x:c>
      <x:c r="H1756" t="str">
        <x:v>Winter peak</x:v>
      </x:c>
      <x:c r="I1756" t="str">
        <x:v>Active</x:v>
      </x:c>
      <x:c r="J1756" t="str">
        <x:v>TikTok Shop</x:v>
      </x:c>
      <x:c r="K1756" t="str">
        <x:v>Social Commerce</x:v>
      </x:c>
      <x:c r="L1756" t="str">
        <x:v>All Geographies</x:v>
      </x:c>
      <x:c r="M1756" s="34" t="n">
        <x:v>990</x:v>
      </x:c>
      <x:c r="N1756" s="28" t="n">
        <x:v>0.040824</x:v>
      </x:c>
      <x:c r="O1756" s="34" t="n">
        <x:v>40</x:v>
      </x:c>
      <x:c r="P1756" s="34" t="n">
        <x:v>1</x:v>
      </x:c>
      <x:c r="Q1756" s="34" t="n">
        <x:v>40</x:v>
      </x:c>
      <x:c r="R1756" s="33" t="n">
        <x:v>34</x:v>
      </x:c>
      <x:c r="S1756" s="38" t="n">
        <x:v>1.36</x:v>
      </x:c>
      <x:c r="T1756" s="38" t="n">
        <x:v>0.1632</x:v>
      </x:c>
      <x:c r="U1756" s="38" t="n">
        <x:v>0.06582400000000001</x:v>
      </x:c>
      <x:c r="V1756" s="38" t="n">
        <x:v>1.130976</x:v>
      </x:c>
      <x:c r="W1756" s="38" t="n">
        <x:v>0.5468</x:v>
      </x:c>
      <x:c r="X1756" s="38" t="n">
        <x:v>0.032798304</x:v>
      </x:c>
      <x:c r="Y1756" s="38" t="n">
        <x:v>0.06785856</x:v>
      </x:c>
      <x:c r="Z1756" s="38" t="n">
        <x:v>0.204</x:v>
      </x:c>
      <x:c r="AA1756" s="38" t="n">
        <x:v>0.07</x:v>
      </x:c>
      <x:c r="AB1756" s="38" t="n">
        <x:v>0.0022400000000000002</x:v>
      </x:c>
      <x:c r="AC1756" s="38" t="n">
        <x:v>0.2072791360000001</x:v>
      </x:c>
      <x:c r="AD1756" s="28" t="n">
        <x:v>0.18327456639221357</x:v>
      </x:c>
    </x:row>
    <x:row r="1757">
      <x:c r="A1757" s="32" t="n">
        <x:v>46272</x:v>
      </x:c>
      <x:c r="B1757" s="32" t="n">
        <x:v>46266</x:v>
      </x:c>
      <x:c r="C1757" t="str">
        <x:v>Sep 2026</x:v>
      </x:c>
      <x:c r="D1757" t="str">
        <x:v>Forecast</x:v>
      </x:c>
      <x:c r="E1757" t="str">
        <x:v>DB-104</x:v>
      </x:c>
      <x:c r="F1757" t="str">
        <x:v>SunNest Cooling Towel</x:v>
      </x:c>
      <x:c r="G1757" t="str">
        <x:v>Consumable repeat</x:v>
      </x:c>
      <x:c r="H1757" t="str">
        <x:v>Summer peak</x:v>
      </x:c>
      <x:c r="I1757" t="str">
        <x:v>Discontinued</x:v>
      </x:c>
      <x:c r="J1757" t="str">
        <x:v>Shopify DTC</x:v>
      </x:c>
      <x:c r="K1757" t="str">
        <x:v>Consumer</x:v>
      </x:c>
      <x:c r="L1757" t="str">
        <x:v>All Geographies</x:v>
      </x:c>
      <x:c r="M1757" s="34" t="n">
        <x:v>0</x:v>
      </x:c>
      <x:c r="N1757" s="28" t="n">
        <x:v>0.03312</x:v>
      </x:c>
      <x:c r="O1757" s="34" t="n">
        <x:v>0</x:v>
      </x:c>
      <x:c r="P1757" s="34" t="n">
        <x:v>1</x:v>
      </x:c>
      <x:c r="Q1757" s="34" t="n">
        <x:v>0</x:v>
      </x:c>
      <x:c r="R1757" s="33" t="n">
        <x:v>42</x:v>
      </x:c>
      <x:c r="S1757" s="38" t="n">
        <x:v>0</x:v>
      </x:c>
      <x:c r="T1757" s="38" t="n">
        <x:v>0</x:v>
      </x:c>
      <x:c r="U1757" s="38" t="n">
        <x:v>0</x:v>
      </x:c>
      <x:c r="V1757" s="38" t="n">
        <x:v>0</x:v>
      </x:c>
      <x:c r="W1757" s="38" t="n">
        <x:v>0</x:v>
      </x:c>
      <x:c r="X1757" s="38" t="n">
        <x:v>0</x:v>
      </x:c>
      <x:c r="Y1757" s="38" t="n">
        <x:v>0</x:v>
      </x:c>
      <x:c r="Z1757" s="38" t="n">
        <x:v>0</x:v>
      </x:c>
      <x:c r="AA1757" s="38" t="n">
        <x:v>0</x:v>
      </x:c>
      <x:c r="AB1757" s="38" t="n">
        <x:v>0</x:v>
      </x:c>
      <x:c r="AC1757" s="38" t="n">
        <x:v>0</x:v>
      </x:c>
      <x:c r="AD1757" s="28" t="n">
        <x:v>0</x:v>
      </x:c>
    </x:row>
    <x:row r="1758">
      <x:c r="A1758" s="32" t="n">
        <x:v>46272</x:v>
      </x:c>
      <x:c r="B1758" s="32" t="n">
        <x:v>46266</x:v>
      </x:c>
      <x:c r="C1758" t="str">
        <x:v>Sep 2026</x:v>
      </x:c>
      <x:c r="D1758" t="str">
        <x:v>Forecast</x:v>
      </x:c>
      <x:c r="E1758" t="str">
        <x:v>DB-104</x:v>
      </x:c>
      <x:c r="F1758" t="str">
        <x:v>SunNest Cooling Towel</x:v>
      </x:c>
      <x:c r="G1758" t="str">
        <x:v>Consumable repeat</x:v>
      </x:c>
      <x:c r="H1758" t="str">
        <x:v>Summer peak</x:v>
      </x:c>
      <x:c r="I1758" t="str">
        <x:v>Discontinued</x:v>
      </x:c>
      <x:c r="J1758" t="str">
        <x:v>Amazon Marketplace</x:v>
      </x:c>
      <x:c r="K1758" t="str">
        <x:v>Marketplace Consumer</x:v>
      </x:c>
      <x:c r="L1758" t="str">
        <x:v>All Geographies</x:v>
      </x:c>
      <x:c r="M1758" s="34" t="n">
        <x:v>0</x:v>
      </x:c>
      <x:c r="N1758" s="28" t="n">
        <x:v>0.0390816</x:v>
      </x:c>
      <x:c r="O1758" s="34" t="n">
        <x:v>0</x:v>
      </x:c>
      <x:c r="P1758" s="34" t="n">
        <x:v>1</x:v>
      </x:c>
      <x:c r="Q1758" s="34" t="n">
        <x:v>0</x:v>
      </x:c>
      <x:c r="R1758" s="33" t="n">
        <x:v>42</x:v>
      </x:c>
      <x:c r="S1758" s="38" t="n">
        <x:v>0</x:v>
      </x:c>
      <x:c r="T1758" s="38" t="n">
        <x:v>0</x:v>
      </x:c>
      <x:c r="U1758" s="38" t="n">
        <x:v>0</x:v>
      </x:c>
      <x:c r="V1758" s="38" t="n">
        <x:v>0</x:v>
      </x:c>
      <x:c r="W1758" s="38" t="n">
        <x:v>0</x:v>
      </x:c>
      <x:c r="X1758" s="38" t="n">
        <x:v>0</x:v>
      </x:c>
      <x:c r="Y1758" s="38" t="n">
        <x:v>0</x:v>
      </x:c>
      <x:c r="Z1758" s="38" t="n">
        <x:v>0</x:v>
      </x:c>
      <x:c r="AA1758" s="38" t="n">
        <x:v>0</x:v>
      </x:c>
      <x:c r="AB1758" s="38" t="n">
        <x:v>0</x:v>
      </x:c>
      <x:c r="AC1758" s="38" t="n">
        <x:v>0</x:v>
      </x:c>
      <x:c r="AD1758" s="28" t="n">
        <x:v>0</x:v>
      </x:c>
    </x:row>
    <x:row r="1759">
      <x:c r="A1759" s="32" t="n">
        <x:v>46272</x:v>
      </x:c>
      <x:c r="B1759" s="32" t="n">
        <x:v>46266</x:v>
      </x:c>
      <x:c r="C1759" t="str">
        <x:v>Sep 2026</x:v>
      </x:c>
      <x:c r="D1759" t="str">
        <x:v>Forecast</x:v>
      </x:c>
      <x:c r="E1759" t="str">
        <x:v>DB-104</x:v>
      </x:c>
      <x:c r="F1759" t="str">
        <x:v>SunNest Cooling Towel</x:v>
      </x:c>
      <x:c r="G1759" t="str">
        <x:v>Consumable repeat</x:v>
      </x:c>
      <x:c r="H1759" t="str">
        <x:v>Summer peak</x:v>
      </x:c>
      <x:c r="I1759" t="str">
        <x:v>Discontinued</x:v>
      </x:c>
      <x:c r="J1759" t="str">
        <x:v>Wholesale</x:v>
      </x:c>
      <x:c r="K1759" t="str">
        <x:v>Retailer</x:v>
      </x:c>
      <x:c r="L1759" t="str">
        <x:v>All Geographies</x:v>
      </x:c>
      <x:c r="M1759" s="34" t="n">
        <x:v>0</x:v>
      </x:c>
      <x:c r="N1759" s="28" t="n">
        <x:v>0.018216000000000003</x:v>
      </x:c>
      <x:c r="O1759" s="34" t="n">
        <x:v>0</x:v>
      </x:c>
      <x:c r="P1759" s="34" t="n">
        <x:v>1</x:v>
      </x:c>
      <x:c r="Q1759" s="34" t="n">
        <x:v>0</x:v>
      </x:c>
      <x:c r="R1759" s="33" t="n">
        <x:v>42</x:v>
      </x:c>
      <x:c r="S1759" s="38" t="n">
        <x:v>0</x:v>
      </x:c>
      <x:c r="T1759" s="38" t="n">
        <x:v>0</x:v>
      </x:c>
      <x:c r="U1759" s="38" t="n">
        <x:v>0</x:v>
      </x:c>
      <x:c r="V1759" s="38" t="n">
        <x:v>0</x:v>
      </x:c>
      <x:c r="W1759" s="38" t="n">
        <x:v>0</x:v>
      </x:c>
      <x:c r="X1759" s="38" t="n">
        <x:v>0</x:v>
      </x:c>
      <x:c r="Y1759" s="38" t="n">
        <x:v>0</x:v>
      </x:c>
      <x:c r="Z1759" s="38" t="n">
        <x:v>0</x:v>
      </x:c>
      <x:c r="AA1759" s="38" t="n">
        <x:v>0</x:v>
      </x:c>
      <x:c r="AB1759" s="38" t="n">
        <x:v>0</x:v>
      </x:c>
      <x:c r="AC1759" s="38" t="n">
        <x:v>0</x:v>
      </x:c>
      <x:c r="AD1759" s="28" t="n">
        <x:v>0</x:v>
      </x:c>
    </x:row>
    <x:row r="1760">
      <x:c r="A1760" s="32" t="n">
        <x:v>46272</x:v>
      </x:c>
      <x:c r="B1760" s="32" t="n">
        <x:v>46266</x:v>
      </x:c>
      <x:c r="C1760" t="str">
        <x:v>Sep 2026</x:v>
      </x:c>
      <x:c r="D1760" t="str">
        <x:v>Forecast</x:v>
      </x:c>
      <x:c r="E1760" t="str">
        <x:v>DB-104</x:v>
      </x:c>
      <x:c r="F1760" t="str">
        <x:v>SunNest Cooling Towel</x:v>
      </x:c>
      <x:c r="G1760" t="str">
        <x:v>Consumable repeat</x:v>
      </x:c>
      <x:c r="H1760" t="str">
        <x:v>Summer peak</x:v>
      </x:c>
      <x:c r="I1760" t="str">
        <x:v>Discontinued</x:v>
      </x:c>
      <x:c r="J1760" t="str">
        <x:v>TikTok Shop</x:v>
      </x:c>
      <x:c r="K1760" t="str">
        <x:v>Social Commerce</x:v>
      </x:c>
      <x:c r="L1760" t="str">
        <x:v>All Geographies</x:v>
      </x:c>
      <x:c r="M1760" s="34" t="n">
        <x:v>0</x:v>
      </x:c>
      <x:c r="N1760" s="28" t="n">
        <x:v>0.0417312</x:v>
      </x:c>
      <x:c r="O1760" s="34" t="n">
        <x:v>0</x:v>
      </x:c>
      <x:c r="P1760" s="34" t="n">
        <x:v>1</x:v>
      </x:c>
      <x:c r="Q1760" s="34" t="n">
        <x:v>0</x:v>
      </x:c>
      <x:c r="R1760" s="33" t="n">
        <x:v>42</x:v>
      </x:c>
      <x:c r="S1760" s="38" t="n">
        <x:v>0</x:v>
      </x:c>
      <x:c r="T1760" s="38" t="n">
        <x:v>0</x:v>
      </x:c>
      <x:c r="U1760" s="38" t="n">
        <x:v>0</x:v>
      </x:c>
      <x:c r="V1760" s="38" t="n">
        <x:v>0</x:v>
      </x:c>
      <x:c r="W1760" s="38" t="n">
        <x:v>0</x:v>
      </x:c>
      <x:c r="X1760" s="38" t="n">
        <x:v>0</x:v>
      </x:c>
      <x:c r="Y1760" s="38" t="n">
        <x:v>0</x:v>
      </x:c>
      <x:c r="Z1760" s="38" t="n">
        <x:v>0</x:v>
      </x:c>
      <x:c r="AA1760" s="38" t="n">
        <x:v>0</x:v>
      </x:c>
      <x:c r="AB1760" s="38" t="n">
        <x:v>0</x:v>
      </x:c>
      <x:c r="AC1760" s="38" t="n">
        <x:v>0</x:v>
      </x:c>
      <x:c r="AD1760" s="28" t="n">
        <x:v>0</x:v>
      </x:c>
    </x:row>
    <x:row r="1761">
      <x:c r="A1761" s="32" t="n">
        <x:v>46272</x:v>
      </x:c>
      <x:c r="B1761" s="32" t="n">
        <x:v>46266</x:v>
      </x:c>
      <x:c r="C1761" t="str">
        <x:v>Sep 2026</x:v>
      </x:c>
      <x:c r="D1761" t="str">
        <x:v>Forecast</x:v>
      </x:c>
      <x:c r="E1761" t="str">
        <x:v>DB-105</x:v>
      </x:c>
      <x:c r="F1761" t="str">
        <x:v>DreamFuel Refill Pack</x:v>
      </x:c>
      <x:c r="G1761" t="str">
        <x:v>Subscription</x:v>
      </x:c>
      <x:c r="H1761" t="str">
        <x:v>None</x:v>
      </x:c>
      <x:c r="I1761" t="str">
        <x:v>Active</x:v>
      </x:c>
      <x:c r="J1761" t="str">
        <x:v>Shopify DTC</x:v>
      </x:c>
      <x:c r="K1761" t="str">
        <x:v>Consumer</x:v>
      </x:c>
      <x:c r="L1761" t="str">
        <x:v>All Geographies</x:v>
      </x:c>
      <x:c r="M1761" s="34" t="n">
        <x:v>5051</x:v>
      </x:c>
      <x:c r="N1761" s="28" t="n">
        <x:v>0.03888</x:v>
      </x:c>
      <x:c r="O1761" s="34" t="n">
        <x:v>196</x:v>
      </x:c>
      <x:c r="P1761" s="34" t="n">
        <x:v>1</x:v>
      </x:c>
      <x:c r="Q1761" s="34" t="n">
        <x:v>196</x:v>
      </x:c>
      <x:c r="R1761" s="33" t="n">
        <x:v>56</x:v>
      </x:c>
      <x:c r="S1761" s="38" t="n">
        <x:v>10.976</x:v>
      </x:c>
      <x:c r="T1761" s="38" t="n">
        <x:v>0.8780800000000001</x:v>
      </x:c>
      <x:c r="U1761" s="38" t="n">
        <x:v>0.2019584</x:v>
      </x:c>
      <x:c r="V1761" s="38" t="n">
        <x:v>9.8959616</x:v>
      </x:c>
      <x:c r="W1761" s="38" t="n">
        <x:v>3.64952</x:v>
      </x:c>
      <x:c r="X1761" s="38" t="n">
        <x:v>0.2869828864</x:v>
      </x:c>
      <x:c r="Y1761" s="38" t="n">
        <x:v>0</x:v>
      </x:c>
      <x:c r="Z1761" s="38" t="n">
        <x:v>0.8134000000000001</x:v>
      </x:c>
      <x:c r="AA1761" s="38" t="n">
        <x:v>0.32339999999999997</x:v>
      </x:c>
      <x:c r="AB1761" s="38" t="n">
        <x:v>0.0007055999999999999</x:v>
      </x:c>
      <x:c r="AC1761" s="38" t="n">
        <x:v>4.8219531136</x:v>
      </x:c>
      <x:c r="AD1761" s="28" t="n">
        <x:v>0.4872647357079478</x:v>
      </x:c>
    </x:row>
    <x:row r="1762">
      <x:c r="A1762" s="32" t="n">
        <x:v>46272</x:v>
      </x:c>
      <x:c r="B1762" s="32" t="n">
        <x:v>46266</x:v>
      </x:c>
      <x:c r="C1762" t="str">
        <x:v>Sep 2026</x:v>
      </x:c>
      <x:c r="D1762" t="str">
        <x:v>Forecast</x:v>
      </x:c>
      <x:c r="E1762" t="str">
        <x:v>DB-105</x:v>
      </x:c>
      <x:c r="F1762" t="str">
        <x:v>DreamFuel Refill Pack</x:v>
      </x:c>
      <x:c r="G1762" t="str">
        <x:v>Subscription</x:v>
      </x:c>
      <x:c r="H1762" t="str">
        <x:v>None</x:v>
      </x:c>
      <x:c r="I1762" t="str">
        <x:v>Active</x:v>
      </x:c>
      <x:c r="J1762" t="str">
        <x:v>Amazon Marketplace</x:v>
      </x:c>
      <x:c r="K1762" t="str">
        <x:v>Marketplace Consumer</x:v>
      </x:c>
      <x:c r="L1762" t="str">
        <x:v>All Geographies</x:v>
      </x:c>
      <x:c r="M1762" s="34" t="n">
        <x:v>2525</x:v>
      </x:c>
      <x:c r="N1762" s="28" t="n">
        <x:v>0.0458784</x:v>
      </x:c>
      <x:c r="O1762" s="34" t="n">
        <x:v>116</x:v>
      </x:c>
      <x:c r="P1762" s="34" t="n">
        <x:v>1</x:v>
      </x:c>
      <x:c r="Q1762" s="34" t="n">
        <x:v>116</x:v>
      </x:c>
      <x:c r="R1762" s="33" t="n">
        <x:v>56</x:v>
      </x:c>
      <x:c r="S1762" s="38" t="n">
        <x:v>6.496</x:v>
      </x:c>
      <x:c r="T1762" s="38" t="n">
        <x:v>0.32480000000000003</x:v>
      </x:c>
      <x:c r="U1762" s="38" t="n">
        <x:v>0.12342400000000002</x:v>
      </x:c>
      <x:c r="V1762" s="38" t="n">
        <x:v>6.047776000000001</x:v>
      </x:c>
      <x:c r="W1762" s="38" t="n">
        <x:v>2.15992</x:v>
      </x:c>
      <x:c r="X1762" s="38" t="n">
        <x:v>0</x:v>
      </x:c>
      <x:c r="Y1762" s="38" t="n">
        <x:v>0.9071664</x:v>
      </x:c>
      <x:c r="Z1762" s="38" t="n">
        <x:v>0.6032000000000001</x:v>
      </x:c>
      <x:c r="AA1762" s="38" t="n">
        <x:v>0.24939999999999998</x:v>
      </x:c>
      <x:c r="AB1762" s="38" t="n">
        <x:v>0.0004176</x:v>
      </x:c>
      <x:c r="AC1762" s="38" t="n">
        <x:v>2.1276720000000005</x:v>
      </x:c>
      <x:c r="AD1762" s="28" t="n">
        <x:v>0.35181064907165877</x:v>
      </x:c>
    </x:row>
    <x:row r="1763">
      <x:c r="A1763" s="32" t="n">
        <x:v>46272</x:v>
      </x:c>
      <x:c r="B1763" s="32" t="n">
        <x:v>46266</x:v>
      </x:c>
      <x:c r="C1763" t="str">
        <x:v>Sep 2026</x:v>
      </x:c>
      <x:c r="D1763" t="str">
        <x:v>Forecast</x:v>
      </x:c>
      <x:c r="E1763" t="str">
        <x:v>DB-105</x:v>
      </x:c>
      <x:c r="F1763" t="str">
        <x:v>DreamFuel Refill Pack</x:v>
      </x:c>
      <x:c r="G1763" t="str">
        <x:v>Subscription</x:v>
      </x:c>
      <x:c r="H1763" t="str">
        <x:v>None</x:v>
      </x:c>
      <x:c r="I1763" t="str">
        <x:v>Active</x:v>
      </x:c>
      <x:c r="J1763" t="str">
        <x:v>Wholesale</x:v>
      </x:c>
      <x:c r="K1763" t="str">
        <x:v>Retailer</x:v>
      </x:c>
      <x:c r="L1763" t="str">
        <x:v>All Geographies</x:v>
      </x:c>
      <x:c r="M1763" s="34" t="n">
        <x:v>1515</x:v>
      </x:c>
      <x:c r="N1763" s="28" t="n">
        <x:v>0.021384000000000004</x:v>
      </x:c>
      <x:c r="O1763" s="34" t="n">
        <x:v>32</x:v>
      </x:c>
      <x:c r="P1763" s="34" t="n">
        <x:v>1</x:v>
      </x:c>
      <x:c r="Q1763" s="34" t="n">
        <x:v>32</x:v>
      </x:c>
      <x:c r="R1763" s="33" t="n">
        <x:v>56</x:v>
      </x:c>
      <x:c r="S1763" s="38" t="n">
        <x:v>1.792</x:v>
      </x:c>
      <x:c r="T1763" s="38" t="n">
        <x:v>0.6272</x:v>
      </x:c>
      <x:c r="U1763" s="38" t="n">
        <x:v>0.023296</x:v>
      </x:c>
      <x:c r="V1763" s="38" t="n">
        <x:v>1.141504</x:v>
      </x:c>
      <x:c r="W1763" s="38" t="n">
        <x:v>0.59584</x:v>
      </x:c>
      <x:c r="X1763" s="38" t="n">
        <x:v>0</x:v>
      </x:c>
      <x:c r="Y1763" s="38" t="n">
        <x:v>0</x:v>
      </x:c>
      <x:c r="Z1763" s="38" t="n">
        <x:v>0.0736</x:v>
      </x:c>
      <x:c r="AA1763" s="38" t="n">
        <x:v>0.0272</x:v>
      </x:c>
      <x:c r="AB1763" s="38" t="n">
        <x:v>0.0001152</x:v>
      </x:c>
      <x:c r="AC1763" s="38" t="n">
        <x:v>0.44474880000000006</x:v>
      </x:c>
      <x:c r="AD1763" s="28" t="n">
        <x:v>0.3896165059430366</x:v>
      </x:c>
    </x:row>
    <x:row r="1764">
      <x:c r="A1764" s="32" t="n">
        <x:v>46272</x:v>
      </x:c>
      <x:c r="B1764" s="32" t="n">
        <x:v>46266</x:v>
      </x:c>
      <x:c r="C1764" t="str">
        <x:v>Sep 2026</x:v>
      </x:c>
      <x:c r="D1764" t="str">
        <x:v>Forecast</x:v>
      </x:c>
      <x:c r="E1764" t="str">
        <x:v>DB-105</x:v>
      </x:c>
      <x:c r="F1764" t="str">
        <x:v>DreamFuel Refill Pack</x:v>
      </x:c>
      <x:c r="G1764" t="str">
        <x:v>Subscription</x:v>
      </x:c>
      <x:c r="H1764" t="str">
        <x:v>None</x:v>
      </x:c>
      <x:c r="I1764" t="str">
        <x:v>Active</x:v>
      </x:c>
      <x:c r="J1764" t="str">
        <x:v>TikTok Shop</x:v>
      </x:c>
      <x:c r="K1764" t="str">
        <x:v>Social Commerce</x:v>
      </x:c>
      <x:c r="L1764" t="str">
        <x:v>All Geographies</x:v>
      </x:c>
      <x:c r="M1764" s="34" t="n">
        <x:v>1010</x:v>
      </x:c>
      <x:c r="N1764" s="28" t="n">
        <x:v>0.0489888</x:v>
      </x:c>
      <x:c r="O1764" s="34" t="n">
        <x:v>49</x:v>
      </x:c>
      <x:c r="P1764" s="34" t="n">
        <x:v>1</x:v>
      </x:c>
      <x:c r="Q1764" s="34" t="n">
        <x:v>49</x:v>
      </x:c>
      <x:c r="R1764" s="33" t="n">
        <x:v>56</x:v>
      </x:c>
      <x:c r="S1764" s="38" t="n">
        <x:v>2.744</x:v>
      </x:c>
      <x:c r="T1764" s="38" t="n">
        <x:v>0.32928</x:v>
      </x:c>
      <x:c r="U1764" s="38" t="n">
        <x:v>0.0482944</x:v>
      </x:c>
      <x:c r="V1764" s="38" t="n">
        <x:v>2.3664256</x:v>
      </x:c>
      <x:c r="W1764" s="38" t="n">
        <x:v>0.91238</x:v>
      </x:c>
      <x:c r="X1764" s="38" t="n">
        <x:v>0.0686263424</x:v>
      </x:c>
      <x:c r="Y1764" s="38" t="n">
        <x:v>0.141985536</x:v>
      </x:c>
      <x:c r="Z1764" s="38" t="n">
        <x:v>0.24989999999999998</x:v>
      </x:c>
      <x:c r="AA1764" s="38" t="n">
        <x:v>0.08575</x:v>
      </x:c>
      <x:c r="AB1764" s="38" t="n">
        <x:v>0.00017639999999999998</x:v>
      </x:c>
      <x:c r="AC1764" s="38" t="n">
        <x:v>0.9076073216</x:v>
      </x:c>
      <x:c r="AD1764" s="28" t="n">
        <x:v>0.3835351179432812</x:v>
      </x:c>
    </x:row>
    <x:row r="1765">
      <x:c r="A1765" s="32" t="n">
        <x:v>46279</x:v>
      </x:c>
      <x:c r="B1765" s="32" t="n">
        <x:v>46266</x:v>
      </x:c>
      <x:c r="C1765" t="str">
        <x:v>Sep 2026</x:v>
      </x:c>
      <x:c r="D1765" t="str">
        <x:v>Forecast</x:v>
      </x:c>
      <x:c r="E1765" t="str">
        <x:v>DB-101</x:v>
      </x:c>
      <x:c r="F1765" t="str">
        <x:v>AeroSip Bottle</x:v>
      </x:c>
      <x:c r="G1765" t="str">
        <x:v>One-time purchase</x:v>
      </x:c>
      <x:c r="H1765" t="str">
        <x:v>None</x:v>
      </x:c>
      <x:c r="I1765" t="str">
        <x:v>Active</x:v>
      </x:c>
      <x:c r="J1765" t="str">
        <x:v>Shopify DTC</x:v>
      </x:c>
      <x:c r="K1765" t="str">
        <x:v>Consumer</x:v>
      </x:c>
      <x:c r="L1765" t="str">
        <x:v>All Geographies</x:v>
      </x:c>
      <x:c r="M1765" s="34" t="n">
        <x:v>7296</x:v>
      </x:c>
      <x:c r="N1765" s="28" t="n">
        <x:v>0.034199999999999994</x:v>
      </x:c>
      <x:c r="O1765" s="34" t="n">
        <x:v>250</x:v>
      </x:c>
      <x:c r="P1765" s="34" t="n">
        <x:v>1</x:v>
      </x:c>
      <x:c r="Q1765" s="34" t="n">
        <x:v>250</x:v>
      </x:c>
      <x:c r="R1765" s="33" t="n">
        <x:v>29</x:v>
      </x:c>
      <x:c r="S1765" s="38" t="n">
        <x:v>7.25</x:v>
      </x:c>
      <x:c r="T1765" s="38" t="n">
        <x:v>0.58</x:v>
      </x:c>
      <x:c r="U1765" s="38" t="n">
        <x:v>0.30015</x:v>
      </x:c>
      <x:c r="V1765" s="38" t="n">
        <x:v>6.36985</x:v>
      </x:c>
      <x:c r="W1765" s="38" t="n">
        <x:v>2.7</x:v>
      </x:c>
      <x:c r="X1765" s="38" t="n">
        <x:v>0.18472565</x:v>
      </x:c>
      <x:c r="Y1765" s="38" t="n">
        <x:v>0</x:v>
      </x:c>
      <x:c r="Z1765" s="38" t="n">
        <x:v>1.0375</x:v>
      </x:c>
      <x:c r="AA1765" s="38" t="n">
        <x:v>0.4125</x:v>
      </x:c>
      <x:c r="AB1765" s="38" t="n">
        <x:v>0.009</x:v>
      </x:c>
      <x:c r="AC1765" s="38" t="n">
        <x:v>2.0261243499999995</x:v>
      </x:c>
      <x:c r="AD1765" s="28" t="n">
        <x:v>0.31808038650831644</x:v>
      </x:c>
    </x:row>
    <x:row r="1766">
      <x:c r="A1766" s="32" t="n">
        <x:v>46279</x:v>
      </x:c>
      <x:c r="B1766" s="32" t="n">
        <x:v>46266</x:v>
      </x:c>
      <x:c r="C1766" t="str">
        <x:v>Sep 2026</x:v>
      </x:c>
      <x:c r="D1766" t="str">
        <x:v>Forecast</x:v>
      </x:c>
      <x:c r="E1766" t="str">
        <x:v>DB-101</x:v>
      </x:c>
      <x:c r="F1766" t="str">
        <x:v>AeroSip Bottle</x:v>
      </x:c>
      <x:c r="G1766" t="str">
        <x:v>One-time purchase</x:v>
      </x:c>
      <x:c r="H1766" t="str">
        <x:v>None</x:v>
      </x:c>
      <x:c r="I1766" t="str">
        <x:v>Active</x:v>
      </x:c>
      <x:c r="J1766" t="str">
        <x:v>Amazon Marketplace</x:v>
      </x:c>
      <x:c r="K1766" t="str">
        <x:v>Marketplace Consumer</x:v>
      </x:c>
      <x:c r="L1766" t="str">
        <x:v>All Geographies</x:v>
      </x:c>
      <x:c r="M1766" s="34" t="n">
        <x:v>3648</x:v>
      </x:c>
      <x:c r="N1766" s="28" t="n">
        <x:v>0.040355999999999996</x:v>
      </x:c>
      <x:c r="O1766" s="34" t="n">
        <x:v>147</x:v>
      </x:c>
      <x:c r="P1766" s="34" t="n">
        <x:v>1</x:v>
      </x:c>
      <x:c r="Q1766" s="34" t="n">
        <x:v>147</x:v>
      </x:c>
      <x:c r="R1766" s="33" t="n">
        <x:v>29</x:v>
      </x:c>
      <x:c r="S1766" s="38" t="n">
        <x:v>4.263</x:v>
      </x:c>
      <x:c r="T1766" s="38" t="n">
        <x:v>0.21315</x:v>
      </x:c>
      <x:c r="U1766" s="38" t="n">
        <x:v>0.18224325</x:v>
      </x:c>
      <x:c r="V1766" s="38" t="n">
        <x:v>3.86760675</x:v>
      </x:c>
      <x:c r="W1766" s="38" t="n">
        <x:v>1.5876000000000001</x:v>
      </x:c>
      <x:c r="X1766" s="38" t="n">
        <x:v>0</x:v>
      </x:c>
      <x:c r="Y1766" s="38" t="n">
        <x:v>0.5801410125</x:v>
      </x:c>
      <x:c r="Z1766" s="38" t="n">
        <x:v>0.7644</x:v>
      </x:c>
      <x:c r="AA1766" s="38" t="n">
        <x:v>0.31605</x:v>
      </x:c>
      <x:c r="AB1766" s="38" t="n">
        <x:v>0.005292</x:v>
      </x:c>
      <x:c r="AC1766" s="38" t="n">
        <x:v>0.6141237375000003</x:v>
      </x:c>
      <x:c r="AD1766" s="28" t="n">
        <x:v>0.15878649955815705</x:v>
      </x:c>
    </x:row>
    <x:row r="1767">
      <x:c r="A1767" s="32" t="n">
        <x:v>46279</x:v>
      </x:c>
      <x:c r="B1767" s="32" t="n">
        <x:v>46266</x:v>
      </x:c>
      <x:c r="C1767" t="str">
        <x:v>Sep 2026</x:v>
      </x:c>
      <x:c r="D1767" t="str">
        <x:v>Forecast</x:v>
      </x:c>
      <x:c r="E1767" t="str">
        <x:v>DB-101</x:v>
      </x:c>
      <x:c r="F1767" t="str">
        <x:v>AeroSip Bottle</x:v>
      </x:c>
      <x:c r="G1767" t="str">
        <x:v>One-time purchase</x:v>
      </x:c>
      <x:c r="H1767" t="str">
        <x:v>None</x:v>
      </x:c>
      <x:c r="I1767" t="str">
        <x:v>Active</x:v>
      </x:c>
      <x:c r="J1767" t="str">
        <x:v>Wholesale</x:v>
      </x:c>
      <x:c r="K1767" t="str">
        <x:v>Retailer</x:v>
      </x:c>
      <x:c r="L1767" t="str">
        <x:v>All Geographies</x:v>
      </x:c>
      <x:c r="M1767" s="34" t="n">
        <x:v>2189</x:v>
      </x:c>
      <x:c r="N1767" s="28" t="n">
        <x:v>0.01881</x:v>
      </x:c>
      <x:c r="O1767" s="34" t="n">
        <x:v>41</x:v>
      </x:c>
      <x:c r="P1767" s="34" t="n">
        <x:v>1</x:v>
      </x:c>
      <x:c r="Q1767" s="34" t="n">
        <x:v>41</x:v>
      </x:c>
      <x:c r="R1767" s="33" t="n">
        <x:v>29</x:v>
      </x:c>
      <x:c r="S1767" s="38" t="n">
        <x:v>1.189</x:v>
      </x:c>
      <x:c r="T1767" s="38" t="n">
        <x:v>0.41615</x:v>
      </x:c>
      <x:c r="U1767" s="38" t="n">
        <x:v>0.034778250000000004</x:v>
      </x:c>
      <x:c r="V1767" s="38" t="n">
        <x:v>0.73807175</x:v>
      </x:c>
      <x:c r="W1767" s="38" t="n">
        <x:v>0.4428</x:v>
      </x:c>
      <x:c r="X1767" s="38" t="n">
        <x:v>0</x:v>
      </x:c>
      <x:c r="Y1767" s="38" t="n">
        <x:v>0</x:v>
      </x:c>
      <x:c r="Z1767" s="38" t="n">
        <x:v>0.0943</x:v>
      </x:c>
      <x:c r="AA1767" s="38" t="n">
        <x:v>0.03485</x:v>
      </x:c>
      <x:c r="AB1767" s="38" t="n">
        <x:v>0.0014759999999999999</x:v>
      </x:c>
      <x:c r="AC1767" s="38" t="n">
        <x:v>0.16464575</x:v>
      </x:c>
      <x:c r="AD1767" s="28" t="n">
        <x:v>0.22307553432305194</x:v>
      </x:c>
    </x:row>
    <x:row r="1768">
      <x:c r="A1768" s="32" t="n">
        <x:v>46279</x:v>
      </x:c>
      <x:c r="B1768" s="32" t="n">
        <x:v>46266</x:v>
      </x:c>
      <x:c r="C1768" t="str">
        <x:v>Sep 2026</x:v>
      </x:c>
      <x:c r="D1768" t="str">
        <x:v>Forecast</x:v>
      </x:c>
      <x:c r="E1768" t="str">
        <x:v>DB-101</x:v>
      </x:c>
      <x:c r="F1768" t="str">
        <x:v>AeroSip Bottle</x:v>
      </x:c>
      <x:c r="G1768" t="str">
        <x:v>One-time purchase</x:v>
      </x:c>
      <x:c r="H1768" t="str">
        <x:v>None</x:v>
      </x:c>
      <x:c r="I1768" t="str">
        <x:v>Active</x:v>
      </x:c>
      <x:c r="J1768" t="str">
        <x:v>TikTok Shop</x:v>
      </x:c>
      <x:c r="K1768" t="str">
        <x:v>Social Commerce</x:v>
      </x:c>
      <x:c r="L1768" t="str">
        <x:v>All Geographies</x:v>
      </x:c>
      <x:c r="M1768" s="34" t="n">
        <x:v>1459</x:v>
      </x:c>
      <x:c r="N1768" s="28" t="n">
        <x:v>0.043092</x:v>
      </x:c>
      <x:c r="O1768" s="34" t="n">
        <x:v>63</x:v>
      </x:c>
      <x:c r="P1768" s="34" t="n">
        <x:v>1</x:v>
      </x:c>
      <x:c r="Q1768" s="34" t="n">
        <x:v>63</x:v>
      </x:c>
      <x:c r="R1768" s="33" t="n">
        <x:v>29</x:v>
      </x:c>
      <x:c r="S1768" s="38" t="n">
        <x:v>1.827</x:v>
      </x:c>
      <x:c r="T1768" s="38" t="n">
        <x:v>0.21924</x:v>
      </x:c>
      <x:c r="U1768" s="38" t="n">
        <x:v>0.07234919999999999</x:v>
      </x:c>
      <x:c r="V1768" s="38" t="n">
        <x:v>1.5354108</x:v>
      </x:c>
      <x:c r="W1768" s="38" t="n">
        <x:v>0.6804000000000001</x:v>
      </x:c>
      <x:c r="X1768" s="38" t="n">
        <x:v>0.044526913200000004</x:v>
      </x:c>
      <x:c r="Y1768" s="38" t="n">
        <x:v>0.09212464799999999</x:v>
      </x:c>
      <x:c r="Z1768" s="38" t="n">
        <x:v>0.3213</x:v>
      </x:c>
      <x:c r="AA1768" s="38" t="n">
        <x:v>0.11025</x:v>
      </x:c>
      <x:c r="AB1768" s="38" t="n">
        <x:v>0.0022679999999999996</x:v>
      </x:c>
      <x:c r="AC1768" s="38" t="n">
        <x:v>0.2845412387999999</x:v>
      </x:c>
      <x:c r="AD1768" s="28" t="n">
        <x:v>0.18531928966501987</x:v>
      </x:c>
    </x:row>
    <x:row r="1769">
      <x:c r="A1769" s="32" t="n">
        <x:v>46279</x:v>
      </x:c>
      <x:c r="B1769" s="32" t="n">
        <x:v>46266</x:v>
      </x:c>
      <x:c r="C1769" t="str">
        <x:v>Sep 2026</x:v>
      </x:c>
      <x:c r="D1769" t="str">
        <x:v>Forecast</x:v>
      </x:c>
      <x:c r="E1769" t="str">
        <x:v>DB-102</x:v>
      </x:c>
      <x:c r="F1769" t="str">
        <x:v>GlowPatch Balm</x:v>
      </x:c>
      <x:c r="G1769" t="str">
        <x:v>Consumable repeat</x:v>
      </x:c>
      <x:c r="H1769" t="str">
        <x:v>None</x:v>
      </x:c>
      <x:c r="I1769" t="str">
        <x:v>Active</x:v>
      </x:c>
      <x:c r="J1769" t="str">
        <x:v>Shopify DTC</x:v>
      </x:c>
      <x:c r="K1769" t="str">
        <x:v>Consumer</x:v>
      </x:c>
      <x:c r="L1769" t="str">
        <x:v>All Geographies</x:v>
      </x:c>
      <x:c r="M1769" s="34" t="n">
        <x:v>5893</x:v>
      </x:c>
      <x:c r="N1769" s="28" t="n">
        <x:v>0.04248</x:v>
      </x:c>
      <x:c r="O1769" s="34" t="n">
        <x:v>250</x:v>
      </x:c>
      <x:c r="P1769" s="34" t="n">
        <x:v>1</x:v>
      </x:c>
      <x:c r="Q1769" s="34" t="n">
        <x:v>250</x:v>
      </x:c>
      <x:c r="R1769" s="33" t="n">
        <x:v>18</x:v>
      </x:c>
      <x:c r="S1769" s="38" t="n">
        <x:v>4.5</x:v>
      </x:c>
      <x:c r="T1769" s="38" t="n">
        <x:v>0.36</x:v>
      </x:c>
      <x:c r="U1769" s="38" t="n">
        <x:v>0.1035</x:v>
      </x:c>
      <x:c r="V1769" s="38" t="n">
        <x:v>4.036499999999999</x:v>
      </x:c>
      <x:c r="W1769" s="38" t="n">
        <x:v>1.3525</x:v>
      </x:c>
      <x:c r="X1769" s="38" t="n">
        <x:v>0.11705849999999998</x:v>
      </x:c>
      <x:c r="Y1769" s="38" t="n">
        <x:v>0</x:v>
      </x:c>
      <x:c r="Z1769" s="38" t="n">
        <x:v>1.0375</x:v>
      </x:c>
      <x:c r="AA1769" s="38" t="n">
        <x:v>0.4125</x:v>
      </x:c>
      <x:c r="AB1769" s="38" t="n">
        <x:v>0.0015</x:v>
      </x:c>
      <x:c r="AC1769" s="38" t="n">
        <x:v>1.1154414999999989</x:v>
      </x:c>
      <x:c r="AD1769" s="28" t="n">
        <x:v>0.2763387835996529</x:v>
      </x:c>
    </x:row>
    <x:row r="1770">
      <x:c r="A1770" s="32" t="n">
        <x:v>46279</x:v>
      </x:c>
      <x:c r="B1770" s="32" t="n">
        <x:v>46266</x:v>
      </x:c>
      <x:c r="C1770" t="str">
        <x:v>Sep 2026</x:v>
      </x:c>
      <x:c r="D1770" t="str">
        <x:v>Forecast</x:v>
      </x:c>
      <x:c r="E1770" t="str">
        <x:v>DB-102</x:v>
      </x:c>
      <x:c r="F1770" t="str">
        <x:v>GlowPatch Balm</x:v>
      </x:c>
      <x:c r="G1770" t="str">
        <x:v>Consumable repeat</x:v>
      </x:c>
      <x:c r="H1770" t="str">
        <x:v>None</x:v>
      </x:c>
      <x:c r="I1770" t="str">
        <x:v>Active</x:v>
      </x:c>
      <x:c r="J1770" t="str">
        <x:v>Amazon Marketplace</x:v>
      </x:c>
      <x:c r="K1770" t="str">
        <x:v>Marketplace Consumer</x:v>
      </x:c>
      <x:c r="L1770" t="str">
        <x:v>All Geographies</x:v>
      </x:c>
      <x:c r="M1770" s="34" t="n">
        <x:v>2946</x:v>
      </x:c>
      <x:c r="N1770" s="28" t="n">
        <x:v>0.050126399999999995</x:v>
      </x:c>
      <x:c r="O1770" s="34" t="n">
        <x:v>148</x:v>
      </x:c>
      <x:c r="P1770" s="34" t="n">
        <x:v>1</x:v>
      </x:c>
      <x:c r="Q1770" s="34" t="n">
        <x:v>148</x:v>
      </x:c>
      <x:c r="R1770" s="33" t="n">
        <x:v>18</x:v>
      </x:c>
      <x:c r="S1770" s="38" t="n">
        <x:v>2.664</x:v>
      </x:c>
      <x:c r="T1770" s="38" t="n">
        <x:v>0.1332</x:v>
      </x:c>
      <x:c r="U1770" s="38" t="n">
        <x:v>0.06327</x:v>
      </x:c>
      <x:c r="V1770" s="38" t="n">
        <x:v>2.46753</x:v>
      </x:c>
      <x:c r="W1770" s="38" t="n">
        <x:v>0.8006800000000001</x:v>
      </x:c>
      <x:c r="X1770" s="38" t="n">
        <x:v>0</x:v>
      </x:c>
      <x:c r="Y1770" s="38" t="n">
        <x:v>0.3701295</x:v>
      </x:c>
      <x:c r="Z1770" s="38" t="n">
        <x:v>0.7696000000000001</x:v>
      </x:c>
      <x:c r="AA1770" s="38" t="n">
        <x:v>0.3182</x:v>
      </x:c>
      <x:c r="AB1770" s="38" t="n">
        <x:v>0.0008879999999999999</x:v>
      </x:c>
      <x:c r="AC1770" s="38" t="n">
        <x:v>0.2080324999999999</x:v>
      </x:c>
      <x:c r="AD1770" s="28" t="n">
        <x:v>0.084307992202729</x:v>
      </x:c>
    </x:row>
    <x:row r="1771">
      <x:c r="A1771" s="32" t="n">
        <x:v>46279</x:v>
      </x:c>
      <x:c r="B1771" s="32" t="n">
        <x:v>46266</x:v>
      </x:c>
      <x:c r="C1771" t="str">
        <x:v>Sep 2026</x:v>
      </x:c>
      <x:c r="D1771" t="str">
        <x:v>Forecast</x:v>
      </x:c>
      <x:c r="E1771" t="str">
        <x:v>DB-102</x:v>
      </x:c>
      <x:c r="F1771" t="str">
        <x:v>GlowPatch Balm</x:v>
      </x:c>
      <x:c r="G1771" t="str">
        <x:v>Consumable repeat</x:v>
      </x:c>
      <x:c r="H1771" t="str">
        <x:v>None</x:v>
      </x:c>
      <x:c r="I1771" t="str">
        <x:v>Active</x:v>
      </x:c>
      <x:c r="J1771" t="str">
        <x:v>Wholesale</x:v>
      </x:c>
      <x:c r="K1771" t="str">
        <x:v>Retailer</x:v>
      </x:c>
      <x:c r="L1771" t="str">
        <x:v>All Geographies</x:v>
      </x:c>
      <x:c r="M1771" s="34" t="n">
        <x:v>1768</x:v>
      </x:c>
      <x:c r="N1771" s="28" t="n">
        <x:v>0.023364</x:v>
      </x:c>
      <x:c r="O1771" s="34" t="n">
        <x:v>41</x:v>
      </x:c>
      <x:c r="P1771" s="34" t="n">
        <x:v>1</x:v>
      </x:c>
      <x:c r="Q1771" s="34" t="n">
        <x:v>41</x:v>
      </x:c>
      <x:c r="R1771" s="33" t="n">
        <x:v>18</x:v>
      </x:c>
      <x:c r="S1771" s="38" t="n">
        <x:v>0.738</x:v>
      </x:c>
      <x:c r="T1771" s="38" t="n">
        <x:v>0.2583</x:v>
      </x:c>
      <x:c r="U1771" s="38" t="n">
        <x:v>0.011992500000000001</x:v>
      </x:c>
      <x:c r="V1771" s="38" t="n">
        <x:v>0.4677075</x:v>
      </x:c>
      <x:c r="W1771" s="38" t="n">
        <x:v>0.22181</x:v>
      </x:c>
      <x:c r="X1771" s="38" t="n">
        <x:v>0</x:v>
      </x:c>
      <x:c r="Y1771" s="38" t="n">
        <x:v>0</x:v>
      </x:c>
      <x:c r="Z1771" s="38" t="n">
        <x:v>0.0943</x:v>
      </x:c>
      <x:c r="AA1771" s="38" t="n">
        <x:v>0.03485</x:v>
      </x:c>
      <x:c r="AB1771" s="38" t="n">
        <x:v>0.000246</x:v>
      </x:c>
      <x:c r="AC1771" s="38" t="n">
        <x:v>0.11650150000000001</x:v>
      </x:c>
      <x:c r="AD1771" s="28" t="n">
        <x:v>0.2490905106289722</x:v>
      </x:c>
    </x:row>
    <x:row r="1772">
      <x:c r="A1772" s="32" t="n">
        <x:v>46279</x:v>
      </x:c>
      <x:c r="B1772" s="32" t="n">
        <x:v>46266</x:v>
      </x:c>
      <x:c r="C1772" t="str">
        <x:v>Sep 2026</x:v>
      </x:c>
      <x:c r="D1772" t="str">
        <x:v>Forecast</x:v>
      </x:c>
      <x:c r="E1772" t="str">
        <x:v>DB-102</x:v>
      </x:c>
      <x:c r="F1772" t="str">
        <x:v>GlowPatch Balm</x:v>
      </x:c>
      <x:c r="G1772" t="str">
        <x:v>Consumable repeat</x:v>
      </x:c>
      <x:c r="H1772" t="str">
        <x:v>None</x:v>
      </x:c>
      <x:c r="I1772" t="str">
        <x:v>Active</x:v>
      </x:c>
      <x:c r="J1772" t="str">
        <x:v>TikTok Shop</x:v>
      </x:c>
      <x:c r="K1772" t="str">
        <x:v>Social Commerce</x:v>
      </x:c>
      <x:c r="L1772" t="str">
        <x:v>All Geographies</x:v>
      </x:c>
      <x:c r="M1772" s="34" t="n">
        <x:v>1179</x:v>
      </x:c>
      <x:c r="N1772" s="28" t="n">
        <x:v>0.0535248</x:v>
      </x:c>
      <x:c r="O1772" s="34" t="n">
        <x:v>63</x:v>
      </x:c>
      <x:c r="P1772" s="34" t="n">
        <x:v>1</x:v>
      </x:c>
      <x:c r="Q1772" s="34" t="n">
        <x:v>63</x:v>
      </x:c>
      <x:c r="R1772" s="33" t="n">
        <x:v>18</x:v>
      </x:c>
      <x:c r="S1772" s="38" t="n">
        <x:v>1.134</x:v>
      </x:c>
      <x:c r="T1772" s="38" t="n">
        <x:v>0.13607999999999998</x:v>
      </x:c>
      <x:c r="U1772" s="38" t="n">
        <x:v>0.024947999999999998</x:v>
      </x:c>
      <x:c r="V1772" s="38" t="n">
        <x:v>0.972972</x:v>
      </x:c>
      <x:c r="W1772" s="38" t="n">
        <x:v>0.34082999999999997</x:v>
      </x:c>
      <x:c r="X1772" s="38" t="n">
        <x:v>0.028216188</x:v>
      </x:c>
      <x:c r="Y1772" s="38" t="n">
        <x:v>0.05837832</x:v>
      </x:c>
      <x:c r="Z1772" s="38" t="n">
        <x:v>0.3213</x:v>
      </x:c>
      <x:c r="AA1772" s="38" t="n">
        <x:v>0.11025</x:v>
      </x:c>
      <x:c r="AB1772" s="38" t="n">
        <x:v>0.000378</x:v>
      </x:c>
      <x:c r="AC1772" s="38" t="n">
        <x:v>0.11361949199999999</x:v>
      </x:c>
      <x:c r="AD1772" s="28" t="n">
        <x:v>0.11677570577570577</x:v>
      </x:c>
    </x:row>
    <x:row r="1773">
      <x:c r="A1773" s="32" t="n">
        <x:v>46279</x:v>
      </x:c>
      <x:c r="B1773" s="32" t="n">
        <x:v>46266</x:v>
      </x:c>
      <x:c r="C1773" t="str">
        <x:v>Sep 2026</x:v>
      </x:c>
      <x:c r="D1773" t="str">
        <x:v>Forecast</x:v>
      </x:c>
      <x:c r="E1773" t="str">
        <x:v>DB-103</x:v>
      </x:c>
      <x:c r="F1773" t="str">
        <x:v>EmberTrail Camp Mug</x:v>
      </x:c>
      <x:c r="G1773" t="str">
        <x:v>One-time purchase</x:v>
      </x:c>
      <x:c r="H1773" t="str">
        <x:v>Winter peak</x:v>
      </x:c>
      <x:c r="I1773" t="str">
        <x:v>Active</x:v>
      </x:c>
      <x:c r="J1773" t="str">
        <x:v>Shopify DTC</x:v>
      </x:c>
      <x:c r="K1773" t="str">
        <x:v>Consumer</x:v>
      </x:c>
      <x:c r="L1773" t="str">
        <x:v>All Geographies</x:v>
      </x:c>
      <x:c r="M1773" s="34" t="n">
        <x:v>4950</x:v>
      </x:c>
      <x:c r="N1773" s="28" t="n">
        <x:v>0.0324</x:v>
      </x:c>
      <x:c r="O1773" s="34" t="n">
        <x:v>160</x:v>
      </x:c>
      <x:c r="P1773" s="34" t="n">
        <x:v>1</x:v>
      </x:c>
      <x:c r="Q1773" s="34" t="n">
        <x:v>160</x:v>
      </x:c>
      <x:c r="R1773" s="33" t="n">
        <x:v>34</x:v>
      </x:c>
      <x:c r="S1773" s="38" t="n">
        <x:v>5.44</x:v>
      </x:c>
      <x:c r="T1773" s="38" t="n">
        <x:v>0.43520000000000003</x:v>
      </x:c>
      <x:c r="U1773" s="38" t="n">
        <x:v>0.275264</x:v>
      </x:c>
      <x:c r="V1773" s="38" t="n">
        <x:v>4.729536</x:v>
      </x:c>
      <x:c r="W1773" s="38" t="n">
        <x:v>2.1872</x:v>
      </x:c>
      <x:c r="X1773" s="38" t="n">
        <x:v>0.13715654400000002</x:v>
      </x:c>
      <x:c r="Y1773" s="38" t="n">
        <x:v>0</x:v>
      </x:c>
      <x:c r="Z1773" s="38" t="n">
        <x:v>0.664</x:v>
      </x:c>
      <x:c r="AA1773" s="38" t="n">
        <x:v>0.264</x:v>
      </x:c>
      <x:c r="AB1773" s="38" t="n">
        <x:v>0.008960000000000001</x:v>
      </x:c>
      <x:c r="AC1773" s="38" t="n">
        <x:v>1.4682194560000001</x:v>
      </x:c>
      <x:c r="AD1773" s="28" t="n">
        <x:v>0.31043625759482535</x:v>
      </x:c>
    </x:row>
    <x:row r="1774">
      <x:c r="A1774" s="32" t="n">
        <x:v>46279</x:v>
      </x:c>
      <x:c r="B1774" s="32" t="n">
        <x:v>46266</x:v>
      </x:c>
      <x:c r="C1774" t="str">
        <x:v>Sep 2026</x:v>
      </x:c>
      <x:c r="D1774" t="str">
        <x:v>Forecast</x:v>
      </x:c>
      <x:c r="E1774" t="str">
        <x:v>DB-103</x:v>
      </x:c>
      <x:c r="F1774" t="str">
        <x:v>EmberTrail Camp Mug</x:v>
      </x:c>
      <x:c r="G1774" t="str">
        <x:v>One-time purchase</x:v>
      </x:c>
      <x:c r="H1774" t="str">
        <x:v>Winter peak</x:v>
      </x:c>
      <x:c r="I1774" t="str">
        <x:v>Active</x:v>
      </x:c>
      <x:c r="J1774" t="str">
        <x:v>Amazon Marketplace</x:v>
      </x:c>
      <x:c r="K1774" t="str">
        <x:v>Marketplace Consumer</x:v>
      </x:c>
      <x:c r="L1774" t="str">
        <x:v>All Geographies</x:v>
      </x:c>
      <x:c r="M1774" s="34" t="n">
        <x:v>2475</x:v>
      </x:c>
      <x:c r="N1774" s="28" t="n">
        <x:v>0.038231999999999995</x:v>
      </x:c>
      <x:c r="O1774" s="34" t="n">
        <x:v>95</x:v>
      </x:c>
      <x:c r="P1774" s="34" t="n">
        <x:v>1</x:v>
      </x:c>
      <x:c r="Q1774" s="34" t="n">
        <x:v>95</x:v>
      </x:c>
      <x:c r="R1774" s="33" t="n">
        <x:v>34</x:v>
      </x:c>
      <x:c r="S1774" s="38" t="n">
        <x:v>3.23</x:v>
      </x:c>
      <x:c r="T1774" s="38" t="n">
        <x:v>0.1615</x:v>
      </x:c>
      <x:c r="U1774" s="38" t="n">
        <x:v>0.1687675</x:v>
      </x:c>
      <x:c r="V1774" s="38" t="n">
        <x:v>2.8997325</x:v>
      </x:c>
      <x:c r="W1774" s="38" t="n">
        <x:v>1.29865</x:v>
      </x:c>
      <x:c r="X1774" s="38" t="n">
        <x:v>0</x:v>
      </x:c>
      <x:c r="Y1774" s="38" t="n">
        <x:v>0.43495987499999994</x:v>
      </x:c>
      <x:c r="Z1774" s="38" t="n">
        <x:v>0.494</x:v>
      </x:c>
      <x:c r="AA1774" s="38" t="n">
        <x:v>0.20425</x:v>
      </x:c>
      <x:c r="AB1774" s="38" t="n">
        <x:v>0.00532</x:v>
      </x:c>
      <x:c r="AC1774" s="38" t="n">
        <x:v>0.4625526249999999</x:v>
      </x:c>
      <x:c r="AD1774" s="28" t="n">
        <x:v>0.1595156191131423</x:v>
      </x:c>
    </x:row>
    <x:row r="1775">
      <x:c r="A1775" s="32" t="n">
        <x:v>46279</x:v>
      </x:c>
      <x:c r="B1775" s="32" t="n">
        <x:v>46266</x:v>
      </x:c>
      <x:c r="C1775" t="str">
        <x:v>Sep 2026</x:v>
      </x:c>
      <x:c r="D1775" t="str">
        <x:v>Forecast</x:v>
      </x:c>
      <x:c r="E1775" t="str">
        <x:v>DB-103</x:v>
      </x:c>
      <x:c r="F1775" t="str">
        <x:v>EmberTrail Camp Mug</x:v>
      </x:c>
      <x:c r="G1775" t="str">
        <x:v>One-time purchase</x:v>
      </x:c>
      <x:c r="H1775" t="str">
        <x:v>Winter peak</x:v>
      </x:c>
      <x:c r="I1775" t="str">
        <x:v>Active</x:v>
      </x:c>
      <x:c r="J1775" t="str">
        <x:v>Wholesale</x:v>
      </x:c>
      <x:c r="K1775" t="str">
        <x:v>Retailer</x:v>
      </x:c>
      <x:c r="L1775" t="str">
        <x:v>All Geographies</x:v>
      </x:c>
      <x:c r="M1775" s="34" t="n">
        <x:v>1485</x:v>
      </x:c>
      <x:c r="N1775" s="28" t="n">
        <x:v>0.017820000000000003</x:v>
      </x:c>
      <x:c r="O1775" s="34" t="n">
        <x:v>26</x:v>
      </x:c>
      <x:c r="P1775" s="34" t="n">
        <x:v>1</x:v>
      </x:c>
      <x:c r="Q1775" s="34" t="n">
        <x:v>26</x:v>
      </x:c>
      <x:c r="R1775" s="33" t="n">
        <x:v>34</x:v>
      </x:c>
      <x:c r="S1775" s="38" t="n">
        <x:v>0.884</x:v>
      </x:c>
      <x:c r="T1775" s="38" t="n">
        <x:v>0.3094</x:v>
      </x:c>
      <x:c r="U1775" s="38" t="n">
        <x:v>0.031603</x:v>
      </x:c>
      <x:c r="V1775" s="38" t="n">
        <x:v>0.542997</x:v>
      </x:c>
      <x:c r="W1775" s="38" t="n">
        <x:v>0.35542</x:v>
      </x:c>
      <x:c r="X1775" s="38" t="n">
        <x:v>0</x:v>
      </x:c>
      <x:c r="Y1775" s="38" t="n">
        <x:v>0</x:v>
      </x:c>
      <x:c r="Z1775" s="38" t="n">
        <x:v>0.0598</x:v>
      </x:c>
      <x:c r="AA1775" s="38" t="n">
        <x:v>0.022099999999999998</x:v>
      </x:c>
      <x:c r="AB1775" s="38" t="n">
        <x:v>0.0014560000000000003</x:v>
      </x:c>
      <x:c r="AC1775" s="38" t="n">
        <x:v>0.10422099999999995</x:v>
      </x:c>
      <x:c r="AD1775" s="28" t="n">
        <x:v>0.19193660370130952</x:v>
      </x:c>
    </x:row>
    <x:row r="1776">
      <x:c r="A1776" s="32" t="n">
        <x:v>46279</x:v>
      </x:c>
      <x:c r="B1776" s="32" t="n">
        <x:v>46266</x:v>
      </x:c>
      <x:c r="C1776" t="str">
        <x:v>Sep 2026</x:v>
      </x:c>
      <x:c r="D1776" t="str">
        <x:v>Forecast</x:v>
      </x:c>
      <x:c r="E1776" t="str">
        <x:v>DB-103</x:v>
      </x:c>
      <x:c r="F1776" t="str">
        <x:v>EmberTrail Camp Mug</x:v>
      </x:c>
      <x:c r="G1776" t="str">
        <x:v>One-time purchase</x:v>
      </x:c>
      <x:c r="H1776" t="str">
        <x:v>Winter peak</x:v>
      </x:c>
      <x:c r="I1776" t="str">
        <x:v>Active</x:v>
      </x:c>
      <x:c r="J1776" t="str">
        <x:v>TikTok Shop</x:v>
      </x:c>
      <x:c r="K1776" t="str">
        <x:v>Social Commerce</x:v>
      </x:c>
      <x:c r="L1776" t="str">
        <x:v>All Geographies</x:v>
      </x:c>
      <x:c r="M1776" s="34" t="n">
        <x:v>990</x:v>
      </x:c>
      <x:c r="N1776" s="28" t="n">
        <x:v>0.040824</x:v>
      </x:c>
      <x:c r="O1776" s="34" t="n">
        <x:v>40</x:v>
      </x:c>
      <x:c r="P1776" s="34" t="n">
        <x:v>1</x:v>
      </x:c>
      <x:c r="Q1776" s="34" t="n">
        <x:v>40</x:v>
      </x:c>
      <x:c r="R1776" s="33" t="n">
        <x:v>34</x:v>
      </x:c>
      <x:c r="S1776" s="38" t="n">
        <x:v>1.36</x:v>
      </x:c>
      <x:c r="T1776" s="38" t="n">
        <x:v>0.1632</x:v>
      </x:c>
      <x:c r="U1776" s="38" t="n">
        <x:v>0.06582400000000001</x:v>
      </x:c>
      <x:c r="V1776" s="38" t="n">
        <x:v>1.130976</x:v>
      </x:c>
      <x:c r="W1776" s="38" t="n">
        <x:v>0.5468</x:v>
      </x:c>
      <x:c r="X1776" s="38" t="n">
        <x:v>0.032798304</x:v>
      </x:c>
      <x:c r="Y1776" s="38" t="n">
        <x:v>0.06785856</x:v>
      </x:c>
      <x:c r="Z1776" s="38" t="n">
        <x:v>0.204</x:v>
      </x:c>
      <x:c r="AA1776" s="38" t="n">
        <x:v>0.07</x:v>
      </x:c>
      <x:c r="AB1776" s="38" t="n">
        <x:v>0.0022400000000000002</x:v>
      </x:c>
      <x:c r="AC1776" s="38" t="n">
        <x:v>0.2072791360000001</x:v>
      </x:c>
      <x:c r="AD1776" s="28" t="n">
        <x:v>0.18327456639221357</x:v>
      </x:c>
    </x:row>
    <x:row r="1777">
      <x:c r="A1777" s="32" t="n">
        <x:v>46279</x:v>
      </x:c>
      <x:c r="B1777" s="32" t="n">
        <x:v>46266</x:v>
      </x:c>
      <x:c r="C1777" t="str">
        <x:v>Sep 2026</x:v>
      </x:c>
      <x:c r="D1777" t="str">
        <x:v>Forecast</x:v>
      </x:c>
      <x:c r="E1777" t="str">
        <x:v>DB-104</x:v>
      </x:c>
      <x:c r="F1777" t="str">
        <x:v>SunNest Cooling Towel</x:v>
      </x:c>
      <x:c r="G1777" t="str">
        <x:v>Consumable repeat</x:v>
      </x:c>
      <x:c r="H1777" t="str">
        <x:v>Summer peak</x:v>
      </x:c>
      <x:c r="I1777" t="str">
        <x:v>Discontinued</x:v>
      </x:c>
      <x:c r="J1777" t="str">
        <x:v>Shopify DTC</x:v>
      </x:c>
      <x:c r="K1777" t="str">
        <x:v>Consumer</x:v>
      </x:c>
      <x:c r="L1777" t="str">
        <x:v>All Geographies</x:v>
      </x:c>
      <x:c r="M1777" s="34" t="n">
        <x:v>0</x:v>
      </x:c>
      <x:c r="N1777" s="28" t="n">
        <x:v>0.03312</x:v>
      </x:c>
      <x:c r="O1777" s="34" t="n">
        <x:v>0</x:v>
      </x:c>
      <x:c r="P1777" s="34" t="n">
        <x:v>1</x:v>
      </x:c>
      <x:c r="Q1777" s="34" t="n">
        <x:v>0</x:v>
      </x:c>
      <x:c r="R1777" s="33" t="n">
        <x:v>42</x:v>
      </x:c>
      <x:c r="S1777" s="38" t="n">
        <x:v>0</x:v>
      </x:c>
      <x:c r="T1777" s="38" t="n">
        <x:v>0</x:v>
      </x:c>
      <x:c r="U1777" s="38" t="n">
        <x:v>0</x:v>
      </x:c>
      <x:c r="V1777" s="38" t="n">
        <x:v>0</x:v>
      </x:c>
      <x:c r="W1777" s="38" t="n">
        <x:v>0</x:v>
      </x:c>
      <x:c r="X1777" s="38" t="n">
        <x:v>0</x:v>
      </x:c>
      <x:c r="Y1777" s="38" t="n">
        <x:v>0</x:v>
      </x:c>
      <x:c r="Z1777" s="38" t="n">
        <x:v>0</x:v>
      </x:c>
      <x:c r="AA1777" s="38" t="n">
        <x:v>0</x:v>
      </x:c>
      <x:c r="AB1777" s="38" t="n">
        <x:v>0</x:v>
      </x:c>
      <x:c r="AC1777" s="38" t="n">
        <x:v>0</x:v>
      </x:c>
      <x:c r="AD1777" s="28" t="n">
        <x:v>0</x:v>
      </x:c>
    </x:row>
    <x:row r="1778">
      <x:c r="A1778" s="32" t="n">
        <x:v>46279</x:v>
      </x:c>
      <x:c r="B1778" s="32" t="n">
        <x:v>46266</x:v>
      </x:c>
      <x:c r="C1778" t="str">
        <x:v>Sep 2026</x:v>
      </x:c>
      <x:c r="D1778" t="str">
        <x:v>Forecast</x:v>
      </x:c>
      <x:c r="E1778" t="str">
        <x:v>DB-104</x:v>
      </x:c>
      <x:c r="F1778" t="str">
        <x:v>SunNest Cooling Towel</x:v>
      </x:c>
      <x:c r="G1778" t="str">
        <x:v>Consumable repeat</x:v>
      </x:c>
      <x:c r="H1778" t="str">
        <x:v>Summer peak</x:v>
      </x:c>
      <x:c r="I1778" t="str">
        <x:v>Discontinued</x:v>
      </x:c>
      <x:c r="J1778" t="str">
        <x:v>Amazon Marketplace</x:v>
      </x:c>
      <x:c r="K1778" t="str">
        <x:v>Marketplace Consumer</x:v>
      </x:c>
      <x:c r="L1778" t="str">
        <x:v>All Geographies</x:v>
      </x:c>
      <x:c r="M1778" s="34" t="n">
        <x:v>0</x:v>
      </x:c>
      <x:c r="N1778" s="28" t="n">
        <x:v>0.0390816</x:v>
      </x:c>
      <x:c r="O1778" s="34" t="n">
        <x:v>0</x:v>
      </x:c>
      <x:c r="P1778" s="34" t="n">
        <x:v>1</x:v>
      </x:c>
      <x:c r="Q1778" s="34" t="n">
        <x:v>0</x:v>
      </x:c>
      <x:c r="R1778" s="33" t="n">
        <x:v>42</x:v>
      </x:c>
      <x:c r="S1778" s="38" t="n">
        <x:v>0</x:v>
      </x:c>
      <x:c r="T1778" s="38" t="n">
        <x:v>0</x:v>
      </x:c>
      <x:c r="U1778" s="38" t="n">
        <x:v>0</x:v>
      </x:c>
      <x:c r="V1778" s="38" t="n">
        <x:v>0</x:v>
      </x:c>
      <x:c r="W1778" s="38" t="n">
        <x:v>0</x:v>
      </x:c>
      <x:c r="X1778" s="38" t="n">
        <x:v>0</x:v>
      </x:c>
      <x:c r="Y1778" s="38" t="n">
        <x:v>0</x:v>
      </x:c>
      <x:c r="Z1778" s="38" t="n">
        <x:v>0</x:v>
      </x:c>
      <x:c r="AA1778" s="38" t="n">
        <x:v>0</x:v>
      </x:c>
      <x:c r="AB1778" s="38" t="n">
        <x:v>0</x:v>
      </x:c>
      <x:c r="AC1778" s="38" t="n">
        <x:v>0</x:v>
      </x:c>
      <x:c r="AD1778" s="28" t="n">
        <x:v>0</x:v>
      </x:c>
    </x:row>
    <x:row r="1779">
      <x:c r="A1779" s="32" t="n">
        <x:v>46279</x:v>
      </x:c>
      <x:c r="B1779" s="32" t="n">
        <x:v>46266</x:v>
      </x:c>
      <x:c r="C1779" t="str">
        <x:v>Sep 2026</x:v>
      </x:c>
      <x:c r="D1779" t="str">
        <x:v>Forecast</x:v>
      </x:c>
      <x:c r="E1779" t="str">
        <x:v>DB-104</x:v>
      </x:c>
      <x:c r="F1779" t="str">
        <x:v>SunNest Cooling Towel</x:v>
      </x:c>
      <x:c r="G1779" t="str">
        <x:v>Consumable repeat</x:v>
      </x:c>
      <x:c r="H1779" t="str">
        <x:v>Summer peak</x:v>
      </x:c>
      <x:c r="I1779" t="str">
        <x:v>Discontinued</x:v>
      </x:c>
      <x:c r="J1779" t="str">
        <x:v>Wholesale</x:v>
      </x:c>
      <x:c r="K1779" t="str">
        <x:v>Retailer</x:v>
      </x:c>
      <x:c r="L1779" t="str">
        <x:v>All Geographies</x:v>
      </x:c>
      <x:c r="M1779" s="34" t="n">
        <x:v>0</x:v>
      </x:c>
      <x:c r="N1779" s="28" t="n">
        <x:v>0.018216000000000003</x:v>
      </x:c>
      <x:c r="O1779" s="34" t="n">
        <x:v>0</x:v>
      </x:c>
      <x:c r="P1779" s="34" t="n">
        <x:v>1</x:v>
      </x:c>
      <x:c r="Q1779" s="34" t="n">
        <x:v>0</x:v>
      </x:c>
      <x:c r="R1779" s="33" t="n">
        <x:v>42</x:v>
      </x:c>
      <x:c r="S1779" s="38" t="n">
        <x:v>0</x:v>
      </x:c>
      <x:c r="T1779" s="38" t="n">
        <x:v>0</x:v>
      </x:c>
      <x:c r="U1779" s="38" t="n">
        <x:v>0</x:v>
      </x:c>
      <x:c r="V1779" s="38" t="n">
        <x:v>0</x:v>
      </x:c>
      <x:c r="W1779" s="38" t="n">
        <x:v>0</x:v>
      </x:c>
      <x:c r="X1779" s="38" t="n">
        <x:v>0</x:v>
      </x:c>
      <x:c r="Y1779" s="38" t="n">
        <x:v>0</x:v>
      </x:c>
      <x:c r="Z1779" s="38" t="n">
        <x:v>0</x:v>
      </x:c>
      <x:c r="AA1779" s="38" t="n">
        <x:v>0</x:v>
      </x:c>
      <x:c r="AB1779" s="38" t="n">
        <x:v>0</x:v>
      </x:c>
      <x:c r="AC1779" s="38" t="n">
        <x:v>0</x:v>
      </x:c>
      <x:c r="AD1779" s="28" t="n">
        <x:v>0</x:v>
      </x:c>
    </x:row>
    <x:row r="1780">
      <x:c r="A1780" s="32" t="n">
        <x:v>46279</x:v>
      </x:c>
      <x:c r="B1780" s="32" t="n">
        <x:v>46266</x:v>
      </x:c>
      <x:c r="C1780" t="str">
        <x:v>Sep 2026</x:v>
      </x:c>
      <x:c r="D1780" t="str">
        <x:v>Forecast</x:v>
      </x:c>
      <x:c r="E1780" t="str">
        <x:v>DB-104</x:v>
      </x:c>
      <x:c r="F1780" t="str">
        <x:v>SunNest Cooling Towel</x:v>
      </x:c>
      <x:c r="G1780" t="str">
        <x:v>Consumable repeat</x:v>
      </x:c>
      <x:c r="H1780" t="str">
        <x:v>Summer peak</x:v>
      </x:c>
      <x:c r="I1780" t="str">
        <x:v>Discontinued</x:v>
      </x:c>
      <x:c r="J1780" t="str">
        <x:v>TikTok Shop</x:v>
      </x:c>
      <x:c r="K1780" t="str">
        <x:v>Social Commerce</x:v>
      </x:c>
      <x:c r="L1780" t="str">
        <x:v>All Geographies</x:v>
      </x:c>
      <x:c r="M1780" s="34" t="n">
        <x:v>0</x:v>
      </x:c>
      <x:c r="N1780" s="28" t="n">
        <x:v>0.0417312</x:v>
      </x:c>
      <x:c r="O1780" s="34" t="n">
        <x:v>0</x:v>
      </x:c>
      <x:c r="P1780" s="34" t="n">
        <x:v>1</x:v>
      </x:c>
      <x:c r="Q1780" s="34" t="n">
        <x:v>0</x:v>
      </x:c>
      <x:c r="R1780" s="33" t="n">
        <x:v>42</x:v>
      </x:c>
      <x:c r="S1780" s="38" t="n">
        <x:v>0</x:v>
      </x:c>
      <x:c r="T1780" s="38" t="n">
        <x:v>0</x:v>
      </x:c>
      <x:c r="U1780" s="38" t="n">
        <x:v>0</x:v>
      </x:c>
      <x:c r="V1780" s="38" t="n">
        <x:v>0</x:v>
      </x:c>
      <x:c r="W1780" s="38" t="n">
        <x:v>0</x:v>
      </x:c>
      <x:c r="X1780" s="38" t="n">
        <x:v>0</x:v>
      </x:c>
      <x:c r="Y1780" s="38" t="n">
        <x:v>0</x:v>
      </x:c>
      <x:c r="Z1780" s="38" t="n">
        <x:v>0</x:v>
      </x:c>
      <x:c r="AA1780" s="38" t="n">
        <x:v>0</x:v>
      </x:c>
      <x:c r="AB1780" s="38" t="n">
        <x:v>0</x:v>
      </x:c>
      <x:c r="AC1780" s="38" t="n">
        <x:v>0</x:v>
      </x:c>
      <x:c r="AD1780" s="28" t="n">
        <x:v>0</x:v>
      </x:c>
    </x:row>
    <x:row r="1781">
      <x:c r="A1781" s="32" t="n">
        <x:v>46279</x:v>
      </x:c>
      <x:c r="B1781" s="32" t="n">
        <x:v>46266</x:v>
      </x:c>
      <x:c r="C1781" t="str">
        <x:v>Sep 2026</x:v>
      </x:c>
      <x:c r="D1781" t="str">
        <x:v>Forecast</x:v>
      </x:c>
      <x:c r="E1781" t="str">
        <x:v>DB-105</x:v>
      </x:c>
      <x:c r="F1781" t="str">
        <x:v>DreamFuel Refill Pack</x:v>
      </x:c>
      <x:c r="G1781" t="str">
        <x:v>Subscription</x:v>
      </x:c>
      <x:c r="H1781" t="str">
        <x:v>None</x:v>
      </x:c>
      <x:c r="I1781" t="str">
        <x:v>Active</x:v>
      </x:c>
      <x:c r="J1781" t="str">
        <x:v>Shopify DTC</x:v>
      </x:c>
      <x:c r="K1781" t="str">
        <x:v>Consumer</x:v>
      </x:c>
      <x:c r="L1781" t="str">
        <x:v>All Geographies</x:v>
      </x:c>
      <x:c r="M1781" s="34" t="n">
        <x:v>5051</x:v>
      </x:c>
      <x:c r="N1781" s="28" t="n">
        <x:v>0.03888</x:v>
      </x:c>
      <x:c r="O1781" s="34" t="n">
        <x:v>196</x:v>
      </x:c>
      <x:c r="P1781" s="34" t="n">
        <x:v>1</x:v>
      </x:c>
      <x:c r="Q1781" s="34" t="n">
        <x:v>196</x:v>
      </x:c>
      <x:c r="R1781" s="33" t="n">
        <x:v>56</x:v>
      </x:c>
      <x:c r="S1781" s="38" t="n">
        <x:v>10.976</x:v>
      </x:c>
      <x:c r="T1781" s="38" t="n">
        <x:v>0.8780800000000001</x:v>
      </x:c>
      <x:c r="U1781" s="38" t="n">
        <x:v>0.2019584</x:v>
      </x:c>
      <x:c r="V1781" s="38" t="n">
        <x:v>9.8959616</x:v>
      </x:c>
      <x:c r="W1781" s="38" t="n">
        <x:v>3.64952</x:v>
      </x:c>
      <x:c r="X1781" s="38" t="n">
        <x:v>0.2869828864</x:v>
      </x:c>
      <x:c r="Y1781" s="38" t="n">
        <x:v>0</x:v>
      </x:c>
      <x:c r="Z1781" s="38" t="n">
        <x:v>0.8134000000000001</x:v>
      </x:c>
      <x:c r="AA1781" s="38" t="n">
        <x:v>0.32339999999999997</x:v>
      </x:c>
      <x:c r="AB1781" s="38" t="n">
        <x:v>0.0007055999999999999</x:v>
      </x:c>
      <x:c r="AC1781" s="38" t="n">
        <x:v>4.8219531136</x:v>
      </x:c>
      <x:c r="AD1781" s="28" t="n">
        <x:v>0.4872647357079478</x:v>
      </x:c>
    </x:row>
    <x:row r="1782">
      <x:c r="A1782" s="32" t="n">
        <x:v>46279</x:v>
      </x:c>
      <x:c r="B1782" s="32" t="n">
        <x:v>46266</x:v>
      </x:c>
      <x:c r="C1782" t="str">
        <x:v>Sep 2026</x:v>
      </x:c>
      <x:c r="D1782" t="str">
        <x:v>Forecast</x:v>
      </x:c>
      <x:c r="E1782" t="str">
        <x:v>DB-105</x:v>
      </x:c>
      <x:c r="F1782" t="str">
        <x:v>DreamFuel Refill Pack</x:v>
      </x:c>
      <x:c r="G1782" t="str">
        <x:v>Subscription</x:v>
      </x:c>
      <x:c r="H1782" t="str">
        <x:v>None</x:v>
      </x:c>
      <x:c r="I1782" t="str">
        <x:v>Active</x:v>
      </x:c>
      <x:c r="J1782" t="str">
        <x:v>Amazon Marketplace</x:v>
      </x:c>
      <x:c r="K1782" t="str">
        <x:v>Marketplace Consumer</x:v>
      </x:c>
      <x:c r="L1782" t="str">
        <x:v>All Geographies</x:v>
      </x:c>
      <x:c r="M1782" s="34" t="n">
        <x:v>2525</x:v>
      </x:c>
      <x:c r="N1782" s="28" t="n">
        <x:v>0.0458784</x:v>
      </x:c>
      <x:c r="O1782" s="34" t="n">
        <x:v>116</x:v>
      </x:c>
      <x:c r="P1782" s="34" t="n">
        <x:v>1</x:v>
      </x:c>
      <x:c r="Q1782" s="34" t="n">
        <x:v>116</x:v>
      </x:c>
      <x:c r="R1782" s="33" t="n">
        <x:v>56</x:v>
      </x:c>
      <x:c r="S1782" s="38" t="n">
        <x:v>6.496</x:v>
      </x:c>
      <x:c r="T1782" s="38" t="n">
        <x:v>0.32480000000000003</x:v>
      </x:c>
      <x:c r="U1782" s="38" t="n">
        <x:v>0.12342400000000002</x:v>
      </x:c>
      <x:c r="V1782" s="38" t="n">
        <x:v>6.047776000000001</x:v>
      </x:c>
      <x:c r="W1782" s="38" t="n">
        <x:v>2.15992</x:v>
      </x:c>
      <x:c r="X1782" s="38" t="n">
        <x:v>0</x:v>
      </x:c>
      <x:c r="Y1782" s="38" t="n">
        <x:v>0.9071664</x:v>
      </x:c>
      <x:c r="Z1782" s="38" t="n">
        <x:v>0.6032000000000001</x:v>
      </x:c>
      <x:c r="AA1782" s="38" t="n">
        <x:v>0.24939999999999998</x:v>
      </x:c>
      <x:c r="AB1782" s="38" t="n">
        <x:v>0.0004176</x:v>
      </x:c>
      <x:c r="AC1782" s="38" t="n">
        <x:v>2.1276720000000005</x:v>
      </x:c>
      <x:c r="AD1782" s="28" t="n">
        <x:v>0.35181064907165877</x:v>
      </x:c>
    </x:row>
    <x:row r="1783">
      <x:c r="A1783" s="32" t="n">
        <x:v>46279</x:v>
      </x:c>
      <x:c r="B1783" s="32" t="n">
        <x:v>46266</x:v>
      </x:c>
      <x:c r="C1783" t="str">
        <x:v>Sep 2026</x:v>
      </x:c>
      <x:c r="D1783" t="str">
        <x:v>Forecast</x:v>
      </x:c>
      <x:c r="E1783" t="str">
        <x:v>DB-105</x:v>
      </x:c>
      <x:c r="F1783" t="str">
        <x:v>DreamFuel Refill Pack</x:v>
      </x:c>
      <x:c r="G1783" t="str">
        <x:v>Subscription</x:v>
      </x:c>
      <x:c r="H1783" t="str">
        <x:v>None</x:v>
      </x:c>
      <x:c r="I1783" t="str">
        <x:v>Active</x:v>
      </x:c>
      <x:c r="J1783" t="str">
        <x:v>Wholesale</x:v>
      </x:c>
      <x:c r="K1783" t="str">
        <x:v>Retailer</x:v>
      </x:c>
      <x:c r="L1783" t="str">
        <x:v>All Geographies</x:v>
      </x:c>
      <x:c r="M1783" s="34" t="n">
        <x:v>1515</x:v>
      </x:c>
      <x:c r="N1783" s="28" t="n">
        <x:v>0.021384000000000004</x:v>
      </x:c>
      <x:c r="O1783" s="34" t="n">
        <x:v>32</x:v>
      </x:c>
      <x:c r="P1783" s="34" t="n">
        <x:v>1</x:v>
      </x:c>
      <x:c r="Q1783" s="34" t="n">
        <x:v>32</x:v>
      </x:c>
      <x:c r="R1783" s="33" t="n">
        <x:v>56</x:v>
      </x:c>
      <x:c r="S1783" s="38" t="n">
        <x:v>1.792</x:v>
      </x:c>
      <x:c r="T1783" s="38" t="n">
        <x:v>0.6272</x:v>
      </x:c>
      <x:c r="U1783" s="38" t="n">
        <x:v>0.023296</x:v>
      </x:c>
      <x:c r="V1783" s="38" t="n">
        <x:v>1.141504</x:v>
      </x:c>
      <x:c r="W1783" s="38" t="n">
        <x:v>0.59584</x:v>
      </x:c>
      <x:c r="X1783" s="38" t="n">
        <x:v>0</x:v>
      </x:c>
      <x:c r="Y1783" s="38" t="n">
        <x:v>0</x:v>
      </x:c>
      <x:c r="Z1783" s="38" t="n">
        <x:v>0.0736</x:v>
      </x:c>
      <x:c r="AA1783" s="38" t="n">
        <x:v>0.0272</x:v>
      </x:c>
      <x:c r="AB1783" s="38" t="n">
        <x:v>0.0001152</x:v>
      </x:c>
      <x:c r="AC1783" s="38" t="n">
        <x:v>0.44474880000000006</x:v>
      </x:c>
      <x:c r="AD1783" s="28" t="n">
        <x:v>0.3896165059430366</x:v>
      </x:c>
    </x:row>
    <x:row r="1784">
      <x:c r="A1784" s="32" t="n">
        <x:v>46279</x:v>
      </x:c>
      <x:c r="B1784" s="32" t="n">
        <x:v>46266</x:v>
      </x:c>
      <x:c r="C1784" t="str">
        <x:v>Sep 2026</x:v>
      </x:c>
      <x:c r="D1784" t="str">
        <x:v>Forecast</x:v>
      </x:c>
      <x:c r="E1784" t="str">
        <x:v>DB-105</x:v>
      </x:c>
      <x:c r="F1784" t="str">
        <x:v>DreamFuel Refill Pack</x:v>
      </x:c>
      <x:c r="G1784" t="str">
        <x:v>Subscription</x:v>
      </x:c>
      <x:c r="H1784" t="str">
        <x:v>None</x:v>
      </x:c>
      <x:c r="I1784" t="str">
        <x:v>Active</x:v>
      </x:c>
      <x:c r="J1784" t="str">
        <x:v>TikTok Shop</x:v>
      </x:c>
      <x:c r="K1784" t="str">
        <x:v>Social Commerce</x:v>
      </x:c>
      <x:c r="L1784" t="str">
        <x:v>All Geographies</x:v>
      </x:c>
      <x:c r="M1784" s="34" t="n">
        <x:v>1010</x:v>
      </x:c>
      <x:c r="N1784" s="28" t="n">
        <x:v>0.0489888</x:v>
      </x:c>
      <x:c r="O1784" s="34" t="n">
        <x:v>49</x:v>
      </x:c>
      <x:c r="P1784" s="34" t="n">
        <x:v>1</x:v>
      </x:c>
      <x:c r="Q1784" s="34" t="n">
        <x:v>49</x:v>
      </x:c>
      <x:c r="R1784" s="33" t="n">
        <x:v>56</x:v>
      </x:c>
      <x:c r="S1784" s="38" t="n">
        <x:v>2.744</x:v>
      </x:c>
      <x:c r="T1784" s="38" t="n">
        <x:v>0.32928</x:v>
      </x:c>
      <x:c r="U1784" s="38" t="n">
        <x:v>0.0482944</x:v>
      </x:c>
      <x:c r="V1784" s="38" t="n">
        <x:v>2.3664256</x:v>
      </x:c>
      <x:c r="W1784" s="38" t="n">
        <x:v>0.91238</x:v>
      </x:c>
      <x:c r="X1784" s="38" t="n">
        <x:v>0.0686263424</x:v>
      </x:c>
      <x:c r="Y1784" s="38" t="n">
        <x:v>0.141985536</x:v>
      </x:c>
      <x:c r="Z1784" s="38" t="n">
        <x:v>0.24989999999999998</x:v>
      </x:c>
      <x:c r="AA1784" s="38" t="n">
        <x:v>0.08575</x:v>
      </x:c>
      <x:c r="AB1784" s="38" t="n">
        <x:v>0.00017639999999999998</x:v>
      </x:c>
      <x:c r="AC1784" s="38" t="n">
        <x:v>0.9076073216</x:v>
      </x:c>
      <x:c r="AD1784" s="28" t="n">
        <x:v>0.3835351179432812</x:v>
      </x:c>
    </x:row>
    <x:row r="1785">
      <x:c r="A1785" s="32" t="n">
        <x:v>46286</x:v>
      </x:c>
      <x:c r="B1785" s="32" t="n">
        <x:v>46266</x:v>
      </x:c>
      <x:c r="C1785" t="str">
        <x:v>Sep 2026</x:v>
      </x:c>
      <x:c r="D1785" t="str">
        <x:v>Forecast</x:v>
      </x:c>
      <x:c r="E1785" t="str">
        <x:v>DB-101</x:v>
      </x:c>
      <x:c r="F1785" t="str">
        <x:v>AeroSip Bottle</x:v>
      </x:c>
      <x:c r="G1785" t="str">
        <x:v>One-time purchase</x:v>
      </x:c>
      <x:c r="H1785" t="str">
        <x:v>None</x:v>
      </x:c>
      <x:c r="I1785" t="str">
        <x:v>Active</x:v>
      </x:c>
      <x:c r="J1785" t="str">
        <x:v>Shopify DTC</x:v>
      </x:c>
      <x:c r="K1785" t="str">
        <x:v>Consumer</x:v>
      </x:c>
      <x:c r="L1785" t="str">
        <x:v>All Geographies</x:v>
      </x:c>
      <x:c r="M1785" s="34" t="n">
        <x:v>7296</x:v>
      </x:c>
      <x:c r="N1785" s="28" t="n">
        <x:v>0.034199999999999994</x:v>
      </x:c>
      <x:c r="O1785" s="34" t="n">
        <x:v>250</x:v>
      </x:c>
      <x:c r="P1785" s="34" t="n">
        <x:v>1</x:v>
      </x:c>
      <x:c r="Q1785" s="34" t="n">
        <x:v>250</x:v>
      </x:c>
      <x:c r="R1785" s="33" t="n">
        <x:v>29</x:v>
      </x:c>
      <x:c r="S1785" s="38" t="n">
        <x:v>7.25</x:v>
      </x:c>
      <x:c r="T1785" s="38" t="n">
        <x:v>0.58</x:v>
      </x:c>
      <x:c r="U1785" s="38" t="n">
        <x:v>0.30015</x:v>
      </x:c>
      <x:c r="V1785" s="38" t="n">
        <x:v>6.36985</x:v>
      </x:c>
      <x:c r="W1785" s="38" t="n">
        <x:v>2.7</x:v>
      </x:c>
      <x:c r="X1785" s="38" t="n">
        <x:v>0.18472565</x:v>
      </x:c>
      <x:c r="Y1785" s="38" t="n">
        <x:v>0</x:v>
      </x:c>
      <x:c r="Z1785" s="38" t="n">
        <x:v>1.0375</x:v>
      </x:c>
      <x:c r="AA1785" s="38" t="n">
        <x:v>0.4125</x:v>
      </x:c>
      <x:c r="AB1785" s="38" t="n">
        <x:v>0.009</x:v>
      </x:c>
      <x:c r="AC1785" s="38" t="n">
        <x:v>2.0261243499999995</x:v>
      </x:c>
      <x:c r="AD1785" s="28" t="n">
        <x:v>0.31808038650831644</x:v>
      </x:c>
    </x:row>
    <x:row r="1786">
      <x:c r="A1786" s="32" t="n">
        <x:v>46286</x:v>
      </x:c>
      <x:c r="B1786" s="32" t="n">
        <x:v>46266</x:v>
      </x:c>
      <x:c r="C1786" t="str">
        <x:v>Sep 2026</x:v>
      </x:c>
      <x:c r="D1786" t="str">
        <x:v>Forecast</x:v>
      </x:c>
      <x:c r="E1786" t="str">
        <x:v>DB-101</x:v>
      </x:c>
      <x:c r="F1786" t="str">
        <x:v>AeroSip Bottle</x:v>
      </x:c>
      <x:c r="G1786" t="str">
        <x:v>One-time purchase</x:v>
      </x:c>
      <x:c r="H1786" t="str">
        <x:v>None</x:v>
      </x:c>
      <x:c r="I1786" t="str">
        <x:v>Active</x:v>
      </x:c>
      <x:c r="J1786" t="str">
        <x:v>Amazon Marketplace</x:v>
      </x:c>
      <x:c r="K1786" t="str">
        <x:v>Marketplace Consumer</x:v>
      </x:c>
      <x:c r="L1786" t="str">
        <x:v>All Geographies</x:v>
      </x:c>
      <x:c r="M1786" s="34" t="n">
        <x:v>3648</x:v>
      </x:c>
      <x:c r="N1786" s="28" t="n">
        <x:v>0.040355999999999996</x:v>
      </x:c>
      <x:c r="O1786" s="34" t="n">
        <x:v>147</x:v>
      </x:c>
      <x:c r="P1786" s="34" t="n">
        <x:v>1</x:v>
      </x:c>
      <x:c r="Q1786" s="34" t="n">
        <x:v>147</x:v>
      </x:c>
      <x:c r="R1786" s="33" t="n">
        <x:v>29</x:v>
      </x:c>
      <x:c r="S1786" s="38" t="n">
        <x:v>4.263</x:v>
      </x:c>
      <x:c r="T1786" s="38" t="n">
        <x:v>0.21315</x:v>
      </x:c>
      <x:c r="U1786" s="38" t="n">
        <x:v>0.18224325</x:v>
      </x:c>
      <x:c r="V1786" s="38" t="n">
        <x:v>3.86760675</x:v>
      </x:c>
      <x:c r="W1786" s="38" t="n">
        <x:v>1.5876000000000001</x:v>
      </x:c>
      <x:c r="X1786" s="38" t="n">
        <x:v>0</x:v>
      </x:c>
      <x:c r="Y1786" s="38" t="n">
        <x:v>0.5801410125</x:v>
      </x:c>
      <x:c r="Z1786" s="38" t="n">
        <x:v>0.7644</x:v>
      </x:c>
      <x:c r="AA1786" s="38" t="n">
        <x:v>0.31605</x:v>
      </x:c>
      <x:c r="AB1786" s="38" t="n">
        <x:v>0.005292</x:v>
      </x:c>
      <x:c r="AC1786" s="38" t="n">
        <x:v>0.6141237375000003</x:v>
      </x:c>
      <x:c r="AD1786" s="28" t="n">
        <x:v>0.15878649955815705</x:v>
      </x:c>
    </x:row>
    <x:row r="1787">
      <x:c r="A1787" s="32" t="n">
        <x:v>46286</x:v>
      </x:c>
      <x:c r="B1787" s="32" t="n">
        <x:v>46266</x:v>
      </x:c>
      <x:c r="C1787" t="str">
        <x:v>Sep 2026</x:v>
      </x:c>
      <x:c r="D1787" t="str">
        <x:v>Forecast</x:v>
      </x:c>
      <x:c r="E1787" t="str">
        <x:v>DB-101</x:v>
      </x:c>
      <x:c r="F1787" t="str">
        <x:v>AeroSip Bottle</x:v>
      </x:c>
      <x:c r="G1787" t="str">
        <x:v>One-time purchase</x:v>
      </x:c>
      <x:c r="H1787" t="str">
        <x:v>None</x:v>
      </x:c>
      <x:c r="I1787" t="str">
        <x:v>Active</x:v>
      </x:c>
      <x:c r="J1787" t="str">
        <x:v>Wholesale</x:v>
      </x:c>
      <x:c r="K1787" t="str">
        <x:v>Retailer</x:v>
      </x:c>
      <x:c r="L1787" t="str">
        <x:v>All Geographies</x:v>
      </x:c>
      <x:c r="M1787" s="34" t="n">
        <x:v>2189</x:v>
      </x:c>
      <x:c r="N1787" s="28" t="n">
        <x:v>0.01881</x:v>
      </x:c>
      <x:c r="O1787" s="34" t="n">
        <x:v>41</x:v>
      </x:c>
      <x:c r="P1787" s="34" t="n">
        <x:v>1</x:v>
      </x:c>
      <x:c r="Q1787" s="34" t="n">
        <x:v>41</x:v>
      </x:c>
      <x:c r="R1787" s="33" t="n">
        <x:v>29</x:v>
      </x:c>
      <x:c r="S1787" s="38" t="n">
        <x:v>1.189</x:v>
      </x:c>
      <x:c r="T1787" s="38" t="n">
        <x:v>0.41615</x:v>
      </x:c>
      <x:c r="U1787" s="38" t="n">
        <x:v>0.034778250000000004</x:v>
      </x:c>
      <x:c r="V1787" s="38" t="n">
        <x:v>0.73807175</x:v>
      </x:c>
      <x:c r="W1787" s="38" t="n">
        <x:v>0.4428</x:v>
      </x:c>
      <x:c r="X1787" s="38" t="n">
        <x:v>0</x:v>
      </x:c>
      <x:c r="Y1787" s="38" t="n">
        <x:v>0</x:v>
      </x:c>
      <x:c r="Z1787" s="38" t="n">
        <x:v>0.0943</x:v>
      </x:c>
      <x:c r="AA1787" s="38" t="n">
        <x:v>0.03485</x:v>
      </x:c>
      <x:c r="AB1787" s="38" t="n">
        <x:v>0.0014759999999999999</x:v>
      </x:c>
      <x:c r="AC1787" s="38" t="n">
        <x:v>0.16464575</x:v>
      </x:c>
      <x:c r="AD1787" s="28" t="n">
        <x:v>0.22307553432305194</x:v>
      </x:c>
    </x:row>
    <x:row r="1788">
      <x:c r="A1788" s="32" t="n">
        <x:v>46286</x:v>
      </x:c>
      <x:c r="B1788" s="32" t="n">
        <x:v>46266</x:v>
      </x:c>
      <x:c r="C1788" t="str">
        <x:v>Sep 2026</x:v>
      </x:c>
      <x:c r="D1788" t="str">
        <x:v>Forecast</x:v>
      </x:c>
      <x:c r="E1788" t="str">
        <x:v>DB-101</x:v>
      </x:c>
      <x:c r="F1788" t="str">
        <x:v>AeroSip Bottle</x:v>
      </x:c>
      <x:c r="G1788" t="str">
        <x:v>One-time purchase</x:v>
      </x:c>
      <x:c r="H1788" t="str">
        <x:v>None</x:v>
      </x:c>
      <x:c r="I1788" t="str">
        <x:v>Active</x:v>
      </x:c>
      <x:c r="J1788" t="str">
        <x:v>TikTok Shop</x:v>
      </x:c>
      <x:c r="K1788" t="str">
        <x:v>Social Commerce</x:v>
      </x:c>
      <x:c r="L1788" t="str">
        <x:v>All Geographies</x:v>
      </x:c>
      <x:c r="M1788" s="34" t="n">
        <x:v>1459</x:v>
      </x:c>
      <x:c r="N1788" s="28" t="n">
        <x:v>0.043092</x:v>
      </x:c>
      <x:c r="O1788" s="34" t="n">
        <x:v>63</x:v>
      </x:c>
      <x:c r="P1788" s="34" t="n">
        <x:v>1</x:v>
      </x:c>
      <x:c r="Q1788" s="34" t="n">
        <x:v>63</x:v>
      </x:c>
      <x:c r="R1788" s="33" t="n">
        <x:v>29</x:v>
      </x:c>
      <x:c r="S1788" s="38" t="n">
        <x:v>1.827</x:v>
      </x:c>
      <x:c r="T1788" s="38" t="n">
        <x:v>0.21924</x:v>
      </x:c>
      <x:c r="U1788" s="38" t="n">
        <x:v>0.07234919999999999</x:v>
      </x:c>
      <x:c r="V1788" s="38" t="n">
        <x:v>1.5354108</x:v>
      </x:c>
      <x:c r="W1788" s="38" t="n">
        <x:v>0.6804000000000001</x:v>
      </x:c>
      <x:c r="X1788" s="38" t="n">
        <x:v>0.044526913200000004</x:v>
      </x:c>
      <x:c r="Y1788" s="38" t="n">
        <x:v>0.09212464799999999</x:v>
      </x:c>
      <x:c r="Z1788" s="38" t="n">
        <x:v>0.3213</x:v>
      </x:c>
      <x:c r="AA1788" s="38" t="n">
        <x:v>0.11025</x:v>
      </x:c>
      <x:c r="AB1788" s="38" t="n">
        <x:v>0.0022679999999999996</x:v>
      </x:c>
      <x:c r="AC1788" s="38" t="n">
        <x:v>0.2845412387999999</x:v>
      </x:c>
      <x:c r="AD1788" s="28" t="n">
        <x:v>0.18531928966501987</x:v>
      </x:c>
    </x:row>
    <x:row r="1789">
      <x:c r="A1789" s="32" t="n">
        <x:v>46286</x:v>
      </x:c>
      <x:c r="B1789" s="32" t="n">
        <x:v>46266</x:v>
      </x:c>
      <x:c r="C1789" t="str">
        <x:v>Sep 2026</x:v>
      </x:c>
      <x:c r="D1789" t="str">
        <x:v>Forecast</x:v>
      </x:c>
      <x:c r="E1789" t="str">
        <x:v>DB-102</x:v>
      </x:c>
      <x:c r="F1789" t="str">
        <x:v>GlowPatch Balm</x:v>
      </x:c>
      <x:c r="G1789" t="str">
        <x:v>Consumable repeat</x:v>
      </x:c>
      <x:c r="H1789" t="str">
        <x:v>None</x:v>
      </x:c>
      <x:c r="I1789" t="str">
        <x:v>Active</x:v>
      </x:c>
      <x:c r="J1789" t="str">
        <x:v>Shopify DTC</x:v>
      </x:c>
      <x:c r="K1789" t="str">
        <x:v>Consumer</x:v>
      </x:c>
      <x:c r="L1789" t="str">
        <x:v>All Geographies</x:v>
      </x:c>
      <x:c r="M1789" s="34" t="n">
        <x:v>5893</x:v>
      </x:c>
      <x:c r="N1789" s="28" t="n">
        <x:v>0.04248</x:v>
      </x:c>
      <x:c r="O1789" s="34" t="n">
        <x:v>250</x:v>
      </x:c>
      <x:c r="P1789" s="34" t="n">
        <x:v>1</x:v>
      </x:c>
      <x:c r="Q1789" s="34" t="n">
        <x:v>250</x:v>
      </x:c>
      <x:c r="R1789" s="33" t="n">
        <x:v>18</x:v>
      </x:c>
      <x:c r="S1789" s="38" t="n">
        <x:v>4.5</x:v>
      </x:c>
      <x:c r="T1789" s="38" t="n">
        <x:v>0.36</x:v>
      </x:c>
      <x:c r="U1789" s="38" t="n">
        <x:v>0.1035</x:v>
      </x:c>
      <x:c r="V1789" s="38" t="n">
        <x:v>4.036499999999999</x:v>
      </x:c>
      <x:c r="W1789" s="38" t="n">
        <x:v>1.3525</x:v>
      </x:c>
      <x:c r="X1789" s="38" t="n">
        <x:v>0.11705849999999998</x:v>
      </x:c>
      <x:c r="Y1789" s="38" t="n">
        <x:v>0</x:v>
      </x:c>
      <x:c r="Z1789" s="38" t="n">
        <x:v>1.0375</x:v>
      </x:c>
      <x:c r="AA1789" s="38" t="n">
        <x:v>0.4125</x:v>
      </x:c>
      <x:c r="AB1789" s="38" t="n">
        <x:v>0.0015</x:v>
      </x:c>
      <x:c r="AC1789" s="38" t="n">
        <x:v>1.1154414999999989</x:v>
      </x:c>
      <x:c r="AD1789" s="28" t="n">
        <x:v>0.2763387835996529</x:v>
      </x:c>
    </x:row>
    <x:row r="1790">
      <x:c r="A1790" s="32" t="n">
        <x:v>46286</x:v>
      </x:c>
      <x:c r="B1790" s="32" t="n">
        <x:v>46266</x:v>
      </x:c>
      <x:c r="C1790" t="str">
        <x:v>Sep 2026</x:v>
      </x:c>
      <x:c r="D1790" t="str">
        <x:v>Forecast</x:v>
      </x:c>
      <x:c r="E1790" t="str">
        <x:v>DB-102</x:v>
      </x:c>
      <x:c r="F1790" t="str">
        <x:v>GlowPatch Balm</x:v>
      </x:c>
      <x:c r="G1790" t="str">
        <x:v>Consumable repeat</x:v>
      </x:c>
      <x:c r="H1790" t="str">
        <x:v>None</x:v>
      </x:c>
      <x:c r="I1790" t="str">
        <x:v>Active</x:v>
      </x:c>
      <x:c r="J1790" t="str">
        <x:v>Amazon Marketplace</x:v>
      </x:c>
      <x:c r="K1790" t="str">
        <x:v>Marketplace Consumer</x:v>
      </x:c>
      <x:c r="L1790" t="str">
        <x:v>All Geographies</x:v>
      </x:c>
      <x:c r="M1790" s="34" t="n">
        <x:v>2946</x:v>
      </x:c>
      <x:c r="N1790" s="28" t="n">
        <x:v>0.050126399999999995</x:v>
      </x:c>
      <x:c r="O1790" s="34" t="n">
        <x:v>148</x:v>
      </x:c>
      <x:c r="P1790" s="34" t="n">
        <x:v>1</x:v>
      </x:c>
      <x:c r="Q1790" s="34" t="n">
        <x:v>148</x:v>
      </x:c>
      <x:c r="R1790" s="33" t="n">
        <x:v>18</x:v>
      </x:c>
      <x:c r="S1790" s="38" t="n">
        <x:v>2.664</x:v>
      </x:c>
      <x:c r="T1790" s="38" t="n">
        <x:v>0.1332</x:v>
      </x:c>
      <x:c r="U1790" s="38" t="n">
        <x:v>0.06327</x:v>
      </x:c>
      <x:c r="V1790" s="38" t="n">
        <x:v>2.46753</x:v>
      </x:c>
      <x:c r="W1790" s="38" t="n">
        <x:v>0.8006800000000001</x:v>
      </x:c>
      <x:c r="X1790" s="38" t="n">
        <x:v>0</x:v>
      </x:c>
      <x:c r="Y1790" s="38" t="n">
        <x:v>0.3701295</x:v>
      </x:c>
      <x:c r="Z1790" s="38" t="n">
        <x:v>0.7696000000000001</x:v>
      </x:c>
      <x:c r="AA1790" s="38" t="n">
        <x:v>0.3182</x:v>
      </x:c>
      <x:c r="AB1790" s="38" t="n">
        <x:v>0.0008879999999999999</x:v>
      </x:c>
      <x:c r="AC1790" s="38" t="n">
        <x:v>0.2080324999999999</x:v>
      </x:c>
      <x:c r="AD1790" s="28" t="n">
        <x:v>0.084307992202729</x:v>
      </x:c>
    </x:row>
    <x:row r="1791">
      <x:c r="A1791" s="32" t="n">
        <x:v>46286</x:v>
      </x:c>
      <x:c r="B1791" s="32" t="n">
        <x:v>46266</x:v>
      </x:c>
      <x:c r="C1791" t="str">
        <x:v>Sep 2026</x:v>
      </x:c>
      <x:c r="D1791" t="str">
        <x:v>Forecast</x:v>
      </x:c>
      <x:c r="E1791" t="str">
        <x:v>DB-102</x:v>
      </x:c>
      <x:c r="F1791" t="str">
        <x:v>GlowPatch Balm</x:v>
      </x:c>
      <x:c r="G1791" t="str">
        <x:v>Consumable repeat</x:v>
      </x:c>
      <x:c r="H1791" t="str">
        <x:v>None</x:v>
      </x:c>
      <x:c r="I1791" t="str">
        <x:v>Active</x:v>
      </x:c>
      <x:c r="J1791" t="str">
        <x:v>Wholesale</x:v>
      </x:c>
      <x:c r="K1791" t="str">
        <x:v>Retailer</x:v>
      </x:c>
      <x:c r="L1791" t="str">
        <x:v>All Geographies</x:v>
      </x:c>
      <x:c r="M1791" s="34" t="n">
        <x:v>1768</x:v>
      </x:c>
      <x:c r="N1791" s="28" t="n">
        <x:v>0.023364</x:v>
      </x:c>
      <x:c r="O1791" s="34" t="n">
        <x:v>41</x:v>
      </x:c>
      <x:c r="P1791" s="34" t="n">
        <x:v>1</x:v>
      </x:c>
      <x:c r="Q1791" s="34" t="n">
        <x:v>41</x:v>
      </x:c>
      <x:c r="R1791" s="33" t="n">
        <x:v>18</x:v>
      </x:c>
      <x:c r="S1791" s="38" t="n">
        <x:v>0.738</x:v>
      </x:c>
      <x:c r="T1791" s="38" t="n">
        <x:v>0.2583</x:v>
      </x:c>
      <x:c r="U1791" s="38" t="n">
        <x:v>0.011992500000000001</x:v>
      </x:c>
      <x:c r="V1791" s="38" t="n">
        <x:v>0.4677075</x:v>
      </x:c>
      <x:c r="W1791" s="38" t="n">
        <x:v>0.22181</x:v>
      </x:c>
      <x:c r="X1791" s="38" t="n">
        <x:v>0</x:v>
      </x:c>
      <x:c r="Y1791" s="38" t="n">
        <x:v>0</x:v>
      </x:c>
      <x:c r="Z1791" s="38" t="n">
        <x:v>0.0943</x:v>
      </x:c>
      <x:c r="AA1791" s="38" t="n">
        <x:v>0.03485</x:v>
      </x:c>
      <x:c r="AB1791" s="38" t="n">
        <x:v>0.000246</x:v>
      </x:c>
      <x:c r="AC1791" s="38" t="n">
        <x:v>0.11650150000000001</x:v>
      </x:c>
      <x:c r="AD1791" s="28" t="n">
        <x:v>0.2490905106289722</x:v>
      </x:c>
    </x:row>
    <x:row r="1792">
      <x:c r="A1792" s="32" t="n">
        <x:v>46286</x:v>
      </x:c>
      <x:c r="B1792" s="32" t="n">
        <x:v>46266</x:v>
      </x:c>
      <x:c r="C1792" t="str">
        <x:v>Sep 2026</x:v>
      </x:c>
      <x:c r="D1792" t="str">
        <x:v>Forecast</x:v>
      </x:c>
      <x:c r="E1792" t="str">
        <x:v>DB-102</x:v>
      </x:c>
      <x:c r="F1792" t="str">
        <x:v>GlowPatch Balm</x:v>
      </x:c>
      <x:c r="G1792" t="str">
        <x:v>Consumable repeat</x:v>
      </x:c>
      <x:c r="H1792" t="str">
        <x:v>None</x:v>
      </x:c>
      <x:c r="I1792" t="str">
        <x:v>Active</x:v>
      </x:c>
      <x:c r="J1792" t="str">
        <x:v>TikTok Shop</x:v>
      </x:c>
      <x:c r="K1792" t="str">
        <x:v>Social Commerce</x:v>
      </x:c>
      <x:c r="L1792" t="str">
        <x:v>All Geographies</x:v>
      </x:c>
      <x:c r="M1792" s="34" t="n">
        <x:v>1179</x:v>
      </x:c>
      <x:c r="N1792" s="28" t="n">
        <x:v>0.0535248</x:v>
      </x:c>
      <x:c r="O1792" s="34" t="n">
        <x:v>63</x:v>
      </x:c>
      <x:c r="P1792" s="34" t="n">
        <x:v>1</x:v>
      </x:c>
      <x:c r="Q1792" s="34" t="n">
        <x:v>63</x:v>
      </x:c>
      <x:c r="R1792" s="33" t="n">
        <x:v>18</x:v>
      </x:c>
      <x:c r="S1792" s="38" t="n">
        <x:v>1.134</x:v>
      </x:c>
      <x:c r="T1792" s="38" t="n">
        <x:v>0.13607999999999998</x:v>
      </x:c>
      <x:c r="U1792" s="38" t="n">
        <x:v>0.024947999999999998</x:v>
      </x:c>
      <x:c r="V1792" s="38" t="n">
        <x:v>0.972972</x:v>
      </x:c>
      <x:c r="W1792" s="38" t="n">
        <x:v>0.34082999999999997</x:v>
      </x:c>
      <x:c r="X1792" s="38" t="n">
        <x:v>0.028216188</x:v>
      </x:c>
      <x:c r="Y1792" s="38" t="n">
        <x:v>0.05837832</x:v>
      </x:c>
      <x:c r="Z1792" s="38" t="n">
        <x:v>0.3213</x:v>
      </x:c>
      <x:c r="AA1792" s="38" t="n">
        <x:v>0.11025</x:v>
      </x:c>
      <x:c r="AB1792" s="38" t="n">
        <x:v>0.000378</x:v>
      </x:c>
      <x:c r="AC1792" s="38" t="n">
        <x:v>0.11361949199999999</x:v>
      </x:c>
      <x:c r="AD1792" s="28" t="n">
        <x:v>0.11677570577570577</x:v>
      </x:c>
    </x:row>
    <x:row r="1793">
      <x:c r="A1793" s="32" t="n">
        <x:v>46286</x:v>
      </x:c>
      <x:c r="B1793" s="32" t="n">
        <x:v>46266</x:v>
      </x:c>
      <x:c r="C1793" t="str">
        <x:v>Sep 2026</x:v>
      </x:c>
      <x:c r="D1793" t="str">
        <x:v>Forecast</x:v>
      </x:c>
      <x:c r="E1793" t="str">
        <x:v>DB-103</x:v>
      </x:c>
      <x:c r="F1793" t="str">
        <x:v>EmberTrail Camp Mug</x:v>
      </x:c>
      <x:c r="G1793" t="str">
        <x:v>One-time purchase</x:v>
      </x:c>
      <x:c r="H1793" t="str">
        <x:v>Winter peak</x:v>
      </x:c>
      <x:c r="I1793" t="str">
        <x:v>Active</x:v>
      </x:c>
      <x:c r="J1793" t="str">
        <x:v>Shopify DTC</x:v>
      </x:c>
      <x:c r="K1793" t="str">
        <x:v>Consumer</x:v>
      </x:c>
      <x:c r="L1793" t="str">
        <x:v>All Geographies</x:v>
      </x:c>
      <x:c r="M1793" s="34" t="n">
        <x:v>4950</x:v>
      </x:c>
      <x:c r="N1793" s="28" t="n">
        <x:v>0.0324</x:v>
      </x:c>
      <x:c r="O1793" s="34" t="n">
        <x:v>160</x:v>
      </x:c>
      <x:c r="P1793" s="34" t="n">
        <x:v>1</x:v>
      </x:c>
      <x:c r="Q1793" s="34" t="n">
        <x:v>160</x:v>
      </x:c>
      <x:c r="R1793" s="33" t="n">
        <x:v>34</x:v>
      </x:c>
      <x:c r="S1793" s="38" t="n">
        <x:v>5.44</x:v>
      </x:c>
      <x:c r="T1793" s="38" t="n">
        <x:v>0.43520000000000003</x:v>
      </x:c>
      <x:c r="U1793" s="38" t="n">
        <x:v>0.275264</x:v>
      </x:c>
      <x:c r="V1793" s="38" t="n">
        <x:v>4.729536</x:v>
      </x:c>
      <x:c r="W1793" s="38" t="n">
        <x:v>2.1872</x:v>
      </x:c>
      <x:c r="X1793" s="38" t="n">
        <x:v>0.13715654400000002</x:v>
      </x:c>
      <x:c r="Y1793" s="38" t="n">
        <x:v>0</x:v>
      </x:c>
      <x:c r="Z1793" s="38" t="n">
        <x:v>0.664</x:v>
      </x:c>
      <x:c r="AA1793" s="38" t="n">
        <x:v>0.264</x:v>
      </x:c>
      <x:c r="AB1793" s="38" t="n">
        <x:v>0.008960000000000001</x:v>
      </x:c>
      <x:c r="AC1793" s="38" t="n">
        <x:v>1.4682194560000001</x:v>
      </x:c>
      <x:c r="AD1793" s="28" t="n">
        <x:v>0.31043625759482535</x:v>
      </x:c>
    </x:row>
    <x:row r="1794">
      <x:c r="A1794" s="32" t="n">
        <x:v>46286</x:v>
      </x:c>
      <x:c r="B1794" s="32" t="n">
        <x:v>46266</x:v>
      </x:c>
      <x:c r="C1794" t="str">
        <x:v>Sep 2026</x:v>
      </x:c>
      <x:c r="D1794" t="str">
        <x:v>Forecast</x:v>
      </x:c>
      <x:c r="E1794" t="str">
        <x:v>DB-103</x:v>
      </x:c>
      <x:c r="F1794" t="str">
        <x:v>EmberTrail Camp Mug</x:v>
      </x:c>
      <x:c r="G1794" t="str">
        <x:v>One-time purchase</x:v>
      </x:c>
      <x:c r="H1794" t="str">
        <x:v>Winter peak</x:v>
      </x:c>
      <x:c r="I1794" t="str">
        <x:v>Active</x:v>
      </x:c>
      <x:c r="J1794" t="str">
        <x:v>Amazon Marketplace</x:v>
      </x:c>
      <x:c r="K1794" t="str">
        <x:v>Marketplace Consumer</x:v>
      </x:c>
      <x:c r="L1794" t="str">
        <x:v>All Geographies</x:v>
      </x:c>
      <x:c r="M1794" s="34" t="n">
        <x:v>2475</x:v>
      </x:c>
      <x:c r="N1794" s="28" t="n">
        <x:v>0.038231999999999995</x:v>
      </x:c>
      <x:c r="O1794" s="34" t="n">
        <x:v>95</x:v>
      </x:c>
      <x:c r="P1794" s="34" t="n">
        <x:v>1</x:v>
      </x:c>
      <x:c r="Q1794" s="34" t="n">
        <x:v>95</x:v>
      </x:c>
      <x:c r="R1794" s="33" t="n">
        <x:v>34</x:v>
      </x:c>
      <x:c r="S1794" s="38" t="n">
        <x:v>3.23</x:v>
      </x:c>
      <x:c r="T1794" s="38" t="n">
        <x:v>0.1615</x:v>
      </x:c>
      <x:c r="U1794" s="38" t="n">
        <x:v>0.1687675</x:v>
      </x:c>
      <x:c r="V1794" s="38" t="n">
        <x:v>2.8997325</x:v>
      </x:c>
      <x:c r="W1794" s="38" t="n">
        <x:v>1.29865</x:v>
      </x:c>
      <x:c r="X1794" s="38" t="n">
        <x:v>0</x:v>
      </x:c>
      <x:c r="Y1794" s="38" t="n">
        <x:v>0.43495987499999994</x:v>
      </x:c>
      <x:c r="Z1794" s="38" t="n">
        <x:v>0.494</x:v>
      </x:c>
      <x:c r="AA1794" s="38" t="n">
        <x:v>0.20425</x:v>
      </x:c>
      <x:c r="AB1794" s="38" t="n">
        <x:v>0.00532</x:v>
      </x:c>
      <x:c r="AC1794" s="38" t="n">
        <x:v>0.4625526249999999</x:v>
      </x:c>
      <x:c r="AD1794" s="28" t="n">
        <x:v>0.1595156191131423</x:v>
      </x:c>
    </x:row>
    <x:row r="1795">
      <x:c r="A1795" s="32" t="n">
        <x:v>46286</x:v>
      </x:c>
      <x:c r="B1795" s="32" t="n">
        <x:v>46266</x:v>
      </x:c>
      <x:c r="C1795" t="str">
        <x:v>Sep 2026</x:v>
      </x:c>
      <x:c r="D1795" t="str">
        <x:v>Forecast</x:v>
      </x:c>
      <x:c r="E1795" t="str">
        <x:v>DB-103</x:v>
      </x:c>
      <x:c r="F1795" t="str">
        <x:v>EmberTrail Camp Mug</x:v>
      </x:c>
      <x:c r="G1795" t="str">
        <x:v>One-time purchase</x:v>
      </x:c>
      <x:c r="H1795" t="str">
        <x:v>Winter peak</x:v>
      </x:c>
      <x:c r="I1795" t="str">
        <x:v>Active</x:v>
      </x:c>
      <x:c r="J1795" t="str">
        <x:v>Wholesale</x:v>
      </x:c>
      <x:c r="K1795" t="str">
        <x:v>Retailer</x:v>
      </x:c>
      <x:c r="L1795" t="str">
        <x:v>All Geographies</x:v>
      </x:c>
      <x:c r="M1795" s="34" t="n">
        <x:v>1485</x:v>
      </x:c>
      <x:c r="N1795" s="28" t="n">
        <x:v>0.017820000000000003</x:v>
      </x:c>
      <x:c r="O1795" s="34" t="n">
        <x:v>26</x:v>
      </x:c>
      <x:c r="P1795" s="34" t="n">
        <x:v>1</x:v>
      </x:c>
      <x:c r="Q1795" s="34" t="n">
        <x:v>26</x:v>
      </x:c>
      <x:c r="R1795" s="33" t="n">
        <x:v>34</x:v>
      </x:c>
      <x:c r="S1795" s="38" t="n">
        <x:v>0.884</x:v>
      </x:c>
      <x:c r="T1795" s="38" t="n">
        <x:v>0.3094</x:v>
      </x:c>
      <x:c r="U1795" s="38" t="n">
        <x:v>0.031603</x:v>
      </x:c>
      <x:c r="V1795" s="38" t="n">
        <x:v>0.542997</x:v>
      </x:c>
      <x:c r="W1795" s="38" t="n">
        <x:v>0.35542</x:v>
      </x:c>
      <x:c r="X1795" s="38" t="n">
        <x:v>0</x:v>
      </x:c>
      <x:c r="Y1795" s="38" t="n">
        <x:v>0</x:v>
      </x:c>
      <x:c r="Z1795" s="38" t="n">
        <x:v>0.0598</x:v>
      </x:c>
      <x:c r="AA1795" s="38" t="n">
        <x:v>0.022099999999999998</x:v>
      </x:c>
      <x:c r="AB1795" s="38" t="n">
        <x:v>0.0014560000000000003</x:v>
      </x:c>
      <x:c r="AC1795" s="38" t="n">
        <x:v>0.10422099999999995</x:v>
      </x:c>
      <x:c r="AD1795" s="28" t="n">
        <x:v>0.19193660370130952</x:v>
      </x:c>
    </x:row>
    <x:row r="1796">
      <x:c r="A1796" s="32" t="n">
        <x:v>46286</x:v>
      </x:c>
      <x:c r="B1796" s="32" t="n">
        <x:v>46266</x:v>
      </x:c>
      <x:c r="C1796" t="str">
        <x:v>Sep 2026</x:v>
      </x:c>
      <x:c r="D1796" t="str">
        <x:v>Forecast</x:v>
      </x:c>
      <x:c r="E1796" t="str">
        <x:v>DB-103</x:v>
      </x:c>
      <x:c r="F1796" t="str">
        <x:v>EmberTrail Camp Mug</x:v>
      </x:c>
      <x:c r="G1796" t="str">
        <x:v>One-time purchase</x:v>
      </x:c>
      <x:c r="H1796" t="str">
        <x:v>Winter peak</x:v>
      </x:c>
      <x:c r="I1796" t="str">
        <x:v>Active</x:v>
      </x:c>
      <x:c r="J1796" t="str">
        <x:v>TikTok Shop</x:v>
      </x:c>
      <x:c r="K1796" t="str">
        <x:v>Social Commerce</x:v>
      </x:c>
      <x:c r="L1796" t="str">
        <x:v>All Geographies</x:v>
      </x:c>
      <x:c r="M1796" s="34" t="n">
        <x:v>990</x:v>
      </x:c>
      <x:c r="N1796" s="28" t="n">
        <x:v>0.040824</x:v>
      </x:c>
      <x:c r="O1796" s="34" t="n">
        <x:v>40</x:v>
      </x:c>
      <x:c r="P1796" s="34" t="n">
        <x:v>1</x:v>
      </x:c>
      <x:c r="Q1796" s="34" t="n">
        <x:v>40</x:v>
      </x:c>
      <x:c r="R1796" s="33" t="n">
        <x:v>34</x:v>
      </x:c>
      <x:c r="S1796" s="38" t="n">
        <x:v>1.36</x:v>
      </x:c>
      <x:c r="T1796" s="38" t="n">
        <x:v>0.1632</x:v>
      </x:c>
      <x:c r="U1796" s="38" t="n">
        <x:v>0.06582400000000001</x:v>
      </x:c>
      <x:c r="V1796" s="38" t="n">
        <x:v>1.130976</x:v>
      </x:c>
      <x:c r="W1796" s="38" t="n">
        <x:v>0.5468</x:v>
      </x:c>
      <x:c r="X1796" s="38" t="n">
        <x:v>0.032798304</x:v>
      </x:c>
      <x:c r="Y1796" s="38" t="n">
        <x:v>0.06785856</x:v>
      </x:c>
      <x:c r="Z1796" s="38" t="n">
        <x:v>0.204</x:v>
      </x:c>
      <x:c r="AA1796" s="38" t="n">
        <x:v>0.07</x:v>
      </x:c>
      <x:c r="AB1796" s="38" t="n">
        <x:v>0.0022400000000000002</x:v>
      </x:c>
      <x:c r="AC1796" s="38" t="n">
        <x:v>0.2072791360000001</x:v>
      </x:c>
      <x:c r="AD1796" s="28" t="n">
        <x:v>0.18327456639221357</x:v>
      </x:c>
    </x:row>
    <x:row r="1797">
      <x:c r="A1797" s="32" t="n">
        <x:v>46286</x:v>
      </x:c>
      <x:c r="B1797" s="32" t="n">
        <x:v>46266</x:v>
      </x:c>
      <x:c r="C1797" t="str">
        <x:v>Sep 2026</x:v>
      </x:c>
      <x:c r="D1797" t="str">
        <x:v>Forecast</x:v>
      </x:c>
      <x:c r="E1797" t="str">
        <x:v>DB-104</x:v>
      </x:c>
      <x:c r="F1797" t="str">
        <x:v>SunNest Cooling Towel</x:v>
      </x:c>
      <x:c r="G1797" t="str">
        <x:v>Consumable repeat</x:v>
      </x:c>
      <x:c r="H1797" t="str">
        <x:v>Summer peak</x:v>
      </x:c>
      <x:c r="I1797" t="str">
        <x:v>Discontinued</x:v>
      </x:c>
      <x:c r="J1797" t="str">
        <x:v>Shopify DTC</x:v>
      </x:c>
      <x:c r="K1797" t="str">
        <x:v>Consumer</x:v>
      </x:c>
      <x:c r="L1797" t="str">
        <x:v>All Geographies</x:v>
      </x:c>
      <x:c r="M1797" s="34" t="n">
        <x:v>0</x:v>
      </x:c>
      <x:c r="N1797" s="28" t="n">
        <x:v>0.03312</x:v>
      </x:c>
      <x:c r="O1797" s="34" t="n">
        <x:v>0</x:v>
      </x:c>
      <x:c r="P1797" s="34" t="n">
        <x:v>1</x:v>
      </x:c>
      <x:c r="Q1797" s="34" t="n">
        <x:v>0</x:v>
      </x:c>
      <x:c r="R1797" s="33" t="n">
        <x:v>42</x:v>
      </x:c>
      <x:c r="S1797" s="38" t="n">
        <x:v>0</x:v>
      </x:c>
      <x:c r="T1797" s="38" t="n">
        <x:v>0</x:v>
      </x:c>
      <x:c r="U1797" s="38" t="n">
        <x:v>0</x:v>
      </x:c>
      <x:c r="V1797" s="38" t="n">
        <x:v>0</x:v>
      </x:c>
      <x:c r="W1797" s="38" t="n">
        <x:v>0</x:v>
      </x:c>
      <x:c r="X1797" s="38" t="n">
        <x:v>0</x:v>
      </x:c>
      <x:c r="Y1797" s="38" t="n">
        <x:v>0</x:v>
      </x:c>
      <x:c r="Z1797" s="38" t="n">
        <x:v>0</x:v>
      </x:c>
      <x:c r="AA1797" s="38" t="n">
        <x:v>0</x:v>
      </x:c>
      <x:c r="AB1797" s="38" t="n">
        <x:v>0</x:v>
      </x:c>
      <x:c r="AC1797" s="38" t="n">
        <x:v>0</x:v>
      </x:c>
      <x:c r="AD1797" s="28" t="n">
        <x:v>0</x:v>
      </x:c>
    </x:row>
    <x:row r="1798">
      <x:c r="A1798" s="32" t="n">
        <x:v>46286</x:v>
      </x:c>
      <x:c r="B1798" s="32" t="n">
        <x:v>46266</x:v>
      </x:c>
      <x:c r="C1798" t="str">
        <x:v>Sep 2026</x:v>
      </x:c>
      <x:c r="D1798" t="str">
        <x:v>Forecast</x:v>
      </x:c>
      <x:c r="E1798" t="str">
        <x:v>DB-104</x:v>
      </x:c>
      <x:c r="F1798" t="str">
        <x:v>SunNest Cooling Towel</x:v>
      </x:c>
      <x:c r="G1798" t="str">
        <x:v>Consumable repeat</x:v>
      </x:c>
      <x:c r="H1798" t="str">
        <x:v>Summer peak</x:v>
      </x:c>
      <x:c r="I1798" t="str">
        <x:v>Discontinued</x:v>
      </x:c>
      <x:c r="J1798" t="str">
        <x:v>Amazon Marketplace</x:v>
      </x:c>
      <x:c r="K1798" t="str">
        <x:v>Marketplace Consumer</x:v>
      </x:c>
      <x:c r="L1798" t="str">
        <x:v>All Geographies</x:v>
      </x:c>
      <x:c r="M1798" s="34" t="n">
        <x:v>0</x:v>
      </x:c>
      <x:c r="N1798" s="28" t="n">
        <x:v>0.0390816</x:v>
      </x:c>
      <x:c r="O1798" s="34" t="n">
        <x:v>0</x:v>
      </x:c>
      <x:c r="P1798" s="34" t="n">
        <x:v>1</x:v>
      </x:c>
      <x:c r="Q1798" s="34" t="n">
        <x:v>0</x:v>
      </x:c>
      <x:c r="R1798" s="33" t="n">
        <x:v>42</x:v>
      </x:c>
      <x:c r="S1798" s="38" t="n">
        <x:v>0</x:v>
      </x:c>
      <x:c r="T1798" s="38" t="n">
        <x:v>0</x:v>
      </x:c>
      <x:c r="U1798" s="38" t="n">
        <x:v>0</x:v>
      </x:c>
      <x:c r="V1798" s="38" t="n">
        <x:v>0</x:v>
      </x:c>
      <x:c r="W1798" s="38" t="n">
        <x:v>0</x:v>
      </x:c>
      <x:c r="X1798" s="38" t="n">
        <x:v>0</x:v>
      </x:c>
      <x:c r="Y1798" s="38" t="n">
        <x:v>0</x:v>
      </x:c>
      <x:c r="Z1798" s="38" t="n">
        <x:v>0</x:v>
      </x:c>
      <x:c r="AA1798" s="38" t="n">
        <x:v>0</x:v>
      </x:c>
      <x:c r="AB1798" s="38" t="n">
        <x:v>0</x:v>
      </x:c>
      <x:c r="AC1798" s="38" t="n">
        <x:v>0</x:v>
      </x:c>
      <x:c r="AD1798" s="28" t="n">
        <x:v>0</x:v>
      </x:c>
    </x:row>
    <x:row r="1799">
      <x:c r="A1799" s="32" t="n">
        <x:v>46286</x:v>
      </x:c>
      <x:c r="B1799" s="32" t="n">
        <x:v>46266</x:v>
      </x:c>
      <x:c r="C1799" t="str">
        <x:v>Sep 2026</x:v>
      </x:c>
      <x:c r="D1799" t="str">
        <x:v>Forecast</x:v>
      </x:c>
      <x:c r="E1799" t="str">
        <x:v>DB-104</x:v>
      </x:c>
      <x:c r="F1799" t="str">
        <x:v>SunNest Cooling Towel</x:v>
      </x:c>
      <x:c r="G1799" t="str">
        <x:v>Consumable repeat</x:v>
      </x:c>
      <x:c r="H1799" t="str">
        <x:v>Summer peak</x:v>
      </x:c>
      <x:c r="I1799" t="str">
        <x:v>Discontinued</x:v>
      </x:c>
      <x:c r="J1799" t="str">
        <x:v>Wholesale</x:v>
      </x:c>
      <x:c r="K1799" t="str">
        <x:v>Retailer</x:v>
      </x:c>
      <x:c r="L1799" t="str">
        <x:v>All Geographies</x:v>
      </x:c>
      <x:c r="M1799" s="34" t="n">
        <x:v>0</x:v>
      </x:c>
      <x:c r="N1799" s="28" t="n">
        <x:v>0.018216000000000003</x:v>
      </x:c>
      <x:c r="O1799" s="34" t="n">
        <x:v>0</x:v>
      </x:c>
      <x:c r="P1799" s="34" t="n">
        <x:v>1</x:v>
      </x:c>
      <x:c r="Q1799" s="34" t="n">
        <x:v>0</x:v>
      </x:c>
      <x:c r="R1799" s="33" t="n">
        <x:v>42</x:v>
      </x:c>
      <x:c r="S1799" s="38" t="n">
        <x:v>0</x:v>
      </x:c>
      <x:c r="T1799" s="38" t="n">
        <x:v>0</x:v>
      </x:c>
      <x:c r="U1799" s="38" t="n">
        <x:v>0</x:v>
      </x:c>
      <x:c r="V1799" s="38" t="n">
        <x:v>0</x:v>
      </x:c>
      <x:c r="W1799" s="38" t="n">
        <x:v>0</x:v>
      </x:c>
      <x:c r="X1799" s="38" t="n">
        <x:v>0</x:v>
      </x:c>
      <x:c r="Y1799" s="38" t="n">
        <x:v>0</x:v>
      </x:c>
      <x:c r="Z1799" s="38" t="n">
        <x:v>0</x:v>
      </x:c>
      <x:c r="AA1799" s="38" t="n">
        <x:v>0</x:v>
      </x:c>
      <x:c r="AB1799" s="38" t="n">
        <x:v>0</x:v>
      </x:c>
      <x:c r="AC1799" s="38" t="n">
        <x:v>0</x:v>
      </x:c>
      <x:c r="AD1799" s="28" t="n">
        <x:v>0</x:v>
      </x:c>
    </x:row>
    <x:row r="1800">
      <x:c r="A1800" s="32" t="n">
        <x:v>46286</x:v>
      </x:c>
      <x:c r="B1800" s="32" t="n">
        <x:v>46266</x:v>
      </x:c>
      <x:c r="C1800" t="str">
        <x:v>Sep 2026</x:v>
      </x:c>
      <x:c r="D1800" t="str">
        <x:v>Forecast</x:v>
      </x:c>
      <x:c r="E1800" t="str">
        <x:v>DB-104</x:v>
      </x:c>
      <x:c r="F1800" t="str">
        <x:v>SunNest Cooling Towel</x:v>
      </x:c>
      <x:c r="G1800" t="str">
        <x:v>Consumable repeat</x:v>
      </x:c>
      <x:c r="H1800" t="str">
        <x:v>Summer peak</x:v>
      </x:c>
      <x:c r="I1800" t="str">
        <x:v>Discontinued</x:v>
      </x:c>
      <x:c r="J1800" t="str">
        <x:v>TikTok Shop</x:v>
      </x:c>
      <x:c r="K1800" t="str">
        <x:v>Social Commerce</x:v>
      </x:c>
      <x:c r="L1800" t="str">
        <x:v>All Geographies</x:v>
      </x:c>
      <x:c r="M1800" s="34" t="n">
        <x:v>0</x:v>
      </x:c>
      <x:c r="N1800" s="28" t="n">
        <x:v>0.0417312</x:v>
      </x:c>
      <x:c r="O1800" s="34" t="n">
        <x:v>0</x:v>
      </x:c>
      <x:c r="P1800" s="34" t="n">
        <x:v>1</x:v>
      </x:c>
      <x:c r="Q1800" s="34" t="n">
        <x:v>0</x:v>
      </x:c>
      <x:c r="R1800" s="33" t="n">
        <x:v>42</x:v>
      </x:c>
      <x:c r="S1800" s="38" t="n">
        <x:v>0</x:v>
      </x:c>
      <x:c r="T1800" s="38" t="n">
        <x:v>0</x:v>
      </x:c>
      <x:c r="U1800" s="38" t="n">
        <x:v>0</x:v>
      </x:c>
      <x:c r="V1800" s="38" t="n">
        <x:v>0</x:v>
      </x:c>
      <x:c r="W1800" s="38" t="n">
        <x:v>0</x:v>
      </x:c>
      <x:c r="X1800" s="38" t="n">
        <x:v>0</x:v>
      </x:c>
      <x:c r="Y1800" s="38" t="n">
        <x:v>0</x:v>
      </x:c>
      <x:c r="Z1800" s="38" t="n">
        <x:v>0</x:v>
      </x:c>
      <x:c r="AA1800" s="38" t="n">
        <x:v>0</x:v>
      </x:c>
      <x:c r="AB1800" s="38" t="n">
        <x:v>0</x:v>
      </x:c>
      <x:c r="AC1800" s="38" t="n">
        <x:v>0</x:v>
      </x:c>
      <x:c r="AD1800" s="28" t="n">
        <x:v>0</x:v>
      </x:c>
    </x:row>
    <x:row r="1801">
      <x:c r="A1801" s="32" t="n">
        <x:v>46286</x:v>
      </x:c>
      <x:c r="B1801" s="32" t="n">
        <x:v>46266</x:v>
      </x:c>
      <x:c r="C1801" t="str">
        <x:v>Sep 2026</x:v>
      </x:c>
      <x:c r="D1801" t="str">
        <x:v>Forecast</x:v>
      </x:c>
      <x:c r="E1801" t="str">
        <x:v>DB-105</x:v>
      </x:c>
      <x:c r="F1801" t="str">
        <x:v>DreamFuel Refill Pack</x:v>
      </x:c>
      <x:c r="G1801" t="str">
        <x:v>Subscription</x:v>
      </x:c>
      <x:c r="H1801" t="str">
        <x:v>None</x:v>
      </x:c>
      <x:c r="I1801" t="str">
        <x:v>Active</x:v>
      </x:c>
      <x:c r="J1801" t="str">
        <x:v>Shopify DTC</x:v>
      </x:c>
      <x:c r="K1801" t="str">
        <x:v>Consumer</x:v>
      </x:c>
      <x:c r="L1801" t="str">
        <x:v>All Geographies</x:v>
      </x:c>
      <x:c r="M1801" s="34" t="n">
        <x:v>5051</x:v>
      </x:c>
      <x:c r="N1801" s="28" t="n">
        <x:v>0.03888</x:v>
      </x:c>
      <x:c r="O1801" s="34" t="n">
        <x:v>196</x:v>
      </x:c>
      <x:c r="P1801" s="34" t="n">
        <x:v>1</x:v>
      </x:c>
      <x:c r="Q1801" s="34" t="n">
        <x:v>196</x:v>
      </x:c>
      <x:c r="R1801" s="33" t="n">
        <x:v>56</x:v>
      </x:c>
      <x:c r="S1801" s="38" t="n">
        <x:v>10.976</x:v>
      </x:c>
      <x:c r="T1801" s="38" t="n">
        <x:v>0.8780800000000001</x:v>
      </x:c>
      <x:c r="U1801" s="38" t="n">
        <x:v>0.2019584</x:v>
      </x:c>
      <x:c r="V1801" s="38" t="n">
        <x:v>9.8959616</x:v>
      </x:c>
      <x:c r="W1801" s="38" t="n">
        <x:v>3.64952</x:v>
      </x:c>
      <x:c r="X1801" s="38" t="n">
        <x:v>0.2869828864</x:v>
      </x:c>
      <x:c r="Y1801" s="38" t="n">
        <x:v>0</x:v>
      </x:c>
      <x:c r="Z1801" s="38" t="n">
        <x:v>0.8134000000000001</x:v>
      </x:c>
      <x:c r="AA1801" s="38" t="n">
        <x:v>0.32339999999999997</x:v>
      </x:c>
      <x:c r="AB1801" s="38" t="n">
        <x:v>0.0007055999999999999</x:v>
      </x:c>
      <x:c r="AC1801" s="38" t="n">
        <x:v>4.8219531136</x:v>
      </x:c>
      <x:c r="AD1801" s="28" t="n">
        <x:v>0.4872647357079478</x:v>
      </x:c>
    </x:row>
    <x:row r="1802">
      <x:c r="A1802" s="32" t="n">
        <x:v>46286</x:v>
      </x:c>
      <x:c r="B1802" s="32" t="n">
        <x:v>46266</x:v>
      </x:c>
      <x:c r="C1802" t="str">
        <x:v>Sep 2026</x:v>
      </x:c>
      <x:c r="D1802" t="str">
        <x:v>Forecast</x:v>
      </x:c>
      <x:c r="E1802" t="str">
        <x:v>DB-105</x:v>
      </x:c>
      <x:c r="F1802" t="str">
        <x:v>DreamFuel Refill Pack</x:v>
      </x:c>
      <x:c r="G1802" t="str">
        <x:v>Subscription</x:v>
      </x:c>
      <x:c r="H1802" t="str">
        <x:v>None</x:v>
      </x:c>
      <x:c r="I1802" t="str">
        <x:v>Active</x:v>
      </x:c>
      <x:c r="J1802" t="str">
        <x:v>Amazon Marketplace</x:v>
      </x:c>
      <x:c r="K1802" t="str">
        <x:v>Marketplace Consumer</x:v>
      </x:c>
      <x:c r="L1802" t="str">
        <x:v>All Geographies</x:v>
      </x:c>
      <x:c r="M1802" s="34" t="n">
        <x:v>2525</x:v>
      </x:c>
      <x:c r="N1802" s="28" t="n">
        <x:v>0.0458784</x:v>
      </x:c>
      <x:c r="O1802" s="34" t="n">
        <x:v>116</x:v>
      </x:c>
      <x:c r="P1802" s="34" t="n">
        <x:v>1</x:v>
      </x:c>
      <x:c r="Q1802" s="34" t="n">
        <x:v>116</x:v>
      </x:c>
      <x:c r="R1802" s="33" t="n">
        <x:v>56</x:v>
      </x:c>
      <x:c r="S1802" s="38" t="n">
        <x:v>6.496</x:v>
      </x:c>
      <x:c r="T1802" s="38" t="n">
        <x:v>0.32480000000000003</x:v>
      </x:c>
      <x:c r="U1802" s="38" t="n">
        <x:v>0.12342400000000002</x:v>
      </x:c>
      <x:c r="V1802" s="38" t="n">
        <x:v>6.047776000000001</x:v>
      </x:c>
      <x:c r="W1802" s="38" t="n">
        <x:v>2.15992</x:v>
      </x:c>
      <x:c r="X1802" s="38" t="n">
        <x:v>0</x:v>
      </x:c>
      <x:c r="Y1802" s="38" t="n">
        <x:v>0.9071664</x:v>
      </x:c>
      <x:c r="Z1802" s="38" t="n">
        <x:v>0.6032000000000001</x:v>
      </x:c>
      <x:c r="AA1802" s="38" t="n">
        <x:v>0.24939999999999998</x:v>
      </x:c>
      <x:c r="AB1802" s="38" t="n">
        <x:v>0.0004176</x:v>
      </x:c>
      <x:c r="AC1802" s="38" t="n">
        <x:v>2.1276720000000005</x:v>
      </x:c>
      <x:c r="AD1802" s="28" t="n">
        <x:v>0.35181064907165877</x:v>
      </x:c>
    </x:row>
    <x:row r="1803">
      <x:c r="A1803" s="32" t="n">
        <x:v>46286</x:v>
      </x:c>
      <x:c r="B1803" s="32" t="n">
        <x:v>46266</x:v>
      </x:c>
      <x:c r="C1803" t="str">
        <x:v>Sep 2026</x:v>
      </x:c>
      <x:c r="D1803" t="str">
        <x:v>Forecast</x:v>
      </x:c>
      <x:c r="E1803" t="str">
        <x:v>DB-105</x:v>
      </x:c>
      <x:c r="F1803" t="str">
        <x:v>DreamFuel Refill Pack</x:v>
      </x:c>
      <x:c r="G1803" t="str">
        <x:v>Subscription</x:v>
      </x:c>
      <x:c r="H1803" t="str">
        <x:v>None</x:v>
      </x:c>
      <x:c r="I1803" t="str">
        <x:v>Active</x:v>
      </x:c>
      <x:c r="J1803" t="str">
        <x:v>Wholesale</x:v>
      </x:c>
      <x:c r="K1803" t="str">
        <x:v>Retailer</x:v>
      </x:c>
      <x:c r="L1803" t="str">
        <x:v>All Geographies</x:v>
      </x:c>
      <x:c r="M1803" s="34" t="n">
        <x:v>1515</x:v>
      </x:c>
      <x:c r="N1803" s="28" t="n">
        <x:v>0.021384000000000004</x:v>
      </x:c>
      <x:c r="O1803" s="34" t="n">
        <x:v>32</x:v>
      </x:c>
      <x:c r="P1803" s="34" t="n">
        <x:v>1</x:v>
      </x:c>
      <x:c r="Q1803" s="34" t="n">
        <x:v>32</x:v>
      </x:c>
      <x:c r="R1803" s="33" t="n">
        <x:v>56</x:v>
      </x:c>
      <x:c r="S1803" s="38" t="n">
        <x:v>1.792</x:v>
      </x:c>
      <x:c r="T1803" s="38" t="n">
        <x:v>0.6272</x:v>
      </x:c>
      <x:c r="U1803" s="38" t="n">
        <x:v>0.023296</x:v>
      </x:c>
      <x:c r="V1803" s="38" t="n">
        <x:v>1.141504</x:v>
      </x:c>
      <x:c r="W1803" s="38" t="n">
        <x:v>0.59584</x:v>
      </x:c>
      <x:c r="X1803" s="38" t="n">
        <x:v>0</x:v>
      </x:c>
      <x:c r="Y1803" s="38" t="n">
        <x:v>0</x:v>
      </x:c>
      <x:c r="Z1803" s="38" t="n">
        <x:v>0.0736</x:v>
      </x:c>
      <x:c r="AA1803" s="38" t="n">
        <x:v>0.0272</x:v>
      </x:c>
      <x:c r="AB1803" s="38" t="n">
        <x:v>0.0001152</x:v>
      </x:c>
      <x:c r="AC1803" s="38" t="n">
        <x:v>0.44474880000000006</x:v>
      </x:c>
      <x:c r="AD1803" s="28" t="n">
        <x:v>0.3896165059430366</x:v>
      </x:c>
    </x:row>
    <x:row r="1804">
      <x:c r="A1804" s="32" t="n">
        <x:v>46286</x:v>
      </x:c>
      <x:c r="B1804" s="32" t="n">
        <x:v>46266</x:v>
      </x:c>
      <x:c r="C1804" t="str">
        <x:v>Sep 2026</x:v>
      </x:c>
      <x:c r="D1804" t="str">
        <x:v>Forecast</x:v>
      </x:c>
      <x:c r="E1804" t="str">
        <x:v>DB-105</x:v>
      </x:c>
      <x:c r="F1804" t="str">
        <x:v>DreamFuel Refill Pack</x:v>
      </x:c>
      <x:c r="G1804" t="str">
        <x:v>Subscription</x:v>
      </x:c>
      <x:c r="H1804" t="str">
        <x:v>None</x:v>
      </x:c>
      <x:c r="I1804" t="str">
        <x:v>Active</x:v>
      </x:c>
      <x:c r="J1804" t="str">
        <x:v>TikTok Shop</x:v>
      </x:c>
      <x:c r="K1804" t="str">
        <x:v>Social Commerce</x:v>
      </x:c>
      <x:c r="L1804" t="str">
        <x:v>All Geographies</x:v>
      </x:c>
      <x:c r="M1804" s="34" t="n">
        <x:v>1010</x:v>
      </x:c>
      <x:c r="N1804" s="28" t="n">
        <x:v>0.0489888</x:v>
      </x:c>
      <x:c r="O1804" s="34" t="n">
        <x:v>49</x:v>
      </x:c>
      <x:c r="P1804" s="34" t="n">
        <x:v>1</x:v>
      </x:c>
      <x:c r="Q1804" s="34" t="n">
        <x:v>49</x:v>
      </x:c>
      <x:c r="R1804" s="33" t="n">
        <x:v>56</x:v>
      </x:c>
      <x:c r="S1804" s="38" t="n">
        <x:v>2.744</x:v>
      </x:c>
      <x:c r="T1804" s="38" t="n">
        <x:v>0.32928</x:v>
      </x:c>
      <x:c r="U1804" s="38" t="n">
        <x:v>0.0482944</x:v>
      </x:c>
      <x:c r="V1804" s="38" t="n">
        <x:v>2.3664256</x:v>
      </x:c>
      <x:c r="W1804" s="38" t="n">
        <x:v>0.91238</x:v>
      </x:c>
      <x:c r="X1804" s="38" t="n">
        <x:v>0.0686263424</x:v>
      </x:c>
      <x:c r="Y1804" s="38" t="n">
        <x:v>0.141985536</x:v>
      </x:c>
      <x:c r="Z1804" s="38" t="n">
        <x:v>0.24989999999999998</x:v>
      </x:c>
      <x:c r="AA1804" s="38" t="n">
        <x:v>0.08575</x:v>
      </x:c>
      <x:c r="AB1804" s="38" t="n">
        <x:v>0.00017639999999999998</x:v>
      </x:c>
      <x:c r="AC1804" s="38" t="n">
        <x:v>0.9076073216</x:v>
      </x:c>
      <x:c r="AD1804" s="28" t="n">
        <x:v>0.3835351179432812</x:v>
      </x:c>
    </x:row>
    <x:row r="1805">
      <x:c r="A1805" s="32" t="n">
        <x:v>46293</x:v>
      </x:c>
      <x:c r="B1805" s="32" t="n">
        <x:v>46266</x:v>
      </x:c>
      <x:c r="C1805" t="str">
        <x:v>Sep 2026</x:v>
      </x:c>
      <x:c r="D1805" t="str">
        <x:v>Forecast</x:v>
      </x:c>
      <x:c r="E1805" t="str">
        <x:v>DB-101</x:v>
      </x:c>
      <x:c r="F1805" t="str">
        <x:v>AeroSip Bottle</x:v>
      </x:c>
      <x:c r="G1805" t="str">
        <x:v>One-time purchase</x:v>
      </x:c>
      <x:c r="H1805" t="str">
        <x:v>None</x:v>
      </x:c>
      <x:c r="I1805" t="str">
        <x:v>Active</x:v>
      </x:c>
      <x:c r="J1805" t="str">
        <x:v>Shopify DTC</x:v>
      </x:c>
      <x:c r="K1805" t="str">
        <x:v>Consumer</x:v>
      </x:c>
      <x:c r="L1805" t="str">
        <x:v>All Geographies</x:v>
      </x:c>
      <x:c r="M1805" s="34" t="n">
        <x:v>7296</x:v>
      </x:c>
      <x:c r="N1805" s="28" t="n">
        <x:v>0.034199999999999994</x:v>
      </x:c>
      <x:c r="O1805" s="34" t="n">
        <x:v>250</x:v>
      </x:c>
      <x:c r="P1805" s="34" t="n">
        <x:v>1</x:v>
      </x:c>
      <x:c r="Q1805" s="34" t="n">
        <x:v>250</x:v>
      </x:c>
      <x:c r="R1805" s="33" t="n">
        <x:v>29</x:v>
      </x:c>
      <x:c r="S1805" s="38" t="n">
        <x:v>7.25</x:v>
      </x:c>
      <x:c r="T1805" s="38" t="n">
        <x:v>0.58</x:v>
      </x:c>
      <x:c r="U1805" s="38" t="n">
        <x:v>0.30015</x:v>
      </x:c>
      <x:c r="V1805" s="38" t="n">
        <x:v>6.36985</x:v>
      </x:c>
      <x:c r="W1805" s="38" t="n">
        <x:v>2.7</x:v>
      </x:c>
      <x:c r="X1805" s="38" t="n">
        <x:v>0.18472565</x:v>
      </x:c>
      <x:c r="Y1805" s="38" t="n">
        <x:v>0</x:v>
      </x:c>
      <x:c r="Z1805" s="38" t="n">
        <x:v>1.0375</x:v>
      </x:c>
      <x:c r="AA1805" s="38" t="n">
        <x:v>0.4125</x:v>
      </x:c>
      <x:c r="AB1805" s="38" t="n">
        <x:v>0.009</x:v>
      </x:c>
      <x:c r="AC1805" s="38" t="n">
        <x:v>2.0261243499999995</x:v>
      </x:c>
      <x:c r="AD1805" s="28" t="n">
        <x:v>0.31808038650831644</x:v>
      </x:c>
    </x:row>
    <x:row r="1806">
      <x:c r="A1806" s="32" t="n">
        <x:v>46293</x:v>
      </x:c>
      <x:c r="B1806" s="32" t="n">
        <x:v>46266</x:v>
      </x:c>
      <x:c r="C1806" t="str">
        <x:v>Sep 2026</x:v>
      </x:c>
      <x:c r="D1806" t="str">
        <x:v>Forecast</x:v>
      </x:c>
      <x:c r="E1806" t="str">
        <x:v>DB-101</x:v>
      </x:c>
      <x:c r="F1806" t="str">
        <x:v>AeroSip Bottle</x:v>
      </x:c>
      <x:c r="G1806" t="str">
        <x:v>One-time purchase</x:v>
      </x:c>
      <x:c r="H1806" t="str">
        <x:v>None</x:v>
      </x:c>
      <x:c r="I1806" t="str">
        <x:v>Active</x:v>
      </x:c>
      <x:c r="J1806" t="str">
        <x:v>Amazon Marketplace</x:v>
      </x:c>
      <x:c r="K1806" t="str">
        <x:v>Marketplace Consumer</x:v>
      </x:c>
      <x:c r="L1806" t="str">
        <x:v>All Geographies</x:v>
      </x:c>
      <x:c r="M1806" s="34" t="n">
        <x:v>3648</x:v>
      </x:c>
      <x:c r="N1806" s="28" t="n">
        <x:v>0.040355999999999996</x:v>
      </x:c>
      <x:c r="O1806" s="34" t="n">
        <x:v>147</x:v>
      </x:c>
      <x:c r="P1806" s="34" t="n">
        <x:v>1</x:v>
      </x:c>
      <x:c r="Q1806" s="34" t="n">
        <x:v>147</x:v>
      </x:c>
      <x:c r="R1806" s="33" t="n">
        <x:v>29</x:v>
      </x:c>
      <x:c r="S1806" s="38" t="n">
        <x:v>4.263</x:v>
      </x:c>
      <x:c r="T1806" s="38" t="n">
        <x:v>0.21315</x:v>
      </x:c>
      <x:c r="U1806" s="38" t="n">
        <x:v>0.18224325</x:v>
      </x:c>
      <x:c r="V1806" s="38" t="n">
        <x:v>3.86760675</x:v>
      </x:c>
      <x:c r="W1806" s="38" t="n">
        <x:v>1.5876000000000001</x:v>
      </x:c>
      <x:c r="X1806" s="38" t="n">
        <x:v>0</x:v>
      </x:c>
      <x:c r="Y1806" s="38" t="n">
        <x:v>0.5801410125</x:v>
      </x:c>
      <x:c r="Z1806" s="38" t="n">
        <x:v>0.7644</x:v>
      </x:c>
      <x:c r="AA1806" s="38" t="n">
        <x:v>0.31605</x:v>
      </x:c>
      <x:c r="AB1806" s="38" t="n">
        <x:v>0.005292</x:v>
      </x:c>
      <x:c r="AC1806" s="38" t="n">
        <x:v>0.6141237375000003</x:v>
      </x:c>
      <x:c r="AD1806" s="28" t="n">
        <x:v>0.15878649955815705</x:v>
      </x:c>
    </x:row>
    <x:row r="1807">
      <x:c r="A1807" s="32" t="n">
        <x:v>46293</x:v>
      </x:c>
      <x:c r="B1807" s="32" t="n">
        <x:v>46266</x:v>
      </x:c>
      <x:c r="C1807" t="str">
        <x:v>Sep 2026</x:v>
      </x:c>
      <x:c r="D1807" t="str">
        <x:v>Forecast</x:v>
      </x:c>
      <x:c r="E1807" t="str">
        <x:v>DB-101</x:v>
      </x:c>
      <x:c r="F1807" t="str">
        <x:v>AeroSip Bottle</x:v>
      </x:c>
      <x:c r="G1807" t="str">
        <x:v>One-time purchase</x:v>
      </x:c>
      <x:c r="H1807" t="str">
        <x:v>None</x:v>
      </x:c>
      <x:c r="I1807" t="str">
        <x:v>Active</x:v>
      </x:c>
      <x:c r="J1807" t="str">
        <x:v>Wholesale</x:v>
      </x:c>
      <x:c r="K1807" t="str">
        <x:v>Retailer</x:v>
      </x:c>
      <x:c r="L1807" t="str">
        <x:v>All Geographies</x:v>
      </x:c>
      <x:c r="M1807" s="34" t="n">
        <x:v>2189</x:v>
      </x:c>
      <x:c r="N1807" s="28" t="n">
        <x:v>0.01881</x:v>
      </x:c>
      <x:c r="O1807" s="34" t="n">
        <x:v>41</x:v>
      </x:c>
      <x:c r="P1807" s="34" t="n">
        <x:v>1</x:v>
      </x:c>
      <x:c r="Q1807" s="34" t="n">
        <x:v>41</x:v>
      </x:c>
      <x:c r="R1807" s="33" t="n">
        <x:v>29</x:v>
      </x:c>
      <x:c r="S1807" s="38" t="n">
        <x:v>1.189</x:v>
      </x:c>
      <x:c r="T1807" s="38" t="n">
        <x:v>0.41615</x:v>
      </x:c>
      <x:c r="U1807" s="38" t="n">
        <x:v>0.034778250000000004</x:v>
      </x:c>
      <x:c r="V1807" s="38" t="n">
        <x:v>0.73807175</x:v>
      </x:c>
      <x:c r="W1807" s="38" t="n">
        <x:v>0.4428</x:v>
      </x:c>
      <x:c r="X1807" s="38" t="n">
        <x:v>0</x:v>
      </x:c>
      <x:c r="Y1807" s="38" t="n">
        <x:v>0</x:v>
      </x:c>
      <x:c r="Z1807" s="38" t="n">
        <x:v>0.0943</x:v>
      </x:c>
      <x:c r="AA1807" s="38" t="n">
        <x:v>0.03485</x:v>
      </x:c>
      <x:c r="AB1807" s="38" t="n">
        <x:v>0.0014759999999999999</x:v>
      </x:c>
      <x:c r="AC1807" s="38" t="n">
        <x:v>0.16464575</x:v>
      </x:c>
      <x:c r="AD1807" s="28" t="n">
        <x:v>0.22307553432305194</x:v>
      </x:c>
    </x:row>
    <x:row r="1808">
      <x:c r="A1808" s="32" t="n">
        <x:v>46293</x:v>
      </x:c>
      <x:c r="B1808" s="32" t="n">
        <x:v>46266</x:v>
      </x:c>
      <x:c r="C1808" t="str">
        <x:v>Sep 2026</x:v>
      </x:c>
      <x:c r="D1808" t="str">
        <x:v>Forecast</x:v>
      </x:c>
      <x:c r="E1808" t="str">
        <x:v>DB-101</x:v>
      </x:c>
      <x:c r="F1808" t="str">
        <x:v>AeroSip Bottle</x:v>
      </x:c>
      <x:c r="G1808" t="str">
        <x:v>One-time purchase</x:v>
      </x:c>
      <x:c r="H1808" t="str">
        <x:v>None</x:v>
      </x:c>
      <x:c r="I1808" t="str">
        <x:v>Active</x:v>
      </x:c>
      <x:c r="J1808" t="str">
        <x:v>TikTok Shop</x:v>
      </x:c>
      <x:c r="K1808" t="str">
        <x:v>Social Commerce</x:v>
      </x:c>
      <x:c r="L1808" t="str">
        <x:v>All Geographies</x:v>
      </x:c>
      <x:c r="M1808" s="34" t="n">
        <x:v>1459</x:v>
      </x:c>
      <x:c r="N1808" s="28" t="n">
        <x:v>0.043092</x:v>
      </x:c>
      <x:c r="O1808" s="34" t="n">
        <x:v>63</x:v>
      </x:c>
      <x:c r="P1808" s="34" t="n">
        <x:v>1</x:v>
      </x:c>
      <x:c r="Q1808" s="34" t="n">
        <x:v>63</x:v>
      </x:c>
      <x:c r="R1808" s="33" t="n">
        <x:v>29</x:v>
      </x:c>
      <x:c r="S1808" s="38" t="n">
        <x:v>1.827</x:v>
      </x:c>
      <x:c r="T1808" s="38" t="n">
        <x:v>0.21924</x:v>
      </x:c>
      <x:c r="U1808" s="38" t="n">
        <x:v>0.07234919999999999</x:v>
      </x:c>
      <x:c r="V1808" s="38" t="n">
        <x:v>1.5354108</x:v>
      </x:c>
      <x:c r="W1808" s="38" t="n">
        <x:v>0.6804000000000001</x:v>
      </x:c>
      <x:c r="X1808" s="38" t="n">
        <x:v>0.044526913200000004</x:v>
      </x:c>
      <x:c r="Y1808" s="38" t="n">
        <x:v>0.09212464799999999</x:v>
      </x:c>
      <x:c r="Z1808" s="38" t="n">
        <x:v>0.3213</x:v>
      </x:c>
      <x:c r="AA1808" s="38" t="n">
        <x:v>0.11025</x:v>
      </x:c>
      <x:c r="AB1808" s="38" t="n">
        <x:v>0.0022679999999999996</x:v>
      </x:c>
      <x:c r="AC1808" s="38" t="n">
        <x:v>0.2845412387999999</x:v>
      </x:c>
      <x:c r="AD1808" s="28" t="n">
        <x:v>0.18531928966501987</x:v>
      </x:c>
    </x:row>
    <x:row r="1809">
      <x:c r="A1809" s="32" t="n">
        <x:v>46293</x:v>
      </x:c>
      <x:c r="B1809" s="32" t="n">
        <x:v>46266</x:v>
      </x:c>
      <x:c r="C1809" t="str">
        <x:v>Sep 2026</x:v>
      </x:c>
      <x:c r="D1809" t="str">
        <x:v>Forecast</x:v>
      </x:c>
      <x:c r="E1809" t="str">
        <x:v>DB-102</x:v>
      </x:c>
      <x:c r="F1809" t="str">
        <x:v>GlowPatch Balm</x:v>
      </x:c>
      <x:c r="G1809" t="str">
        <x:v>Consumable repeat</x:v>
      </x:c>
      <x:c r="H1809" t="str">
        <x:v>None</x:v>
      </x:c>
      <x:c r="I1809" t="str">
        <x:v>Active</x:v>
      </x:c>
      <x:c r="J1809" t="str">
        <x:v>Shopify DTC</x:v>
      </x:c>
      <x:c r="K1809" t="str">
        <x:v>Consumer</x:v>
      </x:c>
      <x:c r="L1809" t="str">
        <x:v>All Geographies</x:v>
      </x:c>
      <x:c r="M1809" s="34" t="n">
        <x:v>5893</x:v>
      </x:c>
      <x:c r="N1809" s="28" t="n">
        <x:v>0.04248</x:v>
      </x:c>
      <x:c r="O1809" s="34" t="n">
        <x:v>250</x:v>
      </x:c>
      <x:c r="P1809" s="34" t="n">
        <x:v>1</x:v>
      </x:c>
      <x:c r="Q1809" s="34" t="n">
        <x:v>250</x:v>
      </x:c>
      <x:c r="R1809" s="33" t="n">
        <x:v>18</x:v>
      </x:c>
      <x:c r="S1809" s="38" t="n">
        <x:v>4.5</x:v>
      </x:c>
      <x:c r="T1809" s="38" t="n">
        <x:v>0.36</x:v>
      </x:c>
      <x:c r="U1809" s="38" t="n">
        <x:v>0.1035</x:v>
      </x:c>
      <x:c r="V1809" s="38" t="n">
        <x:v>4.036499999999999</x:v>
      </x:c>
      <x:c r="W1809" s="38" t="n">
        <x:v>1.3525</x:v>
      </x:c>
      <x:c r="X1809" s="38" t="n">
        <x:v>0.11705849999999998</x:v>
      </x:c>
      <x:c r="Y1809" s="38" t="n">
        <x:v>0</x:v>
      </x:c>
      <x:c r="Z1809" s="38" t="n">
        <x:v>1.0375</x:v>
      </x:c>
      <x:c r="AA1809" s="38" t="n">
        <x:v>0.4125</x:v>
      </x:c>
      <x:c r="AB1809" s="38" t="n">
        <x:v>0.0015</x:v>
      </x:c>
      <x:c r="AC1809" s="38" t="n">
        <x:v>1.1154414999999989</x:v>
      </x:c>
      <x:c r="AD1809" s="28" t="n">
        <x:v>0.2763387835996529</x:v>
      </x:c>
    </x:row>
    <x:row r="1810">
      <x:c r="A1810" s="32" t="n">
        <x:v>46293</x:v>
      </x:c>
      <x:c r="B1810" s="32" t="n">
        <x:v>46266</x:v>
      </x:c>
      <x:c r="C1810" t="str">
        <x:v>Sep 2026</x:v>
      </x:c>
      <x:c r="D1810" t="str">
        <x:v>Forecast</x:v>
      </x:c>
      <x:c r="E1810" t="str">
        <x:v>DB-102</x:v>
      </x:c>
      <x:c r="F1810" t="str">
        <x:v>GlowPatch Balm</x:v>
      </x:c>
      <x:c r="G1810" t="str">
        <x:v>Consumable repeat</x:v>
      </x:c>
      <x:c r="H1810" t="str">
        <x:v>None</x:v>
      </x:c>
      <x:c r="I1810" t="str">
        <x:v>Active</x:v>
      </x:c>
      <x:c r="J1810" t="str">
        <x:v>Amazon Marketplace</x:v>
      </x:c>
      <x:c r="K1810" t="str">
        <x:v>Marketplace Consumer</x:v>
      </x:c>
      <x:c r="L1810" t="str">
        <x:v>All Geographies</x:v>
      </x:c>
      <x:c r="M1810" s="34" t="n">
        <x:v>2946</x:v>
      </x:c>
      <x:c r="N1810" s="28" t="n">
        <x:v>0.050126399999999995</x:v>
      </x:c>
      <x:c r="O1810" s="34" t="n">
        <x:v>148</x:v>
      </x:c>
      <x:c r="P1810" s="34" t="n">
        <x:v>1</x:v>
      </x:c>
      <x:c r="Q1810" s="34" t="n">
        <x:v>148</x:v>
      </x:c>
      <x:c r="R1810" s="33" t="n">
        <x:v>18</x:v>
      </x:c>
      <x:c r="S1810" s="38" t="n">
        <x:v>2.664</x:v>
      </x:c>
      <x:c r="T1810" s="38" t="n">
        <x:v>0.1332</x:v>
      </x:c>
      <x:c r="U1810" s="38" t="n">
        <x:v>0.06327</x:v>
      </x:c>
      <x:c r="V1810" s="38" t="n">
        <x:v>2.46753</x:v>
      </x:c>
      <x:c r="W1810" s="38" t="n">
        <x:v>0.8006800000000001</x:v>
      </x:c>
      <x:c r="X1810" s="38" t="n">
        <x:v>0</x:v>
      </x:c>
      <x:c r="Y1810" s="38" t="n">
        <x:v>0.3701295</x:v>
      </x:c>
      <x:c r="Z1810" s="38" t="n">
        <x:v>0.7696000000000001</x:v>
      </x:c>
      <x:c r="AA1810" s="38" t="n">
        <x:v>0.3182</x:v>
      </x:c>
      <x:c r="AB1810" s="38" t="n">
        <x:v>0.0008879999999999999</x:v>
      </x:c>
      <x:c r="AC1810" s="38" t="n">
        <x:v>0.2080324999999999</x:v>
      </x:c>
      <x:c r="AD1810" s="28" t="n">
        <x:v>0.084307992202729</x:v>
      </x:c>
    </x:row>
    <x:row r="1811">
      <x:c r="A1811" s="32" t="n">
        <x:v>46293</x:v>
      </x:c>
      <x:c r="B1811" s="32" t="n">
        <x:v>46266</x:v>
      </x:c>
      <x:c r="C1811" t="str">
        <x:v>Sep 2026</x:v>
      </x:c>
      <x:c r="D1811" t="str">
        <x:v>Forecast</x:v>
      </x:c>
      <x:c r="E1811" t="str">
        <x:v>DB-102</x:v>
      </x:c>
      <x:c r="F1811" t="str">
        <x:v>GlowPatch Balm</x:v>
      </x:c>
      <x:c r="G1811" t="str">
        <x:v>Consumable repeat</x:v>
      </x:c>
      <x:c r="H1811" t="str">
        <x:v>None</x:v>
      </x:c>
      <x:c r="I1811" t="str">
        <x:v>Active</x:v>
      </x:c>
      <x:c r="J1811" t="str">
        <x:v>Wholesale</x:v>
      </x:c>
      <x:c r="K1811" t="str">
        <x:v>Retailer</x:v>
      </x:c>
      <x:c r="L1811" t="str">
        <x:v>All Geographies</x:v>
      </x:c>
      <x:c r="M1811" s="34" t="n">
        <x:v>1768</x:v>
      </x:c>
      <x:c r="N1811" s="28" t="n">
        <x:v>0.023364</x:v>
      </x:c>
      <x:c r="O1811" s="34" t="n">
        <x:v>41</x:v>
      </x:c>
      <x:c r="P1811" s="34" t="n">
        <x:v>1</x:v>
      </x:c>
      <x:c r="Q1811" s="34" t="n">
        <x:v>41</x:v>
      </x:c>
      <x:c r="R1811" s="33" t="n">
        <x:v>18</x:v>
      </x:c>
      <x:c r="S1811" s="38" t="n">
        <x:v>0.738</x:v>
      </x:c>
      <x:c r="T1811" s="38" t="n">
        <x:v>0.2583</x:v>
      </x:c>
      <x:c r="U1811" s="38" t="n">
        <x:v>0.011992500000000001</x:v>
      </x:c>
      <x:c r="V1811" s="38" t="n">
        <x:v>0.4677075</x:v>
      </x:c>
      <x:c r="W1811" s="38" t="n">
        <x:v>0.22181</x:v>
      </x:c>
      <x:c r="X1811" s="38" t="n">
        <x:v>0</x:v>
      </x:c>
      <x:c r="Y1811" s="38" t="n">
        <x:v>0</x:v>
      </x:c>
      <x:c r="Z1811" s="38" t="n">
        <x:v>0.0943</x:v>
      </x:c>
      <x:c r="AA1811" s="38" t="n">
        <x:v>0.03485</x:v>
      </x:c>
      <x:c r="AB1811" s="38" t="n">
        <x:v>0.000246</x:v>
      </x:c>
      <x:c r="AC1811" s="38" t="n">
        <x:v>0.11650150000000001</x:v>
      </x:c>
      <x:c r="AD1811" s="28" t="n">
        <x:v>0.2490905106289722</x:v>
      </x:c>
    </x:row>
    <x:row r="1812">
      <x:c r="A1812" s="32" t="n">
        <x:v>46293</x:v>
      </x:c>
      <x:c r="B1812" s="32" t="n">
        <x:v>46266</x:v>
      </x:c>
      <x:c r="C1812" t="str">
        <x:v>Sep 2026</x:v>
      </x:c>
      <x:c r="D1812" t="str">
        <x:v>Forecast</x:v>
      </x:c>
      <x:c r="E1812" t="str">
        <x:v>DB-102</x:v>
      </x:c>
      <x:c r="F1812" t="str">
        <x:v>GlowPatch Balm</x:v>
      </x:c>
      <x:c r="G1812" t="str">
        <x:v>Consumable repeat</x:v>
      </x:c>
      <x:c r="H1812" t="str">
        <x:v>None</x:v>
      </x:c>
      <x:c r="I1812" t="str">
        <x:v>Active</x:v>
      </x:c>
      <x:c r="J1812" t="str">
        <x:v>TikTok Shop</x:v>
      </x:c>
      <x:c r="K1812" t="str">
        <x:v>Social Commerce</x:v>
      </x:c>
      <x:c r="L1812" t="str">
        <x:v>All Geographies</x:v>
      </x:c>
      <x:c r="M1812" s="34" t="n">
        <x:v>1179</x:v>
      </x:c>
      <x:c r="N1812" s="28" t="n">
        <x:v>0.0535248</x:v>
      </x:c>
      <x:c r="O1812" s="34" t="n">
        <x:v>63</x:v>
      </x:c>
      <x:c r="P1812" s="34" t="n">
        <x:v>1</x:v>
      </x:c>
      <x:c r="Q1812" s="34" t="n">
        <x:v>63</x:v>
      </x:c>
      <x:c r="R1812" s="33" t="n">
        <x:v>18</x:v>
      </x:c>
      <x:c r="S1812" s="38" t="n">
        <x:v>1.134</x:v>
      </x:c>
      <x:c r="T1812" s="38" t="n">
        <x:v>0.13607999999999998</x:v>
      </x:c>
      <x:c r="U1812" s="38" t="n">
        <x:v>0.024947999999999998</x:v>
      </x:c>
      <x:c r="V1812" s="38" t="n">
        <x:v>0.972972</x:v>
      </x:c>
      <x:c r="W1812" s="38" t="n">
        <x:v>0.34082999999999997</x:v>
      </x:c>
      <x:c r="X1812" s="38" t="n">
        <x:v>0.028216188</x:v>
      </x:c>
      <x:c r="Y1812" s="38" t="n">
        <x:v>0.05837832</x:v>
      </x:c>
      <x:c r="Z1812" s="38" t="n">
        <x:v>0.3213</x:v>
      </x:c>
      <x:c r="AA1812" s="38" t="n">
        <x:v>0.11025</x:v>
      </x:c>
      <x:c r="AB1812" s="38" t="n">
        <x:v>0.000378</x:v>
      </x:c>
      <x:c r="AC1812" s="38" t="n">
        <x:v>0.11361949199999999</x:v>
      </x:c>
      <x:c r="AD1812" s="28" t="n">
        <x:v>0.11677570577570577</x:v>
      </x:c>
    </x:row>
    <x:row r="1813">
      <x:c r="A1813" s="32" t="n">
        <x:v>46293</x:v>
      </x:c>
      <x:c r="B1813" s="32" t="n">
        <x:v>46266</x:v>
      </x:c>
      <x:c r="C1813" t="str">
        <x:v>Sep 2026</x:v>
      </x:c>
      <x:c r="D1813" t="str">
        <x:v>Forecast</x:v>
      </x:c>
      <x:c r="E1813" t="str">
        <x:v>DB-103</x:v>
      </x:c>
      <x:c r="F1813" t="str">
        <x:v>EmberTrail Camp Mug</x:v>
      </x:c>
      <x:c r="G1813" t="str">
        <x:v>One-time purchase</x:v>
      </x:c>
      <x:c r="H1813" t="str">
        <x:v>Winter peak</x:v>
      </x:c>
      <x:c r="I1813" t="str">
        <x:v>Active</x:v>
      </x:c>
      <x:c r="J1813" t="str">
        <x:v>Shopify DTC</x:v>
      </x:c>
      <x:c r="K1813" t="str">
        <x:v>Consumer</x:v>
      </x:c>
      <x:c r="L1813" t="str">
        <x:v>All Geographies</x:v>
      </x:c>
      <x:c r="M1813" s="34" t="n">
        <x:v>4950</x:v>
      </x:c>
      <x:c r="N1813" s="28" t="n">
        <x:v>0.0324</x:v>
      </x:c>
      <x:c r="O1813" s="34" t="n">
        <x:v>160</x:v>
      </x:c>
      <x:c r="P1813" s="34" t="n">
        <x:v>1</x:v>
      </x:c>
      <x:c r="Q1813" s="34" t="n">
        <x:v>160</x:v>
      </x:c>
      <x:c r="R1813" s="33" t="n">
        <x:v>34</x:v>
      </x:c>
      <x:c r="S1813" s="38" t="n">
        <x:v>5.44</x:v>
      </x:c>
      <x:c r="T1813" s="38" t="n">
        <x:v>0.43520000000000003</x:v>
      </x:c>
      <x:c r="U1813" s="38" t="n">
        <x:v>0.275264</x:v>
      </x:c>
      <x:c r="V1813" s="38" t="n">
        <x:v>4.729536</x:v>
      </x:c>
      <x:c r="W1813" s="38" t="n">
        <x:v>2.1872</x:v>
      </x:c>
      <x:c r="X1813" s="38" t="n">
        <x:v>0.13715654400000002</x:v>
      </x:c>
      <x:c r="Y1813" s="38" t="n">
        <x:v>0</x:v>
      </x:c>
      <x:c r="Z1813" s="38" t="n">
        <x:v>0.664</x:v>
      </x:c>
      <x:c r="AA1813" s="38" t="n">
        <x:v>0.264</x:v>
      </x:c>
      <x:c r="AB1813" s="38" t="n">
        <x:v>0.008960000000000001</x:v>
      </x:c>
      <x:c r="AC1813" s="38" t="n">
        <x:v>1.4682194560000001</x:v>
      </x:c>
      <x:c r="AD1813" s="28" t="n">
        <x:v>0.31043625759482535</x:v>
      </x:c>
    </x:row>
    <x:row r="1814">
      <x:c r="A1814" s="32" t="n">
        <x:v>46293</x:v>
      </x:c>
      <x:c r="B1814" s="32" t="n">
        <x:v>46266</x:v>
      </x:c>
      <x:c r="C1814" t="str">
        <x:v>Sep 2026</x:v>
      </x:c>
      <x:c r="D1814" t="str">
        <x:v>Forecast</x:v>
      </x:c>
      <x:c r="E1814" t="str">
        <x:v>DB-103</x:v>
      </x:c>
      <x:c r="F1814" t="str">
        <x:v>EmberTrail Camp Mug</x:v>
      </x:c>
      <x:c r="G1814" t="str">
        <x:v>One-time purchase</x:v>
      </x:c>
      <x:c r="H1814" t="str">
        <x:v>Winter peak</x:v>
      </x:c>
      <x:c r="I1814" t="str">
        <x:v>Active</x:v>
      </x:c>
      <x:c r="J1814" t="str">
        <x:v>Amazon Marketplace</x:v>
      </x:c>
      <x:c r="K1814" t="str">
        <x:v>Marketplace Consumer</x:v>
      </x:c>
      <x:c r="L1814" t="str">
        <x:v>All Geographies</x:v>
      </x:c>
      <x:c r="M1814" s="34" t="n">
        <x:v>2475</x:v>
      </x:c>
      <x:c r="N1814" s="28" t="n">
        <x:v>0.038231999999999995</x:v>
      </x:c>
      <x:c r="O1814" s="34" t="n">
        <x:v>95</x:v>
      </x:c>
      <x:c r="P1814" s="34" t="n">
        <x:v>1</x:v>
      </x:c>
      <x:c r="Q1814" s="34" t="n">
        <x:v>95</x:v>
      </x:c>
      <x:c r="R1814" s="33" t="n">
        <x:v>34</x:v>
      </x:c>
      <x:c r="S1814" s="38" t="n">
        <x:v>3.23</x:v>
      </x:c>
      <x:c r="T1814" s="38" t="n">
        <x:v>0.1615</x:v>
      </x:c>
      <x:c r="U1814" s="38" t="n">
        <x:v>0.1687675</x:v>
      </x:c>
      <x:c r="V1814" s="38" t="n">
        <x:v>2.8997325</x:v>
      </x:c>
      <x:c r="W1814" s="38" t="n">
        <x:v>1.29865</x:v>
      </x:c>
      <x:c r="X1814" s="38" t="n">
        <x:v>0</x:v>
      </x:c>
      <x:c r="Y1814" s="38" t="n">
        <x:v>0.43495987499999994</x:v>
      </x:c>
      <x:c r="Z1814" s="38" t="n">
        <x:v>0.494</x:v>
      </x:c>
      <x:c r="AA1814" s="38" t="n">
        <x:v>0.20425</x:v>
      </x:c>
      <x:c r="AB1814" s="38" t="n">
        <x:v>0.00532</x:v>
      </x:c>
      <x:c r="AC1814" s="38" t="n">
        <x:v>0.4625526249999999</x:v>
      </x:c>
      <x:c r="AD1814" s="28" t="n">
        <x:v>0.1595156191131423</x:v>
      </x:c>
    </x:row>
    <x:row r="1815">
      <x:c r="A1815" s="32" t="n">
        <x:v>46293</x:v>
      </x:c>
      <x:c r="B1815" s="32" t="n">
        <x:v>46266</x:v>
      </x:c>
      <x:c r="C1815" t="str">
        <x:v>Sep 2026</x:v>
      </x:c>
      <x:c r="D1815" t="str">
        <x:v>Forecast</x:v>
      </x:c>
      <x:c r="E1815" t="str">
        <x:v>DB-103</x:v>
      </x:c>
      <x:c r="F1815" t="str">
        <x:v>EmberTrail Camp Mug</x:v>
      </x:c>
      <x:c r="G1815" t="str">
        <x:v>One-time purchase</x:v>
      </x:c>
      <x:c r="H1815" t="str">
        <x:v>Winter peak</x:v>
      </x:c>
      <x:c r="I1815" t="str">
        <x:v>Active</x:v>
      </x:c>
      <x:c r="J1815" t="str">
        <x:v>Wholesale</x:v>
      </x:c>
      <x:c r="K1815" t="str">
        <x:v>Retailer</x:v>
      </x:c>
      <x:c r="L1815" t="str">
        <x:v>All Geographies</x:v>
      </x:c>
      <x:c r="M1815" s="34" t="n">
        <x:v>1485</x:v>
      </x:c>
      <x:c r="N1815" s="28" t="n">
        <x:v>0.017820000000000003</x:v>
      </x:c>
      <x:c r="O1815" s="34" t="n">
        <x:v>26</x:v>
      </x:c>
      <x:c r="P1815" s="34" t="n">
        <x:v>1</x:v>
      </x:c>
      <x:c r="Q1815" s="34" t="n">
        <x:v>26</x:v>
      </x:c>
      <x:c r="R1815" s="33" t="n">
        <x:v>34</x:v>
      </x:c>
      <x:c r="S1815" s="38" t="n">
        <x:v>0.884</x:v>
      </x:c>
      <x:c r="T1815" s="38" t="n">
        <x:v>0.3094</x:v>
      </x:c>
      <x:c r="U1815" s="38" t="n">
        <x:v>0.031603</x:v>
      </x:c>
      <x:c r="V1815" s="38" t="n">
        <x:v>0.542997</x:v>
      </x:c>
      <x:c r="W1815" s="38" t="n">
        <x:v>0.35542</x:v>
      </x:c>
      <x:c r="X1815" s="38" t="n">
        <x:v>0</x:v>
      </x:c>
      <x:c r="Y1815" s="38" t="n">
        <x:v>0</x:v>
      </x:c>
      <x:c r="Z1815" s="38" t="n">
        <x:v>0.0598</x:v>
      </x:c>
      <x:c r="AA1815" s="38" t="n">
        <x:v>0.022099999999999998</x:v>
      </x:c>
      <x:c r="AB1815" s="38" t="n">
        <x:v>0.0014560000000000003</x:v>
      </x:c>
      <x:c r="AC1815" s="38" t="n">
        <x:v>0.10422099999999995</x:v>
      </x:c>
      <x:c r="AD1815" s="28" t="n">
        <x:v>0.19193660370130952</x:v>
      </x:c>
    </x:row>
    <x:row r="1816">
      <x:c r="A1816" s="32" t="n">
        <x:v>46293</x:v>
      </x:c>
      <x:c r="B1816" s="32" t="n">
        <x:v>46266</x:v>
      </x:c>
      <x:c r="C1816" t="str">
        <x:v>Sep 2026</x:v>
      </x:c>
      <x:c r="D1816" t="str">
        <x:v>Forecast</x:v>
      </x:c>
      <x:c r="E1816" t="str">
        <x:v>DB-103</x:v>
      </x:c>
      <x:c r="F1816" t="str">
        <x:v>EmberTrail Camp Mug</x:v>
      </x:c>
      <x:c r="G1816" t="str">
        <x:v>One-time purchase</x:v>
      </x:c>
      <x:c r="H1816" t="str">
        <x:v>Winter peak</x:v>
      </x:c>
      <x:c r="I1816" t="str">
        <x:v>Active</x:v>
      </x:c>
      <x:c r="J1816" t="str">
        <x:v>TikTok Shop</x:v>
      </x:c>
      <x:c r="K1816" t="str">
        <x:v>Social Commerce</x:v>
      </x:c>
      <x:c r="L1816" t="str">
        <x:v>All Geographies</x:v>
      </x:c>
      <x:c r="M1816" s="34" t="n">
        <x:v>990</x:v>
      </x:c>
      <x:c r="N1816" s="28" t="n">
        <x:v>0.040824</x:v>
      </x:c>
      <x:c r="O1816" s="34" t="n">
        <x:v>40</x:v>
      </x:c>
      <x:c r="P1816" s="34" t="n">
        <x:v>1</x:v>
      </x:c>
      <x:c r="Q1816" s="34" t="n">
        <x:v>40</x:v>
      </x:c>
      <x:c r="R1816" s="33" t="n">
        <x:v>34</x:v>
      </x:c>
      <x:c r="S1816" s="38" t="n">
        <x:v>1.36</x:v>
      </x:c>
      <x:c r="T1816" s="38" t="n">
        <x:v>0.1632</x:v>
      </x:c>
      <x:c r="U1816" s="38" t="n">
        <x:v>0.06582400000000001</x:v>
      </x:c>
      <x:c r="V1816" s="38" t="n">
        <x:v>1.130976</x:v>
      </x:c>
      <x:c r="W1816" s="38" t="n">
        <x:v>0.5468</x:v>
      </x:c>
      <x:c r="X1816" s="38" t="n">
        <x:v>0.032798304</x:v>
      </x:c>
      <x:c r="Y1816" s="38" t="n">
        <x:v>0.06785856</x:v>
      </x:c>
      <x:c r="Z1816" s="38" t="n">
        <x:v>0.204</x:v>
      </x:c>
      <x:c r="AA1816" s="38" t="n">
        <x:v>0.07</x:v>
      </x:c>
      <x:c r="AB1816" s="38" t="n">
        <x:v>0.0022400000000000002</x:v>
      </x:c>
      <x:c r="AC1816" s="38" t="n">
        <x:v>0.2072791360000001</x:v>
      </x:c>
      <x:c r="AD1816" s="28" t="n">
        <x:v>0.18327456639221357</x:v>
      </x:c>
    </x:row>
    <x:row r="1817">
      <x:c r="A1817" s="32" t="n">
        <x:v>46293</x:v>
      </x:c>
      <x:c r="B1817" s="32" t="n">
        <x:v>46266</x:v>
      </x:c>
      <x:c r="C1817" t="str">
        <x:v>Sep 2026</x:v>
      </x:c>
      <x:c r="D1817" t="str">
        <x:v>Forecast</x:v>
      </x:c>
      <x:c r="E1817" t="str">
        <x:v>DB-104</x:v>
      </x:c>
      <x:c r="F1817" t="str">
        <x:v>SunNest Cooling Towel</x:v>
      </x:c>
      <x:c r="G1817" t="str">
        <x:v>Consumable repeat</x:v>
      </x:c>
      <x:c r="H1817" t="str">
        <x:v>Summer peak</x:v>
      </x:c>
      <x:c r="I1817" t="str">
        <x:v>Discontinued</x:v>
      </x:c>
      <x:c r="J1817" t="str">
        <x:v>Shopify DTC</x:v>
      </x:c>
      <x:c r="K1817" t="str">
        <x:v>Consumer</x:v>
      </x:c>
      <x:c r="L1817" t="str">
        <x:v>All Geographies</x:v>
      </x:c>
      <x:c r="M1817" s="34" t="n">
        <x:v>0</x:v>
      </x:c>
      <x:c r="N1817" s="28" t="n">
        <x:v>0.03312</x:v>
      </x:c>
      <x:c r="O1817" s="34" t="n">
        <x:v>0</x:v>
      </x:c>
      <x:c r="P1817" s="34" t="n">
        <x:v>1</x:v>
      </x:c>
      <x:c r="Q1817" s="34" t="n">
        <x:v>0</x:v>
      </x:c>
      <x:c r="R1817" s="33" t="n">
        <x:v>42</x:v>
      </x:c>
      <x:c r="S1817" s="38" t="n">
        <x:v>0</x:v>
      </x:c>
      <x:c r="T1817" s="38" t="n">
        <x:v>0</x:v>
      </x:c>
      <x:c r="U1817" s="38" t="n">
        <x:v>0</x:v>
      </x:c>
      <x:c r="V1817" s="38" t="n">
        <x:v>0</x:v>
      </x:c>
      <x:c r="W1817" s="38" t="n">
        <x:v>0</x:v>
      </x:c>
      <x:c r="X1817" s="38" t="n">
        <x:v>0</x:v>
      </x:c>
      <x:c r="Y1817" s="38" t="n">
        <x:v>0</x:v>
      </x:c>
      <x:c r="Z1817" s="38" t="n">
        <x:v>0</x:v>
      </x:c>
      <x:c r="AA1817" s="38" t="n">
        <x:v>0</x:v>
      </x:c>
      <x:c r="AB1817" s="38" t="n">
        <x:v>0</x:v>
      </x:c>
      <x:c r="AC1817" s="38" t="n">
        <x:v>0</x:v>
      </x:c>
      <x:c r="AD1817" s="28" t="n">
        <x:v>0</x:v>
      </x:c>
    </x:row>
    <x:row r="1818">
      <x:c r="A1818" s="32" t="n">
        <x:v>46293</x:v>
      </x:c>
      <x:c r="B1818" s="32" t="n">
        <x:v>46266</x:v>
      </x:c>
      <x:c r="C1818" t="str">
        <x:v>Sep 2026</x:v>
      </x:c>
      <x:c r="D1818" t="str">
        <x:v>Forecast</x:v>
      </x:c>
      <x:c r="E1818" t="str">
        <x:v>DB-104</x:v>
      </x:c>
      <x:c r="F1818" t="str">
        <x:v>SunNest Cooling Towel</x:v>
      </x:c>
      <x:c r="G1818" t="str">
        <x:v>Consumable repeat</x:v>
      </x:c>
      <x:c r="H1818" t="str">
        <x:v>Summer peak</x:v>
      </x:c>
      <x:c r="I1818" t="str">
        <x:v>Discontinued</x:v>
      </x:c>
      <x:c r="J1818" t="str">
        <x:v>Amazon Marketplace</x:v>
      </x:c>
      <x:c r="K1818" t="str">
        <x:v>Marketplace Consumer</x:v>
      </x:c>
      <x:c r="L1818" t="str">
        <x:v>All Geographies</x:v>
      </x:c>
      <x:c r="M1818" s="34" t="n">
        <x:v>0</x:v>
      </x:c>
      <x:c r="N1818" s="28" t="n">
        <x:v>0.0390816</x:v>
      </x:c>
      <x:c r="O1818" s="34" t="n">
        <x:v>0</x:v>
      </x:c>
      <x:c r="P1818" s="34" t="n">
        <x:v>1</x:v>
      </x:c>
      <x:c r="Q1818" s="34" t="n">
        <x:v>0</x:v>
      </x:c>
      <x:c r="R1818" s="33" t="n">
        <x:v>42</x:v>
      </x:c>
      <x:c r="S1818" s="38" t="n">
        <x:v>0</x:v>
      </x:c>
      <x:c r="T1818" s="38" t="n">
        <x:v>0</x:v>
      </x:c>
      <x:c r="U1818" s="38" t="n">
        <x:v>0</x:v>
      </x:c>
      <x:c r="V1818" s="38" t="n">
        <x:v>0</x:v>
      </x:c>
      <x:c r="W1818" s="38" t="n">
        <x:v>0</x:v>
      </x:c>
      <x:c r="X1818" s="38" t="n">
        <x:v>0</x:v>
      </x:c>
      <x:c r="Y1818" s="38" t="n">
        <x:v>0</x:v>
      </x:c>
      <x:c r="Z1818" s="38" t="n">
        <x:v>0</x:v>
      </x:c>
      <x:c r="AA1818" s="38" t="n">
        <x:v>0</x:v>
      </x:c>
      <x:c r="AB1818" s="38" t="n">
        <x:v>0</x:v>
      </x:c>
      <x:c r="AC1818" s="38" t="n">
        <x:v>0</x:v>
      </x:c>
      <x:c r="AD1818" s="28" t="n">
        <x:v>0</x:v>
      </x:c>
    </x:row>
    <x:row r="1819">
      <x:c r="A1819" s="32" t="n">
        <x:v>46293</x:v>
      </x:c>
      <x:c r="B1819" s="32" t="n">
        <x:v>46266</x:v>
      </x:c>
      <x:c r="C1819" t="str">
        <x:v>Sep 2026</x:v>
      </x:c>
      <x:c r="D1819" t="str">
        <x:v>Forecast</x:v>
      </x:c>
      <x:c r="E1819" t="str">
        <x:v>DB-104</x:v>
      </x:c>
      <x:c r="F1819" t="str">
        <x:v>SunNest Cooling Towel</x:v>
      </x:c>
      <x:c r="G1819" t="str">
        <x:v>Consumable repeat</x:v>
      </x:c>
      <x:c r="H1819" t="str">
        <x:v>Summer peak</x:v>
      </x:c>
      <x:c r="I1819" t="str">
        <x:v>Discontinued</x:v>
      </x:c>
      <x:c r="J1819" t="str">
        <x:v>Wholesale</x:v>
      </x:c>
      <x:c r="K1819" t="str">
        <x:v>Retailer</x:v>
      </x:c>
      <x:c r="L1819" t="str">
        <x:v>All Geographies</x:v>
      </x:c>
      <x:c r="M1819" s="34" t="n">
        <x:v>0</x:v>
      </x:c>
      <x:c r="N1819" s="28" t="n">
        <x:v>0.018216000000000003</x:v>
      </x:c>
      <x:c r="O1819" s="34" t="n">
        <x:v>0</x:v>
      </x:c>
      <x:c r="P1819" s="34" t="n">
        <x:v>1</x:v>
      </x:c>
      <x:c r="Q1819" s="34" t="n">
        <x:v>0</x:v>
      </x:c>
      <x:c r="R1819" s="33" t="n">
        <x:v>42</x:v>
      </x:c>
      <x:c r="S1819" s="38" t="n">
        <x:v>0</x:v>
      </x:c>
      <x:c r="T1819" s="38" t="n">
        <x:v>0</x:v>
      </x:c>
      <x:c r="U1819" s="38" t="n">
        <x:v>0</x:v>
      </x:c>
      <x:c r="V1819" s="38" t="n">
        <x:v>0</x:v>
      </x:c>
      <x:c r="W1819" s="38" t="n">
        <x:v>0</x:v>
      </x:c>
      <x:c r="X1819" s="38" t="n">
        <x:v>0</x:v>
      </x:c>
      <x:c r="Y1819" s="38" t="n">
        <x:v>0</x:v>
      </x:c>
      <x:c r="Z1819" s="38" t="n">
        <x:v>0</x:v>
      </x:c>
      <x:c r="AA1819" s="38" t="n">
        <x:v>0</x:v>
      </x:c>
      <x:c r="AB1819" s="38" t="n">
        <x:v>0</x:v>
      </x:c>
      <x:c r="AC1819" s="38" t="n">
        <x:v>0</x:v>
      </x:c>
      <x:c r="AD1819" s="28" t="n">
        <x:v>0</x:v>
      </x:c>
    </x:row>
    <x:row r="1820">
      <x:c r="A1820" s="32" t="n">
        <x:v>46293</x:v>
      </x:c>
      <x:c r="B1820" s="32" t="n">
        <x:v>46266</x:v>
      </x:c>
      <x:c r="C1820" t="str">
        <x:v>Sep 2026</x:v>
      </x:c>
      <x:c r="D1820" t="str">
        <x:v>Forecast</x:v>
      </x:c>
      <x:c r="E1820" t="str">
        <x:v>DB-104</x:v>
      </x:c>
      <x:c r="F1820" t="str">
        <x:v>SunNest Cooling Towel</x:v>
      </x:c>
      <x:c r="G1820" t="str">
        <x:v>Consumable repeat</x:v>
      </x:c>
      <x:c r="H1820" t="str">
        <x:v>Summer peak</x:v>
      </x:c>
      <x:c r="I1820" t="str">
        <x:v>Discontinued</x:v>
      </x:c>
      <x:c r="J1820" t="str">
        <x:v>TikTok Shop</x:v>
      </x:c>
      <x:c r="K1820" t="str">
        <x:v>Social Commerce</x:v>
      </x:c>
      <x:c r="L1820" t="str">
        <x:v>All Geographies</x:v>
      </x:c>
      <x:c r="M1820" s="34" t="n">
        <x:v>0</x:v>
      </x:c>
      <x:c r="N1820" s="28" t="n">
        <x:v>0.0417312</x:v>
      </x:c>
      <x:c r="O1820" s="34" t="n">
        <x:v>0</x:v>
      </x:c>
      <x:c r="P1820" s="34" t="n">
        <x:v>1</x:v>
      </x:c>
      <x:c r="Q1820" s="34" t="n">
        <x:v>0</x:v>
      </x:c>
      <x:c r="R1820" s="33" t="n">
        <x:v>42</x:v>
      </x:c>
      <x:c r="S1820" s="38" t="n">
        <x:v>0</x:v>
      </x:c>
      <x:c r="T1820" s="38" t="n">
        <x:v>0</x:v>
      </x:c>
      <x:c r="U1820" s="38" t="n">
        <x:v>0</x:v>
      </x:c>
      <x:c r="V1820" s="38" t="n">
        <x:v>0</x:v>
      </x:c>
      <x:c r="W1820" s="38" t="n">
        <x:v>0</x:v>
      </x:c>
      <x:c r="X1820" s="38" t="n">
        <x:v>0</x:v>
      </x:c>
      <x:c r="Y1820" s="38" t="n">
        <x:v>0</x:v>
      </x:c>
      <x:c r="Z1820" s="38" t="n">
        <x:v>0</x:v>
      </x:c>
      <x:c r="AA1820" s="38" t="n">
        <x:v>0</x:v>
      </x:c>
      <x:c r="AB1820" s="38" t="n">
        <x:v>0</x:v>
      </x:c>
      <x:c r="AC1820" s="38" t="n">
        <x:v>0</x:v>
      </x:c>
      <x:c r="AD1820" s="28" t="n">
        <x:v>0</x:v>
      </x:c>
    </x:row>
    <x:row r="1821">
      <x:c r="A1821" s="32" t="n">
        <x:v>46293</x:v>
      </x:c>
      <x:c r="B1821" s="32" t="n">
        <x:v>46266</x:v>
      </x:c>
      <x:c r="C1821" t="str">
        <x:v>Sep 2026</x:v>
      </x:c>
      <x:c r="D1821" t="str">
        <x:v>Forecast</x:v>
      </x:c>
      <x:c r="E1821" t="str">
        <x:v>DB-105</x:v>
      </x:c>
      <x:c r="F1821" t="str">
        <x:v>DreamFuel Refill Pack</x:v>
      </x:c>
      <x:c r="G1821" t="str">
        <x:v>Subscription</x:v>
      </x:c>
      <x:c r="H1821" t="str">
        <x:v>None</x:v>
      </x:c>
      <x:c r="I1821" t="str">
        <x:v>Active</x:v>
      </x:c>
      <x:c r="J1821" t="str">
        <x:v>Shopify DTC</x:v>
      </x:c>
      <x:c r="K1821" t="str">
        <x:v>Consumer</x:v>
      </x:c>
      <x:c r="L1821" t="str">
        <x:v>All Geographies</x:v>
      </x:c>
      <x:c r="M1821" s="34" t="n">
        <x:v>5051</x:v>
      </x:c>
      <x:c r="N1821" s="28" t="n">
        <x:v>0.03888</x:v>
      </x:c>
      <x:c r="O1821" s="34" t="n">
        <x:v>196</x:v>
      </x:c>
      <x:c r="P1821" s="34" t="n">
        <x:v>1</x:v>
      </x:c>
      <x:c r="Q1821" s="34" t="n">
        <x:v>196</x:v>
      </x:c>
      <x:c r="R1821" s="33" t="n">
        <x:v>56</x:v>
      </x:c>
      <x:c r="S1821" s="38" t="n">
        <x:v>10.976</x:v>
      </x:c>
      <x:c r="T1821" s="38" t="n">
        <x:v>0.8780800000000001</x:v>
      </x:c>
      <x:c r="U1821" s="38" t="n">
        <x:v>0.2019584</x:v>
      </x:c>
      <x:c r="V1821" s="38" t="n">
        <x:v>9.8959616</x:v>
      </x:c>
      <x:c r="W1821" s="38" t="n">
        <x:v>3.64952</x:v>
      </x:c>
      <x:c r="X1821" s="38" t="n">
        <x:v>0.2869828864</x:v>
      </x:c>
      <x:c r="Y1821" s="38" t="n">
        <x:v>0</x:v>
      </x:c>
      <x:c r="Z1821" s="38" t="n">
        <x:v>0.8134000000000001</x:v>
      </x:c>
      <x:c r="AA1821" s="38" t="n">
        <x:v>0.32339999999999997</x:v>
      </x:c>
      <x:c r="AB1821" s="38" t="n">
        <x:v>0.0007055999999999999</x:v>
      </x:c>
      <x:c r="AC1821" s="38" t="n">
        <x:v>4.8219531136</x:v>
      </x:c>
      <x:c r="AD1821" s="28" t="n">
        <x:v>0.4872647357079478</x:v>
      </x:c>
    </x:row>
    <x:row r="1822">
      <x:c r="A1822" s="32" t="n">
        <x:v>46293</x:v>
      </x:c>
      <x:c r="B1822" s="32" t="n">
        <x:v>46266</x:v>
      </x:c>
      <x:c r="C1822" t="str">
        <x:v>Sep 2026</x:v>
      </x:c>
      <x:c r="D1822" t="str">
        <x:v>Forecast</x:v>
      </x:c>
      <x:c r="E1822" t="str">
        <x:v>DB-105</x:v>
      </x:c>
      <x:c r="F1822" t="str">
        <x:v>DreamFuel Refill Pack</x:v>
      </x:c>
      <x:c r="G1822" t="str">
        <x:v>Subscription</x:v>
      </x:c>
      <x:c r="H1822" t="str">
        <x:v>None</x:v>
      </x:c>
      <x:c r="I1822" t="str">
        <x:v>Active</x:v>
      </x:c>
      <x:c r="J1822" t="str">
        <x:v>Amazon Marketplace</x:v>
      </x:c>
      <x:c r="K1822" t="str">
        <x:v>Marketplace Consumer</x:v>
      </x:c>
      <x:c r="L1822" t="str">
        <x:v>All Geographies</x:v>
      </x:c>
      <x:c r="M1822" s="34" t="n">
        <x:v>2525</x:v>
      </x:c>
      <x:c r="N1822" s="28" t="n">
        <x:v>0.0458784</x:v>
      </x:c>
      <x:c r="O1822" s="34" t="n">
        <x:v>116</x:v>
      </x:c>
      <x:c r="P1822" s="34" t="n">
        <x:v>1</x:v>
      </x:c>
      <x:c r="Q1822" s="34" t="n">
        <x:v>116</x:v>
      </x:c>
      <x:c r="R1822" s="33" t="n">
        <x:v>56</x:v>
      </x:c>
      <x:c r="S1822" s="38" t="n">
        <x:v>6.496</x:v>
      </x:c>
      <x:c r="T1822" s="38" t="n">
        <x:v>0.32480000000000003</x:v>
      </x:c>
      <x:c r="U1822" s="38" t="n">
        <x:v>0.12342400000000002</x:v>
      </x:c>
      <x:c r="V1822" s="38" t="n">
        <x:v>6.047776000000001</x:v>
      </x:c>
      <x:c r="W1822" s="38" t="n">
        <x:v>2.15992</x:v>
      </x:c>
      <x:c r="X1822" s="38" t="n">
        <x:v>0</x:v>
      </x:c>
      <x:c r="Y1822" s="38" t="n">
        <x:v>0.9071664</x:v>
      </x:c>
      <x:c r="Z1822" s="38" t="n">
        <x:v>0.6032000000000001</x:v>
      </x:c>
      <x:c r="AA1822" s="38" t="n">
        <x:v>0.24939999999999998</x:v>
      </x:c>
      <x:c r="AB1822" s="38" t="n">
        <x:v>0.0004176</x:v>
      </x:c>
      <x:c r="AC1822" s="38" t="n">
        <x:v>2.1276720000000005</x:v>
      </x:c>
      <x:c r="AD1822" s="28" t="n">
        <x:v>0.35181064907165877</x:v>
      </x:c>
    </x:row>
    <x:row r="1823">
      <x:c r="A1823" s="32" t="n">
        <x:v>46293</x:v>
      </x:c>
      <x:c r="B1823" s="32" t="n">
        <x:v>46266</x:v>
      </x:c>
      <x:c r="C1823" t="str">
        <x:v>Sep 2026</x:v>
      </x:c>
      <x:c r="D1823" t="str">
        <x:v>Forecast</x:v>
      </x:c>
      <x:c r="E1823" t="str">
        <x:v>DB-105</x:v>
      </x:c>
      <x:c r="F1823" t="str">
        <x:v>DreamFuel Refill Pack</x:v>
      </x:c>
      <x:c r="G1823" t="str">
        <x:v>Subscription</x:v>
      </x:c>
      <x:c r="H1823" t="str">
        <x:v>None</x:v>
      </x:c>
      <x:c r="I1823" t="str">
        <x:v>Active</x:v>
      </x:c>
      <x:c r="J1823" t="str">
        <x:v>Wholesale</x:v>
      </x:c>
      <x:c r="K1823" t="str">
        <x:v>Retailer</x:v>
      </x:c>
      <x:c r="L1823" t="str">
        <x:v>All Geographies</x:v>
      </x:c>
      <x:c r="M1823" s="34" t="n">
        <x:v>1515</x:v>
      </x:c>
      <x:c r="N1823" s="28" t="n">
        <x:v>0.021384000000000004</x:v>
      </x:c>
      <x:c r="O1823" s="34" t="n">
        <x:v>32</x:v>
      </x:c>
      <x:c r="P1823" s="34" t="n">
        <x:v>1</x:v>
      </x:c>
      <x:c r="Q1823" s="34" t="n">
        <x:v>32</x:v>
      </x:c>
      <x:c r="R1823" s="33" t="n">
        <x:v>56</x:v>
      </x:c>
      <x:c r="S1823" s="38" t="n">
        <x:v>1.792</x:v>
      </x:c>
      <x:c r="T1823" s="38" t="n">
        <x:v>0.6272</x:v>
      </x:c>
      <x:c r="U1823" s="38" t="n">
        <x:v>0.023296</x:v>
      </x:c>
      <x:c r="V1823" s="38" t="n">
        <x:v>1.141504</x:v>
      </x:c>
      <x:c r="W1823" s="38" t="n">
        <x:v>0.59584</x:v>
      </x:c>
      <x:c r="X1823" s="38" t="n">
        <x:v>0</x:v>
      </x:c>
      <x:c r="Y1823" s="38" t="n">
        <x:v>0</x:v>
      </x:c>
      <x:c r="Z1823" s="38" t="n">
        <x:v>0.0736</x:v>
      </x:c>
      <x:c r="AA1823" s="38" t="n">
        <x:v>0.0272</x:v>
      </x:c>
      <x:c r="AB1823" s="38" t="n">
        <x:v>0.0001152</x:v>
      </x:c>
      <x:c r="AC1823" s="38" t="n">
        <x:v>0.44474880000000006</x:v>
      </x:c>
      <x:c r="AD1823" s="28" t="n">
        <x:v>0.3896165059430366</x:v>
      </x:c>
    </x:row>
    <x:row r="1824">
      <x:c r="A1824" s="32" t="n">
        <x:v>46293</x:v>
      </x:c>
      <x:c r="B1824" s="32" t="n">
        <x:v>46266</x:v>
      </x:c>
      <x:c r="C1824" t="str">
        <x:v>Sep 2026</x:v>
      </x:c>
      <x:c r="D1824" t="str">
        <x:v>Forecast</x:v>
      </x:c>
      <x:c r="E1824" t="str">
        <x:v>DB-105</x:v>
      </x:c>
      <x:c r="F1824" t="str">
        <x:v>DreamFuel Refill Pack</x:v>
      </x:c>
      <x:c r="G1824" t="str">
        <x:v>Subscription</x:v>
      </x:c>
      <x:c r="H1824" t="str">
        <x:v>None</x:v>
      </x:c>
      <x:c r="I1824" t="str">
        <x:v>Active</x:v>
      </x:c>
      <x:c r="J1824" t="str">
        <x:v>TikTok Shop</x:v>
      </x:c>
      <x:c r="K1824" t="str">
        <x:v>Social Commerce</x:v>
      </x:c>
      <x:c r="L1824" t="str">
        <x:v>All Geographies</x:v>
      </x:c>
      <x:c r="M1824" s="34" t="n">
        <x:v>1010</x:v>
      </x:c>
      <x:c r="N1824" s="28" t="n">
        <x:v>0.0489888</x:v>
      </x:c>
      <x:c r="O1824" s="34" t="n">
        <x:v>49</x:v>
      </x:c>
      <x:c r="P1824" s="34" t="n">
        <x:v>1</x:v>
      </x:c>
      <x:c r="Q1824" s="34" t="n">
        <x:v>49</x:v>
      </x:c>
      <x:c r="R1824" s="33" t="n">
        <x:v>56</x:v>
      </x:c>
      <x:c r="S1824" s="38" t="n">
        <x:v>2.744</x:v>
      </x:c>
      <x:c r="T1824" s="38" t="n">
        <x:v>0.32928</x:v>
      </x:c>
      <x:c r="U1824" s="38" t="n">
        <x:v>0.0482944</x:v>
      </x:c>
      <x:c r="V1824" s="38" t="n">
        <x:v>2.3664256</x:v>
      </x:c>
      <x:c r="W1824" s="38" t="n">
        <x:v>0.91238</x:v>
      </x:c>
      <x:c r="X1824" s="38" t="n">
        <x:v>0.0686263424</x:v>
      </x:c>
      <x:c r="Y1824" s="38" t="n">
        <x:v>0.141985536</x:v>
      </x:c>
      <x:c r="Z1824" s="38" t="n">
        <x:v>0.24989999999999998</x:v>
      </x:c>
      <x:c r="AA1824" s="38" t="n">
        <x:v>0.08575</x:v>
      </x:c>
      <x:c r="AB1824" s="38" t="n">
        <x:v>0.00017639999999999998</x:v>
      </x:c>
      <x:c r="AC1824" s="38" t="n">
        <x:v>0.9076073216</x:v>
      </x:c>
      <x:c r="AD1824" s="28" t="n">
        <x:v>0.3835351179432812</x:v>
      </x:c>
    </x:row>
    <x:row r="1825">
      <x:c r="A1825" s="32" t="n">
        <x:v>46300</x:v>
      </x:c>
      <x:c r="B1825" s="32" t="n">
        <x:v>46296</x:v>
      </x:c>
      <x:c r="C1825" t="str">
        <x:v>Oct 2026</x:v>
      </x:c>
      <x:c r="D1825" t="str">
        <x:v>Forecast</x:v>
      </x:c>
      <x:c r="E1825" t="str">
        <x:v>DB-101</x:v>
      </x:c>
      <x:c r="F1825" t="str">
        <x:v>AeroSip Bottle</x:v>
      </x:c>
      <x:c r="G1825" t="str">
        <x:v>One-time purchase</x:v>
      </x:c>
      <x:c r="H1825" t="str">
        <x:v>None</x:v>
      </x:c>
      <x:c r="I1825" t="str">
        <x:v>Active</x:v>
      </x:c>
      <x:c r="J1825" t="str">
        <x:v>Shopify DTC</x:v>
      </x:c>
      <x:c r="K1825" t="str">
        <x:v>Consumer</x:v>
      </x:c>
      <x:c r="L1825" t="str">
        <x:v>All Geographies</x:v>
      </x:c>
      <x:c r="M1825" s="34" t="n">
        <x:v>7296</x:v>
      </x:c>
      <x:c r="N1825" s="28" t="n">
        <x:v>0.034199999999999994</x:v>
      </x:c>
      <x:c r="O1825" s="34" t="n">
        <x:v>250</x:v>
      </x:c>
      <x:c r="P1825" s="34" t="n">
        <x:v>1</x:v>
      </x:c>
      <x:c r="Q1825" s="34" t="n">
        <x:v>250</x:v>
      </x:c>
      <x:c r="R1825" s="33" t="n">
        <x:v>29</x:v>
      </x:c>
      <x:c r="S1825" s="38" t="n">
        <x:v>7.25</x:v>
      </x:c>
      <x:c r="T1825" s="38" t="n">
        <x:v>0.58</x:v>
      </x:c>
      <x:c r="U1825" s="38" t="n">
        <x:v>0.30015</x:v>
      </x:c>
      <x:c r="V1825" s="38" t="n">
        <x:v>6.36985</x:v>
      </x:c>
      <x:c r="W1825" s="38" t="n">
        <x:v>2.7</x:v>
      </x:c>
      <x:c r="X1825" s="38" t="n">
        <x:v>0.18472565</x:v>
      </x:c>
      <x:c r="Y1825" s="38" t="n">
        <x:v>0</x:v>
      </x:c>
      <x:c r="Z1825" s="38" t="n">
        <x:v>1.0375</x:v>
      </x:c>
      <x:c r="AA1825" s="38" t="n">
        <x:v>0.4125</x:v>
      </x:c>
      <x:c r="AB1825" s="38" t="n">
        <x:v>0.009</x:v>
      </x:c>
      <x:c r="AC1825" s="38" t="n">
        <x:v>2.0261243499999995</x:v>
      </x:c>
      <x:c r="AD1825" s="28" t="n">
        <x:v>0.31808038650831644</x:v>
      </x:c>
    </x:row>
    <x:row r="1826">
      <x:c r="A1826" s="32" t="n">
        <x:v>46300</x:v>
      </x:c>
      <x:c r="B1826" s="32" t="n">
        <x:v>46296</x:v>
      </x:c>
      <x:c r="C1826" t="str">
        <x:v>Oct 2026</x:v>
      </x:c>
      <x:c r="D1826" t="str">
        <x:v>Forecast</x:v>
      </x:c>
      <x:c r="E1826" t="str">
        <x:v>DB-101</x:v>
      </x:c>
      <x:c r="F1826" t="str">
        <x:v>AeroSip Bottle</x:v>
      </x:c>
      <x:c r="G1826" t="str">
        <x:v>One-time purchase</x:v>
      </x:c>
      <x:c r="H1826" t="str">
        <x:v>None</x:v>
      </x:c>
      <x:c r="I1826" t="str">
        <x:v>Active</x:v>
      </x:c>
      <x:c r="J1826" t="str">
        <x:v>Amazon Marketplace</x:v>
      </x:c>
      <x:c r="K1826" t="str">
        <x:v>Marketplace Consumer</x:v>
      </x:c>
      <x:c r="L1826" t="str">
        <x:v>All Geographies</x:v>
      </x:c>
      <x:c r="M1826" s="34" t="n">
        <x:v>3648</x:v>
      </x:c>
      <x:c r="N1826" s="28" t="n">
        <x:v>0.040355999999999996</x:v>
      </x:c>
      <x:c r="O1826" s="34" t="n">
        <x:v>147</x:v>
      </x:c>
      <x:c r="P1826" s="34" t="n">
        <x:v>1</x:v>
      </x:c>
      <x:c r="Q1826" s="34" t="n">
        <x:v>147</x:v>
      </x:c>
      <x:c r="R1826" s="33" t="n">
        <x:v>29</x:v>
      </x:c>
      <x:c r="S1826" s="38" t="n">
        <x:v>4.263</x:v>
      </x:c>
      <x:c r="T1826" s="38" t="n">
        <x:v>0.21315</x:v>
      </x:c>
      <x:c r="U1826" s="38" t="n">
        <x:v>0.18224325</x:v>
      </x:c>
      <x:c r="V1826" s="38" t="n">
        <x:v>3.86760675</x:v>
      </x:c>
      <x:c r="W1826" s="38" t="n">
        <x:v>1.5876000000000001</x:v>
      </x:c>
      <x:c r="X1826" s="38" t="n">
        <x:v>0</x:v>
      </x:c>
      <x:c r="Y1826" s="38" t="n">
        <x:v>0.5801410125</x:v>
      </x:c>
      <x:c r="Z1826" s="38" t="n">
        <x:v>0.7644</x:v>
      </x:c>
      <x:c r="AA1826" s="38" t="n">
        <x:v>0.31605</x:v>
      </x:c>
      <x:c r="AB1826" s="38" t="n">
        <x:v>0.005292</x:v>
      </x:c>
      <x:c r="AC1826" s="38" t="n">
        <x:v>0.6141237375000003</x:v>
      </x:c>
      <x:c r="AD1826" s="28" t="n">
        <x:v>0.15878649955815705</x:v>
      </x:c>
    </x:row>
    <x:row r="1827">
      <x:c r="A1827" s="32" t="n">
        <x:v>46300</x:v>
      </x:c>
      <x:c r="B1827" s="32" t="n">
        <x:v>46296</x:v>
      </x:c>
      <x:c r="C1827" t="str">
        <x:v>Oct 2026</x:v>
      </x:c>
      <x:c r="D1827" t="str">
        <x:v>Forecast</x:v>
      </x:c>
      <x:c r="E1827" t="str">
        <x:v>DB-101</x:v>
      </x:c>
      <x:c r="F1827" t="str">
        <x:v>AeroSip Bottle</x:v>
      </x:c>
      <x:c r="G1827" t="str">
        <x:v>One-time purchase</x:v>
      </x:c>
      <x:c r="H1827" t="str">
        <x:v>None</x:v>
      </x:c>
      <x:c r="I1827" t="str">
        <x:v>Active</x:v>
      </x:c>
      <x:c r="J1827" t="str">
        <x:v>Wholesale</x:v>
      </x:c>
      <x:c r="K1827" t="str">
        <x:v>Retailer</x:v>
      </x:c>
      <x:c r="L1827" t="str">
        <x:v>All Geographies</x:v>
      </x:c>
      <x:c r="M1827" s="34" t="n">
        <x:v>2189</x:v>
      </x:c>
      <x:c r="N1827" s="28" t="n">
        <x:v>0.01881</x:v>
      </x:c>
      <x:c r="O1827" s="34" t="n">
        <x:v>41</x:v>
      </x:c>
      <x:c r="P1827" s="34" t="n">
        <x:v>1</x:v>
      </x:c>
      <x:c r="Q1827" s="34" t="n">
        <x:v>41</x:v>
      </x:c>
      <x:c r="R1827" s="33" t="n">
        <x:v>29</x:v>
      </x:c>
      <x:c r="S1827" s="38" t="n">
        <x:v>1.189</x:v>
      </x:c>
      <x:c r="T1827" s="38" t="n">
        <x:v>0.41615</x:v>
      </x:c>
      <x:c r="U1827" s="38" t="n">
        <x:v>0.034778250000000004</x:v>
      </x:c>
      <x:c r="V1827" s="38" t="n">
        <x:v>0.73807175</x:v>
      </x:c>
      <x:c r="W1827" s="38" t="n">
        <x:v>0.4428</x:v>
      </x:c>
      <x:c r="X1827" s="38" t="n">
        <x:v>0</x:v>
      </x:c>
      <x:c r="Y1827" s="38" t="n">
        <x:v>0</x:v>
      </x:c>
      <x:c r="Z1827" s="38" t="n">
        <x:v>0.0943</x:v>
      </x:c>
      <x:c r="AA1827" s="38" t="n">
        <x:v>0.03485</x:v>
      </x:c>
      <x:c r="AB1827" s="38" t="n">
        <x:v>0.0014759999999999999</x:v>
      </x:c>
      <x:c r="AC1827" s="38" t="n">
        <x:v>0.16464575</x:v>
      </x:c>
      <x:c r="AD1827" s="28" t="n">
        <x:v>0.22307553432305194</x:v>
      </x:c>
    </x:row>
    <x:row r="1828">
      <x:c r="A1828" s="32" t="n">
        <x:v>46300</x:v>
      </x:c>
      <x:c r="B1828" s="32" t="n">
        <x:v>46296</x:v>
      </x:c>
      <x:c r="C1828" t="str">
        <x:v>Oct 2026</x:v>
      </x:c>
      <x:c r="D1828" t="str">
        <x:v>Forecast</x:v>
      </x:c>
      <x:c r="E1828" t="str">
        <x:v>DB-101</x:v>
      </x:c>
      <x:c r="F1828" t="str">
        <x:v>AeroSip Bottle</x:v>
      </x:c>
      <x:c r="G1828" t="str">
        <x:v>One-time purchase</x:v>
      </x:c>
      <x:c r="H1828" t="str">
        <x:v>None</x:v>
      </x:c>
      <x:c r="I1828" t="str">
        <x:v>Active</x:v>
      </x:c>
      <x:c r="J1828" t="str">
        <x:v>TikTok Shop</x:v>
      </x:c>
      <x:c r="K1828" t="str">
        <x:v>Social Commerce</x:v>
      </x:c>
      <x:c r="L1828" t="str">
        <x:v>All Geographies</x:v>
      </x:c>
      <x:c r="M1828" s="34" t="n">
        <x:v>1459</x:v>
      </x:c>
      <x:c r="N1828" s="28" t="n">
        <x:v>0.043092</x:v>
      </x:c>
      <x:c r="O1828" s="34" t="n">
        <x:v>63</x:v>
      </x:c>
      <x:c r="P1828" s="34" t="n">
        <x:v>1</x:v>
      </x:c>
      <x:c r="Q1828" s="34" t="n">
        <x:v>63</x:v>
      </x:c>
      <x:c r="R1828" s="33" t="n">
        <x:v>29</x:v>
      </x:c>
      <x:c r="S1828" s="38" t="n">
        <x:v>1.827</x:v>
      </x:c>
      <x:c r="T1828" s="38" t="n">
        <x:v>0.21924</x:v>
      </x:c>
      <x:c r="U1828" s="38" t="n">
        <x:v>0.07234919999999999</x:v>
      </x:c>
      <x:c r="V1828" s="38" t="n">
        <x:v>1.5354108</x:v>
      </x:c>
      <x:c r="W1828" s="38" t="n">
        <x:v>0.6804000000000001</x:v>
      </x:c>
      <x:c r="X1828" s="38" t="n">
        <x:v>0.044526913200000004</x:v>
      </x:c>
      <x:c r="Y1828" s="38" t="n">
        <x:v>0.09212464799999999</x:v>
      </x:c>
      <x:c r="Z1828" s="38" t="n">
        <x:v>0.3213</x:v>
      </x:c>
      <x:c r="AA1828" s="38" t="n">
        <x:v>0.11025</x:v>
      </x:c>
      <x:c r="AB1828" s="38" t="n">
        <x:v>0.0022679999999999996</x:v>
      </x:c>
      <x:c r="AC1828" s="38" t="n">
        <x:v>0.2845412387999999</x:v>
      </x:c>
      <x:c r="AD1828" s="28" t="n">
        <x:v>0.18531928966501987</x:v>
      </x:c>
    </x:row>
    <x:row r="1829">
      <x:c r="A1829" s="32" t="n">
        <x:v>46300</x:v>
      </x:c>
      <x:c r="B1829" s="32" t="n">
        <x:v>46296</x:v>
      </x:c>
      <x:c r="C1829" t="str">
        <x:v>Oct 2026</x:v>
      </x:c>
      <x:c r="D1829" t="str">
        <x:v>Forecast</x:v>
      </x:c>
      <x:c r="E1829" t="str">
        <x:v>DB-102</x:v>
      </x:c>
      <x:c r="F1829" t="str">
        <x:v>GlowPatch Balm</x:v>
      </x:c>
      <x:c r="G1829" t="str">
        <x:v>Consumable repeat</x:v>
      </x:c>
      <x:c r="H1829" t="str">
        <x:v>None</x:v>
      </x:c>
      <x:c r="I1829" t="str">
        <x:v>Active</x:v>
      </x:c>
      <x:c r="J1829" t="str">
        <x:v>Shopify DTC</x:v>
      </x:c>
      <x:c r="K1829" t="str">
        <x:v>Consumer</x:v>
      </x:c>
      <x:c r="L1829" t="str">
        <x:v>All Geographies</x:v>
      </x:c>
      <x:c r="M1829" s="34" t="n">
        <x:v>5893</x:v>
      </x:c>
      <x:c r="N1829" s="28" t="n">
        <x:v>0.04248</x:v>
      </x:c>
      <x:c r="O1829" s="34" t="n">
        <x:v>250</x:v>
      </x:c>
      <x:c r="P1829" s="34" t="n">
        <x:v>1</x:v>
      </x:c>
      <x:c r="Q1829" s="34" t="n">
        <x:v>250</x:v>
      </x:c>
      <x:c r="R1829" s="33" t="n">
        <x:v>18</x:v>
      </x:c>
      <x:c r="S1829" s="38" t="n">
        <x:v>4.5</x:v>
      </x:c>
      <x:c r="T1829" s="38" t="n">
        <x:v>0.36</x:v>
      </x:c>
      <x:c r="U1829" s="38" t="n">
        <x:v>0.1035</x:v>
      </x:c>
      <x:c r="V1829" s="38" t="n">
        <x:v>4.036499999999999</x:v>
      </x:c>
      <x:c r="W1829" s="38" t="n">
        <x:v>1.3525</x:v>
      </x:c>
      <x:c r="X1829" s="38" t="n">
        <x:v>0.11705849999999998</x:v>
      </x:c>
      <x:c r="Y1829" s="38" t="n">
        <x:v>0</x:v>
      </x:c>
      <x:c r="Z1829" s="38" t="n">
        <x:v>1.0375</x:v>
      </x:c>
      <x:c r="AA1829" s="38" t="n">
        <x:v>0.4125</x:v>
      </x:c>
      <x:c r="AB1829" s="38" t="n">
        <x:v>0.0015</x:v>
      </x:c>
      <x:c r="AC1829" s="38" t="n">
        <x:v>1.1154414999999989</x:v>
      </x:c>
      <x:c r="AD1829" s="28" t="n">
        <x:v>0.2763387835996529</x:v>
      </x:c>
    </x:row>
    <x:row r="1830">
      <x:c r="A1830" s="32" t="n">
        <x:v>46300</x:v>
      </x:c>
      <x:c r="B1830" s="32" t="n">
        <x:v>46296</x:v>
      </x:c>
      <x:c r="C1830" t="str">
        <x:v>Oct 2026</x:v>
      </x:c>
      <x:c r="D1830" t="str">
        <x:v>Forecast</x:v>
      </x:c>
      <x:c r="E1830" t="str">
        <x:v>DB-102</x:v>
      </x:c>
      <x:c r="F1830" t="str">
        <x:v>GlowPatch Balm</x:v>
      </x:c>
      <x:c r="G1830" t="str">
        <x:v>Consumable repeat</x:v>
      </x:c>
      <x:c r="H1830" t="str">
        <x:v>None</x:v>
      </x:c>
      <x:c r="I1830" t="str">
        <x:v>Active</x:v>
      </x:c>
      <x:c r="J1830" t="str">
        <x:v>Amazon Marketplace</x:v>
      </x:c>
      <x:c r="K1830" t="str">
        <x:v>Marketplace Consumer</x:v>
      </x:c>
      <x:c r="L1830" t="str">
        <x:v>All Geographies</x:v>
      </x:c>
      <x:c r="M1830" s="34" t="n">
        <x:v>2946</x:v>
      </x:c>
      <x:c r="N1830" s="28" t="n">
        <x:v>0.050126399999999995</x:v>
      </x:c>
      <x:c r="O1830" s="34" t="n">
        <x:v>148</x:v>
      </x:c>
      <x:c r="P1830" s="34" t="n">
        <x:v>1</x:v>
      </x:c>
      <x:c r="Q1830" s="34" t="n">
        <x:v>148</x:v>
      </x:c>
      <x:c r="R1830" s="33" t="n">
        <x:v>18</x:v>
      </x:c>
      <x:c r="S1830" s="38" t="n">
        <x:v>2.664</x:v>
      </x:c>
      <x:c r="T1830" s="38" t="n">
        <x:v>0.1332</x:v>
      </x:c>
      <x:c r="U1830" s="38" t="n">
        <x:v>0.06327</x:v>
      </x:c>
      <x:c r="V1830" s="38" t="n">
        <x:v>2.46753</x:v>
      </x:c>
      <x:c r="W1830" s="38" t="n">
        <x:v>0.8006800000000001</x:v>
      </x:c>
      <x:c r="X1830" s="38" t="n">
        <x:v>0</x:v>
      </x:c>
      <x:c r="Y1830" s="38" t="n">
        <x:v>0.3701295</x:v>
      </x:c>
      <x:c r="Z1830" s="38" t="n">
        <x:v>0.7696000000000001</x:v>
      </x:c>
      <x:c r="AA1830" s="38" t="n">
        <x:v>0.3182</x:v>
      </x:c>
      <x:c r="AB1830" s="38" t="n">
        <x:v>0.0008879999999999999</x:v>
      </x:c>
      <x:c r="AC1830" s="38" t="n">
        <x:v>0.2080324999999999</x:v>
      </x:c>
      <x:c r="AD1830" s="28" t="n">
        <x:v>0.084307992202729</x:v>
      </x:c>
    </x:row>
    <x:row r="1831">
      <x:c r="A1831" s="32" t="n">
        <x:v>46300</x:v>
      </x:c>
      <x:c r="B1831" s="32" t="n">
        <x:v>46296</x:v>
      </x:c>
      <x:c r="C1831" t="str">
        <x:v>Oct 2026</x:v>
      </x:c>
      <x:c r="D1831" t="str">
        <x:v>Forecast</x:v>
      </x:c>
      <x:c r="E1831" t="str">
        <x:v>DB-102</x:v>
      </x:c>
      <x:c r="F1831" t="str">
        <x:v>GlowPatch Balm</x:v>
      </x:c>
      <x:c r="G1831" t="str">
        <x:v>Consumable repeat</x:v>
      </x:c>
      <x:c r="H1831" t="str">
        <x:v>None</x:v>
      </x:c>
      <x:c r="I1831" t="str">
        <x:v>Active</x:v>
      </x:c>
      <x:c r="J1831" t="str">
        <x:v>Wholesale</x:v>
      </x:c>
      <x:c r="K1831" t="str">
        <x:v>Retailer</x:v>
      </x:c>
      <x:c r="L1831" t="str">
        <x:v>All Geographies</x:v>
      </x:c>
      <x:c r="M1831" s="34" t="n">
        <x:v>1768</x:v>
      </x:c>
      <x:c r="N1831" s="28" t="n">
        <x:v>0.023364</x:v>
      </x:c>
      <x:c r="O1831" s="34" t="n">
        <x:v>41</x:v>
      </x:c>
      <x:c r="P1831" s="34" t="n">
        <x:v>1</x:v>
      </x:c>
      <x:c r="Q1831" s="34" t="n">
        <x:v>41</x:v>
      </x:c>
      <x:c r="R1831" s="33" t="n">
        <x:v>18</x:v>
      </x:c>
      <x:c r="S1831" s="38" t="n">
        <x:v>0.738</x:v>
      </x:c>
      <x:c r="T1831" s="38" t="n">
        <x:v>0.2583</x:v>
      </x:c>
      <x:c r="U1831" s="38" t="n">
        <x:v>0.011992500000000001</x:v>
      </x:c>
      <x:c r="V1831" s="38" t="n">
        <x:v>0.4677075</x:v>
      </x:c>
      <x:c r="W1831" s="38" t="n">
        <x:v>0.22181</x:v>
      </x:c>
      <x:c r="X1831" s="38" t="n">
        <x:v>0</x:v>
      </x:c>
      <x:c r="Y1831" s="38" t="n">
        <x:v>0</x:v>
      </x:c>
      <x:c r="Z1831" s="38" t="n">
        <x:v>0.0943</x:v>
      </x:c>
      <x:c r="AA1831" s="38" t="n">
        <x:v>0.03485</x:v>
      </x:c>
      <x:c r="AB1831" s="38" t="n">
        <x:v>0.000246</x:v>
      </x:c>
      <x:c r="AC1831" s="38" t="n">
        <x:v>0.11650150000000001</x:v>
      </x:c>
      <x:c r="AD1831" s="28" t="n">
        <x:v>0.2490905106289722</x:v>
      </x:c>
    </x:row>
    <x:row r="1832">
      <x:c r="A1832" s="32" t="n">
        <x:v>46300</x:v>
      </x:c>
      <x:c r="B1832" s="32" t="n">
        <x:v>46296</x:v>
      </x:c>
      <x:c r="C1832" t="str">
        <x:v>Oct 2026</x:v>
      </x:c>
      <x:c r="D1832" t="str">
        <x:v>Forecast</x:v>
      </x:c>
      <x:c r="E1832" t="str">
        <x:v>DB-102</x:v>
      </x:c>
      <x:c r="F1832" t="str">
        <x:v>GlowPatch Balm</x:v>
      </x:c>
      <x:c r="G1832" t="str">
        <x:v>Consumable repeat</x:v>
      </x:c>
      <x:c r="H1832" t="str">
        <x:v>None</x:v>
      </x:c>
      <x:c r="I1832" t="str">
        <x:v>Active</x:v>
      </x:c>
      <x:c r="J1832" t="str">
        <x:v>TikTok Shop</x:v>
      </x:c>
      <x:c r="K1832" t="str">
        <x:v>Social Commerce</x:v>
      </x:c>
      <x:c r="L1832" t="str">
        <x:v>All Geographies</x:v>
      </x:c>
      <x:c r="M1832" s="34" t="n">
        <x:v>1179</x:v>
      </x:c>
      <x:c r="N1832" s="28" t="n">
        <x:v>0.0535248</x:v>
      </x:c>
      <x:c r="O1832" s="34" t="n">
        <x:v>63</x:v>
      </x:c>
      <x:c r="P1832" s="34" t="n">
        <x:v>1</x:v>
      </x:c>
      <x:c r="Q1832" s="34" t="n">
        <x:v>63</x:v>
      </x:c>
      <x:c r="R1832" s="33" t="n">
        <x:v>18</x:v>
      </x:c>
      <x:c r="S1832" s="38" t="n">
        <x:v>1.134</x:v>
      </x:c>
      <x:c r="T1832" s="38" t="n">
        <x:v>0.13607999999999998</x:v>
      </x:c>
      <x:c r="U1832" s="38" t="n">
        <x:v>0.024947999999999998</x:v>
      </x:c>
      <x:c r="V1832" s="38" t="n">
        <x:v>0.972972</x:v>
      </x:c>
      <x:c r="W1832" s="38" t="n">
        <x:v>0.34082999999999997</x:v>
      </x:c>
      <x:c r="X1832" s="38" t="n">
        <x:v>0.028216188</x:v>
      </x:c>
      <x:c r="Y1832" s="38" t="n">
        <x:v>0.05837832</x:v>
      </x:c>
      <x:c r="Z1832" s="38" t="n">
        <x:v>0.3213</x:v>
      </x:c>
      <x:c r="AA1832" s="38" t="n">
        <x:v>0.11025</x:v>
      </x:c>
      <x:c r="AB1832" s="38" t="n">
        <x:v>0.000378</x:v>
      </x:c>
      <x:c r="AC1832" s="38" t="n">
        <x:v>0.11361949199999999</x:v>
      </x:c>
      <x:c r="AD1832" s="28" t="n">
        <x:v>0.11677570577570577</x:v>
      </x:c>
    </x:row>
    <x:row r="1833">
      <x:c r="A1833" s="32" t="n">
        <x:v>46300</x:v>
      </x:c>
      <x:c r="B1833" s="32" t="n">
        <x:v>46296</x:v>
      </x:c>
      <x:c r="C1833" t="str">
        <x:v>Oct 2026</x:v>
      </x:c>
      <x:c r="D1833" t="str">
        <x:v>Forecast</x:v>
      </x:c>
      <x:c r="E1833" t="str">
        <x:v>DB-103</x:v>
      </x:c>
      <x:c r="F1833" t="str">
        <x:v>EmberTrail Camp Mug</x:v>
      </x:c>
      <x:c r="G1833" t="str">
        <x:v>One-time purchase</x:v>
      </x:c>
      <x:c r="H1833" t="str">
        <x:v>Winter peak</x:v>
      </x:c>
      <x:c r="I1833" t="str">
        <x:v>Active</x:v>
      </x:c>
      <x:c r="J1833" t="str">
        <x:v>Shopify DTC</x:v>
      </x:c>
      <x:c r="K1833" t="str">
        <x:v>Consumer</x:v>
      </x:c>
      <x:c r="L1833" t="str">
        <x:v>All Geographies</x:v>
      </x:c>
      <x:c r="M1833" s="34" t="n">
        <x:v>5960</x:v>
      </x:c>
      <x:c r="N1833" s="28" t="n">
        <x:v>0.0324</x:v>
      </x:c>
      <x:c r="O1833" s="34" t="n">
        <x:v>193</x:v>
      </x:c>
      <x:c r="P1833" s="34" t="n">
        <x:v>1</x:v>
      </x:c>
      <x:c r="Q1833" s="34" t="n">
        <x:v>193</x:v>
      </x:c>
      <x:c r="R1833" s="33" t="n">
        <x:v>34</x:v>
      </x:c>
      <x:c r="S1833" s="38" t="n">
        <x:v>6.562</x:v>
      </x:c>
      <x:c r="T1833" s="38" t="n">
        <x:v>0.52496</x:v>
      </x:c>
      <x:c r="U1833" s="38" t="n">
        <x:v>0.33203720000000003</x:v>
      </x:c>
      <x:c r="V1833" s="38" t="n">
        <x:v>5.7050028</x:v>
      </x:c>
      <x:c r="W1833" s="38" t="n">
        <x:v>2.63831</x:v>
      </x:c>
      <x:c r="X1833" s="38" t="n">
        <x:v>0.1654450812</x:v>
      </x:c>
      <x:c r="Y1833" s="38" t="n">
        <x:v>0</x:v>
      </x:c>
      <x:c r="Z1833" s="38" t="n">
        <x:v>0.80095</x:v>
      </x:c>
      <x:c r="AA1833" s="38" t="n">
        <x:v>0.31845</x:v>
      </x:c>
      <x:c r="AB1833" s="38" t="n">
        <x:v>0.010808</x:v>
      </x:c>
      <x:c r="AC1833" s="38" t="n">
        <x:v>1.7710397187999996</x:v>
      </x:c>
      <x:c r="AD1833" s="28" t="n">
        <x:v>0.3104362575948253</x:v>
      </x:c>
    </x:row>
    <x:row r="1834">
      <x:c r="A1834" s="32" t="n">
        <x:v>46300</x:v>
      </x:c>
      <x:c r="B1834" s="32" t="n">
        <x:v>46296</x:v>
      </x:c>
      <x:c r="C1834" t="str">
        <x:v>Oct 2026</x:v>
      </x:c>
      <x:c r="D1834" t="str">
        <x:v>Forecast</x:v>
      </x:c>
      <x:c r="E1834" t="str">
        <x:v>DB-103</x:v>
      </x:c>
      <x:c r="F1834" t="str">
        <x:v>EmberTrail Camp Mug</x:v>
      </x:c>
      <x:c r="G1834" t="str">
        <x:v>One-time purchase</x:v>
      </x:c>
      <x:c r="H1834" t="str">
        <x:v>Winter peak</x:v>
      </x:c>
      <x:c r="I1834" t="str">
        <x:v>Active</x:v>
      </x:c>
      <x:c r="J1834" t="str">
        <x:v>Amazon Marketplace</x:v>
      </x:c>
      <x:c r="K1834" t="str">
        <x:v>Marketplace Consumer</x:v>
      </x:c>
      <x:c r="L1834" t="str">
        <x:v>All Geographies</x:v>
      </x:c>
      <x:c r="M1834" s="34" t="n">
        <x:v>2980</x:v>
      </x:c>
      <x:c r="N1834" s="28" t="n">
        <x:v>0.038231999999999995</x:v>
      </x:c>
      <x:c r="O1834" s="34" t="n">
        <x:v>114</x:v>
      </x:c>
      <x:c r="P1834" s="34" t="n">
        <x:v>1</x:v>
      </x:c>
      <x:c r="Q1834" s="34" t="n">
        <x:v>114</x:v>
      </x:c>
      <x:c r="R1834" s="33" t="n">
        <x:v>34</x:v>
      </x:c>
      <x:c r="S1834" s="38" t="n">
        <x:v>3.876</x:v>
      </x:c>
      <x:c r="T1834" s="38" t="n">
        <x:v>0.1938</x:v>
      </x:c>
      <x:c r="U1834" s="38" t="n">
        <x:v>0.202521</x:v>
      </x:c>
      <x:c r="V1834" s="38" t="n">
        <x:v>3.479679</x:v>
      </x:c>
      <x:c r="W1834" s="38" t="n">
        <x:v>1.5583799999999999</x:v>
      </x:c>
      <x:c r="X1834" s="38" t="n">
        <x:v>0</x:v>
      </x:c>
      <x:c r="Y1834" s="38" t="n">
        <x:v>0.52195185</x:v>
      </x:c>
      <x:c r="Z1834" s="38" t="n">
        <x:v>0.5928000000000001</x:v>
      </x:c>
      <x:c r="AA1834" s="38" t="n">
        <x:v>0.24509999999999998</x:v>
      </x:c>
      <x:c r="AB1834" s="38" t="n">
        <x:v>0.006384</x:v>
      </x:c>
      <x:c r="AC1834" s="38" t="n">
        <x:v>0.5550631500000001</x:v>
      </x:c>
      <x:c r="AD1834" s="28" t="n">
        <x:v>0.15951561911314235</x:v>
      </x:c>
    </x:row>
    <x:row r="1835">
      <x:c r="A1835" s="32" t="n">
        <x:v>46300</x:v>
      </x:c>
      <x:c r="B1835" s="32" t="n">
        <x:v>46296</x:v>
      </x:c>
      <x:c r="C1835" t="str">
        <x:v>Oct 2026</x:v>
      </x:c>
      <x:c r="D1835" t="str">
        <x:v>Forecast</x:v>
      </x:c>
      <x:c r="E1835" t="str">
        <x:v>DB-103</x:v>
      </x:c>
      <x:c r="F1835" t="str">
        <x:v>EmberTrail Camp Mug</x:v>
      </x:c>
      <x:c r="G1835" t="str">
        <x:v>One-time purchase</x:v>
      </x:c>
      <x:c r="H1835" t="str">
        <x:v>Winter peak</x:v>
      </x:c>
      <x:c r="I1835" t="str">
        <x:v>Active</x:v>
      </x:c>
      <x:c r="J1835" t="str">
        <x:v>Wholesale</x:v>
      </x:c>
      <x:c r="K1835" t="str">
        <x:v>Retailer</x:v>
      </x:c>
      <x:c r="L1835" t="str">
        <x:v>All Geographies</x:v>
      </x:c>
      <x:c r="M1835" s="34" t="n">
        <x:v>1788</x:v>
      </x:c>
      <x:c r="N1835" s="28" t="n">
        <x:v>0.017820000000000003</x:v>
      </x:c>
      <x:c r="O1835" s="34" t="n">
        <x:v>32</x:v>
      </x:c>
      <x:c r="P1835" s="34" t="n">
        <x:v>1</x:v>
      </x:c>
      <x:c r="Q1835" s="34" t="n">
        <x:v>32</x:v>
      </x:c>
      <x:c r="R1835" s="33" t="n">
        <x:v>34</x:v>
      </x:c>
      <x:c r="S1835" s="38" t="n">
        <x:v>1.088</x:v>
      </x:c>
      <x:c r="T1835" s="38" t="n">
        <x:v>0.3808</x:v>
      </x:c>
      <x:c r="U1835" s="38" t="n">
        <x:v>0.038896</x:v>
      </x:c>
      <x:c r="V1835" s="38" t="n">
        <x:v>0.668304</x:v>
      </x:c>
      <x:c r="W1835" s="38" t="n">
        <x:v>0.43744</x:v>
      </x:c>
      <x:c r="X1835" s="38" t="n">
        <x:v>0</x:v>
      </x:c>
      <x:c r="Y1835" s="38" t="n">
        <x:v>0</x:v>
      </x:c>
      <x:c r="Z1835" s="38" t="n">
        <x:v>0.0736</x:v>
      </x:c>
      <x:c r="AA1835" s="38" t="n">
        <x:v>0.0272</x:v>
      </x:c>
      <x:c r="AB1835" s="38" t="n">
        <x:v>0.001792</x:v>
      </x:c>
      <x:c r="AC1835" s="38" t="n">
        <x:v>0.12827200000000002</x:v>
      </x:c>
      <x:c r="AD1835" s="28" t="n">
        <x:v>0.1919366037013096</x:v>
      </x:c>
    </x:row>
    <x:row r="1836">
      <x:c r="A1836" s="32" t="n">
        <x:v>46300</x:v>
      </x:c>
      <x:c r="B1836" s="32" t="n">
        <x:v>46296</x:v>
      </x:c>
      <x:c r="C1836" t="str">
        <x:v>Oct 2026</x:v>
      </x:c>
      <x:c r="D1836" t="str">
        <x:v>Forecast</x:v>
      </x:c>
      <x:c r="E1836" t="str">
        <x:v>DB-103</x:v>
      </x:c>
      <x:c r="F1836" t="str">
        <x:v>EmberTrail Camp Mug</x:v>
      </x:c>
      <x:c r="G1836" t="str">
        <x:v>One-time purchase</x:v>
      </x:c>
      <x:c r="H1836" t="str">
        <x:v>Winter peak</x:v>
      </x:c>
      <x:c r="I1836" t="str">
        <x:v>Active</x:v>
      </x:c>
      <x:c r="J1836" t="str">
        <x:v>TikTok Shop</x:v>
      </x:c>
      <x:c r="K1836" t="str">
        <x:v>Social Commerce</x:v>
      </x:c>
      <x:c r="L1836" t="str">
        <x:v>All Geographies</x:v>
      </x:c>
      <x:c r="M1836" s="34" t="n">
        <x:v>1192</x:v>
      </x:c>
      <x:c r="N1836" s="28" t="n">
        <x:v>0.040824</x:v>
      </x:c>
      <x:c r="O1836" s="34" t="n">
        <x:v>49</x:v>
      </x:c>
      <x:c r="P1836" s="34" t="n">
        <x:v>1</x:v>
      </x:c>
      <x:c r="Q1836" s="34" t="n">
        <x:v>49</x:v>
      </x:c>
      <x:c r="R1836" s="33" t="n">
        <x:v>34</x:v>
      </x:c>
      <x:c r="S1836" s="38" t="n">
        <x:v>1.666</x:v>
      </x:c>
      <x:c r="T1836" s="38" t="n">
        <x:v>0.19992</x:v>
      </x:c>
      <x:c r="U1836" s="38" t="n">
        <x:v>0.0806344</x:v>
      </x:c>
      <x:c r="V1836" s="38" t="n">
        <x:v>1.3854455999999997</x:v>
      </x:c>
      <x:c r="W1836" s="38" t="n">
        <x:v>0.66983</x:v>
      </x:c>
      <x:c r="X1836" s="38" t="n">
        <x:v>0.040177922399999996</x:v>
      </x:c>
      <x:c r="Y1836" s="38" t="n">
        <x:v>0.08312673599999998</x:v>
      </x:c>
      <x:c r="Z1836" s="38" t="n">
        <x:v>0.24989999999999998</x:v>
      </x:c>
      <x:c r="AA1836" s="38" t="n">
        <x:v>0.08575</x:v>
      </x:c>
      <x:c r="AB1836" s="38" t="n">
        <x:v>0.0027440000000000003</x:v>
      </x:c>
      <x:c r="AC1836" s="38" t="n">
        <x:v>0.2539169415999997</x:v>
      </x:c>
      <x:c r="AD1836" s="28" t="n">
        <x:v>0.1832745663922133</x:v>
      </x:c>
    </x:row>
    <x:row r="1837">
      <x:c r="A1837" s="32" t="n">
        <x:v>46300</x:v>
      </x:c>
      <x:c r="B1837" s="32" t="n">
        <x:v>46296</x:v>
      </x:c>
      <x:c r="C1837" t="str">
        <x:v>Oct 2026</x:v>
      </x:c>
      <x:c r="D1837" t="str">
        <x:v>Forecast</x:v>
      </x:c>
      <x:c r="E1837" t="str">
        <x:v>DB-104</x:v>
      </x:c>
      <x:c r="F1837" t="str">
        <x:v>SunNest Cooling Towel</x:v>
      </x:c>
      <x:c r="G1837" t="str">
        <x:v>Consumable repeat</x:v>
      </x:c>
      <x:c r="H1837" t="str">
        <x:v>Summer peak</x:v>
      </x:c>
      <x:c r="I1837" t="str">
        <x:v>Discontinued</x:v>
      </x:c>
      <x:c r="J1837" t="str">
        <x:v>Shopify DTC</x:v>
      </x:c>
      <x:c r="K1837" t="str">
        <x:v>Consumer</x:v>
      </x:c>
      <x:c r="L1837" t="str">
        <x:v>All Geographies</x:v>
      </x:c>
      <x:c r="M1837" s="34" t="n">
        <x:v>0</x:v>
      </x:c>
      <x:c r="N1837" s="28" t="n">
        <x:v>0.03312</x:v>
      </x:c>
      <x:c r="O1837" s="34" t="n">
        <x:v>0</x:v>
      </x:c>
      <x:c r="P1837" s="34" t="n">
        <x:v>1</x:v>
      </x:c>
      <x:c r="Q1837" s="34" t="n">
        <x:v>0</x:v>
      </x:c>
      <x:c r="R1837" s="33" t="n">
        <x:v>42</x:v>
      </x:c>
      <x:c r="S1837" s="38" t="n">
        <x:v>0</x:v>
      </x:c>
      <x:c r="T1837" s="38" t="n">
        <x:v>0</x:v>
      </x:c>
      <x:c r="U1837" s="38" t="n">
        <x:v>0</x:v>
      </x:c>
      <x:c r="V1837" s="38" t="n">
        <x:v>0</x:v>
      </x:c>
      <x:c r="W1837" s="38" t="n">
        <x:v>0</x:v>
      </x:c>
      <x:c r="X1837" s="38" t="n">
        <x:v>0</x:v>
      </x:c>
      <x:c r="Y1837" s="38" t="n">
        <x:v>0</x:v>
      </x:c>
      <x:c r="Z1837" s="38" t="n">
        <x:v>0</x:v>
      </x:c>
      <x:c r="AA1837" s="38" t="n">
        <x:v>0</x:v>
      </x:c>
      <x:c r="AB1837" s="38" t="n">
        <x:v>0</x:v>
      </x:c>
      <x:c r="AC1837" s="38" t="n">
        <x:v>0</x:v>
      </x:c>
      <x:c r="AD1837" s="28" t="n">
        <x:v>0</x:v>
      </x:c>
    </x:row>
    <x:row r="1838">
      <x:c r="A1838" s="32" t="n">
        <x:v>46300</x:v>
      </x:c>
      <x:c r="B1838" s="32" t="n">
        <x:v>46296</x:v>
      </x:c>
      <x:c r="C1838" t="str">
        <x:v>Oct 2026</x:v>
      </x:c>
      <x:c r="D1838" t="str">
        <x:v>Forecast</x:v>
      </x:c>
      <x:c r="E1838" t="str">
        <x:v>DB-104</x:v>
      </x:c>
      <x:c r="F1838" t="str">
        <x:v>SunNest Cooling Towel</x:v>
      </x:c>
      <x:c r="G1838" t="str">
        <x:v>Consumable repeat</x:v>
      </x:c>
      <x:c r="H1838" t="str">
        <x:v>Summer peak</x:v>
      </x:c>
      <x:c r="I1838" t="str">
        <x:v>Discontinued</x:v>
      </x:c>
      <x:c r="J1838" t="str">
        <x:v>Amazon Marketplace</x:v>
      </x:c>
      <x:c r="K1838" t="str">
        <x:v>Marketplace Consumer</x:v>
      </x:c>
      <x:c r="L1838" t="str">
        <x:v>All Geographies</x:v>
      </x:c>
      <x:c r="M1838" s="34" t="n">
        <x:v>0</x:v>
      </x:c>
      <x:c r="N1838" s="28" t="n">
        <x:v>0.0390816</x:v>
      </x:c>
      <x:c r="O1838" s="34" t="n">
        <x:v>0</x:v>
      </x:c>
      <x:c r="P1838" s="34" t="n">
        <x:v>1</x:v>
      </x:c>
      <x:c r="Q1838" s="34" t="n">
        <x:v>0</x:v>
      </x:c>
      <x:c r="R1838" s="33" t="n">
        <x:v>42</x:v>
      </x:c>
      <x:c r="S1838" s="38" t="n">
        <x:v>0</x:v>
      </x:c>
      <x:c r="T1838" s="38" t="n">
        <x:v>0</x:v>
      </x:c>
      <x:c r="U1838" s="38" t="n">
        <x:v>0</x:v>
      </x:c>
      <x:c r="V1838" s="38" t="n">
        <x:v>0</x:v>
      </x:c>
      <x:c r="W1838" s="38" t="n">
        <x:v>0</x:v>
      </x:c>
      <x:c r="X1838" s="38" t="n">
        <x:v>0</x:v>
      </x:c>
      <x:c r="Y1838" s="38" t="n">
        <x:v>0</x:v>
      </x:c>
      <x:c r="Z1838" s="38" t="n">
        <x:v>0</x:v>
      </x:c>
      <x:c r="AA1838" s="38" t="n">
        <x:v>0</x:v>
      </x:c>
      <x:c r="AB1838" s="38" t="n">
        <x:v>0</x:v>
      </x:c>
      <x:c r="AC1838" s="38" t="n">
        <x:v>0</x:v>
      </x:c>
      <x:c r="AD1838" s="28" t="n">
        <x:v>0</x:v>
      </x:c>
    </x:row>
    <x:row r="1839">
      <x:c r="A1839" s="32" t="n">
        <x:v>46300</x:v>
      </x:c>
      <x:c r="B1839" s="32" t="n">
        <x:v>46296</x:v>
      </x:c>
      <x:c r="C1839" t="str">
        <x:v>Oct 2026</x:v>
      </x:c>
      <x:c r="D1839" t="str">
        <x:v>Forecast</x:v>
      </x:c>
      <x:c r="E1839" t="str">
        <x:v>DB-104</x:v>
      </x:c>
      <x:c r="F1839" t="str">
        <x:v>SunNest Cooling Towel</x:v>
      </x:c>
      <x:c r="G1839" t="str">
        <x:v>Consumable repeat</x:v>
      </x:c>
      <x:c r="H1839" t="str">
        <x:v>Summer peak</x:v>
      </x:c>
      <x:c r="I1839" t="str">
        <x:v>Discontinued</x:v>
      </x:c>
      <x:c r="J1839" t="str">
        <x:v>Wholesale</x:v>
      </x:c>
      <x:c r="K1839" t="str">
        <x:v>Retailer</x:v>
      </x:c>
      <x:c r="L1839" t="str">
        <x:v>All Geographies</x:v>
      </x:c>
      <x:c r="M1839" s="34" t="n">
        <x:v>0</x:v>
      </x:c>
      <x:c r="N1839" s="28" t="n">
        <x:v>0.018216000000000003</x:v>
      </x:c>
      <x:c r="O1839" s="34" t="n">
        <x:v>0</x:v>
      </x:c>
      <x:c r="P1839" s="34" t="n">
        <x:v>1</x:v>
      </x:c>
      <x:c r="Q1839" s="34" t="n">
        <x:v>0</x:v>
      </x:c>
      <x:c r="R1839" s="33" t="n">
        <x:v>42</x:v>
      </x:c>
      <x:c r="S1839" s="38" t="n">
        <x:v>0</x:v>
      </x:c>
      <x:c r="T1839" s="38" t="n">
        <x:v>0</x:v>
      </x:c>
      <x:c r="U1839" s="38" t="n">
        <x:v>0</x:v>
      </x:c>
      <x:c r="V1839" s="38" t="n">
        <x:v>0</x:v>
      </x:c>
      <x:c r="W1839" s="38" t="n">
        <x:v>0</x:v>
      </x:c>
      <x:c r="X1839" s="38" t="n">
        <x:v>0</x:v>
      </x:c>
      <x:c r="Y1839" s="38" t="n">
        <x:v>0</x:v>
      </x:c>
      <x:c r="Z1839" s="38" t="n">
        <x:v>0</x:v>
      </x:c>
      <x:c r="AA1839" s="38" t="n">
        <x:v>0</x:v>
      </x:c>
      <x:c r="AB1839" s="38" t="n">
        <x:v>0</x:v>
      </x:c>
      <x:c r="AC1839" s="38" t="n">
        <x:v>0</x:v>
      </x:c>
      <x:c r="AD1839" s="28" t="n">
        <x:v>0</x:v>
      </x:c>
    </x:row>
    <x:row r="1840">
      <x:c r="A1840" s="32" t="n">
        <x:v>46300</x:v>
      </x:c>
      <x:c r="B1840" s="32" t="n">
        <x:v>46296</x:v>
      </x:c>
      <x:c r="C1840" t="str">
        <x:v>Oct 2026</x:v>
      </x:c>
      <x:c r="D1840" t="str">
        <x:v>Forecast</x:v>
      </x:c>
      <x:c r="E1840" t="str">
        <x:v>DB-104</x:v>
      </x:c>
      <x:c r="F1840" t="str">
        <x:v>SunNest Cooling Towel</x:v>
      </x:c>
      <x:c r="G1840" t="str">
        <x:v>Consumable repeat</x:v>
      </x:c>
      <x:c r="H1840" t="str">
        <x:v>Summer peak</x:v>
      </x:c>
      <x:c r="I1840" t="str">
        <x:v>Discontinued</x:v>
      </x:c>
      <x:c r="J1840" t="str">
        <x:v>TikTok Shop</x:v>
      </x:c>
      <x:c r="K1840" t="str">
        <x:v>Social Commerce</x:v>
      </x:c>
      <x:c r="L1840" t="str">
        <x:v>All Geographies</x:v>
      </x:c>
      <x:c r="M1840" s="34" t="n">
        <x:v>0</x:v>
      </x:c>
      <x:c r="N1840" s="28" t="n">
        <x:v>0.0417312</x:v>
      </x:c>
      <x:c r="O1840" s="34" t="n">
        <x:v>0</x:v>
      </x:c>
      <x:c r="P1840" s="34" t="n">
        <x:v>1</x:v>
      </x:c>
      <x:c r="Q1840" s="34" t="n">
        <x:v>0</x:v>
      </x:c>
      <x:c r="R1840" s="33" t="n">
        <x:v>42</x:v>
      </x:c>
      <x:c r="S1840" s="38" t="n">
        <x:v>0</x:v>
      </x:c>
      <x:c r="T1840" s="38" t="n">
        <x:v>0</x:v>
      </x:c>
      <x:c r="U1840" s="38" t="n">
        <x:v>0</x:v>
      </x:c>
      <x:c r="V1840" s="38" t="n">
        <x:v>0</x:v>
      </x:c>
      <x:c r="W1840" s="38" t="n">
        <x:v>0</x:v>
      </x:c>
      <x:c r="X1840" s="38" t="n">
        <x:v>0</x:v>
      </x:c>
      <x:c r="Y1840" s="38" t="n">
        <x:v>0</x:v>
      </x:c>
      <x:c r="Z1840" s="38" t="n">
        <x:v>0</x:v>
      </x:c>
      <x:c r="AA1840" s="38" t="n">
        <x:v>0</x:v>
      </x:c>
      <x:c r="AB1840" s="38" t="n">
        <x:v>0</x:v>
      </x:c>
      <x:c r="AC1840" s="38" t="n">
        <x:v>0</x:v>
      </x:c>
      <x:c r="AD1840" s="28" t="n">
        <x:v>0</x:v>
      </x:c>
    </x:row>
    <x:row r="1841">
      <x:c r="A1841" s="32" t="n">
        <x:v>46300</x:v>
      </x:c>
      <x:c r="B1841" s="32" t="n">
        <x:v>46296</x:v>
      </x:c>
      <x:c r="C1841" t="str">
        <x:v>Oct 2026</x:v>
      </x:c>
      <x:c r="D1841" t="str">
        <x:v>Forecast</x:v>
      </x:c>
      <x:c r="E1841" t="str">
        <x:v>DB-105</x:v>
      </x:c>
      <x:c r="F1841" t="str">
        <x:v>DreamFuel Refill Pack</x:v>
      </x:c>
      <x:c r="G1841" t="str">
        <x:v>Subscription</x:v>
      </x:c>
      <x:c r="H1841" t="str">
        <x:v>None</x:v>
      </x:c>
      <x:c r="I1841" t="str">
        <x:v>Active</x:v>
      </x:c>
      <x:c r="J1841" t="str">
        <x:v>Shopify DTC</x:v>
      </x:c>
      <x:c r="K1841" t="str">
        <x:v>Consumer</x:v>
      </x:c>
      <x:c r="L1841" t="str">
        <x:v>All Geographies</x:v>
      </x:c>
      <x:c r="M1841" s="34" t="n">
        <x:v>5051</x:v>
      </x:c>
      <x:c r="N1841" s="28" t="n">
        <x:v>0.03888</x:v>
      </x:c>
      <x:c r="O1841" s="34" t="n">
        <x:v>196</x:v>
      </x:c>
      <x:c r="P1841" s="34" t="n">
        <x:v>1</x:v>
      </x:c>
      <x:c r="Q1841" s="34" t="n">
        <x:v>196</x:v>
      </x:c>
      <x:c r="R1841" s="33" t="n">
        <x:v>56</x:v>
      </x:c>
      <x:c r="S1841" s="38" t="n">
        <x:v>10.976</x:v>
      </x:c>
      <x:c r="T1841" s="38" t="n">
        <x:v>0.8780800000000001</x:v>
      </x:c>
      <x:c r="U1841" s="38" t="n">
        <x:v>0.2019584</x:v>
      </x:c>
      <x:c r="V1841" s="38" t="n">
        <x:v>9.8959616</x:v>
      </x:c>
      <x:c r="W1841" s="38" t="n">
        <x:v>3.64952</x:v>
      </x:c>
      <x:c r="X1841" s="38" t="n">
        <x:v>0.2869828864</x:v>
      </x:c>
      <x:c r="Y1841" s="38" t="n">
        <x:v>0</x:v>
      </x:c>
      <x:c r="Z1841" s="38" t="n">
        <x:v>0.8134000000000001</x:v>
      </x:c>
      <x:c r="AA1841" s="38" t="n">
        <x:v>0.32339999999999997</x:v>
      </x:c>
      <x:c r="AB1841" s="38" t="n">
        <x:v>0.0007055999999999999</x:v>
      </x:c>
      <x:c r="AC1841" s="38" t="n">
        <x:v>4.8219531136</x:v>
      </x:c>
      <x:c r="AD1841" s="28" t="n">
        <x:v>0.4872647357079478</x:v>
      </x:c>
    </x:row>
    <x:row r="1842">
      <x:c r="A1842" s="32" t="n">
        <x:v>46300</x:v>
      </x:c>
      <x:c r="B1842" s="32" t="n">
        <x:v>46296</x:v>
      </x:c>
      <x:c r="C1842" t="str">
        <x:v>Oct 2026</x:v>
      </x:c>
      <x:c r="D1842" t="str">
        <x:v>Forecast</x:v>
      </x:c>
      <x:c r="E1842" t="str">
        <x:v>DB-105</x:v>
      </x:c>
      <x:c r="F1842" t="str">
        <x:v>DreamFuel Refill Pack</x:v>
      </x:c>
      <x:c r="G1842" t="str">
        <x:v>Subscription</x:v>
      </x:c>
      <x:c r="H1842" t="str">
        <x:v>None</x:v>
      </x:c>
      <x:c r="I1842" t="str">
        <x:v>Active</x:v>
      </x:c>
      <x:c r="J1842" t="str">
        <x:v>Amazon Marketplace</x:v>
      </x:c>
      <x:c r="K1842" t="str">
        <x:v>Marketplace Consumer</x:v>
      </x:c>
      <x:c r="L1842" t="str">
        <x:v>All Geographies</x:v>
      </x:c>
      <x:c r="M1842" s="34" t="n">
        <x:v>2525</x:v>
      </x:c>
      <x:c r="N1842" s="28" t="n">
        <x:v>0.0458784</x:v>
      </x:c>
      <x:c r="O1842" s="34" t="n">
        <x:v>116</x:v>
      </x:c>
      <x:c r="P1842" s="34" t="n">
        <x:v>1</x:v>
      </x:c>
      <x:c r="Q1842" s="34" t="n">
        <x:v>116</x:v>
      </x:c>
      <x:c r="R1842" s="33" t="n">
        <x:v>56</x:v>
      </x:c>
      <x:c r="S1842" s="38" t="n">
        <x:v>6.496</x:v>
      </x:c>
      <x:c r="T1842" s="38" t="n">
        <x:v>0.32480000000000003</x:v>
      </x:c>
      <x:c r="U1842" s="38" t="n">
        <x:v>0.12342400000000002</x:v>
      </x:c>
      <x:c r="V1842" s="38" t="n">
        <x:v>6.047776000000001</x:v>
      </x:c>
      <x:c r="W1842" s="38" t="n">
        <x:v>2.15992</x:v>
      </x:c>
      <x:c r="X1842" s="38" t="n">
        <x:v>0</x:v>
      </x:c>
      <x:c r="Y1842" s="38" t="n">
        <x:v>0.9071664</x:v>
      </x:c>
      <x:c r="Z1842" s="38" t="n">
        <x:v>0.6032000000000001</x:v>
      </x:c>
      <x:c r="AA1842" s="38" t="n">
        <x:v>0.24939999999999998</x:v>
      </x:c>
      <x:c r="AB1842" s="38" t="n">
        <x:v>0.0004176</x:v>
      </x:c>
      <x:c r="AC1842" s="38" t="n">
        <x:v>2.1276720000000005</x:v>
      </x:c>
      <x:c r="AD1842" s="28" t="n">
        <x:v>0.35181064907165877</x:v>
      </x:c>
    </x:row>
    <x:row r="1843">
      <x:c r="A1843" s="32" t="n">
        <x:v>46300</x:v>
      </x:c>
      <x:c r="B1843" s="32" t="n">
        <x:v>46296</x:v>
      </x:c>
      <x:c r="C1843" t="str">
        <x:v>Oct 2026</x:v>
      </x:c>
      <x:c r="D1843" t="str">
        <x:v>Forecast</x:v>
      </x:c>
      <x:c r="E1843" t="str">
        <x:v>DB-105</x:v>
      </x:c>
      <x:c r="F1843" t="str">
        <x:v>DreamFuel Refill Pack</x:v>
      </x:c>
      <x:c r="G1843" t="str">
        <x:v>Subscription</x:v>
      </x:c>
      <x:c r="H1843" t="str">
        <x:v>None</x:v>
      </x:c>
      <x:c r="I1843" t="str">
        <x:v>Active</x:v>
      </x:c>
      <x:c r="J1843" t="str">
        <x:v>Wholesale</x:v>
      </x:c>
      <x:c r="K1843" t="str">
        <x:v>Retailer</x:v>
      </x:c>
      <x:c r="L1843" t="str">
        <x:v>All Geographies</x:v>
      </x:c>
      <x:c r="M1843" s="34" t="n">
        <x:v>1515</x:v>
      </x:c>
      <x:c r="N1843" s="28" t="n">
        <x:v>0.021384000000000004</x:v>
      </x:c>
      <x:c r="O1843" s="34" t="n">
        <x:v>32</x:v>
      </x:c>
      <x:c r="P1843" s="34" t="n">
        <x:v>1</x:v>
      </x:c>
      <x:c r="Q1843" s="34" t="n">
        <x:v>32</x:v>
      </x:c>
      <x:c r="R1843" s="33" t="n">
        <x:v>56</x:v>
      </x:c>
      <x:c r="S1843" s="38" t="n">
        <x:v>1.792</x:v>
      </x:c>
      <x:c r="T1843" s="38" t="n">
        <x:v>0.6272</x:v>
      </x:c>
      <x:c r="U1843" s="38" t="n">
        <x:v>0.023296</x:v>
      </x:c>
      <x:c r="V1843" s="38" t="n">
        <x:v>1.141504</x:v>
      </x:c>
      <x:c r="W1843" s="38" t="n">
        <x:v>0.59584</x:v>
      </x:c>
      <x:c r="X1843" s="38" t="n">
        <x:v>0</x:v>
      </x:c>
      <x:c r="Y1843" s="38" t="n">
        <x:v>0</x:v>
      </x:c>
      <x:c r="Z1843" s="38" t="n">
        <x:v>0.0736</x:v>
      </x:c>
      <x:c r="AA1843" s="38" t="n">
        <x:v>0.0272</x:v>
      </x:c>
      <x:c r="AB1843" s="38" t="n">
        <x:v>0.0001152</x:v>
      </x:c>
      <x:c r="AC1843" s="38" t="n">
        <x:v>0.44474880000000006</x:v>
      </x:c>
      <x:c r="AD1843" s="28" t="n">
        <x:v>0.3896165059430366</x:v>
      </x:c>
    </x:row>
    <x:row r="1844">
      <x:c r="A1844" s="32" t="n">
        <x:v>46300</x:v>
      </x:c>
      <x:c r="B1844" s="32" t="n">
        <x:v>46296</x:v>
      </x:c>
      <x:c r="C1844" t="str">
        <x:v>Oct 2026</x:v>
      </x:c>
      <x:c r="D1844" t="str">
        <x:v>Forecast</x:v>
      </x:c>
      <x:c r="E1844" t="str">
        <x:v>DB-105</x:v>
      </x:c>
      <x:c r="F1844" t="str">
        <x:v>DreamFuel Refill Pack</x:v>
      </x:c>
      <x:c r="G1844" t="str">
        <x:v>Subscription</x:v>
      </x:c>
      <x:c r="H1844" t="str">
        <x:v>None</x:v>
      </x:c>
      <x:c r="I1844" t="str">
        <x:v>Active</x:v>
      </x:c>
      <x:c r="J1844" t="str">
        <x:v>TikTok Shop</x:v>
      </x:c>
      <x:c r="K1844" t="str">
        <x:v>Social Commerce</x:v>
      </x:c>
      <x:c r="L1844" t="str">
        <x:v>All Geographies</x:v>
      </x:c>
      <x:c r="M1844" s="34" t="n">
        <x:v>1010</x:v>
      </x:c>
      <x:c r="N1844" s="28" t="n">
        <x:v>0.0489888</x:v>
      </x:c>
      <x:c r="O1844" s="34" t="n">
        <x:v>49</x:v>
      </x:c>
      <x:c r="P1844" s="34" t="n">
        <x:v>1</x:v>
      </x:c>
      <x:c r="Q1844" s="34" t="n">
        <x:v>49</x:v>
      </x:c>
      <x:c r="R1844" s="33" t="n">
        <x:v>56</x:v>
      </x:c>
      <x:c r="S1844" s="38" t="n">
        <x:v>2.744</x:v>
      </x:c>
      <x:c r="T1844" s="38" t="n">
        <x:v>0.32928</x:v>
      </x:c>
      <x:c r="U1844" s="38" t="n">
        <x:v>0.0482944</x:v>
      </x:c>
      <x:c r="V1844" s="38" t="n">
        <x:v>2.3664256</x:v>
      </x:c>
      <x:c r="W1844" s="38" t="n">
        <x:v>0.91238</x:v>
      </x:c>
      <x:c r="X1844" s="38" t="n">
        <x:v>0.0686263424</x:v>
      </x:c>
      <x:c r="Y1844" s="38" t="n">
        <x:v>0.141985536</x:v>
      </x:c>
      <x:c r="Z1844" s="38" t="n">
        <x:v>0.24989999999999998</x:v>
      </x:c>
      <x:c r="AA1844" s="38" t="n">
        <x:v>0.08575</x:v>
      </x:c>
      <x:c r="AB1844" s="38" t="n">
        <x:v>0.00017639999999999998</x:v>
      </x:c>
      <x:c r="AC1844" s="38" t="n">
        <x:v>0.9076073216</x:v>
      </x:c>
      <x:c r="AD1844" s="28" t="n">
        <x:v>0.3835351179432812</x:v>
      </x:c>
    </x:row>
    <x:row r="1845">
      <x:c r="A1845" s="32" t="n">
        <x:v>46307</x:v>
      </x:c>
      <x:c r="B1845" s="32" t="n">
        <x:v>46296</x:v>
      </x:c>
      <x:c r="C1845" t="str">
        <x:v>Oct 2026</x:v>
      </x:c>
      <x:c r="D1845" t="str">
        <x:v>Forecast</x:v>
      </x:c>
      <x:c r="E1845" t="str">
        <x:v>DB-101</x:v>
      </x:c>
      <x:c r="F1845" t="str">
        <x:v>AeroSip Bottle</x:v>
      </x:c>
      <x:c r="G1845" t="str">
        <x:v>One-time purchase</x:v>
      </x:c>
      <x:c r="H1845" t="str">
        <x:v>None</x:v>
      </x:c>
      <x:c r="I1845" t="str">
        <x:v>Active</x:v>
      </x:c>
      <x:c r="J1845" t="str">
        <x:v>Shopify DTC</x:v>
      </x:c>
      <x:c r="K1845" t="str">
        <x:v>Consumer</x:v>
      </x:c>
      <x:c r="L1845" t="str">
        <x:v>All Geographies</x:v>
      </x:c>
      <x:c r="M1845" s="34" t="n">
        <x:v>7296</x:v>
      </x:c>
      <x:c r="N1845" s="28" t="n">
        <x:v>0.034199999999999994</x:v>
      </x:c>
      <x:c r="O1845" s="34" t="n">
        <x:v>250</x:v>
      </x:c>
      <x:c r="P1845" s="34" t="n">
        <x:v>1</x:v>
      </x:c>
      <x:c r="Q1845" s="34" t="n">
        <x:v>250</x:v>
      </x:c>
      <x:c r="R1845" s="33" t="n">
        <x:v>29</x:v>
      </x:c>
      <x:c r="S1845" s="38" t="n">
        <x:v>7.25</x:v>
      </x:c>
      <x:c r="T1845" s="38" t="n">
        <x:v>0.58</x:v>
      </x:c>
      <x:c r="U1845" s="38" t="n">
        <x:v>0.30015</x:v>
      </x:c>
      <x:c r="V1845" s="38" t="n">
        <x:v>6.36985</x:v>
      </x:c>
      <x:c r="W1845" s="38" t="n">
        <x:v>2.7</x:v>
      </x:c>
      <x:c r="X1845" s="38" t="n">
        <x:v>0.18472565</x:v>
      </x:c>
      <x:c r="Y1845" s="38" t="n">
        <x:v>0</x:v>
      </x:c>
      <x:c r="Z1845" s="38" t="n">
        <x:v>1.0375</x:v>
      </x:c>
      <x:c r="AA1845" s="38" t="n">
        <x:v>0.4125</x:v>
      </x:c>
      <x:c r="AB1845" s="38" t="n">
        <x:v>0.009</x:v>
      </x:c>
      <x:c r="AC1845" s="38" t="n">
        <x:v>2.0261243499999995</x:v>
      </x:c>
      <x:c r="AD1845" s="28" t="n">
        <x:v>0.31808038650831644</x:v>
      </x:c>
    </x:row>
    <x:row r="1846">
      <x:c r="A1846" s="32" t="n">
        <x:v>46307</x:v>
      </x:c>
      <x:c r="B1846" s="32" t="n">
        <x:v>46296</x:v>
      </x:c>
      <x:c r="C1846" t="str">
        <x:v>Oct 2026</x:v>
      </x:c>
      <x:c r="D1846" t="str">
        <x:v>Forecast</x:v>
      </x:c>
      <x:c r="E1846" t="str">
        <x:v>DB-101</x:v>
      </x:c>
      <x:c r="F1846" t="str">
        <x:v>AeroSip Bottle</x:v>
      </x:c>
      <x:c r="G1846" t="str">
        <x:v>One-time purchase</x:v>
      </x:c>
      <x:c r="H1846" t="str">
        <x:v>None</x:v>
      </x:c>
      <x:c r="I1846" t="str">
        <x:v>Active</x:v>
      </x:c>
      <x:c r="J1846" t="str">
        <x:v>Amazon Marketplace</x:v>
      </x:c>
      <x:c r="K1846" t="str">
        <x:v>Marketplace Consumer</x:v>
      </x:c>
      <x:c r="L1846" t="str">
        <x:v>All Geographies</x:v>
      </x:c>
      <x:c r="M1846" s="34" t="n">
        <x:v>3648</x:v>
      </x:c>
      <x:c r="N1846" s="28" t="n">
        <x:v>0.040355999999999996</x:v>
      </x:c>
      <x:c r="O1846" s="34" t="n">
        <x:v>147</x:v>
      </x:c>
      <x:c r="P1846" s="34" t="n">
        <x:v>1</x:v>
      </x:c>
      <x:c r="Q1846" s="34" t="n">
        <x:v>147</x:v>
      </x:c>
      <x:c r="R1846" s="33" t="n">
        <x:v>29</x:v>
      </x:c>
      <x:c r="S1846" s="38" t="n">
        <x:v>4.263</x:v>
      </x:c>
      <x:c r="T1846" s="38" t="n">
        <x:v>0.21315</x:v>
      </x:c>
      <x:c r="U1846" s="38" t="n">
        <x:v>0.18224325</x:v>
      </x:c>
      <x:c r="V1846" s="38" t="n">
        <x:v>3.86760675</x:v>
      </x:c>
      <x:c r="W1846" s="38" t="n">
        <x:v>1.5876000000000001</x:v>
      </x:c>
      <x:c r="X1846" s="38" t="n">
        <x:v>0</x:v>
      </x:c>
      <x:c r="Y1846" s="38" t="n">
        <x:v>0.5801410125</x:v>
      </x:c>
      <x:c r="Z1846" s="38" t="n">
        <x:v>0.7644</x:v>
      </x:c>
      <x:c r="AA1846" s="38" t="n">
        <x:v>0.31605</x:v>
      </x:c>
      <x:c r="AB1846" s="38" t="n">
        <x:v>0.005292</x:v>
      </x:c>
      <x:c r="AC1846" s="38" t="n">
        <x:v>0.6141237375000003</x:v>
      </x:c>
      <x:c r="AD1846" s="28" t="n">
        <x:v>0.15878649955815705</x:v>
      </x:c>
    </x:row>
    <x:row r="1847">
      <x:c r="A1847" s="32" t="n">
        <x:v>46307</x:v>
      </x:c>
      <x:c r="B1847" s="32" t="n">
        <x:v>46296</x:v>
      </x:c>
      <x:c r="C1847" t="str">
        <x:v>Oct 2026</x:v>
      </x:c>
      <x:c r="D1847" t="str">
        <x:v>Forecast</x:v>
      </x:c>
      <x:c r="E1847" t="str">
        <x:v>DB-101</x:v>
      </x:c>
      <x:c r="F1847" t="str">
        <x:v>AeroSip Bottle</x:v>
      </x:c>
      <x:c r="G1847" t="str">
        <x:v>One-time purchase</x:v>
      </x:c>
      <x:c r="H1847" t="str">
        <x:v>None</x:v>
      </x:c>
      <x:c r="I1847" t="str">
        <x:v>Active</x:v>
      </x:c>
      <x:c r="J1847" t="str">
        <x:v>Wholesale</x:v>
      </x:c>
      <x:c r="K1847" t="str">
        <x:v>Retailer</x:v>
      </x:c>
      <x:c r="L1847" t="str">
        <x:v>All Geographies</x:v>
      </x:c>
      <x:c r="M1847" s="34" t="n">
        <x:v>2189</x:v>
      </x:c>
      <x:c r="N1847" s="28" t="n">
        <x:v>0.01881</x:v>
      </x:c>
      <x:c r="O1847" s="34" t="n">
        <x:v>41</x:v>
      </x:c>
      <x:c r="P1847" s="34" t="n">
        <x:v>1</x:v>
      </x:c>
      <x:c r="Q1847" s="34" t="n">
        <x:v>41</x:v>
      </x:c>
      <x:c r="R1847" s="33" t="n">
        <x:v>29</x:v>
      </x:c>
      <x:c r="S1847" s="38" t="n">
        <x:v>1.189</x:v>
      </x:c>
      <x:c r="T1847" s="38" t="n">
        <x:v>0.41615</x:v>
      </x:c>
      <x:c r="U1847" s="38" t="n">
        <x:v>0.034778250000000004</x:v>
      </x:c>
      <x:c r="V1847" s="38" t="n">
        <x:v>0.73807175</x:v>
      </x:c>
      <x:c r="W1847" s="38" t="n">
        <x:v>0.4428</x:v>
      </x:c>
      <x:c r="X1847" s="38" t="n">
        <x:v>0</x:v>
      </x:c>
      <x:c r="Y1847" s="38" t="n">
        <x:v>0</x:v>
      </x:c>
      <x:c r="Z1847" s="38" t="n">
        <x:v>0.0943</x:v>
      </x:c>
      <x:c r="AA1847" s="38" t="n">
        <x:v>0.03485</x:v>
      </x:c>
      <x:c r="AB1847" s="38" t="n">
        <x:v>0.0014759999999999999</x:v>
      </x:c>
      <x:c r="AC1847" s="38" t="n">
        <x:v>0.16464575</x:v>
      </x:c>
      <x:c r="AD1847" s="28" t="n">
        <x:v>0.22307553432305194</x:v>
      </x:c>
    </x:row>
    <x:row r="1848">
      <x:c r="A1848" s="32" t="n">
        <x:v>46307</x:v>
      </x:c>
      <x:c r="B1848" s="32" t="n">
        <x:v>46296</x:v>
      </x:c>
      <x:c r="C1848" t="str">
        <x:v>Oct 2026</x:v>
      </x:c>
      <x:c r="D1848" t="str">
        <x:v>Forecast</x:v>
      </x:c>
      <x:c r="E1848" t="str">
        <x:v>DB-101</x:v>
      </x:c>
      <x:c r="F1848" t="str">
        <x:v>AeroSip Bottle</x:v>
      </x:c>
      <x:c r="G1848" t="str">
        <x:v>One-time purchase</x:v>
      </x:c>
      <x:c r="H1848" t="str">
        <x:v>None</x:v>
      </x:c>
      <x:c r="I1848" t="str">
        <x:v>Active</x:v>
      </x:c>
      <x:c r="J1848" t="str">
        <x:v>TikTok Shop</x:v>
      </x:c>
      <x:c r="K1848" t="str">
        <x:v>Social Commerce</x:v>
      </x:c>
      <x:c r="L1848" t="str">
        <x:v>All Geographies</x:v>
      </x:c>
      <x:c r="M1848" s="34" t="n">
        <x:v>1459</x:v>
      </x:c>
      <x:c r="N1848" s="28" t="n">
        <x:v>0.043092</x:v>
      </x:c>
      <x:c r="O1848" s="34" t="n">
        <x:v>63</x:v>
      </x:c>
      <x:c r="P1848" s="34" t="n">
        <x:v>1</x:v>
      </x:c>
      <x:c r="Q1848" s="34" t="n">
        <x:v>63</x:v>
      </x:c>
      <x:c r="R1848" s="33" t="n">
        <x:v>29</x:v>
      </x:c>
      <x:c r="S1848" s="38" t="n">
        <x:v>1.827</x:v>
      </x:c>
      <x:c r="T1848" s="38" t="n">
        <x:v>0.21924</x:v>
      </x:c>
      <x:c r="U1848" s="38" t="n">
        <x:v>0.07234919999999999</x:v>
      </x:c>
      <x:c r="V1848" s="38" t="n">
        <x:v>1.5354108</x:v>
      </x:c>
      <x:c r="W1848" s="38" t="n">
        <x:v>0.6804000000000001</x:v>
      </x:c>
      <x:c r="X1848" s="38" t="n">
        <x:v>0.044526913200000004</x:v>
      </x:c>
      <x:c r="Y1848" s="38" t="n">
        <x:v>0.09212464799999999</x:v>
      </x:c>
      <x:c r="Z1848" s="38" t="n">
        <x:v>0.3213</x:v>
      </x:c>
      <x:c r="AA1848" s="38" t="n">
        <x:v>0.11025</x:v>
      </x:c>
      <x:c r="AB1848" s="38" t="n">
        <x:v>0.0022679999999999996</x:v>
      </x:c>
      <x:c r="AC1848" s="38" t="n">
        <x:v>0.2845412387999999</x:v>
      </x:c>
      <x:c r="AD1848" s="28" t="n">
        <x:v>0.18531928966501987</x:v>
      </x:c>
    </x:row>
    <x:row r="1849">
      <x:c r="A1849" s="32" t="n">
        <x:v>46307</x:v>
      </x:c>
      <x:c r="B1849" s="32" t="n">
        <x:v>46296</x:v>
      </x:c>
      <x:c r="C1849" t="str">
        <x:v>Oct 2026</x:v>
      </x:c>
      <x:c r="D1849" t="str">
        <x:v>Forecast</x:v>
      </x:c>
      <x:c r="E1849" t="str">
        <x:v>DB-102</x:v>
      </x:c>
      <x:c r="F1849" t="str">
        <x:v>GlowPatch Balm</x:v>
      </x:c>
      <x:c r="G1849" t="str">
        <x:v>Consumable repeat</x:v>
      </x:c>
      <x:c r="H1849" t="str">
        <x:v>None</x:v>
      </x:c>
      <x:c r="I1849" t="str">
        <x:v>Active</x:v>
      </x:c>
      <x:c r="J1849" t="str">
        <x:v>Shopify DTC</x:v>
      </x:c>
      <x:c r="K1849" t="str">
        <x:v>Consumer</x:v>
      </x:c>
      <x:c r="L1849" t="str">
        <x:v>All Geographies</x:v>
      </x:c>
      <x:c r="M1849" s="34" t="n">
        <x:v>5893</x:v>
      </x:c>
      <x:c r="N1849" s="28" t="n">
        <x:v>0.04248</x:v>
      </x:c>
      <x:c r="O1849" s="34" t="n">
        <x:v>250</x:v>
      </x:c>
      <x:c r="P1849" s="34" t="n">
        <x:v>1</x:v>
      </x:c>
      <x:c r="Q1849" s="34" t="n">
        <x:v>250</x:v>
      </x:c>
      <x:c r="R1849" s="33" t="n">
        <x:v>18</x:v>
      </x:c>
      <x:c r="S1849" s="38" t="n">
        <x:v>4.5</x:v>
      </x:c>
      <x:c r="T1849" s="38" t="n">
        <x:v>0.36</x:v>
      </x:c>
      <x:c r="U1849" s="38" t="n">
        <x:v>0.1035</x:v>
      </x:c>
      <x:c r="V1849" s="38" t="n">
        <x:v>4.036499999999999</x:v>
      </x:c>
      <x:c r="W1849" s="38" t="n">
        <x:v>1.3525</x:v>
      </x:c>
      <x:c r="X1849" s="38" t="n">
        <x:v>0.11705849999999998</x:v>
      </x:c>
      <x:c r="Y1849" s="38" t="n">
        <x:v>0</x:v>
      </x:c>
      <x:c r="Z1849" s="38" t="n">
        <x:v>1.0375</x:v>
      </x:c>
      <x:c r="AA1849" s="38" t="n">
        <x:v>0.4125</x:v>
      </x:c>
      <x:c r="AB1849" s="38" t="n">
        <x:v>0.0015</x:v>
      </x:c>
      <x:c r="AC1849" s="38" t="n">
        <x:v>1.1154414999999989</x:v>
      </x:c>
      <x:c r="AD1849" s="28" t="n">
        <x:v>0.2763387835996529</x:v>
      </x:c>
    </x:row>
    <x:row r="1850">
      <x:c r="A1850" s="32" t="n">
        <x:v>46307</x:v>
      </x:c>
      <x:c r="B1850" s="32" t="n">
        <x:v>46296</x:v>
      </x:c>
      <x:c r="C1850" t="str">
        <x:v>Oct 2026</x:v>
      </x:c>
      <x:c r="D1850" t="str">
        <x:v>Forecast</x:v>
      </x:c>
      <x:c r="E1850" t="str">
        <x:v>DB-102</x:v>
      </x:c>
      <x:c r="F1850" t="str">
        <x:v>GlowPatch Balm</x:v>
      </x:c>
      <x:c r="G1850" t="str">
        <x:v>Consumable repeat</x:v>
      </x:c>
      <x:c r="H1850" t="str">
        <x:v>None</x:v>
      </x:c>
      <x:c r="I1850" t="str">
        <x:v>Active</x:v>
      </x:c>
      <x:c r="J1850" t="str">
        <x:v>Amazon Marketplace</x:v>
      </x:c>
      <x:c r="K1850" t="str">
        <x:v>Marketplace Consumer</x:v>
      </x:c>
      <x:c r="L1850" t="str">
        <x:v>All Geographies</x:v>
      </x:c>
      <x:c r="M1850" s="34" t="n">
        <x:v>2946</x:v>
      </x:c>
      <x:c r="N1850" s="28" t="n">
        <x:v>0.050126399999999995</x:v>
      </x:c>
      <x:c r="O1850" s="34" t="n">
        <x:v>148</x:v>
      </x:c>
      <x:c r="P1850" s="34" t="n">
        <x:v>1</x:v>
      </x:c>
      <x:c r="Q1850" s="34" t="n">
        <x:v>148</x:v>
      </x:c>
      <x:c r="R1850" s="33" t="n">
        <x:v>18</x:v>
      </x:c>
      <x:c r="S1850" s="38" t="n">
        <x:v>2.664</x:v>
      </x:c>
      <x:c r="T1850" s="38" t="n">
        <x:v>0.1332</x:v>
      </x:c>
      <x:c r="U1850" s="38" t="n">
        <x:v>0.06327</x:v>
      </x:c>
      <x:c r="V1850" s="38" t="n">
        <x:v>2.46753</x:v>
      </x:c>
      <x:c r="W1850" s="38" t="n">
        <x:v>0.8006800000000001</x:v>
      </x:c>
      <x:c r="X1850" s="38" t="n">
        <x:v>0</x:v>
      </x:c>
      <x:c r="Y1850" s="38" t="n">
        <x:v>0.3701295</x:v>
      </x:c>
      <x:c r="Z1850" s="38" t="n">
        <x:v>0.7696000000000001</x:v>
      </x:c>
      <x:c r="AA1850" s="38" t="n">
        <x:v>0.3182</x:v>
      </x:c>
      <x:c r="AB1850" s="38" t="n">
        <x:v>0.0008879999999999999</x:v>
      </x:c>
      <x:c r="AC1850" s="38" t="n">
        <x:v>0.2080324999999999</x:v>
      </x:c>
      <x:c r="AD1850" s="28" t="n">
        <x:v>0.084307992202729</x:v>
      </x:c>
    </x:row>
    <x:row r="1851">
      <x:c r="A1851" s="32" t="n">
        <x:v>46307</x:v>
      </x:c>
      <x:c r="B1851" s="32" t="n">
        <x:v>46296</x:v>
      </x:c>
      <x:c r="C1851" t="str">
        <x:v>Oct 2026</x:v>
      </x:c>
      <x:c r="D1851" t="str">
        <x:v>Forecast</x:v>
      </x:c>
      <x:c r="E1851" t="str">
        <x:v>DB-102</x:v>
      </x:c>
      <x:c r="F1851" t="str">
        <x:v>GlowPatch Balm</x:v>
      </x:c>
      <x:c r="G1851" t="str">
        <x:v>Consumable repeat</x:v>
      </x:c>
      <x:c r="H1851" t="str">
        <x:v>None</x:v>
      </x:c>
      <x:c r="I1851" t="str">
        <x:v>Active</x:v>
      </x:c>
      <x:c r="J1851" t="str">
        <x:v>Wholesale</x:v>
      </x:c>
      <x:c r="K1851" t="str">
        <x:v>Retailer</x:v>
      </x:c>
      <x:c r="L1851" t="str">
        <x:v>All Geographies</x:v>
      </x:c>
      <x:c r="M1851" s="34" t="n">
        <x:v>1768</x:v>
      </x:c>
      <x:c r="N1851" s="28" t="n">
        <x:v>0.023364</x:v>
      </x:c>
      <x:c r="O1851" s="34" t="n">
        <x:v>41</x:v>
      </x:c>
      <x:c r="P1851" s="34" t="n">
        <x:v>1</x:v>
      </x:c>
      <x:c r="Q1851" s="34" t="n">
        <x:v>41</x:v>
      </x:c>
      <x:c r="R1851" s="33" t="n">
        <x:v>18</x:v>
      </x:c>
      <x:c r="S1851" s="38" t="n">
        <x:v>0.738</x:v>
      </x:c>
      <x:c r="T1851" s="38" t="n">
        <x:v>0.2583</x:v>
      </x:c>
      <x:c r="U1851" s="38" t="n">
        <x:v>0.011992500000000001</x:v>
      </x:c>
      <x:c r="V1851" s="38" t="n">
        <x:v>0.4677075</x:v>
      </x:c>
      <x:c r="W1851" s="38" t="n">
        <x:v>0.22181</x:v>
      </x:c>
      <x:c r="X1851" s="38" t="n">
        <x:v>0</x:v>
      </x:c>
      <x:c r="Y1851" s="38" t="n">
        <x:v>0</x:v>
      </x:c>
      <x:c r="Z1851" s="38" t="n">
        <x:v>0.0943</x:v>
      </x:c>
      <x:c r="AA1851" s="38" t="n">
        <x:v>0.03485</x:v>
      </x:c>
      <x:c r="AB1851" s="38" t="n">
        <x:v>0.000246</x:v>
      </x:c>
      <x:c r="AC1851" s="38" t="n">
        <x:v>0.11650150000000001</x:v>
      </x:c>
      <x:c r="AD1851" s="28" t="n">
        <x:v>0.2490905106289722</x:v>
      </x:c>
    </x:row>
    <x:row r="1852">
      <x:c r="A1852" s="32" t="n">
        <x:v>46307</x:v>
      </x:c>
      <x:c r="B1852" s="32" t="n">
        <x:v>46296</x:v>
      </x:c>
      <x:c r="C1852" t="str">
        <x:v>Oct 2026</x:v>
      </x:c>
      <x:c r="D1852" t="str">
        <x:v>Forecast</x:v>
      </x:c>
      <x:c r="E1852" t="str">
        <x:v>DB-102</x:v>
      </x:c>
      <x:c r="F1852" t="str">
        <x:v>GlowPatch Balm</x:v>
      </x:c>
      <x:c r="G1852" t="str">
        <x:v>Consumable repeat</x:v>
      </x:c>
      <x:c r="H1852" t="str">
        <x:v>None</x:v>
      </x:c>
      <x:c r="I1852" t="str">
        <x:v>Active</x:v>
      </x:c>
      <x:c r="J1852" t="str">
        <x:v>TikTok Shop</x:v>
      </x:c>
      <x:c r="K1852" t="str">
        <x:v>Social Commerce</x:v>
      </x:c>
      <x:c r="L1852" t="str">
        <x:v>All Geographies</x:v>
      </x:c>
      <x:c r="M1852" s="34" t="n">
        <x:v>1179</x:v>
      </x:c>
      <x:c r="N1852" s="28" t="n">
        <x:v>0.0535248</x:v>
      </x:c>
      <x:c r="O1852" s="34" t="n">
        <x:v>63</x:v>
      </x:c>
      <x:c r="P1852" s="34" t="n">
        <x:v>1</x:v>
      </x:c>
      <x:c r="Q1852" s="34" t="n">
        <x:v>63</x:v>
      </x:c>
      <x:c r="R1852" s="33" t="n">
        <x:v>18</x:v>
      </x:c>
      <x:c r="S1852" s="38" t="n">
        <x:v>1.134</x:v>
      </x:c>
      <x:c r="T1852" s="38" t="n">
        <x:v>0.13607999999999998</x:v>
      </x:c>
      <x:c r="U1852" s="38" t="n">
        <x:v>0.024947999999999998</x:v>
      </x:c>
      <x:c r="V1852" s="38" t="n">
        <x:v>0.972972</x:v>
      </x:c>
      <x:c r="W1852" s="38" t="n">
        <x:v>0.34082999999999997</x:v>
      </x:c>
      <x:c r="X1852" s="38" t="n">
        <x:v>0.028216188</x:v>
      </x:c>
      <x:c r="Y1852" s="38" t="n">
        <x:v>0.05837832</x:v>
      </x:c>
      <x:c r="Z1852" s="38" t="n">
        <x:v>0.3213</x:v>
      </x:c>
      <x:c r="AA1852" s="38" t="n">
        <x:v>0.11025</x:v>
      </x:c>
      <x:c r="AB1852" s="38" t="n">
        <x:v>0.000378</x:v>
      </x:c>
      <x:c r="AC1852" s="38" t="n">
        <x:v>0.11361949199999999</x:v>
      </x:c>
      <x:c r="AD1852" s="28" t="n">
        <x:v>0.11677570577570577</x:v>
      </x:c>
    </x:row>
    <x:row r="1853">
      <x:c r="A1853" s="32" t="n">
        <x:v>46307</x:v>
      </x:c>
      <x:c r="B1853" s="32" t="n">
        <x:v>46296</x:v>
      </x:c>
      <x:c r="C1853" t="str">
        <x:v>Oct 2026</x:v>
      </x:c>
      <x:c r="D1853" t="str">
        <x:v>Forecast</x:v>
      </x:c>
      <x:c r="E1853" t="str">
        <x:v>DB-103</x:v>
      </x:c>
      <x:c r="F1853" t="str">
        <x:v>EmberTrail Camp Mug</x:v>
      </x:c>
      <x:c r="G1853" t="str">
        <x:v>One-time purchase</x:v>
      </x:c>
      <x:c r="H1853" t="str">
        <x:v>Winter peak</x:v>
      </x:c>
      <x:c r="I1853" t="str">
        <x:v>Active</x:v>
      </x:c>
      <x:c r="J1853" t="str">
        <x:v>Shopify DTC</x:v>
      </x:c>
      <x:c r="K1853" t="str">
        <x:v>Consumer</x:v>
      </x:c>
      <x:c r="L1853" t="str">
        <x:v>All Geographies</x:v>
      </x:c>
      <x:c r="M1853" s="34" t="n">
        <x:v>5960</x:v>
      </x:c>
      <x:c r="N1853" s="28" t="n">
        <x:v>0.0324</x:v>
      </x:c>
      <x:c r="O1853" s="34" t="n">
        <x:v>193</x:v>
      </x:c>
      <x:c r="P1853" s="34" t="n">
        <x:v>1</x:v>
      </x:c>
      <x:c r="Q1853" s="34" t="n">
        <x:v>193</x:v>
      </x:c>
      <x:c r="R1853" s="33" t="n">
        <x:v>34</x:v>
      </x:c>
      <x:c r="S1853" s="38" t="n">
        <x:v>6.562</x:v>
      </x:c>
      <x:c r="T1853" s="38" t="n">
        <x:v>0.52496</x:v>
      </x:c>
      <x:c r="U1853" s="38" t="n">
        <x:v>0.33203720000000003</x:v>
      </x:c>
      <x:c r="V1853" s="38" t="n">
        <x:v>5.7050028</x:v>
      </x:c>
      <x:c r="W1853" s="38" t="n">
        <x:v>2.63831</x:v>
      </x:c>
      <x:c r="X1853" s="38" t="n">
        <x:v>0.1654450812</x:v>
      </x:c>
      <x:c r="Y1853" s="38" t="n">
        <x:v>0</x:v>
      </x:c>
      <x:c r="Z1853" s="38" t="n">
        <x:v>0.80095</x:v>
      </x:c>
      <x:c r="AA1853" s="38" t="n">
        <x:v>0.31845</x:v>
      </x:c>
      <x:c r="AB1853" s="38" t="n">
        <x:v>0.010808</x:v>
      </x:c>
      <x:c r="AC1853" s="38" t="n">
        <x:v>1.7710397187999996</x:v>
      </x:c>
      <x:c r="AD1853" s="28" t="n">
        <x:v>0.3104362575948253</x:v>
      </x:c>
    </x:row>
    <x:row r="1854">
      <x:c r="A1854" s="32" t="n">
        <x:v>46307</x:v>
      </x:c>
      <x:c r="B1854" s="32" t="n">
        <x:v>46296</x:v>
      </x:c>
      <x:c r="C1854" t="str">
        <x:v>Oct 2026</x:v>
      </x:c>
      <x:c r="D1854" t="str">
        <x:v>Forecast</x:v>
      </x:c>
      <x:c r="E1854" t="str">
        <x:v>DB-103</x:v>
      </x:c>
      <x:c r="F1854" t="str">
        <x:v>EmberTrail Camp Mug</x:v>
      </x:c>
      <x:c r="G1854" t="str">
        <x:v>One-time purchase</x:v>
      </x:c>
      <x:c r="H1854" t="str">
        <x:v>Winter peak</x:v>
      </x:c>
      <x:c r="I1854" t="str">
        <x:v>Active</x:v>
      </x:c>
      <x:c r="J1854" t="str">
        <x:v>Amazon Marketplace</x:v>
      </x:c>
      <x:c r="K1854" t="str">
        <x:v>Marketplace Consumer</x:v>
      </x:c>
      <x:c r="L1854" t="str">
        <x:v>All Geographies</x:v>
      </x:c>
      <x:c r="M1854" s="34" t="n">
        <x:v>2980</x:v>
      </x:c>
      <x:c r="N1854" s="28" t="n">
        <x:v>0.038231999999999995</x:v>
      </x:c>
      <x:c r="O1854" s="34" t="n">
        <x:v>114</x:v>
      </x:c>
      <x:c r="P1854" s="34" t="n">
        <x:v>1</x:v>
      </x:c>
      <x:c r="Q1854" s="34" t="n">
        <x:v>114</x:v>
      </x:c>
      <x:c r="R1854" s="33" t="n">
        <x:v>34</x:v>
      </x:c>
      <x:c r="S1854" s="38" t="n">
        <x:v>3.876</x:v>
      </x:c>
      <x:c r="T1854" s="38" t="n">
        <x:v>0.1938</x:v>
      </x:c>
      <x:c r="U1854" s="38" t="n">
        <x:v>0.202521</x:v>
      </x:c>
      <x:c r="V1854" s="38" t="n">
        <x:v>3.479679</x:v>
      </x:c>
      <x:c r="W1854" s="38" t="n">
        <x:v>1.5583799999999999</x:v>
      </x:c>
      <x:c r="X1854" s="38" t="n">
        <x:v>0</x:v>
      </x:c>
      <x:c r="Y1854" s="38" t="n">
        <x:v>0.52195185</x:v>
      </x:c>
      <x:c r="Z1854" s="38" t="n">
        <x:v>0.5928000000000001</x:v>
      </x:c>
      <x:c r="AA1854" s="38" t="n">
        <x:v>0.24509999999999998</x:v>
      </x:c>
      <x:c r="AB1854" s="38" t="n">
        <x:v>0.006384</x:v>
      </x:c>
      <x:c r="AC1854" s="38" t="n">
        <x:v>0.5550631500000001</x:v>
      </x:c>
      <x:c r="AD1854" s="28" t="n">
        <x:v>0.15951561911314235</x:v>
      </x:c>
    </x:row>
    <x:row r="1855">
      <x:c r="A1855" s="32" t="n">
        <x:v>46307</x:v>
      </x:c>
      <x:c r="B1855" s="32" t="n">
        <x:v>46296</x:v>
      </x:c>
      <x:c r="C1855" t="str">
        <x:v>Oct 2026</x:v>
      </x:c>
      <x:c r="D1855" t="str">
        <x:v>Forecast</x:v>
      </x:c>
      <x:c r="E1855" t="str">
        <x:v>DB-103</x:v>
      </x:c>
      <x:c r="F1855" t="str">
        <x:v>EmberTrail Camp Mug</x:v>
      </x:c>
      <x:c r="G1855" t="str">
        <x:v>One-time purchase</x:v>
      </x:c>
      <x:c r="H1855" t="str">
        <x:v>Winter peak</x:v>
      </x:c>
      <x:c r="I1855" t="str">
        <x:v>Active</x:v>
      </x:c>
      <x:c r="J1855" t="str">
        <x:v>Wholesale</x:v>
      </x:c>
      <x:c r="K1855" t="str">
        <x:v>Retailer</x:v>
      </x:c>
      <x:c r="L1855" t="str">
        <x:v>All Geographies</x:v>
      </x:c>
      <x:c r="M1855" s="34" t="n">
        <x:v>1788</x:v>
      </x:c>
      <x:c r="N1855" s="28" t="n">
        <x:v>0.017820000000000003</x:v>
      </x:c>
      <x:c r="O1855" s="34" t="n">
        <x:v>32</x:v>
      </x:c>
      <x:c r="P1855" s="34" t="n">
        <x:v>1</x:v>
      </x:c>
      <x:c r="Q1855" s="34" t="n">
        <x:v>32</x:v>
      </x:c>
      <x:c r="R1855" s="33" t="n">
        <x:v>34</x:v>
      </x:c>
      <x:c r="S1855" s="38" t="n">
        <x:v>1.088</x:v>
      </x:c>
      <x:c r="T1855" s="38" t="n">
        <x:v>0.3808</x:v>
      </x:c>
      <x:c r="U1855" s="38" t="n">
        <x:v>0.038896</x:v>
      </x:c>
      <x:c r="V1855" s="38" t="n">
        <x:v>0.668304</x:v>
      </x:c>
      <x:c r="W1855" s="38" t="n">
        <x:v>0.43744</x:v>
      </x:c>
      <x:c r="X1855" s="38" t="n">
        <x:v>0</x:v>
      </x:c>
      <x:c r="Y1855" s="38" t="n">
        <x:v>0</x:v>
      </x:c>
      <x:c r="Z1855" s="38" t="n">
        <x:v>0.0736</x:v>
      </x:c>
      <x:c r="AA1855" s="38" t="n">
        <x:v>0.0272</x:v>
      </x:c>
      <x:c r="AB1855" s="38" t="n">
        <x:v>0.001792</x:v>
      </x:c>
      <x:c r="AC1855" s="38" t="n">
        <x:v>0.12827200000000002</x:v>
      </x:c>
      <x:c r="AD1855" s="28" t="n">
        <x:v>0.1919366037013096</x:v>
      </x:c>
    </x:row>
    <x:row r="1856">
      <x:c r="A1856" s="32" t="n">
        <x:v>46307</x:v>
      </x:c>
      <x:c r="B1856" s="32" t="n">
        <x:v>46296</x:v>
      </x:c>
      <x:c r="C1856" t="str">
        <x:v>Oct 2026</x:v>
      </x:c>
      <x:c r="D1856" t="str">
        <x:v>Forecast</x:v>
      </x:c>
      <x:c r="E1856" t="str">
        <x:v>DB-103</x:v>
      </x:c>
      <x:c r="F1856" t="str">
        <x:v>EmberTrail Camp Mug</x:v>
      </x:c>
      <x:c r="G1856" t="str">
        <x:v>One-time purchase</x:v>
      </x:c>
      <x:c r="H1856" t="str">
        <x:v>Winter peak</x:v>
      </x:c>
      <x:c r="I1856" t="str">
        <x:v>Active</x:v>
      </x:c>
      <x:c r="J1856" t="str">
        <x:v>TikTok Shop</x:v>
      </x:c>
      <x:c r="K1856" t="str">
        <x:v>Social Commerce</x:v>
      </x:c>
      <x:c r="L1856" t="str">
        <x:v>All Geographies</x:v>
      </x:c>
      <x:c r="M1856" s="34" t="n">
        <x:v>1192</x:v>
      </x:c>
      <x:c r="N1856" s="28" t="n">
        <x:v>0.040824</x:v>
      </x:c>
      <x:c r="O1856" s="34" t="n">
        <x:v>49</x:v>
      </x:c>
      <x:c r="P1856" s="34" t="n">
        <x:v>1</x:v>
      </x:c>
      <x:c r="Q1856" s="34" t="n">
        <x:v>49</x:v>
      </x:c>
      <x:c r="R1856" s="33" t="n">
        <x:v>34</x:v>
      </x:c>
      <x:c r="S1856" s="38" t="n">
        <x:v>1.666</x:v>
      </x:c>
      <x:c r="T1856" s="38" t="n">
        <x:v>0.19992</x:v>
      </x:c>
      <x:c r="U1856" s="38" t="n">
        <x:v>0.0806344</x:v>
      </x:c>
      <x:c r="V1856" s="38" t="n">
        <x:v>1.3854455999999997</x:v>
      </x:c>
      <x:c r="W1856" s="38" t="n">
        <x:v>0.66983</x:v>
      </x:c>
      <x:c r="X1856" s="38" t="n">
        <x:v>0.040177922399999996</x:v>
      </x:c>
      <x:c r="Y1856" s="38" t="n">
        <x:v>0.08312673599999998</x:v>
      </x:c>
      <x:c r="Z1856" s="38" t="n">
        <x:v>0.24989999999999998</x:v>
      </x:c>
      <x:c r="AA1856" s="38" t="n">
        <x:v>0.08575</x:v>
      </x:c>
      <x:c r="AB1856" s="38" t="n">
        <x:v>0.0027440000000000003</x:v>
      </x:c>
      <x:c r="AC1856" s="38" t="n">
        <x:v>0.2539169415999997</x:v>
      </x:c>
      <x:c r="AD1856" s="28" t="n">
        <x:v>0.1832745663922133</x:v>
      </x:c>
    </x:row>
    <x:row r="1857">
      <x:c r="A1857" s="32" t="n">
        <x:v>46307</x:v>
      </x:c>
      <x:c r="B1857" s="32" t="n">
        <x:v>46296</x:v>
      </x:c>
      <x:c r="C1857" t="str">
        <x:v>Oct 2026</x:v>
      </x:c>
      <x:c r="D1857" t="str">
        <x:v>Forecast</x:v>
      </x:c>
      <x:c r="E1857" t="str">
        <x:v>DB-104</x:v>
      </x:c>
      <x:c r="F1857" t="str">
        <x:v>SunNest Cooling Towel</x:v>
      </x:c>
      <x:c r="G1857" t="str">
        <x:v>Consumable repeat</x:v>
      </x:c>
      <x:c r="H1857" t="str">
        <x:v>Summer peak</x:v>
      </x:c>
      <x:c r="I1857" t="str">
        <x:v>Discontinued</x:v>
      </x:c>
      <x:c r="J1857" t="str">
        <x:v>Shopify DTC</x:v>
      </x:c>
      <x:c r="K1857" t="str">
        <x:v>Consumer</x:v>
      </x:c>
      <x:c r="L1857" t="str">
        <x:v>All Geographies</x:v>
      </x:c>
      <x:c r="M1857" s="34" t="n">
        <x:v>0</x:v>
      </x:c>
      <x:c r="N1857" s="28" t="n">
        <x:v>0.03312</x:v>
      </x:c>
      <x:c r="O1857" s="34" t="n">
        <x:v>0</x:v>
      </x:c>
      <x:c r="P1857" s="34" t="n">
        <x:v>1</x:v>
      </x:c>
      <x:c r="Q1857" s="34" t="n">
        <x:v>0</x:v>
      </x:c>
      <x:c r="R1857" s="33" t="n">
        <x:v>42</x:v>
      </x:c>
      <x:c r="S1857" s="38" t="n">
        <x:v>0</x:v>
      </x:c>
      <x:c r="T1857" s="38" t="n">
        <x:v>0</x:v>
      </x:c>
      <x:c r="U1857" s="38" t="n">
        <x:v>0</x:v>
      </x:c>
      <x:c r="V1857" s="38" t="n">
        <x:v>0</x:v>
      </x:c>
      <x:c r="W1857" s="38" t="n">
        <x:v>0</x:v>
      </x:c>
      <x:c r="X1857" s="38" t="n">
        <x:v>0</x:v>
      </x:c>
      <x:c r="Y1857" s="38" t="n">
        <x:v>0</x:v>
      </x:c>
      <x:c r="Z1857" s="38" t="n">
        <x:v>0</x:v>
      </x:c>
      <x:c r="AA1857" s="38" t="n">
        <x:v>0</x:v>
      </x:c>
      <x:c r="AB1857" s="38" t="n">
        <x:v>0</x:v>
      </x:c>
      <x:c r="AC1857" s="38" t="n">
        <x:v>0</x:v>
      </x:c>
      <x:c r="AD1857" s="28" t="n">
        <x:v>0</x:v>
      </x:c>
    </x:row>
    <x:row r="1858">
      <x:c r="A1858" s="32" t="n">
        <x:v>46307</x:v>
      </x:c>
      <x:c r="B1858" s="32" t="n">
        <x:v>46296</x:v>
      </x:c>
      <x:c r="C1858" t="str">
        <x:v>Oct 2026</x:v>
      </x:c>
      <x:c r="D1858" t="str">
        <x:v>Forecast</x:v>
      </x:c>
      <x:c r="E1858" t="str">
        <x:v>DB-104</x:v>
      </x:c>
      <x:c r="F1858" t="str">
        <x:v>SunNest Cooling Towel</x:v>
      </x:c>
      <x:c r="G1858" t="str">
        <x:v>Consumable repeat</x:v>
      </x:c>
      <x:c r="H1858" t="str">
        <x:v>Summer peak</x:v>
      </x:c>
      <x:c r="I1858" t="str">
        <x:v>Discontinued</x:v>
      </x:c>
      <x:c r="J1858" t="str">
        <x:v>Amazon Marketplace</x:v>
      </x:c>
      <x:c r="K1858" t="str">
        <x:v>Marketplace Consumer</x:v>
      </x:c>
      <x:c r="L1858" t="str">
        <x:v>All Geographies</x:v>
      </x:c>
      <x:c r="M1858" s="34" t="n">
        <x:v>0</x:v>
      </x:c>
      <x:c r="N1858" s="28" t="n">
        <x:v>0.0390816</x:v>
      </x:c>
      <x:c r="O1858" s="34" t="n">
        <x:v>0</x:v>
      </x:c>
      <x:c r="P1858" s="34" t="n">
        <x:v>1</x:v>
      </x:c>
      <x:c r="Q1858" s="34" t="n">
        <x:v>0</x:v>
      </x:c>
      <x:c r="R1858" s="33" t="n">
        <x:v>42</x:v>
      </x:c>
      <x:c r="S1858" s="38" t="n">
        <x:v>0</x:v>
      </x:c>
      <x:c r="T1858" s="38" t="n">
        <x:v>0</x:v>
      </x:c>
      <x:c r="U1858" s="38" t="n">
        <x:v>0</x:v>
      </x:c>
      <x:c r="V1858" s="38" t="n">
        <x:v>0</x:v>
      </x:c>
      <x:c r="W1858" s="38" t="n">
        <x:v>0</x:v>
      </x:c>
      <x:c r="X1858" s="38" t="n">
        <x:v>0</x:v>
      </x:c>
      <x:c r="Y1858" s="38" t="n">
        <x:v>0</x:v>
      </x:c>
      <x:c r="Z1858" s="38" t="n">
        <x:v>0</x:v>
      </x:c>
      <x:c r="AA1858" s="38" t="n">
        <x:v>0</x:v>
      </x:c>
      <x:c r="AB1858" s="38" t="n">
        <x:v>0</x:v>
      </x:c>
      <x:c r="AC1858" s="38" t="n">
        <x:v>0</x:v>
      </x:c>
      <x:c r="AD1858" s="28" t="n">
        <x:v>0</x:v>
      </x:c>
    </x:row>
    <x:row r="1859">
      <x:c r="A1859" s="32" t="n">
        <x:v>46307</x:v>
      </x:c>
      <x:c r="B1859" s="32" t="n">
        <x:v>46296</x:v>
      </x:c>
      <x:c r="C1859" t="str">
        <x:v>Oct 2026</x:v>
      </x:c>
      <x:c r="D1859" t="str">
        <x:v>Forecast</x:v>
      </x:c>
      <x:c r="E1859" t="str">
        <x:v>DB-104</x:v>
      </x:c>
      <x:c r="F1859" t="str">
        <x:v>SunNest Cooling Towel</x:v>
      </x:c>
      <x:c r="G1859" t="str">
        <x:v>Consumable repeat</x:v>
      </x:c>
      <x:c r="H1859" t="str">
        <x:v>Summer peak</x:v>
      </x:c>
      <x:c r="I1859" t="str">
        <x:v>Discontinued</x:v>
      </x:c>
      <x:c r="J1859" t="str">
        <x:v>Wholesale</x:v>
      </x:c>
      <x:c r="K1859" t="str">
        <x:v>Retailer</x:v>
      </x:c>
      <x:c r="L1859" t="str">
        <x:v>All Geographies</x:v>
      </x:c>
      <x:c r="M1859" s="34" t="n">
        <x:v>0</x:v>
      </x:c>
      <x:c r="N1859" s="28" t="n">
        <x:v>0.018216000000000003</x:v>
      </x:c>
      <x:c r="O1859" s="34" t="n">
        <x:v>0</x:v>
      </x:c>
      <x:c r="P1859" s="34" t="n">
        <x:v>1</x:v>
      </x:c>
      <x:c r="Q1859" s="34" t="n">
        <x:v>0</x:v>
      </x:c>
      <x:c r="R1859" s="33" t="n">
        <x:v>42</x:v>
      </x:c>
      <x:c r="S1859" s="38" t="n">
        <x:v>0</x:v>
      </x:c>
      <x:c r="T1859" s="38" t="n">
        <x:v>0</x:v>
      </x:c>
      <x:c r="U1859" s="38" t="n">
        <x:v>0</x:v>
      </x:c>
      <x:c r="V1859" s="38" t="n">
        <x:v>0</x:v>
      </x:c>
      <x:c r="W1859" s="38" t="n">
        <x:v>0</x:v>
      </x:c>
      <x:c r="X1859" s="38" t="n">
        <x:v>0</x:v>
      </x:c>
      <x:c r="Y1859" s="38" t="n">
        <x:v>0</x:v>
      </x:c>
      <x:c r="Z1859" s="38" t="n">
        <x:v>0</x:v>
      </x:c>
      <x:c r="AA1859" s="38" t="n">
        <x:v>0</x:v>
      </x:c>
      <x:c r="AB1859" s="38" t="n">
        <x:v>0</x:v>
      </x:c>
      <x:c r="AC1859" s="38" t="n">
        <x:v>0</x:v>
      </x:c>
      <x:c r="AD1859" s="28" t="n">
        <x:v>0</x:v>
      </x:c>
    </x:row>
    <x:row r="1860">
      <x:c r="A1860" s="32" t="n">
        <x:v>46307</x:v>
      </x:c>
      <x:c r="B1860" s="32" t="n">
        <x:v>46296</x:v>
      </x:c>
      <x:c r="C1860" t="str">
        <x:v>Oct 2026</x:v>
      </x:c>
      <x:c r="D1860" t="str">
        <x:v>Forecast</x:v>
      </x:c>
      <x:c r="E1860" t="str">
        <x:v>DB-104</x:v>
      </x:c>
      <x:c r="F1860" t="str">
        <x:v>SunNest Cooling Towel</x:v>
      </x:c>
      <x:c r="G1860" t="str">
        <x:v>Consumable repeat</x:v>
      </x:c>
      <x:c r="H1860" t="str">
        <x:v>Summer peak</x:v>
      </x:c>
      <x:c r="I1860" t="str">
        <x:v>Discontinued</x:v>
      </x:c>
      <x:c r="J1860" t="str">
        <x:v>TikTok Shop</x:v>
      </x:c>
      <x:c r="K1860" t="str">
        <x:v>Social Commerce</x:v>
      </x:c>
      <x:c r="L1860" t="str">
        <x:v>All Geographies</x:v>
      </x:c>
      <x:c r="M1860" s="34" t="n">
        <x:v>0</x:v>
      </x:c>
      <x:c r="N1860" s="28" t="n">
        <x:v>0.0417312</x:v>
      </x:c>
      <x:c r="O1860" s="34" t="n">
        <x:v>0</x:v>
      </x:c>
      <x:c r="P1860" s="34" t="n">
        <x:v>1</x:v>
      </x:c>
      <x:c r="Q1860" s="34" t="n">
        <x:v>0</x:v>
      </x:c>
      <x:c r="R1860" s="33" t="n">
        <x:v>42</x:v>
      </x:c>
      <x:c r="S1860" s="38" t="n">
        <x:v>0</x:v>
      </x:c>
      <x:c r="T1860" s="38" t="n">
        <x:v>0</x:v>
      </x:c>
      <x:c r="U1860" s="38" t="n">
        <x:v>0</x:v>
      </x:c>
      <x:c r="V1860" s="38" t="n">
        <x:v>0</x:v>
      </x:c>
      <x:c r="W1860" s="38" t="n">
        <x:v>0</x:v>
      </x:c>
      <x:c r="X1860" s="38" t="n">
        <x:v>0</x:v>
      </x:c>
      <x:c r="Y1860" s="38" t="n">
        <x:v>0</x:v>
      </x:c>
      <x:c r="Z1860" s="38" t="n">
        <x:v>0</x:v>
      </x:c>
      <x:c r="AA1860" s="38" t="n">
        <x:v>0</x:v>
      </x:c>
      <x:c r="AB1860" s="38" t="n">
        <x:v>0</x:v>
      </x:c>
      <x:c r="AC1860" s="38" t="n">
        <x:v>0</x:v>
      </x:c>
      <x:c r="AD1860" s="28" t="n">
        <x:v>0</x:v>
      </x:c>
    </x:row>
    <x:row r="1861">
      <x:c r="A1861" s="32" t="n">
        <x:v>46307</x:v>
      </x:c>
      <x:c r="B1861" s="32" t="n">
        <x:v>46296</x:v>
      </x:c>
      <x:c r="C1861" t="str">
        <x:v>Oct 2026</x:v>
      </x:c>
      <x:c r="D1861" t="str">
        <x:v>Forecast</x:v>
      </x:c>
      <x:c r="E1861" t="str">
        <x:v>DB-105</x:v>
      </x:c>
      <x:c r="F1861" t="str">
        <x:v>DreamFuel Refill Pack</x:v>
      </x:c>
      <x:c r="G1861" t="str">
        <x:v>Subscription</x:v>
      </x:c>
      <x:c r="H1861" t="str">
        <x:v>None</x:v>
      </x:c>
      <x:c r="I1861" t="str">
        <x:v>Active</x:v>
      </x:c>
      <x:c r="J1861" t="str">
        <x:v>Shopify DTC</x:v>
      </x:c>
      <x:c r="K1861" t="str">
        <x:v>Consumer</x:v>
      </x:c>
      <x:c r="L1861" t="str">
        <x:v>All Geographies</x:v>
      </x:c>
      <x:c r="M1861" s="34" t="n">
        <x:v>5051</x:v>
      </x:c>
      <x:c r="N1861" s="28" t="n">
        <x:v>0.03888</x:v>
      </x:c>
      <x:c r="O1861" s="34" t="n">
        <x:v>196</x:v>
      </x:c>
      <x:c r="P1861" s="34" t="n">
        <x:v>1</x:v>
      </x:c>
      <x:c r="Q1861" s="34" t="n">
        <x:v>196</x:v>
      </x:c>
      <x:c r="R1861" s="33" t="n">
        <x:v>56</x:v>
      </x:c>
      <x:c r="S1861" s="38" t="n">
        <x:v>10.976</x:v>
      </x:c>
      <x:c r="T1861" s="38" t="n">
        <x:v>0.8780800000000001</x:v>
      </x:c>
      <x:c r="U1861" s="38" t="n">
        <x:v>0.2019584</x:v>
      </x:c>
      <x:c r="V1861" s="38" t="n">
        <x:v>9.8959616</x:v>
      </x:c>
      <x:c r="W1861" s="38" t="n">
        <x:v>3.64952</x:v>
      </x:c>
      <x:c r="X1861" s="38" t="n">
        <x:v>0.2869828864</x:v>
      </x:c>
      <x:c r="Y1861" s="38" t="n">
        <x:v>0</x:v>
      </x:c>
      <x:c r="Z1861" s="38" t="n">
        <x:v>0.8134000000000001</x:v>
      </x:c>
      <x:c r="AA1861" s="38" t="n">
        <x:v>0.32339999999999997</x:v>
      </x:c>
      <x:c r="AB1861" s="38" t="n">
        <x:v>0.0007055999999999999</x:v>
      </x:c>
      <x:c r="AC1861" s="38" t="n">
        <x:v>4.8219531136</x:v>
      </x:c>
      <x:c r="AD1861" s="28" t="n">
        <x:v>0.4872647357079478</x:v>
      </x:c>
    </x:row>
    <x:row r="1862">
      <x:c r="A1862" s="32" t="n">
        <x:v>46307</x:v>
      </x:c>
      <x:c r="B1862" s="32" t="n">
        <x:v>46296</x:v>
      </x:c>
      <x:c r="C1862" t="str">
        <x:v>Oct 2026</x:v>
      </x:c>
      <x:c r="D1862" t="str">
        <x:v>Forecast</x:v>
      </x:c>
      <x:c r="E1862" t="str">
        <x:v>DB-105</x:v>
      </x:c>
      <x:c r="F1862" t="str">
        <x:v>DreamFuel Refill Pack</x:v>
      </x:c>
      <x:c r="G1862" t="str">
        <x:v>Subscription</x:v>
      </x:c>
      <x:c r="H1862" t="str">
        <x:v>None</x:v>
      </x:c>
      <x:c r="I1862" t="str">
        <x:v>Active</x:v>
      </x:c>
      <x:c r="J1862" t="str">
        <x:v>Amazon Marketplace</x:v>
      </x:c>
      <x:c r="K1862" t="str">
        <x:v>Marketplace Consumer</x:v>
      </x:c>
      <x:c r="L1862" t="str">
        <x:v>All Geographies</x:v>
      </x:c>
      <x:c r="M1862" s="34" t="n">
        <x:v>2525</x:v>
      </x:c>
      <x:c r="N1862" s="28" t="n">
        <x:v>0.0458784</x:v>
      </x:c>
      <x:c r="O1862" s="34" t="n">
        <x:v>116</x:v>
      </x:c>
      <x:c r="P1862" s="34" t="n">
        <x:v>1</x:v>
      </x:c>
      <x:c r="Q1862" s="34" t="n">
        <x:v>116</x:v>
      </x:c>
      <x:c r="R1862" s="33" t="n">
        <x:v>56</x:v>
      </x:c>
      <x:c r="S1862" s="38" t="n">
        <x:v>6.496</x:v>
      </x:c>
      <x:c r="T1862" s="38" t="n">
        <x:v>0.32480000000000003</x:v>
      </x:c>
      <x:c r="U1862" s="38" t="n">
        <x:v>0.12342400000000002</x:v>
      </x:c>
      <x:c r="V1862" s="38" t="n">
        <x:v>6.047776000000001</x:v>
      </x:c>
      <x:c r="W1862" s="38" t="n">
        <x:v>2.15992</x:v>
      </x:c>
      <x:c r="X1862" s="38" t="n">
        <x:v>0</x:v>
      </x:c>
      <x:c r="Y1862" s="38" t="n">
        <x:v>0.9071664</x:v>
      </x:c>
      <x:c r="Z1862" s="38" t="n">
        <x:v>0.6032000000000001</x:v>
      </x:c>
      <x:c r="AA1862" s="38" t="n">
        <x:v>0.24939999999999998</x:v>
      </x:c>
      <x:c r="AB1862" s="38" t="n">
        <x:v>0.0004176</x:v>
      </x:c>
      <x:c r="AC1862" s="38" t="n">
        <x:v>2.1276720000000005</x:v>
      </x:c>
      <x:c r="AD1862" s="28" t="n">
        <x:v>0.35181064907165877</x:v>
      </x:c>
    </x:row>
    <x:row r="1863">
      <x:c r="A1863" s="32" t="n">
        <x:v>46307</x:v>
      </x:c>
      <x:c r="B1863" s="32" t="n">
        <x:v>46296</x:v>
      </x:c>
      <x:c r="C1863" t="str">
        <x:v>Oct 2026</x:v>
      </x:c>
      <x:c r="D1863" t="str">
        <x:v>Forecast</x:v>
      </x:c>
      <x:c r="E1863" t="str">
        <x:v>DB-105</x:v>
      </x:c>
      <x:c r="F1863" t="str">
        <x:v>DreamFuel Refill Pack</x:v>
      </x:c>
      <x:c r="G1863" t="str">
        <x:v>Subscription</x:v>
      </x:c>
      <x:c r="H1863" t="str">
        <x:v>None</x:v>
      </x:c>
      <x:c r="I1863" t="str">
        <x:v>Active</x:v>
      </x:c>
      <x:c r="J1863" t="str">
        <x:v>Wholesale</x:v>
      </x:c>
      <x:c r="K1863" t="str">
        <x:v>Retailer</x:v>
      </x:c>
      <x:c r="L1863" t="str">
        <x:v>All Geographies</x:v>
      </x:c>
      <x:c r="M1863" s="34" t="n">
        <x:v>1515</x:v>
      </x:c>
      <x:c r="N1863" s="28" t="n">
        <x:v>0.021384000000000004</x:v>
      </x:c>
      <x:c r="O1863" s="34" t="n">
        <x:v>32</x:v>
      </x:c>
      <x:c r="P1863" s="34" t="n">
        <x:v>1</x:v>
      </x:c>
      <x:c r="Q1863" s="34" t="n">
        <x:v>32</x:v>
      </x:c>
      <x:c r="R1863" s="33" t="n">
        <x:v>56</x:v>
      </x:c>
      <x:c r="S1863" s="38" t="n">
        <x:v>1.792</x:v>
      </x:c>
      <x:c r="T1863" s="38" t="n">
        <x:v>0.6272</x:v>
      </x:c>
      <x:c r="U1863" s="38" t="n">
        <x:v>0.023296</x:v>
      </x:c>
      <x:c r="V1863" s="38" t="n">
        <x:v>1.141504</x:v>
      </x:c>
      <x:c r="W1863" s="38" t="n">
        <x:v>0.59584</x:v>
      </x:c>
      <x:c r="X1863" s="38" t="n">
        <x:v>0</x:v>
      </x:c>
      <x:c r="Y1863" s="38" t="n">
        <x:v>0</x:v>
      </x:c>
      <x:c r="Z1863" s="38" t="n">
        <x:v>0.0736</x:v>
      </x:c>
      <x:c r="AA1863" s="38" t="n">
        <x:v>0.0272</x:v>
      </x:c>
      <x:c r="AB1863" s="38" t="n">
        <x:v>0.0001152</x:v>
      </x:c>
      <x:c r="AC1863" s="38" t="n">
        <x:v>0.44474880000000006</x:v>
      </x:c>
      <x:c r="AD1863" s="28" t="n">
        <x:v>0.3896165059430366</x:v>
      </x:c>
    </x:row>
    <x:row r="1864">
      <x:c r="A1864" s="32" t="n">
        <x:v>46307</x:v>
      </x:c>
      <x:c r="B1864" s="32" t="n">
        <x:v>46296</x:v>
      </x:c>
      <x:c r="C1864" t="str">
        <x:v>Oct 2026</x:v>
      </x:c>
      <x:c r="D1864" t="str">
        <x:v>Forecast</x:v>
      </x:c>
      <x:c r="E1864" t="str">
        <x:v>DB-105</x:v>
      </x:c>
      <x:c r="F1864" t="str">
        <x:v>DreamFuel Refill Pack</x:v>
      </x:c>
      <x:c r="G1864" t="str">
        <x:v>Subscription</x:v>
      </x:c>
      <x:c r="H1864" t="str">
        <x:v>None</x:v>
      </x:c>
      <x:c r="I1864" t="str">
        <x:v>Active</x:v>
      </x:c>
      <x:c r="J1864" t="str">
        <x:v>TikTok Shop</x:v>
      </x:c>
      <x:c r="K1864" t="str">
        <x:v>Social Commerce</x:v>
      </x:c>
      <x:c r="L1864" t="str">
        <x:v>All Geographies</x:v>
      </x:c>
      <x:c r="M1864" s="34" t="n">
        <x:v>1010</x:v>
      </x:c>
      <x:c r="N1864" s="28" t="n">
        <x:v>0.0489888</x:v>
      </x:c>
      <x:c r="O1864" s="34" t="n">
        <x:v>49</x:v>
      </x:c>
      <x:c r="P1864" s="34" t="n">
        <x:v>1</x:v>
      </x:c>
      <x:c r="Q1864" s="34" t="n">
        <x:v>49</x:v>
      </x:c>
      <x:c r="R1864" s="33" t="n">
        <x:v>56</x:v>
      </x:c>
      <x:c r="S1864" s="38" t="n">
        <x:v>2.744</x:v>
      </x:c>
      <x:c r="T1864" s="38" t="n">
        <x:v>0.32928</x:v>
      </x:c>
      <x:c r="U1864" s="38" t="n">
        <x:v>0.0482944</x:v>
      </x:c>
      <x:c r="V1864" s="38" t="n">
        <x:v>2.3664256</x:v>
      </x:c>
      <x:c r="W1864" s="38" t="n">
        <x:v>0.91238</x:v>
      </x:c>
      <x:c r="X1864" s="38" t="n">
        <x:v>0.0686263424</x:v>
      </x:c>
      <x:c r="Y1864" s="38" t="n">
        <x:v>0.141985536</x:v>
      </x:c>
      <x:c r="Z1864" s="38" t="n">
        <x:v>0.24989999999999998</x:v>
      </x:c>
      <x:c r="AA1864" s="38" t="n">
        <x:v>0.08575</x:v>
      </x:c>
      <x:c r="AB1864" s="38" t="n">
        <x:v>0.00017639999999999998</x:v>
      </x:c>
      <x:c r="AC1864" s="38" t="n">
        <x:v>0.9076073216</x:v>
      </x:c>
      <x:c r="AD1864" s="28" t="n">
        <x:v>0.3835351179432812</x:v>
      </x:c>
    </x:row>
    <x:row r="1865">
      <x:c r="A1865" s="32" t="n">
        <x:v>46314</x:v>
      </x:c>
      <x:c r="B1865" s="32" t="n">
        <x:v>46296</x:v>
      </x:c>
      <x:c r="C1865" t="str">
        <x:v>Oct 2026</x:v>
      </x:c>
      <x:c r="D1865" t="str">
        <x:v>Forecast</x:v>
      </x:c>
      <x:c r="E1865" t="str">
        <x:v>DB-101</x:v>
      </x:c>
      <x:c r="F1865" t="str">
        <x:v>AeroSip Bottle</x:v>
      </x:c>
      <x:c r="G1865" t="str">
        <x:v>One-time purchase</x:v>
      </x:c>
      <x:c r="H1865" t="str">
        <x:v>None</x:v>
      </x:c>
      <x:c r="I1865" t="str">
        <x:v>Active</x:v>
      </x:c>
      <x:c r="J1865" t="str">
        <x:v>Shopify DTC</x:v>
      </x:c>
      <x:c r="K1865" t="str">
        <x:v>Consumer</x:v>
      </x:c>
      <x:c r="L1865" t="str">
        <x:v>All Geographies</x:v>
      </x:c>
      <x:c r="M1865" s="34" t="n">
        <x:v>7296</x:v>
      </x:c>
      <x:c r="N1865" s="28" t="n">
        <x:v>0.034199999999999994</x:v>
      </x:c>
      <x:c r="O1865" s="34" t="n">
        <x:v>250</x:v>
      </x:c>
      <x:c r="P1865" s="34" t="n">
        <x:v>1</x:v>
      </x:c>
      <x:c r="Q1865" s="34" t="n">
        <x:v>250</x:v>
      </x:c>
      <x:c r="R1865" s="33" t="n">
        <x:v>29</x:v>
      </x:c>
      <x:c r="S1865" s="38" t="n">
        <x:v>7.25</x:v>
      </x:c>
      <x:c r="T1865" s="38" t="n">
        <x:v>0.58</x:v>
      </x:c>
      <x:c r="U1865" s="38" t="n">
        <x:v>0.30015</x:v>
      </x:c>
      <x:c r="V1865" s="38" t="n">
        <x:v>6.36985</x:v>
      </x:c>
      <x:c r="W1865" s="38" t="n">
        <x:v>2.7</x:v>
      </x:c>
      <x:c r="X1865" s="38" t="n">
        <x:v>0.18472565</x:v>
      </x:c>
      <x:c r="Y1865" s="38" t="n">
        <x:v>0</x:v>
      </x:c>
      <x:c r="Z1865" s="38" t="n">
        <x:v>1.0375</x:v>
      </x:c>
      <x:c r="AA1865" s="38" t="n">
        <x:v>0.4125</x:v>
      </x:c>
      <x:c r="AB1865" s="38" t="n">
        <x:v>0.009</x:v>
      </x:c>
      <x:c r="AC1865" s="38" t="n">
        <x:v>2.0261243499999995</x:v>
      </x:c>
      <x:c r="AD1865" s="28" t="n">
        <x:v>0.31808038650831644</x:v>
      </x:c>
    </x:row>
    <x:row r="1866">
      <x:c r="A1866" s="32" t="n">
        <x:v>46314</x:v>
      </x:c>
      <x:c r="B1866" s="32" t="n">
        <x:v>46296</x:v>
      </x:c>
      <x:c r="C1866" t="str">
        <x:v>Oct 2026</x:v>
      </x:c>
      <x:c r="D1866" t="str">
        <x:v>Forecast</x:v>
      </x:c>
      <x:c r="E1866" t="str">
        <x:v>DB-101</x:v>
      </x:c>
      <x:c r="F1866" t="str">
        <x:v>AeroSip Bottle</x:v>
      </x:c>
      <x:c r="G1866" t="str">
        <x:v>One-time purchase</x:v>
      </x:c>
      <x:c r="H1866" t="str">
        <x:v>None</x:v>
      </x:c>
      <x:c r="I1866" t="str">
        <x:v>Active</x:v>
      </x:c>
      <x:c r="J1866" t="str">
        <x:v>Amazon Marketplace</x:v>
      </x:c>
      <x:c r="K1866" t="str">
        <x:v>Marketplace Consumer</x:v>
      </x:c>
      <x:c r="L1866" t="str">
        <x:v>All Geographies</x:v>
      </x:c>
      <x:c r="M1866" s="34" t="n">
        <x:v>3648</x:v>
      </x:c>
      <x:c r="N1866" s="28" t="n">
        <x:v>0.040355999999999996</x:v>
      </x:c>
      <x:c r="O1866" s="34" t="n">
        <x:v>147</x:v>
      </x:c>
      <x:c r="P1866" s="34" t="n">
        <x:v>1</x:v>
      </x:c>
      <x:c r="Q1866" s="34" t="n">
        <x:v>147</x:v>
      </x:c>
      <x:c r="R1866" s="33" t="n">
        <x:v>29</x:v>
      </x:c>
      <x:c r="S1866" s="38" t="n">
        <x:v>4.263</x:v>
      </x:c>
      <x:c r="T1866" s="38" t="n">
        <x:v>0.21315</x:v>
      </x:c>
      <x:c r="U1866" s="38" t="n">
        <x:v>0.18224325</x:v>
      </x:c>
      <x:c r="V1866" s="38" t="n">
        <x:v>3.86760675</x:v>
      </x:c>
      <x:c r="W1866" s="38" t="n">
        <x:v>1.5876000000000001</x:v>
      </x:c>
      <x:c r="X1866" s="38" t="n">
        <x:v>0</x:v>
      </x:c>
      <x:c r="Y1866" s="38" t="n">
        <x:v>0.5801410125</x:v>
      </x:c>
      <x:c r="Z1866" s="38" t="n">
        <x:v>0.7644</x:v>
      </x:c>
      <x:c r="AA1866" s="38" t="n">
        <x:v>0.31605</x:v>
      </x:c>
      <x:c r="AB1866" s="38" t="n">
        <x:v>0.005292</x:v>
      </x:c>
      <x:c r="AC1866" s="38" t="n">
        <x:v>0.6141237375000003</x:v>
      </x:c>
      <x:c r="AD1866" s="28" t="n">
        <x:v>0.15878649955815705</x:v>
      </x:c>
    </x:row>
    <x:row r="1867">
      <x:c r="A1867" s="32" t="n">
        <x:v>46314</x:v>
      </x:c>
      <x:c r="B1867" s="32" t="n">
        <x:v>46296</x:v>
      </x:c>
      <x:c r="C1867" t="str">
        <x:v>Oct 2026</x:v>
      </x:c>
      <x:c r="D1867" t="str">
        <x:v>Forecast</x:v>
      </x:c>
      <x:c r="E1867" t="str">
        <x:v>DB-101</x:v>
      </x:c>
      <x:c r="F1867" t="str">
        <x:v>AeroSip Bottle</x:v>
      </x:c>
      <x:c r="G1867" t="str">
        <x:v>One-time purchase</x:v>
      </x:c>
      <x:c r="H1867" t="str">
        <x:v>None</x:v>
      </x:c>
      <x:c r="I1867" t="str">
        <x:v>Active</x:v>
      </x:c>
      <x:c r="J1867" t="str">
        <x:v>Wholesale</x:v>
      </x:c>
      <x:c r="K1867" t="str">
        <x:v>Retailer</x:v>
      </x:c>
      <x:c r="L1867" t="str">
        <x:v>All Geographies</x:v>
      </x:c>
      <x:c r="M1867" s="34" t="n">
        <x:v>2189</x:v>
      </x:c>
      <x:c r="N1867" s="28" t="n">
        <x:v>0.01881</x:v>
      </x:c>
      <x:c r="O1867" s="34" t="n">
        <x:v>41</x:v>
      </x:c>
      <x:c r="P1867" s="34" t="n">
        <x:v>1</x:v>
      </x:c>
      <x:c r="Q1867" s="34" t="n">
        <x:v>41</x:v>
      </x:c>
      <x:c r="R1867" s="33" t="n">
        <x:v>29</x:v>
      </x:c>
      <x:c r="S1867" s="38" t="n">
        <x:v>1.189</x:v>
      </x:c>
      <x:c r="T1867" s="38" t="n">
        <x:v>0.41615</x:v>
      </x:c>
      <x:c r="U1867" s="38" t="n">
        <x:v>0.034778250000000004</x:v>
      </x:c>
      <x:c r="V1867" s="38" t="n">
        <x:v>0.73807175</x:v>
      </x:c>
      <x:c r="W1867" s="38" t="n">
        <x:v>0.4428</x:v>
      </x:c>
      <x:c r="X1867" s="38" t="n">
        <x:v>0</x:v>
      </x:c>
      <x:c r="Y1867" s="38" t="n">
        <x:v>0</x:v>
      </x:c>
      <x:c r="Z1867" s="38" t="n">
        <x:v>0.0943</x:v>
      </x:c>
      <x:c r="AA1867" s="38" t="n">
        <x:v>0.03485</x:v>
      </x:c>
      <x:c r="AB1867" s="38" t="n">
        <x:v>0.0014759999999999999</x:v>
      </x:c>
      <x:c r="AC1867" s="38" t="n">
        <x:v>0.16464575</x:v>
      </x:c>
      <x:c r="AD1867" s="28" t="n">
        <x:v>0.22307553432305194</x:v>
      </x:c>
    </x:row>
    <x:row r="1868">
      <x:c r="A1868" s="32" t="n">
        <x:v>46314</x:v>
      </x:c>
      <x:c r="B1868" s="32" t="n">
        <x:v>46296</x:v>
      </x:c>
      <x:c r="C1868" t="str">
        <x:v>Oct 2026</x:v>
      </x:c>
      <x:c r="D1868" t="str">
        <x:v>Forecast</x:v>
      </x:c>
      <x:c r="E1868" t="str">
        <x:v>DB-101</x:v>
      </x:c>
      <x:c r="F1868" t="str">
        <x:v>AeroSip Bottle</x:v>
      </x:c>
      <x:c r="G1868" t="str">
        <x:v>One-time purchase</x:v>
      </x:c>
      <x:c r="H1868" t="str">
        <x:v>None</x:v>
      </x:c>
      <x:c r="I1868" t="str">
        <x:v>Active</x:v>
      </x:c>
      <x:c r="J1868" t="str">
        <x:v>TikTok Shop</x:v>
      </x:c>
      <x:c r="K1868" t="str">
        <x:v>Social Commerce</x:v>
      </x:c>
      <x:c r="L1868" t="str">
        <x:v>All Geographies</x:v>
      </x:c>
      <x:c r="M1868" s="34" t="n">
        <x:v>1459</x:v>
      </x:c>
      <x:c r="N1868" s="28" t="n">
        <x:v>0.043092</x:v>
      </x:c>
      <x:c r="O1868" s="34" t="n">
        <x:v>63</x:v>
      </x:c>
      <x:c r="P1868" s="34" t="n">
        <x:v>1</x:v>
      </x:c>
      <x:c r="Q1868" s="34" t="n">
        <x:v>63</x:v>
      </x:c>
      <x:c r="R1868" s="33" t="n">
        <x:v>29</x:v>
      </x:c>
      <x:c r="S1868" s="38" t="n">
        <x:v>1.827</x:v>
      </x:c>
      <x:c r="T1868" s="38" t="n">
        <x:v>0.21924</x:v>
      </x:c>
      <x:c r="U1868" s="38" t="n">
        <x:v>0.07234919999999999</x:v>
      </x:c>
      <x:c r="V1868" s="38" t="n">
        <x:v>1.5354108</x:v>
      </x:c>
      <x:c r="W1868" s="38" t="n">
        <x:v>0.6804000000000001</x:v>
      </x:c>
      <x:c r="X1868" s="38" t="n">
        <x:v>0.044526913200000004</x:v>
      </x:c>
      <x:c r="Y1868" s="38" t="n">
        <x:v>0.09212464799999999</x:v>
      </x:c>
      <x:c r="Z1868" s="38" t="n">
        <x:v>0.3213</x:v>
      </x:c>
      <x:c r="AA1868" s="38" t="n">
        <x:v>0.11025</x:v>
      </x:c>
      <x:c r="AB1868" s="38" t="n">
        <x:v>0.0022679999999999996</x:v>
      </x:c>
      <x:c r="AC1868" s="38" t="n">
        <x:v>0.2845412387999999</x:v>
      </x:c>
      <x:c r="AD1868" s="28" t="n">
        <x:v>0.18531928966501987</x:v>
      </x:c>
    </x:row>
    <x:row r="1869">
      <x:c r="A1869" s="32" t="n">
        <x:v>46314</x:v>
      </x:c>
      <x:c r="B1869" s="32" t="n">
        <x:v>46296</x:v>
      </x:c>
      <x:c r="C1869" t="str">
        <x:v>Oct 2026</x:v>
      </x:c>
      <x:c r="D1869" t="str">
        <x:v>Forecast</x:v>
      </x:c>
      <x:c r="E1869" t="str">
        <x:v>DB-102</x:v>
      </x:c>
      <x:c r="F1869" t="str">
        <x:v>GlowPatch Balm</x:v>
      </x:c>
      <x:c r="G1869" t="str">
        <x:v>Consumable repeat</x:v>
      </x:c>
      <x:c r="H1869" t="str">
        <x:v>None</x:v>
      </x:c>
      <x:c r="I1869" t="str">
        <x:v>Active</x:v>
      </x:c>
      <x:c r="J1869" t="str">
        <x:v>Shopify DTC</x:v>
      </x:c>
      <x:c r="K1869" t="str">
        <x:v>Consumer</x:v>
      </x:c>
      <x:c r="L1869" t="str">
        <x:v>All Geographies</x:v>
      </x:c>
      <x:c r="M1869" s="34" t="n">
        <x:v>5893</x:v>
      </x:c>
      <x:c r="N1869" s="28" t="n">
        <x:v>0.04248</x:v>
      </x:c>
      <x:c r="O1869" s="34" t="n">
        <x:v>250</x:v>
      </x:c>
      <x:c r="P1869" s="34" t="n">
        <x:v>1</x:v>
      </x:c>
      <x:c r="Q1869" s="34" t="n">
        <x:v>250</x:v>
      </x:c>
      <x:c r="R1869" s="33" t="n">
        <x:v>18</x:v>
      </x:c>
      <x:c r="S1869" s="38" t="n">
        <x:v>4.5</x:v>
      </x:c>
      <x:c r="T1869" s="38" t="n">
        <x:v>0.36</x:v>
      </x:c>
      <x:c r="U1869" s="38" t="n">
        <x:v>0.1035</x:v>
      </x:c>
      <x:c r="V1869" s="38" t="n">
        <x:v>4.036499999999999</x:v>
      </x:c>
      <x:c r="W1869" s="38" t="n">
        <x:v>1.3525</x:v>
      </x:c>
      <x:c r="X1869" s="38" t="n">
        <x:v>0.11705849999999998</x:v>
      </x:c>
      <x:c r="Y1869" s="38" t="n">
        <x:v>0</x:v>
      </x:c>
      <x:c r="Z1869" s="38" t="n">
        <x:v>1.0375</x:v>
      </x:c>
      <x:c r="AA1869" s="38" t="n">
        <x:v>0.4125</x:v>
      </x:c>
      <x:c r="AB1869" s="38" t="n">
        <x:v>0.0015</x:v>
      </x:c>
      <x:c r="AC1869" s="38" t="n">
        <x:v>1.1154414999999989</x:v>
      </x:c>
      <x:c r="AD1869" s="28" t="n">
        <x:v>0.2763387835996529</x:v>
      </x:c>
    </x:row>
    <x:row r="1870">
      <x:c r="A1870" s="32" t="n">
        <x:v>46314</x:v>
      </x:c>
      <x:c r="B1870" s="32" t="n">
        <x:v>46296</x:v>
      </x:c>
      <x:c r="C1870" t="str">
        <x:v>Oct 2026</x:v>
      </x:c>
      <x:c r="D1870" t="str">
        <x:v>Forecast</x:v>
      </x:c>
      <x:c r="E1870" t="str">
        <x:v>DB-102</x:v>
      </x:c>
      <x:c r="F1870" t="str">
        <x:v>GlowPatch Balm</x:v>
      </x:c>
      <x:c r="G1870" t="str">
        <x:v>Consumable repeat</x:v>
      </x:c>
      <x:c r="H1870" t="str">
        <x:v>None</x:v>
      </x:c>
      <x:c r="I1870" t="str">
        <x:v>Active</x:v>
      </x:c>
      <x:c r="J1870" t="str">
        <x:v>Amazon Marketplace</x:v>
      </x:c>
      <x:c r="K1870" t="str">
        <x:v>Marketplace Consumer</x:v>
      </x:c>
      <x:c r="L1870" t="str">
        <x:v>All Geographies</x:v>
      </x:c>
      <x:c r="M1870" s="34" t="n">
        <x:v>2946</x:v>
      </x:c>
      <x:c r="N1870" s="28" t="n">
        <x:v>0.050126399999999995</x:v>
      </x:c>
      <x:c r="O1870" s="34" t="n">
        <x:v>148</x:v>
      </x:c>
      <x:c r="P1870" s="34" t="n">
        <x:v>1</x:v>
      </x:c>
      <x:c r="Q1870" s="34" t="n">
        <x:v>148</x:v>
      </x:c>
      <x:c r="R1870" s="33" t="n">
        <x:v>18</x:v>
      </x:c>
      <x:c r="S1870" s="38" t="n">
        <x:v>2.664</x:v>
      </x:c>
      <x:c r="T1870" s="38" t="n">
        <x:v>0.1332</x:v>
      </x:c>
      <x:c r="U1870" s="38" t="n">
        <x:v>0.06327</x:v>
      </x:c>
      <x:c r="V1870" s="38" t="n">
        <x:v>2.46753</x:v>
      </x:c>
      <x:c r="W1870" s="38" t="n">
        <x:v>0.8006800000000001</x:v>
      </x:c>
      <x:c r="X1870" s="38" t="n">
        <x:v>0</x:v>
      </x:c>
      <x:c r="Y1870" s="38" t="n">
        <x:v>0.3701295</x:v>
      </x:c>
      <x:c r="Z1870" s="38" t="n">
        <x:v>0.7696000000000001</x:v>
      </x:c>
      <x:c r="AA1870" s="38" t="n">
        <x:v>0.3182</x:v>
      </x:c>
      <x:c r="AB1870" s="38" t="n">
        <x:v>0.0008879999999999999</x:v>
      </x:c>
      <x:c r="AC1870" s="38" t="n">
        <x:v>0.2080324999999999</x:v>
      </x:c>
      <x:c r="AD1870" s="28" t="n">
        <x:v>0.084307992202729</x:v>
      </x:c>
    </x:row>
    <x:row r="1871">
      <x:c r="A1871" s="32" t="n">
        <x:v>46314</x:v>
      </x:c>
      <x:c r="B1871" s="32" t="n">
        <x:v>46296</x:v>
      </x:c>
      <x:c r="C1871" t="str">
        <x:v>Oct 2026</x:v>
      </x:c>
      <x:c r="D1871" t="str">
        <x:v>Forecast</x:v>
      </x:c>
      <x:c r="E1871" t="str">
        <x:v>DB-102</x:v>
      </x:c>
      <x:c r="F1871" t="str">
        <x:v>GlowPatch Balm</x:v>
      </x:c>
      <x:c r="G1871" t="str">
        <x:v>Consumable repeat</x:v>
      </x:c>
      <x:c r="H1871" t="str">
        <x:v>None</x:v>
      </x:c>
      <x:c r="I1871" t="str">
        <x:v>Active</x:v>
      </x:c>
      <x:c r="J1871" t="str">
        <x:v>Wholesale</x:v>
      </x:c>
      <x:c r="K1871" t="str">
        <x:v>Retailer</x:v>
      </x:c>
      <x:c r="L1871" t="str">
        <x:v>All Geographies</x:v>
      </x:c>
      <x:c r="M1871" s="34" t="n">
        <x:v>1768</x:v>
      </x:c>
      <x:c r="N1871" s="28" t="n">
        <x:v>0.023364</x:v>
      </x:c>
      <x:c r="O1871" s="34" t="n">
        <x:v>41</x:v>
      </x:c>
      <x:c r="P1871" s="34" t="n">
        <x:v>1</x:v>
      </x:c>
      <x:c r="Q1871" s="34" t="n">
        <x:v>41</x:v>
      </x:c>
      <x:c r="R1871" s="33" t="n">
        <x:v>18</x:v>
      </x:c>
      <x:c r="S1871" s="38" t="n">
        <x:v>0.738</x:v>
      </x:c>
      <x:c r="T1871" s="38" t="n">
        <x:v>0.2583</x:v>
      </x:c>
      <x:c r="U1871" s="38" t="n">
        <x:v>0.011992500000000001</x:v>
      </x:c>
      <x:c r="V1871" s="38" t="n">
        <x:v>0.4677075</x:v>
      </x:c>
      <x:c r="W1871" s="38" t="n">
        <x:v>0.22181</x:v>
      </x:c>
      <x:c r="X1871" s="38" t="n">
        <x:v>0</x:v>
      </x:c>
      <x:c r="Y1871" s="38" t="n">
        <x:v>0</x:v>
      </x:c>
      <x:c r="Z1871" s="38" t="n">
        <x:v>0.0943</x:v>
      </x:c>
      <x:c r="AA1871" s="38" t="n">
        <x:v>0.03485</x:v>
      </x:c>
      <x:c r="AB1871" s="38" t="n">
        <x:v>0.000246</x:v>
      </x:c>
      <x:c r="AC1871" s="38" t="n">
        <x:v>0.11650150000000001</x:v>
      </x:c>
      <x:c r="AD1871" s="28" t="n">
        <x:v>0.2490905106289722</x:v>
      </x:c>
    </x:row>
    <x:row r="1872">
      <x:c r="A1872" s="32" t="n">
        <x:v>46314</x:v>
      </x:c>
      <x:c r="B1872" s="32" t="n">
        <x:v>46296</x:v>
      </x:c>
      <x:c r="C1872" t="str">
        <x:v>Oct 2026</x:v>
      </x:c>
      <x:c r="D1872" t="str">
        <x:v>Forecast</x:v>
      </x:c>
      <x:c r="E1872" t="str">
        <x:v>DB-102</x:v>
      </x:c>
      <x:c r="F1872" t="str">
        <x:v>GlowPatch Balm</x:v>
      </x:c>
      <x:c r="G1872" t="str">
        <x:v>Consumable repeat</x:v>
      </x:c>
      <x:c r="H1872" t="str">
        <x:v>None</x:v>
      </x:c>
      <x:c r="I1872" t="str">
        <x:v>Active</x:v>
      </x:c>
      <x:c r="J1872" t="str">
        <x:v>TikTok Shop</x:v>
      </x:c>
      <x:c r="K1872" t="str">
        <x:v>Social Commerce</x:v>
      </x:c>
      <x:c r="L1872" t="str">
        <x:v>All Geographies</x:v>
      </x:c>
      <x:c r="M1872" s="34" t="n">
        <x:v>1179</x:v>
      </x:c>
      <x:c r="N1872" s="28" t="n">
        <x:v>0.0535248</x:v>
      </x:c>
      <x:c r="O1872" s="34" t="n">
        <x:v>63</x:v>
      </x:c>
      <x:c r="P1872" s="34" t="n">
        <x:v>1</x:v>
      </x:c>
      <x:c r="Q1872" s="34" t="n">
        <x:v>63</x:v>
      </x:c>
      <x:c r="R1872" s="33" t="n">
        <x:v>18</x:v>
      </x:c>
      <x:c r="S1872" s="38" t="n">
        <x:v>1.134</x:v>
      </x:c>
      <x:c r="T1872" s="38" t="n">
        <x:v>0.13607999999999998</x:v>
      </x:c>
      <x:c r="U1872" s="38" t="n">
        <x:v>0.024947999999999998</x:v>
      </x:c>
      <x:c r="V1872" s="38" t="n">
        <x:v>0.972972</x:v>
      </x:c>
      <x:c r="W1872" s="38" t="n">
        <x:v>0.34082999999999997</x:v>
      </x:c>
      <x:c r="X1872" s="38" t="n">
        <x:v>0.028216188</x:v>
      </x:c>
      <x:c r="Y1872" s="38" t="n">
        <x:v>0.05837832</x:v>
      </x:c>
      <x:c r="Z1872" s="38" t="n">
        <x:v>0.3213</x:v>
      </x:c>
      <x:c r="AA1872" s="38" t="n">
        <x:v>0.11025</x:v>
      </x:c>
      <x:c r="AB1872" s="38" t="n">
        <x:v>0.000378</x:v>
      </x:c>
      <x:c r="AC1872" s="38" t="n">
        <x:v>0.11361949199999999</x:v>
      </x:c>
      <x:c r="AD1872" s="28" t="n">
        <x:v>0.11677570577570577</x:v>
      </x:c>
    </x:row>
    <x:row r="1873">
      <x:c r="A1873" s="32" t="n">
        <x:v>46314</x:v>
      </x:c>
      <x:c r="B1873" s="32" t="n">
        <x:v>46296</x:v>
      </x:c>
      <x:c r="C1873" t="str">
        <x:v>Oct 2026</x:v>
      </x:c>
      <x:c r="D1873" t="str">
        <x:v>Forecast</x:v>
      </x:c>
      <x:c r="E1873" t="str">
        <x:v>DB-103</x:v>
      </x:c>
      <x:c r="F1873" t="str">
        <x:v>EmberTrail Camp Mug</x:v>
      </x:c>
      <x:c r="G1873" t="str">
        <x:v>One-time purchase</x:v>
      </x:c>
      <x:c r="H1873" t="str">
        <x:v>Winter peak</x:v>
      </x:c>
      <x:c r="I1873" t="str">
        <x:v>Active</x:v>
      </x:c>
      <x:c r="J1873" t="str">
        <x:v>Shopify DTC</x:v>
      </x:c>
      <x:c r="K1873" t="str">
        <x:v>Consumer</x:v>
      </x:c>
      <x:c r="L1873" t="str">
        <x:v>All Geographies</x:v>
      </x:c>
      <x:c r="M1873" s="34" t="n">
        <x:v>5960</x:v>
      </x:c>
      <x:c r="N1873" s="28" t="n">
        <x:v>0.0324</x:v>
      </x:c>
      <x:c r="O1873" s="34" t="n">
        <x:v>193</x:v>
      </x:c>
      <x:c r="P1873" s="34" t="n">
        <x:v>1</x:v>
      </x:c>
      <x:c r="Q1873" s="34" t="n">
        <x:v>193</x:v>
      </x:c>
      <x:c r="R1873" s="33" t="n">
        <x:v>34</x:v>
      </x:c>
      <x:c r="S1873" s="38" t="n">
        <x:v>6.562</x:v>
      </x:c>
      <x:c r="T1873" s="38" t="n">
        <x:v>0.52496</x:v>
      </x:c>
      <x:c r="U1873" s="38" t="n">
        <x:v>0.33203720000000003</x:v>
      </x:c>
      <x:c r="V1873" s="38" t="n">
        <x:v>5.7050028</x:v>
      </x:c>
      <x:c r="W1873" s="38" t="n">
        <x:v>2.63831</x:v>
      </x:c>
      <x:c r="X1873" s="38" t="n">
        <x:v>0.1654450812</x:v>
      </x:c>
      <x:c r="Y1873" s="38" t="n">
        <x:v>0</x:v>
      </x:c>
      <x:c r="Z1873" s="38" t="n">
        <x:v>0.80095</x:v>
      </x:c>
      <x:c r="AA1873" s="38" t="n">
        <x:v>0.31845</x:v>
      </x:c>
      <x:c r="AB1873" s="38" t="n">
        <x:v>0.010808</x:v>
      </x:c>
      <x:c r="AC1873" s="38" t="n">
        <x:v>1.7710397187999996</x:v>
      </x:c>
      <x:c r="AD1873" s="28" t="n">
        <x:v>0.3104362575948253</x:v>
      </x:c>
    </x:row>
    <x:row r="1874">
      <x:c r="A1874" s="32" t="n">
        <x:v>46314</x:v>
      </x:c>
      <x:c r="B1874" s="32" t="n">
        <x:v>46296</x:v>
      </x:c>
      <x:c r="C1874" t="str">
        <x:v>Oct 2026</x:v>
      </x:c>
      <x:c r="D1874" t="str">
        <x:v>Forecast</x:v>
      </x:c>
      <x:c r="E1874" t="str">
        <x:v>DB-103</x:v>
      </x:c>
      <x:c r="F1874" t="str">
        <x:v>EmberTrail Camp Mug</x:v>
      </x:c>
      <x:c r="G1874" t="str">
        <x:v>One-time purchase</x:v>
      </x:c>
      <x:c r="H1874" t="str">
        <x:v>Winter peak</x:v>
      </x:c>
      <x:c r="I1874" t="str">
        <x:v>Active</x:v>
      </x:c>
      <x:c r="J1874" t="str">
        <x:v>Amazon Marketplace</x:v>
      </x:c>
      <x:c r="K1874" t="str">
        <x:v>Marketplace Consumer</x:v>
      </x:c>
      <x:c r="L1874" t="str">
        <x:v>All Geographies</x:v>
      </x:c>
      <x:c r="M1874" s="34" t="n">
        <x:v>2980</x:v>
      </x:c>
      <x:c r="N1874" s="28" t="n">
        <x:v>0.038231999999999995</x:v>
      </x:c>
      <x:c r="O1874" s="34" t="n">
        <x:v>114</x:v>
      </x:c>
      <x:c r="P1874" s="34" t="n">
        <x:v>1</x:v>
      </x:c>
      <x:c r="Q1874" s="34" t="n">
        <x:v>114</x:v>
      </x:c>
      <x:c r="R1874" s="33" t="n">
        <x:v>34</x:v>
      </x:c>
      <x:c r="S1874" s="38" t="n">
        <x:v>3.876</x:v>
      </x:c>
      <x:c r="T1874" s="38" t="n">
        <x:v>0.1938</x:v>
      </x:c>
      <x:c r="U1874" s="38" t="n">
        <x:v>0.202521</x:v>
      </x:c>
      <x:c r="V1874" s="38" t="n">
        <x:v>3.479679</x:v>
      </x:c>
      <x:c r="W1874" s="38" t="n">
        <x:v>1.5583799999999999</x:v>
      </x:c>
      <x:c r="X1874" s="38" t="n">
        <x:v>0</x:v>
      </x:c>
      <x:c r="Y1874" s="38" t="n">
        <x:v>0.52195185</x:v>
      </x:c>
      <x:c r="Z1874" s="38" t="n">
        <x:v>0.5928000000000001</x:v>
      </x:c>
      <x:c r="AA1874" s="38" t="n">
        <x:v>0.24509999999999998</x:v>
      </x:c>
      <x:c r="AB1874" s="38" t="n">
        <x:v>0.006384</x:v>
      </x:c>
      <x:c r="AC1874" s="38" t="n">
        <x:v>0.5550631500000001</x:v>
      </x:c>
      <x:c r="AD1874" s="28" t="n">
        <x:v>0.15951561911314235</x:v>
      </x:c>
    </x:row>
    <x:row r="1875">
      <x:c r="A1875" s="32" t="n">
        <x:v>46314</x:v>
      </x:c>
      <x:c r="B1875" s="32" t="n">
        <x:v>46296</x:v>
      </x:c>
      <x:c r="C1875" t="str">
        <x:v>Oct 2026</x:v>
      </x:c>
      <x:c r="D1875" t="str">
        <x:v>Forecast</x:v>
      </x:c>
      <x:c r="E1875" t="str">
        <x:v>DB-103</x:v>
      </x:c>
      <x:c r="F1875" t="str">
        <x:v>EmberTrail Camp Mug</x:v>
      </x:c>
      <x:c r="G1875" t="str">
        <x:v>One-time purchase</x:v>
      </x:c>
      <x:c r="H1875" t="str">
        <x:v>Winter peak</x:v>
      </x:c>
      <x:c r="I1875" t="str">
        <x:v>Active</x:v>
      </x:c>
      <x:c r="J1875" t="str">
        <x:v>Wholesale</x:v>
      </x:c>
      <x:c r="K1875" t="str">
        <x:v>Retailer</x:v>
      </x:c>
      <x:c r="L1875" t="str">
        <x:v>All Geographies</x:v>
      </x:c>
      <x:c r="M1875" s="34" t="n">
        <x:v>1788</x:v>
      </x:c>
      <x:c r="N1875" s="28" t="n">
        <x:v>0.017820000000000003</x:v>
      </x:c>
      <x:c r="O1875" s="34" t="n">
        <x:v>32</x:v>
      </x:c>
      <x:c r="P1875" s="34" t="n">
        <x:v>1</x:v>
      </x:c>
      <x:c r="Q1875" s="34" t="n">
        <x:v>32</x:v>
      </x:c>
      <x:c r="R1875" s="33" t="n">
        <x:v>34</x:v>
      </x:c>
      <x:c r="S1875" s="38" t="n">
        <x:v>1.088</x:v>
      </x:c>
      <x:c r="T1875" s="38" t="n">
        <x:v>0.3808</x:v>
      </x:c>
      <x:c r="U1875" s="38" t="n">
        <x:v>0.038896</x:v>
      </x:c>
      <x:c r="V1875" s="38" t="n">
        <x:v>0.668304</x:v>
      </x:c>
      <x:c r="W1875" s="38" t="n">
        <x:v>0.43744</x:v>
      </x:c>
      <x:c r="X1875" s="38" t="n">
        <x:v>0</x:v>
      </x:c>
      <x:c r="Y1875" s="38" t="n">
        <x:v>0</x:v>
      </x:c>
      <x:c r="Z1875" s="38" t="n">
        <x:v>0.0736</x:v>
      </x:c>
      <x:c r="AA1875" s="38" t="n">
        <x:v>0.0272</x:v>
      </x:c>
      <x:c r="AB1875" s="38" t="n">
        <x:v>0.001792</x:v>
      </x:c>
      <x:c r="AC1875" s="38" t="n">
        <x:v>0.12827200000000002</x:v>
      </x:c>
      <x:c r="AD1875" s="28" t="n">
        <x:v>0.1919366037013096</x:v>
      </x:c>
    </x:row>
    <x:row r="1876">
      <x:c r="A1876" s="32" t="n">
        <x:v>46314</x:v>
      </x:c>
      <x:c r="B1876" s="32" t="n">
        <x:v>46296</x:v>
      </x:c>
      <x:c r="C1876" t="str">
        <x:v>Oct 2026</x:v>
      </x:c>
      <x:c r="D1876" t="str">
        <x:v>Forecast</x:v>
      </x:c>
      <x:c r="E1876" t="str">
        <x:v>DB-103</x:v>
      </x:c>
      <x:c r="F1876" t="str">
        <x:v>EmberTrail Camp Mug</x:v>
      </x:c>
      <x:c r="G1876" t="str">
        <x:v>One-time purchase</x:v>
      </x:c>
      <x:c r="H1876" t="str">
        <x:v>Winter peak</x:v>
      </x:c>
      <x:c r="I1876" t="str">
        <x:v>Active</x:v>
      </x:c>
      <x:c r="J1876" t="str">
        <x:v>TikTok Shop</x:v>
      </x:c>
      <x:c r="K1876" t="str">
        <x:v>Social Commerce</x:v>
      </x:c>
      <x:c r="L1876" t="str">
        <x:v>All Geographies</x:v>
      </x:c>
      <x:c r="M1876" s="34" t="n">
        <x:v>1192</x:v>
      </x:c>
      <x:c r="N1876" s="28" t="n">
        <x:v>0.040824</x:v>
      </x:c>
      <x:c r="O1876" s="34" t="n">
        <x:v>49</x:v>
      </x:c>
      <x:c r="P1876" s="34" t="n">
        <x:v>1</x:v>
      </x:c>
      <x:c r="Q1876" s="34" t="n">
        <x:v>49</x:v>
      </x:c>
      <x:c r="R1876" s="33" t="n">
        <x:v>34</x:v>
      </x:c>
      <x:c r="S1876" s="38" t="n">
        <x:v>1.666</x:v>
      </x:c>
      <x:c r="T1876" s="38" t="n">
        <x:v>0.19992</x:v>
      </x:c>
      <x:c r="U1876" s="38" t="n">
        <x:v>0.0806344</x:v>
      </x:c>
      <x:c r="V1876" s="38" t="n">
        <x:v>1.3854455999999997</x:v>
      </x:c>
      <x:c r="W1876" s="38" t="n">
        <x:v>0.66983</x:v>
      </x:c>
      <x:c r="X1876" s="38" t="n">
        <x:v>0.040177922399999996</x:v>
      </x:c>
      <x:c r="Y1876" s="38" t="n">
        <x:v>0.08312673599999998</x:v>
      </x:c>
      <x:c r="Z1876" s="38" t="n">
        <x:v>0.24989999999999998</x:v>
      </x:c>
      <x:c r="AA1876" s="38" t="n">
        <x:v>0.08575</x:v>
      </x:c>
      <x:c r="AB1876" s="38" t="n">
        <x:v>0.0027440000000000003</x:v>
      </x:c>
      <x:c r="AC1876" s="38" t="n">
        <x:v>0.2539169415999997</x:v>
      </x:c>
      <x:c r="AD1876" s="28" t="n">
        <x:v>0.1832745663922133</x:v>
      </x:c>
    </x:row>
    <x:row r="1877">
      <x:c r="A1877" s="32" t="n">
        <x:v>46314</x:v>
      </x:c>
      <x:c r="B1877" s="32" t="n">
        <x:v>46296</x:v>
      </x:c>
      <x:c r="C1877" t="str">
        <x:v>Oct 2026</x:v>
      </x:c>
      <x:c r="D1877" t="str">
        <x:v>Forecast</x:v>
      </x:c>
      <x:c r="E1877" t="str">
        <x:v>DB-104</x:v>
      </x:c>
      <x:c r="F1877" t="str">
        <x:v>SunNest Cooling Towel</x:v>
      </x:c>
      <x:c r="G1877" t="str">
        <x:v>Consumable repeat</x:v>
      </x:c>
      <x:c r="H1877" t="str">
        <x:v>Summer peak</x:v>
      </x:c>
      <x:c r="I1877" t="str">
        <x:v>Discontinued</x:v>
      </x:c>
      <x:c r="J1877" t="str">
        <x:v>Shopify DTC</x:v>
      </x:c>
      <x:c r="K1877" t="str">
        <x:v>Consumer</x:v>
      </x:c>
      <x:c r="L1877" t="str">
        <x:v>All Geographies</x:v>
      </x:c>
      <x:c r="M1877" s="34" t="n">
        <x:v>0</x:v>
      </x:c>
      <x:c r="N1877" s="28" t="n">
        <x:v>0.03312</x:v>
      </x:c>
      <x:c r="O1877" s="34" t="n">
        <x:v>0</x:v>
      </x:c>
      <x:c r="P1877" s="34" t="n">
        <x:v>1</x:v>
      </x:c>
      <x:c r="Q1877" s="34" t="n">
        <x:v>0</x:v>
      </x:c>
      <x:c r="R1877" s="33" t="n">
        <x:v>42</x:v>
      </x:c>
      <x:c r="S1877" s="38" t="n">
        <x:v>0</x:v>
      </x:c>
      <x:c r="T1877" s="38" t="n">
        <x:v>0</x:v>
      </x:c>
      <x:c r="U1877" s="38" t="n">
        <x:v>0</x:v>
      </x:c>
      <x:c r="V1877" s="38" t="n">
        <x:v>0</x:v>
      </x:c>
      <x:c r="W1877" s="38" t="n">
        <x:v>0</x:v>
      </x:c>
      <x:c r="X1877" s="38" t="n">
        <x:v>0</x:v>
      </x:c>
      <x:c r="Y1877" s="38" t="n">
        <x:v>0</x:v>
      </x:c>
      <x:c r="Z1877" s="38" t="n">
        <x:v>0</x:v>
      </x:c>
      <x:c r="AA1877" s="38" t="n">
        <x:v>0</x:v>
      </x:c>
      <x:c r="AB1877" s="38" t="n">
        <x:v>0</x:v>
      </x:c>
      <x:c r="AC1877" s="38" t="n">
        <x:v>0</x:v>
      </x:c>
      <x:c r="AD1877" s="28" t="n">
        <x:v>0</x:v>
      </x:c>
    </x:row>
    <x:row r="1878">
      <x:c r="A1878" s="32" t="n">
        <x:v>46314</x:v>
      </x:c>
      <x:c r="B1878" s="32" t="n">
        <x:v>46296</x:v>
      </x:c>
      <x:c r="C1878" t="str">
        <x:v>Oct 2026</x:v>
      </x:c>
      <x:c r="D1878" t="str">
        <x:v>Forecast</x:v>
      </x:c>
      <x:c r="E1878" t="str">
        <x:v>DB-104</x:v>
      </x:c>
      <x:c r="F1878" t="str">
        <x:v>SunNest Cooling Towel</x:v>
      </x:c>
      <x:c r="G1878" t="str">
        <x:v>Consumable repeat</x:v>
      </x:c>
      <x:c r="H1878" t="str">
        <x:v>Summer peak</x:v>
      </x:c>
      <x:c r="I1878" t="str">
        <x:v>Discontinued</x:v>
      </x:c>
      <x:c r="J1878" t="str">
        <x:v>Amazon Marketplace</x:v>
      </x:c>
      <x:c r="K1878" t="str">
        <x:v>Marketplace Consumer</x:v>
      </x:c>
      <x:c r="L1878" t="str">
        <x:v>All Geographies</x:v>
      </x:c>
      <x:c r="M1878" s="34" t="n">
        <x:v>0</x:v>
      </x:c>
      <x:c r="N1878" s="28" t="n">
        <x:v>0.0390816</x:v>
      </x:c>
      <x:c r="O1878" s="34" t="n">
        <x:v>0</x:v>
      </x:c>
      <x:c r="P1878" s="34" t="n">
        <x:v>1</x:v>
      </x:c>
      <x:c r="Q1878" s="34" t="n">
        <x:v>0</x:v>
      </x:c>
      <x:c r="R1878" s="33" t="n">
        <x:v>42</x:v>
      </x:c>
      <x:c r="S1878" s="38" t="n">
        <x:v>0</x:v>
      </x:c>
      <x:c r="T1878" s="38" t="n">
        <x:v>0</x:v>
      </x:c>
      <x:c r="U1878" s="38" t="n">
        <x:v>0</x:v>
      </x:c>
      <x:c r="V1878" s="38" t="n">
        <x:v>0</x:v>
      </x:c>
      <x:c r="W1878" s="38" t="n">
        <x:v>0</x:v>
      </x:c>
      <x:c r="X1878" s="38" t="n">
        <x:v>0</x:v>
      </x:c>
      <x:c r="Y1878" s="38" t="n">
        <x:v>0</x:v>
      </x:c>
      <x:c r="Z1878" s="38" t="n">
        <x:v>0</x:v>
      </x:c>
      <x:c r="AA1878" s="38" t="n">
        <x:v>0</x:v>
      </x:c>
      <x:c r="AB1878" s="38" t="n">
        <x:v>0</x:v>
      </x:c>
      <x:c r="AC1878" s="38" t="n">
        <x:v>0</x:v>
      </x:c>
      <x:c r="AD1878" s="28" t="n">
        <x:v>0</x:v>
      </x:c>
    </x:row>
    <x:row r="1879">
      <x:c r="A1879" s="32" t="n">
        <x:v>46314</x:v>
      </x:c>
      <x:c r="B1879" s="32" t="n">
        <x:v>46296</x:v>
      </x:c>
      <x:c r="C1879" t="str">
        <x:v>Oct 2026</x:v>
      </x:c>
      <x:c r="D1879" t="str">
        <x:v>Forecast</x:v>
      </x:c>
      <x:c r="E1879" t="str">
        <x:v>DB-104</x:v>
      </x:c>
      <x:c r="F1879" t="str">
        <x:v>SunNest Cooling Towel</x:v>
      </x:c>
      <x:c r="G1879" t="str">
        <x:v>Consumable repeat</x:v>
      </x:c>
      <x:c r="H1879" t="str">
        <x:v>Summer peak</x:v>
      </x:c>
      <x:c r="I1879" t="str">
        <x:v>Discontinued</x:v>
      </x:c>
      <x:c r="J1879" t="str">
        <x:v>Wholesale</x:v>
      </x:c>
      <x:c r="K1879" t="str">
        <x:v>Retailer</x:v>
      </x:c>
      <x:c r="L1879" t="str">
        <x:v>All Geographies</x:v>
      </x:c>
      <x:c r="M1879" s="34" t="n">
        <x:v>0</x:v>
      </x:c>
      <x:c r="N1879" s="28" t="n">
        <x:v>0.018216000000000003</x:v>
      </x:c>
      <x:c r="O1879" s="34" t="n">
        <x:v>0</x:v>
      </x:c>
      <x:c r="P1879" s="34" t="n">
        <x:v>1</x:v>
      </x:c>
      <x:c r="Q1879" s="34" t="n">
        <x:v>0</x:v>
      </x:c>
      <x:c r="R1879" s="33" t="n">
        <x:v>42</x:v>
      </x:c>
      <x:c r="S1879" s="38" t="n">
        <x:v>0</x:v>
      </x:c>
      <x:c r="T1879" s="38" t="n">
        <x:v>0</x:v>
      </x:c>
      <x:c r="U1879" s="38" t="n">
        <x:v>0</x:v>
      </x:c>
      <x:c r="V1879" s="38" t="n">
        <x:v>0</x:v>
      </x:c>
      <x:c r="W1879" s="38" t="n">
        <x:v>0</x:v>
      </x:c>
      <x:c r="X1879" s="38" t="n">
        <x:v>0</x:v>
      </x:c>
      <x:c r="Y1879" s="38" t="n">
        <x:v>0</x:v>
      </x:c>
      <x:c r="Z1879" s="38" t="n">
        <x:v>0</x:v>
      </x:c>
      <x:c r="AA1879" s="38" t="n">
        <x:v>0</x:v>
      </x:c>
      <x:c r="AB1879" s="38" t="n">
        <x:v>0</x:v>
      </x:c>
      <x:c r="AC1879" s="38" t="n">
        <x:v>0</x:v>
      </x:c>
      <x:c r="AD1879" s="28" t="n">
        <x:v>0</x:v>
      </x:c>
    </x:row>
    <x:row r="1880">
      <x:c r="A1880" s="32" t="n">
        <x:v>46314</x:v>
      </x:c>
      <x:c r="B1880" s="32" t="n">
        <x:v>46296</x:v>
      </x:c>
      <x:c r="C1880" t="str">
        <x:v>Oct 2026</x:v>
      </x:c>
      <x:c r="D1880" t="str">
        <x:v>Forecast</x:v>
      </x:c>
      <x:c r="E1880" t="str">
        <x:v>DB-104</x:v>
      </x:c>
      <x:c r="F1880" t="str">
        <x:v>SunNest Cooling Towel</x:v>
      </x:c>
      <x:c r="G1880" t="str">
        <x:v>Consumable repeat</x:v>
      </x:c>
      <x:c r="H1880" t="str">
        <x:v>Summer peak</x:v>
      </x:c>
      <x:c r="I1880" t="str">
        <x:v>Discontinued</x:v>
      </x:c>
      <x:c r="J1880" t="str">
        <x:v>TikTok Shop</x:v>
      </x:c>
      <x:c r="K1880" t="str">
        <x:v>Social Commerce</x:v>
      </x:c>
      <x:c r="L1880" t="str">
        <x:v>All Geographies</x:v>
      </x:c>
      <x:c r="M1880" s="34" t="n">
        <x:v>0</x:v>
      </x:c>
      <x:c r="N1880" s="28" t="n">
        <x:v>0.0417312</x:v>
      </x:c>
      <x:c r="O1880" s="34" t="n">
        <x:v>0</x:v>
      </x:c>
      <x:c r="P1880" s="34" t="n">
        <x:v>1</x:v>
      </x:c>
      <x:c r="Q1880" s="34" t="n">
        <x:v>0</x:v>
      </x:c>
      <x:c r="R1880" s="33" t="n">
        <x:v>42</x:v>
      </x:c>
      <x:c r="S1880" s="38" t="n">
        <x:v>0</x:v>
      </x:c>
      <x:c r="T1880" s="38" t="n">
        <x:v>0</x:v>
      </x:c>
      <x:c r="U1880" s="38" t="n">
        <x:v>0</x:v>
      </x:c>
      <x:c r="V1880" s="38" t="n">
        <x:v>0</x:v>
      </x:c>
      <x:c r="W1880" s="38" t="n">
        <x:v>0</x:v>
      </x:c>
      <x:c r="X1880" s="38" t="n">
        <x:v>0</x:v>
      </x:c>
      <x:c r="Y1880" s="38" t="n">
        <x:v>0</x:v>
      </x:c>
      <x:c r="Z1880" s="38" t="n">
        <x:v>0</x:v>
      </x:c>
      <x:c r="AA1880" s="38" t="n">
        <x:v>0</x:v>
      </x:c>
      <x:c r="AB1880" s="38" t="n">
        <x:v>0</x:v>
      </x:c>
      <x:c r="AC1880" s="38" t="n">
        <x:v>0</x:v>
      </x:c>
      <x:c r="AD1880" s="28" t="n">
        <x:v>0</x:v>
      </x:c>
    </x:row>
    <x:row r="1881">
      <x:c r="A1881" s="32" t="n">
        <x:v>46314</x:v>
      </x:c>
      <x:c r="B1881" s="32" t="n">
        <x:v>46296</x:v>
      </x:c>
      <x:c r="C1881" t="str">
        <x:v>Oct 2026</x:v>
      </x:c>
      <x:c r="D1881" t="str">
        <x:v>Forecast</x:v>
      </x:c>
      <x:c r="E1881" t="str">
        <x:v>DB-105</x:v>
      </x:c>
      <x:c r="F1881" t="str">
        <x:v>DreamFuel Refill Pack</x:v>
      </x:c>
      <x:c r="G1881" t="str">
        <x:v>Subscription</x:v>
      </x:c>
      <x:c r="H1881" t="str">
        <x:v>None</x:v>
      </x:c>
      <x:c r="I1881" t="str">
        <x:v>Active</x:v>
      </x:c>
      <x:c r="J1881" t="str">
        <x:v>Shopify DTC</x:v>
      </x:c>
      <x:c r="K1881" t="str">
        <x:v>Consumer</x:v>
      </x:c>
      <x:c r="L1881" t="str">
        <x:v>All Geographies</x:v>
      </x:c>
      <x:c r="M1881" s="34" t="n">
        <x:v>5051</x:v>
      </x:c>
      <x:c r="N1881" s="28" t="n">
        <x:v>0.03888</x:v>
      </x:c>
      <x:c r="O1881" s="34" t="n">
        <x:v>196</x:v>
      </x:c>
      <x:c r="P1881" s="34" t="n">
        <x:v>1</x:v>
      </x:c>
      <x:c r="Q1881" s="34" t="n">
        <x:v>196</x:v>
      </x:c>
      <x:c r="R1881" s="33" t="n">
        <x:v>56</x:v>
      </x:c>
      <x:c r="S1881" s="38" t="n">
        <x:v>10.976</x:v>
      </x:c>
      <x:c r="T1881" s="38" t="n">
        <x:v>0.8780800000000001</x:v>
      </x:c>
      <x:c r="U1881" s="38" t="n">
        <x:v>0.2019584</x:v>
      </x:c>
      <x:c r="V1881" s="38" t="n">
        <x:v>9.8959616</x:v>
      </x:c>
      <x:c r="W1881" s="38" t="n">
        <x:v>3.64952</x:v>
      </x:c>
      <x:c r="X1881" s="38" t="n">
        <x:v>0.2869828864</x:v>
      </x:c>
      <x:c r="Y1881" s="38" t="n">
        <x:v>0</x:v>
      </x:c>
      <x:c r="Z1881" s="38" t="n">
        <x:v>0.8134000000000001</x:v>
      </x:c>
      <x:c r="AA1881" s="38" t="n">
        <x:v>0.32339999999999997</x:v>
      </x:c>
      <x:c r="AB1881" s="38" t="n">
        <x:v>0.0007055999999999999</x:v>
      </x:c>
      <x:c r="AC1881" s="38" t="n">
        <x:v>4.8219531136</x:v>
      </x:c>
      <x:c r="AD1881" s="28" t="n">
        <x:v>0.4872647357079478</x:v>
      </x:c>
    </x:row>
    <x:row r="1882">
      <x:c r="A1882" s="32" t="n">
        <x:v>46314</x:v>
      </x:c>
      <x:c r="B1882" s="32" t="n">
        <x:v>46296</x:v>
      </x:c>
      <x:c r="C1882" t="str">
        <x:v>Oct 2026</x:v>
      </x:c>
      <x:c r="D1882" t="str">
        <x:v>Forecast</x:v>
      </x:c>
      <x:c r="E1882" t="str">
        <x:v>DB-105</x:v>
      </x:c>
      <x:c r="F1882" t="str">
        <x:v>DreamFuel Refill Pack</x:v>
      </x:c>
      <x:c r="G1882" t="str">
        <x:v>Subscription</x:v>
      </x:c>
      <x:c r="H1882" t="str">
        <x:v>None</x:v>
      </x:c>
      <x:c r="I1882" t="str">
        <x:v>Active</x:v>
      </x:c>
      <x:c r="J1882" t="str">
        <x:v>Amazon Marketplace</x:v>
      </x:c>
      <x:c r="K1882" t="str">
        <x:v>Marketplace Consumer</x:v>
      </x:c>
      <x:c r="L1882" t="str">
        <x:v>All Geographies</x:v>
      </x:c>
      <x:c r="M1882" s="34" t="n">
        <x:v>2525</x:v>
      </x:c>
      <x:c r="N1882" s="28" t="n">
        <x:v>0.0458784</x:v>
      </x:c>
      <x:c r="O1882" s="34" t="n">
        <x:v>116</x:v>
      </x:c>
      <x:c r="P1882" s="34" t="n">
        <x:v>1</x:v>
      </x:c>
      <x:c r="Q1882" s="34" t="n">
        <x:v>116</x:v>
      </x:c>
      <x:c r="R1882" s="33" t="n">
        <x:v>56</x:v>
      </x:c>
      <x:c r="S1882" s="38" t="n">
        <x:v>6.496</x:v>
      </x:c>
      <x:c r="T1882" s="38" t="n">
        <x:v>0.32480000000000003</x:v>
      </x:c>
      <x:c r="U1882" s="38" t="n">
        <x:v>0.12342400000000002</x:v>
      </x:c>
      <x:c r="V1882" s="38" t="n">
        <x:v>6.047776000000001</x:v>
      </x:c>
      <x:c r="W1882" s="38" t="n">
        <x:v>2.15992</x:v>
      </x:c>
      <x:c r="X1882" s="38" t="n">
        <x:v>0</x:v>
      </x:c>
      <x:c r="Y1882" s="38" t="n">
        <x:v>0.9071664</x:v>
      </x:c>
      <x:c r="Z1882" s="38" t="n">
        <x:v>0.6032000000000001</x:v>
      </x:c>
      <x:c r="AA1882" s="38" t="n">
        <x:v>0.24939999999999998</x:v>
      </x:c>
      <x:c r="AB1882" s="38" t="n">
        <x:v>0.0004176</x:v>
      </x:c>
      <x:c r="AC1882" s="38" t="n">
        <x:v>2.1276720000000005</x:v>
      </x:c>
      <x:c r="AD1882" s="28" t="n">
        <x:v>0.35181064907165877</x:v>
      </x:c>
    </x:row>
    <x:row r="1883">
      <x:c r="A1883" s="32" t="n">
        <x:v>46314</x:v>
      </x:c>
      <x:c r="B1883" s="32" t="n">
        <x:v>46296</x:v>
      </x:c>
      <x:c r="C1883" t="str">
        <x:v>Oct 2026</x:v>
      </x:c>
      <x:c r="D1883" t="str">
        <x:v>Forecast</x:v>
      </x:c>
      <x:c r="E1883" t="str">
        <x:v>DB-105</x:v>
      </x:c>
      <x:c r="F1883" t="str">
        <x:v>DreamFuel Refill Pack</x:v>
      </x:c>
      <x:c r="G1883" t="str">
        <x:v>Subscription</x:v>
      </x:c>
      <x:c r="H1883" t="str">
        <x:v>None</x:v>
      </x:c>
      <x:c r="I1883" t="str">
        <x:v>Active</x:v>
      </x:c>
      <x:c r="J1883" t="str">
        <x:v>Wholesale</x:v>
      </x:c>
      <x:c r="K1883" t="str">
        <x:v>Retailer</x:v>
      </x:c>
      <x:c r="L1883" t="str">
        <x:v>All Geographies</x:v>
      </x:c>
      <x:c r="M1883" s="34" t="n">
        <x:v>1515</x:v>
      </x:c>
      <x:c r="N1883" s="28" t="n">
        <x:v>0.021384000000000004</x:v>
      </x:c>
      <x:c r="O1883" s="34" t="n">
        <x:v>32</x:v>
      </x:c>
      <x:c r="P1883" s="34" t="n">
        <x:v>1</x:v>
      </x:c>
      <x:c r="Q1883" s="34" t="n">
        <x:v>32</x:v>
      </x:c>
      <x:c r="R1883" s="33" t="n">
        <x:v>56</x:v>
      </x:c>
      <x:c r="S1883" s="38" t="n">
        <x:v>1.792</x:v>
      </x:c>
      <x:c r="T1883" s="38" t="n">
        <x:v>0.6272</x:v>
      </x:c>
      <x:c r="U1883" s="38" t="n">
        <x:v>0.023296</x:v>
      </x:c>
      <x:c r="V1883" s="38" t="n">
        <x:v>1.141504</x:v>
      </x:c>
      <x:c r="W1883" s="38" t="n">
        <x:v>0.59584</x:v>
      </x:c>
      <x:c r="X1883" s="38" t="n">
        <x:v>0</x:v>
      </x:c>
      <x:c r="Y1883" s="38" t="n">
        <x:v>0</x:v>
      </x:c>
      <x:c r="Z1883" s="38" t="n">
        <x:v>0.0736</x:v>
      </x:c>
      <x:c r="AA1883" s="38" t="n">
        <x:v>0.0272</x:v>
      </x:c>
      <x:c r="AB1883" s="38" t="n">
        <x:v>0.0001152</x:v>
      </x:c>
      <x:c r="AC1883" s="38" t="n">
        <x:v>0.44474880000000006</x:v>
      </x:c>
      <x:c r="AD1883" s="28" t="n">
        <x:v>0.3896165059430366</x:v>
      </x:c>
    </x:row>
    <x:row r="1884">
      <x:c r="A1884" s="32" t="n">
        <x:v>46314</x:v>
      </x:c>
      <x:c r="B1884" s="32" t="n">
        <x:v>46296</x:v>
      </x:c>
      <x:c r="C1884" t="str">
        <x:v>Oct 2026</x:v>
      </x:c>
      <x:c r="D1884" t="str">
        <x:v>Forecast</x:v>
      </x:c>
      <x:c r="E1884" t="str">
        <x:v>DB-105</x:v>
      </x:c>
      <x:c r="F1884" t="str">
        <x:v>DreamFuel Refill Pack</x:v>
      </x:c>
      <x:c r="G1884" t="str">
        <x:v>Subscription</x:v>
      </x:c>
      <x:c r="H1884" t="str">
        <x:v>None</x:v>
      </x:c>
      <x:c r="I1884" t="str">
        <x:v>Active</x:v>
      </x:c>
      <x:c r="J1884" t="str">
        <x:v>TikTok Shop</x:v>
      </x:c>
      <x:c r="K1884" t="str">
        <x:v>Social Commerce</x:v>
      </x:c>
      <x:c r="L1884" t="str">
        <x:v>All Geographies</x:v>
      </x:c>
      <x:c r="M1884" s="34" t="n">
        <x:v>1010</x:v>
      </x:c>
      <x:c r="N1884" s="28" t="n">
        <x:v>0.0489888</x:v>
      </x:c>
      <x:c r="O1884" s="34" t="n">
        <x:v>49</x:v>
      </x:c>
      <x:c r="P1884" s="34" t="n">
        <x:v>1</x:v>
      </x:c>
      <x:c r="Q1884" s="34" t="n">
        <x:v>49</x:v>
      </x:c>
      <x:c r="R1884" s="33" t="n">
        <x:v>56</x:v>
      </x:c>
      <x:c r="S1884" s="38" t="n">
        <x:v>2.744</x:v>
      </x:c>
      <x:c r="T1884" s="38" t="n">
        <x:v>0.32928</x:v>
      </x:c>
      <x:c r="U1884" s="38" t="n">
        <x:v>0.0482944</x:v>
      </x:c>
      <x:c r="V1884" s="38" t="n">
        <x:v>2.3664256</x:v>
      </x:c>
      <x:c r="W1884" s="38" t="n">
        <x:v>0.91238</x:v>
      </x:c>
      <x:c r="X1884" s="38" t="n">
        <x:v>0.0686263424</x:v>
      </x:c>
      <x:c r="Y1884" s="38" t="n">
        <x:v>0.141985536</x:v>
      </x:c>
      <x:c r="Z1884" s="38" t="n">
        <x:v>0.24989999999999998</x:v>
      </x:c>
      <x:c r="AA1884" s="38" t="n">
        <x:v>0.08575</x:v>
      </x:c>
      <x:c r="AB1884" s="38" t="n">
        <x:v>0.00017639999999999998</x:v>
      </x:c>
      <x:c r="AC1884" s="38" t="n">
        <x:v>0.9076073216</x:v>
      </x:c>
      <x:c r="AD1884" s="28" t="n">
        <x:v>0.3835351179432812</x:v>
      </x:c>
    </x:row>
    <x:row r="1885">
      <x:c r="A1885" s="32" t="n">
        <x:v>46321</x:v>
      </x:c>
      <x:c r="B1885" s="32" t="n">
        <x:v>46296</x:v>
      </x:c>
      <x:c r="C1885" t="str">
        <x:v>Oct 2026</x:v>
      </x:c>
      <x:c r="D1885" t="str">
        <x:v>Forecast</x:v>
      </x:c>
      <x:c r="E1885" t="str">
        <x:v>DB-101</x:v>
      </x:c>
      <x:c r="F1885" t="str">
        <x:v>AeroSip Bottle</x:v>
      </x:c>
      <x:c r="G1885" t="str">
        <x:v>One-time purchase</x:v>
      </x:c>
      <x:c r="H1885" t="str">
        <x:v>None</x:v>
      </x:c>
      <x:c r="I1885" t="str">
        <x:v>Active</x:v>
      </x:c>
      <x:c r="J1885" t="str">
        <x:v>Shopify DTC</x:v>
      </x:c>
      <x:c r="K1885" t="str">
        <x:v>Consumer</x:v>
      </x:c>
      <x:c r="L1885" t="str">
        <x:v>All Geographies</x:v>
      </x:c>
      <x:c r="M1885" s="34" t="n">
        <x:v>7296</x:v>
      </x:c>
      <x:c r="N1885" s="28" t="n">
        <x:v>0.034199999999999994</x:v>
      </x:c>
      <x:c r="O1885" s="34" t="n">
        <x:v>250</x:v>
      </x:c>
      <x:c r="P1885" s="34" t="n">
        <x:v>1</x:v>
      </x:c>
      <x:c r="Q1885" s="34" t="n">
        <x:v>250</x:v>
      </x:c>
      <x:c r="R1885" s="33" t="n">
        <x:v>29</x:v>
      </x:c>
      <x:c r="S1885" s="38" t="n">
        <x:v>7.25</x:v>
      </x:c>
      <x:c r="T1885" s="38" t="n">
        <x:v>0.58</x:v>
      </x:c>
      <x:c r="U1885" s="38" t="n">
        <x:v>0.30015</x:v>
      </x:c>
      <x:c r="V1885" s="38" t="n">
        <x:v>6.36985</x:v>
      </x:c>
      <x:c r="W1885" s="38" t="n">
        <x:v>2.7</x:v>
      </x:c>
      <x:c r="X1885" s="38" t="n">
        <x:v>0.18472565</x:v>
      </x:c>
      <x:c r="Y1885" s="38" t="n">
        <x:v>0</x:v>
      </x:c>
      <x:c r="Z1885" s="38" t="n">
        <x:v>1.0375</x:v>
      </x:c>
      <x:c r="AA1885" s="38" t="n">
        <x:v>0.4125</x:v>
      </x:c>
      <x:c r="AB1885" s="38" t="n">
        <x:v>0.009</x:v>
      </x:c>
      <x:c r="AC1885" s="38" t="n">
        <x:v>2.0261243499999995</x:v>
      </x:c>
      <x:c r="AD1885" s="28" t="n">
        <x:v>0.31808038650831644</x:v>
      </x:c>
    </x:row>
    <x:row r="1886">
      <x:c r="A1886" s="32" t="n">
        <x:v>46321</x:v>
      </x:c>
      <x:c r="B1886" s="32" t="n">
        <x:v>46296</x:v>
      </x:c>
      <x:c r="C1886" t="str">
        <x:v>Oct 2026</x:v>
      </x:c>
      <x:c r="D1886" t="str">
        <x:v>Forecast</x:v>
      </x:c>
      <x:c r="E1886" t="str">
        <x:v>DB-101</x:v>
      </x:c>
      <x:c r="F1886" t="str">
        <x:v>AeroSip Bottle</x:v>
      </x:c>
      <x:c r="G1886" t="str">
        <x:v>One-time purchase</x:v>
      </x:c>
      <x:c r="H1886" t="str">
        <x:v>None</x:v>
      </x:c>
      <x:c r="I1886" t="str">
        <x:v>Active</x:v>
      </x:c>
      <x:c r="J1886" t="str">
        <x:v>Amazon Marketplace</x:v>
      </x:c>
      <x:c r="K1886" t="str">
        <x:v>Marketplace Consumer</x:v>
      </x:c>
      <x:c r="L1886" t="str">
        <x:v>All Geographies</x:v>
      </x:c>
      <x:c r="M1886" s="34" t="n">
        <x:v>3648</x:v>
      </x:c>
      <x:c r="N1886" s="28" t="n">
        <x:v>0.040355999999999996</x:v>
      </x:c>
      <x:c r="O1886" s="34" t="n">
        <x:v>147</x:v>
      </x:c>
      <x:c r="P1886" s="34" t="n">
        <x:v>1</x:v>
      </x:c>
      <x:c r="Q1886" s="34" t="n">
        <x:v>147</x:v>
      </x:c>
      <x:c r="R1886" s="33" t="n">
        <x:v>29</x:v>
      </x:c>
      <x:c r="S1886" s="38" t="n">
        <x:v>4.263</x:v>
      </x:c>
      <x:c r="T1886" s="38" t="n">
        <x:v>0.21315</x:v>
      </x:c>
      <x:c r="U1886" s="38" t="n">
        <x:v>0.18224325</x:v>
      </x:c>
      <x:c r="V1886" s="38" t="n">
        <x:v>3.86760675</x:v>
      </x:c>
      <x:c r="W1886" s="38" t="n">
        <x:v>1.5876000000000001</x:v>
      </x:c>
      <x:c r="X1886" s="38" t="n">
        <x:v>0</x:v>
      </x:c>
      <x:c r="Y1886" s="38" t="n">
        <x:v>0.5801410125</x:v>
      </x:c>
      <x:c r="Z1886" s="38" t="n">
        <x:v>0.7644</x:v>
      </x:c>
      <x:c r="AA1886" s="38" t="n">
        <x:v>0.31605</x:v>
      </x:c>
      <x:c r="AB1886" s="38" t="n">
        <x:v>0.005292</x:v>
      </x:c>
      <x:c r="AC1886" s="38" t="n">
        <x:v>0.6141237375000003</x:v>
      </x:c>
      <x:c r="AD1886" s="28" t="n">
        <x:v>0.15878649955815705</x:v>
      </x:c>
    </x:row>
    <x:row r="1887">
      <x:c r="A1887" s="32" t="n">
        <x:v>46321</x:v>
      </x:c>
      <x:c r="B1887" s="32" t="n">
        <x:v>46296</x:v>
      </x:c>
      <x:c r="C1887" t="str">
        <x:v>Oct 2026</x:v>
      </x:c>
      <x:c r="D1887" t="str">
        <x:v>Forecast</x:v>
      </x:c>
      <x:c r="E1887" t="str">
        <x:v>DB-101</x:v>
      </x:c>
      <x:c r="F1887" t="str">
        <x:v>AeroSip Bottle</x:v>
      </x:c>
      <x:c r="G1887" t="str">
        <x:v>One-time purchase</x:v>
      </x:c>
      <x:c r="H1887" t="str">
        <x:v>None</x:v>
      </x:c>
      <x:c r="I1887" t="str">
        <x:v>Active</x:v>
      </x:c>
      <x:c r="J1887" t="str">
        <x:v>Wholesale</x:v>
      </x:c>
      <x:c r="K1887" t="str">
        <x:v>Retailer</x:v>
      </x:c>
      <x:c r="L1887" t="str">
        <x:v>All Geographies</x:v>
      </x:c>
      <x:c r="M1887" s="34" t="n">
        <x:v>2189</x:v>
      </x:c>
      <x:c r="N1887" s="28" t="n">
        <x:v>0.01881</x:v>
      </x:c>
      <x:c r="O1887" s="34" t="n">
        <x:v>41</x:v>
      </x:c>
      <x:c r="P1887" s="34" t="n">
        <x:v>1</x:v>
      </x:c>
      <x:c r="Q1887" s="34" t="n">
        <x:v>41</x:v>
      </x:c>
      <x:c r="R1887" s="33" t="n">
        <x:v>29</x:v>
      </x:c>
      <x:c r="S1887" s="38" t="n">
        <x:v>1.189</x:v>
      </x:c>
      <x:c r="T1887" s="38" t="n">
        <x:v>0.41615</x:v>
      </x:c>
      <x:c r="U1887" s="38" t="n">
        <x:v>0.034778250000000004</x:v>
      </x:c>
      <x:c r="V1887" s="38" t="n">
        <x:v>0.73807175</x:v>
      </x:c>
      <x:c r="W1887" s="38" t="n">
        <x:v>0.4428</x:v>
      </x:c>
      <x:c r="X1887" s="38" t="n">
        <x:v>0</x:v>
      </x:c>
      <x:c r="Y1887" s="38" t="n">
        <x:v>0</x:v>
      </x:c>
      <x:c r="Z1887" s="38" t="n">
        <x:v>0.0943</x:v>
      </x:c>
      <x:c r="AA1887" s="38" t="n">
        <x:v>0.03485</x:v>
      </x:c>
      <x:c r="AB1887" s="38" t="n">
        <x:v>0.0014759999999999999</x:v>
      </x:c>
      <x:c r="AC1887" s="38" t="n">
        <x:v>0.16464575</x:v>
      </x:c>
      <x:c r="AD1887" s="28" t="n">
        <x:v>0.22307553432305194</x:v>
      </x:c>
    </x:row>
    <x:row r="1888">
      <x:c r="A1888" s="32" t="n">
        <x:v>46321</x:v>
      </x:c>
      <x:c r="B1888" s="32" t="n">
        <x:v>46296</x:v>
      </x:c>
      <x:c r="C1888" t="str">
        <x:v>Oct 2026</x:v>
      </x:c>
      <x:c r="D1888" t="str">
        <x:v>Forecast</x:v>
      </x:c>
      <x:c r="E1888" t="str">
        <x:v>DB-101</x:v>
      </x:c>
      <x:c r="F1888" t="str">
        <x:v>AeroSip Bottle</x:v>
      </x:c>
      <x:c r="G1888" t="str">
        <x:v>One-time purchase</x:v>
      </x:c>
      <x:c r="H1888" t="str">
        <x:v>None</x:v>
      </x:c>
      <x:c r="I1888" t="str">
        <x:v>Active</x:v>
      </x:c>
      <x:c r="J1888" t="str">
        <x:v>TikTok Shop</x:v>
      </x:c>
      <x:c r="K1888" t="str">
        <x:v>Social Commerce</x:v>
      </x:c>
      <x:c r="L1888" t="str">
        <x:v>All Geographies</x:v>
      </x:c>
      <x:c r="M1888" s="34" t="n">
        <x:v>1459</x:v>
      </x:c>
      <x:c r="N1888" s="28" t="n">
        <x:v>0.043092</x:v>
      </x:c>
      <x:c r="O1888" s="34" t="n">
        <x:v>63</x:v>
      </x:c>
      <x:c r="P1888" s="34" t="n">
        <x:v>1</x:v>
      </x:c>
      <x:c r="Q1888" s="34" t="n">
        <x:v>63</x:v>
      </x:c>
      <x:c r="R1888" s="33" t="n">
        <x:v>29</x:v>
      </x:c>
      <x:c r="S1888" s="38" t="n">
        <x:v>1.827</x:v>
      </x:c>
      <x:c r="T1888" s="38" t="n">
        <x:v>0.21924</x:v>
      </x:c>
      <x:c r="U1888" s="38" t="n">
        <x:v>0.07234919999999999</x:v>
      </x:c>
      <x:c r="V1888" s="38" t="n">
        <x:v>1.5354108</x:v>
      </x:c>
      <x:c r="W1888" s="38" t="n">
        <x:v>0.6804000000000001</x:v>
      </x:c>
      <x:c r="X1888" s="38" t="n">
        <x:v>0.044526913200000004</x:v>
      </x:c>
      <x:c r="Y1888" s="38" t="n">
        <x:v>0.09212464799999999</x:v>
      </x:c>
      <x:c r="Z1888" s="38" t="n">
        <x:v>0.3213</x:v>
      </x:c>
      <x:c r="AA1888" s="38" t="n">
        <x:v>0.11025</x:v>
      </x:c>
      <x:c r="AB1888" s="38" t="n">
        <x:v>0.0022679999999999996</x:v>
      </x:c>
      <x:c r="AC1888" s="38" t="n">
        <x:v>0.2845412387999999</x:v>
      </x:c>
      <x:c r="AD1888" s="28" t="n">
        <x:v>0.18531928966501987</x:v>
      </x:c>
    </x:row>
    <x:row r="1889">
      <x:c r="A1889" s="32" t="n">
        <x:v>46321</x:v>
      </x:c>
      <x:c r="B1889" s="32" t="n">
        <x:v>46296</x:v>
      </x:c>
      <x:c r="C1889" t="str">
        <x:v>Oct 2026</x:v>
      </x:c>
      <x:c r="D1889" t="str">
        <x:v>Forecast</x:v>
      </x:c>
      <x:c r="E1889" t="str">
        <x:v>DB-102</x:v>
      </x:c>
      <x:c r="F1889" t="str">
        <x:v>GlowPatch Balm</x:v>
      </x:c>
      <x:c r="G1889" t="str">
        <x:v>Consumable repeat</x:v>
      </x:c>
      <x:c r="H1889" t="str">
        <x:v>None</x:v>
      </x:c>
      <x:c r="I1889" t="str">
        <x:v>Active</x:v>
      </x:c>
      <x:c r="J1889" t="str">
        <x:v>Shopify DTC</x:v>
      </x:c>
      <x:c r="K1889" t="str">
        <x:v>Consumer</x:v>
      </x:c>
      <x:c r="L1889" t="str">
        <x:v>All Geographies</x:v>
      </x:c>
      <x:c r="M1889" s="34" t="n">
        <x:v>5893</x:v>
      </x:c>
      <x:c r="N1889" s="28" t="n">
        <x:v>0.04248</x:v>
      </x:c>
      <x:c r="O1889" s="34" t="n">
        <x:v>250</x:v>
      </x:c>
      <x:c r="P1889" s="34" t="n">
        <x:v>1</x:v>
      </x:c>
      <x:c r="Q1889" s="34" t="n">
        <x:v>250</x:v>
      </x:c>
      <x:c r="R1889" s="33" t="n">
        <x:v>18</x:v>
      </x:c>
      <x:c r="S1889" s="38" t="n">
        <x:v>4.5</x:v>
      </x:c>
      <x:c r="T1889" s="38" t="n">
        <x:v>0.36</x:v>
      </x:c>
      <x:c r="U1889" s="38" t="n">
        <x:v>0.1035</x:v>
      </x:c>
      <x:c r="V1889" s="38" t="n">
        <x:v>4.036499999999999</x:v>
      </x:c>
      <x:c r="W1889" s="38" t="n">
        <x:v>1.3525</x:v>
      </x:c>
      <x:c r="X1889" s="38" t="n">
        <x:v>0.11705849999999998</x:v>
      </x:c>
      <x:c r="Y1889" s="38" t="n">
        <x:v>0</x:v>
      </x:c>
      <x:c r="Z1889" s="38" t="n">
        <x:v>1.0375</x:v>
      </x:c>
      <x:c r="AA1889" s="38" t="n">
        <x:v>0.4125</x:v>
      </x:c>
      <x:c r="AB1889" s="38" t="n">
        <x:v>0.0015</x:v>
      </x:c>
      <x:c r="AC1889" s="38" t="n">
        <x:v>1.1154414999999989</x:v>
      </x:c>
      <x:c r="AD1889" s="28" t="n">
        <x:v>0.2763387835996529</x:v>
      </x:c>
    </x:row>
    <x:row r="1890">
      <x:c r="A1890" s="32" t="n">
        <x:v>46321</x:v>
      </x:c>
      <x:c r="B1890" s="32" t="n">
        <x:v>46296</x:v>
      </x:c>
      <x:c r="C1890" t="str">
        <x:v>Oct 2026</x:v>
      </x:c>
      <x:c r="D1890" t="str">
        <x:v>Forecast</x:v>
      </x:c>
      <x:c r="E1890" t="str">
        <x:v>DB-102</x:v>
      </x:c>
      <x:c r="F1890" t="str">
        <x:v>GlowPatch Balm</x:v>
      </x:c>
      <x:c r="G1890" t="str">
        <x:v>Consumable repeat</x:v>
      </x:c>
      <x:c r="H1890" t="str">
        <x:v>None</x:v>
      </x:c>
      <x:c r="I1890" t="str">
        <x:v>Active</x:v>
      </x:c>
      <x:c r="J1890" t="str">
        <x:v>Amazon Marketplace</x:v>
      </x:c>
      <x:c r="K1890" t="str">
        <x:v>Marketplace Consumer</x:v>
      </x:c>
      <x:c r="L1890" t="str">
        <x:v>All Geographies</x:v>
      </x:c>
      <x:c r="M1890" s="34" t="n">
        <x:v>2946</x:v>
      </x:c>
      <x:c r="N1890" s="28" t="n">
        <x:v>0.050126399999999995</x:v>
      </x:c>
      <x:c r="O1890" s="34" t="n">
        <x:v>148</x:v>
      </x:c>
      <x:c r="P1890" s="34" t="n">
        <x:v>1</x:v>
      </x:c>
      <x:c r="Q1890" s="34" t="n">
        <x:v>148</x:v>
      </x:c>
      <x:c r="R1890" s="33" t="n">
        <x:v>18</x:v>
      </x:c>
      <x:c r="S1890" s="38" t="n">
        <x:v>2.664</x:v>
      </x:c>
      <x:c r="T1890" s="38" t="n">
        <x:v>0.1332</x:v>
      </x:c>
      <x:c r="U1890" s="38" t="n">
        <x:v>0.06327</x:v>
      </x:c>
      <x:c r="V1890" s="38" t="n">
        <x:v>2.46753</x:v>
      </x:c>
      <x:c r="W1890" s="38" t="n">
        <x:v>0.8006800000000001</x:v>
      </x:c>
      <x:c r="X1890" s="38" t="n">
        <x:v>0</x:v>
      </x:c>
      <x:c r="Y1890" s="38" t="n">
        <x:v>0.3701295</x:v>
      </x:c>
      <x:c r="Z1890" s="38" t="n">
        <x:v>0.7696000000000001</x:v>
      </x:c>
      <x:c r="AA1890" s="38" t="n">
        <x:v>0.3182</x:v>
      </x:c>
      <x:c r="AB1890" s="38" t="n">
        <x:v>0.0008879999999999999</x:v>
      </x:c>
      <x:c r="AC1890" s="38" t="n">
        <x:v>0.2080324999999999</x:v>
      </x:c>
      <x:c r="AD1890" s="28" t="n">
        <x:v>0.084307992202729</x:v>
      </x:c>
    </x:row>
    <x:row r="1891">
      <x:c r="A1891" s="32" t="n">
        <x:v>46321</x:v>
      </x:c>
      <x:c r="B1891" s="32" t="n">
        <x:v>46296</x:v>
      </x:c>
      <x:c r="C1891" t="str">
        <x:v>Oct 2026</x:v>
      </x:c>
      <x:c r="D1891" t="str">
        <x:v>Forecast</x:v>
      </x:c>
      <x:c r="E1891" t="str">
        <x:v>DB-102</x:v>
      </x:c>
      <x:c r="F1891" t="str">
        <x:v>GlowPatch Balm</x:v>
      </x:c>
      <x:c r="G1891" t="str">
        <x:v>Consumable repeat</x:v>
      </x:c>
      <x:c r="H1891" t="str">
        <x:v>None</x:v>
      </x:c>
      <x:c r="I1891" t="str">
        <x:v>Active</x:v>
      </x:c>
      <x:c r="J1891" t="str">
        <x:v>Wholesale</x:v>
      </x:c>
      <x:c r="K1891" t="str">
        <x:v>Retailer</x:v>
      </x:c>
      <x:c r="L1891" t="str">
        <x:v>All Geographies</x:v>
      </x:c>
      <x:c r="M1891" s="34" t="n">
        <x:v>1768</x:v>
      </x:c>
      <x:c r="N1891" s="28" t="n">
        <x:v>0.023364</x:v>
      </x:c>
      <x:c r="O1891" s="34" t="n">
        <x:v>41</x:v>
      </x:c>
      <x:c r="P1891" s="34" t="n">
        <x:v>1</x:v>
      </x:c>
      <x:c r="Q1891" s="34" t="n">
        <x:v>41</x:v>
      </x:c>
      <x:c r="R1891" s="33" t="n">
        <x:v>18</x:v>
      </x:c>
      <x:c r="S1891" s="38" t="n">
        <x:v>0.738</x:v>
      </x:c>
      <x:c r="T1891" s="38" t="n">
        <x:v>0.2583</x:v>
      </x:c>
      <x:c r="U1891" s="38" t="n">
        <x:v>0.011992500000000001</x:v>
      </x:c>
      <x:c r="V1891" s="38" t="n">
        <x:v>0.4677075</x:v>
      </x:c>
      <x:c r="W1891" s="38" t="n">
        <x:v>0.22181</x:v>
      </x:c>
      <x:c r="X1891" s="38" t="n">
        <x:v>0</x:v>
      </x:c>
      <x:c r="Y1891" s="38" t="n">
        <x:v>0</x:v>
      </x:c>
      <x:c r="Z1891" s="38" t="n">
        <x:v>0.0943</x:v>
      </x:c>
      <x:c r="AA1891" s="38" t="n">
        <x:v>0.03485</x:v>
      </x:c>
      <x:c r="AB1891" s="38" t="n">
        <x:v>0.000246</x:v>
      </x:c>
      <x:c r="AC1891" s="38" t="n">
        <x:v>0.11650150000000001</x:v>
      </x:c>
      <x:c r="AD1891" s="28" t="n">
        <x:v>0.2490905106289722</x:v>
      </x:c>
    </x:row>
    <x:row r="1892">
      <x:c r="A1892" s="32" t="n">
        <x:v>46321</x:v>
      </x:c>
      <x:c r="B1892" s="32" t="n">
        <x:v>46296</x:v>
      </x:c>
      <x:c r="C1892" t="str">
        <x:v>Oct 2026</x:v>
      </x:c>
      <x:c r="D1892" t="str">
        <x:v>Forecast</x:v>
      </x:c>
      <x:c r="E1892" t="str">
        <x:v>DB-102</x:v>
      </x:c>
      <x:c r="F1892" t="str">
        <x:v>GlowPatch Balm</x:v>
      </x:c>
      <x:c r="G1892" t="str">
        <x:v>Consumable repeat</x:v>
      </x:c>
      <x:c r="H1892" t="str">
        <x:v>None</x:v>
      </x:c>
      <x:c r="I1892" t="str">
        <x:v>Active</x:v>
      </x:c>
      <x:c r="J1892" t="str">
        <x:v>TikTok Shop</x:v>
      </x:c>
      <x:c r="K1892" t="str">
        <x:v>Social Commerce</x:v>
      </x:c>
      <x:c r="L1892" t="str">
        <x:v>All Geographies</x:v>
      </x:c>
      <x:c r="M1892" s="34" t="n">
        <x:v>1179</x:v>
      </x:c>
      <x:c r="N1892" s="28" t="n">
        <x:v>0.0535248</x:v>
      </x:c>
      <x:c r="O1892" s="34" t="n">
        <x:v>63</x:v>
      </x:c>
      <x:c r="P1892" s="34" t="n">
        <x:v>1</x:v>
      </x:c>
      <x:c r="Q1892" s="34" t="n">
        <x:v>63</x:v>
      </x:c>
      <x:c r="R1892" s="33" t="n">
        <x:v>18</x:v>
      </x:c>
      <x:c r="S1892" s="38" t="n">
        <x:v>1.134</x:v>
      </x:c>
      <x:c r="T1892" s="38" t="n">
        <x:v>0.13607999999999998</x:v>
      </x:c>
      <x:c r="U1892" s="38" t="n">
        <x:v>0.024947999999999998</x:v>
      </x:c>
      <x:c r="V1892" s="38" t="n">
        <x:v>0.972972</x:v>
      </x:c>
      <x:c r="W1892" s="38" t="n">
        <x:v>0.34082999999999997</x:v>
      </x:c>
      <x:c r="X1892" s="38" t="n">
        <x:v>0.028216188</x:v>
      </x:c>
      <x:c r="Y1892" s="38" t="n">
        <x:v>0.05837832</x:v>
      </x:c>
      <x:c r="Z1892" s="38" t="n">
        <x:v>0.3213</x:v>
      </x:c>
      <x:c r="AA1892" s="38" t="n">
        <x:v>0.11025</x:v>
      </x:c>
      <x:c r="AB1892" s="38" t="n">
        <x:v>0.000378</x:v>
      </x:c>
      <x:c r="AC1892" s="38" t="n">
        <x:v>0.11361949199999999</x:v>
      </x:c>
      <x:c r="AD1892" s="28" t="n">
        <x:v>0.11677570577570577</x:v>
      </x:c>
    </x:row>
    <x:row r="1893">
      <x:c r="A1893" s="32" t="n">
        <x:v>46321</x:v>
      </x:c>
      <x:c r="B1893" s="32" t="n">
        <x:v>46296</x:v>
      </x:c>
      <x:c r="C1893" t="str">
        <x:v>Oct 2026</x:v>
      </x:c>
      <x:c r="D1893" t="str">
        <x:v>Forecast</x:v>
      </x:c>
      <x:c r="E1893" t="str">
        <x:v>DB-103</x:v>
      </x:c>
      <x:c r="F1893" t="str">
        <x:v>EmberTrail Camp Mug</x:v>
      </x:c>
      <x:c r="G1893" t="str">
        <x:v>One-time purchase</x:v>
      </x:c>
      <x:c r="H1893" t="str">
        <x:v>Winter peak</x:v>
      </x:c>
      <x:c r="I1893" t="str">
        <x:v>Active</x:v>
      </x:c>
      <x:c r="J1893" t="str">
        <x:v>Shopify DTC</x:v>
      </x:c>
      <x:c r="K1893" t="str">
        <x:v>Consumer</x:v>
      </x:c>
      <x:c r="L1893" t="str">
        <x:v>All Geographies</x:v>
      </x:c>
      <x:c r="M1893" s="34" t="n">
        <x:v>5960</x:v>
      </x:c>
      <x:c r="N1893" s="28" t="n">
        <x:v>0.0324</x:v>
      </x:c>
      <x:c r="O1893" s="34" t="n">
        <x:v>193</x:v>
      </x:c>
      <x:c r="P1893" s="34" t="n">
        <x:v>1</x:v>
      </x:c>
      <x:c r="Q1893" s="34" t="n">
        <x:v>193</x:v>
      </x:c>
      <x:c r="R1893" s="33" t="n">
        <x:v>34</x:v>
      </x:c>
      <x:c r="S1893" s="38" t="n">
        <x:v>6.562</x:v>
      </x:c>
      <x:c r="T1893" s="38" t="n">
        <x:v>0.52496</x:v>
      </x:c>
      <x:c r="U1893" s="38" t="n">
        <x:v>0.33203720000000003</x:v>
      </x:c>
      <x:c r="V1893" s="38" t="n">
        <x:v>5.7050028</x:v>
      </x:c>
      <x:c r="W1893" s="38" t="n">
        <x:v>2.63831</x:v>
      </x:c>
      <x:c r="X1893" s="38" t="n">
        <x:v>0.1654450812</x:v>
      </x:c>
      <x:c r="Y1893" s="38" t="n">
        <x:v>0</x:v>
      </x:c>
      <x:c r="Z1893" s="38" t="n">
        <x:v>0.80095</x:v>
      </x:c>
      <x:c r="AA1893" s="38" t="n">
        <x:v>0.31845</x:v>
      </x:c>
      <x:c r="AB1893" s="38" t="n">
        <x:v>0.010808</x:v>
      </x:c>
      <x:c r="AC1893" s="38" t="n">
        <x:v>1.7710397187999996</x:v>
      </x:c>
      <x:c r="AD1893" s="28" t="n">
        <x:v>0.3104362575948253</x:v>
      </x:c>
    </x:row>
    <x:row r="1894">
      <x:c r="A1894" s="32" t="n">
        <x:v>46321</x:v>
      </x:c>
      <x:c r="B1894" s="32" t="n">
        <x:v>46296</x:v>
      </x:c>
      <x:c r="C1894" t="str">
        <x:v>Oct 2026</x:v>
      </x:c>
      <x:c r="D1894" t="str">
        <x:v>Forecast</x:v>
      </x:c>
      <x:c r="E1894" t="str">
        <x:v>DB-103</x:v>
      </x:c>
      <x:c r="F1894" t="str">
        <x:v>EmberTrail Camp Mug</x:v>
      </x:c>
      <x:c r="G1894" t="str">
        <x:v>One-time purchase</x:v>
      </x:c>
      <x:c r="H1894" t="str">
        <x:v>Winter peak</x:v>
      </x:c>
      <x:c r="I1894" t="str">
        <x:v>Active</x:v>
      </x:c>
      <x:c r="J1894" t="str">
        <x:v>Amazon Marketplace</x:v>
      </x:c>
      <x:c r="K1894" t="str">
        <x:v>Marketplace Consumer</x:v>
      </x:c>
      <x:c r="L1894" t="str">
        <x:v>All Geographies</x:v>
      </x:c>
      <x:c r="M1894" s="34" t="n">
        <x:v>2980</x:v>
      </x:c>
      <x:c r="N1894" s="28" t="n">
        <x:v>0.038231999999999995</x:v>
      </x:c>
      <x:c r="O1894" s="34" t="n">
        <x:v>114</x:v>
      </x:c>
      <x:c r="P1894" s="34" t="n">
        <x:v>1</x:v>
      </x:c>
      <x:c r="Q1894" s="34" t="n">
        <x:v>114</x:v>
      </x:c>
      <x:c r="R1894" s="33" t="n">
        <x:v>34</x:v>
      </x:c>
      <x:c r="S1894" s="38" t="n">
        <x:v>3.876</x:v>
      </x:c>
      <x:c r="T1894" s="38" t="n">
        <x:v>0.1938</x:v>
      </x:c>
      <x:c r="U1894" s="38" t="n">
        <x:v>0.202521</x:v>
      </x:c>
      <x:c r="V1894" s="38" t="n">
        <x:v>3.479679</x:v>
      </x:c>
      <x:c r="W1894" s="38" t="n">
        <x:v>1.5583799999999999</x:v>
      </x:c>
      <x:c r="X1894" s="38" t="n">
        <x:v>0</x:v>
      </x:c>
      <x:c r="Y1894" s="38" t="n">
        <x:v>0.52195185</x:v>
      </x:c>
      <x:c r="Z1894" s="38" t="n">
        <x:v>0.5928000000000001</x:v>
      </x:c>
      <x:c r="AA1894" s="38" t="n">
        <x:v>0.24509999999999998</x:v>
      </x:c>
      <x:c r="AB1894" s="38" t="n">
        <x:v>0.006384</x:v>
      </x:c>
      <x:c r="AC1894" s="38" t="n">
        <x:v>0.5550631500000001</x:v>
      </x:c>
      <x:c r="AD1894" s="28" t="n">
        <x:v>0.15951561911314235</x:v>
      </x:c>
    </x:row>
    <x:row r="1895">
      <x:c r="A1895" s="32" t="n">
        <x:v>46321</x:v>
      </x:c>
      <x:c r="B1895" s="32" t="n">
        <x:v>46296</x:v>
      </x:c>
      <x:c r="C1895" t="str">
        <x:v>Oct 2026</x:v>
      </x:c>
      <x:c r="D1895" t="str">
        <x:v>Forecast</x:v>
      </x:c>
      <x:c r="E1895" t="str">
        <x:v>DB-103</x:v>
      </x:c>
      <x:c r="F1895" t="str">
        <x:v>EmberTrail Camp Mug</x:v>
      </x:c>
      <x:c r="G1895" t="str">
        <x:v>One-time purchase</x:v>
      </x:c>
      <x:c r="H1895" t="str">
        <x:v>Winter peak</x:v>
      </x:c>
      <x:c r="I1895" t="str">
        <x:v>Active</x:v>
      </x:c>
      <x:c r="J1895" t="str">
        <x:v>Wholesale</x:v>
      </x:c>
      <x:c r="K1895" t="str">
        <x:v>Retailer</x:v>
      </x:c>
      <x:c r="L1895" t="str">
        <x:v>All Geographies</x:v>
      </x:c>
      <x:c r="M1895" s="34" t="n">
        <x:v>1788</x:v>
      </x:c>
      <x:c r="N1895" s="28" t="n">
        <x:v>0.017820000000000003</x:v>
      </x:c>
      <x:c r="O1895" s="34" t="n">
        <x:v>32</x:v>
      </x:c>
      <x:c r="P1895" s="34" t="n">
        <x:v>1</x:v>
      </x:c>
      <x:c r="Q1895" s="34" t="n">
        <x:v>32</x:v>
      </x:c>
      <x:c r="R1895" s="33" t="n">
        <x:v>34</x:v>
      </x:c>
      <x:c r="S1895" s="38" t="n">
        <x:v>1.088</x:v>
      </x:c>
      <x:c r="T1895" s="38" t="n">
        <x:v>0.3808</x:v>
      </x:c>
      <x:c r="U1895" s="38" t="n">
        <x:v>0.038896</x:v>
      </x:c>
      <x:c r="V1895" s="38" t="n">
        <x:v>0.668304</x:v>
      </x:c>
      <x:c r="W1895" s="38" t="n">
        <x:v>0.43744</x:v>
      </x:c>
      <x:c r="X1895" s="38" t="n">
        <x:v>0</x:v>
      </x:c>
      <x:c r="Y1895" s="38" t="n">
        <x:v>0</x:v>
      </x:c>
      <x:c r="Z1895" s="38" t="n">
        <x:v>0.0736</x:v>
      </x:c>
      <x:c r="AA1895" s="38" t="n">
        <x:v>0.0272</x:v>
      </x:c>
      <x:c r="AB1895" s="38" t="n">
        <x:v>0.001792</x:v>
      </x:c>
      <x:c r="AC1895" s="38" t="n">
        <x:v>0.12827200000000002</x:v>
      </x:c>
      <x:c r="AD1895" s="28" t="n">
        <x:v>0.1919366037013096</x:v>
      </x:c>
    </x:row>
    <x:row r="1896">
      <x:c r="A1896" s="32" t="n">
        <x:v>46321</x:v>
      </x:c>
      <x:c r="B1896" s="32" t="n">
        <x:v>46296</x:v>
      </x:c>
      <x:c r="C1896" t="str">
        <x:v>Oct 2026</x:v>
      </x:c>
      <x:c r="D1896" t="str">
        <x:v>Forecast</x:v>
      </x:c>
      <x:c r="E1896" t="str">
        <x:v>DB-103</x:v>
      </x:c>
      <x:c r="F1896" t="str">
        <x:v>EmberTrail Camp Mug</x:v>
      </x:c>
      <x:c r="G1896" t="str">
        <x:v>One-time purchase</x:v>
      </x:c>
      <x:c r="H1896" t="str">
        <x:v>Winter peak</x:v>
      </x:c>
      <x:c r="I1896" t="str">
        <x:v>Active</x:v>
      </x:c>
      <x:c r="J1896" t="str">
        <x:v>TikTok Shop</x:v>
      </x:c>
      <x:c r="K1896" t="str">
        <x:v>Social Commerce</x:v>
      </x:c>
      <x:c r="L1896" t="str">
        <x:v>All Geographies</x:v>
      </x:c>
      <x:c r="M1896" s="34" t="n">
        <x:v>1192</x:v>
      </x:c>
      <x:c r="N1896" s="28" t="n">
        <x:v>0.040824</x:v>
      </x:c>
      <x:c r="O1896" s="34" t="n">
        <x:v>49</x:v>
      </x:c>
      <x:c r="P1896" s="34" t="n">
        <x:v>1</x:v>
      </x:c>
      <x:c r="Q1896" s="34" t="n">
        <x:v>49</x:v>
      </x:c>
      <x:c r="R1896" s="33" t="n">
        <x:v>34</x:v>
      </x:c>
      <x:c r="S1896" s="38" t="n">
        <x:v>1.666</x:v>
      </x:c>
      <x:c r="T1896" s="38" t="n">
        <x:v>0.19992</x:v>
      </x:c>
      <x:c r="U1896" s="38" t="n">
        <x:v>0.0806344</x:v>
      </x:c>
      <x:c r="V1896" s="38" t="n">
        <x:v>1.3854455999999997</x:v>
      </x:c>
      <x:c r="W1896" s="38" t="n">
        <x:v>0.66983</x:v>
      </x:c>
      <x:c r="X1896" s="38" t="n">
        <x:v>0.040177922399999996</x:v>
      </x:c>
      <x:c r="Y1896" s="38" t="n">
        <x:v>0.08312673599999998</x:v>
      </x:c>
      <x:c r="Z1896" s="38" t="n">
        <x:v>0.24989999999999998</x:v>
      </x:c>
      <x:c r="AA1896" s="38" t="n">
        <x:v>0.08575</x:v>
      </x:c>
      <x:c r="AB1896" s="38" t="n">
        <x:v>0.0027440000000000003</x:v>
      </x:c>
      <x:c r="AC1896" s="38" t="n">
        <x:v>0.2539169415999997</x:v>
      </x:c>
      <x:c r="AD1896" s="28" t="n">
        <x:v>0.1832745663922133</x:v>
      </x:c>
    </x:row>
    <x:row r="1897">
      <x:c r="A1897" s="32" t="n">
        <x:v>46321</x:v>
      </x:c>
      <x:c r="B1897" s="32" t="n">
        <x:v>46296</x:v>
      </x:c>
      <x:c r="C1897" t="str">
        <x:v>Oct 2026</x:v>
      </x:c>
      <x:c r="D1897" t="str">
        <x:v>Forecast</x:v>
      </x:c>
      <x:c r="E1897" t="str">
        <x:v>DB-104</x:v>
      </x:c>
      <x:c r="F1897" t="str">
        <x:v>SunNest Cooling Towel</x:v>
      </x:c>
      <x:c r="G1897" t="str">
        <x:v>Consumable repeat</x:v>
      </x:c>
      <x:c r="H1897" t="str">
        <x:v>Summer peak</x:v>
      </x:c>
      <x:c r="I1897" t="str">
        <x:v>Discontinued</x:v>
      </x:c>
      <x:c r="J1897" t="str">
        <x:v>Shopify DTC</x:v>
      </x:c>
      <x:c r="K1897" t="str">
        <x:v>Consumer</x:v>
      </x:c>
      <x:c r="L1897" t="str">
        <x:v>All Geographies</x:v>
      </x:c>
      <x:c r="M1897" s="34" t="n">
        <x:v>0</x:v>
      </x:c>
      <x:c r="N1897" s="28" t="n">
        <x:v>0.03312</x:v>
      </x:c>
      <x:c r="O1897" s="34" t="n">
        <x:v>0</x:v>
      </x:c>
      <x:c r="P1897" s="34" t="n">
        <x:v>1</x:v>
      </x:c>
      <x:c r="Q1897" s="34" t="n">
        <x:v>0</x:v>
      </x:c>
      <x:c r="R1897" s="33" t="n">
        <x:v>42</x:v>
      </x:c>
      <x:c r="S1897" s="38" t="n">
        <x:v>0</x:v>
      </x:c>
      <x:c r="T1897" s="38" t="n">
        <x:v>0</x:v>
      </x:c>
      <x:c r="U1897" s="38" t="n">
        <x:v>0</x:v>
      </x:c>
      <x:c r="V1897" s="38" t="n">
        <x:v>0</x:v>
      </x:c>
      <x:c r="W1897" s="38" t="n">
        <x:v>0</x:v>
      </x:c>
      <x:c r="X1897" s="38" t="n">
        <x:v>0</x:v>
      </x:c>
      <x:c r="Y1897" s="38" t="n">
        <x:v>0</x:v>
      </x:c>
      <x:c r="Z1897" s="38" t="n">
        <x:v>0</x:v>
      </x:c>
      <x:c r="AA1897" s="38" t="n">
        <x:v>0</x:v>
      </x:c>
      <x:c r="AB1897" s="38" t="n">
        <x:v>0</x:v>
      </x:c>
      <x:c r="AC1897" s="38" t="n">
        <x:v>0</x:v>
      </x:c>
      <x:c r="AD1897" s="28" t="n">
        <x:v>0</x:v>
      </x:c>
    </x:row>
    <x:row r="1898">
      <x:c r="A1898" s="32" t="n">
        <x:v>46321</x:v>
      </x:c>
      <x:c r="B1898" s="32" t="n">
        <x:v>46296</x:v>
      </x:c>
      <x:c r="C1898" t="str">
        <x:v>Oct 2026</x:v>
      </x:c>
      <x:c r="D1898" t="str">
        <x:v>Forecast</x:v>
      </x:c>
      <x:c r="E1898" t="str">
        <x:v>DB-104</x:v>
      </x:c>
      <x:c r="F1898" t="str">
        <x:v>SunNest Cooling Towel</x:v>
      </x:c>
      <x:c r="G1898" t="str">
        <x:v>Consumable repeat</x:v>
      </x:c>
      <x:c r="H1898" t="str">
        <x:v>Summer peak</x:v>
      </x:c>
      <x:c r="I1898" t="str">
        <x:v>Discontinued</x:v>
      </x:c>
      <x:c r="J1898" t="str">
        <x:v>Amazon Marketplace</x:v>
      </x:c>
      <x:c r="K1898" t="str">
        <x:v>Marketplace Consumer</x:v>
      </x:c>
      <x:c r="L1898" t="str">
        <x:v>All Geographies</x:v>
      </x:c>
      <x:c r="M1898" s="34" t="n">
        <x:v>0</x:v>
      </x:c>
      <x:c r="N1898" s="28" t="n">
        <x:v>0.0390816</x:v>
      </x:c>
      <x:c r="O1898" s="34" t="n">
        <x:v>0</x:v>
      </x:c>
      <x:c r="P1898" s="34" t="n">
        <x:v>1</x:v>
      </x:c>
      <x:c r="Q1898" s="34" t="n">
        <x:v>0</x:v>
      </x:c>
      <x:c r="R1898" s="33" t="n">
        <x:v>42</x:v>
      </x:c>
      <x:c r="S1898" s="38" t="n">
        <x:v>0</x:v>
      </x:c>
      <x:c r="T1898" s="38" t="n">
        <x:v>0</x:v>
      </x:c>
      <x:c r="U1898" s="38" t="n">
        <x:v>0</x:v>
      </x:c>
      <x:c r="V1898" s="38" t="n">
        <x:v>0</x:v>
      </x:c>
      <x:c r="W1898" s="38" t="n">
        <x:v>0</x:v>
      </x:c>
      <x:c r="X1898" s="38" t="n">
        <x:v>0</x:v>
      </x:c>
      <x:c r="Y1898" s="38" t="n">
        <x:v>0</x:v>
      </x:c>
      <x:c r="Z1898" s="38" t="n">
        <x:v>0</x:v>
      </x:c>
      <x:c r="AA1898" s="38" t="n">
        <x:v>0</x:v>
      </x:c>
      <x:c r="AB1898" s="38" t="n">
        <x:v>0</x:v>
      </x:c>
      <x:c r="AC1898" s="38" t="n">
        <x:v>0</x:v>
      </x:c>
      <x:c r="AD1898" s="28" t="n">
        <x:v>0</x:v>
      </x:c>
    </x:row>
    <x:row r="1899">
      <x:c r="A1899" s="32" t="n">
        <x:v>46321</x:v>
      </x:c>
      <x:c r="B1899" s="32" t="n">
        <x:v>46296</x:v>
      </x:c>
      <x:c r="C1899" t="str">
        <x:v>Oct 2026</x:v>
      </x:c>
      <x:c r="D1899" t="str">
        <x:v>Forecast</x:v>
      </x:c>
      <x:c r="E1899" t="str">
        <x:v>DB-104</x:v>
      </x:c>
      <x:c r="F1899" t="str">
        <x:v>SunNest Cooling Towel</x:v>
      </x:c>
      <x:c r="G1899" t="str">
        <x:v>Consumable repeat</x:v>
      </x:c>
      <x:c r="H1899" t="str">
        <x:v>Summer peak</x:v>
      </x:c>
      <x:c r="I1899" t="str">
        <x:v>Discontinued</x:v>
      </x:c>
      <x:c r="J1899" t="str">
        <x:v>Wholesale</x:v>
      </x:c>
      <x:c r="K1899" t="str">
        <x:v>Retailer</x:v>
      </x:c>
      <x:c r="L1899" t="str">
        <x:v>All Geographies</x:v>
      </x:c>
      <x:c r="M1899" s="34" t="n">
        <x:v>0</x:v>
      </x:c>
      <x:c r="N1899" s="28" t="n">
        <x:v>0.018216000000000003</x:v>
      </x:c>
      <x:c r="O1899" s="34" t="n">
        <x:v>0</x:v>
      </x:c>
      <x:c r="P1899" s="34" t="n">
        <x:v>1</x:v>
      </x:c>
      <x:c r="Q1899" s="34" t="n">
        <x:v>0</x:v>
      </x:c>
      <x:c r="R1899" s="33" t="n">
        <x:v>42</x:v>
      </x:c>
      <x:c r="S1899" s="38" t="n">
        <x:v>0</x:v>
      </x:c>
      <x:c r="T1899" s="38" t="n">
        <x:v>0</x:v>
      </x:c>
      <x:c r="U1899" s="38" t="n">
        <x:v>0</x:v>
      </x:c>
      <x:c r="V1899" s="38" t="n">
        <x:v>0</x:v>
      </x:c>
      <x:c r="W1899" s="38" t="n">
        <x:v>0</x:v>
      </x:c>
      <x:c r="X1899" s="38" t="n">
        <x:v>0</x:v>
      </x:c>
      <x:c r="Y1899" s="38" t="n">
        <x:v>0</x:v>
      </x:c>
      <x:c r="Z1899" s="38" t="n">
        <x:v>0</x:v>
      </x:c>
      <x:c r="AA1899" s="38" t="n">
        <x:v>0</x:v>
      </x:c>
      <x:c r="AB1899" s="38" t="n">
        <x:v>0</x:v>
      </x:c>
      <x:c r="AC1899" s="38" t="n">
        <x:v>0</x:v>
      </x:c>
      <x:c r="AD1899" s="28" t="n">
        <x:v>0</x:v>
      </x:c>
    </x:row>
    <x:row r="1900">
      <x:c r="A1900" s="32" t="n">
        <x:v>46321</x:v>
      </x:c>
      <x:c r="B1900" s="32" t="n">
        <x:v>46296</x:v>
      </x:c>
      <x:c r="C1900" t="str">
        <x:v>Oct 2026</x:v>
      </x:c>
      <x:c r="D1900" t="str">
        <x:v>Forecast</x:v>
      </x:c>
      <x:c r="E1900" t="str">
        <x:v>DB-104</x:v>
      </x:c>
      <x:c r="F1900" t="str">
        <x:v>SunNest Cooling Towel</x:v>
      </x:c>
      <x:c r="G1900" t="str">
        <x:v>Consumable repeat</x:v>
      </x:c>
      <x:c r="H1900" t="str">
        <x:v>Summer peak</x:v>
      </x:c>
      <x:c r="I1900" t="str">
        <x:v>Discontinued</x:v>
      </x:c>
      <x:c r="J1900" t="str">
        <x:v>TikTok Shop</x:v>
      </x:c>
      <x:c r="K1900" t="str">
        <x:v>Social Commerce</x:v>
      </x:c>
      <x:c r="L1900" t="str">
        <x:v>All Geographies</x:v>
      </x:c>
      <x:c r="M1900" s="34" t="n">
        <x:v>0</x:v>
      </x:c>
      <x:c r="N1900" s="28" t="n">
        <x:v>0.0417312</x:v>
      </x:c>
      <x:c r="O1900" s="34" t="n">
        <x:v>0</x:v>
      </x:c>
      <x:c r="P1900" s="34" t="n">
        <x:v>1</x:v>
      </x:c>
      <x:c r="Q1900" s="34" t="n">
        <x:v>0</x:v>
      </x:c>
      <x:c r="R1900" s="33" t="n">
        <x:v>42</x:v>
      </x:c>
      <x:c r="S1900" s="38" t="n">
        <x:v>0</x:v>
      </x:c>
      <x:c r="T1900" s="38" t="n">
        <x:v>0</x:v>
      </x:c>
      <x:c r="U1900" s="38" t="n">
        <x:v>0</x:v>
      </x:c>
      <x:c r="V1900" s="38" t="n">
        <x:v>0</x:v>
      </x:c>
      <x:c r="W1900" s="38" t="n">
        <x:v>0</x:v>
      </x:c>
      <x:c r="X1900" s="38" t="n">
        <x:v>0</x:v>
      </x:c>
      <x:c r="Y1900" s="38" t="n">
        <x:v>0</x:v>
      </x:c>
      <x:c r="Z1900" s="38" t="n">
        <x:v>0</x:v>
      </x:c>
      <x:c r="AA1900" s="38" t="n">
        <x:v>0</x:v>
      </x:c>
      <x:c r="AB1900" s="38" t="n">
        <x:v>0</x:v>
      </x:c>
      <x:c r="AC1900" s="38" t="n">
        <x:v>0</x:v>
      </x:c>
      <x:c r="AD1900" s="28" t="n">
        <x:v>0</x:v>
      </x:c>
    </x:row>
    <x:row r="1901">
      <x:c r="A1901" s="32" t="n">
        <x:v>46321</x:v>
      </x:c>
      <x:c r="B1901" s="32" t="n">
        <x:v>46296</x:v>
      </x:c>
      <x:c r="C1901" t="str">
        <x:v>Oct 2026</x:v>
      </x:c>
      <x:c r="D1901" t="str">
        <x:v>Forecast</x:v>
      </x:c>
      <x:c r="E1901" t="str">
        <x:v>DB-105</x:v>
      </x:c>
      <x:c r="F1901" t="str">
        <x:v>DreamFuel Refill Pack</x:v>
      </x:c>
      <x:c r="G1901" t="str">
        <x:v>Subscription</x:v>
      </x:c>
      <x:c r="H1901" t="str">
        <x:v>None</x:v>
      </x:c>
      <x:c r="I1901" t="str">
        <x:v>Active</x:v>
      </x:c>
      <x:c r="J1901" t="str">
        <x:v>Shopify DTC</x:v>
      </x:c>
      <x:c r="K1901" t="str">
        <x:v>Consumer</x:v>
      </x:c>
      <x:c r="L1901" t="str">
        <x:v>All Geographies</x:v>
      </x:c>
      <x:c r="M1901" s="34" t="n">
        <x:v>5051</x:v>
      </x:c>
      <x:c r="N1901" s="28" t="n">
        <x:v>0.03888</x:v>
      </x:c>
      <x:c r="O1901" s="34" t="n">
        <x:v>196</x:v>
      </x:c>
      <x:c r="P1901" s="34" t="n">
        <x:v>1</x:v>
      </x:c>
      <x:c r="Q1901" s="34" t="n">
        <x:v>196</x:v>
      </x:c>
      <x:c r="R1901" s="33" t="n">
        <x:v>56</x:v>
      </x:c>
      <x:c r="S1901" s="38" t="n">
        <x:v>10.976</x:v>
      </x:c>
      <x:c r="T1901" s="38" t="n">
        <x:v>0.8780800000000001</x:v>
      </x:c>
      <x:c r="U1901" s="38" t="n">
        <x:v>0.2019584</x:v>
      </x:c>
      <x:c r="V1901" s="38" t="n">
        <x:v>9.8959616</x:v>
      </x:c>
      <x:c r="W1901" s="38" t="n">
        <x:v>3.64952</x:v>
      </x:c>
      <x:c r="X1901" s="38" t="n">
        <x:v>0.2869828864</x:v>
      </x:c>
      <x:c r="Y1901" s="38" t="n">
        <x:v>0</x:v>
      </x:c>
      <x:c r="Z1901" s="38" t="n">
        <x:v>0.8134000000000001</x:v>
      </x:c>
      <x:c r="AA1901" s="38" t="n">
        <x:v>0.32339999999999997</x:v>
      </x:c>
      <x:c r="AB1901" s="38" t="n">
        <x:v>0.0007055999999999999</x:v>
      </x:c>
      <x:c r="AC1901" s="38" t="n">
        <x:v>4.8219531136</x:v>
      </x:c>
      <x:c r="AD1901" s="28" t="n">
        <x:v>0.4872647357079478</x:v>
      </x:c>
    </x:row>
    <x:row r="1902">
      <x:c r="A1902" s="32" t="n">
        <x:v>46321</x:v>
      </x:c>
      <x:c r="B1902" s="32" t="n">
        <x:v>46296</x:v>
      </x:c>
      <x:c r="C1902" t="str">
        <x:v>Oct 2026</x:v>
      </x:c>
      <x:c r="D1902" t="str">
        <x:v>Forecast</x:v>
      </x:c>
      <x:c r="E1902" t="str">
        <x:v>DB-105</x:v>
      </x:c>
      <x:c r="F1902" t="str">
        <x:v>DreamFuel Refill Pack</x:v>
      </x:c>
      <x:c r="G1902" t="str">
        <x:v>Subscription</x:v>
      </x:c>
      <x:c r="H1902" t="str">
        <x:v>None</x:v>
      </x:c>
      <x:c r="I1902" t="str">
        <x:v>Active</x:v>
      </x:c>
      <x:c r="J1902" t="str">
        <x:v>Amazon Marketplace</x:v>
      </x:c>
      <x:c r="K1902" t="str">
        <x:v>Marketplace Consumer</x:v>
      </x:c>
      <x:c r="L1902" t="str">
        <x:v>All Geographies</x:v>
      </x:c>
      <x:c r="M1902" s="34" t="n">
        <x:v>2525</x:v>
      </x:c>
      <x:c r="N1902" s="28" t="n">
        <x:v>0.0458784</x:v>
      </x:c>
      <x:c r="O1902" s="34" t="n">
        <x:v>116</x:v>
      </x:c>
      <x:c r="P1902" s="34" t="n">
        <x:v>1</x:v>
      </x:c>
      <x:c r="Q1902" s="34" t="n">
        <x:v>116</x:v>
      </x:c>
      <x:c r="R1902" s="33" t="n">
        <x:v>56</x:v>
      </x:c>
      <x:c r="S1902" s="38" t="n">
        <x:v>6.496</x:v>
      </x:c>
      <x:c r="T1902" s="38" t="n">
        <x:v>0.32480000000000003</x:v>
      </x:c>
      <x:c r="U1902" s="38" t="n">
        <x:v>0.12342400000000002</x:v>
      </x:c>
      <x:c r="V1902" s="38" t="n">
        <x:v>6.047776000000001</x:v>
      </x:c>
      <x:c r="W1902" s="38" t="n">
        <x:v>2.15992</x:v>
      </x:c>
      <x:c r="X1902" s="38" t="n">
        <x:v>0</x:v>
      </x:c>
      <x:c r="Y1902" s="38" t="n">
        <x:v>0.9071664</x:v>
      </x:c>
      <x:c r="Z1902" s="38" t="n">
        <x:v>0.6032000000000001</x:v>
      </x:c>
      <x:c r="AA1902" s="38" t="n">
        <x:v>0.24939999999999998</x:v>
      </x:c>
      <x:c r="AB1902" s="38" t="n">
        <x:v>0.0004176</x:v>
      </x:c>
      <x:c r="AC1902" s="38" t="n">
        <x:v>2.1276720000000005</x:v>
      </x:c>
      <x:c r="AD1902" s="28" t="n">
        <x:v>0.35181064907165877</x:v>
      </x:c>
    </x:row>
    <x:row r="1903">
      <x:c r="A1903" s="32" t="n">
        <x:v>46321</x:v>
      </x:c>
      <x:c r="B1903" s="32" t="n">
        <x:v>46296</x:v>
      </x:c>
      <x:c r="C1903" t="str">
        <x:v>Oct 2026</x:v>
      </x:c>
      <x:c r="D1903" t="str">
        <x:v>Forecast</x:v>
      </x:c>
      <x:c r="E1903" t="str">
        <x:v>DB-105</x:v>
      </x:c>
      <x:c r="F1903" t="str">
        <x:v>DreamFuel Refill Pack</x:v>
      </x:c>
      <x:c r="G1903" t="str">
        <x:v>Subscription</x:v>
      </x:c>
      <x:c r="H1903" t="str">
        <x:v>None</x:v>
      </x:c>
      <x:c r="I1903" t="str">
        <x:v>Active</x:v>
      </x:c>
      <x:c r="J1903" t="str">
        <x:v>Wholesale</x:v>
      </x:c>
      <x:c r="K1903" t="str">
        <x:v>Retailer</x:v>
      </x:c>
      <x:c r="L1903" t="str">
        <x:v>All Geographies</x:v>
      </x:c>
      <x:c r="M1903" s="34" t="n">
        <x:v>1515</x:v>
      </x:c>
      <x:c r="N1903" s="28" t="n">
        <x:v>0.021384000000000004</x:v>
      </x:c>
      <x:c r="O1903" s="34" t="n">
        <x:v>32</x:v>
      </x:c>
      <x:c r="P1903" s="34" t="n">
        <x:v>1</x:v>
      </x:c>
      <x:c r="Q1903" s="34" t="n">
        <x:v>32</x:v>
      </x:c>
      <x:c r="R1903" s="33" t="n">
        <x:v>56</x:v>
      </x:c>
      <x:c r="S1903" s="38" t="n">
        <x:v>1.792</x:v>
      </x:c>
      <x:c r="T1903" s="38" t="n">
        <x:v>0.6272</x:v>
      </x:c>
      <x:c r="U1903" s="38" t="n">
        <x:v>0.023296</x:v>
      </x:c>
      <x:c r="V1903" s="38" t="n">
        <x:v>1.141504</x:v>
      </x:c>
      <x:c r="W1903" s="38" t="n">
        <x:v>0.59584</x:v>
      </x:c>
      <x:c r="X1903" s="38" t="n">
        <x:v>0</x:v>
      </x:c>
      <x:c r="Y1903" s="38" t="n">
        <x:v>0</x:v>
      </x:c>
      <x:c r="Z1903" s="38" t="n">
        <x:v>0.0736</x:v>
      </x:c>
      <x:c r="AA1903" s="38" t="n">
        <x:v>0.0272</x:v>
      </x:c>
      <x:c r="AB1903" s="38" t="n">
        <x:v>0.0001152</x:v>
      </x:c>
      <x:c r="AC1903" s="38" t="n">
        <x:v>0.44474880000000006</x:v>
      </x:c>
      <x:c r="AD1903" s="28" t="n">
        <x:v>0.3896165059430366</x:v>
      </x:c>
    </x:row>
    <x:row r="1904">
      <x:c r="A1904" s="32" t="n">
        <x:v>46321</x:v>
      </x:c>
      <x:c r="B1904" s="32" t="n">
        <x:v>46296</x:v>
      </x:c>
      <x:c r="C1904" t="str">
        <x:v>Oct 2026</x:v>
      </x:c>
      <x:c r="D1904" t="str">
        <x:v>Forecast</x:v>
      </x:c>
      <x:c r="E1904" t="str">
        <x:v>DB-105</x:v>
      </x:c>
      <x:c r="F1904" t="str">
        <x:v>DreamFuel Refill Pack</x:v>
      </x:c>
      <x:c r="G1904" t="str">
        <x:v>Subscription</x:v>
      </x:c>
      <x:c r="H1904" t="str">
        <x:v>None</x:v>
      </x:c>
      <x:c r="I1904" t="str">
        <x:v>Active</x:v>
      </x:c>
      <x:c r="J1904" t="str">
        <x:v>TikTok Shop</x:v>
      </x:c>
      <x:c r="K1904" t="str">
        <x:v>Social Commerce</x:v>
      </x:c>
      <x:c r="L1904" t="str">
        <x:v>All Geographies</x:v>
      </x:c>
      <x:c r="M1904" s="34" t="n">
        <x:v>1010</x:v>
      </x:c>
      <x:c r="N1904" s="28" t="n">
        <x:v>0.0489888</x:v>
      </x:c>
      <x:c r="O1904" s="34" t="n">
        <x:v>49</x:v>
      </x:c>
      <x:c r="P1904" s="34" t="n">
        <x:v>1</x:v>
      </x:c>
      <x:c r="Q1904" s="34" t="n">
        <x:v>49</x:v>
      </x:c>
      <x:c r="R1904" s="33" t="n">
        <x:v>56</x:v>
      </x:c>
      <x:c r="S1904" s="38" t="n">
        <x:v>2.744</x:v>
      </x:c>
      <x:c r="T1904" s="38" t="n">
        <x:v>0.32928</x:v>
      </x:c>
      <x:c r="U1904" s="38" t="n">
        <x:v>0.0482944</x:v>
      </x:c>
      <x:c r="V1904" s="38" t="n">
        <x:v>2.3664256</x:v>
      </x:c>
      <x:c r="W1904" s="38" t="n">
        <x:v>0.91238</x:v>
      </x:c>
      <x:c r="X1904" s="38" t="n">
        <x:v>0.0686263424</x:v>
      </x:c>
      <x:c r="Y1904" s="38" t="n">
        <x:v>0.141985536</x:v>
      </x:c>
      <x:c r="Z1904" s="38" t="n">
        <x:v>0.24989999999999998</x:v>
      </x:c>
      <x:c r="AA1904" s="38" t="n">
        <x:v>0.08575</x:v>
      </x:c>
      <x:c r="AB1904" s="38" t="n">
        <x:v>0.00017639999999999998</x:v>
      </x:c>
      <x:c r="AC1904" s="38" t="n">
        <x:v>0.9076073216</x:v>
      </x:c>
      <x:c r="AD1904" s="28" t="n">
        <x:v>0.3835351179432812</x:v>
      </x:c>
    </x:row>
    <x:row r="1905">
      <x:c r="A1905" s="32" t="n">
        <x:v>46328</x:v>
      </x:c>
      <x:c r="B1905" s="32" t="n">
        <x:v>46327</x:v>
      </x:c>
      <x:c r="C1905" t="str">
        <x:v>Nov 2026</x:v>
      </x:c>
      <x:c r="D1905" t="str">
        <x:v>Forecast</x:v>
      </x:c>
      <x:c r="E1905" t="str">
        <x:v>DB-101</x:v>
      </x:c>
      <x:c r="F1905" t="str">
        <x:v>AeroSip Bottle</x:v>
      </x:c>
      <x:c r="G1905" t="str">
        <x:v>One-time purchase</x:v>
      </x:c>
      <x:c r="H1905" t="str">
        <x:v>None</x:v>
      </x:c>
      <x:c r="I1905" t="str">
        <x:v>Active</x:v>
      </x:c>
      <x:c r="J1905" t="str">
        <x:v>Shopify DTC</x:v>
      </x:c>
      <x:c r="K1905" t="str">
        <x:v>Consumer</x:v>
      </x:c>
      <x:c r="L1905" t="str">
        <x:v>All Geographies</x:v>
      </x:c>
      <x:c r="M1905" s="34" t="n">
        <x:v>7296</x:v>
      </x:c>
      <x:c r="N1905" s="28" t="n">
        <x:v>0.034199999999999994</x:v>
      </x:c>
      <x:c r="O1905" s="34" t="n">
        <x:v>250</x:v>
      </x:c>
      <x:c r="P1905" s="34" t="n">
        <x:v>1</x:v>
      </x:c>
      <x:c r="Q1905" s="34" t="n">
        <x:v>250</x:v>
      </x:c>
      <x:c r="R1905" s="33" t="n">
        <x:v>29</x:v>
      </x:c>
      <x:c r="S1905" s="38" t="n">
        <x:v>7.25</x:v>
      </x:c>
      <x:c r="T1905" s="38" t="n">
        <x:v>0.58</x:v>
      </x:c>
      <x:c r="U1905" s="38" t="n">
        <x:v>0.30015</x:v>
      </x:c>
      <x:c r="V1905" s="38" t="n">
        <x:v>6.36985</x:v>
      </x:c>
      <x:c r="W1905" s="38" t="n">
        <x:v>2.7</x:v>
      </x:c>
      <x:c r="X1905" s="38" t="n">
        <x:v>0.18472565</x:v>
      </x:c>
      <x:c r="Y1905" s="38" t="n">
        <x:v>0</x:v>
      </x:c>
      <x:c r="Z1905" s="38" t="n">
        <x:v>1.0375</x:v>
      </x:c>
      <x:c r="AA1905" s="38" t="n">
        <x:v>0.4125</x:v>
      </x:c>
      <x:c r="AB1905" s="38" t="n">
        <x:v>0.009</x:v>
      </x:c>
      <x:c r="AC1905" s="38" t="n">
        <x:v>2.0261243499999995</x:v>
      </x:c>
      <x:c r="AD1905" s="28" t="n">
        <x:v>0.31808038650831644</x:v>
      </x:c>
    </x:row>
    <x:row r="1906">
      <x:c r="A1906" s="32" t="n">
        <x:v>46328</x:v>
      </x:c>
      <x:c r="B1906" s="32" t="n">
        <x:v>46327</x:v>
      </x:c>
      <x:c r="C1906" t="str">
        <x:v>Nov 2026</x:v>
      </x:c>
      <x:c r="D1906" t="str">
        <x:v>Forecast</x:v>
      </x:c>
      <x:c r="E1906" t="str">
        <x:v>DB-101</x:v>
      </x:c>
      <x:c r="F1906" t="str">
        <x:v>AeroSip Bottle</x:v>
      </x:c>
      <x:c r="G1906" t="str">
        <x:v>One-time purchase</x:v>
      </x:c>
      <x:c r="H1906" t="str">
        <x:v>None</x:v>
      </x:c>
      <x:c r="I1906" t="str">
        <x:v>Active</x:v>
      </x:c>
      <x:c r="J1906" t="str">
        <x:v>Amazon Marketplace</x:v>
      </x:c>
      <x:c r="K1906" t="str">
        <x:v>Marketplace Consumer</x:v>
      </x:c>
      <x:c r="L1906" t="str">
        <x:v>All Geographies</x:v>
      </x:c>
      <x:c r="M1906" s="34" t="n">
        <x:v>3648</x:v>
      </x:c>
      <x:c r="N1906" s="28" t="n">
        <x:v>0.040355999999999996</x:v>
      </x:c>
      <x:c r="O1906" s="34" t="n">
        <x:v>147</x:v>
      </x:c>
      <x:c r="P1906" s="34" t="n">
        <x:v>1</x:v>
      </x:c>
      <x:c r="Q1906" s="34" t="n">
        <x:v>147</x:v>
      </x:c>
      <x:c r="R1906" s="33" t="n">
        <x:v>29</x:v>
      </x:c>
      <x:c r="S1906" s="38" t="n">
        <x:v>4.263</x:v>
      </x:c>
      <x:c r="T1906" s="38" t="n">
        <x:v>0.21315</x:v>
      </x:c>
      <x:c r="U1906" s="38" t="n">
        <x:v>0.18224325</x:v>
      </x:c>
      <x:c r="V1906" s="38" t="n">
        <x:v>3.86760675</x:v>
      </x:c>
      <x:c r="W1906" s="38" t="n">
        <x:v>1.5876000000000001</x:v>
      </x:c>
      <x:c r="X1906" s="38" t="n">
        <x:v>0</x:v>
      </x:c>
      <x:c r="Y1906" s="38" t="n">
        <x:v>0.5801410125</x:v>
      </x:c>
      <x:c r="Z1906" s="38" t="n">
        <x:v>0.7644</x:v>
      </x:c>
      <x:c r="AA1906" s="38" t="n">
        <x:v>0.31605</x:v>
      </x:c>
      <x:c r="AB1906" s="38" t="n">
        <x:v>0.005292</x:v>
      </x:c>
      <x:c r="AC1906" s="38" t="n">
        <x:v>0.6141237375000003</x:v>
      </x:c>
      <x:c r="AD1906" s="28" t="n">
        <x:v>0.15878649955815705</x:v>
      </x:c>
    </x:row>
    <x:row r="1907">
      <x:c r="A1907" s="32" t="n">
        <x:v>46328</x:v>
      </x:c>
      <x:c r="B1907" s="32" t="n">
        <x:v>46327</x:v>
      </x:c>
      <x:c r="C1907" t="str">
        <x:v>Nov 2026</x:v>
      </x:c>
      <x:c r="D1907" t="str">
        <x:v>Forecast</x:v>
      </x:c>
      <x:c r="E1907" t="str">
        <x:v>DB-101</x:v>
      </x:c>
      <x:c r="F1907" t="str">
        <x:v>AeroSip Bottle</x:v>
      </x:c>
      <x:c r="G1907" t="str">
        <x:v>One-time purchase</x:v>
      </x:c>
      <x:c r="H1907" t="str">
        <x:v>None</x:v>
      </x:c>
      <x:c r="I1907" t="str">
        <x:v>Active</x:v>
      </x:c>
      <x:c r="J1907" t="str">
        <x:v>Wholesale</x:v>
      </x:c>
      <x:c r="K1907" t="str">
        <x:v>Retailer</x:v>
      </x:c>
      <x:c r="L1907" t="str">
        <x:v>All Geographies</x:v>
      </x:c>
      <x:c r="M1907" s="34" t="n">
        <x:v>2189</x:v>
      </x:c>
      <x:c r="N1907" s="28" t="n">
        <x:v>0.01881</x:v>
      </x:c>
      <x:c r="O1907" s="34" t="n">
        <x:v>41</x:v>
      </x:c>
      <x:c r="P1907" s="34" t="n">
        <x:v>1</x:v>
      </x:c>
      <x:c r="Q1907" s="34" t="n">
        <x:v>41</x:v>
      </x:c>
      <x:c r="R1907" s="33" t="n">
        <x:v>29</x:v>
      </x:c>
      <x:c r="S1907" s="38" t="n">
        <x:v>1.189</x:v>
      </x:c>
      <x:c r="T1907" s="38" t="n">
        <x:v>0.41615</x:v>
      </x:c>
      <x:c r="U1907" s="38" t="n">
        <x:v>0.034778250000000004</x:v>
      </x:c>
      <x:c r="V1907" s="38" t="n">
        <x:v>0.73807175</x:v>
      </x:c>
      <x:c r="W1907" s="38" t="n">
        <x:v>0.4428</x:v>
      </x:c>
      <x:c r="X1907" s="38" t="n">
        <x:v>0</x:v>
      </x:c>
      <x:c r="Y1907" s="38" t="n">
        <x:v>0</x:v>
      </x:c>
      <x:c r="Z1907" s="38" t="n">
        <x:v>0.0943</x:v>
      </x:c>
      <x:c r="AA1907" s="38" t="n">
        <x:v>0.03485</x:v>
      </x:c>
      <x:c r="AB1907" s="38" t="n">
        <x:v>0.0014759999999999999</x:v>
      </x:c>
      <x:c r="AC1907" s="38" t="n">
        <x:v>0.16464575</x:v>
      </x:c>
      <x:c r="AD1907" s="28" t="n">
        <x:v>0.22307553432305194</x:v>
      </x:c>
    </x:row>
    <x:row r="1908">
      <x:c r="A1908" s="32" t="n">
        <x:v>46328</x:v>
      </x:c>
      <x:c r="B1908" s="32" t="n">
        <x:v>46327</x:v>
      </x:c>
      <x:c r="C1908" t="str">
        <x:v>Nov 2026</x:v>
      </x:c>
      <x:c r="D1908" t="str">
        <x:v>Forecast</x:v>
      </x:c>
      <x:c r="E1908" t="str">
        <x:v>DB-101</x:v>
      </x:c>
      <x:c r="F1908" t="str">
        <x:v>AeroSip Bottle</x:v>
      </x:c>
      <x:c r="G1908" t="str">
        <x:v>One-time purchase</x:v>
      </x:c>
      <x:c r="H1908" t="str">
        <x:v>None</x:v>
      </x:c>
      <x:c r="I1908" t="str">
        <x:v>Active</x:v>
      </x:c>
      <x:c r="J1908" t="str">
        <x:v>TikTok Shop</x:v>
      </x:c>
      <x:c r="K1908" t="str">
        <x:v>Social Commerce</x:v>
      </x:c>
      <x:c r="L1908" t="str">
        <x:v>All Geographies</x:v>
      </x:c>
      <x:c r="M1908" s="34" t="n">
        <x:v>1459</x:v>
      </x:c>
      <x:c r="N1908" s="28" t="n">
        <x:v>0.043092</x:v>
      </x:c>
      <x:c r="O1908" s="34" t="n">
        <x:v>63</x:v>
      </x:c>
      <x:c r="P1908" s="34" t="n">
        <x:v>1</x:v>
      </x:c>
      <x:c r="Q1908" s="34" t="n">
        <x:v>63</x:v>
      </x:c>
      <x:c r="R1908" s="33" t="n">
        <x:v>29</x:v>
      </x:c>
      <x:c r="S1908" s="38" t="n">
        <x:v>1.827</x:v>
      </x:c>
      <x:c r="T1908" s="38" t="n">
        <x:v>0.21924</x:v>
      </x:c>
      <x:c r="U1908" s="38" t="n">
        <x:v>0.07234919999999999</x:v>
      </x:c>
      <x:c r="V1908" s="38" t="n">
        <x:v>1.5354108</x:v>
      </x:c>
      <x:c r="W1908" s="38" t="n">
        <x:v>0.6804000000000001</x:v>
      </x:c>
      <x:c r="X1908" s="38" t="n">
        <x:v>0.044526913200000004</x:v>
      </x:c>
      <x:c r="Y1908" s="38" t="n">
        <x:v>0.09212464799999999</x:v>
      </x:c>
      <x:c r="Z1908" s="38" t="n">
        <x:v>0.3213</x:v>
      </x:c>
      <x:c r="AA1908" s="38" t="n">
        <x:v>0.11025</x:v>
      </x:c>
      <x:c r="AB1908" s="38" t="n">
        <x:v>0.0022679999999999996</x:v>
      </x:c>
      <x:c r="AC1908" s="38" t="n">
        <x:v>0.2845412387999999</x:v>
      </x:c>
      <x:c r="AD1908" s="28" t="n">
        <x:v>0.18531928966501987</x:v>
      </x:c>
    </x:row>
    <x:row r="1909">
      <x:c r="A1909" s="32" t="n">
        <x:v>46328</x:v>
      </x:c>
      <x:c r="B1909" s="32" t="n">
        <x:v>46327</x:v>
      </x:c>
      <x:c r="C1909" t="str">
        <x:v>Nov 2026</x:v>
      </x:c>
      <x:c r="D1909" t="str">
        <x:v>Forecast</x:v>
      </x:c>
      <x:c r="E1909" t="str">
        <x:v>DB-102</x:v>
      </x:c>
      <x:c r="F1909" t="str">
        <x:v>GlowPatch Balm</x:v>
      </x:c>
      <x:c r="G1909" t="str">
        <x:v>Consumable repeat</x:v>
      </x:c>
      <x:c r="H1909" t="str">
        <x:v>None</x:v>
      </x:c>
      <x:c r="I1909" t="str">
        <x:v>Active</x:v>
      </x:c>
      <x:c r="J1909" t="str">
        <x:v>Shopify DTC</x:v>
      </x:c>
      <x:c r="K1909" t="str">
        <x:v>Consumer</x:v>
      </x:c>
      <x:c r="L1909" t="str">
        <x:v>All Geographies</x:v>
      </x:c>
      <x:c r="M1909" s="34" t="n">
        <x:v>5893</x:v>
      </x:c>
      <x:c r="N1909" s="28" t="n">
        <x:v>0.04248</x:v>
      </x:c>
      <x:c r="O1909" s="34" t="n">
        <x:v>250</x:v>
      </x:c>
      <x:c r="P1909" s="34" t="n">
        <x:v>1</x:v>
      </x:c>
      <x:c r="Q1909" s="34" t="n">
        <x:v>250</x:v>
      </x:c>
      <x:c r="R1909" s="33" t="n">
        <x:v>18</x:v>
      </x:c>
      <x:c r="S1909" s="38" t="n">
        <x:v>4.5</x:v>
      </x:c>
      <x:c r="T1909" s="38" t="n">
        <x:v>0.36</x:v>
      </x:c>
      <x:c r="U1909" s="38" t="n">
        <x:v>0.1035</x:v>
      </x:c>
      <x:c r="V1909" s="38" t="n">
        <x:v>4.036499999999999</x:v>
      </x:c>
      <x:c r="W1909" s="38" t="n">
        <x:v>1.3525</x:v>
      </x:c>
      <x:c r="X1909" s="38" t="n">
        <x:v>0.11705849999999998</x:v>
      </x:c>
      <x:c r="Y1909" s="38" t="n">
        <x:v>0</x:v>
      </x:c>
      <x:c r="Z1909" s="38" t="n">
        <x:v>1.0375</x:v>
      </x:c>
      <x:c r="AA1909" s="38" t="n">
        <x:v>0.4125</x:v>
      </x:c>
      <x:c r="AB1909" s="38" t="n">
        <x:v>0.0015</x:v>
      </x:c>
      <x:c r="AC1909" s="38" t="n">
        <x:v>1.1154414999999989</x:v>
      </x:c>
      <x:c r="AD1909" s="28" t="n">
        <x:v>0.2763387835996529</x:v>
      </x:c>
    </x:row>
    <x:row r="1910">
      <x:c r="A1910" s="32" t="n">
        <x:v>46328</x:v>
      </x:c>
      <x:c r="B1910" s="32" t="n">
        <x:v>46327</x:v>
      </x:c>
      <x:c r="C1910" t="str">
        <x:v>Nov 2026</x:v>
      </x:c>
      <x:c r="D1910" t="str">
        <x:v>Forecast</x:v>
      </x:c>
      <x:c r="E1910" t="str">
        <x:v>DB-102</x:v>
      </x:c>
      <x:c r="F1910" t="str">
        <x:v>GlowPatch Balm</x:v>
      </x:c>
      <x:c r="G1910" t="str">
        <x:v>Consumable repeat</x:v>
      </x:c>
      <x:c r="H1910" t="str">
        <x:v>None</x:v>
      </x:c>
      <x:c r="I1910" t="str">
        <x:v>Active</x:v>
      </x:c>
      <x:c r="J1910" t="str">
        <x:v>Amazon Marketplace</x:v>
      </x:c>
      <x:c r="K1910" t="str">
        <x:v>Marketplace Consumer</x:v>
      </x:c>
      <x:c r="L1910" t="str">
        <x:v>All Geographies</x:v>
      </x:c>
      <x:c r="M1910" s="34" t="n">
        <x:v>2946</x:v>
      </x:c>
      <x:c r="N1910" s="28" t="n">
        <x:v>0.050126399999999995</x:v>
      </x:c>
      <x:c r="O1910" s="34" t="n">
        <x:v>148</x:v>
      </x:c>
      <x:c r="P1910" s="34" t="n">
        <x:v>1</x:v>
      </x:c>
      <x:c r="Q1910" s="34" t="n">
        <x:v>148</x:v>
      </x:c>
      <x:c r="R1910" s="33" t="n">
        <x:v>18</x:v>
      </x:c>
      <x:c r="S1910" s="38" t="n">
        <x:v>2.664</x:v>
      </x:c>
      <x:c r="T1910" s="38" t="n">
        <x:v>0.1332</x:v>
      </x:c>
      <x:c r="U1910" s="38" t="n">
        <x:v>0.06327</x:v>
      </x:c>
      <x:c r="V1910" s="38" t="n">
        <x:v>2.46753</x:v>
      </x:c>
      <x:c r="W1910" s="38" t="n">
        <x:v>0.8006800000000001</x:v>
      </x:c>
      <x:c r="X1910" s="38" t="n">
        <x:v>0</x:v>
      </x:c>
      <x:c r="Y1910" s="38" t="n">
        <x:v>0.3701295</x:v>
      </x:c>
      <x:c r="Z1910" s="38" t="n">
        <x:v>0.7696000000000001</x:v>
      </x:c>
      <x:c r="AA1910" s="38" t="n">
        <x:v>0.3182</x:v>
      </x:c>
      <x:c r="AB1910" s="38" t="n">
        <x:v>0.0008879999999999999</x:v>
      </x:c>
      <x:c r="AC1910" s="38" t="n">
        <x:v>0.2080324999999999</x:v>
      </x:c>
      <x:c r="AD1910" s="28" t="n">
        <x:v>0.084307992202729</x:v>
      </x:c>
    </x:row>
    <x:row r="1911">
      <x:c r="A1911" s="32" t="n">
        <x:v>46328</x:v>
      </x:c>
      <x:c r="B1911" s="32" t="n">
        <x:v>46327</x:v>
      </x:c>
      <x:c r="C1911" t="str">
        <x:v>Nov 2026</x:v>
      </x:c>
      <x:c r="D1911" t="str">
        <x:v>Forecast</x:v>
      </x:c>
      <x:c r="E1911" t="str">
        <x:v>DB-102</x:v>
      </x:c>
      <x:c r="F1911" t="str">
        <x:v>GlowPatch Balm</x:v>
      </x:c>
      <x:c r="G1911" t="str">
        <x:v>Consumable repeat</x:v>
      </x:c>
      <x:c r="H1911" t="str">
        <x:v>None</x:v>
      </x:c>
      <x:c r="I1911" t="str">
        <x:v>Active</x:v>
      </x:c>
      <x:c r="J1911" t="str">
        <x:v>Wholesale</x:v>
      </x:c>
      <x:c r="K1911" t="str">
        <x:v>Retailer</x:v>
      </x:c>
      <x:c r="L1911" t="str">
        <x:v>All Geographies</x:v>
      </x:c>
      <x:c r="M1911" s="34" t="n">
        <x:v>1768</x:v>
      </x:c>
      <x:c r="N1911" s="28" t="n">
        <x:v>0.023364</x:v>
      </x:c>
      <x:c r="O1911" s="34" t="n">
        <x:v>41</x:v>
      </x:c>
      <x:c r="P1911" s="34" t="n">
        <x:v>1</x:v>
      </x:c>
      <x:c r="Q1911" s="34" t="n">
        <x:v>41</x:v>
      </x:c>
      <x:c r="R1911" s="33" t="n">
        <x:v>18</x:v>
      </x:c>
      <x:c r="S1911" s="38" t="n">
        <x:v>0.738</x:v>
      </x:c>
      <x:c r="T1911" s="38" t="n">
        <x:v>0.2583</x:v>
      </x:c>
      <x:c r="U1911" s="38" t="n">
        <x:v>0.011992500000000001</x:v>
      </x:c>
      <x:c r="V1911" s="38" t="n">
        <x:v>0.4677075</x:v>
      </x:c>
      <x:c r="W1911" s="38" t="n">
        <x:v>0.22181</x:v>
      </x:c>
      <x:c r="X1911" s="38" t="n">
        <x:v>0</x:v>
      </x:c>
      <x:c r="Y1911" s="38" t="n">
        <x:v>0</x:v>
      </x:c>
      <x:c r="Z1911" s="38" t="n">
        <x:v>0.0943</x:v>
      </x:c>
      <x:c r="AA1911" s="38" t="n">
        <x:v>0.03485</x:v>
      </x:c>
      <x:c r="AB1911" s="38" t="n">
        <x:v>0.000246</x:v>
      </x:c>
      <x:c r="AC1911" s="38" t="n">
        <x:v>0.11650150000000001</x:v>
      </x:c>
      <x:c r="AD1911" s="28" t="n">
        <x:v>0.2490905106289722</x:v>
      </x:c>
    </x:row>
    <x:row r="1912">
      <x:c r="A1912" s="32" t="n">
        <x:v>46328</x:v>
      </x:c>
      <x:c r="B1912" s="32" t="n">
        <x:v>46327</x:v>
      </x:c>
      <x:c r="C1912" t="str">
        <x:v>Nov 2026</x:v>
      </x:c>
      <x:c r="D1912" t="str">
        <x:v>Forecast</x:v>
      </x:c>
      <x:c r="E1912" t="str">
        <x:v>DB-102</x:v>
      </x:c>
      <x:c r="F1912" t="str">
        <x:v>GlowPatch Balm</x:v>
      </x:c>
      <x:c r="G1912" t="str">
        <x:v>Consumable repeat</x:v>
      </x:c>
      <x:c r="H1912" t="str">
        <x:v>None</x:v>
      </x:c>
      <x:c r="I1912" t="str">
        <x:v>Active</x:v>
      </x:c>
      <x:c r="J1912" t="str">
        <x:v>TikTok Shop</x:v>
      </x:c>
      <x:c r="K1912" t="str">
        <x:v>Social Commerce</x:v>
      </x:c>
      <x:c r="L1912" t="str">
        <x:v>All Geographies</x:v>
      </x:c>
      <x:c r="M1912" s="34" t="n">
        <x:v>1179</x:v>
      </x:c>
      <x:c r="N1912" s="28" t="n">
        <x:v>0.0535248</x:v>
      </x:c>
      <x:c r="O1912" s="34" t="n">
        <x:v>63</x:v>
      </x:c>
      <x:c r="P1912" s="34" t="n">
        <x:v>1</x:v>
      </x:c>
      <x:c r="Q1912" s="34" t="n">
        <x:v>63</x:v>
      </x:c>
      <x:c r="R1912" s="33" t="n">
        <x:v>18</x:v>
      </x:c>
      <x:c r="S1912" s="38" t="n">
        <x:v>1.134</x:v>
      </x:c>
      <x:c r="T1912" s="38" t="n">
        <x:v>0.13607999999999998</x:v>
      </x:c>
      <x:c r="U1912" s="38" t="n">
        <x:v>0.024947999999999998</x:v>
      </x:c>
      <x:c r="V1912" s="38" t="n">
        <x:v>0.972972</x:v>
      </x:c>
      <x:c r="W1912" s="38" t="n">
        <x:v>0.34082999999999997</x:v>
      </x:c>
      <x:c r="X1912" s="38" t="n">
        <x:v>0.028216188</x:v>
      </x:c>
      <x:c r="Y1912" s="38" t="n">
        <x:v>0.05837832</x:v>
      </x:c>
      <x:c r="Z1912" s="38" t="n">
        <x:v>0.3213</x:v>
      </x:c>
      <x:c r="AA1912" s="38" t="n">
        <x:v>0.11025</x:v>
      </x:c>
      <x:c r="AB1912" s="38" t="n">
        <x:v>0.000378</x:v>
      </x:c>
      <x:c r="AC1912" s="38" t="n">
        <x:v>0.11361949199999999</x:v>
      </x:c>
      <x:c r="AD1912" s="28" t="n">
        <x:v>0.11677570577570577</x:v>
      </x:c>
    </x:row>
    <x:row r="1913">
      <x:c r="A1913" s="32" t="n">
        <x:v>46328</x:v>
      </x:c>
      <x:c r="B1913" s="32" t="n">
        <x:v>46327</x:v>
      </x:c>
      <x:c r="C1913" t="str">
        <x:v>Nov 2026</x:v>
      </x:c>
      <x:c r="D1913" t="str">
        <x:v>Forecast</x:v>
      </x:c>
      <x:c r="E1913" t="str">
        <x:v>DB-103</x:v>
      </x:c>
      <x:c r="F1913" t="str">
        <x:v>EmberTrail Camp Mug</x:v>
      </x:c>
      <x:c r="G1913" t="str">
        <x:v>One-time purchase</x:v>
      </x:c>
      <x:c r="H1913" t="str">
        <x:v>Winter peak</x:v>
      </x:c>
      <x:c r="I1913" t="str">
        <x:v>Active</x:v>
      </x:c>
      <x:c r="J1913" t="str">
        <x:v>Shopify DTC</x:v>
      </x:c>
      <x:c r="K1913" t="str">
        <x:v>Consumer</x:v>
      </x:c>
      <x:c r="L1913" t="str">
        <x:v>All Geographies</x:v>
      </x:c>
      <x:c r="M1913" s="34" t="n">
        <x:v>7172</x:v>
      </x:c>
      <x:c r="N1913" s="28" t="n">
        <x:v>0.0324</x:v>
      </x:c>
      <x:c r="O1913" s="34" t="n">
        <x:v>232</x:v>
      </x:c>
      <x:c r="P1913" s="34" t="n">
        <x:v>1</x:v>
      </x:c>
      <x:c r="Q1913" s="34" t="n">
        <x:v>232</x:v>
      </x:c>
      <x:c r="R1913" s="33" t="n">
        <x:v>34</x:v>
      </x:c>
      <x:c r="S1913" s="38" t="n">
        <x:v>7.888</x:v>
      </x:c>
      <x:c r="T1913" s="38" t="n">
        <x:v>0.63104</x:v>
      </x:c>
      <x:c r="U1913" s="38" t="n">
        <x:v>0.39913279999999995</x:v>
      </x:c>
      <x:c r="V1913" s="38" t="n">
        <x:v>6.857827199999999</x:v>
      </x:c>
      <x:c r="W1913" s="38" t="n">
        <x:v>3.17144</x:v>
      </x:c>
      <x:c r="X1913" s="38" t="n">
        <x:v>0.1988769888</x:v>
      </x:c>
      <x:c r="Y1913" s="38" t="n">
        <x:v>0</x:v>
      </x:c>
      <x:c r="Z1913" s="38" t="n">
        <x:v>0.9628000000000001</x:v>
      </x:c>
      <x:c r="AA1913" s="38" t="n">
        <x:v>0.3828</x:v>
      </x:c>
      <x:c r="AB1913" s="38" t="n">
        <x:v>0.012992</x:v>
      </x:c>
      <x:c r="AC1913" s="38" t="n">
        <x:v>2.128918211199999</x:v>
      </x:c>
      <x:c r="AD1913" s="28" t="n">
        <x:v>0.31043625759482524</x:v>
      </x:c>
    </x:row>
    <x:row r="1914">
      <x:c r="A1914" s="32" t="n">
        <x:v>46328</x:v>
      </x:c>
      <x:c r="B1914" s="32" t="n">
        <x:v>46327</x:v>
      </x:c>
      <x:c r="C1914" t="str">
        <x:v>Nov 2026</x:v>
      </x:c>
      <x:c r="D1914" t="str">
        <x:v>Forecast</x:v>
      </x:c>
      <x:c r="E1914" t="str">
        <x:v>DB-103</x:v>
      </x:c>
      <x:c r="F1914" t="str">
        <x:v>EmberTrail Camp Mug</x:v>
      </x:c>
      <x:c r="G1914" t="str">
        <x:v>One-time purchase</x:v>
      </x:c>
      <x:c r="H1914" t="str">
        <x:v>Winter peak</x:v>
      </x:c>
      <x:c r="I1914" t="str">
        <x:v>Active</x:v>
      </x:c>
      <x:c r="J1914" t="str">
        <x:v>Amazon Marketplace</x:v>
      </x:c>
      <x:c r="K1914" t="str">
        <x:v>Marketplace Consumer</x:v>
      </x:c>
      <x:c r="L1914" t="str">
        <x:v>All Geographies</x:v>
      </x:c>
      <x:c r="M1914" s="34" t="n">
        <x:v>3586</x:v>
      </x:c>
      <x:c r="N1914" s="28" t="n">
        <x:v>0.038231999999999995</x:v>
      </x:c>
      <x:c r="O1914" s="34" t="n">
        <x:v>137</x:v>
      </x:c>
      <x:c r="P1914" s="34" t="n">
        <x:v>1</x:v>
      </x:c>
      <x:c r="Q1914" s="34" t="n">
        <x:v>137</x:v>
      </x:c>
      <x:c r="R1914" s="33" t="n">
        <x:v>34</x:v>
      </x:c>
      <x:c r="S1914" s="38" t="n">
        <x:v>4.658</x:v>
      </x:c>
      <x:c r="T1914" s="38" t="n">
        <x:v>0.23290000000000002</x:v>
      </x:c>
      <x:c r="U1914" s="38" t="n">
        <x:v>0.24338050000000003</x:v>
      </x:c>
      <x:c r="V1914" s="38" t="n">
        <x:v>4.181719500000001</x:v>
      </x:c>
      <x:c r="W1914" s="38" t="n">
        <x:v>1.87279</x:v>
      </x:c>
      <x:c r="X1914" s="38" t="n">
        <x:v>0</x:v>
      </x:c>
      <x:c r="Y1914" s="38" t="n">
        <x:v>0.6272579250000001</x:v>
      </x:c>
      <x:c r="Z1914" s="38" t="n">
        <x:v>0.7123999999999999</x:v>
      </x:c>
      <x:c r="AA1914" s="38" t="n">
        <x:v>0.29455000000000003</x:v>
      </x:c>
      <x:c r="AB1914" s="38" t="n">
        <x:v>0.007672000000000001</x:v>
      </x:c>
      <x:c r="AC1914" s="38" t="n">
        <x:v>0.6670495750000004</x:v>
      </x:c>
      <x:c r="AD1914" s="28" t="n">
        <x:v>0.1595156191131424</x:v>
      </x:c>
    </x:row>
    <x:row r="1915">
      <x:c r="A1915" s="32" t="n">
        <x:v>46328</x:v>
      </x:c>
      <x:c r="B1915" s="32" t="n">
        <x:v>46327</x:v>
      </x:c>
      <x:c r="C1915" t="str">
        <x:v>Nov 2026</x:v>
      </x:c>
      <x:c r="D1915" t="str">
        <x:v>Forecast</x:v>
      </x:c>
      <x:c r="E1915" t="str">
        <x:v>DB-103</x:v>
      </x:c>
      <x:c r="F1915" t="str">
        <x:v>EmberTrail Camp Mug</x:v>
      </x:c>
      <x:c r="G1915" t="str">
        <x:v>One-time purchase</x:v>
      </x:c>
      <x:c r="H1915" t="str">
        <x:v>Winter peak</x:v>
      </x:c>
      <x:c r="I1915" t="str">
        <x:v>Active</x:v>
      </x:c>
      <x:c r="J1915" t="str">
        <x:v>Wholesale</x:v>
      </x:c>
      <x:c r="K1915" t="str">
        <x:v>Retailer</x:v>
      </x:c>
      <x:c r="L1915" t="str">
        <x:v>All Geographies</x:v>
      </x:c>
      <x:c r="M1915" s="34" t="n">
        <x:v>2152</x:v>
      </x:c>
      <x:c r="N1915" s="28" t="n">
        <x:v>0.017820000000000003</x:v>
      </x:c>
      <x:c r="O1915" s="34" t="n">
        <x:v>38</x:v>
      </x:c>
      <x:c r="P1915" s="34" t="n">
        <x:v>1</x:v>
      </x:c>
      <x:c r="Q1915" s="34" t="n">
        <x:v>38</x:v>
      </x:c>
      <x:c r="R1915" s="33" t="n">
        <x:v>34</x:v>
      </x:c>
      <x:c r="S1915" s="38" t="n">
        <x:v>1.292</x:v>
      </x:c>
      <x:c r="T1915" s="38" t="n">
        <x:v>0.4522</x:v>
      </x:c>
      <x:c r="U1915" s="38" t="n">
        <x:v>0.04618900000000001</x:v>
      </x:c>
      <x:c r="V1915" s="38" t="n">
        <x:v>0.7936110000000001</x:v>
      </x:c>
      <x:c r="W1915" s="38" t="n">
        <x:v>0.51946</x:v>
      </x:c>
      <x:c r="X1915" s="38" t="n">
        <x:v>0</x:v>
      </x:c>
      <x:c r="Y1915" s="38" t="n">
        <x:v>0</x:v>
      </x:c>
      <x:c r="Z1915" s="38" t="n">
        <x:v>0.08739999999999999</x:v>
      </x:c>
      <x:c r="AA1915" s="38" t="n">
        <x:v>0.032299999999999995</x:v>
      </x:c>
      <x:c r="AB1915" s="38" t="n">
        <x:v>0.002128</x:v>
      </x:c>
      <x:c r="AC1915" s="38" t="n">
        <x:v>0.15232300000000007</x:v>
      </x:c>
      <x:c r="AD1915" s="28" t="n">
        <x:v>0.19193660370130966</x:v>
      </x:c>
    </x:row>
    <x:row r="1916">
      <x:c r="A1916" s="32" t="n">
        <x:v>46328</x:v>
      </x:c>
      <x:c r="B1916" s="32" t="n">
        <x:v>46327</x:v>
      </x:c>
      <x:c r="C1916" t="str">
        <x:v>Nov 2026</x:v>
      </x:c>
      <x:c r="D1916" t="str">
        <x:v>Forecast</x:v>
      </x:c>
      <x:c r="E1916" t="str">
        <x:v>DB-103</x:v>
      </x:c>
      <x:c r="F1916" t="str">
        <x:v>EmberTrail Camp Mug</x:v>
      </x:c>
      <x:c r="G1916" t="str">
        <x:v>One-time purchase</x:v>
      </x:c>
      <x:c r="H1916" t="str">
        <x:v>Winter peak</x:v>
      </x:c>
      <x:c r="I1916" t="str">
        <x:v>Active</x:v>
      </x:c>
      <x:c r="J1916" t="str">
        <x:v>TikTok Shop</x:v>
      </x:c>
      <x:c r="K1916" t="str">
        <x:v>Social Commerce</x:v>
      </x:c>
      <x:c r="L1916" t="str">
        <x:v>All Geographies</x:v>
      </x:c>
      <x:c r="M1916" s="34" t="n">
        <x:v>1434</x:v>
      </x:c>
      <x:c r="N1916" s="28" t="n">
        <x:v>0.040824</x:v>
      </x:c>
      <x:c r="O1916" s="34" t="n">
        <x:v>59</x:v>
      </x:c>
      <x:c r="P1916" s="34" t="n">
        <x:v>1</x:v>
      </x:c>
      <x:c r="Q1916" s="34" t="n">
        <x:v>59</x:v>
      </x:c>
      <x:c r="R1916" s="33" t="n">
        <x:v>34</x:v>
      </x:c>
      <x:c r="S1916" s="38" t="n">
        <x:v>2.006</x:v>
      </x:c>
      <x:c r="T1916" s="38" t="n">
        <x:v>0.24071999999999996</x:v>
      </x:c>
      <x:c r="U1916" s="38" t="n">
        <x:v>0.09709039999999998</x:v>
      </x:c>
      <x:c r="V1916" s="38" t="n">
        <x:v>1.6681895999999998</x:v>
      </x:c>
      <x:c r="W1916" s="38" t="n">
        <x:v>0.80653</x:v>
      </x:c>
      <x:c r="X1916" s="38" t="n">
        <x:v>0.048377498399999996</x:v>
      </x:c>
      <x:c r="Y1916" s="38" t="n">
        <x:v>0.10009137599999998</x:v>
      </x:c>
      <x:c r="Z1916" s="38" t="n">
        <x:v>0.3009</x:v>
      </x:c>
      <x:c r="AA1916" s="38" t="n">
        <x:v>0.10325</x:v>
      </x:c>
      <x:c r="AB1916" s="38" t="n">
        <x:v>0.003304</x:v>
      </x:c>
      <x:c r="AC1916" s="38" t="n">
        <x:v>0.30573672559999987</x:v>
      </x:c>
      <x:c r="AD1916" s="28" t="n">
        <x:v>0.1832745663922134</x:v>
      </x:c>
    </x:row>
    <x:row r="1917">
      <x:c r="A1917" s="32" t="n">
        <x:v>46328</x:v>
      </x:c>
      <x:c r="B1917" s="32" t="n">
        <x:v>46327</x:v>
      </x:c>
      <x:c r="C1917" t="str">
        <x:v>Nov 2026</x:v>
      </x:c>
      <x:c r="D1917" t="str">
        <x:v>Forecast</x:v>
      </x:c>
      <x:c r="E1917" t="str">
        <x:v>DB-104</x:v>
      </x:c>
      <x:c r="F1917" t="str">
        <x:v>SunNest Cooling Towel</x:v>
      </x:c>
      <x:c r="G1917" t="str">
        <x:v>Consumable repeat</x:v>
      </x:c>
      <x:c r="H1917" t="str">
        <x:v>Summer peak</x:v>
      </x:c>
      <x:c r="I1917" t="str">
        <x:v>Discontinued</x:v>
      </x:c>
      <x:c r="J1917" t="str">
        <x:v>Shopify DTC</x:v>
      </x:c>
      <x:c r="K1917" t="str">
        <x:v>Consumer</x:v>
      </x:c>
      <x:c r="L1917" t="str">
        <x:v>All Geographies</x:v>
      </x:c>
      <x:c r="M1917" s="34" t="n">
        <x:v>0</x:v>
      </x:c>
      <x:c r="N1917" s="28" t="n">
        <x:v>0.03312</x:v>
      </x:c>
      <x:c r="O1917" s="34" t="n">
        <x:v>0</x:v>
      </x:c>
      <x:c r="P1917" s="34" t="n">
        <x:v>1</x:v>
      </x:c>
      <x:c r="Q1917" s="34" t="n">
        <x:v>0</x:v>
      </x:c>
      <x:c r="R1917" s="33" t="n">
        <x:v>42</x:v>
      </x:c>
      <x:c r="S1917" s="38" t="n">
        <x:v>0</x:v>
      </x:c>
      <x:c r="T1917" s="38" t="n">
        <x:v>0</x:v>
      </x:c>
      <x:c r="U1917" s="38" t="n">
        <x:v>0</x:v>
      </x:c>
      <x:c r="V1917" s="38" t="n">
        <x:v>0</x:v>
      </x:c>
      <x:c r="W1917" s="38" t="n">
        <x:v>0</x:v>
      </x:c>
      <x:c r="X1917" s="38" t="n">
        <x:v>0</x:v>
      </x:c>
      <x:c r="Y1917" s="38" t="n">
        <x:v>0</x:v>
      </x:c>
      <x:c r="Z1917" s="38" t="n">
        <x:v>0</x:v>
      </x:c>
      <x:c r="AA1917" s="38" t="n">
        <x:v>0</x:v>
      </x:c>
      <x:c r="AB1917" s="38" t="n">
        <x:v>0</x:v>
      </x:c>
      <x:c r="AC1917" s="38" t="n">
        <x:v>0</x:v>
      </x:c>
      <x:c r="AD1917" s="28" t="n">
        <x:v>0</x:v>
      </x:c>
    </x:row>
    <x:row r="1918">
      <x:c r="A1918" s="32" t="n">
        <x:v>46328</x:v>
      </x:c>
      <x:c r="B1918" s="32" t="n">
        <x:v>46327</x:v>
      </x:c>
      <x:c r="C1918" t="str">
        <x:v>Nov 2026</x:v>
      </x:c>
      <x:c r="D1918" t="str">
        <x:v>Forecast</x:v>
      </x:c>
      <x:c r="E1918" t="str">
        <x:v>DB-104</x:v>
      </x:c>
      <x:c r="F1918" t="str">
        <x:v>SunNest Cooling Towel</x:v>
      </x:c>
      <x:c r="G1918" t="str">
        <x:v>Consumable repeat</x:v>
      </x:c>
      <x:c r="H1918" t="str">
        <x:v>Summer peak</x:v>
      </x:c>
      <x:c r="I1918" t="str">
        <x:v>Discontinued</x:v>
      </x:c>
      <x:c r="J1918" t="str">
        <x:v>Amazon Marketplace</x:v>
      </x:c>
      <x:c r="K1918" t="str">
        <x:v>Marketplace Consumer</x:v>
      </x:c>
      <x:c r="L1918" t="str">
        <x:v>All Geographies</x:v>
      </x:c>
      <x:c r="M1918" s="34" t="n">
        <x:v>0</x:v>
      </x:c>
      <x:c r="N1918" s="28" t="n">
        <x:v>0.0390816</x:v>
      </x:c>
      <x:c r="O1918" s="34" t="n">
        <x:v>0</x:v>
      </x:c>
      <x:c r="P1918" s="34" t="n">
        <x:v>1</x:v>
      </x:c>
      <x:c r="Q1918" s="34" t="n">
        <x:v>0</x:v>
      </x:c>
      <x:c r="R1918" s="33" t="n">
        <x:v>42</x:v>
      </x:c>
      <x:c r="S1918" s="38" t="n">
        <x:v>0</x:v>
      </x:c>
      <x:c r="T1918" s="38" t="n">
        <x:v>0</x:v>
      </x:c>
      <x:c r="U1918" s="38" t="n">
        <x:v>0</x:v>
      </x:c>
      <x:c r="V1918" s="38" t="n">
        <x:v>0</x:v>
      </x:c>
      <x:c r="W1918" s="38" t="n">
        <x:v>0</x:v>
      </x:c>
      <x:c r="X1918" s="38" t="n">
        <x:v>0</x:v>
      </x:c>
      <x:c r="Y1918" s="38" t="n">
        <x:v>0</x:v>
      </x:c>
      <x:c r="Z1918" s="38" t="n">
        <x:v>0</x:v>
      </x:c>
      <x:c r="AA1918" s="38" t="n">
        <x:v>0</x:v>
      </x:c>
      <x:c r="AB1918" s="38" t="n">
        <x:v>0</x:v>
      </x:c>
      <x:c r="AC1918" s="38" t="n">
        <x:v>0</x:v>
      </x:c>
      <x:c r="AD1918" s="28" t="n">
        <x:v>0</x:v>
      </x:c>
    </x:row>
    <x:row r="1919">
      <x:c r="A1919" s="32" t="n">
        <x:v>46328</x:v>
      </x:c>
      <x:c r="B1919" s="32" t="n">
        <x:v>46327</x:v>
      </x:c>
      <x:c r="C1919" t="str">
        <x:v>Nov 2026</x:v>
      </x:c>
      <x:c r="D1919" t="str">
        <x:v>Forecast</x:v>
      </x:c>
      <x:c r="E1919" t="str">
        <x:v>DB-104</x:v>
      </x:c>
      <x:c r="F1919" t="str">
        <x:v>SunNest Cooling Towel</x:v>
      </x:c>
      <x:c r="G1919" t="str">
        <x:v>Consumable repeat</x:v>
      </x:c>
      <x:c r="H1919" t="str">
        <x:v>Summer peak</x:v>
      </x:c>
      <x:c r="I1919" t="str">
        <x:v>Discontinued</x:v>
      </x:c>
      <x:c r="J1919" t="str">
        <x:v>Wholesale</x:v>
      </x:c>
      <x:c r="K1919" t="str">
        <x:v>Retailer</x:v>
      </x:c>
      <x:c r="L1919" t="str">
        <x:v>All Geographies</x:v>
      </x:c>
      <x:c r="M1919" s="34" t="n">
        <x:v>0</x:v>
      </x:c>
      <x:c r="N1919" s="28" t="n">
        <x:v>0.018216000000000003</x:v>
      </x:c>
      <x:c r="O1919" s="34" t="n">
        <x:v>0</x:v>
      </x:c>
      <x:c r="P1919" s="34" t="n">
        <x:v>1</x:v>
      </x:c>
      <x:c r="Q1919" s="34" t="n">
        <x:v>0</x:v>
      </x:c>
      <x:c r="R1919" s="33" t="n">
        <x:v>42</x:v>
      </x:c>
      <x:c r="S1919" s="38" t="n">
        <x:v>0</x:v>
      </x:c>
      <x:c r="T1919" s="38" t="n">
        <x:v>0</x:v>
      </x:c>
      <x:c r="U1919" s="38" t="n">
        <x:v>0</x:v>
      </x:c>
      <x:c r="V1919" s="38" t="n">
        <x:v>0</x:v>
      </x:c>
      <x:c r="W1919" s="38" t="n">
        <x:v>0</x:v>
      </x:c>
      <x:c r="X1919" s="38" t="n">
        <x:v>0</x:v>
      </x:c>
      <x:c r="Y1919" s="38" t="n">
        <x:v>0</x:v>
      </x:c>
      <x:c r="Z1919" s="38" t="n">
        <x:v>0</x:v>
      </x:c>
      <x:c r="AA1919" s="38" t="n">
        <x:v>0</x:v>
      </x:c>
      <x:c r="AB1919" s="38" t="n">
        <x:v>0</x:v>
      </x:c>
      <x:c r="AC1919" s="38" t="n">
        <x:v>0</x:v>
      </x:c>
      <x:c r="AD1919" s="28" t="n">
        <x:v>0</x:v>
      </x:c>
    </x:row>
    <x:row r="1920">
      <x:c r="A1920" s="32" t="n">
        <x:v>46328</x:v>
      </x:c>
      <x:c r="B1920" s="32" t="n">
        <x:v>46327</x:v>
      </x:c>
      <x:c r="C1920" t="str">
        <x:v>Nov 2026</x:v>
      </x:c>
      <x:c r="D1920" t="str">
        <x:v>Forecast</x:v>
      </x:c>
      <x:c r="E1920" t="str">
        <x:v>DB-104</x:v>
      </x:c>
      <x:c r="F1920" t="str">
        <x:v>SunNest Cooling Towel</x:v>
      </x:c>
      <x:c r="G1920" t="str">
        <x:v>Consumable repeat</x:v>
      </x:c>
      <x:c r="H1920" t="str">
        <x:v>Summer peak</x:v>
      </x:c>
      <x:c r="I1920" t="str">
        <x:v>Discontinued</x:v>
      </x:c>
      <x:c r="J1920" t="str">
        <x:v>TikTok Shop</x:v>
      </x:c>
      <x:c r="K1920" t="str">
        <x:v>Social Commerce</x:v>
      </x:c>
      <x:c r="L1920" t="str">
        <x:v>All Geographies</x:v>
      </x:c>
      <x:c r="M1920" s="34" t="n">
        <x:v>0</x:v>
      </x:c>
      <x:c r="N1920" s="28" t="n">
        <x:v>0.0417312</x:v>
      </x:c>
      <x:c r="O1920" s="34" t="n">
        <x:v>0</x:v>
      </x:c>
      <x:c r="P1920" s="34" t="n">
        <x:v>1</x:v>
      </x:c>
      <x:c r="Q1920" s="34" t="n">
        <x:v>0</x:v>
      </x:c>
      <x:c r="R1920" s="33" t="n">
        <x:v>42</x:v>
      </x:c>
      <x:c r="S1920" s="38" t="n">
        <x:v>0</x:v>
      </x:c>
      <x:c r="T1920" s="38" t="n">
        <x:v>0</x:v>
      </x:c>
      <x:c r="U1920" s="38" t="n">
        <x:v>0</x:v>
      </x:c>
      <x:c r="V1920" s="38" t="n">
        <x:v>0</x:v>
      </x:c>
      <x:c r="W1920" s="38" t="n">
        <x:v>0</x:v>
      </x:c>
      <x:c r="X1920" s="38" t="n">
        <x:v>0</x:v>
      </x:c>
      <x:c r="Y1920" s="38" t="n">
        <x:v>0</x:v>
      </x:c>
      <x:c r="Z1920" s="38" t="n">
        <x:v>0</x:v>
      </x:c>
      <x:c r="AA1920" s="38" t="n">
        <x:v>0</x:v>
      </x:c>
      <x:c r="AB1920" s="38" t="n">
        <x:v>0</x:v>
      </x:c>
      <x:c r="AC1920" s="38" t="n">
        <x:v>0</x:v>
      </x:c>
      <x:c r="AD1920" s="28" t="n">
        <x:v>0</x:v>
      </x:c>
    </x:row>
    <x:row r="1921">
      <x:c r="A1921" s="32" t="n">
        <x:v>46328</x:v>
      </x:c>
      <x:c r="B1921" s="32" t="n">
        <x:v>46327</x:v>
      </x:c>
      <x:c r="C1921" t="str">
        <x:v>Nov 2026</x:v>
      </x:c>
      <x:c r="D1921" t="str">
        <x:v>Forecast</x:v>
      </x:c>
      <x:c r="E1921" t="str">
        <x:v>DB-105</x:v>
      </x:c>
      <x:c r="F1921" t="str">
        <x:v>DreamFuel Refill Pack</x:v>
      </x:c>
      <x:c r="G1921" t="str">
        <x:v>Subscription</x:v>
      </x:c>
      <x:c r="H1921" t="str">
        <x:v>None</x:v>
      </x:c>
      <x:c r="I1921" t="str">
        <x:v>Active</x:v>
      </x:c>
      <x:c r="J1921" t="str">
        <x:v>Shopify DTC</x:v>
      </x:c>
      <x:c r="K1921" t="str">
        <x:v>Consumer</x:v>
      </x:c>
      <x:c r="L1921" t="str">
        <x:v>All Geographies</x:v>
      </x:c>
      <x:c r="M1921" s="34" t="n">
        <x:v>5051</x:v>
      </x:c>
      <x:c r="N1921" s="28" t="n">
        <x:v>0.03888</x:v>
      </x:c>
      <x:c r="O1921" s="34" t="n">
        <x:v>196</x:v>
      </x:c>
      <x:c r="P1921" s="34" t="n">
        <x:v>1</x:v>
      </x:c>
      <x:c r="Q1921" s="34" t="n">
        <x:v>196</x:v>
      </x:c>
      <x:c r="R1921" s="33" t="n">
        <x:v>56</x:v>
      </x:c>
      <x:c r="S1921" s="38" t="n">
        <x:v>10.976</x:v>
      </x:c>
      <x:c r="T1921" s="38" t="n">
        <x:v>0.8780800000000001</x:v>
      </x:c>
      <x:c r="U1921" s="38" t="n">
        <x:v>0.2019584</x:v>
      </x:c>
      <x:c r="V1921" s="38" t="n">
        <x:v>9.8959616</x:v>
      </x:c>
      <x:c r="W1921" s="38" t="n">
        <x:v>3.64952</x:v>
      </x:c>
      <x:c r="X1921" s="38" t="n">
        <x:v>0.2869828864</x:v>
      </x:c>
      <x:c r="Y1921" s="38" t="n">
        <x:v>0</x:v>
      </x:c>
      <x:c r="Z1921" s="38" t="n">
        <x:v>0.8134000000000001</x:v>
      </x:c>
      <x:c r="AA1921" s="38" t="n">
        <x:v>0.32339999999999997</x:v>
      </x:c>
      <x:c r="AB1921" s="38" t="n">
        <x:v>0.0007055999999999999</x:v>
      </x:c>
      <x:c r="AC1921" s="38" t="n">
        <x:v>4.8219531136</x:v>
      </x:c>
      <x:c r="AD1921" s="28" t="n">
        <x:v>0.4872647357079478</x:v>
      </x:c>
    </x:row>
    <x:row r="1922">
      <x:c r="A1922" s="32" t="n">
        <x:v>46328</x:v>
      </x:c>
      <x:c r="B1922" s="32" t="n">
        <x:v>46327</x:v>
      </x:c>
      <x:c r="C1922" t="str">
        <x:v>Nov 2026</x:v>
      </x:c>
      <x:c r="D1922" t="str">
        <x:v>Forecast</x:v>
      </x:c>
      <x:c r="E1922" t="str">
        <x:v>DB-105</x:v>
      </x:c>
      <x:c r="F1922" t="str">
        <x:v>DreamFuel Refill Pack</x:v>
      </x:c>
      <x:c r="G1922" t="str">
        <x:v>Subscription</x:v>
      </x:c>
      <x:c r="H1922" t="str">
        <x:v>None</x:v>
      </x:c>
      <x:c r="I1922" t="str">
        <x:v>Active</x:v>
      </x:c>
      <x:c r="J1922" t="str">
        <x:v>Amazon Marketplace</x:v>
      </x:c>
      <x:c r="K1922" t="str">
        <x:v>Marketplace Consumer</x:v>
      </x:c>
      <x:c r="L1922" t="str">
        <x:v>All Geographies</x:v>
      </x:c>
      <x:c r="M1922" s="34" t="n">
        <x:v>2525</x:v>
      </x:c>
      <x:c r="N1922" s="28" t="n">
        <x:v>0.0458784</x:v>
      </x:c>
      <x:c r="O1922" s="34" t="n">
        <x:v>116</x:v>
      </x:c>
      <x:c r="P1922" s="34" t="n">
        <x:v>1</x:v>
      </x:c>
      <x:c r="Q1922" s="34" t="n">
        <x:v>116</x:v>
      </x:c>
      <x:c r="R1922" s="33" t="n">
        <x:v>56</x:v>
      </x:c>
      <x:c r="S1922" s="38" t="n">
        <x:v>6.496</x:v>
      </x:c>
      <x:c r="T1922" s="38" t="n">
        <x:v>0.32480000000000003</x:v>
      </x:c>
      <x:c r="U1922" s="38" t="n">
        <x:v>0.12342400000000002</x:v>
      </x:c>
      <x:c r="V1922" s="38" t="n">
        <x:v>6.047776000000001</x:v>
      </x:c>
      <x:c r="W1922" s="38" t="n">
        <x:v>2.15992</x:v>
      </x:c>
      <x:c r="X1922" s="38" t="n">
        <x:v>0</x:v>
      </x:c>
      <x:c r="Y1922" s="38" t="n">
        <x:v>0.9071664</x:v>
      </x:c>
      <x:c r="Z1922" s="38" t="n">
        <x:v>0.6032000000000001</x:v>
      </x:c>
      <x:c r="AA1922" s="38" t="n">
        <x:v>0.24939999999999998</x:v>
      </x:c>
      <x:c r="AB1922" s="38" t="n">
        <x:v>0.0004176</x:v>
      </x:c>
      <x:c r="AC1922" s="38" t="n">
        <x:v>2.1276720000000005</x:v>
      </x:c>
      <x:c r="AD1922" s="28" t="n">
        <x:v>0.35181064907165877</x:v>
      </x:c>
    </x:row>
    <x:row r="1923">
      <x:c r="A1923" s="32" t="n">
        <x:v>46328</x:v>
      </x:c>
      <x:c r="B1923" s="32" t="n">
        <x:v>46327</x:v>
      </x:c>
      <x:c r="C1923" t="str">
        <x:v>Nov 2026</x:v>
      </x:c>
      <x:c r="D1923" t="str">
        <x:v>Forecast</x:v>
      </x:c>
      <x:c r="E1923" t="str">
        <x:v>DB-105</x:v>
      </x:c>
      <x:c r="F1923" t="str">
        <x:v>DreamFuel Refill Pack</x:v>
      </x:c>
      <x:c r="G1923" t="str">
        <x:v>Subscription</x:v>
      </x:c>
      <x:c r="H1923" t="str">
        <x:v>None</x:v>
      </x:c>
      <x:c r="I1923" t="str">
        <x:v>Active</x:v>
      </x:c>
      <x:c r="J1923" t="str">
        <x:v>Wholesale</x:v>
      </x:c>
      <x:c r="K1923" t="str">
        <x:v>Retailer</x:v>
      </x:c>
      <x:c r="L1923" t="str">
        <x:v>All Geographies</x:v>
      </x:c>
      <x:c r="M1923" s="34" t="n">
        <x:v>1515</x:v>
      </x:c>
      <x:c r="N1923" s="28" t="n">
        <x:v>0.021384000000000004</x:v>
      </x:c>
      <x:c r="O1923" s="34" t="n">
        <x:v>32</x:v>
      </x:c>
      <x:c r="P1923" s="34" t="n">
        <x:v>1</x:v>
      </x:c>
      <x:c r="Q1923" s="34" t="n">
        <x:v>32</x:v>
      </x:c>
      <x:c r="R1923" s="33" t="n">
        <x:v>56</x:v>
      </x:c>
      <x:c r="S1923" s="38" t="n">
        <x:v>1.792</x:v>
      </x:c>
      <x:c r="T1923" s="38" t="n">
        <x:v>0.6272</x:v>
      </x:c>
      <x:c r="U1923" s="38" t="n">
        <x:v>0.023296</x:v>
      </x:c>
      <x:c r="V1923" s="38" t="n">
        <x:v>1.141504</x:v>
      </x:c>
      <x:c r="W1923" s="38" t="n">
        <x:v>0.59584</x:v>
      </x:c>
      <x:c r="X1923" s="38" t="n">
        <x:v>0</x:v>
      </x:c>
      <x:c r="Y1923" s="38" t="n">
        <x:v>0</x:v>
      </x:c>
      <x:c r="Z1923" s="38" t="n">
        <x:v>0.0736</x:v>
      </x:c>
      <x:c r="AA1923" s="38" t="n">
        <x:v>0.0272</x:v>
      </x:c>
      <x:c r="AB1923" s="38" t="n">
        <x:v>0.0001152</x:v>
      </x:c>
      <x:c r="AC1923" s="38" t="n">
        <x:v>0.44474880000000006</x:v>
      </x:c>
      <x:c r="AD1923" s="28" t="n">
        <x:v>0.3896165059430366</x:v>
      </x:c>
    </x:row>
    <x:row r="1924">
      <x:c r="A1924" s="32" t="n">
        <x:v>46328</x:v>
      </x:c>
      <x:c r="B1924" s="32" t="n">
        <x:v>46327</x:v>
      </x:c>
      <x:c r="C1924" t="str">
        <x:v>Nov 2026</x:v>
      </x:c>
      <x:c r="D1924" t="str">
        <x:v>Forecast</x:v>
      </x:c>
      <x:c r="E1924" t="str">
        <x:v>DB-105</x:v>
      </x:c>
      <x:c r="F1924" t="str">
        <x:v>DreamFuel Refill Pack</x:v>
      </x:c>
      <x:c r="G1924" t="str">
        <x:v>Subscription</x:v>
      </x:c>
      <x:c r="H1924" t="str">
        <x:v>None</x:v>
      </x:c>
      <x:c r="I1924" t="str">
        <x:v>Active</x:v>
      </x:c>
      <x:c r="J1924" t="str">
        <x:v>TikTok Shop</x:v>
      </x:c>
      <x:c r="K1924" t="str">
        <x:v>Social Commerce</x:v>
      </x:c>
      <x:c r="L1924" t="str">
        <x:v>All Geographies</x:v>
      </x:c>
      <x:c r="M1924" s="34" t="n">
        <x:v>1010</x:v>
      </x:c>
      <x:c r="N1924" s="28" t="n">
        <x:v>0.0489888</x:v>
      </x:c>
      <x:c r="O1924" s="34" t="n">
        <x:v>49</x:v>
      </x:c>
      <x:c r="P1924" s="34" t="n">
        <x:v>1</x:v>
      </x:c>
      <x:c r="Q1924" s="34" t="n">
        <x:v>49</x:v>
      </x:c>
      <x:c r="R1924" s="33" t="n">
        <x:v>56</x:v>
      </x:c>
      <x:c r="S1924" s="38" t="n">
        <x:v>2.744</x:v>
      </x:c>
      <x:c r="T1924" s="38" t="n">
        <x:v>0.32928</x:v>
      </x:c>
      <x:c r="U1924" s="38" t="n">
        <x:v>0.0482944</x:v>
      </x:c>
      <x:c r="V1924" s="38" t="n">
        <x:v>2.3664256</x:v>
      </x:c>
      <x:c r="W1924" s="38" t="n">
        <x:v>0.91238</x:v>
      </x:c>
      <x:c r="X1924" s="38" t="n">
        <x:v>0.0686263424</x:v>
      </x:c>
      <x:c r="Y1924" s="38" t="n">
        <x:v>0.141985536</x:v>
      </x:c>
      <x:c r="Z1924" s="38" t="n">
        <x:v>0.24989999999999998</x:v>
      </x:c>
      <x:c r="AA1924" s="38" t="n">
        <x:v>0.08575</x:v>
      </x:c>
      <x:c r="AB1924" s="38" t="n">
        <x:v>0.00017639999999999998</x:v>
      </x:c>
      <x:c r="AC1924" s="38" t="n">
        <x:v>0.9076073216</x:v>
      </x:c>
      <x:c r="AD1924" s="28" t="n">
        <x:v>0.3835351179432812</x:v>
      </x:c>
    </x:row>
    <x:row r="1925">
      <x:c r="A1925" s="32" t="n">
        <x:v>46335</x:v>
      </x:c>
      <x:c r="B1925" s="32" t="n">
        <x:v>46327</x:v>
      </x:c>
      <x:c r="C1925" t="str">
        <x:v>Nov 2026</x:v>
      </x:c>
      <x:c r="D1925" t="str">
        <x:v>Forecast</x:v>
      </x:c>
      <x:c r="E1925" t="str">
        <x:v>DB-101</x:v>
      </x:c>
      <x:c r="F1925" t="str">
        <x:v>AeroSip Bottle</x:v>
      </x:c>
      <x:c r="G1925" t="str">
        <x:v>One-time purchase</x:v>
      </x:c>
      <x:c r="H1925" t="str">
        <x:v>None</x:v>
      </x:c>
      <x:c r="I1925" t="str">
        <x:v>Active</x:v>
      </x:c>
      <x:c r="J1925" t="str">
        <x:v>Shopify DTC</x:v>
      </x:c>
      <x:c r="K1925" t="str">
        <x:v>Consumer</x:v>
      </x:c>
      <x:c r="L1925" t="str">
        <x:v>All Geographies</x:v>
      </x:c>
      <x:c r="M1925" s="34" t="n">
        <x:v>7296</x:v>
      </x:c>
      <x:c r="N1925" s="28" t="n">
        <x:v>0.034199999999999994</x:v>
      </x:c>
      <x:c r="O1925" s="34" t="n">
        <x:v>250</x:v>
      </x:c>
      <x:c r="P1925" s="34" t="n">
        <x:v>1</x:v>
      </x:c>
      <x:c r="Q1925" s="34" t="n">
        <x:v>250</x:v>
      </x:c>
      <x:c r="R1925" s="33" t="n">
        <x:v>29</x:v>
      </x:c>
      <x:c r="S1925" s="38" t="n">
        <x:v>7.25</x:v>
      </x:c>
      <x:c r="T1925" s="38" t="n">
        <x:v>0.58</x:v>
      </x:c>
      <x:c r="U1925" s="38" t="n">
        <x:v>0.30015</x:v>
      </x:c>
      <x:c r="V1925" s="38" t="n">
        <x:v>6.36985</x:v>
      </x:c>
      <x:c r="W1925" s="38" t="n">
        <x:v>2.7</x:v>
      </x:c>
      <x:c r="X1925" s="38" t="n">
        <x:v>0.18472565</x:v>
      </x:c>
      <x:c r="Y1925" s="38" t="n">
        <x:v>0</x:v>
      </x:c>
      <x:c r="Z1925" s="38" t="n">
        <x:v>1.0375</x:v>
      </x:c>
      <x:c r="AA1925" s="38" t="n">
        <x:v>0.4125</x:v>
      </x:c>
      <x:c r="AB1925" s="38" t="n">
        <x:v>0.009</x:v>
      </x:c>
      <x:c r="AC1925" s="38" t="n">
        <x:v>2.0261243499999995</x:v>
      </x:c>
      <x:c r="AD1925" s="28" t="n">
        <x:v>0.31808038650831644</x:v>
      </x:c>
    </x:row>
    <x:row r="1926">
      <x:c r="A1926" s="32" t="n">
        <x:v>46335</x:v>
      </x:c>
      <x:c r="B1926" s="32" t="n">
        <x:v>46327</x:v>
      </x:c>
      <x:c r="C1926" t="str">
        <x:v>Nov 2026</x:v>
      </x:c>
      <x:c r="D1926" t="str">
        <x:v>Forecast</x:v>
      </x:c>
      <x:c r="E1926" t="str">
        <x:v>DB-101</x:v>
      </x:c>
      <x:c r="F1926" t="str">
        <x:v>AeroSip Bottle</x:v>
      </x:c>
      <x:c r="G1926" t="str">
        <x:v>One-time purchase</x:v>
      </x:c>
      <x:c r="H1926" t="str">
        <x:v>None</x:v>
      </x:c>
      <x:c r="I1926" t="str">
        <x:v>Active</x:v>
      </x:c>
      <x:c r="J1926" t="str">
        <x:v>Amazon Marketplace</x:v>
      </x:c>
      <x:c r="K1926" t="str">
        <x:v>Marketplace Consumer</x:v>
      </x:c>
      <x:c r="L1926" t="str">
        <x:v>All Geographies</x:v>
      </x:c>
      <x:c r="M1926" s="34" t="n">
        <x:v>3648</x:v>
      </x:c>
      <x:c r="N1926" s="28" t="n">
        <x:v>0.040355999999999996</x:v>
      </x:c>
      <x:c r="O1926" s="34" t="n">
        <x:v>147</x:v>
      </x:c>
      <x:c r="P1926" s="34" t="n">
        <x:v>1</x:v>
      </x:c>
      <x:c r="Q1926" s="34" t="n">
        <x:v>147</x:v>
      </x:c>
      <x:c r="R1926" s="33" t="n">
        <x:v>29</x:v>
      </x:c>
      <x:c r="S1926" s="38" t="n">
        <x:v>4.263</x:v>
      </x:c>
      <x:c r="T1926" s="38" t="n">
        <x:v>0.21315</x:v>
      </x:c>
      <x:c r="U1926" s="38" t="n">
        <x:v>0.18224325</x:v>
      </x:c>
      <x:c r="V1926" s="38" t="n">
        <x:v>3.86760675</x:v>
      </x:c>
      <x:c r="W1926" s="38" t="n">
        <x:v>1.5876000000000001</x:v>
      </x:c>
      <x:c r="X1926" s="38" t="n">
        <x:v>0</x:v>
      </x:c>
      <x:c r="Y1926" s="38" t="n">
        <x:v>0.5801410125</x:v>
      </x:c>
      <x:c r="Z1926" s="38" t="n">
        <x:v>0.7644</x:v>
      </x:c>
      <x:c r="AA1926" s="38" t="n">
        <x:v>0.31605</x:v>
      </x:c>
      <x:c r="AB1926" s="38" t="n">
        <x:v>0.005292</x:v>
      </x:c>
      <x:c r="AC1926" s="38" t="n">
        <x:v>0.6141237375000003</x:v>
      </x:c>
      <x:c r="AD1926" s="28" t="n">
        <x:v>0.15878649955815705</x:v>
      </x:c>
    </x:row>
    <x:row r="1927">
      <x:c r="A1927" s="32" t="n">
        <x:v>46335</x:v>
      </x:c>
      <x:c r="B1927" s="32" t="n">
        <x:v>46327</x:v>
      </x:c>
      <x:c r="C1927" t="str">
        <x:v>Nov 2026</x:v>
      </x:c>
      <x:c r="D1927" t="str">
        <x:v>Forecast</x:v>
      </x:c>
      <x:c r="E1927" t="str">
        <x:v>DB-101</x:v>
      </x:c>
      <x:c r="F1927" t="str">
        <x:v>AeroSip Bottle</x:v>
      </x:c>
      <x:c r="G1927" t="str">
        <x:v>One-time purchase</x:v>
      </x:c>
      <x:c r="H1927" t="str">
        <x:v>None</x:v>
      </x:c>
      <x:c r="I1927" t="str">
        <x:v>Active</x:v>
      </x:c>
      <x:c r="J1927" t="str">
        <x:v>Wholesale</x:v>
      </x:c>
      <x:c r="K1927" t="str">
        <x:v>Retailer</x:v>
      </x:c>
      <x:c r="L1927" t="str">
        <x:v>All Geographies</x:v>
      </x:c>
      <x:c r="M1927" s="34" t="n">
        <x:v>2189</x:v>
      </x:c>
      <x:c r="N1927" s="28" t="n">
        <x:v>0.01881</x:v>
      </x:c>
      <x:c r="O1927" s="34" t="n">
        <x:v>41</x:v>
      </x:c>
      <x:c r="P1927" s="34" t="n">
        <x:v>1</x:v>
      </x:c>
      <x:c r="Q1927" s="34" t="n">
        <x:v>41</x:v>
      </x:c>
      <x:c r="R1927" s="33" t="n">
        <x:v>29</x:v>
      </x:c>
      <x:c r="S1927" s="38" t="n">
        <x:v>1.189</x:v>
      </x:c>
      <x:c r="T1927" s="38" t="n">
        <x:v>0.41615</x:v>
      </x:c>
      <x:c r="U1927" s="38" t="n">
        <x:v>0.034778250000000004</x:v>
      </x:c>
      <x:c r="V1927" s="38" t="n">
        <x:v>0.73807175</x:v>
      </x:c>
      <x:c r="W1927" s="38" t="n">
        <x:v>0.4428</x:v>
      </x:c>
      <x:c r="X1927" s="38" t="n">
        <x:v>0</x:v>
      </x:c>
      <x:c r="Y1927" s="38" t="n">
        <x:v>0</x:v>
      </x:c>
      <x:c r="Z1927" s="38" t="n">
        <x:v>0.0943</x:v>
      </x:c>
      <x:c r="AA1927" s="38" t="n">
        <x:v>0.03485</x:v>
      </x:c>
      <x:c r="AB1927" s="38" t="n">
        <x:v>0.0014759999999999999</x:v>
      </x:c>
      <x:c r="AC1927" s="38" t="n">
        <x:v>0.16464575</x:v>
      </x:c>
      <x:c r="AD1927" s="28" t="n">
        <x:v>0.22307553432305194</x:v>
      </x:c>
    </x:row>
    <x:row r="1928">
      <x:c r="A1928" s="32" t="n">
        <x:v>46335</x:v>
      </x:c>
      <x:c r="B1928" s="32" t="n">
        <x:v>46327</x:v>
      </x:c>
      <x:c r="C1928" t="str">
        <x:v>Nov 2026</x:v>
      </x:c>
      <x:c r="D1928" t="str">
        <x:v>Forecast</x:v>
      </x:c>
      <x:c r="E1928" t="str">
        <x:v>DB-101</x:v>
      </x:c>
      <x:c r="F1928" t="str">
        <x:v>AeroSip Bottle</x:v>
      </x:c>
      <x:c r="G1928" t="str">
        <x:v>One-time purchase</x:v>
      </x:c>
      <x:c r="H1928" t="str">
        <x:v>None</x:v>
      </x:c>
      <x:c r="I1928" t="str">
        <x:v>Active</x:v>
      </x:c>
      <x:c r="J1928" t="str">
        <x:v>TikTok Shop</x:v>
      </x:c>
      <x:c r="K1928" t="str">
        <x:v>Social Commerce</x:v>
      </x:c>
      <x:c r="L1928" t="str">
        <x:v>All Geographies</x:v>
      </x:c>
      <x:c r="M1928" s="34" t="n">
        <x:v>1459</x:v>
      </x:c>
      <x:c r="N1928" s="28" t="n">
        <x:v>0.043092</x:v>
      </x:c>
      <x:c r="O1928" s="34" t="n">
        <x:v>63</x:v>
      </x:c>
      <x:c r="P1928" s="34" t="n">
        <x:v>1</x:v>
      </x:c>
      <x:c r="Q1928" s="34" t="n">
        <x:v>63</x:v>
      </x:c>
      <x:c r="R1928" s="33" t="n">
        <x:v>29</x:v>
      </x:c>
      <x:c r="S1928" s="38" t="n">
        <x:v>1.827</x:v>
      </x:c>
      <x:c r="T1928" s="38" t="n">
        <x:v>0.21924</x:v>
      </x:c>
      <x:c r="U1928" s="38" t="n">
        <x:v>0.07234919999999999</x:v>
      </x:c>
      <x:c r="V1928" s="38" t="n">
        <x:v>1.5354108</x:v>
      </x:c>
      <x:c r="W1928" s="38" t="n">
        <x:v>0.6804000000000001</x:v>
      </x:c>
      <x:c r="X1928" s="38" t="n">
        <x:v>0.044526913200000004</x:v>
      </x:c>
      <x:c r="Y1928" s="38" t="n">
        <x:v>0.09212464799999999</x:v>
      </x:c>
      <x:c r="Z1928" s="38" t="n">
        <x:v>0.3213</x:v>
      </x:c>
      <x:c r="AA1928" s="38" t="n">
        <x:v>0.11025</x:v>
      </x:c>
      <x:c r="AB1928" s="38" t="n">
        <x:v>0.0022679999999999996</x:v>
      </x:c>
      <x:c r="AC1928" s="38" t="n">
        <x:v>0.2845412387999999</x:v>
      </x:c>
      <x:c r="AD1928" s="28" t="n">
        <x:v>0.18531928966501987</x:v>
      </x:c>
    </x:row>
    <x:row r="1929">
      <x:c r="A1929" s="32" t="n">
        <x:v>46335</x:v>
      </x:c>
      <x:c r="B1929" s="32" t="n">
        <x:v>46327</x:v>
      </x:c>
      <x:c r="C1929" t="str">
        <x:v>Nov 2026</x:v>
      </x:c>
      <x:c r="D1929" t="str">
        <x:v>Forecast</x:v>
      </x:c>
      <x:c r="E1929" t="str">
        <x:v>DB-102</x:v>
      </x:c>
      <x:c r="F1929" t="str">
        <x:v>GlowPatch Balm</x:v>
      </x:c>
      <x:c r="G1929" t="str">
        <x:v>Consumable repeat</x:v>
      </x:c>
      <x:c r="H1929" t="str">
        <x:v>None</x:v>
      </x:c>
      <x:c r="I1929" t="str">
        <x:v>Active</x:v>
      </x:c>
      <x:c r="J1929" t="str">
        <x:v>Shopify DTC</x:v>
      </x:c>
      <x:c r="K1929" t="str">
        <x:v>Consumer</x:v>
      </x:c>
      <x:c r="L1929" t="str">
        <x:v>All Geographies</x:v>
      </x:c>
      <x:c r="M1929" s="34" t="n">
        <x:v>5893</x:v>
      </x:c>
      <x:c r="N1929" s="28" t="n">
        <x:v>0.04248</x:v>
      </x:c>
      <x:c r="O1929" s="34" t="n">
        <x:v>250</x:v>
      </x:c>
      <x:c r="P1929" s="34" t="n">
        <x:v>1</x:v>
      </x:c>
      <x:c r="Q1929" s="34" t="n">
        <x:v>250</x:v>
      </x:c>
      <x:c r="R1929" s="33" t="n">
        <x:v>18</x:v>
      </x:c>
      <x:c r="S1929" s="38" t="n">
        <x:v>4.5</x:v>
      </x:c>
      <x:c r="T1929" s="38" t="n">
        <x:v>0.36</x:v>
      </x:c>
      <x:c r="U1929" s="38" t="n">
        <x:v>0.1035</x:v>
      </x:c>
      <x:c r="V1929" s="38" t="n">
        <x:v>4.036499999999999</x:v>
      </x:c>
      <x:c r="W1929" s="38" t="n">
        <x:v>1.3525</x:v>
      </x:c>
      <x:c r="X1929" s="38" t="n">
        <x:v>0.11705849999999998</x:v>
      </x:c>
      <x:c r="Y1929" s="38" t="n">
        <x:v>0</x:v>
      </x:c>
      <x:c r="Z1929" s="38" t="n">
        <x:v>1.0375</x:v>
      </x:c>
      <x:c r="AA1929" s="38" t="n">
        <x:v>0.4125</x:v>
      </x:c>
      <x:c r="AB1929" s="38" t="n">
        <x:v>0.0015</x:v>
      </x:c>
      <x:c r="AC1929" s="38" t="n">
        <x:v>1.1154414999999989</x:v>
      </x:c>
      <x:c r="AD1929" s="28" t="n">
        <x:v>0.2763387835996529</x:v>
      </x:c>
    </x:row>
    <x:row r="1930">
      <x:c r="A1930" s="32" t="n">
        <x:v>46335</x:v>
      </x:c>
      <x:c r="B1930" s="32" t="n">
        <x:v>46327</x:v>
      </x:c>
      <x:c r="C1930" t="str">
        <x:v>Nov 2026</x:v>
      </x:c>
      <x:c r="D1930" t="str">
        <x:v>Forecast</x:v>
      </x:c>
      <x:c r="E1930" t="str">
        <x:v>DB-102</x:v>
      </x:c>
      <x:c r="F1930" t="str">
        <x:v>GlowPatch Balm</x:v>
      </x:c>
      <x:c r="G1930" t="str">
        <x:v>Consumable repeat</x:v>
      </x:c>
      <x:c r="H1930" t="str">
        <x:v>None</x:v>
      </x:c>
      <x:c r="I1930" t="str">
        <x:v>Active</x:v>
      </x:c>
      <x:c r="J1930" t="str">
        <x:v>Amazon Marketplace</x:v>
      </x:c>
      <x:c r="K1930" t="str">
        <x:v>Marketplace Consumer</x:v>
      </x:c>
      <x:c r="L1930" t="str">
        <x:v>All Geographies</x:v>
      </x:c>
      <x:c r="M1930" s="34" t="n">
        <x:v>2946</x:v>
      </x:c>
      <x:c r="N1930" s="28" t="n">
        <x:v>0.050126399999999995</x:v>
      </x:c>
      <x:c r="O1930" s="34" t="n">
        <x:v>148</x:v>
      </x:c>
      <x:c r="P1930" s="34" t="n">
        <x:v>1</x:v>
      </x:c>
      <x:c r="Q1930" s="34" t="n">
        <x:v>148</x:v>
      </x:c>
      <x:c r="R1930" s="33" t="n">
        <x:v>18</x:v>
      </x:c>
      <x:c r="S1930" s="38" t="n">
        <x:v>2.664</x:v>
      </x:c>
      <x:c r="T1930" s="38" t="n">
        <x:v>0.1332</x:v>
      </x:c>
      <x:c r="U1930" s="38" t="n">
        <x:v>0.06327</x:v>
      </x:c>
      <x:c r="V1930" s="38" t="n">
        <x:v>2.46753</x:v>
      </x:c>
      <x:c r="W1930" s="38" t="n">
        <x:v>0.8006800000000001</x:v>
      </x:c>
      <x:c r="X1930" s="38" t="n">
        <x:v>0</x:v>
      </x:c>
      <x:c r="Y1930" s="38" t="n">
        <x:v>0.3701295</x:v>
      </x:c>
      <x:c r="Z1930" s="38" t="n">
        <x:v>0.7696000000000001</x:v>
      </x:c>
      <x:c r="AA1930" s="38" t="n">
        <x:v>0.3182</x:v>
      </x:c>
      <x:c r="AB1930" s="38" t="n">
        <x:v>0.0008879999999999999</x:v>
      </x:c>
      <x:c r="AC1930" s="38" t="n">
        <x:v>0.2080324999999999</x:v>
      </x:c>
      <x:c r="AD1930" s="28" t="n">
        <x:v>0.084307992202729</x:v>
      </x:c>
    </x:row>
    <x:row r="1931">
      <x:c r="A1931" s="32" t="n">
        <x:v>46335</x:v>
      </x:c>
      <x:c r="B1931" s="32" t="n">
        <x:v>46327</x:v>
      </x:c>
      <x:c r="C1931" t="str">
        <x:v>Nov 2026</x:v>
      </x:c>
      <x:c r="D1931" t="str">
        <x:v>Forecast</x:v>
      </x:c>
      <x:c r="E1931" t="str">
        <x:v>DB-102</x:v>
      </x:c>
      <x:c r="F1931" t="str">
        <x:v>GlowPatch Balm</x:v>
      </x:c>
      <x:c r="G1931" t="str">
        <x:v>Consumable repeat</x:v>
      </x:c>
      <x:c r="H1931" t="str">
        <x:v>None</x:v>
      </x:c>
      <x:c r="I1931" t="str">
        <x:v>Active</x:v>
      </x:c>
      <x:c r="J1931" t="str">
        <x:v>Wholesale</x:v>
      </x:c>
      <x:c r="K1931" t="str">
        <x:v>Retailer</x:v>
      </x:c>
      <x:c r="L1931" t="str">
        <x:v>All Geographies</x:v>
      </x:c>
      <x:c r="M1931" s="34" t="n">
        <x:v>1768</x:v>
      </x:c>
      <x:c r="N1931" s="28" t="n">
        <x:v>0.023364</x:v>
      </x:c>
      <x:c r="O1931" s="34" t="n">
        <x:v>41</x:v>
      </x:c>
      <x:c r="P1931" s="34" t="n">
        <x:v>1</x:v>
      </x:c>
      <x:c r="Q1931" s="34" t="n">
        <x:v>41</x:v>
      </x:c>
      <x:c r="R1931" s="33" t="n">
        <x:v>18</x:v>
      </x:c>
      <x:c r="S1931" s="38" t="n">
        <x:v>0.738</x:v>
      </x:c>
      <x:c r="T1931" s="38" t="n">
        <x:v>0.2583</x:v>
      </x:c>
      <x:c r="U1931" s="38" t="n">
        <x:v>0.011992500000000001</x:v>
      </x:c>
      <x:c r="V1931" s="38" t="n">
        <x:v>0.4677075</x:v>
      </x:c>
      <x:c r="W1931" s="38" t="n">
        <x:v>0.22181</x:v>
      </x:c>
      <x:c r="X1931" s="38" t="n">
        <x:v>0</x:v>
      </x:c>
      <x:c r="Y1931" s="38" t="n">
        <x:v>0</x:v>
      </x:c>
      <x:c r="Z1931" s="38" t="n">
        <x:v>0.0943</x:v>
      </x:c>
      <x:c r="AA1931" s="38" t="n">
        <x:v>0.03485</x:v>
      </x:c>
      <x:c r="AB1931" s="38" t="n">
        <x:v>0.000246</x:v>
      </x:c>
      <x:c r="AC1931" s="38" t="n">
        <x:v>0.11650150000000001</x:v>
      </x:c>
      <x:c r="AD1931" s="28" t="n">
        <x:v>0.2490905106289722</x:v>
      </x:c>
    </x:row>
    <x:row r="1932">
      <x:c r="A1932" s="32" t="n">
        <x:v>46335</x:v>
      </x:c>
      <x:c r="B1932" s="32" t="n">
        <x:v>46327</x:v>
      </x:c>
      <x:c r="C1932" t="str">
        <x:v>Nov 2026</x:v>
      </x:c>
      <x:c r="D1932" t="str">
        <x:v>Forecast</x:v>
      </x:c>
      <x:c r="E1932" t="str">
        <x:v>DB-102</x:v>
      </x:c>
      <x:c r="F1932" t="str">
        <x:v>GlowPatch Balm</x:v>
      </x:c>
      <x:c r="G1932" t="str">
        <x:v>Consumable repeat</x:v>
      </x:c>
      <x:c r="H1932" t="str">
        <x:v>None</x:v>
      </x:c>
      <x:c r="I1932" t="str">
        <x:v>Active</x:v>
      </x:c>
      <x:c r="J1932" t="str">
        <x:v>TikTok Shop</x:v>
      </x:c>
      <x:c r="K1932" t="str">
        <x:v>Social Commerce</x:v>
      </x:c>
      <x:c r="L1932" t="str">
        <x:v>All Geographies</x:v>
      </x:c>
      <x:c r="M1932" s="34" t="n">
        <x:v>1179</x:v>
      </x:c>
      <x:c r="N1932" s="28" t="n">
        <x:v>0.0535248</x:v>
      </x:c>
      <x:c r="O1932" s="34" t="n">
        <x:v>63</x:v>
      </x:c>
      <x:c r="P1932" s="34" t="n">
        <x:v>1</x:v>
      </x:c>
      <x:c r="Q1932" s="34" t="n">
        <x:v>63</x:v>
      </x:c>
      <x:c r="R1932" s="33" t="n">
        <x:v>18</x:v>
      </x:c>
      <x:c r="S1932" s="38" t="n">
        <x:v>1.134</x:v>
      </x:c>
      <x:c r="T1932" s="38" t="n">
        <x:v>0.13607999999999998</x:v>
      </x:c>
      <x:c r="U1932" s="38" t="n">
        <x:v>0.024947999999999998</x:v>
      </x:c>
      <x:c r="V1932" s="38" t="n">
        <x:v>0.972972</x:v>
      </x:c>
      <x:c r="W1932" s="38" t="n">
        <x:v>0.34082999999999997</x:v>
      </x:c>
      <x:c r="X1932" s="38" t="n">
        <x:v>0.028216188</x:v>
      </x:c>
      <x:c r="Y1932" s="38" t="n">
        <x:v>0.05837832</x:v>
      </x:c>
      <x:c r="Z1932" s="38" t="n">
        <x:v>0.3213</x:v>
      </x:c>
      <x:c r="AA1932" s="38" t="n">
        <x:v>0.11025</x:v>
      </x:c>
      <x:c r="AB1932" s="38" t="n">
        <x:v>0.000378</x:v>
      </x:c>
      <x:c r="AC1932" s="38" t="n">
        <x:v>0.11361949199999999</x:v>
      </x:c>
      <x:c r="AD1932" s="28" t="n">
        <x:v>0.11677570577570577</x:v>
      </x:c>
    </x:row>
    <x:row r="1933">
      <x:c r="A1933" s="32" t="n">
        <x:v>46335</x:v>
      </x:c>
      <x:c r="B1933" s="32" t="n">
        <x:v>46327</x:v>
      </x:c>
      <x:c r="C1933" t="str">
        <x:v>Nov 2026</x:v>
      </x:c>
      <x:c r="D1933" t="str">
        <x:v>Forecast</x:v>
      </x:c>
      <x:c r="E1933" t="str">
        <x:v>DB-103</x:v>
      </x:c>
      <x:c r="F1933" t="str">
        <x:v>EmberTrail Camp Mug</x:v>
      </x:c>
      <x:c r="G1933" t="str">
        <x:v>One-time purchase</x:v>
      </x:c>
      <x:c r="H1933" t="str">
        <x:v>Winter peak</x:v>
      </x:c>
      <x:c r="I1933" t="str">
        <x:v>Active</x:v>
      </x:c>
      <x:c r="J1933" t="str">
        <x:v>Shopify DTC</x:v>
      </x:c>
      <x:c r="K1933" t="str">
        <x:v>Consumer</x:v>
      </x:c>
      <x:c r="L1933" t="str">
        <x:v>All Geographies</x:v>
      </x:c>
      <x:c r="M1933" s="34" t="n">
        <x:v>7172</x:v>
      </x:c>
      <x:c r="N1933" s="28" t="n">
        <x:v>0.0324</x:v>
      </x:c>
      <x:c r="O1933" s="34" t="n">
        <x:v>232</x:v>
      </x:c>
      <x:c r="P1933" s="34" t="n">
        <x:v>1</x:v>
      </x:c>
      <x:c r="Q1933" s="34" t="n">
        <x:v>232</x:v>
      </x:c>
      <x:c r="R1933" s="33" t="n">
        <x:v>34</x:v>
      </x:c>
      <x:c r="S1933" s="38" t="n">
        <x:v>7.888</x:v>
      </x:c>
      <x:c r="T1933" s="38" t="n">
        <x:v>0.63104</x:v>
      </x:c>
      <x:c r="U1933" s="38" t="n">
        <x:v>0.39913279999999995</x:v>
      </x:c>
      <x:c r="V1933" s="38" t="n">
        <x:v>6.857827199999999</x:v>
      </x:c>
      <x:c r="W1933" s="38" t="n">
        <x:v>3.17144</x:v>
      </x:c>
      <x:c r="X1933" s="38" t="n">
        <x:v>0.1988769888</x:v>
      </x:c>
      <x:c r="Y1933" s="38" t="n">
        <x:v>0</x:v>
      </x:c>
      <x:c r="Z1933" s="38" t="n">
        <x:v>0.9628000000000001</x:v>
      </x:c>
      <x:c r="AA1933" s="38" t="n">
        <x:v>0.3828</x:v>
      </x:c>
      <x:c r="AB1933" s="38" t="n">
        <x:v>0.012992</x:v>
      </x:c>
      <x:c r="AC1933" s="38" t="n">
        <x:v>2.128918211199999</x:v>
      </x:c>
      <x:c r="AD1933" s="28" t="n">
        <x:v>0.31043625759482524</x:v>
      </x:c>
    </x:row>
    <x:row r="1934">
      <x:c r="A1934" s="32" t="n">
        <x:v>46335</x:v>
      </x:c>
      <x:c r="B1934" s="32" t="n">
        <x:v>46327</x:v>
      </x:c>
      <x:c r="C1934" t="str">
        <x:v>Nov 2026</x:v>
      </x:c>
      <x:c r="D1934" t="str">
        <x:v>Forecast</x:v>
      </x:c>
      <x:c r="E1934" t="str">
        <x:v>DB-103</x:v>
      </x:c>
      <x:c r="F1934" t="str">
        <x:v>EmberTrail Camp Mug</x:v>
      </x:c>
      <x:c r="G1934" t="str">
        <x:v>One-time purchase</x:v>
      </x:c>
      <x:c r="H1934" t="str">
        <x:v>Winter peak</x:v>
      </x:c>
      <x:c r="I1934" t="str">
        <x:v>Active</x:v>
      </x:c>
      <x:c r="J1934" t="str">
        <x:v>Amazon Marketplace</x:v>
      </x:c>
      <x:c r="K1934" t="str">
        <x:v>Marketplace Consumer</x:v>
      </x:c>
      <x:c r="L1934" t="str">
        <x:v>All Geographies</x:v>
      </x:c>
      <x:c r="M1934" s="34" t="n">
        <x:v>3586</x:v>
      </x:c>
      <x:c r="N1934" s="28" t="n">
        <x:v>0.038231999999999995</x:v>
      </x:c>
      <x:c r="O1934" s="34" t="n">
        <x:v>137</x:v>
      </x:c>
      <x:c r="P1934" s="34" t="n">
        <x:v>1</x:v>
      </x:c>
      <x:c r="Q1934" s="34" t="n">
        <x:v>137</x:v>
      </x:c>
      <x:c r="R1934" s="33" t="n">
        <x:v>34</x:v>
      </x:c>
      <x:c r="S1934" s="38" t="n">
        <x:v>4.658</x:v>
      </x:c>
      <x:c r="T1934" s="38" t="n">
        <x:v>0.23290000000000002</x:v>
      </x:c>
      <x:c r="U1934" s="38" t="n">
        <x:v>0.24338050000000003</x:v>
      </x:c>
      <x:c r="V1934" s="38" t="n">
        <x:v>4.181719500000001</x:v>
      </x:c>
      <x:c r="W1934" s="38" t="n">
        <x:v>1.87279</x:v>
      </x:c>
      <x:c r="X1934" s="38" t="n">
        <x:v>0</x:v>
      </x:c>
      <x:c r="Y1934" s="38" t="n">
        <x:v>0.6272579250000001</x:v>
      </x:c>
      <x:c r="Z1934" s="38" t="n">
        <x:v>0.7123999999999999</x:v>
      </x:c>
      <x:c r="AA1934" s="38" t="n">
        <x:v>0.29455000000000003</x:v>
      </x:c>
      <x:c r="AB1934" s="38" t="n">
        <x:v>0.007672000000000001</x:v>
      </x:c>
      <x:c r="AC1934" s="38" t="n">
        <x:v>0.6670495750000004</x:v>
      </x:c>
      <x:c r="AD1934" s="28" t="n">
        <x:v>0.1595156191131424</x:v>
      </x:c>
    </x:row>
    <x:row r="1935">
      <x:c r="A1935" s="32" t="n">
        <x:v>46335</x:v>
      </x:c>
      <x:c r="B1935" s="32" t="n">
        <x:v>46327</x:v>
      </x:c>
      <x:c r="C1935" t="str">
        <x:v>Nov 2026</x:v>
      </x:c>
      <x:c r="D1935" t="str">
        <x:v>Forecast</x:v>
      </x:c>
      <x:c r="E1935" t="str">
        <x:v>DB-103</x:v>
      </x:c>
      <x:c r="F1935" t="str">
        <x:v>EmberTrail Camp Mug</x:v>
      </x:c>
      <x:c r="G1935" t="str">
        <x:v>One-time purchase</x:v>
      </x:c>
      <x:c r="H1935" t="str">
        <x:v>Winter peak</x:v>
      </x:c>
      <x:c r="I1935" t="str">
        <x:v>Active</x:v>
      </x:c>
      <x:c r="J1935" t="str">
        <x:v>Wholesale</x:v>
      </x:c>
      <x:c r="K1935" t="str">
        <x:v>Retailer</x:v>
      </x:c>
      <x:c r="L1935" t="str">
        <x:v>All Geographies</x:v>
      </x:c>
      <x:c r="M1935" s="34" t="n">
        <x:v>2152</x:v>
      </x:c>
      <x:c r="N1935" s="28" t="n">
        <x:v>0.017820000000000003</x:v>
      </x:c>
      <x:c r="O1935" s="34" t="n">
        <x:v>38</x:v>
      </x:c>
      <x:c r="P1935" s="34" t="n">
        <x:v>1</x:v>
      </x:c>
      <x:c r="Q1935" s="34" t="n">
        <x:v>38</x:v>
      </x:c>
      <x:c r="R1935" s="33" t="n">
        <x:v>34</x:v>
      </x:c>
      <x:c r="S1935" s="38" t="n">
        <x:v>1.292</x:v>
      </x:c>
      <x:c r="T1935" s="38" t="n">
        <x:v>0.4522</x:v>
      </x:c>
      <x:c r="U1935" s="38" t="n">
        <x:v>0.04618900000000001</x:v>
      </x:c>
      <x:c r="V1935" s="38" t="n">
        <x:v>0.7936110000000001</x:v>
      </x:c>
      <x:c r="W1935" s="38" t="n">
        <x:v>0.51946</x:v>
      </x:c>
      <x:c r="X1935" s="38" t="n">
        <x:v>0</x:v>
      </x:c>
      <x:c r="Y1935" s="38" t="n">
        <x:v>0</x:v>
      </x:c>
      <x:c r="Z1935" s="38" t="n">
        <x:v>0.08739999999999999</x:v>
      </x:c>
      <x:c r="AA1935" s="38" t="n">
        <x:v>0.032299999999999995</x:v>
      </x:c>
      <x:c r="AB1935" s="38" t="n">
        <x:v>0.002128</x:v>
      </x:c>
      <x:c r="AC1935" s="38" t="n">
        <x:v>0.15232300000000007</x:v>
      </x:c>
      <x:c r="AD1935" s="28" t="n">
        <x:v>0.19193660370130966</x:v>
      </x:c>
    </x:row>
    <x:row r="1936">
      <x:c r="A1936" s="32" t="n">
        <x:v>46335</x:v>
      </x:c>
      <x:c r="B1936" s="32" t="n">
        <x:v>46327</x:v>
      </x:c>
      <x:c r="C1936" t="str">
        <x:v>Nov 2026</x:v>
      </x:c>
      <x:c r="D1936" t="str">
        <x:v>Forecast</x:v>
      </x:c>
      <x:c r="E1936" t="str">
        <x:v>DB-103</x:v>
      </x:c>
      <x:c r="F1936" t="str">
        <x:v>EmberTrail Camp Mug</x:v>
      </x:c>
      <x:c r="G1936" t="str">
        <x:v>One-time purchase</x:v>
      </x:c>
      <x:c r="H1936" t="str">
        <x:v>Winter peak</x:v>
      </x:c>
      <x:c r="I1936" t="str">
        <x:v>Active</x:v>
      </x:c>
      <x:c r="J1936" t="str">
        <x:v>TikTok Shop</x:v>
      </x:c>
      <x:c r="K1936" t="str">
        <x:v>Social Commerce</x:v>
      </x:c>
      <x:c r="L1936" t="str">
        <x:v>All Geographies</x:v>
      </x:c>
      <x:c r="M1936" s="34" t="n">
        <x:v>1434</x:v>
      </x:c>
      <x:c r="N1936" s="28" t="n">
        <x:v>0.040824</x:v>
      </x:c>
      <x:c r="O1936" s="34" t="n">
        <x:v>59</x:v>
      </x:c>
      <x:c r="P1936" s="34" t="n">
        <x:v>1</x:v>
      </x:c>
      <x:c r="Q1936" s="34" t="n">
        <x:v>59</x:v>
      </x:c>
      <x:c r="R1936" s="33" t="n">
        <x:v>34</x:v>
      </x:c>
      <x:c r="S1936" s="38" t="n">
        <x:v>2.006</x:v>
      </x:c>
      <x:c r="T1936" s="38" t="n">
        <x:v>0.24071999999999996</x:v>
      </x:c>
      <x:c r="U1936" s="38" t="n">
        <x:v>0.09709039999999998</x:v>
      </x:c>
      <x:c r="V1936" s="38" t="n">
        <x:v>1.6681895999999998</x:v>
      </x:c>
      <x:c r="W1936" s="38" t="n">
        <x:v>0.80653</x:v>
      </x:c>
      <x:c r="X1936" s="38" t="n">
        <x:v>0.048377498399999996</x:v>
      </x:c>
      <x:c r="Y1936" s="38" t="n">
        <x:v>0.10009137599999998</x:v>
      </x:c>
      <x:c r="Z1936" s="38" t="n">
        <x:v>0.3009</x:v>
      </x:c>
      <x:c r="AA1936" s="38" t="n">
        <x:v>0.10325</x:v>
      </x:c>
      <x:c r="AB1936" s="38" t="n">
        <x:v>0.003304</x:v>
      </x:c>
      <x:c r="AC1936" s="38" t="n">
        <x:v>0.30573672559999987</x:v>
      </x:c>
      <x:c r="AD1936" s="28" t="n">
        <x:v>0.1832745663922134</x:v>
      </x:c>
    </x:row>
    <x:row r="1937">
      <x:c r="A1937" s="32" t="n">
        <x:v>46335</x:v>
      </x:c>
      <x:c r="B1937" s="32" t="n">
        <x:v>46327</x:v>
      </x:c>
      <x:c r="C1937" t="str">
        <x:v>Nov 2026</x:v>
      </x:c>
      <x:c r="D1937" t="str">
        <x:v>Forecast</x:v>
      </x:c>
      <x:c r="E1937" t="str">
        <x:v>DB-104</x:v>
      </x:c>
      <x:c r="F1937" t="str">
        <x:v>SunNest Cooling Towel</x:v>
      </x:c>
      <x:c r="G1937" t="str">
        <x:v>Consumable repeat</x:v>
      </x:c>
      <x:c r="H1937" t="str">
        <x:v>Summer peak</x:v>
      </x:c>
      <x:c r="I1937" t="str">
        <x:v>Discontinued</x:v>
      </x:c>
      <x:c r="J1937" t="str">
        <x:v>Shopify DTC</x:v>
      </x:c>
      <x:c r="K1937" t="str">
        <x:v>Consumer</x:v>
      </x:c>
      <x:c r="L1937" t="str">
        <x:v>All Geographies</x:v>
      </x:c>
      <x:c r="M1937" s="34" t="n">
        <x:v>0</x:v>
      </x:c>
      <x:c r="N1937" s="28" t="n">
        <x:v>0.03312</x:v>
      </x:c>
      <x:c r="O1937" s="34" t="n">
        <x:v>0</x:v>
      </x:c>
      <x:c r="P1937" s="34" t="n">
        <x:v>1</x:v>
      </x:c>
      <x:c r="Q1937" s="34" t="n">
        <x:v>0</x:v>
      </x:c>
      <x:c r="R1937" s="33" t="n">
        <x:v>42</x:v>
      </x:c>
      <x:c r="S1937" s="38" t="n">
        <x:v>0</x:v>
      </x:c>
      <x:c r="T1937" s="38" t="n">
        <x:v>0</x:v>
      </x:c>
      <x:c r="U1937" s="38" t="n">
        <x:v>0</x:v>
      </x:c>
      <x:c r="V1937" s="38" t="n">
        <x:v>0</x:v>
      </x:c>
      <x:c r="W1937" s="38" t="n">
        <x:v>0</x:v>
      </x:c>
      <x:c r="X1937" s="38" t="n">
        <x:v>0</x:v>
      </x:c>
      <x:c r="Y1937" s="38" t="n">
        <x:v>0</x:v>
      </x:c>
      <x:c r="Z1937" s="38" t="n">
        <x:v>0</x:v>
      </x:c>
      <x:c r="AA1937" s="38" t="n">
        <x:v>0</x:v>
      </x:c>
      <x:c r="AB1937" s="38" t="n">
        <x:v>0</x:v>
      </x:c>
      <x:c r="AC1937" s="38" t="n">
        <x:v>0</x:v>
      </x:c>
      <x:c r="AD1937" s="28" t="n">
        <x:v>0</x:v>
      </x:c>
    </x:row>
    <x:row r="1938">
      <x:c r="A1938" s="32" t="n">
        <x:v>46335</x:v>
      </x:c>
      <x:c r="B1938" s="32" t="n">
        <x:v>46327</x:v>
      </x:c>
      <x:c r="C1938" t="str">
        <x:v>Nov 2026</x:v>
      </x:c>
      <x:c r="D1938" t="str">
        <x:v>Forecast</x:v>
      </x:c>
      <x:c r="E1938" t="str">
        <x:v>DB-104</x:v>
      </x:c>
      <x:c r="F1938" t="str">
        <x:v>SunNest Cooling Towel</x:v>
      </x:c>
      <x:c r="G1938" t="str">
        <x:v>Consumable repeat</x:v>
      </x:c>
      <x:c r="H1938" t="str">
        <x:v>Summer peak</x:v>
      </x:c>
      <x:c r="I1938" t="str">
        <x:v>Discontinued</x:v>
      </x:c>
      <x:c r="J1938" t="str">
        <x:v>Amazon Marketplace</x:v>
      </x:c>
      <x:c r="K1938" t="str">
        <x:v>Marketplace Consumer</x:v>
      </x:c>
      <x:c r="L1938" t="str">
        <x:v>All Geographies</x:v>
      </x:c>
      <x:c r="M1938" s="34" t="n">
        <x:v>0</x:v>
      </x:c>
      <x:c r="N1938" s="28" t="n">
        <x:v>0.0390816</x:v>
      </x:c>
      <x:c r="O1938" s="34" t="n">
        <x:v>0</x:v>
      </x:c>
      <x:c r="P1938" s="34" t="n">
        <x:v>1</x:v>
      </x:c>
      <x:c r="Q1938" s="34" t="n">
        <x:v>0</x:v>
      </x:c>
      <x:c r="R1938" s="33" t="n">
        <x:v>42</x:v>
      </x:c>
      <x:c r="S1938" s="38" t="n">
        <x:v>0</x:v>
      </x:c>
      <x:c r="T1938" s="38" t="n">
        <x:v>0</x:v>
      </x:c>
      <x:c r="U1938" s="38" t="n">
        <x:v>0</x:v>
      </x:c>
      <x:c r="V1938" s="38" t="n">
        <x:v>0</x:v>
      </x:c>
      <x:c r="W1938" s="38" t="n">
        <x:v>0</x:v>
      </x:c>
      <x:c r="X1938" s="38" t="n">
        <x:v>0</x:v>
      </x:c>
      <x:c r="Y1938" s="38" t="n">
        <x:v>0</x:v>
      </x:c>
      <x:c r="Z1938" s="38" t="n">
        <x:v>0</x:v>
      </x:c>
      <x:c r="AA1938" s="38" t="n">
        <x:v>0</x:v>
      </x:c>
      <x:c r="AB1938" s="38" t="n">
        <x:v>0</x:v>
      </x:c>
      <x:c r="AC1938" s="38" t="n">
        <x:v>0</x:v>
      </x:c>
      <x:c r="AD1938" s="28" t="n">
        <x:v>0</x:v>
      </x:c>
    </x:row>
    <x:row r="1939">
      <x:c r="A1939" s="32" t="n">
        <x:v>46335</x:v>
      </x:c>
      <x:c r="B1939" s="32" t="n">
        <x:v>46327</x:v>
      </x:c>
      <x:c r="C1939" t="str">
        <x:v>Nov 2026</x:v>
      </x:c>
      <x:c r="D1939" t="str">
        <x:v>Forecast</x:v>
      </x:c>
      <x:c r="E1939" t="str">
        <x:v>DB-104</x:v>
      </x:c>
      <x:c r="F1939" t="str">
        <x:v>SunNest Cooling Towel</x:v>
      </x:c>
      <x:c r="G1939" t="str">
        <x:v>Consumable repeat</x:v>
      </x:c>
      <x:c r="H1939" t="str">
        <x:v>Summer peak</x:v>
      </x:c>
      <x:c r="I1939" t="str">
        <x:v>Discontinued</x:v>
      </x:c>
      <x:c r="J1939" t="str">
        <x:v>Wholesale</x:v>
      </x:c>
      <x:c r="K1939" t="str">
        <x:v>Retailer</x:v>
      </x:c>
      <x:c r="L1939" t="str">
        <x:v>All Geographies</x:v>
      </x:c>
      <x:c r="M1939" s="34" t="n">
        <x:v>0</x:v>
      </x:c>
      <x:c r="N1939" s="28" t="n">
        <x:v>0.018216000000000003</x:v>
      </x:c>
      <x:c r="O1939" s="34" t="n">
        <x:v>0</x:v>
      </x:c>
      <x:c r="P1939" s="34" t="n">
        <x:v>1</x:v>
      </x:c>
      <x:c r="Q1939" s="34" t="n">
        <x:v>0</x:v>
      </x:c>
      <x:c r="R1939" s="33" t="n">
        <x:v>42</x:v>
      </x:c>
      <x:c r="S1939" s="38" t="n">
        <x:v>0</x:v>
      </x:c>
      <x:c r="T1939" s="38" t="n">
        <x:v>0</x:v>
      </x:c>
      <x:c r="U1939" s="38" t="n">
        <x:v>0</x:v>
      </x:c>
      <x:c r="V1939" s="38" t="n">
        <x:v>0</x:v>
      </x:c>
      <x:c r="W1939" s="38" t="n">
        <x:v>0</x:v>
      </x:c>
      <x:c r="X1939" s="38" t="n">
        <x:v>0</x:v>
      </x:c>
      <x:c r="Y1939" s="38" t="n">
        <x:v>0</x:v>
      </x:c>
      <x:c r="Z1939" s="38" t="n">
        <x:v>0</x:v>
      </x:c>
      <x:c r="AA1939" s="38" t="n">
        <x:v>0</x:v>
      </x:c>
      <x:c r="AB1939" s="38" t="n">
        <x:v>0</x:v>
      </x:c>
      <x:c r="AC1939" s="38" t="n">
        <x:v>0</x:v>
      </x:c>
      <x:c r="AD1939" s="28" t="n">
        <x:v>0</x:v>
      </x:c>
    </x:row>
    <x:row r="1940">
      <x:c r="A1940" s="32" t="n">
        <x:v>46335</x:v>
      </x:c>
      <x:c r="B1940" s="32" t="n">
        <x:v>46327</x:v>
      </x:c>
      <x:c r="C1940" t="str">
        <x:v>Nov 2026</x:v>
      </x:c>
      <x:c r="D1940" t="str">
        <x:v>Forecast</x:v>
      </x:c>
      <x:c r="E1940" t="str">
        <x:v>DB-104</x:v>
      </x:c>
      <x:c r="F1940" t="str">
        <x:v>SunNest Cooling Towel</x:v>
      </x:c>
      <x:c r="G1940" t="str">
        <x:v>Consumable repeat</x:v>
      </x:c>
      <x:c r="H1940" t="str">
        <x:v>Summer peak</x:v>
      </x:c>
      <x:c r="I1940" t="str">
        <x:v>Discontinued</x:v>
      </x:c>
      <x:c r="J1940" t="str">
        <x:v>TikTok Shop</x:v>
      </x:c>
      <x:c r="K1940" t="str">
        <x:v>Social Commerce</x:v>
      </x:c>
      <x:c r="L1940" t="str">
        <x:v>All Geographies</x:v>
      </x:c>
      <x:c r="M1940" s="34" t="n">
        <x:v>0</x:v>
      </x:c>
      <x:c r="N1940" s="28" t="n">
        <x:v>0.0417312</x:v>
      </x:c>
      <x:c r="O1940" s="34" t="n">
        <x:v>0</x:v>
      </x:c>
      <x:c r="P1940" s="34" t="n">
        <x:v>1</x:v>
      </x:c>
      <x:c r="Q1940" s="34" t="n">
        <x:v>0</x:v>
      </x:c>
      <x:c r="R1940" s="33" t="n">
        <x:v>42</x:v>
      </x:c>
      <x:c r="S1940" s="38" t="n">
        <x:v>0</x:v>
      </x:c>
      <x:c r="T1940" s="38" t="n">
        <x:v>0</x:v>
      </x:c>
      <x:c r="U1940" s="38" t="n">
        <x:v>0</x:v>
      </x:c>
      <x:c r="V1940" s="38" t="n">
        <x:v>0</x:v>
      </x:c>
      <x:c r="W1940" s="38" t="n">
        <x:v>0</x:v>
      </x:c>
      <x:c r="X1940" s="38" t="n">
        <x:v>0</x:v>
      </x:c>
      <x:c r="Y1940" s="38" t="n">
        <x:v>0</x:v>
      </x:c>
      <x:c r="Z1940" s="38" t="n">
        <x:v>0</x:v>
      </x:c>
      <x:c r="AA1940" s="38" t="n">
        <x:v>0</x:v>
      </x:c>
      <x:c r="AB1940" s="38" t="n">
        <x:v>0</x:v>
      </x:c>
      <x:c r="AC1940" s="38" t="n">
        <x:v>0</x:v>
      </x:c>
      <x:c r="AD1940" s="28" t="n">
        <x:v>0</x:v>
      </x:c>
    </x:row>
    <x:row r="1941">
      <x:c r="A1941" s="32" t="n">
        <x:v>46335</x:v>
      </x:c>
      <x:c r="B1941" s="32" t="n">
        <x:v>46327</x:v>
      </x:c>
      <x:c r="C1941" t="str">
        <x:v>Nov 2026</x:v>
      </x:c>
      <x:c r="D1941" t="str">
        <x:v>Forecast</x:v>
      </x:c>
      <x:c r="E1941" t="str">
        <x:v>DB-105</x:v>
      </x:c>
      <x:c r="F1941" t="str">
        <x:v>DreamFuel Refill Pack</x:v>
      </x:c>
      <x:c r="G1941" t="str">
        <x:v>Subscription</x:v>
      </x:c>
      <x:c r="H1941" t="str">
        <x:v>None</x:v>
      </x:c>
      <x:c r="I1941" t="str">
        <x:v>Active</x:v>
      </x:c>
      <x:c r="J1941" t="str">
        <x:v>Shopify DTC</x:v>
      </x:c>
      <x:c r="K1941" t="str">
        <x:v>Consumer</x:v>
      </x:c>
      <x:c r="L1941" t="str">
        <x:v>All Geographies</x:v>
      </x:c>
      <x:c r="M1941" s="34" t="n">
        <x:v>5051</x:v>
      </x:c>
      <x:c r="N1941" s="28" t="n">
        <x:v>0.03888</x:v>
      </x:c>
      <x:c r="O1941" s="34" t="n">
        <x:v>196</x:v>
      </x:c>
      <x:c r="P1941" s="34" t="n">
        <x:v>1</x:v>
      </x:c>
      <x:c r="Q1941" s="34" t="n">
        <x:v>196</x:v>
      </x:c>
      <x:c r="R1941" s="33" t="n">
        <x:v>56</x:v>
      </x:c>
      <x:c r="S1941" s="38" t="n">
        <x:v>10.976</x:v>
      </x:c>
      <x:c r="T1941" s="38" t="n">
        <x:v>0.8780800000000001</x:v>
      </x:c>
      <x:c r="U1941" s="38" t="n">
        <x:v>0.2019584</x:v>
      </x:c>
      <x:c r="V1941" s="38" t="n">
        <x:v>9.8959616</x:v>
      </x:c>
      <x:c r="W1941" s="38" t="n">
        <x:v>3.64952</x:v>
      </x:c>
      <x:c r="X1941" s="38" t="n">
        <x:v>0.2869828864</x:v>
      </x:c>
      <x:c r="Y1941" s="38" t="n">
        <x:v>0</x:v>
      </x:c>
      <x:c r="Z1941" s="38" t="n">
        <x:v>0.8134000000000001</x:v>
      </x:c>
      <x:c r="AA1941" s="38" t="n">
        <x:v>0.32339999999999997</x:v>
      </x:c>
      <x:c r="AB1941" s="38" t="n">
        <x:v>0.0007055999999999999</x:v>
      </x:c>
      <x:c r="AC1941" s="38" t="n">
        <x:v>4.8219531136</x:v>
      </x:c>
      <x:c r="AD1941" s="28" t="n">
        <x:v>0.4872647357079478</x:v>
      </x:c>
    </x:row>
    <x:row r="1942">
      <x:c r="A1942" s="32" t="n">
        <x:v>46335</x:v>
      </x:c>
      <x:c r="B1942" s="32" t="n">
        <x:v>46327</x:v>
      </x:c>
      <x:c r="C1942" t="str">
        <x:v>Nov 2026</x:v>
      </x:c>
      <x:c r="D1942" t="str">
        <x:v>Forecast</x:v>
      </x:c>
      <x:c r="E1942" t="str">
        <x:v>DB-105</x:v>
      </x:c>
      <x:c r="F1942" t="str">
        <x:v>DreamFuel Refill Pack</x:v>
      </x:c>
      <x:c r="G1942" t="str">
        <x:v>Subscription</x:v>
      </x:c>
      <x:c r="H1942" t="str">
        <x:v>None</x:v>
      </x:c>
      <x:c r="I1942" t="str">
        <x:v>Active</x:v>
      </x:c>
      <x:c r="J1942" t="str">
        <x:v>Amazon Marketplace</x:v>
      </x:c>
      <x:c r="K1942" t="str">
        <x:v>Marketplace Consumer</x:v>
      </x:c>
      <x:c r="L1942" t="str">
        <x:v>All Geographies</x:v>
      </x:c>
      <x:c r="M1942" s="34" t="n">
        <x:v>2525</x:v>
      </x:c>
      <x:c r="N1942" s="28" t="n">
        <x:v>0.0458784</x:v>
      </x:c>
      <x:c r="O1942" s="34" t="n">
        <x:v>116</x:v>
      </x:c>
      <x:c r="P1942" s="34" t="n">
        <x:v>1</x:v>
      </x:c>
      <x:c r="Q1942" s="34" t="n">
        <x:v>116</x:v>
      </x:c>
      <x:c r="R1942" s="33" t="n">
        <x:v>56</x:v>
      </x:c>
      <x:c r="S1942" s="38" t="n">
        <x:v>6.496</x:v>
      </x:c>
      <x:c r="T1942" s="38" t="n">
        <x:v>0.32480000000000003</x:v>
      </x:c>
      <x:c r="U1942" s="38" t="n">
        <x:v>0.12342400000000002</x:v>
      </x:c>
      <x:c r="V1942" s="38" t="n">
        <x:v>6.047776000000001</x:v>
      </x:c>
      <x:c r="W1942" s="38" t="n">
        <x:v>2.15992</x:v>
      </x:c>
      <x:c r="X1942" s="38" t="n">
        <x:v>0</x:v>
      </x:c>
      <x:c r="Y1942" s="38" t="n">
        <x:v>0.9071664</x:v>
      </x:c>
      <x:c r="Z1942" s="38" t="n">
        <x:v>0.6032000000000001</x:v>
      </x:c>
      <x:c r="AA1942" s="38" t="n">
        <x:v>0.24939999999999998</x:v>
      </x:c>
      <x:c r="AB1942" s="38" t="n">
        <x:v>0.0004176</x:v>
      </x:c>
      <x:c r="AC1942" s="38" t="n">
        <x:v>2.1276720000000005</x:v>
      </x:c>
      <x:c r="AD1942" s="28" t="n">
        <x:v>0.35181064907165877</x:v>
      </x:c>
    </x:row>
    <x:row r="1943">
      <x:c r="A1943" s="32" t="n">
        <x:v>46335</x:v>
      </x:c>
      <x:c r="B1943" s="32" t="n">
        <x:v>46327</x:v>
      </x:c>
      <x:c r="C1943" t="str">
        <x:v>Nov 2026</x:v>
      </x:c>
      <x:c r="D1943" t="str">
        <x:v>Forecast</x:v>
      </x:c>
      <x:c r="E1943" t="str">
        <x:v>DB-105</x:v>
      </x:c>
      <x:c r="F1943" t="str">
        <x:v>DreamFuel Refill Pack</x:v>
      </x:c>
      <x:c r="G1943" t="str">
        <x:v>Subscription</x:v>
      </x:c>
      <x:c r="H1943" t="str">
        <x:v>None</x:v>
      </x:c>
      <x:c r="I1943" t="str">
        <x:v>Active</x:v>
      </x:c>
      <x:c r="J1943" t="str">
        <x:v>Wholesale</x:v>
      </x:c>
      <x:c r="K1943" t="str">
        <x:v>Retailer</x:v>
      </x:c>
      <x:c r="L1943" t="str">
        <x:v>All Geographies</x:v>
      </x:c>
      <x:c r="M1943" s="34" t="n">
        <x:v>1515</x:v>
      </x:c>
      <x:c r="N1943" s="28" t="n">
        <x:v>0.021384000000000004</x:v>
      </x:c>
      <x:c r="O1943" s="34" t="n">
        <x:v>32</x:v>
      </x:c>
      <x:c r="P1943" s="34" t="n">
        <x:v>1</x:v>
      </x:c>
      <x:c r="Q1943" s="34" t="n">
        <x:v>32</x:v>
      </x:c>
      <x:c r="R1943" s="33" t="n">
        <x:v>56</x:v>
      </x:c>
      <x:c r="S1943" s="38" t="n">
        <x:v>1.792</x:v>
      </x:c>
      <x:c r="T1943" s="38" t="n">
        <x:v>0.6272</x:v>
      </x:c>
      <x:c r="U1943" s="38" t="n">
        <x:v>0.023296</x:v>
      </x:c>
      <x:c r="V1943" s="38" t="n">
        <x:v>1.141504</x:v>
      </x:c>
      <x:c r="W1943" s="38" t="n">
        <x:v>0.59584</x:v>
      </x:c>
      <x:c r="X1943" s="38" t="n">
        <x:v>0</x:v>
      </x:c>
      <x:c r="Y1943" s="38" t="n">
        <x:v>0</x:v>
      </x:c>
      <x:c r="Z1943" s="38" t="n">
        <x:v>0.0736</x:v>
      </x:c>
      <x:c r="AA1943" s="38" t="n">
        <x:v>0.0272</x:v>
      </x:c>
      <x:c r="AB1943" s="38" t="n">
        <x:v>0.0001152</x:v>
      </x:c>
      <x:c r="AC1943" s="38" t="n">
        <x:v>0.44474880000000006</x:v>
      </x:c>
      <x:c r="AD1943" s="28" t="n">
        <x:v>0.3896165059430366</x:v>
      </x:c>
    </x:row>
    <x:row r="1944">
      <x:c r="A1944" s="32" t="n">
        <x:v>46335</x:v>
      </x:c>
      <x:c r="B1944" s="32" t="n">
        <x:v>46327</x:v>
      </x:c>
      <x:c r="C1944" t="str">
        <x:v>Nov 2026</x:v>
      </x:c>
      <x:c r="D1944" t="str">
        <x:v>Forecast</x:v>
      </x:c>
      <x:c r="E1944" t="str">
        <x:v>DB-105</x:v>
      </x:c>
      <x:c r="F1944" t="str">
        <x:v>DreamFuel Refill Pack</x:v>
      </x:c>
      <x:c r="G1944" t="str">
        <x:v>Subscription</x:v>
      </x:c>
      <x:c r="H1944" t="str">
        <x:v>None</x:v>
      </x:c>
      <x:c r="I1944" t="str">
        <x:v>Active</x:v>
      </x:c>
      <x:c r="J1944" t="str">
        <x:v>TikTok Shop</x:v>
      </x:c>
      <x:c r="K1944" t="str">
        <x:v>Social Commerce</x:v>
      </x:c>
      <x:c r="L1944" t="str">
        <x:v>All Geographies</x:v>
      </x:c>
      <x:c r="M1944" s="34" t="n">
        <x:v>1010</x:v>
      </x:c>
      <x:c r="N1944" s="28" t="n">
        <x:v>0.0489888</x:v>
      </x:c>
      <x:c r="O1944" s="34" t="n">
        <x:v>49</x:v>
      </x:c>
      <x:c r="P1944" s="34" t="n">
        <x:v>1</x:v>
      </x:c>
      <x:c r="Q1944" s="34" t="n">
        <x:v>49</x:v>
      </x:c>
      <x:c r="R1944" s="33" t="n">
        <x:v>56</x:v>
      </x:c>
      <x:c r="S1944" s="38" t="n">
        <x:v>2.744</x:v>
      </x:c>
      <x:c r="T1944" s="38" t="n">
        <x:v>0.32928</x:v>
      </x:c>
      <x:c r="U1944" s="38" t="n">
        <x:v>0.0482944</x:v>
      </x:c>
      <x:c r="V1944" s="38" t="n">
        <x:v>2.3664256</x:v>
      </x:c>
      <x:c r="W1944" s="38" t="n">
        <x:v>0.91238</x:v>
      </x:c>
      <x:c r="X1944" s="38" t="n">
        <x:v>0.0686263424</x:v>
      </x:c>
      <x:c r="Y1944" s="38" t="n">
        <x:v>0.141985536</x:v>
      </x:c>
      <x:c r="Z1944" s="38" t="n">
        <x:v>0.24989999999999998</x:v>
      </x:c>
      <x:c r="AA1944" s="38" t="n">
        <x:v>0.08575</x:v>
      </x:c>
      <x:c r="AB1944" s="38" t="n">
        <x:v>0.00017639999999999998</x:v>
      </x:c>
      <x:c r="AC1944" s="38" t="n">
        <x:v>0.9076073216</x:v>
      </x:c>
      <x:c r="AD1944" s="28" t="n">
        <x:v>0.3835351179432812</x:v>
      </x:c>
    </x:row>
    <x:row r="1945">
      <x:c r="A1945" s="32" t="n">
        <x:v>46342</x:v>
      </x:c>
      <x:c r="B1945" s="32" t="n">
        <x:v>46327</x:v>
      </x:c>
      <x:c r="C1945" t="str">
        <x:v>Nov 2026</x:v>
      </x:c>
      <x:c r="D1945" t="str">
        <x:v>Forecast</x:v>
      </x:c>
      <x:c r="E1945" t="str">
        <x:v>DB-101</x:v>
      </x:c>
      <x:c r="F1945" t="str">
        <x:v>AeroSip Bottle</x:v>
      </x:c>
      <x:c r="G1945" t="str">
        <x:v>One-time purchase</x:v>
      </x:c>
      <x:c r="H1945" t="str">
        <x:v>None</x:v>
      </x:c>
      <x:c r="I1945" t="str">
        <x:v>Active</x:v>
      </x:c>
      <x:c r="J1945" t="str">
        <x:v>Shopify DTC</x:v>
      </x:c>
      <x:c r="K1945" t="str">
        <x:v>Consumer</x:v>
      </x:c>
      <x:c r="L1945" t="str">
        <x:v>All Geographies</x:v>
      </x:c>
      <x:c r="M1945" s="34" t="n">
        <x:v>7296</x:v>
      </x:c>
      <x:c r="N1945" s="28" t="n">
        <x:v>0.034199999999999994</x:v>
      </x:c>
      <x:c r="O1945" s="34" t="n">
        <x:v>250</x:v>
      </x:c>
      <x:c r="P1945" s="34" t="n">
        <x:v>1</x:v>
      </x:c>
      <x:c r="Q1945" s="34" t="n">
        <x:v>250</x:v>
      </x:c>
      <x:c r="R1945" s="33" t="n">
        <x:v>29</x:v>
      </x:c>
      <x:c r="S1945" s="38" t="n">
        <x:v>7.25</x:v>
      </x:c>
      <x:c r="T1945" s="38" t="n">
        <x:v>0.58</x:v>
      </x:c>
      <x:c r="U1945" s="38" t="n">
        <x:v>0.30015</x:v>
      </x:c>
      <x:c r="V1945" s="38" t="n">
        <x:v>6.36985</x:v>
      </x:c>
      <x:c r="W1945" s="38" t="n">
        <x:v>2.7</x:v>
      </x:c>
      <x:c r="X1945" s="38" t="n">
        <x:v>0.18472565</x:v>
      </x:c>
      <x:c r="Y1945" s="38" t="n">
        <x:v>0</x:v>
      </x:c>
      <x:c r="Z1945" s="38" t="n">
        <x:v>1.0375</x:v>
      </x:c>
      <x:c r="AA1945" s="38" t="n">
        <x:v>0.4125</x:v>
      </x:c>
      <x:c r="AB1945" s="38" t="n">
        <x:v>0.009</x:v>
      </x:c>
      <x:c r="AC1945" s="38" t="n">
        <x:v>2.0261243499999995</x:v>
      </x:c>
      <x:c r="AD1945" s="28" t="n">
        <x:v>0.31808038650831644</x:v>
      </x:c>
    </x:row>
    <x:row r="1946">
      <x:c r="A1946" s="32" t="n">
        <x:v>46342</x:v>
      </x:c>
      <x:c r="B1946" s="32" t="n">
        <x:v>46327</x:v>
      </x:c>
      <x:c r="C1946" t="str">
        <x:v>Nov 2026</x:v>
      </x:c>
      <x:c r="D1946" t="str">
        <x:v>Forecast</x:v>
      </x:c>
      <x:c r="E1946" t="str">
        <x:v>DB-101</x:v>
      </x:c>
      <x:c r="F1946" t="str">
        <x:v>AeroSip Bottle</x:v>
      </x:c>
      <x:c r="G1946" t="str">
        <x:v>One-time purchase</x:v>
      </x:c>
      <x:c r="H1946" t="str">
        <x:v>None</x:v>
      </x:c>
      <x:c r="I1946" t="str">
        <x:v>Active</x:v>
      </x:c>
      <x:c r="J1946" t="str">
        <x:v>Amazon Marketplace</x:v>
      </x:c>
      <x:c r="K1946" t="str">
        <x:v>Marketplace Consumer</x:v>
      </x:c>
      <x:c r="L1946" t="str">
        <x:v>All Geographies</x:v>
      </x:c>
      <x:c r="M1946" s="34" t="n">
        <x:v>3648</x:v>
      </x:c>
      <x:c r="N1946" s="28" t="n">
        <x:v>0.040355999999999996</x:v>
      </x:c>
      <x:c r="O1946" s="34" t="n">
        <x:v>147</x:v>
      </x:c>
      <x:c r="P1946" s="34" t="n">
        <x:v>1</x:v>
      </x:c>
      <x:c r="Q1946" s="34" t="n">
        <x:v>147</x:v>
      </x:c>
      <x:c r="R1946" s="33" t="n">
        <x:v>29</x:v>
      </x:c>
      <x:c r="S1946" s="38" t="n">
        <x:v>4.263</x:v>
      </x:c>
      <x:c r="T1946" s="38" t="n">
        <x:v>0.21315</x:v>
      </x:c>
      <x:c r="U1946" s="38" t="n">
        <x:v>0.18224325</x:v>
      </x:c>
      <x:c r="V1946" s="38" t="n">
        <x:v>3.86760675</x:v>
      </x:c>
      <x:c r="W1946" s="38" t="n">
        <x:v>1.5876000000000001</x:v>
      </x:c>
      <x:c r="X1946" s="38" t="n">
        <x:v>0</x:v>
      </x:c>
      <x:c r="Y1946" s="38" t="n">
        <x:v>0.5801410125</x:v>
      </x:c>
      <x:c r="Z1946" s="38" t="n">
        <x:v>0.7644</x:v>
      </x:c>
      <x:c r="AA1946" s="38" t="n">
        <x:v>0.31605</x:v>
      </x:c>
      <x:c r="AB1946" s="38" t="n">
        <x:v>0.005292</x:v>
      </x:c>
      <x:c r="AC1946" s="38" t="n">
        <x:v>0.6141237375000003</x:v>
      </x:c>
      <x:c r="AD1946" s="28" t="n">
        <x:v>0.15878649955815705</x:v>
      </x:c>
    </x:row>
    <x:row r="1947">
      <x:c r="A1947" s="32" t="n">
        <x:v>46342</x:v>
      </x:c>
      <x:c r="B1947" s="32" t="n">
        <x:v>46327</x:v>
      </x:c>
      <x:c r="C1947" t="str">
        <x:v>Nov 2026</x:v>
      </x:c>
      <x:c r="D1947" t="str">
        <x:v>Forecast</x:v>
      </x:c>
      <x:c r="E1947" t="str">
        <x:v>DB-101</x:v>
      </x:c>
      <x:c r="F1947" t="str">
        <x:v>AeroSip Bottle</x:v>
      </x:c>
      <x:c r="G1947" t="str">
        <x:v>One-time purchase</x:v>
      </x:c>
      <x:c r="H1947" t="str">
        <x:v>None</x:v>
      </x:c>
      <x:c r="I1947" t="str">
        <x:v>Active</x:v>
      </x:c>
      <x:c r="J1947" t="str">
        <x:v>Wholesale</x:v>
      </x:c>
      <x:c r="K1947" t="str">
        <x:v>Retailer</x:v>
      </x:c>
      <x:c r="L1947" t="str">
        <x:v>All Geographies</x:v>
      </x:c>
      <x:c r="M1947" s="34" t="n">
        <x:v>2189</x:v>
      </x:c>
      <x:c r="N1947" s="28" t="n">
        <x:v>0.01881</x:v>
      </x:c>
      <x:c r="O1947" s="34" t="n">
        <x:v>41</x:v>
      </x:c>
      <x:c r="P1947" s="34" t="n">
        <x:v>1</x:v>
      </x:c>
      <x:c r="Q1947" s="34" t="n">
        <x:v>41</x:v>
      </x:c>
      <x:c r="R1947" s="33" t="n">
        <x:v>29</x:v>
      </x:c>
      <x:c r="S1947" s="38" t="n">
        <x:v>1.189</x:v>
      </x:c>
      <x:c r="T1947" s="38" t="n">
        <x:v>0.41615</x:v>
      </x:c>
      <x:c r="U1947" s="38" t="n">
        <x:v>0.034778250000000004</x:v>
      </x:c>
      <x:c r="V1947" s="38" t="n">
        <x:v>0.73807175</x:v>
      </x:c>
      <x:c r="W1947" s="38" t="n">
        <x:v>0.4428</x:v>
      </x:c>
      <x:c r="X1947" s="38" t="n">
        <x:v>0</x:v>
      </x:c>
      <x:c r="Y1947" s="38" t="n">
        <x:v>0</x:v>
      </x:c>
      <x:c r="Z1947" s="38" t="n">
        <x:v>0.0943</x:v>
      </x:c>
      <x:c r="AA1947" s="38" t="n">
        <x:v>0.03485</x:v>
      </x:c>
      <x:c r="AB1947" s="38" t="n">
        <x:v>0.0014759999999999999</x:v>
      </x:c>
      <x:c r="AC1947" s="38" t="n">
        <x:v>0.16464575</x:v>
      </x:c>
      <x:c r="AD1947" s="28" t="n">
        <x:v>0.22307553432305194</x:v>
      </x:c>
    </x:row>
    <x:row r="1948">
      <x:c r="A1948" s="32" t="n">
        <x:v>46342</x:v>
      </x:c>
      <x:c r="B1948" s="32" t="n">
        <x:v>46327</x:v>
      </x:c>
      <x:c r="C1948" t="str">
        <x:v>Nov 2026</x:v>
      </x:c>
      <x:c r="D1948" t="str">
        <x:v>Forecast</x:v>
      </x:c>
      <x:c r="E1948" t="str">
        <x:v>DB-101</x:v>
      </x:c>
      <x:c r="F1948" t="str">
        <x:v>AeroSip Bottle</x:v>
      </x:c>
      <x:c r="G1948" t="str">
        <x:v>One-time purchase</x:v>
      </x:c>
      <x:c r="H1948" t="str">
        <x:v>None</x:v>
      </x:c>
      <x:c r="I1948" t="str">
        <x:v>Active</x:v>
      </x:c>
      <x:c r="J1948" t="str">
        <x:v>TikTok Shop</x:v>
      </x:c>
      <x:c r="K1948" t="str">
        <x:v>Social Commerce</x:v>
      </x:c>
      <x:c r="L1948" t="str">
        <x:v>All Geographies</x:v>
      </x:c>
      <x:c r="M1948" s="34" t="n">
        <x:v>1459</x:v>
      </x:c>
      <x:c r="N1948" s="28" t="n">
        <x:v>0.043092</x:v>
      </x:c>
      <x:c r="O1948" s="34" t="n">
        <x:v>63</x:v>
      </x:c>
      <x:c r="P1948" s="34" t="n">
        <x:v>1</x:v>
      </x:c>
      <x:c r="Q1948" s="34" t="n">
        <x:v>63</x:v>
      </x:c>
      <x:c r="R1948" s="33" t="n">
        <x:v>29</x:v>
      </x:c>
      <x:c r="S1948" s="38" t="n">
        <x:v>1.827</x:v>
      </x:c>
      <x:c r="T1948" s="38" t="n">
        <x:v>0.21924</x:v>
      </x:c>
      <x:c r="U1948" s="38" t="n">
        <x:v>0.07234919999999999</x:v>
      </x:c>
      <x:c r="V1948" s="38" t="n">
        <x:v>1.5354108</x:v>
      </x:c>
      <x:c r="W1948" s="38" t="n">
        <x:v>0.6804000000000001</x:v>
      </x:c>
      <x:c r="X1948" s="38" t="n">
        <x:v>0.044526913200000004</x:v>
      </x:c>
      <x:c r="Y1948" s="38" t="n">
        <x:v>0.09212464799999999</x:v>
      </x:c>
      <x:c r="Z1948" s="38" t="n">
        <x:v>0.3213</x:v>
      </x:c>
      <x:c r="AA1948" s="38" t="n">
        <x:v>0.11025</x:v>
      </x:c>
      <x:c r="AB1948" s="38" t="n">
        <x:v>0.0022679999999999996</x:v>
      </x:c>
      <x:c r="AC1948" s="38" t="n">
        <x:v>0.2845412387999999</x:v>
      </x:c>
      <x:c r="AD1948" s="28" t="n">
        <x:v>0.18531928966501987</x:v>
      </x:c>
    </x:row>
    <x:row r="1949">
      <x:c r="A1949" s="32" t="n">
        <x:v>46342</x:v>
      </x:c>
      <x:c r="B1949" s="32" t="n">
        <x:v>46327</x:v>
      </x:c>
      <x:c r="C1949" t="str">
        <x:v>Nov 2026</x:v>
      </x:c>
      <x:c r="D1949" t="str">
        <x:v>Forecast</x:v>
      </x:c>
      <x:c r="E1949" t="str">
        <x:v>DB-102</x:v>
      </x:c>
      <x:c r="F1949" t="str">
        <x:v>GlowPatch Balm</x:v>
      </x:c>
      <x:c r="G1949" t="str">
        <x:v>Consumable repeat</x:v>
      </x:c>
      <x:c r="H1949" t="str">
        <x:v>None</x:v>
      </x:c>
      <x:c r="I1949" t="str">
        <x:v>Active</x:v>
      </x:c>
      <x:c r="J1949" t="str">
        <x:v>Shopify DTC</x:v>
      </x:c>
      <x:c r="K1949" t="str">
        <x:v>Consumer</x:v>
      </x:c>
      <x:c r="L1949" t="str">
        <x:v>All Geographies</x:v>
      </x:c>
      <x:c r="M1949" s="34" t="n">
        <x:v>5893</x:v>
      </x:c>
      <x:c r="N1949" s="28" t="n">
        <x:v>0.04248</x:v>
      </x:c>
      <x:c r="O1949" s="34" t="n">
        <x:v>250</x:v>
      </x:c>
      <x:c r="P1949" s="34" t="n">
        <x:v>1</x:v>
      </x:c>
      <x:c r="Q1949" s="34" t="n">
        <x:v>250</x:v>
      </x:c>
      <x:c r="R1949" s="33" t="n">
        <x:v>18</x:v>
      </x:c>
      <x:c r="S1949" s="38" t="n">
        <x:v>4.5</x:v>
      </x:c>
      <x:c r="T1949" s="38" t="n">
        <x:v>0.36</x:v>
      </x:c>
      <x:c r="U1949" s="38" t="n">
        <x:v>0.1035</x:v>
      </x:c>
      <x:c r="V1949" s="38" t="n">
        <x:v>4.036499999999999</x:v>
      </x:c>
      <x:c r="W1949" s="38" t="n">
        <x:v>1.3525</x:v>
      </x:c>
      <x:c r="X1949" s="38" t="n">
        <x:v>0.11705849999999998</x:v>
      </x:c>
      <x:c r="Y1949" s="38" t="n">
        <x:v>0</x:v>
      </x:c>
      <x:c r="Z1949" s="38" t="n">
        <x:v>1.0375</x:v>
      </x:c>
      <x:c r="AA1949" s="38" t="n">
        <x:v>0.4125</x:v>
      </x:c>
      <x:c r="AB1949" s="38" t="n">
        <x:v>0.0015</x:v>
      </x:c>
      <x:c r="AC1949" s="38" t="n">
        <x:v>1.1154414999999989</x:v>
      </x:c>
      <x:c r="AD1949" s="28" t="n">
        <x:v>0.2763387835996529</x:v>
      </x:c>
    </x:row>
    <x:row r="1950">
      <x:c r="A1950" s="32" t="n">
        <x:v>46342</x:v>
      </x:c>
      <x:c r="B1950" s="32" t="n">
        <x:v>46327</x:v>
      </x:c>
      <x:c r="C1950" t="str">
        <x:v>Nov 2026</x:v>
      </x:c>
      <x:c r="D1950" t="str">
        <x:v>Forecast</x:v>
      </x:c>
      <x:c r="E1950" t="str">
        <x:v>DB-102</x:v>
      </x:c>
      <x:c r="F1950" t="str">
        <x:v>GlowPatch Balm</x:v>
      </x:c>
      <x:c r="G1950" t="str">
        <x:v>Consumable repeat</x:v>
      </x:c>
      <x:c r="H1950" t="str">
        <x:v>None</x:v>
      </x:c>
      <x:c r="I1950" t="str">
        <x:v>Active</x:v>
      </x:c>
      <x:c r="J1950" t="str">
        <x:v>Amazon Marketplace</x:v>
      </x:c>
      <x:c r="K1950" t="str">
        <x:v>Marketplace Consumer</x:v>
      </x:c>
      <x:c r="L1950" t="str">
        <x:v>All Geographies</x:v>
      </x:c>
      <x:c r="M1950" s="34" t="n">
        <x:v>2946</x:v>
      </x:c>
      <x:c r="N1950" s="28" t="n">
        <x:v>0.050126399999999995</x:v>
      </x:c>
      <x:c r="O1950" s="34" t="n">
        <x:v>148</x:v>
      </x:c>
      <x:c r="P1950" s="34" t="n">
        <x:v>1</x:v>
      </x:c>
      <x:c r="Q1950" s="34" t="n">
        <x:v>148</x:v>
      </x:c>
      <x:c r="R1950" s="33" t="n">
        <x:v>18</x:v>
      </x:c>
      <x:c r="S1950" s="38" t="n">
        <x:v>2.664</x:v>
      </x:c>
      <x:c r="T1950" s="38" t="n">
        <x:v>0.1332</x:v>
      </x:c>
      <x:c r="U1950" s="38" t="n">
        <x:v>0.06327</x:v>
      </x:c>
      <x:c r="V1950" s="38" t="n">
        <x:v>2.46753</x:v>
      </x:c>
      <x:c r="W1950" s="38" t="n">
        <x:v>0.8006800000000001</x:v>
      </x:c>
      <x:c r="X1950" s="38" t="n">
        <x:v>0</x:v>
      </x:c>
      <x:c r="Y1950" s="38" t="n">
        <x:v>0.3701295</x:v>
      </x:c>
      <x:c r="Z1950" s="38" t="n">
        <x:v>0.7696000000000001</x:v>
      </x:c>
      <x:c r="AA1950" s="38" t="n">
        <x:v>0.3182</x:v>
      </x:c>
      <x:c r="AB1950" s="38" t="n">
        <x:v>0.0008879999999999999</x:v>
      </x:c>
      <x:c r="AC1950" s="38" t="n">
        <x:v>0.2080324999999999</x:v>
      </x:c>
      <x:c r="AD1950" s="28" t="n">
        <x:v>0.084307992202729</x:v>
      </x:c>
    </x:row>
    <x:row r="1951">
      <x:c r="A1951" s="32" t="n">
        <x:v>46342</x:v>
      </x:c>
      <x:c r="B1951" s="32" t="n">
        <x:v>46327</x:v>
      </x:c>
      <x:c r="C1951" t="str">
        <x:v>Nov 2026</x:v>
      </x:c>
      <x:c r="D1951" t="str">
        <x:v>Forecast</x:v>
      </x:c>
      <x:c r="E1951" t="str">
        <x:v>DB-102</x:v>
      </x:c>
      <x:c r="F1951" t="str">
        <x:v>GlowPatch Balm</x:v>
      </x:c>
      <x:c r="G1951" t="str">
        <x:v>Consumable repeat</x:v>
      </x:c>
      <x:c r="H1951" t="str">
        <x:v>None</x:v>
      </x:c>
      <x:c r="I1951" t="str">
        <x:v>Active</x:v>
      </x:c>
      <x:c r="J1951" t="str">
        <x:v>Wholesale</x:v>
      </x:c>
      <x:c r="K1951" t="str">
        <x:v>Retailer</x:v>
      </x:c>
      <x:c r="L1951" t="str">
        <x:v>All Geographies</x:v>
      </x:c>
      <x:c r="M1951" s="34" t="n">
        <x:v>1768</x:v>
      </x:c>
      <x:c r="N1951" s="28" t="n">
        <x:v>0.023364</x:v>
      </x:c>
      <x:c r="O1951" s="34" t="n">
        <x:v>41</x:v>
      </x:c>
      <x:c r="P1951" s="34" t="n">
        <x:v>1</x:v>
      </x:c>
      <x:c r="Q1951" s="34" t="n">
        <x:v>41</x:v>
      </x:c>
      <x:c r="R1951" s="33" t="n">
        <x:v>18</x:v>
      </x:c>
      <x:c r="S1951" s="38" t="n">
        <x:v>0.738</x:v>
      </x:c>
      <x:c r="T1951" s="38" t="n">
        <x:v>0.2583</x:v>
      </x:c>
      <x:c r="U1951" s="38" t="n">
        <x:v>0.011992500000000001</x:v>
      </x:c>
      <x:c r="V1951" s="38" t="n">
        <x:v>0.4677075</x:v>
      </x:c>
      <x:c r="W1951" s="38" t="n">
        <x:v>0.22181</x:v>
      </x:c>
      <x:c r="X1951" s="38" t="n">
        <x:v>0</x:v>
      </x:c>
      <x:c r="Y1951" s="38" t="n">
        <x:v>0</x:v>
      </x:c>
      <x:c r="Z1951" s="38" t="n">
        <x:v>0.0943</x:v>
      </x:c>
      <x:c r="AA1951" s="38" t="n">
        <x:v>0.03485</x:v>
      </x:c>
      <x:c r="AB1951" s="38" t="n">
        <x:v>0.000246</x:v>
      </x:c>
      <x:c r="AC1951" s="38" t="n">
        <x:v>0.11650150000000001</x:v>
      </x:c>
      <x:c r="AD1951" s="28" t="n">
        <x:v>0.2490905106289722</x:v>
      </x:c>
    </x:row>
    <x:row r="1952">
      <x:c r="A1952" s="32" t="n">
        <x:v>46342</x:v>
      </x:c>
      <x:c r="B1952" s="32" t="n">
        <x:v>46327</x:v>
      </x:c>
      <x:c r="C1952" t="str">
        <x:v>Nov 2026</x:v>
      </x:c>
      <x:c r="D1952" t="str">
        <x:v>Forecast</x:v>
      </x:c>
      <x:c r="E1952" t="str">
        <x:v>DB-102</x:v>
      </x:c>
      <x:c r="F1952" t="str">
        <x:v>GlowPatch Balm</x:v>
      </x:c>
      <x:c r="G1952" t="str">
        <x:v>Consumable repeat</x:v>
      </x:c>
      <x:c r="H1952" t="str">
        <x:v>None</x:v>
      </x:c>
      <x:c r="I1952" t="str">
        <x:v>Active</x:v>
      </x:c>
      <x:c r="J1952" t="str">
        <x:v>TikTok Shop</x:v>
      </x:c>
      <x:c r="K1952" t="str">
        <x:v>Social Commerce</x:v>
      </x:c>
      <x:c r="L1952" t="str">
        <x:v>All Geographies</x:v>
      </x:c>
      <x:c r="M1952" s="34" t="n">
        <x:v>1179</x:v>
      </x:c>
      <x:c r="N1952" s="28" t="n">
        <x:v>0.0535248</x:v>
      </x:c>
      <x:c r="O1952" s="34" t="n">
        <x:v>63</x:v>
      </x:c>
      <x:c r="P1952" s="34" t="n">
        <x:v>1</x:v>
      </x:c>
      <x:c r="Q1952" s="34" t="n">
        <x:v>63</x:v>
      </x:c>
      <x:c r="R1952" s="33" t="n">
        <x:v>18</x:v>
      </x:c>
      <x:c r="S1952" s="38" t="n">
        <x:v>1.134</x:v>
      </x:c>
      <x:c r="T1952" s="38" t="n">
        <x:v>0.13607999999999998</x:v>
      </x:c>
      <x:c r="U1952" s="38" t="n">
        <x:v>0.024947999999999998</x:v>
      </x:c>
      <x:c r="V1952" s="38" t="n">
        <x:v>0.972972</x:v>
      </x:c>
      <x:c r="W1952" s="38" t="n">
        <x:v>0.34082999999999997</x:v>
      </x:c>
      <x:c r="X1952" s="38" t="n">
        <x:v>0.028216188</x:v>
      </x:c>
      <x:c r="Y1952" s="38" t="n">
        <x:v>0.05837832</x:v>
      </x:c>
      <x:c r="Z1952" s="38" t="n">
        <x:v>0.3213</x:v>
      </x:c>
      <x:c r="AA1952" s="38" t="n">
        <x:v>0.11025</x:v>
      </x:c>
      <x:c r="AB1952" s="38" t="n">
        <x:v>0.000378</x:v>
      </x:c>
      <x:c r="AC1952" s="38" t="n">
        <x:v>0.11361949199999999</x:v>
      </x:c>
      <x:c r="AD1952" s="28" t="n">
        <x:v>0.11677570577570577</x:v>
      </x:c>
    </x:row>
    <x:row r="1953">
      <x:c r="A1953" s="32" t="n">
        <x:v>46342</x:v>
      </x:c>
      <x:c r="B1953" s="32" t="n">
        <x:v>46327</x:v>
      </x:c>
      <x:c r="C1953" t="str">
        <x:v>Nov 2026</x:v>
      </x:c>
      <x:c r="D1953" t="str">
        <x:v>Forecast</x:v>
      </x:c>
      <x:c r="E1953" t="str">
        <x:v>DB-103</x:v>
      </x:c>
      <x:c r="F1953" t="str">
        <x:v>EmberTrail Camp Mug</x:v>
      </x:c>
      <x:c r="G1953" t="str">
        <x:v>One-time purchase</x:v>
      </x:c>
      <x:c r="H1953" t="str">
        <x:v>Winter peak</x:v>
      </x:c>
      <x:c r="I1953" t="str">
        <x:v>Active</x:v>
      </x:c>
      <x:c r="J1953" t="str">
        <x:v>Shopify DTC</x:v>
      </x:c>
      <x:c r="K1953" t="str">
        <x:v>Consumer</x:v>
      </x:c>
      <x:c r="L1953" t="str">
        <x:v>All Geographies</x:v>
      </x:c>
      <x:c r="M1953" s="34" t="n">
        <x:v>7172</x:v>
      </x:c>
      <x:c r="N1953" s="28" t="n">
        <x:v>0.0324</x:v>
      </x:c>
      <x:c r="O1953" s="34" t="n">
        <x:v>232</x:v>
      </x:c>
      <x:c r="P1953" s="34" t="n">
        <x:v>1</x:v>
      </x:c>
      <x:c r="Q1953" s="34" t="n">
        <x:v>232</x:v>
      </x:c>
      <x:c r="R1953" s="33" t="n">
        <x:v>34</x:v>
      </x:c>
      <x:c r="S1953" s="38" t="n">
        <x:v>7.888</x:v>
      </x:c>
      <x:c r="T1953" s="38" t="n">
        <x:v>0.63104</x:v>
      </x:c>
      <x:c r="U1953" s="38" t="n">
        <x:v>0.39913279999999995</x:v>
      </x:c>
      <x:c r="V1953" s="38" t="n">
        <x:v>6.857827199999999</x:v>
      </x:c>
      <x:c r="W1953" s="38" t="n">
        <x:v>3.17144</x:v>
      </x:c>
      <x:c r="X1953" s="38" t="n">
        <x:v>0.1988769888</x:v>
      </x:c>
      <x:c r="Y1953" s="38" t="n">
        <x:v>0</x:v>
      </x:c>
      <x:c r="Z1953" s="38" t="n">
        <x:v>0.9628000000000001</x:v>
      </x:c>
      <x:c r="AA1953" s="38" t="n">
        <x:v>0.3828</x:v>
      </x:c>
      <x:c r="AB1953" s="38" t="n">
        <x:v>0.012992</x:v>
      </x:c>
      <x:c r="AC1953" s="38" t="n">
        <x:v>2.128918211199999</x:v>
      </x:c>
      <x:c r="AD1953" s="28" t="n">
        <x:v>0.31043625759482524</x:v>
      </x:c>
    </x:row>
    <x:row r="1954">
      <x:c r="A1954" s="32" t="n">
        <x:v>46342</x:v>
      </x:c>
      <x:c r="B1954" s="32" t="n">
        <x:v>46327</x:v>
      </x:c>
      <x:c r="C1954" t="str">
        <x:v>Nov 2026</x:v>
      </x:c>
      <x:c r="D1954" t="str">
        <x:v>Forecast</x:v>
      </x:c>
      <x:c r="E1954" t="str">
        <x:v>DB-103</x:v>
      </x:c>
      <x:c r="F1954" t="str">
        <x:v>EmberTrail Camp Mug</x:v>
      </x:c>
      <x:c r="G1954" t="str">
        <x:v>One-time purchase</x:v>
      </x:c>
      <x:c r="H1954" t="str">
        <x:v>Winter peak</x:v>
      </x:c>
      <x:c r="I1954" t="str">
        <x:v>Active</x:v>
      </x:c>
      <x:c r="J1954" t="str">
        <x:v>Amazon Marketplace</x:v>
      </x:c>
      <x:c r="K1954" t="str">
        <x:v>Marketplace Consumer</x:v>
      </x:c>
      <x:c r="L1954" t="str">
        <x:v>All Geographies</x:v>
      </x:c>
      <x:c r="M1954" s="34" t="n">
        <x:v>3586</x:v>
      </x:c>
      <x:c r="N1954" s="28" t="n">
        <x:v>0.038231999999999995</x:v>
      </x:c>
      <x:c r="O1954" s="34" t="n">
        <x:v>137</x:v>
      </x:c>
      <x:c r="P1954" s="34" t="n">
        <x:v>1</x:v>
      </x:c>
      <x:c r="Q1954" s="34" t="n">
        <x:v>137</x:v>
      </x:c>
      <x:c r="R1954" s="33" t="n">
        <x:v>34</x:v>
      </x:c>
      <x:c r="S1954" s="38" t="n">
        <x:v>4.658</x:v>
      </x:c>
      <x:c r="T1954" s="38" t="n">
        <x:v>0.23290000000000002</x:v>
      </x:c>
      <x:c r="U1954" s="38" t="n">
        <x:v>0.24338050000000003</x:v>
      </x:c>
      <x:c r="V1954" s="38" t="n">
        <x:v>4.181719500000001</x:v>
      </x:c>
      <x:c r="W1954" s="38" t="n">
        <x:v>1.87279</x:v>
      </x:c>
      <x:c r="X1954" s="38" t="n">
        <x:v>0</x:v>
      </x:c>
      <x:c r="Y1954" s="38" t="n">
        <x:v>0.6272579250000001</x:v>
      </x:c>
      <x:c r="Z1954" s="38" t="n">
        <x:v>0.7123999999999999</x:v>
      </x:c>
      <x:c r="AA1954" s="38" t="n">
        <x:v>0.29455000000000003</x:v>
      </x:c>
      <x:c r="AB1954" s="38" t="n">
        <x:v>0.007672000000000001</x:v>
      </x:c>
      <x:c r="AC1954" s="38" t="n">
        <x:v>0.6670495750000004</x:v>
      </x:c>
      <x:c r="AD1954" s="28" t="n">
        <x:v>0.1595156191131424</x:v>
      </x:c>
    </x:row>
    <x:row r="1955">
      <x:c r="A1955" s="32" t="n">
        <x:v>46342</x:v>
      </x:c>
      <x:c r="B1955" s="32" t="n">
        <x:v>46327</x:v>
      </x:c>
      <x:c r="C1955" t="str">
        <x:v>Nov 2026</x:v>
      </x:c>
      <x:c r="D1955" t="str">
        <x:v>Forecast</x:v>
      </x:c>
      <x:c r="E1955" t="str">
        <x:v>DB-103</x:v>
      </x:c>
      <x:c r="F1955" t="str">
        <x:v>EmberTrail Camp Mug</x:v>
      </x:c>
      <x:c r="G1955" t="str">
        <x:v>One-time purchase</x:v>
      </x:c>
      <x:c r="H1955" t="str">
        <x:v>Winter peak</x:v>
      </x:c>
      <x:c r="I1955" t="str">
        <x:v>Active</x:v>
      </x:c>
      <x:c r="J1955" t="str">
        <x:v>Wholesale</x:v>
      </x:c>
      <x:c r="K1955" t="str">
        <x:v>Retailer</x:v>
      </x:c>
      <x:c r="L1955" t="str">
        <x:v>All Geographies</x:v>
      </x:c>
      <x:c r="M1955" s="34" t="n">
        <x:v>2152</x:v>
      </x:c>
      <x:c r="N1955" s="28" t="n">
        <x:v>0.017820000000000003</x:v>
      </x:c>
      <x:c r="O1955" s="34" t="n">
        <x:v>38</x:v>
      </x:c>
      <x:c r="P1955" s="34" t="n">
        <x:v>1</x:v>
      </x:c>
      <x:c r="Q1955" s="34" t="n">
        <x:v>38</x:v>
      </x:c>
      <x:c r="R1955" s="33" t="n">
        <x:v>34</x:v>
      </x:c>
      <x:c r="S1955" s="38" t="n">
        <x:v>1.292</x:v>
      </x:c>
      <x:c r="T1955" s="38" t="n">
        <x:v>0.4522</x:v>
      </x:c>
      <x:c r="U1955" s="38" t="n">
        <x:v>0.04618900000000001</x:v>
      </x:c>
      <x:c r="V1955" s="38" t="n">
        <x:v>0.7936110000000001</x:v>
      </x:c>
      <x:c r="W1955" s="38" t="n">
        <x:v>0.51946</x:v>
      </x:c>
      <x:c r="X1955" s="38" t="n">
        <x:v>0</x:v>
      </x:c>
      <x:c r="Y1955" s="38" t="n">
        <x:v>0</x:v>
      </x:c>
      <x:c r="Z1955" s="38" t="n">
        <x:v>0.08739999999999999</x:v>
      </x:c>
      <x:c r="AA1955" s="38" t="n">
        <x:v>0.032299999999999995</x:v>
      </x:c>
      <x:c r="AB1955" s="38" t="n">
        <x:v>0.002128</x:v>
      </x:c>
      <x:c r="AC1955" s="38" t="n">
        <x:v>0.15232300000000007</x:v>
      </x:c>
      <x:c r="AD1955" s="28" t="n">
        <x:v>0.19193660370130966</x:v>
      </x:c>
    </x:row>
    <x:row r="1956">
      <x:c r="A1956" s="32" t="n">
        <x:v>46342</x:v>
      </x:c>
      <x:c r="B1956" s="32" t="n">
        <x:v>46327</x:v>
      </x:c>
      <x:c r="C1956" t="str">
        <x:v>Nov 2026</x:v>
      </x:c>
      <x:c r="D1956" t="str">
        <x:v>Forecast</x:v>
      </x:c>
      <x:c r="E1956" t="str">
        <x:v>DB-103</x:v>
      </x:c>
      <x:c r="F1956" t="str">
        <x:v>EmberTrail Camp Mug</x:v>
      </x:c>
      <x:c r="G1956" t="str">
        <x:v>One-time purchase</x:v>
      </x:c>
      <x:c r="H1956" t="str">
        <x:v>Winter peak</x:v>
      </x:c>
      <x:c r="I1956" t="str">
        <x:v>Active</x:v>
      </x:c>
      <x:c r="J1956" t="str">
        <x:v>TikTok Shop</x:v>
      </x:c>
      <x:c r="K1956" t="str">
        <x:v>Social Commerce</x:v>
      </x:c>
      <x:c r="L1956" t="str">
        <x:v>All Geographies</x:v>
      </x:c>
      <x:c r="M1956" s="34" t="n">
        <x:v>1434</x:v>
      </x:c>
      <x:c r="N1956" s="28" t="n">
        <x:v>0.040824</x:v>
      </x:c>
      <x:c r="O1956" s="34" t="n">
        <x:v>59</x:v>
      </x:c>
      <x:c r="P1956" s="34" t="n">
        <x:v>1</x:v>
      </x:c>
      <x:c r="Q1956" s="34" t="n">
        <x:v>59</x:v>
      </x:c>
      <x:c r="R1956" s="33" t="n">
        <x:v>34</x:v>
      </x:c>
      <x:c r="S1956" s="38" t="n">
        <x:v>2.006</x:v>
      </x:c>
      <x:c r="T1956" s="38" t="n">
        <x:v>0.24071999999999996</x:v>
      </x:c>
      <x:c r="U1956" s="38" t="n">
        <x:v>0.09709039999999998</x:v>
      </x:c>
      <x:c r="V1956" s="38" t="n">
        <x:v>1.6681895999999998</x:v>
      </x:c>
      <x:c r="W1956" s="38" t="n">
        <x:v>0.80653</x:v>
      </x:c>
      <x:c r="X1956" s="38" t="n">
        <x:v>0.048377498399999996</x:v>
      </x:c>
      <x:c r="Y1956" s="38" t="n">
        <x:v>0.10009137599999998</x:v>
      </x:c>
      <x:c r="Z1956" s="38" t="n">
        <x:v>0.3009</x:v>
      </x:c>
      <x:c r="AA1956" s="38" t="n">
        <x:v>0.10325</x:v>
      </x:c>
      <x:c r="AB1956" s="38" t="n">
        <x:v>0.003304</x:v>
      </x:c>
      <x:c r="AC1956" s="38" t="n">
        <x:v>0.30573672559999987</x:v>
      </x:c>
      <x:c r="AD1956" s="28" t="n">
        <x:v>0.1832745663922134</x:v>
      </x:c>
    </x:row>
    <x:row r="1957">
      <x:c r="A1957" s="32" t="n">
        <x:v>46342</x:v>
      </x:c>
      <x:c r="B1957" s="32" t="n">
        <x:v>46327</x:v>
      </x:c>
      <x:c r="C1957" t="str">
        <x:v>Nov 2026</x:v>
      </x:c>
      <x:c r="D1957" t="str">
        <x:v>Forecast</x:v>
      </x:c>
      <x:c r="E1957" t="str">
        <x:v>DB-104</x:v>
      </x:c>
      <x:c r="F1957" t="str">
        <x:v>SunNest Cooling Towel</x:v>
      </x:c>
      <x:c r="G1957" t="str">
        <x:v>Consumable repeat</x:v>
      </x:c>
      <x:c r="H1957" t="str">
        <x:v>Summer peak</x:v>
      </x:c>
      <x:c r="I1957" t="str">
        <x:v>Discontinued</x:v>
      </x:c>
      <x:c r="J1957" t="str">
        <x:v>Shopify DTC</x:v>
      </x:c>
      <x:c r="K1957" t="str">
        <x:v>Consumer</x:v>
      </x:c>
      <x:c r="L1957" t="str">
        <x:v>All Geographies</x:v>
      </x:c>
      <x:c r="M1957" s="34" t="n">
        <x:v>0</x:v>
      </x:c>
      <x:c r="N1957" s="28" t="n">
        <x:v>0.03312</x:v>
      </x:c>
      <x:c r="O1957" s="34" t="n">
        <x:v>0</x:v>
      </x:c>
      <x:c r="P1957" s="34" t="n">
        <x:v>1</x:v>
      </x:c>
      <x:c r="Q1957" s="34" t="n">
        <x:v>0</x:v>
      </x:c>
      <x:c r="R1957" s="33" t="n">
        <x:v>42</x:v>
      </x:c>
      <x:c r="S1957" s="38" t="n">
        <x:v>0</x:v>
      </x:c>
      <x:c r="T1957" s="38" t="n">
        <x:v>0</x:v>
      </x:c>
      <x:c r="U1957" s="38" t="n">
        <x:v>0</x:v>
      </x:c>
      <x:c r="V1957" s="38" t="n">
        <x:v>0</x:v>
      </x:c>
      <x:c r="W1957" s="38" t="n">
        <x:v>0</x:v>
      </x:c>
      <x:c r="X1957" s="38" t="n">
        <x:v>0</x:v>
      </x:c>
      <x:c r="Y1957" s="38" t="n">
        <x:v>0</x:v>
      </x:c>
      <x:c r="Z1957" s="38" t="n">
        <x:v>0</x:v>
      </x:c>
      <x:c r="AA1957" s="38" t="n">
        <x:v>0</x:v>
      </x:c>
      <x:c r="AB1957" s="38" t="n">
        <x:v>0</x:v>
      </x:c>
      <x:c r="AC1957" s="38" t="n">
        <x:v>0</x:v>
      </x:c>
      <x:c r="AD1957" s="28" t="n">
        <x:v>0</x:v>
      </x:c>
    </x:row>
    <x:row r="1958">
      <x:c r="A1958" s="32" t="n">
        <x:v>46342</x:v>
      </x:c>
      <x:c r="B1958" s="32" t="n">
        <x:v>46327</x:v>
      </x:c>
      <x:c r="C1958" t="str">
        <x:v>Nov 2026</x:v>
      </x:c>
      <x:c r="D1958" t="str">
        <x:v>Forecast</x:v>
      </x:c>
      <x:c r="E1958" t="str">
        <x:v>DB-104</x:v>
      </x:c>
      <x:c r="F1958" t="str">
        <x:v>SunNest Cooling Towel</x:v>
      </x:c>
      <x:c r="G1958" t="str">
        <x:v>Consumable repeat</x:v>
      </x:c>
      <x:c r="H1958" t="str">
        <x:v>Summer peak</x:v>
      </x:c>
      <x:c r="I1958" t="str">
        <x:v>Discontinued</x:v>
      </x:c>
      <x:c r="J1958" t="str">
        <x:v>Amazon Marketplace</x:v>
      </x:c>
      <x:c r="K1958" t="str">
        <x:v>Marketplace Consumer</x:v>
      </x:c>
      <x:c r="L1958" t="str">
        <x:v>All Geographies</x:v>
      </x:c>
      <x:c r="M1958" s="34" t="n">
        <x:v>0</x:v>
      </x:c>
      <x:c r="N1958" s="28" t="n">
        <x:v>0.0390816</x:v>
      </x:c>
      <x:c r="O1958" s="34" t="n">
        <x:v>0</x:v>
      </x:c>
      <x:c r="P1958" s="34" t="n">
        <x:v>1</x:v>
      </x:c>
      <x:c r="Q1958" s="34" t="n">
        <x:v>0</x:v>
      </x:c>
      <x:c r="R1958" s="33" t="n">
        <x:v>42</x:v>
      </x:c>
      <x:c r="S1958" s="38" t="n">
        <x:v>0</x:v>
      </x:c>
      <x:c r="T1958" s="38" t="n">
        <x:v>0</x:v>
      </x:c>
      <x:c r="U1958" s="38" t="n">
        <x:v>0</x:v>
      </x:c>
      <x:c r="V1958" s="38" t="n">
        <x:v>0</x:v>
      </x:c>
      <x:c r="W1958" s="38" t="n">
        <x:v>0</x:v>
      </x:c>
      <x:c r="X1958" s="38" t="n">
        <x:v>0</x:v>
      </x:c>
      <x:c r="Y1958" s="38" t="n">
        <x:v>0</x:v>
      </x:c>
      <x:c r="Z1958" s="38" t="n">
        <x:v>0</x:v>
      </x:c>
      <x:c r="AA1958" s="38" t="n">
        <x:v>0</x:v>
      </x:c>
      <x:c r="AB1958" s="38" t="n">
        <x:v>0</x:v>
      </x:c>
      <x:c r="AC1958" s="38" t="n">
        <x:v>0</x:v>
      </x:c>
      <x:c r="AD1958" s="28" t="n">
        <x:v>0</x:v>
      </x:c>
    </x:row>
    <x:row r="1959">
      <x:c r="A1959" s="32" t="n">
        <x:v>46342</x:v>
      </x:c>
      <x:c r="B1959" s="32" t="n">
        <x:v>46327</x:v>
      </x:c>
      <x:c r="C1959" t="str">
        <x:v>Nov 2026</x:v>
      </x:c>
      <x:c r="D1959" t="str">
        <x:v>Forecast</x:v>
      </x:c>
      <x:c r="E1959" t="str">
        <x:v>DB-104</x:v>
      </x:c>
      <x:c r="F1959" t="str">
        <x:v>SunNest Cooling Towel</x:v>
      </x:c>
      <x:c r="G1959" t="str">
        <x:v>Consumable repeat</x:v>
      </x:c>
      <x:c r="H1959" t="str">
        <x:v>Summer peak</x:v>
      </x:c>
      <x:c r="I1959" t="str">
        <x:v>Discontinued</x:v>
      </x:c>
      <x:c r="J1959" t="str">
        <x:v>Wholesale</x:v>
      </x:c>
      <x:c r="K1959" t="str">
        <x:v>Retailer</x:v>
      </x:c>
      <x:c r="L1959" t="str">
        <x:v>All Geographies</x:v>
      </x:c>
      <x:c r="M1959" s="34" t="n">
        <x:v>0</x:v>
      </x:c>
      <x:c r="N1959" s="28" t="n">
        <x:v>0.018216000000000003</x:v>
      </x:c>
      <x:c r="O1959" s="34" t="n">
        <x:v>0</x:v>
      </x:c>
      <x:c r="P1959" s="34" t="n">
        <x:v>1</x:v>
      </x:c>
      <x:c r="Q1959" s="34" t="n">
        <x:v>0</x:v>
      </x:c>
      <x:c r="R1959" s="33" t="n">
        <x:v>42</x:v>
      </x:c>
      <x:c r="S1959" s="38" t="n">
        <x:v>0</x:v>
      </x:c>
      <x:c r="T1959" s="38" t="n">
        <x:v>0</x:v>
      </x:c>
      <x:c r="U1959" s="38" t="n">
        <x:v>0</x:v>
      </x:c>
      <x:c r="V1959" s="38" t="n">
        <x:v>0</x:v>
      </x:c>
      <x:c r="W1959" s="38" t="n">
        <x:v>0</x:v>
      </x:c>
      <x:c r="X1959" s="38" t="n">
        <x:v>0</x:v>
      </x:c>
      <x:c r="Y1959" s="38" t="n">
        <x:v>0</x:v>
      </x:c>
      <x:c r="Z1959" s="38" t="n">
        <x:v>0</x:v>
      </x:c>
      <x:c r="AA1959" s="38" t="n">
        <x:v>0</x:v>
      </x:c>
      <x:c r="AB1959" s="38" t="n">
        <x:v>0</x:v>
      </x:c>
      <x:c r="AC1959" s="38" t="n">
        <x:v>0</x:v>
      </x:c>
      <x:c r="AD1959" s="28" t="n">
        <x:v>0</x:v>
      </x:c>
    </x:row>
    <x:row r="1960">
      <x:c r="A1960" s="32" t="n">
        <x:v>46342</x:v>
      </x:c>
      <x:c r="B1960" s="32" t="n">
        <x:v>46327</x:v>
      </x:c>
      <x:c r="C1960" t="str">
        <x:v>Nov 2026</x:v>
      </x:c>
      <x:c r="D1960" t="str">
        <x:v>Forecast</x:v>
      </x:c>
      <x:c r="E1960" t="str">
        <x:v>DB-104</x:v>
      </x:c>
      <x:c r="F1960" t="str">
        <x:v>SunNest Cooling Towel</x:v>
      </x:c>
      <x:c r="G1960" t="str">
        <x:v>Consumable repeat</x:v>
      </x:c>
      <x:c r="H1960" t="str">
        <x:v>Summer peak</x:v>
      </x:c>
      <x:c r="I1960" t="str">
        <x:v>Discontinued</x:v>
      </x:c>
      <x:c r="J1960" t="str">
        <x:v>TikTok Shop</x:v>
      </x:c>
      <x:c r="K1960" t="str">
        <x:v>Social Commerce</x:v>
      </x:c>
      <x:c r="L1960" t="str">
        <x:v>All Geographies</x:v>
      </x:c>
      <x:c r="M1960" s="34" t="n">
        <x:v>0</x:v>
      </x:c>
      <x:c r="N1960" s="28" t="n">
        <x:v>0.0417312</x:v>
      </x:c>
      <x:c r="O1960" s="34" t="n">
        <x:v>0</x:v>
      </x:c>
      <x:c r="P1960" s="34" t="n">
        <x:v>1</x:v>
      </x:c>
      <x:c r="Q1960" s="34" t="n">
        <x:v>0</x:v>
      </x:c>
      <x:c r="R1960" s="33" t="n">
        <x:v>42</x:v>
      </x:c>
      <x:c r="S1960" s="38" t="n">
        <x:v>0</x:v>
      </x:c>
      <x:c r="T1960" s="38" t="n">
        <x:v>0</x:v>
      </x:c>
      <x:c r="U1960" s="38" t="n">
        <x:v>0</x:v>
      </x:c>
      <x:c r="V1960" s="38" t="n">
        <x:v>0</x:v>
      </x:c>
      <x:c r="W1960" s="38" t="n">
        <x:v>0</x:v>
      </x:c>
      <x:c r="X1960" s="38" t="n">
        <x:v>0</x:v>
      </x:c>
      <x:c r="Y1960" s="38" t="n">
        <x:v>0</x:v>
      </x:c>
      <x:c r="Z1960" s="38" t="n">
        <x:v>0</x:v>
      </x:c>
      <x:c r="AA1960" s="38" t="n">
        <x:v>0</x:v>
      </x:c>
      <x:c r="AB1960" s="38" t="n">
        <x:v>0</x:v>
      </x:c>
      <x:c r="AC1960" s="38" t="n">
        <x:v>0</x:v>
      </x:c>
      <x:c r="AD1960" s="28" t="n">
        <x:v>0</x:v>
      </x:c>
    </x:row>
    <x:row r="1961">
      <x:c r="A1961" s="32" t="n">
        <x:v>46342</x:v>
      </x:c>
      <x:c r="B1961" s="32" t="n">
        <x:v>46327</x:v>
      </x:c>
      <x:c r="C1961" t="str">
        <x:v>Nov 2026</x:v>
      </x:c>
      <x:c r="D1961" t="str">
        <x:v>Forecast</x:v>
      </x:c>
      <x:c r="E1961" t="str">
        <x:v>DB-105</x:v>
      </x:c>
      <x:c r="F1961" t="str">
        <x:v>DreamFuel Refill Pack</x:v>
      </x:c>
      <x:c r="G1961" t="str">
        <x:v>Subscription</x:v>
      </x:c>
      <x:c r="H1961" t="str">
        <x:v>None</x:v>
      </x:c>
      <x:c r="I1961" t="str">
        <x:v>Active</x:v>
      </x:c>
      <x:c r="J1961" t="str">
        <x:v>Shopify DTC</x:v>
      </x:c>
      <x:c r="K1961" t="str">
        <x:v>Consumer</x:v>
      </x:c>
      <x:c r="L1961" t="str">
        <x:v>All Geographies</x:v>
      </x:c>
      <x:c r="M1961" s="34" t="n">
        <x:v>5051</x:v>
      </x:c>
      <x:c r="N1961" s="28" t="n">
        <x:v>0.03888</x:v>
      </x:c>
      <x:c r="O1961" s="34" t="n">
        <x:v>196</x:v>
      </x:c>
      <x:c r="P1961" s="34" t="n">
        <x:v>1</x:v>
      </x:c>
      <x:c r="Q1961" s="34" t="n">
        <x:v>196</x:v>
      </x:c>
      <x:c r="R1961" s="33" t="n">
        <x:v>56</x:v>
      </x:c>
      <x:c r="S1961" s="38" t="n">
        <x:v>10.976</x:v>
      </x:c>
      <x:c r="T1961" s="38" t="n">
        <x:v>0.8780800000000001</x:v>
      </x:c>
      <x:c r="U1961" s="38" t="n">
        <x:v>0.2019584</x:v>
      </x:c>
      <x:c r="V1961" s="38" t="n">
        <x:v>9.8959616</x:v>
      </x:c>
      <x:c r="W1961" s="38" t="n">
        <x:v>3.64952</x:v>
      </x:c>
      <x:c r="X1961" s="38" t="n">
        <x:v>0.2869828864</x:v>
      </x:c>
      <x:c r="Y1961" s="38" t="n">
        <x:v>0</x:v>
      </x:c>
      <x:c r="Z1961" s="38" t="n">
        <x:v>0.8134000000000001</x:v>
      </x:c>
      <x:c r="AA1961" s="38" t="n">
        <x:v>0.32339999999999997</x:v>
      </x:c>
      <x:c r="AB1961" s="38" t="n">
        <x:v>0.0007055999999999999</x:v>
      </x:c>
      <x:c r="AC1961" s="38" t="n">
        <x:v>4.8219531136</x:v>
      </x:c>
      <x:c r="AD1961" s="28" t="n">
        <x:v>0.4872647357079478</x:v>
      </x:c>
    </x:row>
    <x:row r="1962">
      <x:c r="A1962" s="32" t="n">
        <x:v>46342</x:v>
      </x:c>
      <x:c r="B1962" s="32" t="n">
        <x:v>46327</x:v>
      </x:c>
      <x:c r="C1962" t="str">
        <x:v>Nov 2026</x:v>
      </x:c>
      <x:c r="D1962" t="str">
        <x:v>Forecast</x:v>
      </x:c>
      <x:c r="E1962" t="str">
        <x:v>DB-105</x:v>
      </x:c>
      <x:c r="F1962" t="str">
        <x:v>DreamFuel Refill Pack</x:v>
      </x:c>
      <x:c r="G1962" t="str">
        <x:v>Subscription</x:v>
      </x:c>
      <x:c r="H1962" t="str">
        <x:v>None</x:v>
      </x:c>
      <x:c r="I1962" t="str">
        <x:v>Active</x:v>
      </x:c>
      <x:c r="J1962" t="str">
        <x:v>Amazon Marketplace</x:v>
      </x:c>
      <x:c r="K1962" t="str">
        <x:v>Marketplace Consumer</x:v>
      </x:c>
      <x:c r="L1962" t="str">
        <x:v>All Geographies</x:v>
      </x:c>
      <x:c r="M1962" s="34" t="n">
        <x:v>2525</x:v>
      </x:c>
      <x:c r="N1962" s="28" t="n">
        <x:v>0.0458784</x:v>
      </x:c>
      <x:c r="O1962" s="34" t="n">
        <x:v>116</x:v>
      </x:c>
      <x:c r="P1962" s="34" t="n">
        <x:v>1</x:v>
      </x:c>
      <x:c r="Q1962" s="34" t="n">
        <x:v>116</x:v>
      </x:c>
      <x:c r="R1962" s="33" t="n">
        <x:v>56</x:v>
      </x:c>
      <x:c r="S1962" s="38" t="n">
        <x:v>6.496</x:v>
      </x:c>
      <x:c r="T1962" s="38" t="n">
        <x:v>0.32480000000000003</x:v>
      </x:c>
      <x:c r="U1962" s="38" t="n">
        <x:v>0.12342400000000002</x:v>
      </x:c>
      <x:c r="V1962" s="38" t="n">
        <x:v>6.047776000000001</x:v>
      </x:c>
      <x:c r="W1962" s="38" t="n">
        <x:v>2.15992</x:v>
      </x:c>
      <x:c r="X1962" s="38" t="n">
        <x:v>0</x:v>
      </x:c>
      <x:c r="Y1962" s="38" t="n">
        <x:v>0.9071664</x:v>
      </x:c>
      <x:c r="Z1962" s="38" t="n">
        <x:v>0.6032000000000001</x:v>
      </x:c>
      <x:c r="AA1962" s="38" t="n">
        <x:v>0.24939999999999998</x:v>
      </x:c>
      <x:c r="AB1962" s="38" t="n">
        <x:v>0.0004176</x:v>
      </x:c>
      <x:c r="AC1962" s="38" t="n">
        <x:v>2.1276720000000005</x:v>
      </x:c>
      <x:c r="AD1962" s="28" t="n">
        <x:v>0.35181064907165877</x:v>
      </x:c>
    </x:row>
    <x:row r="1963">
      <x:c r="A1963" s="32" t="n">
        <x:v>46342</x:v>
      </x:c>
      <x:c r="B1963" s="32" t="n">
        <x:v>46327</x:v>
      </x:c>
      <x:c r="C1963" t="str">
        <x:v>Nov 2026</x:v>
      </x:c>
      <x:c r="D1963" t="str">
        <x:v>Forecast</x:v>
      </x:c>
      <x:c r="E1963" t="str">
        <x:v>DB-105</x:v>
      </x:c>
      <x:c r="F1963" t="str">
        <x:v>DreamFuel Refill Pack</x:v>
      </x:c>
      <x:c r="G1963" t="str">
        <x:v>Subscription</x:v>
      </x:c>
      <x:c r="H1963" t="str">
        <x:v>None</x:v>
      </x:c>
      <x:c r="I1963" t="str">
        <x:v>Active</x:v>
      </x:c>
      <x:c r="J1963" t="str">
        <x:v>Wholesale</x:v>
      </x:c>
      <x:c r="K1963" t="str">
        <x:v>Retailer</x:v>
      </x:c>
      <x:c r="L1963" t="str">
        <x:v>All Geographies</x:v>
      </x:c>
      <x:c r="M1963" s="34" t="n">
        <x:v>1515</x:v>
      </x:c>
      <x:c r="N1963" s="28" t="n">
        <x:v>0.021384000000000004</x:v>
      </x:c>
      <x:c r="O1963" s="34" t="n">
        <x:v>32</x:v>
      </x:c>
      <x:c r="P1963" s="34" t="n">
        <x:v>1</x:v>
      </x:c>
      <x:c r="Q1963" s="34" t="n">
        <x:v>32</x:v>
      </x:c>
      <x:c r="R1963" s="33" t="n">
        <x:v>56</x:v>
      </x:c>
      <x:c r="S1963" s="38" t="n">
        <x:v>1.792</x:v>
      </x:c>
      <x:c r="T1963" s="38" t="n">
        <x:v>0.6272</x:v>
      </x:c>
      <x:c r="U1963" s="38" t="n">
        <x:v>0.023296</x:v>
      </x:c>
      <x:c r="V1963" s="38" t="n">
        <x:v>1.141504</x:v>
      </x:c>
      <x:c r="W1963" s="38" t="n">
        <x:v>0.59584</x:v>
      </x:c>
      <x:c r="X1963" s="38" t="n">
        <x:v>0</x:v>
      </x:c>
      <x:c r="Y1963" s="38" t="n">
        <x:v>0</x:v>
      </x:c>
      <x:c r="Z1963" s="38" t="n">
        <x:v>0.0736</x:v>
      </x:c>
      <x:c r="AA1963" s="38" t="n">
        <x:v>0.0272</x:v>
      </x:c>
      <x:c r="AB1963" s="38" t="n">
        <x:v>0.0001152</x:v>
      </x:c>
      <x:c r="AC1963" s="38" t="n">
        <x:v>0.44474880000000006</x:v>
      </x:c>
      <x:c r="AD1963" s="28" t="n">
        <x:v>0.3896165059430366</x:v>
      </x:c>
    </x:row>
    <x:row r="1964">
      <x:c r="A1964" s="32" t="n">
        <x:v>46342</x:v>
      </x:c>
      <x:c r="B1964" s="32" t="n">
        <x:v>46327</x:v>
      </x:c>
      <x:c r="C1964" t="str">
        <x:v>Nov 2026</x:v>
      </x:c>
      <x:c r="D1964" t="str">
        <x:v>Forecast</x:v>
      </x:c>
      <x:c r="E1964" t="str">
        <x:v>DB-105</x:v>
      </x:c>
      <x:c r="F1964" t="str">
        <x:v>DreamFuel Refill Pack</x:v>
      </x:c>
      <x:c r="G1964" t="str">
        <x:v>Subscription</x:v>
      </x:c>
      <x:c r="H1964" t="str">
        <x:v>None</x:v>
      </x:c>
      <x:c r="I1964" t="str">
        <x:v>Active</x:v>
      </x:c>
      <x:c r="J1964" t="str">
        <x:v>TikTok Shop</x:v>
      </x:c>
      <x:c r="K1964" t="str">
        <x:v>Social Commerce</x:v>
      </x:c>
      <x:c r="L1964" t="str">
        <x:v>All Geographies</x:v>
      </x:c>
      <x:c r="M1964" s="34" t="n">
        <x:v>1010</x:v>
      </x:c>
      <x:c r="N1964" s="28" t="n">
        <x:v>0.0489888</x:v>
      </x:c>
      <x:c r="O1964" s="34" t="n">
        <x:v>49</x:v>
      </x:c>
      <x:c r="P1964" s="34" t="n">
        <x:v>1</x:v>
      </x:c>
      <x:c r="Q1964" s="34" t="n">
        <x:v>49</x:v>
      </x:c>
      <x:c r="R1964" s="33" t="n">
        <x:v>56</x:v>
      </x:c>
      <x:c r="S1964" s="38" t="n">
        <x:v>2.744</x:v>
      </x:c>
      <x:c r="T1964" s="38" t="n">
        <x:v>0.32928</x:v>
      </x:c>
      <x:c r="U1964" s="38" t="n">
        <x:v>0.0482944</x:v>
      </x:c>
      <x:c r="V1964" s="38" t="n">
        <x:v>2.3664256</x:v>
      </x:c>
      <x:c r="W1964" s="38" t="n">
        <x:v>0.91238</x:v>
      </x:c>
      <x:c r="X1964" s="38" t="n">
        <x:v>0.0686263424</x:v>
      </x:c>
      <x:c r="Y1964" s="38" t="n">
        <x:v>0.141985536</x:v>
      </x:c>
      <x:c r="Z1964" s="38" t="n">
        <x:v>0.24989999999999998</x:v>
      </x:c>
      <x:c r="AA1964" s="38" t="n">
        <x:v>0.08575</x:v>
      </x:c>
      <x:c r="AB1964" s="38" t="n">
        <x:v>0.00017639999999999998</x:v>
      </x:c>
      <x:c r="AC1964" s="38" t="n">
        <x:v>0.9076073216</x:v>
      </x:c>
      <x:c r="AD1964" s="28" t="n">
        <x:v>0.3835351179432812</x:v>
      </x:c>
    </x:row>
    <x:row r="1965">
      <x:c r="A1965" s="32" t="n">
        <x:v>46349</x:v>
      </x:c>
      <x:c r="B1965" s="32" t="n">
        <x:v>46327</x:v>
      </x:c>
      <x:c r="C1965" t="str">
        <x:v>Nov 2026</x:v>
      </x:c>
      <x:c r="D1965" t="str">
        <x:v>Forecast</x:v>
      </x:c>
      <x:c r="E1965" t="str">
        <x:v>DB-101</x:v>
      </x:c>
      <x:c r="F1965" t="str">
        <x:v>AeroSip Bottle</x:v>
      </x:c>
      <x:c r="G1965" t="str">
        <x:v>One-time purchase</x:v>
      </x:c>
      <x:c r="H1965" t="str">
        <x:v>None</x:v>
      </x:c>
      <x:c r="I1965" t="str">
        <x:v>Active</x:v>
      </x:c>
      <x:c r="J1965" t="str">
        <x:v>Shopify DTC</x:v>
      </x:c>
      <x:c r="K1965" t="str">
        <x:v>Consumer</x:v>
      </x:c>
      <x:c r="L1965" t="str">
        <x:v>All Geographies</x:v>
      </x:c>
      <x:c r="M1965" s="34" t="n">
        <x:v>7296</x:v>
      </x:c>
      <x:c r="N1965" s="28" t="n">
        <x:v>0.034199999999999994</x:v>
      </x:c>
      <x:c r="O1965" s="34" t="n">
        <x:v>250</x:v>
      </x:c>
      <x:c r="P1965" s="34" t="n">
        <x:v>1</x:v>
      </x:c>
      <x:c r="Q1965" s="34" t="n">
        <x:v>250</x:v>
      </x:c>
      <x:c r="R1965" s="33" t="n">
        <x:v>29</x:v>
      </x:c>
      <x:c r="S1965" s="38" t="n">
        <x:v>7.25</x:v>
      </x:c>
      <x:c r="T1965" s="38" t="n">
        <x:v>0.58</x:v>
      </x:c>
      <x:c r="U1965" s="38" t="n">
        <x:v>0.30015</x:v>
      </x:c>
      <x:c r="V1965" s="38" t="n">
        <x:v>6.36985</x:v>
      </x:c>
      <x:c r="W1965" s="38" t="n">
        <x:v>2.7</x:v>
      </x:c>
      <x:c r="X1965" s="38" t="n">
        <x:v>0.18472565</x:v>
      </x:c>
      <x:c r="Y1965" s="38" t="n">
        <x:v>0</x:v>
      </x:c>
      <x:c r="Z1965" s="38" t="n">
        <x:v>1.0375</x:v>
      </x:c>
      <x:c r="AA1965" s="38" t="n">
        <x:v>0.4125</x:v>
      </x:c>
      <x:c r="AB1965" s="38" t="n">
        <x:v>0.009</x:v>
      </x:c>
      <x:c r="AC1965" s="38" t="n">
        <x:v>2.0261243499999995</x:v>
      </x:c>
      <x:c r="AD1965" s="28" t="n">
        <x:v>0.31808038650831644</x:v>
      </x:c>
    </x:row>
    <x:row r="1966">
      <x:c r="A1966" s="32" t="n">
        <x:v>46349</x:v>
      </x:c>
      <x:c r="B1966" s="32" t="n">
        <x:v>46327</x:v>
      </x:c>
      <x:c r="C1966" t="str">
        <x:v>Nov 2026</x:v>
      </x:c>
      <x:c r="D1966" t="str">
        <x:v>Forecast</x:v>
      </x:c>
      <x:c r="E1966" t="str">
        <x:v>DB-101</x:v>
      </x:c>
      <x:c r="F1966" t="str">
        <x:v>AeroSip Bottle</x:v>
      </x:c>
      <x:c r="G1966" t="str">
        <x:v>One-time purchase</x:v>
      </x:c>
      <x:c r="H1966" t="str">
        <x:v>None</x:v>
      </x:c>
      <x:c r="I1966" t="str">
        <x:v>Active</x:v>
      </x:c>
      <x:c r="J1966" t="str">
        <x:v>Amazon Marketplace</x:v>
      </x:c>
      <x:c r="K1966" t="str">
        <x:v>Marketplace Consumer</x:v>
      </x:c>
      <x:c r="L1966" t="str">
        <x:v>All Geographies</x:v>
      </x:c>
      <x:c r="M1966" s="34" t="n">
        <x:v>3648</x:v>
      </x:c>
      <x:c r="N1966" s="28" t="n">
        <x:v>0.040355999999999996</x:v>
      </x:c>
      <x:c r="O1966" s="34" t="n">
        <x:v>147</x:v>
      </x:c>
      <x:c r="P1966" s="34" t="n">
        <x:v>1</x:v>
      </x:c>
      <x:c r="Q1966" s="34" t="n">
        <x:v>147</x:v>
      </x:c>
      <x:c r="R1966" s="33" t="n">
        <x:v>29</x:v>
      </x:c>
      <x:c r="S1966" s="38" t="n">
        <x:v>4.263</x:v>
      </x:c>
      <x:c r="T1966" s="38" t="n">
        <x:v>0.21315</x:v>
      </x:c>
      <x:c r="U1966" s="38" t="n">
        <x:v>0.18224325</x:v>
      </x:c>
      <x:c r="V1966" s="38" t="n">
        <x:v>3.86760675</x:v>
      </x:c>
      <x:c r="W1966" s="38" t="n">
        <x:v>1.5876000000000001</x:v>
      </x:c>
      <x:c r="X1966" s="38" t="n">
        <x:v>0</x:v>
      </x:c>
      <x:c r="Y1966" s="38" t="n">
        <x:v>0.5801410125</x:v>
      </x:c>
      <x:c r="Z1966" s="38" t="n">
        <x:v>0.7644</x:v>
      </x:c>
      <x:c r="AA1966" s="38" t="n">
        <x:v>0.31605</x:v>
      </x:c>
      <x:c r="AB1966" s="38" t="n">
        <x:v>0.005292</x:v>
      </x:c>
      <x:c r="AC1966" s="38" t="n">
        <x:v>0.6141237375000003</x:v>
      </x:c>
      <x:c r="AD1966" s="28" t="n">
        <x:v>0.15878649955815705</x:v>
      </x:c>
    </x:row>
    <x:row r="1967">
      <x:c r="A1967" s="32" t="n">
        <x:v>46349</x:v>
      </x:c>
      <x:c r="B1967" s="32" t="n">
        <x:v>46327</x:v>
      </x:c>
      <x:c r="C1967" t="str">
        <x:v>Nov 2026</x:v>
      </x:c>
      <x:c r="D1967" t="str">
        <x:v>Forecast</x:v>
      </x:c>
      <x:c r="E1967" t="str">
        <x:v>DB-101</x:v>
      </x:c>
      <x:c r="F1967" t="str">
        <x:v>AeroSip Bottle</x:v>
      </x:c>
      <x:c r="G1967" t="str">
        <x:v>One-time purchase</x:v>
      </x:c>
      <x:c r="H1967" t="str">
        <x:v>None</x:v>
      </x:c>
      <x:c r="I1967" t="str">
        <x:v>Active</x:v>
      </x:c>
      <x:c r="J1967" t="str">
        <x:v>Wholesale</x:v>
      </x:c>
      <x:c r="K1967" t="str">
        <x:v>Retailer</x:v>
      </x:c>
      <x:c r="L1967" t="str">
        <x:v>All Geographies</x:v>
      </x:c>
      <x:c r="M1967" s="34" t="n">
        <x:v>2189</x:v>
      </x:c>
      <x:c r="N1967" s="28" t="n">
        <x:v>0.01881</x:v>
      </x:c>
      <x:c r="O1967" s="34" t="n">
        <x:v>41</x:v>
      </x:c>
      <x:c r="P1967" s="34" t="n">
        <x:v>1</x:v>
      </x:c>
      <x:c r="Q1967" s="34" t="n">
        <x:v>41</x:v>
      </x:c>
      <x:c r="R1967" s="33" t="n">
        <x:v>29</x:v>
      </x:c>
      <x:c r="S1967" s="38" t="n">
        <x:v>1.189</x:v>
      </x:c>
      <x:c r="T1967" s="38" t="n">
        <x:v>0.41615</x:v>
      </x:c>
      <x:c r="U1967" s="38" t="n">
        <x:v>0.034778250000000004</x:v>
      </x:c>
      <x:c r="V1967" s="38" t="n">
        <x:v>0.73807175</x:v>
      </x:c>
      <x:c r="W1967" s="38" t="n">
        <x:v>0.4428</x:v>
      </x:c>
      <x:c r="X1967" s="38" t="n">
        <x:v>0</x:v>
      </x:c>
      <x:c r="Y1967" s="38" t="n">
        <x:v>0</x:v>
      </x:c>
      <x:c r="Z1967" s="38" t="n">
        <x:v>0.0943</x:v>
      </x:c>
      <x:c r="AA1967" s="38" t="n">
        <x:v>0.03485</x:v>
      </x:c>
      <x:c r="AB1967" s="38" t="n">
        <x:v>0.0014759999999999999</x:v>
      </x:c>
      <x:c r="AC1967" s="38" t="n">
        <x:v>0.16464575</x:v>
      </x:c>
      <x:c r="AD1967" s="28" t="n">
        <x:v>0.22307553432305194</x:v>
      </x:c>
    </x:row>
    <x:row r="1968">
      <x:c r="A1968" s="32" t="n">
        <x:v>46349</x:v>
      </x:c>
      <x:c r="B1968" s="32" t="n">
        <x:v>46327</x:v>
      </x:c>
      <x:c r="C1968" t="str">
        <x:v>Nov 2026</x:v>
      </x:c>
      <x:c r="D1968" t="str">
        <x:v>Forecast</x:v>
      </x:c>
      <x:c r="E1968" t="str">
        <x:v>DB-101</x:v>
      </x:c>
      <x:c r="F1968" t="str">
        <x:v>AeroSip Bottle</x:v>
      </x:c>
      <x:c r="G1968" t="str">
        <x:v>One-time purchase</x:v>
      </x:c>
      <x:c r="H1968" t="str">
        <x:v>None</x:v>
      </x:c>
      <x:c r="I1968" t="str">
        <x:v>Active</x:v>
      </x:c>
      <x:c r="J1968" t="str">
        <x:v>TikTok Shop</x:v>
      </x:c>
      <x:c r="K1968" t="str">
        <x:v>Social Commerce</x:v>
      </x:c>
      <x:c r="L1968" t="str">
        <x:v>All Geographies</x:v>
      </x:c>
      <x:c r="M1968" s="34" t="n">
        <x:v>1459</x:v>
      </x:c>
      <x:c r="N1968" s="28" t="n">
        <x:v>0.043092</x:v>
      </x:c>
      <x:c r="O1968" s="34" t="n">
        <x:v>63</x:v>
      </x:c>
      <x:c r="P1968" s="34" t="n">
        <x:v>1</x:v>
      </x:c>
      <x:c r="Q1968" s="34" t="n">
        <x:v>63</x:v>
      </x:c>
      <x:c r="R1968" s="33" t="n">
        <x:v>29</x:v>
      </x:c>
      <x:c r="S1968" s="38" t="n">
        <x:v>1.827</x:v>
      </x:c>
      <x:c r="T1968" s="38" t="n">
        <x:v>0.21924</x:v>
      </x:c>
      <x:c r="U1968" s="38" t="n">
        <x:v>0.07234919999999999</x:v>
      </x:c>
      <x:c r="V1968" s="38" t="n">
        <x:v>1.5354108</x:v>
      </x:c>
      <x:c r="W1968" s="38" t="n">
        <x:v>0.6804000000000001</x:v>
      </x:c>
      <x:c r="X1968" s="38" t="n">
        <x:v>0.044526913200000004</x:v>
      </x:c>
      <x:c r="Y1968" s="38" t="n">
        <x:v>0.09212464799999999</x:v>
      </x:c>
      <x:c r="Z1968" s="38" t="n">
        <x:v>0.3213</x:v>
      </x:c>
      <x:c r="AA1968" s="38" t="n">
        <x:v>0.11025</x:v>
      </x:c>
      <x:c r="AB1968" s="38" t="n">
        <x:v>0.0022679999999999996</x:v>
      </x:c>
      <x:c r="AC1968" s="38" t="n">
        <x:v>0.2845412387999999</x:v>
      </x:c>
      <x:c r="AD1968" s="28" t="n">
        <x:v>0.18531928966501987</x:v>
      </x:c>
    </x:row>
    <x:row r="1969">
      <x:c r="A1969" s="32" t="n">
        <x:v>46349</x:v>
      </x:c>
      <x:c r="B1969" s="32" t="n">
        <x:v>46327</x:v>
      </x:c>
      <x:c r="C1969" t="str">
        <x:v>Nov 2026</x:v>
      </x:c>
      <x:c r="D1969" t="str">
        <x:v>Forecast</x:v>
      </x:c>
      <x:c r="E1969" t="str">
        <x:v>DB-102</x:v>
      </x:c>
      <x:c r="F1969" t="str">
        <x:v>GlowPatch Balm</x:v>
      </x:c>
      <x:c r="G1969" t="str">
        <x:v>Consumable repeat</x:v>
      </x:c>
      <x:c r="H1969" t="str">
        <x:v>None</x:v>
      </x:c>
      <x:c r="I1969" t="str">
        <x:v>Active</x:v>
      </x:c>
      <x:c r="J1969" t="str">
        <x:v>Shopify DTC</x:v>
      </x:c>
      <x:c r="K1969" t="str">
        <x:v>Consumer</x:v>
      </x:c>
      <x:c r="L1969" t="str">
        <x:v>All Geographies</x:v>
      </x:c>
      <x:c r="M1969" s="34" t="n">
        <x:v>5893</x:v>
      </x:c>
      <x:c r="N1969" s="28" t="n">
        <x:v>0.04248</x:v>
      </x:c>
      <x:c r="O1969" s="34" t="n">
        <x:v>250</x:v>
      </x:c>
      <x:c r="P1969" s="34" t="n">
        <x:v>1</x:v>
      </x:c>
      <x:c r="Q1969" s="34" t="n">
        <x:v>250</x:v>
      </x:c>
      <x:c r="R1969" s="33" t="n">
        <x:v>18</x:v>
      </x:c>
      <x:c r="S1969" s="38" t="n">
        <x:v>4.5</x:v>
      </x:c>
      <x:c r="T1969" s="38" t="n">
        <x:v>0.36</x:v>
      </x:c>
      <x:c r="U1969" s="38" t="n">
        <x:v>0.1035</x:v>
      </x:c>
      <x:c r="V1969" s="38" t="n">
        <x:v>4.036499999999999</x:v>
      </x:c>
      <x:c r="W1969" s="38" t="n">
        <x:v>1.3525</x:v>
      </x:c>
      <x:c r="X1969" s="38" t="n">
        <x:v>0.11705849999999998</x:v>
      </x:c>
      <x:c r="Y1969" s="38" t="n">
        <x:v>0</x:v>
      </x:c>
      <x:c r="Z1969" s="38" t="n">
        <x:v>1.0375</x:v>
      </x:c>
      <x:c r="AA1969" s="38" t="n">
        <x:v>0.4125</x:v>
      </x:c>
      <x:c r="AB1969" s="38" t="n">
        <x:v>0.0015</x:v>
      </x:c>
      <x:c r="AC1969" s="38" t="n">
        <x:v>1.1154414999999989</x:v>
      </x:c>
      <x:c r="AD1969" s="28" t="n">
        <x:v>0.2763387835996529</x:v>
      </x:c>
    </x:row>
    <x:row r="1970">
      <x:c r="A1970" s="32" t="n">
        <x:v>46349</x:v>
      </x:c>
      <x:c r="B1970" s="32" t="n">
        <x:v>46327</x:v>
      </x:c>
      <x:c r="C1970" t="str">
        <x:v>Nov 2026</x:v>
      </x:c>
      <x:c r="D1970" t="str">
        <x:v>Forecast</x:v>
      </x:c>
      <x:c r="E1970" t="str">
        <x:v>DB-102</x:v>
      </x:c>
      <x:c r="F1970" t="str">
        <x:v>GlowPatch Balm</x:v>
      </x:c>
      <x:c r="G1970" t="str">
        <x:v>Consumable repeat</x:v>
      </x:c>
      <x:c r="H1970" t="str">
        <x:v>None</x:v>
      </x:c>
      <x:c r="I1970" t="str">
        <x:v>Active</x:v>
      </x:c>
      <x:c r="J1970" t="str">
        <x:v>Amazon Marketplace</x:v>
      </x:c>
      <x:c r="K1970" t="str">
        <x:v>Marketplace Consumer</x:v>
      </x:c>
      <x:c r="L1970" t="str">
        <x:v>All Geographies</x:v>
      </x:c>
      <x:c r="M1970" s="34" t="n">
        <x:v>2946</x:v>
      </x:c>
      <x:c r="N1970" s="28" t="n">
        <x:v>0.050126399999999995</x:v>
      </x:c>
      <x:c r="O1970" s="34" t="n">
        <x:v>148</x:v>
      </x:c>
      <x:c r="P1970" s="34" t="n">
        <x:v>1</x:v>
      </x:c>
      <x:c r="Q1970" s="34" t="n">
        <x:v>148</x:v>
      </x:c>
      <x:c r="R1970" s="33" t="n">
        <x:v>18</x:v>
      </x:c>
      <x:c r="S1970" s="38" t="n">
        <x:v>2.664</x:v>
      </x:c>
      <x:c r="T1970" s="38" t="n">
        <x:v>0.1332</x:v>
      </x:c>
      <x:c r="U1970" s="38" t="n">
        <x:v>0.06327</x:v>
      </x:c>
      <x:c r="V1970" s="38" t="n">
        <x:v>2.46753</x:v>
      </x:c>
      <x:c r="W1970" s="38" t="n">
        <x:v>0.8006800000000001</x:v>
      </x:c>
      <x:c r="X1970" s="38" t="n">
        <x:v>0</x:v>
      </x:c>
      <x:c r="Y1970" s="38" t="n">
        <x:v>0.3701295</x:v>
      </x:c>
      <x:c r="Z1970" s="38" t="n">
        <x:v>0.7696000000000001</x:v>
      </x:c>
      <x:c r="AA1970" s="38" t="n">
        <x:v>0.3182</x:v>
      </x:c>
      <x:c r="AB1970" s="38" t="n">
        <x:v>0.0008879999999999999</x:v>
      </x:c>
      <x:c r="AC1970" s="38" t="n">
        <x:v>0.2080324999999999</x:v>
      </x:c>
      <x:c r="AD1970" s="28" t="n">
        <x:v>0.084307992202729</x:v>
      </x:c>
    </x:row>
    <x:row r="1971">
      <x:c r="A1971" s="32" t="n">
        <x:v>46349</x:v>
      </x:c>
      <x:c r="B1971" s="32" t="n">
        <x:v>46327</x:v>
      </x:c>
      <x:c r="C1971" t="str">
        <x:v>Nov 2026</x:v>
      </x:c>
      <x:c r="D1971" t="str">
        <x:v>Forecast</x:v>
      </x:c>
      <x:c r="E1971" t="str">
        <x:v>DB-102</x:v>
      </x:c>
      <x:c r="F1971" t="str">
        <x:v>GlowPatch Balm</x:v>
      </x:c>
      <x:c r="G1971" t="str">
        <x:v>Consumable repeat</x:v>
      </x:c>
      <x:c r="H1971" t="str">
        <x:v>None</x:v>
      </x:c>
      <x:c r="I1971" t="str">
        <x:v>Active</x:v>
      </x:c>
      <x:c r="J1971" t="str">
        <x:v>Wholesale</x:v>
      </x:c>
      <x:c r="K1971" t="str">
        <x:v>Retailer</x:v>
      </x:c>
      <x:c r="L1971" t="str">
        <x:v>All Geographies</x:v>
      </x:c>
      <x:c r="M1971" s="34" t="n">
        <x:v>1768</x:v>
      </x:c>
      <x:c r="N1971" s="28" t="n">
        <x:v>0.023364</x:v>
      </x:c>
      <x:c r="O1971" s="34" t="n">
        <x:v>41</x:v>
      </x:c>
      <x:c r="P1971" s="34" t="n">
        <x:v>1</x:v>
      </x:c>
      <x:c r="Q1971" s="34" t="n">
        <x:v>41</x:v>
      </x:c>
      <x:c r="R1971" s="33" t="n">
        <x:v>18</x:v>
      </x:c>
      <x:c r="S1971" s="38" t="n">
        <x:v>0.738</x:v>
      </x:c>
      <x:c r="T1971" s="38" t="n">
        <x:v>0.2583</x:v>
      </x:c>
      <x:c r="U1971" s="38" t="n">
        <x:v>0.011992500000000001</x:v>
      </x:c>
      <x:c r="V1971" s="38" t="n">
        <x:v>0.4677075</x:v>
      </x:c>
      <x:c r="W1971" s="38" t="n">
        <x:v>0.22181</x:v>
      </x:c>
      <x:c r="X1971" s="38" t="n">
        <x:v>0</x:v>
      </x:c>
      <x:c r="Y1971" s="38" t="n">
        <x:v>0</x:v>
      </x:c>
      <x:c r="Z1971" s="38" t="n">
        <x:v>0.0943</x:v>
      </x:c>
      <x:c r="AA1971" s="38" t="n">
        <x:v>0.03485</x:v>
      </x:c>
      <x:c r="AB1971" s="38" t="n">
        <x:v>0.000246</x:v>
      </x:c>
      <x:c r="AC1971" s="38" t="n">
        <x:v>0.11650150000000001</x:v>
      </x:c>
      <x:c r="AD1971" s="28" t="n">
        <x:v>0.2490905106289722</x:v>
      </x:c>
    </x:row>
    <x:row r="1972">
      <x:c r="A1972" s="32" t="n">
        <x:v>46349</x:v>
      </x:c>
      <x:c r="B1972" s="32" t="n">
        <x:v>46327</x:v>
      </x:c>
      <x:c r="C1972" t="str">
        <x:v>Nov 2026</x:v>
      </x:c>
      <x:c r="D1972" t="str">
        <x:v>Forecast</x:v>
      </x:c>
      <x:c r="E1972" t="str">
        <x:v>DB-102</x:v>
      </x:c>
      <x:c r="F1972" t="str">
        <x:v>GlowPatch Balm</x:v>
      </x:c>
      <x:c r="G1972" t="str">
        <x:v>Consumable repeat</x:v>
      </x:c>
      <x:c r="H1972" t="str">
        <x:v>None</x:v>
      </x:c>
      <x:c r="I1972" t="str">
        <x:v>Active</x:v>
      </x:c>
      <x:c r="J1972" t="str">
        <x:v>TikTok Shop</x:v>
      </x:c>
      <x:c r="K1972" t="str">
        <x:v>Social Commerce</x:v>
      </x:c>
      <x:c r="L1972" t="str">
        <x:v>All Geographies</x:v>
      </x:c>
      <x:c r="M1972" s="34" t="n">
        <x:v>1179</x:v>
      </x:c>
      <x:c r="N1972" s="28" t="n">
        <x:v>0.0535248</x:v>
      </x:c>
      <x:c r="O1972" s="34" t="n">
        <x:v>63</x:v>
      </x:c>
      <x:c r="P1972" s="34" t="n">
        <x:v>1</x:v>
      </x:c>
      <x:c r="Q1972" s="34" t="n">
        <x:v>63</x:v>
      </x:c>
      <x:c r="R1972" s="33" t="n">
        <x:v>18</x:v>
      </x:c>
      <x:c r="S1972" s="38" t="n">
        <x:v>1.134</x:v>
      </x:c>
      <x:c r="T1972" s="38" t="n">
        <x:v>0.13607999999999998</x:v>
      </x:c>
      <x:c r="U1972" s="38" t="n">
        <x:v>0.024947999999999998</x:v>
      </x:c>
      <x:c r="V1972" s="38" t="n">
        <x:v>0.972972</x:v>
      </x:c>
      <x:c r="W1972" s="38" t="n">
        <x:v>0.34082999999999997</x:v>
      </x:c>
      <x:c r="X1972" s="38" t="n">
        <x:v>0.028216188</x:v>
      </x:c>
      <x:c r="Y1972" s="38" t="n">
        <x:v>0.05837832</x:v>
      </x:c>
      <x:c r="Z1972" s="38" t="n">
        <x:v>0.3213</x:v>
      </x:c>
      <x:c r="AA1972" s="38" t="n">
        <x:v>0.11025</x:v>
      </x:c>
      <x:c r="AB1972" s="38" t="n">
        <x:v>0.000378</x:v>
      </x:c>
      <x:c r="AC1972" s="38" t="n">
        <x:v>0.11361949199999999</x:v>
      </x:c>
      <x:c r="AD1972" s="28" t="n">
        <x:v>0.11677570577570577</x:v>
      </x:c>
    </x:row>
    <x:row r="1973">
      <x:c r="A1973" s="32" t="n">
        <x:v>46349</x:v>
      </x:c>
      <x:c r="B1973" s="32" t="n">
        <x:v>46327</x:v>
      </x:c>
      <x:c r="C1973" t="str">
        <x:v>Nov 2026</x:v>
      </x:c>
      <x:c r="D1973" t="str">
        <x:v>Forecast</x:v>
      </x:c>
      <x:c r="E1973" t="str">
        <x:v>DB-103</x:v>
      </x:c>
      <x:c r="F1973" t="str">
        <x:v>EmberTrail Camp Mug</x:v>
      </x:c>
      <x:c r="G1973" t="str">
        <x:v>One-time purchase</x:v>
      </x:c>
      <x:c r="H1973" t="str">
        <x:v>Winter peak</x:v>
      </x:c>
      <x:c r="I1973" t="str">
        <x:v>Active</x:v>
      </x:c>
      <x:c r="J1973" t="str">
        <x:v>Shopify DTC</x:v>
      </x:c>
      <x:c r="K1973" t="str">
        <x:v>Consumer</x:v>
      </x:c>
      <x:c r="L1973" t="str">
        <x:v>All Geographies</x:v>
      </x:c>
      <x:c r="M1973" s="34" t="n">
        <x:v>7172</x:v>
      </x:c>
      <x:c r="N1973" s="28" t="n">
        <x:v>0.0324</x:v>
      </x:c>
      <x:c r="O1973" s="34" t="n">
        <x:v>232</x:v>
      </x:c>
      <x:c r="P1973" s="34" t="n">
        <x:v>1</x:v>
      </x:c>
      <x:c r="Q1973" s="34" t="n">
        <x:v>232</x:v>
      </x:c>
      <x:c r="R1973" s="33" t="n">
        <x:v>34</x:v>
      </x:c>
      <x:c r="S1973" s="38" t="n">
        <x:v>7.888</x:v>
      </x:c>
      <x:c r="T1973" s="38" t="n">
        <x:v>0.63104</x:v>
      </x:c>
      <x:c r="U1973" s="38" t="n">
        <x:v>0.39913279999999995</x:v>
      </x:c>
      <x:c r="V1973" s="38" t="n">
        <x:v>6.857827199999999</x:v>
      </x:c>
      <x:c r="W1973" s="38" t="n">
        <x:v>3.17144</x:v>
      </x:c>
      <x:c r="X1973" s="38" t="n">
        <x:v>0.1988769888</x:v>
      </x:c>
      <x:c r="Y1973" s="38" t="n">
        <x:v>0</x:v>
      </x:c>
      <x:c r="Z1973" s="38" t="n">
        <x:v>0.9628000000000001</x:v>
      </x:c>
      <x:c r="AA1973" s="38" t="n">
        <x:v>0.3828</x:v>
      </x:c>
      <x:c r="AB1973" s="38" t="n">
        <x:v>0.012992</x:v>
      </x:c>
      <x:c r="AC1973" s="38" t="n">
        <x:v>2.128918211199999</x:v>
      </x:c>
      <x:c r="AD1973" s="28" t="n">
        <x:v>0.31043625759482524</x:v>
      </x:c>
    </x:row>
    <x:row r="1974">
      <x:c r="A1974" s="32" t="n">
        <x:v>46349</x:v>
      </x:c>
      <x:c r="B1974" s="32" t="n">
        <x:v>46327</x:v>
      </x:c>
      <x:c r="C1974" t="str">
        <x:v>Nov 2026</x:v>
      </x:c>
      <x:c r="D1974" t="str">
        <x:v>Forecast</x:v>
      </x:c>
      <x:c r="E1974" t="str">
        <x:v>DB-103</x:v>
      </x:c>
      <x:c r="F1974" t="str">
        <x:v>EmberTrail Camp Mug</x:v>
      </x:c>
      <x:c r="G1974" t="str">
        <x:v>One-time purchase</x:v>
      </x:c>
      <x:c r="H1974" t="str">
        <x:v>Winter peak</x:v>
      </x:c>
      <x:c r="I1974" t="str">
        <x:v>Active</x:v>
      </x:c>
      <x:c r="J1974" t="str">
        <x:v>Amazon Marketplace</x:v>
      </x:c>
      <x:c r="K1974" t="str">
        <x:v>Marketplace Consumer</x:v>
      </x:c>
      <x:c r="L1974" t="str">
        <x:v>All Geographies</x:v>
      </x:c>
      <x:c r="M1974" s="34" t="n">
        <x:v>3586</x:v>
      </x:c>
      <x:c r="N1974" s="28" t="n">
        <x:v>0.038231999999999995</x:v>
      </x:c>
      <x:c r="O1974" s="34" t="n">
        <x:v>137</x:v>
      </x:c>
      <x:c r="P1974" s="34" t="n">
        <x:v>1</x:v>
      </x:c>
      <x:c r="Q1974" s="34" t="n">
        <x:v>137</x:v>
      </x:c>
      <x:c r="R1974" s="33" t="n">
        <x:v>34</x:v>
      </x:c>
      <x:c r="S1974" s="38" t="n">
        <x:v>4.658</x:v>
      </x:c>
      <x:c r="T1974" s="38" t="n">
        <x:v>0.23290000000000002</x:v>
      </x:c>
      <x:c r="U1974" s="38" t="n">
        <x:v>0.24338050000000003</x:v>
      </x:c>
      <x:c r="V1974" s="38" t="n">
        <x:v>4.181719500000001</x:v>
      </x:c>
      <x:c r="W1974" s="38" t="n">
        <x:v>1.87279</x:v>
      </x:c>
      <x:c r="X1974" s="38" t="n">
        <x:v>0</x:v>
      </x:c>
      <x:c r="Y1974" s="38" t="n">
        <x:v>0.6272579250000001</x:v>
      </x:c>
      <x:c r="Z1974" s="38" t="n">
        <x:v>0.7123999999999999</x:v>
      </x:c>
      <x:c r="AA1974" s="38" t="n">
        <x:v>0.29455000000000003</x:v>
      </x:c>
      <x:c r="AB1974" s="38" t="n">
        <x:v>0.007672000000000001</x:v>
      </x:c>
      <x:c r="AC1974" s="38" t="n">
        <x:v>0.6670495750000004</x:v>
      </x:c>
      <x:c r="AD1974" s="28" t="n">
        <x:v>0.1595156191131424</x:v>
      </x:c>
    </x:row>
    <x:row r="1975">
      <x:c r="A1975" s="32" t="n">
        <x:v>46349</x:v>
      </x:c>
      <x:c r="B1975" s="32" t="n">
        <x:v>46327</x:v>
      </x:c>
      <x:c r="C1975" t="str">
        <x:v>Nov 2026</x:v>
      </x:c>
      <x:c r="D1975" t="str">
        <x:v>Forecast</x:v>
      </x:c>
      <x:c r="E1975" t="str">
        <x:v>DB-103</x:v>
      </x:c>
      <x:c r="F1975" t="str">
        <x:v>EmberTrail Camp Mug</x:v>
      </x:c>
      <x:c r="G1975" t="str">
        <x:v>One-time purchase</x:v>
      </x:c>
      <x:c r="H1975" t="str">
        <x:v>Winter peak</x:v>
      </x:c>
      <x:c r="I1975" t="str">
        <x:v>Active</x:v>
      </x:c>
      <x:c r="J1975" t="str">
        <x:v>Wholesale</x:v>
      </x:c>
      <x:c r="K1975" t="str">
        <x:v>Retailer</x:v>
      </x:c>
      <x:c r="L1975" t="str">
        <x:v>All Geographies</x:v>
      </x:c>
      <x:c r="M1975" s="34" t="n">
        <x:v>2152</x:v>
      </x:c>
      <x:c r="N1975" s="28" t="n">
        <x:v>0.017820000000000003</x:v>
      </x:c>
      <x:c r="O1975" s="34" t="n">
        <x:v>38</x:v>
      </x:c>
      <x:c r="P1975" s="34" t="n">
        <x:v>1</x:v>
      </x:c>
      <x:c r="Q1975" s="34" t="n">
        <x:v>38</x:v>
      </x:c>
      <x:c r="R1975" s="33" t="n">
        <x:v>34</x:v>
      </x:c>
      <x:c r="S1975" s="38" t="n">
        <x:v>1.292</x:v>
      </x:c>
      <x:c r="T1975" s="38" t="n">
        <x:v>0.4522</x:v>
      </x:c>
      <x:c r="U1975" s="38" t="n">
        <x:v>0.04618900000000001</x:v>
      </x:c>
      <x:c r="V1975" s="38" t="n">
        <x:v>0.7936110000000001</x:v>
      </x:c>
      <x:c r="W1975" s="38" t="n">
        <x:v>0.51946</x:v>
      </x:c>
      <x:c r="X1975" s="38" t="n">
        <x:v>0</x:v>
      </x:c>
      <x:c r="Y1975" s="38" t="n">
        <x:v>0</x:v>
      </x:c>
      <x:c r="Z1975" s="38" t="n">
        <x:v>0.08739999999999999</x:v>
      </x:c>
      <x:c r="AA1975" s="38" t="n">
        <x:v>0.032299999999999995</x:v>
      </x:c>
      <x:c r="AB1975" s="38" t="n">
        <x:v>0.002128</x:v>
      </x:c>
      <x:c r="AC1975" s="38" t="n">
        <x:v>0.15232300000000007</x:v>
      </x:c>
      <x:c r="AD1975" s="28" t="n">
        <x:v>0.19193660370130966</x:v>
      </x:c>
    </x:row>
    <x:row r="1976">
      <x:c r="A1976" s="32" t="n">
        <x:v>46349</x:v>
      </x:c>
      <x:c r="B1976" s="32" t="n">
        <x:v>46327</x:v>
      </x:c>
      <x:c r="C1976" t="str">
        <x:v>Nov 2026</x:v>
      </x:c>
      <x:c r="D1976" t="str">
        <x:v>Forecast</x:v>
      </x:c>
      <x:c r="E1976" t="str">
        <x:v>DB-103</x:v>
      </x:c>
      <x:c r="F1976" t="str">
        <x:v>EmberTrail Camp Mug</x:v>
      </x:c>
      <x:c r="G1976" t="str">
        <x:v>One-time purchase</x:v>
      </x:c>
      <x:c r="H1976" t="str">
        <x:v>Winter peak</x:v>
      </x:c>
      <x:c r="I1976" t="str">
        <x:v>Active</x:v>
      </x:c>
      <x:c r="J1976" t="str">
        <x:v>TikTok Shop</x:v>
      </x:c>
      <x:c r="K1976" t="str">
        <x:v>Social Commerce</x:v>
      </x:c>
      <x:c r="L1976" t="str">
        <x:v>All Geographies</x:v>
      </x:c>
      <x:c r="M1976" s="34" t="n">
        <x:v>1434</x:v>
      </x:c>
      <x:c r="N1976" s="28" t="n">
        <x:v>0.040824</x:v>
      </x:c>
      <x:c r="O1976" s="34" t="n">
        <x:v>59</x:v>
      </x:c>
      <x:c r="P1976" s="34" t="n">
        <x:v>1</x:v>
      </x:c>
      <x:c r="Q1976" s="34" t="n">
        <x:v>59</x:v>
      </x:c>
      <x:c r="R1976" s="33" t="n">
        <x:v>34</x:v>
      </x:c>
      <x:c r="S1976" s="38" t="n">
        <x:v>2.006</x:v>
      </x:c>
      <x:c r="T1976" s="38" t="n">
        <x:v>0.24071999999999996</x:v>
      </x:c>
      <x:c r="U1976" s="38" t="n">
        <x:v>0.09709039999999998</x:v>
      </x:c>
      <x:c r="V1976" s="38" t="n">
        <x:v>1.6681895999999998</x:v>
      </x:c>
      <x:c r="W1976" s="38" t="n">
        <x:v>0.80653</x:v>
      </x:c>
      <x:c r="X1976" s="38" t="n">
        <x:v>0.048377498399999996</x:v>
      </x:c>
      <x:c r="Y1976" s="38" t="n">
        <x:v>0.10009137599999998</x:v>
      </x:c>
      <x:c r="Z1976" s="38" t="n">
        <x:v>0.3009</x:v>
      </x:c>
      <x:c r="AA1976" s="38" t="n">
        <x:v>0.10325</x:v>
      </x:c>
      <x:c r="AB1976" s="38" t="n">
        <x:v>0.003304</x:v>
      </x:c>
      <x:c r="AC1976" s="38" t="n">
        <x:v>0.30573672559999987</x:v>
      </x:c>
      <x:c r="AD1976" s="28" t="n">
        <x:v>0.1832745663922134</x:v>
      </x:c>
    </x:row>
    <x:row r="1977">
      <x:c r="A1977" s="32" t="n">
        <x:v>46349</x:v>
      </x:c>
      <x:c r="B1977" s="32" t="n">
        <x:v>46327</x:v>
      </x:c>
      <x:c r="C1977" t="str">
        <x:v>Nov 2026</x:v>
      </x:c>
      <x:c r="D1977" t="str">
        <x:v>Forecast</x:v>
      </x:c>
      <x:c r="E1977" t="str">
        <x:v>DB-104</x:v>
      </x:c>
      <x:c r="F1977" t="str">
        <x:v>SunNest Cooling Towel</x:v>
      </x:c>
      <x:c r="G1977" t="str">
        <x:v>Consumable repeat</x:v>
      </x:c>
      <x:c r="H1977" t="str">
        <x:v>Summer peak</x:v>
      </x:c>
      <x:c r="I1977" t="str">
        <x:v>Discontinued</x:v>
      </x:c>
      <x:c r="J1977" t="str">
        <x:v>Shopify DTC</x:v>
      </x:c>
      <x:c r="K1977" t="str">
        <x:v>Consumer</x:v>
      </x:c>
      <x:c r="L1977" t="str">
        <x:v>All Geographies</x:v>
      </x:c>
      <x:c r="M1977" s="34" t="n">
        <x:v>0</x:v>
      </x:c>
      <x:c r="N1977" s="28" t="n">
        <x:v>0.03312</x:v>
      </x:c>
      <x:c r="O1977" s="34" t="n">
        <x:v>0</x:v>
      </x:c>
      <x:c r="P1977" s="34" t="n">
        <x:v>1</x:v>
      </x:c>
      <x:c r="Q1977" s="34" t="n">
        <x:v>0</x:v>
      </x:c>
      <x:c r="R1977" s="33" t="n">
        <x:v>42</x:v>
      </x:c>
      <x:c r="S1977" s="38" t="n">
        <x:v>0</x:v>
      </x:c>
      <x:c r="T1977" s="38" t="n">
        <x:v>0</x:v>
      </x:c>
      <x:c r="U1977" s="38" t="n">
        <x:v>0</x:v>
      </x:c>
      <x:c r="V1977" s="38" t="n">
        <x:v>0</x:v>
      </x:c>
      <x:c r="W1977" s="38" t="n">
        <x:v>0</x:v>
      </x:c>
      <x:c r="X1977" s="38" t="n">
        <x:v>0</x:v>
      </x:c>
      <x:c r="Y1977" s="38" t="n">
        <x:v>0</x:v>
      </x:c>
      <x:c r="Z1977" s="38" t="n">
        <x:v>0</x:v>
      </x:c>
      <x:c r="AA1977" s="38" t="n">
        <x:v>0</x:v>
      </x:c>
      <x:c r="AB1977" s="38" t="n">
        <x:v>0</x:v>
      </x:c>
      <x:c r="AC1977" s="38" t="n">
        <x:v>0</x:v>
      </x:c>
      <x:c r="AD1977" s="28" t="n">
        <x:v>0</x:v>
      </x:c>
    </x:row>
    <x:row r="1978">
      <x:c r="A1978" s="32" t="n">
        <x:v>46349</x:v>
      </x:c>
      <x:c r="B1978" s="32" t="n">
        <x:v>46327</x:v>
      </x:c>
      <x:c r="C1978" t="str">
        <x:v>Nov 2026</x:v>
      </x:c>
      <x:c r="D1978" t="str">
        <x:v>Forecast</x:v>
      </x:c>
      <x:c r="E1978" t="str">
        <x:v>DB-104</x:v>
      </x:c>
      <x:c r="F1978" t="str">
        <x:v>SunNest Cooling Towel</x:v>
      </x:c>
      <x:c r="G1978" t="str">
        <x:v>Consumable repeat</x:v>
      </x:c>
      <x:c r="H1978" t="str">
        <x:v>Summer peak</x:v>
      </x:c>
      <x:c r="I1978" t="str">
        <x:v>Discontinued</x:v>
      </x:c>
      <x:c r="J1978" t="str">
        <x:v>Amazon Marketplace</x:v>
      </x:c>
      <x:c r="K1978" t="str">
        <x:v>Marketplace Consumer</x:v>
      </x:c>
      <x:c r="L1978" t="str">
        <x:v>All Geographies</x:v>
      </x:c>
      <x:c r="M1978" s="34" t="n">
        <x:v>0</x:v>
      </x:c>
      <x:c r="N1978" s="28" t="n">
        <x:v>0.0390816</x:v>
      </x:c>
      <x:c r="O1978" s="34" t="n">
        <x:v>0</x:v>
      </x:c>
      <x:c r="P1978" s="34" t="n">
        <x:v>1</x:v>
      </x:c>
      <x:c r="Q1978" s="34" t="n">
        <x:v>0</x:v>
      </x:c>
      <x:c r="R1978" s="33" t="n">
        <x:v>42</x:v>
      </x:c>
      <x:c r="S1978" s="38" t="n">
        <x:v>0</x:v>
      </x:c>
      <x:c r="T1978" s="38" t="n">
        <x:v>0</x:v>
      </x:c>
      <x:c r="U1978" s="38" t="n">
        <x:v>0</x:v>
      </x:c>
      <x:c r="V1978" s="38" t="n">
        <x:v>0</x:v>
      </x:c>
      <x:c r="W1978" s="38" t="n">
        <x:v>0</x:v>
      </x:c>
      <x:c r="X1978" s="38" t="n">
        <x:v>0</x:v>
      </x:c>
      <x:c r="Y1978" s="38" t="n">
        <x:v>0</x:v>
      </x:c>
      <x:c r="Z1978" s="38" t="n">
        <x:v>0</x:v>
      </x:c>
      <x:c r="AA1978" s="38" t="n">
        <x:v>0</x:v>
      </x:c>
      <x:c r="AB1978" s="38" t="n">
        <x:v>0</x:v>
      </x:c>
      <x:c r="AC1978" s="38" t="n">
        <x:v>0</x:v>
      </x:c>
      <x:c r="AD1978" s="28" t="n">
        <x:v>0</x:v>
      </x:c>
    </x:row>
    <x:row r="1979">
      <x:c r="A1979" s="32" t="n">
        <x:v>46349</x:v>
      </x:c>
      <x:c r="B1979" s="32" t="n">
        <x:v>46327</x:v>
      </x:c>
      <x:c r="C1979" t="str">
        <x:v>Nov 2026</x:v>
      </x:c>
      <x:c r="D1979" t="str">
        <x:v>Forecast</x:v>
      </x:c>
      <x:c r="E1979" t="str">
        <x:v>DB-104</x:v>
      </x:c>
      <x:c r="F1979" t="str">
        <x:v>SunNest Cooling Towel</x:v>
      </x:c>
      <x:c r="G1979" t="str">
        <x:v>Consumable repeat</x:v>
      </x:c>
      <x:c r="H1979" t="str">
        <x:v>Summer peak</x:v>
      </x:c>
      <x:c r="I1979" t="str">
        <x:v>Discontinued</x:v>
      </x:c>
      <x:c r="J1979" t="str">
        <x:v>Wholesale</x:v>
      </x:c>
      <x:c r="K1979" t="str">
        <x:v>Retailer</x:v>
      </x:c>
      <x:c r="L1979" t="str">
        <x:v>All Geographies</x:v>
      </x:c>
      <x:c r="M1979" s="34" t="n">
        <x:v>0</x:v>
      </x:c>
      <x:c r="N1979" s="28" t="n">
        <x:v>0.018216000000000003</x:v>
      </x:c>
      <x:c r="O1979" s="34" t="n">
        <x:v>0</x:v>
      </x:c>
      <x:c r="P1979" s="34" t="n">
        <x:v>1</x:v>
      </x:c>
      <x:c r="Q1979" s="34" t="n">
        <x:v>0</x:v>
      </x:c>
      <x:c r="R1979" s="33" t="n">
        <x:v>42</x:v>
      </x:c>
      <x:c r="S1979" s="38" t="n">
        <x:v>0</x:v>
      </x:c>
      <x:c r="T1979" s="38" t="n">
        <x:v>0</x:v>
      </x:c>
      <x:c r="U1979" s="38" t="n">
        <x:v>0</x:v>
      </x:c>
      <x:c r="V1979" s="38" t="n">
        <x:v>0</x:v>
      </x:c>
      <x:c r="W1979" s="38" t="n">
        <x:v>0</x:v>
      </x:c>
      <x:c r="X1979" s="38" t="n">
        <x:v>0</x:v>
      </x:c>
      <x:c r="Y1979" s="38" t="n">
        <x:v>0</x:v>
      </x:c>
      <x:c r="Z1979" s="38" t="n">
        <x:v>0</x:v>
      </x:c>
      <x:c r="AA1979" s="38" t="n">
        <x:v>0</x:v>
      </x:c>
      <x:c r="AB1979" s="38" t="n">
        <x:v>0</x:v>
      </x:c>
      <x:c r="AC1979" s="38" t="n">
        <x:v>0</x:v>
      </x:c>
      <x:c r="AD1979" s="28" t="n">
        <x:v>0</x:v>
      </x:c>
    </x:row>
    <x:row r="1980">
      <x:c r="A1980" s="32" t="n">
        <x:v>46349</x:v>
      </x:c>
      <x:c r="B1980" s="32" t="n">
        <x:v>46327</x:v>
      </x:c>
      <x:c r="C1980" t="str">
        <x:v>Nov 2026</x:v>
      </x:c>
      <x:c r="D1980" t="str">
        <x:v>Forecast</x:v>
      </x:c>
      <x:c r="E1980" t="str">
        <x:v>DB-104</x:v>
      </x:c>
      <x:c r="F1980" t="str">
        <x:v>SunNest Cooling Towel</x:v>
      </x:c>
      <x:c r="G1980" t="str">
        <x:v>Consumable repeat</x:v>
      </x:c>
      <x:c r="H1980" t="str">
        <x:v>Summer peak</x:v>
      </x:c>
      <x:c r="I1980" t="str">
        <x:v>Discontinued</x:v>
      </x:c>
      <x:c r="J1980" t="str">
        <x:v>TikTok Shop</x:v>
      </x:c>
      <x:c r="K1980" t="str">
        <x:v>Social Commerce</x:v>
      </x:c>
      <x:c r="L1980" t="str">
        <x:v>All Geographies</x:v>
      </x:c>
      <x:c r="M1980" s="34" t="n">
        <x:v>0</x:v>
      </x:c>
      <x:c r="N1980" s="28" t="n">
        <x:v>0.0417312</x:v>
      </x:c>
      <x:c r="O1980" s="34" t="n">
        <x:v>0</x:v>
      </x:c>
      <x:c r="P1980" s="34" t="n">
        <x:v>1</x:v>
      </x:c>
      <x:c r="Q1980" s="34" t="n">
        <x:v>0</x:v>
      </x:c>
      <x:c r="R1980" s="33" t="n">
        <x:v>42</x:v>
      </x:c>
      <x:c r="S1980" s="38" t="n">
        <x:v>0</x:v>
      </x:c>
      <x:c r="T1980" s="38" t="n">
        <x:v>0</x:v>
      </x:c>
      <x:c r="U1980" s="38" t="n">
        <x:v>0</x:v>
      </x:c>
      <x:c r="V1980" s="38" t="n">
        <x:v>0</x:v>
      </x:c>
      <x:c r="W1980" s="38" t="n">
        <x:v>0</x:v>
      </x:c>
      <x:c r="X1980" s="38" t="n">
        <x:v>0</x:v>
      </x:c>
      <x:c r="Y1980" s="38" t="n">
        <x:v>0</x:v>
      </x:c>
      <x:c r="Z1980" s="38" t="n">
        <x:v>0</x:v>
      </x:c>
      <x:c r="AA1980" s="38" t="n">
        <x:v>0</x:v>
      </x:c>
      <x:c r="AB1980" s="38" t="n">
        <x:v>0</x:v>
      </x:c>
      <x:c r="AC1980" s="38" t="n">
        <x:v>0</x:v>
      </x:c>
      <x:c r="AD1980" s="28" t="n">
        <x:v>0</x:v>
      </x:c>
    </x:row>
    <x:row r="1981">
      <x:c r="A1981" s="32" t="n">
        <x:v>46349</x:v>
      </x:c>
      <x:c r="B1981" s="32" t="n">
        <x:v>46327</x:v>
      </x:c>
      <x:c r="C1981" t="str">
        <x:v>Nov 2026</x:v>
      </x:c>
      <x:c r="D1981" t="str">
        <x:v>Forecast</x:v>
      </x:c>
      <x:c r="E1981" t="str">
        <x:v>DB-105</x:v>
      </x:c>
      <x:c r="F1981" t="str">
        <x:v>DreamFuel Refill Pack</x:v>
      </x:c>
      <x:c r="G1981" t="str">
        <x:v>Subscription</x:v>
      </x:c>
      <x:c r="H1981" t="str">
        <x:v>None</x:v>
      </x:c>
      <x:c r="I1981" t="str">
        <x:v>Active</x:v>
      </x:c>
      <x:c r="J1981" t="str">
        <x:v>Shopify DTC</x:v>
      </x:c>
      <x:c r="K1981" t="str">
        <x:v>Consumer</x:v>
      </x:c>
      <x:c r="L1981" t="str">
        <x:v>All Geographies</x:v>
      </x:c>
      <x:c r="M1981" s="34" t="n">
        <x:v>5051</x:v>
      </x:c>
      <x:c r="N1981" s="28" t="n">
        <x:v>0.03888</x:v>
      </x:c>
      <x:c r="O1981" s="34" t="n">
        <x:v>196</x:v>
      </x:c>
      <x:c r="P1981" s="34" t="n">
        <x:v>1</x:v>
      </x:c>
      <x:c r="Q1981" s="34" t="n">
        <x:v>196</x:v>
      </x:c>
      <x:c r="R1981" s="33" t="n">
        <x:v>56</x:v>
      </x:c>
      <x:c r="S1981" s="38" t="n">
        <x:v>10.976</x:v>
      </x:c>
      <x:c r="T1981" s="38" t="n">
        <x:v>0.8780800000000001</x:v>
      </x:c>
      <x:c r="U1981" s="38" t="n">
        <x:v>0.2019584</x:v>
      </x:c>
      <x:c r="V1981" s="38" t="n">
        <x:v>9.8959616</x:v>
      </x:c>
      <x:c r="W1981" s="38" t="n">
        <x:v>3.64952</x:v>
      </x:c>
      <x:c r="X1981" s="38" t="n">
        <x:v>0.2869828864</x:v>
      </x:c>
      <x:c r="Y1981" s="38" t="n">
        <x:v>0</x:v>
      </x:c>
      <x:c r="Z1981" s="38" t="n">
        <x:v>0.8134000000000001</x:v>
      </x:c>
      <x:c r="AA1981" s="38" t="n">
        <x:v>0.32339999999999997</x:v>
      </x:c>
      <x:c r="AB1981" s="38" t="n">
        <x:v>0.0007055999999999999</x:v>
      </x:c>
      <x:c r="AC1981" s="38" t="n">
        <x:v>4.8219531136</x:v>
      </x:c>
      <x:c r="AD1981" s="28" t="n">
        <x:v>0.4872647357079478</x:v>
      </x:c>
    </x:row>
    <x:row r="1982">
      <x:c r="A1982" s="32" t="n">
        <x:v>46349</x:v>
      </x:c>
      <x:c r="B1982" s="32" t="n">
        <x:v>46327</x:v>
      </x:c>
      <x:c r="C1982" t="str">
        <x:v>Nov 2026</x:v>
      </x:c>
      <x:c r="D1982" t="str">
        <x:v>Forecast</x:v>
      </x:c>
      <x:c r="E1982" t="str">
        <x:v>DB-105</x:v>
      </x:c>
      <x:c r="F1982" t="str">
        <x:v>DreamFuel Refill Pack</x:v>
      </x:c>
      <x:c r="G1982" t="str">
        <x:v>Subscription</x:v>
      </x:c>
      <x:c r="H1982" t="str">
        <x:v>None</x:v>
      </x:c>
      <x:c r="I1982" t="str">
        <x:v>Active</x:v>
      </x:c>
      <x:c r="J1982" t="str">
        <x:v>Amazon Marketplace</x:v>
      </x:c>
      <x:c r="K1982" t="str">
        <x:v>Marketplace Consumer</x:v>
      </x:c>
      <x:c r="L1982" t="str">
        <x:v>All Geographies</x:v>
      </x:c>
      <x:c r="M1982" s="34" t="n">
        <x:v>2525</x:v>
      </x:c>
      <x:c r="N1982" s="28" t="n">
        <x:v>0.0458784</x:v>
      </x:c>
      <x:c r="O1982" s="34" t="n">
        <x:v>116</x:v>
      </x:c>
      <x:c r="P1982" s="34" t="n">
        <x:v>1</x:v>
      </x:c>
      <x:c r="Q1982" s="34" t="n">
        <x:v>116</x:v>
      </x:c>
      <x:c r="R1982" s="33" t="n">
        <x:v>56</x:v>
      </x:c>
      <x:c r="S1982" s="38" t="n">
        <x:v>6.496</x:v>
      </x:c>
      <x:c r="T1982" s="38" t="n">
        <x:v>0.32480000000000003</x:v>
      </x:c>
      <x:c r="U1982" s="38" t="n">
        <x:v>0.12342400000000002</x:v>
      </x:c>
      <x:c r="V1982" s="38" t="n">
        <x:v>6.047776000000001</x:v>
      </x:c>
      <x:c r="W1982" s="38" t="n">
        <x:v>2.15992</x:v>
      </x:c>
      <x:c r="X1982" s="38" t="n">
        <x:v>0</x:v>
      </x:c>
      <x:c r="Y1982" s="38" t="n">
        <x:v>0.9071664</x:v>
      </x:c>
      <x:c r="Z1982" s="38" t="n">
        <x:v>0.6032000000000001</x:v>
      </x:c>
      <x:c r="AA1982" s="38" t="n">
        <x:v>0.24939999999999998</x:v>
      </x:c>
      <x:c r="AB1982" s="38" t="n">
        <x:v>0.0004176</x:v>
      </x:c>
      <x:c r="AC1982" s="38" t="n">
        <x:v>2.1276720000000005</x:v>
      </x:c>
      <x:c r="AD1982" s="28" t="n">
        <x:v>0.35181064907165877</x:v>
      </x:c>
    </x:row>
    <x:row r="1983">
      <x:c r="A1983" s="32" t="n">
        <x:v>46349</x:v>
      </x:c>
      <x:c r="B1983" s="32" t="n">
        <x:v>46327</x:v>
      </x:c>
      <x:c r="C1983" t="str">
        <x:v>Nov 2026</x:v>
      </x:c>
      <x:c r="D1983" t="str">
        <x:v>Forecast</x:v>
      </x:c>
      <x:c r="E1983" t="str">
        <x:v>DB-105</x:v>
      </x:c>
      <x:c r="F1983" t="str">
        <x:v>DreamFuel Refill Pack</x:v>
      </x:c>
      <x:c r="G1983" t="str">
        <x:v>Subscription</x:v>
      </x:c>
      <x:c r="H1983" t="str">
        <x:v>None</x:v>
      </x:c>
      <x:c r="I1983" t="str">
        <x:v>Active</x:v>
      </x:c>
      <x:c r="J1983" t="str">
        <x:v>Wholesale</x:v>
      </x:c>
      <x:c r="K1983" t="str">
        <x:v>Retailer</x:v>
      </x:c>
      <x:c r="L1983" t="str">
        <x:v>All Geographies</x:v>
      </x:c>
      <x:c r="M1983" s="34" t="n">
        <x:v>1515</x:v>
      </x:c>
      <x:c r="N1983" s="28" t="n">
        <x:v>0.021384000000000004</x:v>
      </x:c>
      <x:c r="O1983" s="34" t="n">
        <x:v>32</x:v>
      </x:c>
      <x:c r="P1983" s="34" t="n">
        <x:v>1</x:v>
      </x:c>
      <x:c r="Q1983" s="34" t="n">
        <x:v>32</x:v>
      </x:c>
      <x:c r="R1983" s="33" t="n">
        <x:v>56</x:v>
      </x:c>
      <x:c r="S1983" s="38" t="n">
        <x:v>1.792</x:v>
      </x:c>
      <x:c r="T1983" s="38" t="n">
        <x:v>0.6272</x:v>
      </x:c>
      <x:c r="U1983" s="38" t="n">
        <x:v>0.023296</x:v>
      </x:c>
      <x:c r="V1983" s="38" t="n">
        <x:v>1.141504</x:v>
      </x:c>
      <x:c r="W1983" s="38" t="n">
        <x:v>0.59584</x:v>
      </x:c>
      <x:c r="X1983" s="38" t="n">
        <x:v>0</x:v>
      </x:c>
      <x:c r="Y1983" s="38" t="n">
        <x:v>0</x:v>
      </x:c>
      <x:c r="Z1983" s="38" t="n">
        <x:v>0.0736</x:v>
      </x:c>
      <x:c r="AA1983" s="38" t="n">
        <x:v>0.0272</x:v>
      </x:c>
      <x:c r="AB1983" s="38" t="n">
        <x:v>0.0001152</x:v>
      </x:c>
      <x:c r="AC1983" s="38" t="n">
        <x:v>0.44474880000000006</x:v>
      </x:c>
      <x:c r="AD1983" s="28" t="n">
        <x:v>0.3896165059430366</x:v>
      </x:c>
    </x:row>
    <x:row r="1984">
      <x:c r="A1984" s="32" t="n">
        <x:v>46349</x:v>
      </x:c>
      <x:c r="B1984" s="32" t="n">
        <x:v>46327</x:v>
      </x:c>
      <x:c r="C1984" t="str">
        <x:v>Nov 2026</x:v>
      </x:c>
      <x:c r="D1984" t="str">
        <x:v>Forecast</x:v>
      </x:c>
      <x:c r="E1984" t="str">
        <x:v>DB-105</x:v>
      </x:c>
      <x:c r="F1984" t="str">
        <x:v>DreamFuel Refill Pack</x:v>
      </x:c>
      <x:c r="G1984" t="str">
        <x:v>Subscription</x:v>
      </x:c>
      <x:c r="H1984" t="str">
        <x:v>None</x:v>
      </x:c>
      <x:c r="I1984" t="str">
        <x:v>Active</x:v>
      </x:c>
      <x:c r="J1984" t="str">
        <x:v>TikTok Shop</x:v>
      </x:c>
      <x:c r="K1984" t="str">
        <x:v>Social Commerce</x:v>
      </x:c>
      <x:c r="L1984" t="str">
        <x:v>All Geographies</x:v>
      </x:c>
      <x:c r="M1984" s="34" t="n">
        <x:v>1010</x:v>
      </x:c>
      <x:c r="N1984" s="28" t="n">
        <x:v>0.0489888</x:v>
      </x:c>
      <x:c r="O1984" s="34" t="n">
        <x:v>49</x:v>
      </x:c>
      <x:c r="P1984" s="34" t="n">
        <x:v>1</x:v>
      </x:c>
      <x:c r="Q1984" s="34" t="n">
        <x:v>49</x:v>
      </x:c>
      <x:c r="R1984" s="33" t="n">
        <x:v>56</x:v>
      </x:c>
      <x:c r="S1984" s="38" t="n">
        <x:v>2.744</x:v>
      </x:c>
      <x:c r="T1984" s="38" t="n">
        <x:v>0.32928</x:v>
      </x:c>
      <x:c r="U1984" s="38" t="n">
        <x:v>0.0482944</x:v>
      </x:c>
      <x:c r="V1984" s="38" t="n">
        <x:v>2.3664256</x:v>
      </x:c>
      <x:c r="W1984" s="38" t="n">
        <x:v>0.91238</x:v>
      </x:c>
      <x:c r="X1984" s="38" t="n">
        <x:v>0.0686263424</x:v>
      </x:c>
      <x:c r="Y1984" s="38" t="n">
        <x:v>0.141985536</x:v>
      </x:c>
      <x:c r="Z1984" s="38" t="n">
        <x:v>0.24989999999999998</x:v>
      </x:c>
      <x:c r="AA1984" s="38" t="n">
        <x:v>0.08575</x:v>
      </x:c>
      <x:c r="AB1984" s="38" t="n">
        <x:v>0.00017639999999999998</x:v>
      </x:c>
      <x:c r="AC1984" s="38" t="n">
        <x:v>0.9076073216</x:v>
      </x:c>
      <x:c r="AD1984" s="28" t="n">
        <x:v>0.3835351179432812</x:v>
      </x:c>
    </x:row>
    <x:row r="1985">
      <x:c r="A1985" s="32" t="n">
        <x:v>46356</x:v>
      </x:c>
      <x:c r="B1985" s="32" t="n">
        <x:v>46327</x:v>
      </x:c>
      <x:c r="C1985" t="str">
        <x:v>Nov 2026</x:v>
      </x:c>
      <x:c r="D1985" t="str">
        <x:v>Forecast</x:v>
      </x:c>
      <x:c r="E1985" t="str">
        <x:v>DB-101</x:v>
      </x:c>
      <x:c r="F1985" t="str">
        <x:v>AeroSip Bottle</x:v>
      </x:c>
      <x:c r="G1985" t="str">
        <x:v>One-time purchase</x:v>
      </x:c>
      <x:c r="H1985" t="str">
        <x:v>None</x:v>
      </x:c>
      <x:c r="I1985" t="str">
        <x:v>Active</x:v>
      </x:c>
      <x:c r="J1985" t="str">
        <x:v>Shopify DTC</x:v>
      </x:c>
      <x:c r="K1985" t="str">
        <x:v>Consumer</x:v>
      </x:c>
      <x:c r="L1985" t="str">
        <x:v>All Geographies</x:v>
      </x:c>
      <x:c r="M1985" s="34" t="n">
        <x:v>7296</x:v>
      </x:c>
      <x:c r="N1985" s="28" t="n">
        <x:v>0.034199999999999994</x:v>
      </x:c>
      <x:c r="O1985" s="34" t="n">
        <x:v>250</x:v>
      </x:c>
      <x:c r="P1985" s="34" t="n">
        <x:v>1</x:v>
      </x:c>
      <x:c r="Q1985" s="34" t="n">
        <x:v>250</x:v>
      </x:c>
      <x:c r="R1985" s="33" t="n">
        <x:v>29</x:v>
      </x:c>
      <x:c r="S1985" s="38" t="n">
        <x:v>7.25</x:v>
      </x:c>
      <x:c r="T1985" s="38" t="n">
        <x:v>0.58</x:v>
      </x:c>
      <x:c r="U1985" s="38" t="n">
        <x:v>0.30015</x:v>
      </x:c>
      <x:c r="V1985" s="38" t="n">
        <x:v>6.36985</x:v>
      </x:c>
      <x:c r="W1985" s="38" t="n">
        <x:v>2.7</x:v>
      </x:c>
      <x:c r="X1985" s="38" t="n">
        <x:v>0.18472565</x:v>
      </x:c>
      <x:c r="Y1985" s="38" t="n">
        <x:v>0</x:v>
      </x:c>
      <x:c r="Z1985" s="38" t="n">
        <x:v>1.0375</x:v>
      </x:c>
      <x:c r="AA1985" s="38" t="n">
        <x:v>0.4125</x:v>
      </x:c>
      <x:c r="AB1985" s="38" t="n">
        <x:v>0.009</x:v>
      </x:c>
      <x:c r="AC1985" s="38" t="n">
        <x:v>2.0261243499999995</x:v>
      </x:c>
      <x:c r="AD1985" s="28" t="n">
        <x:v>0.31808038650831644</x:v>
      </x:c>
    </x:row>
    <x:row r="1986">
      <x:c r="A1986" s="32" t="n">
        <x:v>46356</x:v>
      </x:c>
      <x:c r="B1986" s="32" t="n">
        <x:v>46327</x:v>
      </x:c>
      <x:c r="C1986" t="str">
        <x:v>Nov 2026</x:v>
      </x:c>
      <x:c r="D1986" t="str">
        <x:v>Forecast</x:v>
      </x:c>
      <x:c r="E1986" t="str">
        <x:v>DB-101</x:v>
      </x:c>
      <x:c r="F1986" t="str">
        <x:v>AeroSip Bottle</x:v>
      </x:c>
      <x:c r="G1986" t="str">
        <x:v>One-time purchase</x:v>
      </x:c>
      <x:c r="H1986" t="str">
        <x:v>None</x:v>
      </x:c>
      <x:c r="I1986" t="str">
        <x:v>Active</x:v>
      </x:c>
      <x:c r="J1986" t="str">
        <x:v>Amazon Marketplace</x:v>
      </x:c>
      <x:c r="K1986" t="str">
        <x:v>Marketplace Consumer</x:v>
      </x:c>
      <x:c r="L1986" t="str">
        <x:v>All Geographies</x:v>
      </x:c>
      <x:c r="M1986" s="34" t="n">
        <x:v>3648</x:v>
      </x:c>
      <x:c r="N1986" s="28" t="n">
        <x:v>0.040355999999999996</x:v>
      </x:c>
      <x:c r="O1986" s="34" t="n">
        <x:v>147</x:v>
      </x:c>
      <x:c r="P1986" s="34" t="n">
        <x:v>1</x:v>
      </x:c>
      <x:c r="Q1986" s="34" t="n">
        <x:v>147</x:v>
      </x:c>
      <x:c r="R1986" s="33" t="n">
        <x:v>29</x:v>
      </x:c>
      <x:c r="S1986" s="38" t="n">
        <x:v>4.263</x:v>
      </x:c>
      <x:c r="T1986" s="38" t="n">
        <x:v>0.21315</x:v>
      </x:c>
      <x:c r="U1986" s="38" t="n">
        <x:v>0.18224325</x:v>
      </x:c>
      <x:c r="V1986" s="38" t="n">
        <x:v>3.86760675</x:v>
      </x:c>
      <x:c r="W1986" s="38" t="n">
        <x:v>1.5876000000000001</x:v>
      </x:c>
      <x:c r="X1986" s="38" t="n">
        <x:v>0</x:v>
      </x:c>
      <x:c r="Y1986" s="38" t="n">
        <x:v>0.5801410125</x:v>
      </x:c>
      <x:c r="Z1986" s="38" t="n">
        <x:v>0.7644</x:v>
      </x:c>
      <x:c r="AA1986" s="38" t="n">
        <x:v>0.31605</x:v>
      </x:c>
      <x:c r="AB1986" s="38" t="n">
        <x:v>0.005292</x:v>
      </x:c>
      <x:c r="AC1986" s="38" t="n">
        <x:v>0.6141237375000003</x:v>
      </x:c>
      <x:c r="AD1986" s="28" t="n">
        <x:v>0.15878649955815705</x:v>
      </x:c>
    </x:row>
    <x:row r="1987">
      <x:c r="A1987" s="32" t="n">
        <x:v>46356</x:v>
      </x:c>
      <x:c r="B1987" s="32" t="n">
        <x:v>46327</x:v>
      </x:c>
      <x:c r="C1987" t="str">
        <x:v>Nov 2026</x:v>
      </x:c>
      <x:c r="D1987" t="str">
        <x:v>Forecast</x:v>
      </x:c>
      <x:c r="E1987" t="str">
        <x:v>DB-101</x:v>
      </x:c>
      <x:c r="F1987" t="str">
        <x:v>AeroSip Bottle</x:v>
      </x:c>
      <x:c r="G1987" t="str">
        <x:v>One-time purchase</x:v>
      </x:c>
      <x:c r="H1987" t="str">
        <x:v>None</x:v>
      </x:c>
      <x:c r="I1987" t="str">
        <x:v>Active</x:v>
      </x:c>
      <x:c r="J1987" t="str">
        <x:v>Wholesale</x:v>
      </x:c>
      <x:c r="K1987" t="str">
        <x:v>Retailer</x:v>
      </x:c>
      <x:c r="L1987" t="str">
        <x:v>All Geographies</x:v>
      </x:c>
      <x:c r="M1987" s="34" t="n">
        <x:v>2189</x:v>
      </x:c>
      <x:c r="N1987" s="28" t="n">
        <x:v>0.01881</x:v>
      </x:c>
      <x:c r="O1987" s="34" t="n">
        <x:v>41</x:v>
      </x:c>
      <x:c r="P1987" s="34" t="n">
        <x:v>1</x:v>
      </x:c>
      <x:c r="Q1987" s="34" t="n">
        <x:v>41</x:v>
      </x:c>
      <x:c r="R1987" s="33" t="n">
        <x:v>29</x:v>
      </x:c>
      <x:c r="S1987" s="38" t="n">
        <x:v>1.189</x:v>
      </x:c>
      <x:c r="T1987" s="38" t="n">
        <x:v>0.41615</x:v>
      </x:c>
      <x:c r="U1987" s="38" t="n">
        <x:v>0.034778250000000004</x:v>
      </x:c>
      <x:c r="V1987" s="38" t="n">
        <x:v>0.73807175</x:v>
      </x:c>
      <x:c r="W1987" s="38" t="n">
        <x:v>0.4428</x:v>
      </x:c>
      <x:c r="X1987" s="38" t="n">
        <x:v>0</x:v>
      </x:c>
      <x:c r="Y1987" s="38" t="n">
        <x:v>0</x:v>
      </x:c>
      <x:c r="Z1987" s="38" t="n">
        <x:v>0.0943</x:v>
      </x:c>
      <x:c r="AA1987" s="38" t="n">
        <x:v>0.03485</x:v>
      </x:c>
      <x:c r="AB1987" s="38" t="n">
        <x:v>0.0014759999999999999</x:v>
      </x:c>
      <x:c r="AC1987" s="38" t="n">
        <x:v>0.16464575</x:v>
      </x:c>
      <x:c r="AD1987" s="28" t="n">
        <x:v>0.22307553432305194</x:v>
      </x:c>
    </x:row>
    <x:row r="1988">
      <x:c r="A1988" s="32" t="n">
        <x:v>46356</x:v>
      </x:c>
      <x:c r="B1988" s="32" t="n">
        <x:v>46327</x:v>
      </x:c>
      <x:c r="C1988" t="str">
        <x:v>Nov 2026</x:v>
      </x:c>
      <x:c r="D1988" t="str">
        <x:v>Forecast</x:v>
      </x:c>
      <x:c r="E1988" t="str">
        <x:v>DB-101</x:v>
      </x:c>
      <x:c r="F1988" t="str">
        <x:v>AeroSip Bottle</x:v>
      </x:c>
      <x:c r="G1988" t="str">
        <x:v>One-time purchase</x:v>
      </x:c>
      <x:c r="H1988" t="str">
        <x:v>None</x:v>
      </x:c>
      <x:c r="I1988" t="str">
        <x:v>Active</x:v>
      </x:c>
      <x:c r="J1988" t="str">
        <x:v>TikTok Shop</x:v>
      </x:c>
      <x:c r="K1988" t="str">
        <x:v>Social Commerce</x:v>
      </x:c>
      <x:c r="L1988" t="str">
        <x:v>All Geographies</x:v>
      </x:c>
      <x:c r="M1988" s="34" t="n">
        <x:v>1459</x:v>
      </x:c>
      <x:c r="N1988" s="28" t="n">
        <x:v>0.043092</x:v>
      </x:c>
      <x:c r="O1988" s="34" t="n">
        <x:v>63</x:v>
      </x:c>
      <x:c r="P1988" s="34" t="n">
        <x:v>1</x:v>
      </x:c>
      <x:c r="Q1988" s="34" t="n">
        <x:v>63</x:v>
      </x:c>
      <x:c r="R1988" s="33" t="n">
        <x:v>29</x:v>
      </x:c>
      <x:c r="S1988" s="38" t="n">
        <x:v>1.827</x:v>
      </x:c>
      <x:c r="T1988" s="38" t="n">
        <x:v>0.21924</x:v>
      </x:c>
      <x:c r="U1988" s="38" t="n">
        <x:v>0.07234919999999999</x:v>
      </x:c>
      <x:c r="V1988" s="38" t="n">
        <x:v>1.5354108</x:v>
      </x:c>
      <x:c r="W1988" s="38" t="n">
        <x:v>0.6804000000000001</x:v>
      </x:c>
      <x:c r="X1988" s="38" t="n">
        <x:v>0.044526913200000004</x:v>
      </x:c>
      <x:c r="Y1988" s="38" t="n">
        <x:v>0.09212464799999999</x:v>
      </x:c>
      <x:c r="Z1988" s="38" t="n">
        <x:v>0.3213</x:v>
      </x:c>
      <x:c r="AA1988" s="38" t="n">
        <x:v>0.11025</x:v>
      </x:c>
      <x:c r="AB1988" s="38" t="n">
        <x:v>0.0022679999999999996</x:v>
      </x:c>
      <x:c r="AC1988" s="38" t="n">
        <x:v>0.2845412387999999</x:v>
      </x:c>
      <x:c r="AD1988" s="28" t="n">
        <x:v>0.18531928966501987</x:v>
      </x:c>
    </x:row>
    <x:row r="1989">
      <x:c r="A1989" s="32" t="n">
        <x:v>46356</x:v>
      </x:c>
      <x:c r="B1989" s="32" t="n">
        <x:v>46327</x:v>
      </x:c>
      <x:c r="C1989" t="str">
        <x:v>Nov 2026</x:v>
      </x:c>
      <x:c r="D1989" t="str">
        <x:v>Forecast</x:v>
      </x:c>
      <x:c r="E1989" t="str">
        <x:v>DB-102</x:v>
      </x:c>
      <x:c r="F1989" t="str">
        <x:v>GlowPatch Balm</x:v>
      </x:c>
      <x:c r="G1989" t="str">
        <x:v>Consumable repeat</x:v>
      </x:c>
      <x:c r="H1989" t="str">
        <x:v>None</x:v>
      </x:c>
      <x:c r="I1989" t="str">
        <x:v>Active</x:v>
      </x:c>
      <x:c r="J1989" t="str">
        <x:v>Shopify DTC</x:v>
      </x:c>
      <x:c r="K1989" t="str">
        <x:v>Consumer</x:v>
      </x:c>
      <x:c r="L1989" t="str">
        <x:v>All Geographies</x:v>
      </x:c>
      <x:c r="M1989" s="34" t="n">
        <x:v>5893</x:v>
      </x:c>
      <x:c r="N1989" s="28" t="n">
        <x:v>0.04248</x:v>
      </x:c>
      <x:c r="O1989" s="34" t="n">
        <x:v>250</x:v>
      </x:c>
      <x:c r="P1989" s="34" t="n">
        <x:v>1</x:v>
      </x:c>
      <x:c r="Q1989" s="34" t="n">
        <x:v>250</x:v>
      </x:c>
      <x:c r="R1989" s="33" t="n">
        <x:v>18</x:v>
      </x:c>
      <x:c r="S1989" s="38" t="n">
        <x:v>4.5</x:v>
      </x:c>
      <x:c r="T1989" s="38" t="n">
        <x:v>0.36</x:v>
      </x:c>
      <x:c r="U1989" s="38" t="n">
        <x:v>0.1035</x:v>
      </x:c>
      <x:c r="V1989" s="38" t="n">
        <x:v>4.036499999999999</x:v>
      </x:c>
      <x:c r="W1989" s="38" t="n">
        <x:v>1.3525</x:v>
      </x:c>
      <x:c r="X1989" s="38" t="n">
        <x:v>0.11705849999999998</x:v>
      </x:c>
      <x:c r="Y1989" s="38" t="n">
        <x:v>0</x:v>
      </x:c>
      <x:c r="Z1989" s="38" t="n">
        <x:v>1.0375</x:v>
      </x:c>
      <x:c r="AA1989" s="38" t="n">
        <x:v>0.4125</x:v>
      </x:c>
      <x:c r="AB1989" s="38" t="n">
        <x:v>0.0015</x:v>
      </x:c>
      <x:c r="AC1989" s="38" t="n">
        <x:v>1.1154414999999989</x:v>
      </x:c>
      <x:c r="AD1989" s="28" t="n">
        <x:v>0.2763387835996529</x:v>
      </x:c>
    </x:row>
    <x:row r="1990">
      <x:c r="A1990" s="32" t="n">
        <x:v>46356</x:v>
      </x:c>
      <x:c r="B1990" s="32" t="n">
        <x:v>46327</x:v>
      </x:c>
      <x:c r="C1990" t="str">
        <x:v>Nov 2026</x:v>
      </x:c>
      <x:c r="D1990" t="str">
        <x:v>Forecast</x:v>
      </x:c>
      <x:c r="E1990" t="str">
        <x:v>DB-102</x:v>
      </x:c>
      <x:c r="F1990" t="str">
        <x:v>GlowPatch Balm</x:v>
      </x:c>
      <x:c r="G1990" t="str">
        <x:v>Consumable repeat</x:v>
      </x:c>
      <x:c r="H1990" t="str">
        <x:v>None</x:v>
      </x:c>
      <x:c r="I1990" t="str">
        <x:v>Active</x:v>
      </x:c>
      <x:c r="J1990" t="str">
        <x:v>Amazon Marketplace</x:v>
      </x:c>
      <x:c r="K1990" t="str">
        <x:v>Marketplace Consumer</x:v>
      </x:c>
      <x:c r="L1990" t="str">
        <x:v>All Geographies</x:v>
      </x:c>
      <x:c r="M1990" s="34" t="n">
        <x:v>2946</x:v>
      </x:c>
      <x:c r="N1990" s="28" t="n">
        <x:v>0.050126399999999995</x:v>
      </x:c>
      <x:c r="O1990" s="34" t="n">
        <x:v>148</x:v>
      </x:c>
      <x:c r="P1990" s="34" t="n">
        <x:v>1</x:v>
      </x:c>
      <x:c r="Q1990" s="34" t="n">
        <x:v>148</x:v>
      </x:c>
      <x:c r="R1990" s="33" t="n">
        <x:v>18</x:v>
      </x:c>
      <x:c r="S1990" s="38" t="n">
        <x:v>2.664</x:v>
      </x:c>
      <x:c r="T1990" s="38" t="n">
        <x:v>0.1332</x:v>
      </x:c>
      <x:c r="U1990" s="38" t="n">
        <x:v>0.06327</x:v>
      </x:c>
      <x:c r="V1990" s="38" t="n">
        <x:v>2.46753</x:v>
      </x:c>
      <x:c r="W1990" s="38" t="n">
        <x:v>0.8006800000000001</x:v>
      </x:c>
      <x:c r="X1990" s="38" t="n">
        <x:v>0</x:v>
      </x:c>
      <x:c r="Y1990" s="38" t="n">
        <x:v>0.3701295</x:v>
      </x:c>
      <x:c r="Z1990" s="38" t="n">
        <x:v>0.7696000000000001</x:v>
      </x:c>
      <x:c r="AA1990" s="38" t="n">
        <x:v>0.3182</x:v>
      </x:c>
      <x:c r="AB1990" s="38" t="n">
        <x:v>0.0008879999999999999</x:v>
      </x:c>
      <x:c r="AC1990" s="38" t="n">
        <x:v>0.2080324999999999</x:v>
      </x:c>
      <x:c r="AD1990" s="28" t="n">
        <x:v>0.084307992202729</x:v>
      </x:c>
    </x:row>
    <x:row r="1991">
      <x:c r="A1991" s="32" t="n">
        <x:v>46356</x:v>
      </x:c>
      <x:c r="B1991" s="32" t="n">
        <x:v>46327</x:v>
      </x:c>
      <x:c r="C1991" t="str">
        <x:v>Nov 2026</x:v>
      </x:c>
      <x:c r="D1991" t="str">
        <x:v>Forecast</x:v>
      </x:c>
      <x:c r="E1991" t="str">
        <x:v>DB-102</x:v>
      </x:c>
      <x:c r="F1991" t="str">
        <x:v>GlowPatch Balm</x:v>
      </x:c>
      <x:c r="G1991" t="str">
        <x:v>Consumable repeat</x:v>
      </x:c>
      <x:c r="H1991" t="str">
        <x:v>None</x:v>
      </x:c>
      <x:c r="I1991" t="str">
        <x:v>Active</x:v>
      </x:c>
      <x:c r="J1991" t="str">
        <x:v>Wholesale</x:v>
      </x:c>
      <x:c r="K1991" t="str">
        <x:v>Retailer</x:v>
      </x:c>
      <x:c r="L1991" t="str">
        <x:v>All Geographies</x:v>
      </x:c>
      <x:c r="M1991" s="34" t="n">
        <x:v>1768</x:v>
      </x:c>
      <x:c r="N1991" s="28" t="n">
        <x:v>0.023364</x:v>
      </x:c>
      <x:c r="O1991" s="34" t="n">
        <x:v>41</x:v>
      </x:c>
      <x:c r="P1991" s="34" t="n">
        <x:v>1</x:v>
      </x:c>
      <x:c r="Q1991" s="34" t="n">
        <x:v>41</x:v>
      </x:c>
      <x:c r="R1991" s="33" t="n">
        <x:v>18</x:v>
      </x:c>
      <x:c r="S1991" s="38" t="n">
        <x:v>0.738</x:v>
      </x:c>
      <x:c r="T1991" s="38" t="n">
        <x:v>0.2583</x:v>
      </x:c>
      <x:c r="U1991" s="38" t="n">
        <x:v>0.011992500000000001</x:v>
      </x:c>
      <x:c r="V1991" s="38" t="n">
        <x:v>0.4677075</x:v>
      </x:c>
      <x:c r="W1991" s="38" t="n">
        <x:v>0.22181</x:v>
      </x:c>
      <x:c r="X1991" s="38" t="n">
        <x:v>0</x:v>
      </x:c>
      <x:c r="Y1991" s="38" t="n">
        <x:v>0</x:v>
      </x:c>
      <x:c r="Z1991" s="38" t="n">
        <x:v>0.0943</x:v>
      </x:c>
      <x:c r="AA1991" s="38" t="n">
        <x:v>0.03485</x:v>
      </x:c>
      <x:c r="AB1991" s="38" t="n">
        <x:v>0.000246</x:v>
      </x:c>
      <x:c r="AC1991" s="38" t="n">
        <x:v>0.11650150000000001</x:v>
      </x:c>
      <x:c r="AD1991" s="28" t="n">
        <x:v>0.2490905106289722</x:v>
      </x:c>
    </x:row>
    <x:row r="1992">
      <x:c r="A1992" s="32" t="n">
        <x:v>46356</x:v>
      </x:c>
      <x:c r="B1992" s="32" t="n">
        <x:v>46327</x:v>
      </x:c>
      <x:c r="C1992" t="str">
        <x:v>Nov 2026</x:v>
      </x:c>
      <x:c r="D1992" t="str">
        <x:v>Forecast</x:v>
      </x:c>
      <x:c r="E1992" t="str">
        <x:v>DB-102</x:v>
      </x:c>
      <x:c r="F1992" t="str">
        <x:v>GlowPatch Balm</x:v>
      </x:c>
      <x:c r="G1992" t="str">
        <x:v>Consumable repeat</x:v>
      </x:c>
      <x:c r="H1992" t="str">
        <x:v>None</x:v>
      </x:c>
      <x:c r="I1992" t="str">
        <x:v>Active</x:v>
      </x:c>
      <x:c r="J1992" t="str">
        <x:v>TikTok Shop</x:v>
      </x:c>
      <x:c r="K1992" t="str">
        <x:v>Social Commerce</x:v>
      </x:c>
      <x:c r="L1992" t="str">
        <x:v>All Geographies</x:v>
      </x:c>
      <x:c r="M1992" s="34" t="n">
        <x:v>1179</x:v>
      </x:c>
      <x:c r="N1992" s="28" t="n">
        <x:v>0.0535248</x:v>
      </x:c>
      <x:c r="O1992" s="34" t="n">
        <x:v>63</x:v>
      </x:c>
      <x:c r="P1992" s="34" t="n">
        <x:v>1</x:v>
      </x:c>
      <x:c r="Q1992" s="34" t="n">
        <x:v>63</x:v>
      </x:c>
      <x:c r="R1992" s="33" t="n">
        <x:v>18</x:v>
      </x:c>
      <x:c r="S1992" s="38" t="n">
        <x:v>1.134</x:v>
      </x:c>
      <x:c r="T1992" s="38" t="n">
        <x:v>0.13607999999999998</x:v>
      </x:c>
      <x:c r="U1992" s="38" t="n">
        <x:v>0.024947999999999998</x:v>
      </x:c>
      <x:c r="V1992" s="38" t="n">
        <x:v>0.972972</x:v>
      </x:c>
      <x:c r="W1992" s="38" t="n">
        <x:v>0.34082999999999997</x:v>
      </x:c>
      <x:c r="X1992" s="38" t="n">
        <x:v>0.028216188</x:v>
      </x:c>
      <x:c r="Y1992" s="38" t="n">
        <x:v>0.05837832</x:v>
      </x:c>
      <x:c r="Z1992" s="38" t="n">
        <x:v>0.3213</x:v>
      </x:c>
      <x:c r="AA1992" s="38" t="n">
        <x:v>0.11025</x:v>
      </x:c>
      <x:c r="AB1992" s="38" t="n">
        <x:v>0.000378</x:v>
      </x:c>
      <x:c r="AC1992" s="38" t="n">
        <x:v>0.11361949199999999</x:v>
      </x:c>
      <x:c r="AD1992" s="28" t="n">
        <x:v>0.11677570577570577</x:v>
      </x:c>
    </x:row>
    <x:row r="1993">
      <x:c r="A1993" s="32" t="n">
        <x:v>46356</x:v>
      </x:c>
      <x:c r="B1993" s="32" t="n">
        <x:v>46327</x:v>
      </x:c>
      <x:c r="C1993" t="str">
        <x:v>Nov 2026</x:v>
      </x:c>
      <x:c r="D1993" t="str">
        <x:v>Forecast</x:v>
      </x:c>
      <x:c r="E1993" t="str">
        <x:v>DB-103</x:v>
      </x:c>
      <x:c r="F1993" t="str">
        <x:v>EmberTrail Camp Mug</x:v>
      </x:c>
      <x:c r="G1993" t="str">
        <x:v>One-time purchase</x:v>
      </x:c>
      <x:c r="H1993" t="str">
        <x:v>Winter peak</x:v>
      </x:c>
      <x:c r="I1993" t="str">
        <x:v>Active</x:v>
      </x:c>
      <x:c r="J1993" t="str">
        <x:v>Shopify DTC</x:v>
      </x:c>
      <x:c r="K1993" t="str">
        <x:v>Consumer</x:v>
      </x:c>
      <x:c r="L1993" t="str">
        <x:v>All Geographies</x:v>
      </x:c>
      <x:c r="M1993" s="34" t="n">
        <x:v>7172</x:v>
      </x:c>
      <x:c r="N1993" s="28" t="n">
        <x:v>0.0324</x:v>
      </x:c>
      <x:c r="O1993" s="34" t="n">
        <x:v>232</x:v>
      </x:c>
      <x:c r="P1993" s="34" t="n">
        <x:v>1</x:v>
      </x:c>
      <x:c r="Q1993" s="34" t="n">
        <x:v>232</x:v>
      </x:c>
      <x:c r="R1993" s="33" t="n">
        <x:v>34</x:v>
      </x:c>
      <x:c r="S1993" s="38" t="n">
        <x:v>7.888</x:v>
      </x:c>
      <x:c r="T1993" s="38" t="n">
        <x:v>0.63104</x:v>
      </x:c>
      <x:c r="U1993" s="38" t="n">
        <x:v>0.39913279999999995</x:v>
      </x:c>
      <x:c r="V1993" s="38" t="n">
        <x:v>6.857827199999999</x:v>
      </x:c>
      <x:c r="W1993" s="38" t="n">
        <x:v>3.17144</x:v>
      </x:c>
      <x:c r="X1993" s="38" t="n">
        <x:v>0.1988769888</x:v>
      </x:c>
      <x:c r="Y1993" s="38" t="n">
        <x:v>0</x:v>
      </x:c>
      <x:c r="Z1993" s="38" t="n">
        <x:v>0.9628000000000001</x:v>
      </x:c>
      <x:c r="AA1993" s="38" t="n">
        <x:v>0.3828</x:v>
      </x:c>
      <x:c r="AB1993" s="38" t="n">
        <x:v>0.012992</x:v>
      </x:c>
      <x:c r="AC1993" s="38" t="n">
        <x:v>2.128918211199999</x:v>
      </x:c>
      <x:c r="AD1993" s="28" t="n">
        <x:v>0.31043625759482524</x:v>
      </x:c>
    </x:row>
    <x:row r="1994">
      <x:c r="A1994" s="32" t="n">
        <x:v>46356</x:v>
      </x:c>
      <x:c r="B1994" s="32" t="n">
        <x:v>46327</x:v>
      </x:c>
      <x:c r="C1994" t="str">
        <x:v>Nov 2026</x:v>
      </x:c>
      <x:c r="D1994" t="str">
        <x:v>Forecast</x:v>
      </x:c>
      <x:c r="E1994" t="str">
        <x:v>DB-103</x:v>
      </x:c>
      <x:c r="F1994" t="str">
        <x:v>EmberTrail Camp Mug</x:v>
      </x:c>
      <x:c r="G1994" t="str">
        <x:v>One-time purchase</x:v>
      </x:c>
      <x:c r="H1994" t="str">
        <x:v>Winter peak</x:v>
      </x:c>
      <x:c r="I1994" t="str">
        <x:v>Active</x:v>
      </x:c>
      <x:c r="J1994" t="str">
        <x:v>Amazon Marketplace</x:v>
      </x:c>
      <x:c r="K1994" t="str">
        <x:v>Marketplace Consumer</x:v>
      </x:c>
      <x:c r="L1994" t="str">
        <x:v>All Geographies</x:v>
      </x:c>
      <x:c r="M1994" s="34" t="n">
        <x:v>3586</x:v>
      </x:c>
      <x:c r="N1994" s="28" t="n">
        <x:v>0.038231999999999995</x:v>
      </x:c>
      <x:c r="O1994" s="34" t="n">
        <x:v>137</x:v>
      </x:c>
      <x:c r="P1994" s="34" t="n">
        <x:v>1</x:v>
      </x:c>
      <x:c r="Q1994" s="34" t="n">
        <x:v>137</x:v>
      </x:c>
      <x:c r="R1994" s="33" t="n">
        <x:v>34</x:v>
      </x:c>
      <x:c r="S1994" s="38" t="n">
        <x:v>4.658</x:v>
      </x:c>
      <x:c r="T1994" s="38" t="n">
        <x:v>0.23290000000000002</x:v>
      </x:c>
      <x:c r="U1994" s="38" t="n">
        <x:v>0.24338050000000003</x:v>
      </x:c>
      <x:c r="V1994" s="38" t="n">
        <x:v>4.181719500000001</x:v>
      </x:c>
      <x:c r="W1994" s="38" t="n">
        <x:v>1.87279</x:v>
      </x:c>
      <x:c r="X1994" s="38" t="n">
        <x:v>0</x:v>
      </x:c>
      <x:c r="Y1994" s="38" t="n">
        <x:v>0.6272579250000001</x:v>
      </x:c>
      <x:c r="Z1994" s="38" t="n">
        <x:v>0.7123999999999999</x:v>
      </x:c>
      <x:c r="AA1994" s="38" t="n">
        <x:v>0.29455000000000003</x:v>
      </x:c>
      <x:c r="AB1994" s="38" t="n">
        <x:v>0.007672000000000001</x:v>
      </x:c>
      <x:c r="AC1994" s="38" t="n">
        <x:v>0.6670495750000004</x:v>
      </x:c>
      <x:c r="AD1994" s="28" t="n">
        <x:v>0.1595156191131424</x:v>
      </x:c>
    </x:row>
    <x:row r="1995">
      <x:c r="A1995" s="32" t="n">
        <x:v>46356</x:v>
      </x:c>
      <x:c r="B1995" s="32" t="n">
        <x:v>46327</x:v>
      </x:c>
      <x:c r="C1995" t="str">
        <x:v>Nov 2026</x:v>
      </x:c>
      <x:c r="D1995" t="str">
        <x:v>Forecast</x:v>
      </x:c>
      <x:c r="E1995" t="str">
        <x:v>DB-103</x:v>
      </x:c>
      <x:c r="F1995" t="str">
        <x:v>EmberTrail Camp Mug</x:v>
      </x:c>
      <x:c r="G1995" t="str">
        <x:v>One-time purchase</x:v>
      </x:c>
      <x:c r="H1995" t="str">
        <x:v>Winter peak</x:v>
      </x:c>
      <x:c r="I1995" t="str">
        <x:v>Active</x:v>
      </x:c>
      <x:c r="J1995" t="str">
        <x:v>Wholesale</x:v>
      </x:c>
      <x:c r="K1995" t="str">
        <x:v>Retailer</x:v>
      </x:c>
      <x:c r="L1995" t="str">
        <x:v>All Geographies</x:v>
      </x:c>
      <x:c r="M1995" s="34" t="n">
        <x:v>2152</x:v>
      </x:c>
      <x:c r="N1995" s="28" t="n">
        <x:v>0.017820000000000003</x:v>
      </x:c>
      <x:c r="O1995" s="34" t="n">
        <x:v>38</x:v>
      </x:c>
      <x:c r="P1995" s="34" t="n">
        <x:v>1</x:v>
      </x:c>
      <x:c r="Q1995" s="34" t="n">
        <x:v>38</x:v>
      </x:c>
      <x:c r="R1995" s="33" t="n">
        <x:v>34</x:v>
      </x:c>
      <x:c r="S1995" s="38" t="n">
        <x:v>1.292</x:v>
      </x:c>
      <x:c r="T1995" s="38" t="n">
        <x:v>0.4522</x:v>
      </x:c>
      <x:c r="U1995" s="38" t="n">
        <x:v>0.04618900000000001</x:v>
      </x:c>
      <x:c r="V1995" s="38" t="n">
        <x:v>0.7936110000000001</x:v>
      </x:c>
      <x:c r="W1995" s="38" t="n">
        <x:v>0.51946</x:v>
      </x:c>
      <x:c r="X1995" s="38" t="n">
        <x:v>0</x:v>
      </x:c>
      <x:c r="Y1995" s="38" t="n">
        <x:v>0</x:v>
      </x:c>
      <x:c r="Z1995" s="38" t="n">
        <x:v>0.08739999999999999</x:v>
      </x:c>
      <x:c r="AA1995" s="38" t="n">
        <x:v>0.032299999999999995</x:v>
      </x:c>
      <x:c r="AB1995" s="38" t="n">
        <x:v>0.002128</x:v>
      </x:c>
      <x:c r="AC1995" s="38" t="n">
        <x:v>0.15232300000000007</x:v>
      </x:c>
      <x:c r="AD1995" s="28" t="n">
        <x:v>0.19193660370130966</x:v>
      </x:c>
    </x:row>
    <x:row r="1996">
      <x:c r="A1996" s="32" t="n">
        <x:v>46356</x:v>
      </x:c>
      <x:c r="B1996" s="32" t="n">
        <x:v>46327</x:v>
      </x:c>
      <x:c r="C1996" t="str">
        <x:v>Nov 2026</x:v>
      </x:c>
      <x:c r="D1996" t="str">
        <x:v>Forecast</x:v>
      </x:c>
      <x:c r="E1996" t="str">
        <x:v>DB-103</x:v>
      </x:c>
      <x:c r="F1996" t="str">
        <x:v>EmberTrail Camp Mug</x:v>
      </x:c>
      <x:c r="G1996" t="str">
        <x:v>One-time purchase</x:v>
      </x:c>
      <x:c r="H1996" t="str">
        <x:v>Winter peak</x:v>
      </x:c>
      <x:c r="I1996" t="str">
        <x:v>Active</x:v>
      </x:c>
      <x:c r="J1996" t="str">
        <x:v>TikTok Shop</x:v>
      </x:c>
      <x:c r="K1996" t="str">
        <x:v>Social Commerce</x:v>
      </x:c>
      <x:c r="L1996" t="str">
        <x:v>All Geographies</x:v>
      </x:c>
      <x:c r="M1996" s="34" t="n">
        <x:v>1434</x:v>
      </x:c>
      <x:c r="N1996" s="28" t="n">
        <x:v>0.040824</x:v>
      </x:c>
      <x:c r="O1996" s="34" t="n">
        <x:v>59</x:v>
      </x:c>
      <x:c r="P1996" s="34" t="n">
        <x:v>1</x:v>
      </x:c>
      <x:c r="Q1996" s="34" t="n">
        <x:v>59</x:v>
      </x:c>
      <x:c r="R1996" s="33" t="n">
        <x:v>34</x:v>
      </x:c>
      <x:c r="S1996" s="38" t="n">
        <x:v>2.006</x:v>
      </x:c>
      <x:c r="T1996" s="38" t="n">
        <x:v>0.24071999999999996</x:v>
      </x:c>
      <x:c r="U1996" s="38" t="n">
        <x:v>0.09709039999999998</x:v>
      </x:c>
      <x:c r="V1996" s="38" t="n">
        <x:v>1.6681895999999998</x:v>
      </x:c>
      <x:c r="W1996" s="38" t="n">
        <x:v>0.80653</x:v>
      </x:c>
      <x:c r="X1996" s="38" t="n">
        <x:v>0.048377498399999996</x:v>
      </x:c>
      <x:c r="Y1996" s="38" t="n">
        <x:v>0.10009137599999998</x:v>
      </x:c>
      <x:c r="Z1996" s="38" t="n">
        <x:v>0.3009</x:v>
      </x:c>
      <x:c r="AA1996" s="38" t="n">
        <x:v>0.10325</x:v>
      </x:c>
      <x:c r="AB1996" s="38" t="n">
        <x:v>0.003304</x:v>
      </x:c>
      <x:c r="AC1996" s="38" t="n">
        <x:v>0.30573672559999987</x:v>
      </x:c>
      <x:c r="AD1996" s="28" t="n">
        <x:v>0.1832745663922134</x:v>
      </x:c>
    </x:row>
    <x:row r="1997">
      <x:c r="A1997" s="32" t="n">
        <x:v>46356</x:v>
      </x:c>
      <x:c r="B1997" s="32" t="n">
        <x:v>46327</x:v>
      </x:c>
      <x:c r="C1997" t="str">
        <x:v>Nov 2026</x:v>
      </x:c>
      <x:c r="D1997" t="str">
        <x:v>Forecast</x:v>
      </x:c>
      <x:c r="E1997" t="str">
        <x:v>DB-104</x:v>
      </x:c>
      <x:c r="F1997" t="str">
        <x:v>SunNest Cooling Towel</x:v>
      </x:c>
      <x:c r="G1997" t="str">
        <x:v>Consumable repeat</x:v>
      </x:c>
      <x:c r="H1997" t="str">
        <x:v>Summer peak</x:v>
      </x:c>
      <x:c r="I1997" t="str">
        <x:v>Discontinued</x:v>
      </x:c>
      <x:c r="J1997" t="str">
        <x:v>Shopify DTC</x:v>
      </x:c>
      <x:c r="K1997" t="str">
        <x:v>Consumer</x:v>
      </x:c>
      <x:c r="L1997" t="str">
        <x:v>All Geographies</x:v>
      </x:c>
      <x:c r="M1997" s="34" t="n">
        <x:v>0</x:v>
      </x:c>
      <x:c r="N1997" s="28" t="n">
        <x:v>0.03312</x:v>
      </x:c>
      <x:c r="O1997" s="34" t="n">
        <x:v>0</x:v>
      </x:c>
      <x:c r="P1997" s="34" t="n">
        <x:v>1</x:v>
      </x:c>
      <x:c r="Q1997" s="34" t="n">
        <x:v>0</x:v>
      </x:c>
      <x:c r="R1997" s="33" t="n">
        <x:v>42</x:v>
      </x:c>
      <x:c r="S1997" s="38" t="n">
        <x:v>0</x:v>
      </x:c>
      <x:c r="T1997" s="38" t="n">
        <x:v>0</x:v>
      </x:c>
      <x:c r="U1997" s="38" t="n">
        <x:v>0</x:v>
      </x:c>
      <x:c r="V1997" s="38" t="n">
        <x:v>0</x:v>
      </x:c>
      <x:c r="W1997" s="38" t="n">
        <x:v>0</x:v>
      </x:c>
      <x:c r="X1997" s="38" t="n">
        <x:v>0</x:v>
      </x:c>
      <x:c r="Y1997" s="38" t="n">
        <x:v>0</x:v>
      </x:c>
      <x:c r="Z1997" s="38" t="n">
        <x:v>0</x:v>
      </x:c>
      <x:c r="AA1997" s="38" t="n">
        <x:v>0</x:v>
      </x:c>
      <x:c r="AB1997" s="38" t="n">
        <x:v>0</x:v>
      </x:c>
      <x:c r="AC1997" s="38" t="n">
        <x:v>0</x:v>
      </x:c>
      <x:c r="AD1997" s="28" t="n">
        <x:v>0</x:v>
      </x:c>
    </x:row>
    <x:row r="1998">
      <x:c r="A1998" s="32" t="n">
        <x:v>46356</x:v>
      </x:c>
      <x:c r="B1998" s="32" t="n">
        <x:v>46327</x:v>
      </x:c>
      <x:c r="C1998" t="str">
        <x:v>Nov 2026</x:v>
      </x:c>
      <x:c r="D1998" t="str">
        <x:v>Forecast</x:v>
      </x:c>
      <x:c r="E1998" t="str">
        <x:v>DB-104</x:v>
      </x:c>
      <x:c r="F1998" t="str">
        <x:v>SunNest Cooling Towel</x:v>
      </x:c>
      <x:c r="G1998" t="str">
        <x:v>Consumable repeat</x:v>
      </x:c>
      <x:c r="H1998" t="str">
        <x:v>Summer peak</x:v>
      </x:c>
      <x:c r="I1998" t="str">
        <x:v>Discontinued</x:v>
      </x:c>
      <x:c r="J1998" t="str">
        <x:v>Amazon Marketplace</x:v>
      </x:c>
      <x:c r="K1998" t="str">
        <x:v>Marketplace Consumer</x:v>
      </x:c>
      <x:c r="L1998" t="str">
        <x:v>All Geographies</x:v>
      </x:c>
      <x:c r="M1998" s="34" t="n">
        <x:v>0</x:v>
      </x:c>
      <x:c r="N1998" s="28" t="n">
        <x:v>0.0390816</x:v>
      </x:c>
      <x:c r="O1998" s="34" t="n">
        <x:v>0</x:v>
      </x:c>
      <x:c r="P1998" s="34" t="n">
        <x:v>1</x:v>
      </x:c>
      <x:c r="Q1998" s="34" t="n">
        <x:v>0</x:v>
      </x:c>
      <x:c r="R1998" s="33" t="n">
        <x:v>42</x:v>
      </x:c>
      <x:c r="S1998" s="38" t="n">
        <x:v>0</x:v>
      </x:c>
      <x:c r="T1998" s="38" t="n">
        <x:v>0</x:v>
      </x:c>
      <x:c r="U1998" s="38" t="n">
        <x:v>0</x:v>
      </x:c>
      <x:c r="V1998" s="38" t="n">
        <x:v>0</x:v>
      </x:c>
      <x:c r="W1998" s="38" t="n">
        <x:v>0</x:v>
      </x:c>
      <x:c r="X1998" s="38" t="n">
        <x:v>0</x:v>
      </x:c>
      <x:c r="Y1998" s="38" t="n">
        <x:v>0</x:v>
      </x:c>
      <x:c r="Z1998" s="38" t="n">
        <x:v>0</x:v>
      </x:c>
      <x:c r="AA1998" s="38" t="n">
        <x:v>0</x:v>
      </x:c>
      <x:c r="AB1998" s="38" t="n">
        <x:v>0</x:v>
      </x:c>
      <x:c r="AC1998" s="38" t="n">
        <x:v>0</x:v>
      </x:c>
      <x:c r="AD1998" s="28" t="n">
        <x:v>0</x:v>
      </x:c>
    </x:row>
    <x:row r="1999">
      <x:c r="A1999" s="32" t="n">
        <x:v>46356</x:v>
      </x:c>
      <x:c r="B1999" s="32" t="n">
        <x:v>46327</x:v>
      </x:c>
      <x:c r="C1999" t="str">
        <x:v>Nov 2026</x:v>
      </x:c>
      <x:c r="D1999" t="str">
        <x:v>Forecast</x:v>
      </x:c>
      <x:c r="E1999" t="str">
        <x:v>DB-104</x:v>
      </x:c>
      <x:c r="F1999" t="str">
        <x:v>SunNest Cooling Towel</x:v>
      </x:c>
      <x:c r="G1999" t="str">
        <x:v>Consumable repeat</x:v>
      </x:c>
      <x:c r="H1999" t="str">
        <x:v>Summer peak</x:v>
      </x:c>
      <x:c r="I1999" t="str">
        <x:v>Discontinued</x:v>
      </x:c>
      <x:c r="J1999" t="str">
        <x:v>Wholesale</x:v>
      </x:c>
      <x:c r="K1999" t="str">
        <x:v>Retailer</x:v>
      </x:c>
      <x:c r="L1999" t="str">
        <x:v>All Geographies</x:v>
      </x:c>
      <x:c r="M1999" s="34" t="n">
        <x:v>0</x:v>
      </x:c>
      <x:c r="N1999" s="28" t="n">
        <x:v>0.018216000000000003</x:v>
      </x:c>
      <x:c r="O1999" s="34" t="n">
        <x:v>0</x:v>
      </x:c>
      <x:c r="P1999" s="34" t="n">
        <x:v>1</x:v>
      </x:c>
      <x:c r="Q1999" s="34" t="n">
        <x:v>0</x:v>
      </x:c>
      <x:c r="R1999" s="33" t="n">
        <x:v>42</x:v>
      </x:c>
      <x:c r="S1999" s="38" t="n">
        <x:v>0</x:v>
      </x:c>
      <x:c r="T1999" s="38" t="n">
        <x:v>0</x:v>
      </x:c>
      <x:c r="U1999" s="38" t="n">
        <x:v>0</x:v>
      </x:c>
      <x:c r="V1999" s="38" t="n">
        <x:v>0</x:v>
      </x:c>
      <x:c r="W1999" s="38" t="n">
        <x:v>0</x:v>
      </x:c>
      <x:c r="X1999" s="38" t="n">
        <x:v>0</x:v>
      </x:c>
      <x:c r="Y1999" s="38" t="n">
        <x:v>0</x:v>
      </x:c>
      <x:c r="Z1999" s="38" t="n">
        <x:v>0</x:v>
      </x:c>
      <x:c r="AA1999" s="38" t="n">
        <x:v>0</x:v>
      </x:c>
      <x:c r="AB1999" s="38" t="n">
        <x:v>0</x:v>
      </x:c>
      <x:c r="AC1999" s="38" t="n">
        <x:v>0</x:v>
      </x:c>
      <x:c r="AD1999" s="28" t="n">
        <x:v>0</x:v>
      </x:c>
    </x:row>
    <x:row r="2000">
      <x:c r="A2000" s="32" t="n">
        <x:v>46356</x:v>
      </x:c>
      <x:c r="B2000" s="32" t="n">
        <x:v>46327</x:v>
      </x:c>
      <x:c r="C2000" t="str">
        <x:v>Nov 2026</x:v>
      </x:c>
      <x:c r="D2000" t="str">
        <x:v>Forecast</x:v>
      </x:c>
      <x:c r="E2000" t="str">
        <x:v>DB-104</x:v>
      </x:c>
      <x:c r="F2000" t="str">
        <x:v>SunNest Cooling Towel</x:v>
      </x:c>
      <x:c r="G2000" t="str">
        <x:v>Consumable repeat</x:v>
      </x:c>
      <x:c r="H2000" t="str">
        <x:v>Summer peak</x:v>
      </x:c>
      <x:c r="I2000" t="str">
        <x:v>Discontinued</x:v>
      </x:c>
      <x:c r="J2000" t="str">
        <x:v>TikTok Shop</x:v>
      </x:c>
      <x:c r="K2000" t="str">
        <x:v>Social Commerce</x:v>
      </x:c>
      <x:c r="L2000" t="str">
        <x:v>All Geographies</x:v>
      </x:c>
      <x:c r="M2000" s="34" t="n">
        <x:v>0</x:v>
      </x:c>
      <x:c r="N2000" s="28" t="n">
        <x:v>0.0417312</x:v>
      </x:c>
      <x:c r="O2000" s="34" t="n">
        <x:v>0</x:v>
      </x:c>
      <x:c r="P2000" s="34" t="n">
        <x:v>1</x:v>
      </x:c>
      <x:c r="Q2000" s="34" t="n">
        <x:v>0</x:v>
      </x:c>
      <x:c r="R2000" s="33" t="n">
        <x:v>42</x:v>
      </x:c>
      <x:c r="S2000" s="38" t="n">
        <x:v>0</x:v>
      </x:c>
      <x:c r="T2000" s="38" t="n">
        <x:v>0</x:v>
      </x:c>
      <x:c r="U2000" s="38" t="n">
        <x:v>0</x:v>
      </x:c>
      <x:c r="V2000" s="38" t="n">
        <x:v>0</x:v>
      </x:c>
      <x:c r="W2000" s="38" t="n">
        <x:v>0</x:v>
      </x:c>
      <x:c r="X2000" s="38" t="n">
        <x:v>0</x:v>
      </x:c>
      <x:c r="Y2000" s="38" t="n">
        <x:v>0</x:v>
      </x:c>
      <x:c r="Z2000" s="38" t="n">
        <x:v>0</x:v>
      </x:c>
      <x:c r="AA2000" s="38" t="n">
        <x:v>0</x:v>
      </x:c>
      <x:c r="AB2000" s="38" t="n">
        <x:v>0</x:v>
      </x:c>
      <x:c r="AC2000" s="38" t="n">
        <x:v>0</x:v>
      </x:c>
      <x:c r="AD2000" s="28" t="n">
        <x:v>0</x:v>
      </x:c>
    </x:row>
    <x:row r="2001">
      <x:c r="A2001" s="32" t="n">
        <x:v>46356</x:v>
      </x:c>
      <x:c r="B2001" s="32" t="n">
        <x:v>46327</x:v>
      </x:c>
      <x:c r="C2001" t="str">
        <x:v>Nov 2026</x:v>
      </x:c>
      <x:c r="D2001" t="str">
        <x:v>Forecast</x:v>
      </x:c>
      <x:c r="E2001" t="str">
        <x:v>DB-105</x:v>
      </x:c>
      <x:c r="F2001" t="str">
        <x:v>DreamFuel Refill Pack</x:v>
      </x:c>
      <x:c r="G2001" t="str">
        <x:v>Subscription</x:v>
      </x:c>
      <x:c r="H2001" t="str">
        <x:v>None</x:v>
      </x:c>
      <x:c r="I2001" t="str">
        <x:v>Active</x:v>
      </x:c>
      <x:c r="J2001" t="str">
        <x:v>Shopify DTC</x:v>
      </x:c>
      <x:c r="K2001" t="str">
        <x:v>Consumer</x:v>
      </x:c>
      <x:c r="L2001" t="str">
        <x:v>All Geographies</x:v>
      </x:c>
      <x:c r="M2001" s="34" t="n">
        <x:v>5051</x:v>
      </x:c>
      <x:c r="N2001" s="28" t="n">
        <x:v>0.03888</x:v>
      </x:c>
      <x:c r="O2001" s="34" t="n">
        <x:v>196</x:v>
      </x:c>
      <x:c r="P2001" s="34" t="n">
        <x:v>1</x:v>
      </x:c>
      <x:c r="Q2001" s="34" t="n">
        <x:v>196</x:v>
      </x:c>
      <x:c r="R2001" s="33" t="n">
        <x:v>56</x:v>
      </x:c>
      <x:c r="S2001" s="38" t="n">
        <x:v>10.976</x:v>
      </x:c>
      <x:c r="T2001" s="38" t="n">
        <x:v>0.8780800000000001</x:v>
      </x:c>
      <x:c r="U2001" s="38" t="n">
        <x:v>0.2019584</x:v>
      </x:c>
      <x:c r="V2001" s="38" t="n">
        <x:v>9.8959616</x:v>
      </x:c>
      <x:c r="W2001" s="38" t="n">
        <x:v>3.64952</x:v>
      </x:c>
      <x:c r="X2001" s="38" t="n">
        <x:v>0.2869828864</x:v>
      </x:c>
      <x:c r="Y2001" s="38" t="n">
        <x:v>0</x:v>
      </x:c>
      <x:c r="Z2001" s="38" t="n">
        <x:v>0.8134000000000001</x:v>
      </x:c>
      <x:c r="AA2001" s="38" t="n">
        <x:v>0.32339999999999997</x:v>
      </x:c>
      <x:c r="AB2001" s="38" t="n">
        <x:v>0.0007055999999999999</x:v>
      </x:c>
      <x:c r="AC2001" s="38" t="n">
        <x:v>4.8219531136</x:v>
      </x:c>
      <x:c r="AD2001" s="28" t="n">
        <x:v>0.4872647357079478</x:v>
      </x:c>
    </x:row>
    <x:row r="2002">
      <x:c r="A2002" s="32" t="n">
        <x:v>46356</x:v>
      </x:c>
      <x:c r="B2002" s="32" t="n">
        <x:v>46327</x:v>
      </x:c>
      <x:c r="C2002" t="str">
        <x:v>Nov 2026</x:v>
      </x:c>
      <x:c r="D2002" t="str">
        <x:v>Forecast</x:v>
      </x:c>
      <x:c r="E2002" t="str">
        <x:v>DB-105</x:v>
      </x:c>
      <x:c r="F2002" t="str">
        <x:v>DreamFuel Refill Pack</x:v>
      </x:c>
      <x:c r="G2002" t="str">
        <x:v>Subscription</x:v>
      </x:c>
      <x:c r="H2002" t="str">
        <x:v>None</x:v>
      </x:c>
      <x:c r="I2002" t="str">
        <x:v>Active</x:v>
      </x:c>
      <x:c r="J2002" t="str">
        <x:v>Amazon Marketplace</x:v>
      </x:c>
      <x:c r="K2002" t="str">
        <x:v>Marketplace Consumer</x:v>
      </x:c>
      <x:c r="L2002" t="str">
        <x:v>All Geographies</x:v>
      </x:c>
      <x:c r="M2002" s="34" t="n">
        <x:v>2525</x:v>
      </x:c>
      <x:c r="N2002" s="28" t="n">
        <x:v>0.0458784</x:v>
      </x:c>
      <x:c r="O2002" s="34" t="n">
        <x:v>116</x:v>
      </x:c>
      <x:c r="P2002" s="34" t="n">
        <x:v>1</x:v>
      </x:c>
      <x:c r="Q2002" s="34" t="n">
        <x:v>116</x:v>
      </x:c>
      <x:c r="R2002" s="33" t="n">
        <x:v>56</x:v>
      </x:c>
      <x:c r="S2002" s="38" t="n">
        <x:v>6.496</x:v>
      </x:c>
      <x:c r="T2002" s="38" t="n">
        <x:v>0.32480000000000003</x:v>
      </x:c>
      <x:c r="U2002" s="38" t="n">
        <x:v>0.12342400000000002</x:v>
      </x:c>
      <x:c r="V2002" s="38" t="n">
        <x:v>6.047776000000001</x:v>
      </x:c>
      <x:c r="W2002" s="38" t="n">
        <x:v>2.15992</x:v>
      </x:c>
      <x:c r="X2002" s="38" t="n">
        <x:v>0</x:v>
      </x:c>
      <x:c r="Y2002" s="38" t="n">
        <x:v>0.9071664</x:v>
      </x:c>
      <x:c r="Z2002" s="38" t="n">
        <x:v>0.6032000000000001</x:v>
      </x:c>
      <x:c r="AA2002" s="38" t="n">
        <x:v>0.24939999999999998</x:v>
      </x:c>
      <x:c r="AB2002" s="38" t="n">
        <x:v>0.0004176</x:v>
      </x:c>
      <x:c r="AC2002" s="38" t="n">
        <x:v>2.1276720000000005</x:v>
      </x:c>
      <x:c r="AD2002" s="28" t="n">
        <x:v>0.35181064907165877</x:v>
      </x:c>
    </x:row>
    <x:row r="2003">
      <x:c r="A2003" s="32" t="n">
        <x:v>46356</x:v>
      </x:c>
      <x:c r="B2003" s="32" t="n">
        <x:v>46327</x:v>
      </x:c>
      <x:c r="C2003" t="str">
        <x:v>Nov 2026</x:v>
      </x:c>
      <x:c r="D2003" t="str">
        <x:v>Forecast</x:v>
      </x:c>
      <x:c r="E2003" t="str">
        <x:v>DB-105</x:v>
      </x:c>
      <x:c r="F2003" t="str">
        <x:v>DreamFuel Refill Pack</x:v>
      </x:c>
      <x:c r="G2003" t="str">
        <x:v>Subscription</x:v>
      </x:c>
      <x:c r="H2003" t="str">
        <x:v>None</x:v>
      </x:c>
      <x:c r="I2003" t="str">
        <x:v>Active</x:v>
      </x:c>
      <x:c r="J2003" t="str">
        <x:v>Wholesale</x:v>
      </x:c>
      <x:c r="K2003" t="str">
        <x:v>Retailer</x:v>
      </x:c>
      <x:c r="L2003" t="str">
        <x:v>All Geographies</x:v>
      </x:c>
      <x:c r="M2003" s="34" t="n">
        <x:v>1515</x:v>
      </x:c>
      <x:c r="N2003" s="28" t="n">
        <x:v>0.021384000000000004</x:v>
      </x:c>
      <x:c r="O2003" s="34" t="n">
        <x:v>32</x:v>
      </x:c>
      <x:c r="P2003" s="34" t="n">
        <x:v>1</x:v>
      </x:c>
      <x:c r="Q2003" s="34" t="n">
        <x:v>32</x:v>
      </x:c>
      <x:c r="R2003" s="33" t="n">
        <x:v>56</x:v>
      </x:c>
      <x:c r="S2003" s="38" t="n">
        <x:v>1.792</x:v>
      </x:c>
      <x:c r="T2003" s="38" t="n">
        <x:v>0.6272</x:v>
      </x:c>
      <x:c r="U2003" s="38" t="n">
        <x:v>0.023296</x:v>
      </x:c>
      <x:c r="V2003" s="38" t="n">
        <x:v>1.141504</x:v>
      </x:c>
      <x:c r="W2003" s="38" t="n">
        <x:v>0.59584</x:v>
      </x:c>
      <x:c r="X2003" s="38" t="n">
        <x:v>0</x:v>
      </x:c>
      <x:c r="Y2003" s="38" t="n">
        <x:v>0</x:v>
      </x:c>
      <x:c r="Z2003" s="38" t="n">
        <x:v>0.0736</x:v>
      </x:c>
      <x:c r="AA2003" s="38" t="n">
        <x:v>0.0272</x:v>
      </x:c>
      <x:c r="AB2003" s="38" t="n">
        <x:v>0.0001152</x:v>
      </x:c>
      <x:c r="AC2003" s="38" t="n">
        <x:v>0.44474880000000006</x:v>
      </x:c>
      <x:c r="AD2003" s="28" t="n">
        <x:v>0.3896165059430366</x:v>
      </x:c>
    </x:row>
    <x:row r="2004">
      <x:c r="A2004" s="32" t="n">
        <x:v>46356</x:v>
      </x:c>
      <x:c r="B2004" s="32" t="n">
        <x:v>46327</x:v>
      </x:c>
      <x:c r="C2004" t="str">
        <x:v>Nov 2026</x:v>
      </x:c>
      <x:c r="D2004" t="str">
        <x:v>Forecast</x:v>
      </x:c>
      <x:c r="E2004" t="str">
        <x:v>DB-105</x:v>
      </x:c>
      <x:c r="F2004" t="str">
        <x:v>DreamFuel Refill Pack</x:v>
      </x:c>
      <x:c r="G2004" t="str">
        <x:v>Subscription</x:v>
      </x:c>
      <x:c r="H2004" t="str">
        <x:v>None</x:v>
      </x:c>
      <x:c r="I2004" t="str">
        <x:v>Active</x:v>
      </x:c>
      <x:c r="J2004" t="str">
        <x:v>TikTok Shop</x:v>
      </x:c>
      <x:c r="K2004" t="str">
        <x:v>Social Commerce</x:v>
      </x:c>
      <x:c r="L2004" t="str">
        <x:v>All Geographies</x:v>
      </x:c>
      <x:c r="M2004" s="34" t="n">
        <x:v>1010</x:v>
      </x:c>
      <x:c r="N2004" s="28" t="n">
        <x:v>0.0489888</x:v>
      </x:c>
      <x:c r="O2004" s="34" t="n">
        <x:v>49</x:v>
      </x:c>
      <x:c r="P2004" s="34" t="n">
        <x:v>1</x:v>
      </x:c>
      <x:c r="Q2004" s="34" t="n">
        <x:v>49</x:v>
      </x:c>
      <x:c r="R2004" s="33" t="n">
        <x:v>56</x:v>
      </x:c>
      <x:c r="S2004" s="38" t="n">
        <x:v>2.744</x:v>
      </x:c>
      <x:c r="T2004" s="38" t="n">
        <x:v>0.32928</x:v>
      </x:c>
      <x:c r="U2004" s="38" t="n">
        <x:v>0.0482944</x:v>
      </x:c>
      <x:c r="V2004" s="38" t="n">
        <x:v>2.3664256</x:v>
      </x:c>
      <x:c r="W2004" s="38" t="n">
        <x:v>0.91238</x:v>
      </x:c>
      <x:c r="X2004" s="38" t="n">
        <x:v>0.0686263424</x:v>
      </x:c>
      <x:c r="Y2004" s="38" t="n">
        <x:v>0.141985536</x:v>
      </x:c>
      <x:c r="Z2004" s="38" t="n">
        <x:v>0.24989999999999998</x:v>
      </x:c>
      <x:c r="AA2004" s="38" t="n">
        <x:v>0.08575</x:v>
      </x:c>
      <x:c r="AB2004" s="38" t="n">
        <x:v>0.00017639999999999998</x:v>
      </x:c>
      <x:c r="AC2004" s="38" t="n">
        <x:v>0.9076073216</x:v>
      </x:c>
      <x:c r="AD2004" s="28" t="n">
        <x:v>0.3835351179432812</x:v>
      </x:c>
    </x:row>
    <x:row r="2005">
      <x:c r="A2005" s="32" t="n">
        <x:v>46363</x:v>
      </x:c>
      <x:c r="B2005" s="32" t="n">
        <x:v>46357</x:v>
      </x:c>
      <x:c r="C2005" t="str">
        <x:v>Dec 2026</x:v>
      </x:c>
      <x:c r="D2005" t="str">
        <x:v>Forecast</x:v>
      </x:c>
      <x:c r="E2005" t="str">
        <x:v>DB-101</x:v>
      </x:c>
      <x:c r="F2005" t="str">
        <x:v>AeroSip Bottle</x:v>
      </x:c>
      <x:c r="G2005" t="str">
        <x:v>One-time purchase</x:v>
      </x:c>
      <x:c r="H2005" t="str">
        <x:v>None</x:v>
      </x:c>
      <x:c r="I2005" t="str">
        <x:v>Active</x:v>
      </x:c>
      <x:c r="J2005" t="str">
        <x:v>Shopify DTC</x:v>
      </x:c>
      <x:c r="K2005" t="str">
        <x:v>Consumer</x:v>
      </x:c>
      <x:c r="L2005" t="str">
        <x:v>All Geographies</x:v>
      </x:c>
      <x:c r="M2005" s="34" t="n">
        <x:v>7296</x:v>
      </x:c>
      <x:c r="N2005" s="28" t="n">
        <x:v>0.034199999999999994</x:v>
      </x:c>
      <x:c r="O2005" s="34" t="n">
        <x:v>250</x:v>
      </x:c>
      <x:c r="P2005" s="34" t="n">
        <x:v>1</x:v>
      </x:c>
      <x:c r="Q2005" s="34" t="n">
        <x:v>250</x:v>
      </x:c>
      <x:c r="R2005" s="33" t="n">
        <x:v>29</x:v>
      </x:c>
      <x:c r="S2005" s="38" t="n">
        <x:v>7.25</x:v>
      </x:c>
      <x:c r="T2005" s="38" t="n">
        <x:v>0.58</x:v>
      </x:c>
      <x:c r="U2005" s="38" t="n">
        <x:v>0.30015</x:v>
      </x:c>
      <x:c r="V2005" s="38" t="n">
        <x:v>6.36985</x:v>
      </x:c>
      <x:c r="W2005" s="38" t="n">
        <x:v>2.7</x:v>
      </x:c>
      <x:c r="X2005" s="38" t="n">
        <x:v>0.18472565</x:v>
      </x:c>
      <x:c r="Y2005" s="38" t="n">
        <x:v>0</x:v>
      </x:c>
      <x:c r="Z2005" s="38" t="n">
        <x:v>1.0375</x:v>
      </x:c>
      <x:c r="AA2005" s="38" t="n">
        <x:v>0.4125</x:v>
      </x:c>
      <x:c r="AB2005" s="38" t="n">
        <x:v>0.009</x:v>
      </x:c>
      <x:c r="AC2005" s="38" t="n">
        <x:v>2.0261243499999995</x:v>
      </x:c>
      <x:c r="AD2005" s="28" t="n">
        <x:v>0.31808038650831644</x:v>
      </x:c>
    </x:row>
    <x:row r="2006">
      <x:c r="A2006" s="32" t="n">
        <x:v>46363</x:v>
      </x:c>
      <x:c r="B2006" s="32" t="n">
        <x:v>46357</x:v>
      </x:c>
      <x:c r="C2006" t="str">
        <x:v>Dec 2026</x:v>
      </x:c>
      <x:c r="D2006" t="str">
        <x:v>Forecast</x:v>
      </x:c>
      <x:c r="E2006" t="str">
        <x:v>DB-101</x:v>
      </x:c>
      <x:c r="F2006" t="str">
        <x:v>AeroSip Bottle</x:v>
      </x:c>
      <x:c r="G2006" t="str">
        <x:v>One-time purchase</x:v>
      </x:c>
      <x:c r="H2006" t="str">
        <x:v>None</x:v>
      </x:c>
      <x:c r="I2006" t="str">
        <x:v>Active</x:v>
      </x:c>
      <x:c r="J2006" t="str">
        <x:v>Amazon Marketplace</x:v>
      </x:c>
      <x:c r="K2006" t="str">
        <x:v>Marketplace Consumer</x:v>
      </x:c>
      <x:c r="L2006" t="str">
        <x:v>All Geographies</x:v>
      </x:c>
      <x:c r="M2006" s="34" t="n">
        <x:v>3648</x:v>
      </x:c>
      <x:c r="N2006" s="28" t="n">
        <x:v>0.040355999999999996</x:v>
      </x:c>
      <x:c r="O2006" s="34" t="n">
        <x:v>147</x:v>
      </x:c>
      <x:c r="P2006" s="34" t="n">
        <x:v>1</x:v>
      </x:c>
      <x:c r="Q2006" s="34" t="n">
        <x:v>147</x:v>
      </x:c>
      <x:c r="R2006" s="33" t="n">
        <x:v>29</x:v>
      </x:c>
      <x:c r="S2006" s="38" t="n">
        <x:v>4.263</x:v>
      </x:c>
      <x:c r="T2006" s="38" t="n">
        <x:v>0.21315</x:v>
      </x:c>
      <x:c r="U2006" s="38" t="n">
        <x:v>0.18224325</x:v>
      </x:c>
      <x:c r="V2006" s="38" t="n">
        <x:v>3.86760675</x:v>
      </x:c>
      <x:c r="W2006" s="38" t="n">
        <x:v>1.5876000000000001</x:v>
      </x:c>
      <x:c r="X2006" s="38" t="n">
        <x:v>0</x:v>
      </x:c>
      <x:c r="Y2006" s="38" t="n">
        <x:v>0.5801410125</x:v>
      </x:c>
      <x:c r="Z2006" s="38" t="n">
        <x:v>0.7644</x:v>
      </x:c>
      <x:c r="AA2006" s="38" t="n">
        <x:v>0.31605</x:v>
      </x:c>
      <x:c r="AB2006" s="38" t="n">
        <x:v>0.005292</x:v>
      </x:c>
      <x:c r="AC2006" s="38" t="n">
        <x:v>0.6141237375000003</x:v>
      </x:c>
      <x:c r="AD2006" s="28" t="n">
        <x:v>0.15878649955815705</x:v>
      </x:c>
    </x:row>
    <x:row r="2007">
      <x:c r="A2007" s="32" t="n">
        <x:v>46363</x:v>
      </x:c>
      <x:c r="B2007" s="32" t="n">
        <x:v>46357</x:v>
      </x:c>
      <x:c r="C2007" t="str">
        <x:v>Dec 2026</x:v>
      </x:c>
      <x:c r="D2007" t="str">
        <x:v>Forecast</x:v>
      </x:c>
      <x:c r="E2007" t="str">
        <x:v>DB-101</x:v>
      </x:c>
      <x:c r="F2007" t="str">
        <x:v>AeroSip Bottle</x:v>
      </x:c>
      <x:c r="G2007" t="str">
        <x:v>One-time purchase</x:v>
      </x:c>
      <x:c r="H2007" t="str">
        <x:v>None</x:v>
      </x:c>
      <x:c r="I2007" t="str">
        <x:v>Active</x:v>
      </x:c>
      <x:c r="J2007" t="str">
        <x:v>Wholesale</x:v>
      </x:c>
      <x:c r="K2007" t="str">
        <x:v>Retailer</x:v>
      </x:c>
      <x:c r="L2007" t="str">
        <x:v>All Geographies</x:v>
      </x:c>
      <x:c r="M2007" s="34" t="n">
        <x:v>2189</x:v>
      </x:c>
      <x:c r="N2007" s="28" t="n">
        <x:v>0.01881</x:v>
      </x:c>
      <x:c r="O2007" s="34" t="n">
        <x:v>41</x:v>
      </x:c>
      <x:c r="P2007" s="34" t="n">
        <x:v>1</x:v>
      </x:c>
      <x:c r="Q2007" s="34" t="n">
        <x:v>41</x:v>
      </x:c>
      <x:c r="R2007" s="33" t="n">
        <x:v>29</x:v>
      </x:c>
      <x:c r="S2007" s="38" t="n">
        <x:v>1.189</x:v>
      </x:c>
      <x:c r="T2007" s="38" t="n">
        <x:v>0.41615</x:v>
      </x:c>
      <x:c r="U2007" s="38" t="n">
        <x:v>0.034778250000000004</x:v>
      </x:c>
      <x:c r="V2007" s="38" t="n">
        <x:v>0.73807175</x:v>
      </x:c>
      <x:c r="W2007" s="38" t="n">
        <x:v>0.4428</x:v>
      </x:c>
      <x:c r="X2007" s="38" t="n">
        <x:v>0</x:v>
      </x:c>
      <x:c r="Y2007" s="38" t="n">
        <x:v>0</x:v>
      </x:c>
      <x:c r="Z2007" s="38" t="n">
        <x:v>0.0943</x:v>
      </x:c>
      <x:c r="AA2007" s="38" t="n">
        <x:v>0.03485</x:v>
      </x:c>
      <x:c r="AB2007" s="38" t="n">
        <x:v>0.0014759999999999999</x:v>
      </x:c>
      <x:c r="AC2007" s="38" t="n">
        <x:v>0.16464575</x:v>
      </x:c>
      <x:c r="AD2007" s="28" t="n">
        <x:v>0.22307553432305194</x:v>
      </x:c>
    </x:row>
    <x:row r="2008">
      <x:c r="A2008" s="32" t="n">
        <x:v>46363</x:v>
      </x:c>
      <x:c r="B2008" s="32" t="n">
        <x:v>46357</x:v>
      </x:c>
      <x:c r="C2008" t="str">
        <x:v>Dec 2026</x:v>
      </x:c>
      <x:c r="D2008" t="str">
        <x:v>Forecast</x:v>
      </x:c>
      <x:c r="E2008" t="str">
        <x:v>DB-101</x:v>
      </x:c>
      <x:c r="F2008" t="str">
        <x:v>AeroSip Bottle</x:v>
      </x:c>
      <x:c r="G2008" t="str">
        <x:v>One-time purchase</x:v>
      </x:c>
      <x:c r="H2008" t="str">
        <x:v>None</x:v>
      </x:c>
      <x:c r="I2008" t="str">
        <x:v>Active</x:v>
      </x:c>
      <x:c r="J2008" t="str">
        <x:v>TikTok Shop</x:v>
      </x:c>
      <x:c r="K2008" t="str">
        <x:v>Social Commerce</x:v>
      </x:c>
      <x:c r="L2008" t="str">
        <x:v>All Geographies</x:v>
      </x:c>
      <x:c r="M2008" s="34" t="n">
        <x:v>1459</x:v>
      </x:c>
      <x:c r="N2008" s="28" t="n">
        <x:v>0.043092</x:v>
      </x:c>
      <x:c r="O2008" s="34" t="n">
        <x:v>63</x:v>
      </x:c>
      <x:c r="P2008" s="34" t="n">
        <x:v>1</x:v>
      </x:c>
      <x:c r="Q2008" s="34" t="n">
        <x:v>63</x:v>
      </x:c>
      <x:c r="R2008" s="33" t="n">
        <x:v>29</x:v>
      </x:c>
      <x:c r="S2008" s="38" t="n">
        <x:v>1.827</x:v>
      </x:c>
      <x:c r="T2008" s="38" t="n">
        <x:v>0.21924</x:v>
      </x:c>
      <x:c r="U2008" s="38" t="n">
        <x:v>0.07234919999999999</x:v>
      </x:c>
      <x:c r="V2008" s="38" t="n">
        <x:v>1.5354108</x:v>
      </x:c>
      <x:c r="W2008" s="38" t="n">
        <x:v>0.6804000000000001</x:v>
      </x:c>
      <x:c r="X2008" s="38" t="n">
        <x:v>0.044526913200000004</x:v>
      </x:c>
      <x:c r="Y2008" s="38" t="n">
        <x:v>0.09212464799999999</x:v>
      </x:c>
      <x:c r="Z2008" s="38" t="n">
        <x:v>0.3213</x:v>
      </x:c>
      <x:c r="AA2008" s="38" t="n">
        <x:v>0.11025</x:v>
      </x:c>
      <x:c r="AB2008" s="38" t="n">
        <x:v>0.0022679999999999996</x:v>
      </x:c>
      <x:c r="AC2008" s="38" t="n">
        <x:v>0.2845412387999999</x:v>
      </x:c>
      <x:c r="AD2008" s="28" t="n">
        <x:v>0.18531928966501987</x:v>
      </x:c>
    </x:row>
    <x:row r="2009">
      <x:c r="A2009" s="32" t="n">
        <x:v>46363</x:v>
      </x:c>
      <x:c r="B2009" s="32" t="n">
        <x:v>46357</x:v>
      </x:c>
      <x:c r="C2009" t="str">
        <x:v>Dec 2026</x:v>
      </x:c>
      <x:c r="D2009" t="str">
        <x:v>Forecast</x:v>
      </x:c>
      <x:c r="E2009" t="str">
        <x:v>DB-102</x:v>
      </x:c>
      <x:c r="F2009" t="str">
        <x:v>GlowPatch Balm</x:v>
      </x:c>
      <x:c r="G2009" t="str">
        <x:v>Consumable repeat</x:v>
      </x:c>
      <x:c r="H2009" t="str">
        <x:v>None</x:v>
      </x:c>
      <x:c r="I2009" t="str">
        <x:v>Active</x:v>
      </x:c>
      <x:c r="J2009" t="str">
        <x:v>Shopify DTC</x:v>
      </x:c>
      <x:c r="K2009" t="str">
        <x:v>Consumer</x:v>
      </x:c>
      <x:c r="L2009" t="str">
        <x:v>All Geographies</x:v>
      </x:c>
      <x:c r="M2009" s="34" t="n">
        <x:v>5893</x:v>
      </x:c>
      <x:c r="N2009" s="28" t="n">
        <x:v>0.04248</x:v>
      </x:c>
      <x:c r="O2009" s="34" t="n">
        <x:v>250</x:v>
      </x:c>
      <x:c r="P2009" s="34" t="n">
        <x:v>1</x:v>
      </x:c>
      <x:c r="Q2009" s="34" t="n">
        <x:v>250</x:v>
      </x:c>
      <x:c r="R2009" s="33" t="n">
        <x:v>18</x:v>
      </x:c>
      <x:c r="S2009" s="38" t="n">
        <x:v>4.5</x:v>
      </x:c>
      <x:c r="T2009" s="38" t="n">
        <x:v>0.36</x:v>
      </x:c>
      <x:c r="U2009" s="38" t="n">
        <x:v>0.1035</x:v>
      </x:c>
      <x:c r="V2009" s="38" t="n">
        <x:v>4.036499999999999</x:v>
      </x:c>
      <x:c r="W2009" s="38" t="n">
        <x:v>1.3525</x:v>
      </x:c>
      <x:c r="X2009" s="38" t="n">
        <x:v>0.11705849999999998</x:v>
      </x:c>
      <x:c r="Y2009" s="38" t="n">
        <x:v>0</x:v>
      </x:c>
      <x:c r="Z2009" s="38" t="n">
        <x:v>1.0375</x:v>
      </x:c>
      <x:c r="AA2009" s="38" t="n">
        <x:v>0.4125</x:v>
      </x:c>
      <x:c r="AB2009" s="38" t="n">
        <x:v>0.0015</x:v>
      </x:c>
      <x:c r="AC2009" s="38" t="n">
        <x:v>1.1154414999999989</x:v>
      </x:c>
      <x:c r="AD2009" s="28" t="n">
        <x:v>0.2763387835996529</x:v>
      </x:c>
    </x:row>
    <x:row r="2010">
      <x:c r="A2010" s="32" t="n">
        <x:v>46363</x:v>
      </x:c>
      <x:c r="B2010" s="32" t="n">
        <x:v>46357</x:v>
      </x:c>
      <x:c r="C2010" t="str">
        <x:v>Dec 2026</x:v>
      </x:c>
      <x:c r="D2010" t="str">
        <x:v>Forecast</x:v>
      </x:c>
      <x:c r="E2010" t="str">
        <x:v>DB-102</x:v>
      </x:c>
      <x:c r="F2010" t="str">
        <x:v>GlowPatch Balm</x:v>
      </x:c>
      <x:c r="G2010" t="str">
        <x:v>Consumable repeat</x:v>
      </x:c>
      <x:c r="H2010" t="str">
        <x:v>None</x:v>
      </x:c>
      <x:c r="I2010" t="str">
        <x:v>Active</x:v>
      </x:c>
      <x:c r="J2010" t="str">
        <x:v>Amazon Marketplace</x:v>
      </x:c>
      <x:c r="K2010" t="str">
        <x:v>Marketplace Consumer</x:v>
      </x:c>
      <x:c r="L2010" t="str">
        <x:v>All Geographies</x:v>
      </x:c>
      <x:c r="M2010" s="34" t="n">
        <x:v>2946</x:v>
      </x:c>
      <x:c r="N2010" s="28" t="n">
        <x:v>0.050126399999999995</x:v>
      </x:c>
      <x:c r="O2010" s="34" t="n">
        <x:v>148</x:v>
      </x:c>
      <x:c r="P2010" s="34" t="n">
        <x:v>1</x:v>
      </x:c>
      <x:c r="Q2010" s="34" t="n">
        <x:v>148</x:v>
      </x:c>
      <x:c r="R2010" s="33" t="n">
        <x:v>18</x:v>
      </x:c>
      <x:c r="S2010" s="38" t="n">
        <x:v>2.664</x:v>
      </x:c>
      <x:c r="T2010" s="38" t="n">
        <x:v>0.1332</x:v>
      </x:c>
      <x:c r="U2010" s="38" t="n">
        <x:v>0.06327</x:v>
      </x:c>
      <x:c r="V2010" s="38" t="n">
        <x:v>2.46753</x:v>
      </x:c>
      <x:c r="W2010" s="38" t="n">
        <x:v>0.8006800000000001</x:v>
      </x:c>
      <x:c r="X2010" s="38" t="n">
        <x:v>0</x:v>
      </x:c>
      <x:c r="Y2010" s="38" t="n">
        <x:v>0.3701295</x:v>
      </x:c>
      <x:c r="Z2010" s="38" t="n">
        <x:v>0.7696000000000001</x:v>
      </x:c>
      <x:c r="AA2010" s="38" t="n">
        <x:v>0.3182</x:v>
      </x:c>
      <x:c r="AB2010" s="38" t="n">
        <x:v>0.0008879999999999999</x:v>
      </x:c>
      <x:c r="AC2010" s="38" t="n">
        <x:v>0.2080324999999999</x:v>
      </x:c>
      <x:c r="AD2010" s="28" t="n">
        <x:v>0.084307992202729</x:v>
      </x:c>
    </x:row>
    <x:row r="2011">
      <x:c r="A2011" s="32" t="n">
        <x:v>46363</x:v>
      </x:c>
      <x:c r="B2011" s="32" t="n">
        <x:v>46357</x:v>
      </x:c>
      <x:c r="C2011" t="str">
        <x:v>Dec 2026</x:v>
      </x:c>
      <x:c r="D2011" t="str">
        <x:v>Forecast</x:v>
      </x:c>
      <x:c r="E2011" t="str">
        <x:v>DB-102</x:v>
      </x:c>
      <x:c r="F2011" t="str">
        <x:v>GlowPatch Balm</x:v>
      </x:c>
      <x:c r="G2011" t="str">
        <x:v>Consumable repeat</x:v>
      </x:c>
      <x:c r="H2011" t="str">
        <x:v>None</x:v>
      </x:c>
      <x:c r="I2011" t="str">
        <x:v>Active</x:v>
      </x:c>
      <x:c r="J2011" t="str">
        <x:v>Wholesale</x:v>
      </x:c>
      <x:c r="K2011" t="str">
        <x:v>Retailer</x:v>
      </x:c>
      <x:c r="L2011" t="str">
        <x:v>All Geographies</x:v>
      </x:c>
      <x:c r="M2011" s="34" t="n">
        <x:v>1768</x:v>
      </x:c>
      <x:c r="N2011" s="28" t="n">
        <x:v>0.023364</x:v>
      </x:c>
      <x:c r="O2011" s="34" t="n">
        <x:v>41</x:v>
      </x:c>
      <x:c r="P2011" s="34" t="n">
        <x:v>1</x:v>
      </x:c>
      <x:c r="Q2011" s="34" t="n">
        <x:v>41</x:v>
      </x:c>
      <x:c r="R2011" s="33" t="n">
        <x:v>18</x:v>
      </x:c>
      <x:c r="S2011" s="38" t="n">
        <x:v>0.738</x:v>
      </x:c>
      <x:c r="T2011" s="38" t="n">
        <x:v>0.2583</x:v>
      </x:c>
      <x:c r="U2011" s="38" t="n">
        <x:v>0.011992500000000001</x:v>
      </x:c>
      <x:c r="V2011" s="38" t="n">
        <x:v>0.4677075</x:v>
      </x:c>
      <x:c r="W2011" s="38" t="n">
        <x:v>0.22181</x:v>
      </x:c>
      <x:c r="X2011" s="38" t="n">
        <x:v>0</x:v>
      </x:c>
      <x:c r="Y2011" s="38" t="n">
        <x:v>0</x:v>
      </x:c>
      <x:c r="Z2011" s="38" t="n">
        <x:v>0.0943</x:v>
      </x:c>
      <x:c r="AA2011" s="38" t="n">
        <x:v>0.03485</x:v>
      </x:c>
      <x:c r="AB2011" s="38" t="n">
        <x:v>0.000246</x:v>
      </x:c>
      <x:c r="AC2011" s="38" t="n">
        <x:v>0.11650150000000001</x:v>
      </x:c>
      <x:c r="AD2011" s="28" t="n">
        <x:v>0.2490905106289722</x:v>
      </x:c>
    </x:row>
    <x:row r="2012">
      <x:c r="A2012" s="32" t="n">
        <x:v>46363</x:v>
      </x:c>
      <x:c r="B2012" s="32" t="n">
        <x:v>46357</x:v>
      </x:c>
      <x:c r="C2012" t="str">
        <x:v>Dec 2026</x:v>
      </x:c>
      <x:c r="D2012" t="str">
        <x:v>Forecast</x:v>
      </x:c>
      <x:c r="E2012" t="str">
        <x:v>DB-102</x:v>
      </x:c>
      <x:c r="F2012" t="str">
        <x:v>GlowPatch Balm</x:v>
      </x:c>
      <x:c r="G2012" t="str">
        <x:v>Consumable repeat</x:v>
      </x:c>
      <x:c r="H2012" t="str">
        <x:v>None</x:v>
      </x:c>
      <x:c r="I2012" t="str">
        <x:v>Active</x:v>
      </x:c>
      <x:c r="J2012" t="str">
        <x:v>TikTok Shop</x:v>
      </x:c>
      <x:c r="K2012" t="str">
        <x:v>Social Commerce</x:v>
      </x:c>
      <x:c r="L2012" t="str">
        <x:v>All Geographies</x:v>
      </x:c>
      <x:c r="M2012" s="34" t="n">
        <x:v>1179</x:v>
      </x:c>
      <x:c r="N2012" s="28" t="n">
        <x:v>0.0535248</x:v>
      </x:c>
      <x:c r="O2012" s="34" t="n">
        <x:v>63</x:v>
      </x:c>
      <x:c r="P2012" s="34" t="n">
        <x:v>1</x:v>
      </x:c>
      <x:c r="Q2012" s="34" t="n">
        <x:v>63</x:v>
      </x:c>
      <x:c r="R2012" s="33" t="n">
        <x:v>18</x:v>
      </x:c>
      <x:c r="S2012" s="38" t="n">
        <x:v>1.134</x:v>
      </x:c>
      <x:c r="T2012" s="38" t="n">
        <x:v>0.13607999999999998</x:v>
      </x:c>
      <x:c r="U2012" s="38" t="n">
        <x:v>0.024947999999999998</x:v>
      </x:c>
      <x:c r="V2012" s="38" t="n">
        <x:v>0.972972</x:v>
      </x:c>
      <x:c r="W2012" s="38" t="n">
        <x:v>0.34082999999999997</x:v>
      </x:c>
      <x:c r="X2012" s="38" t="n">
        <x:v>0.028216188</x:v>
      </x:c>
      <x:c r="Y2012" s="38" t="n">
        <x:v>0.05837832</x:v>
      </x:c>
      <x:c r="Z2012" s="38" t="n">
        <x:v>0.3213</x:v>
      </x:c>
      <x:c r="AA2012" s="38" t="n">
        <x:v>0.11025</x:v>
      </x:c>
      <x:c r="AB2012" s="38" t="n">
        <x:v>0.000378</x:v>
      </x:c>
      <x:c r="AC2012" s="38" t="n">
        <x:v>0.11361949199999999</x:v>
      </x:c>
      <x:c r="AD2012" s="28" t="n">
        <x:v>0.11677570577570577</x:v>
      </x:c>
    </x:row>
    <x:row r="2013">
      <x:c r="A2013" s="32" t="n">
        <x:v>46363</x:v>
      </x:c>
      <x:c r="B2013" s="32" t="n">
        <x:v>46357</x:v>
      </x:c>
      <x:c r="C2013" t="str">
        <x:v>Dec 2026</x:v>
      </x:c>
      <x:c r="D2013" t="str">
        <x:v>Forecast</x:v>
      </x:c>
      <x:c r="E2013" t="str">
        <x:v>DB-103</x:v>
      </x:c>
      <x:c r="F2013" t="str">
        <x:v>EmberTrail Camp Mug</x:v>
      </x:c>
      <x:c r="G2013" t="str">
        <x:v>One-time purchase</x:v>
      </x:c>
      <x:c r="H2013" t="str">
        <x:v>Winter peak</x:v>
      </x:c>
      <x:c r="I2013" t="str">
        <x:v>Discontinued</x:v>
      </x:c>
      <x:c r="J2013" t="str">
        <x:v>Shopify DTC</x:v>
      </x:c>
      <x:c r="K2013" t="str">
        <x:v>Consumer</x:v>
      </x:c>
      <x:c r="L2013" t="str">
        <x:v>All Geographies</x:v>
      </x:c>
      <x:c r="M2013" s="34" t="n">
        <x:v>0</x:v>
      </x:c>
      <x:c r="N2013" s="28" t="n">
        <x:v>0.0324</x:v>
      </x:c>
      <x:c r="O2013" s="34" t="n">
        <x:v>0</x:v>
      </x:c>
      <x:c r="P2013" s="34" t="n">
        <x:v>1</x:v>
      </x:c>
      <x:c r="Q2013" s="34" t="n">
        <x:v>0</x:v>
      </x:c>
      <x:c r="R2013" s="33" t="n">
        <x:v>34</x:v>
      </x:c>
      <x:c r="S2013" s="38" t="n">
        <x:v>0</x:v>
      </x:c>
      <x:c r="T2013" s="38" t="n">
        <x:v>0</x:v>
      </x:c>
      <x:c r="U2013" s="38" t="n">
        <x:v>0</x:v>
      </x:c>
      <x:c r="V2013" s="38" t="n">
        <x:v>0</x:v>
      </x:c>
      <x:c r="W2013" s="38" t="n">
        <x:v>0</x:v>
      </x:c>
      <x:c r="X2013" s="38" t="n">
        <x:v>0</x:v>
      </x:c>
      <x:c r="Y2013" s="38" t="n">
        <x:v>0</x:v>
      </x:c>
      <x:c r="Z2013" s="38" t="n">
        <x:v>0</x:v>
      </x:c>
      <x:c r="AA2013" s="38" t="n">
        <x:v>0</x:v>
      </x:c>
      <x:c r="AB2013" s="38" t="n">
        <x:v>0</x:v>
      </x:c>
      <x:c r="AC2013" s="38" t="n">
        <x:v>0</x:v>
      </x:c>
      <x:c r="AD2013" s="28" t="n">
        <x:v>0</x:v>
      </x:c>
    </x:row>
    <x:row r="2014">
      <x:c r="A2014" s="32" t="n">
        <x:v>46363</x:v>
      </x:c>
      <x:c r="B2014" s="32" t="n">
        <x:v>46357</x:v>
      </x:c>
      <x:c r="C2014" t="str">
        <x:v>Dec 2026</x:v>
      </x:c>
      <x:c r="D2014" t="str">
        <x:v>Forecast</x:v>
      </x:c>
      <x:c r="E2014" t="str">
        <x:v>DB-103</x:v>
      </x:c>
      <x:c r="F2014" t="str">
        <x:v>EmberTrail Camp Mug</x:v>
      </x:c>
      <x:c r="G2014" t="str">
        <x:v>One-time purchase</x:v>
      </x:c>
      <x:c r="H2014" t="str">
        <x:v>Winter peak</x:v>
      </x:c>
      <x:c r="I2014" t="str">
        <x:v>Discontinued</x:v>
      </x:c>
      <x:c r="J2014" t="str">
        <x:v>Amazon Marketplace</x:v>
      </x:c>
      <x:c r="K2014" t="str">
        <x:v>Marketplace Consumer</x:v>
      </x:c>
      <x:c r="L2014" t="str">
        <x:v>All Geographies</x:v>
      </x:c>
      <x:c r="M2014" s="34" t="n">
        <x:v>0</x:v>
      </x:c>
      <x:c r="N2014" s="28" t="n">
        <x:v>0.038231999999999995</x:v>
      </x:c>
      <x:c r="O2014" s="34" t="n">
        <x:v>0</x:v>
      </x:c>
      <x:c r="P2014" s="34" t="n">
        <x:v>1</x:v>
      </x:c>
      <x:c r="Q2014" s="34" t="n">
        <x:v>0</x:v>
      </x:c>
      <x:c r="R2014" s="33" t="n">
        <x:v>34</x:v>
      </x:c>
      <x:c r="S2014" s="38" t="n">
        <x:v>0</x:v>
      </x:c>
      <x:c r="T2014" s="38" t="n">
        <x:v>0</x:v>
      </x:c>
      <x:c r="U2014" s="38" t="n">
        <x:v>0</x:v>
      </x:c>
      <x:c r="V2014" s="38" t="n">
        <x:v>0</x:v>
      </x:c>
      <x:c r="W2014" s="38" t="n">
        <x:v>0</x:v>
      </x:c>
      <x:c r="X2014" s="38" t="n">
        <x:v>0</x:v>
      </x:c>
      <x:c r="Y2014" s="38" t="n">
        <x:v>0</x:v>
      </x:c>
      <x:c r="Z2014" s="38" t="n">
        <x:v>0</x:v>
      </x:c>
      <x:c r="AA2014" s="38" t="n">
        <x:v>0</x:v>
      </x:c>
      <x:c r="AB2014" s="38" t="n">
        <x:v>0</x:v>
      </x:c>
      <x:c r="AC2014" s="38" t="n">
        <x:v>0</x:v>
      </x:c>
      <x:c r="AD2014" s="28" t="n">
        <x:v>0</x:v>
      </x:c>
    </x:row>
    <x:row r="2015">
      <x:c r="A2015" s="32" t="n">
        <x:v>46363</x:v>
      </x:c>
      <x:c r="B2015" s="32" t="n">
        <x:v>46357</x:v>
      </x:c>
      <x:c r="C2015" t="str">
        <x:v>Dec 2026</x:v>
      </x:c>
      <x:c r="D2015" t="str">
        <x:v>Forecast</x:v>
      </x:c>
      <x:c r="E2015" t="str">
        <x:v>DB-103</x:v>
      </x:c>
      <x:c r="F2015" t="str">
        <x:v>EmberTrail Camp Mug</x:v>
      </x:c>
      <x:c r="G2015" t="str">
        <x:v>One-time purchase</x:v>
      </x:c>
      <x:c r="H2015" t="str">
        <x:v>Winter peak</x:v>
      </x:c>
      <x:c r="I2015" t="str">
        <x:v>Discontinued</x:v>
      </x:c>
      <x:c r="J2015" t="str">
        <x:v>Wholesale</x:v>
      </x:c>
      <x:c r="K2015" t="str">
        <x:v>Retailer</x:v>
      </x:c>
      <x:c r="L2015" t="str">
        <x:v>All Geographies</x:v>
      </x:c>
      <x:c r="M2015" s="34" t="n">
        <x:v>0</x:v>
      </x:c>
      <x:c r="N2015" s="28" t="n">
        <x:v>0.017820000000000003</x:v>
      </x:c>
      <x:c r="O2015" s="34" t="n">
        <x:v>0</x:v>
      </x:c>
      <x:c r="P2015" s="34" t="n">
        <x:v>1</x:v>
      </x:c>
      <x:c r="Q2015" s="34" t="n">
        <x:v>0</x:v>
      </x:c>
      <x:c r="R2015" s="33" t="n">
        <x:v>34</x:v>
      </x:c>
      <x:c r="S2015" s="38" t="n">
        <x:v>0</x:v>
      </x:c>
      <x:c r="T2015" s="38" t="n">
        <x:v>0</x:v>
      </x:c>
      <x:c r="U2015" s="38" t="n">
        <x:v>0</x:v>
      </x:c>
      <x:c r="V2015" s="38" t="n">
        <x:v>0</x:v>
      </x:c>
      <x:c r="W2015" s="38" t="n">
        <x:v>0</x:v>
      </x:c>
      <x:c r="X2015" s="38" t="n">
        <x:v>0</x:v>
      </x:c>
      <x:c r="Y2015" s="38" t="n">
        <x:v>0</x:v>
      </x:c>
      <x:c r="Z2015" s="38" t="n">
        <x:v>0</x:v>
      </x:c>
      <x:c r="AA2015" s="38" t="n">
        <x:v>0</x:v>
      </x:c>
      <x:c r="AB2015" s="38" t="n">
        <x:v>0</x:v>
      </x:c>
      <x:c r="AC2015" s="38" t="n">
        <x:v>0</x:v>
      </x:c>
      <x:c r="AD2015" s="28" t="n">
        <x:v>0</x:v>
      </x:c>
    </x:row>
    <x:row r="2016">
      <x:c r="A2016" s="32" t="n">
        <x:v>46363</x:v>
      </x:c>
      <x:c r="B2016" s="32" t="n">
        <x:v>46357</x:v>
      </x:c>
      <x:c r="C2016" t="str">
        <x:v>Dec 2026</x:v>
      </x:c>
      <x:c r="D2016" t="str">
        <x:v>Forecast</x:v>
      </x:c>
      <x:c r="E2016" t="str">
        <x:v>DB-103</x:v>
      </x:c>
      <x:c r="F2016" t="str">
        <x:v>EmberTrail Camp Mug</x:v>
      </x:c>
      <x:c r="G2016" t="str">
        <x:v>One-time purchase</x:v>
      </x:c>
      <x:c r="H2016" t="str">
        <x:v>Winter peak</x:v>
      </x:c>
      <x:c r="I2016" t="str">
        <x:v>Discontinued</x:v>
      </x:c>
      <x:c r="J2016" t="str">
        <x:v>TikTok Shop</x:v>
      </x:c>
      <x:c r="K2016" t="str">
        <x:v>Social Commerce</x:v>
      </x:c>
      <x:c r="L2016" t="str">
        <x:v>All Geographies</x:v>
      </x:c>
      <x:c r="M2016" s="34" t="n">
        <x:v>0</x:v>
      </x:c>
      <x:c r="N2016" s="28" t="n">
        <x:v>0.040824</x:v>
      </x:c>
      <x:c r="O2016" s="34" t="n">
        <x:v>0</x:v>
      </x:c>
      <x:c r="P2016" s="34" t="n">
        <x:v>1</x:v>
      </x:c>
      <x:c r="Q2016" s="34" t="n">
        <x:v>0</x:v>
      </x:c>
      <x:c r="R2016" s="33" t="n">
        <x:v>34</x:v>
      </x:c>
      <x:c r="S2016" s="38" t="n">
        <x:v>0</x:v>
      </x:c>
      <x:c r="T2016" s="38" t="n">
        <x:v>0</x:v>
      </x:c>
      <x:c r="U2016" s="38" t="n">
        <x:v>0</x:v>
      </x:c>
      <x:c r="V2016" s="38" t="n">
        <x:v>0</x:v>
      </x:c>
      <x:c r="W2016" s="38" t="n">
        <x:v>0</x:v>
      </x:c>
      <x:c r="X2016" s="38" t="n">
        <x:v>0</x:v>
      </x:c>
      <x:c r="Y2016" s="38" t="n">
        <x:v>0</x:v>
      </x:c>
      <x:c r="Z2016" s="38" t="n">
        <x:v>0</x:v>
      </x:c>
      <x:c r="AA2016" s="38" t="n">
        <x:v>0</x:v>
      </x:c>
      <x:c r="AB2016" s="38" t="n">
        <x:v>0</x:v>
      </x:c>
      <x:c r="AC2016" s="38" t="n">
        <x:v>0</x:v>
      </x:c>
      <x:c r="AD2016" s="28" t="n">
        <x:v>0</x:v>
      </x:c>
    </x:row>
    <x:row r="2017">
      <x:c r="A2017" s="32" t="n">
        <x:v>46363</x:v>
      </x:c>
      <x:c r="B2017" s="32" t="n">
        <x:v>46357</x:v>
      </x:c>
      <x:c r="C2017" t="str">
        <x:v>Dec 2026</x:v>
      </x:c>
      <x:c r="D2017" t="str">
        <x:v>Forecast</x:v>
      </x:c>
      <x:c r="E2017" t="str">
        <x:v>DB-104</x:v>
      </x:c>
      <x:c r="F2017" t="str">
        <x:v>SunNest Cooling Towel</x:v>
      </x:c>
      <x:c r="G2017" t="str">
        <x:v>Consumable repeat</x:v>
      </x:c>
      <x:c r="H2017" t="str">
        <x:v>Summer peak</x:v>
      </x:c>
      <x:c r="I2017" t="str">
        <x:v>Discontinued</x:v>
      </x:c>
      <x:c r="J2017" t="str">
        <x:v>Shopify DTC</x:v>
      </x:c>
      <x:c r="K2017" t="str">
        <x:v>Consumer</x:v>
      </x:c>
      <x:c r="L2017" t="str">
        <x:v>All Geographies</x:v>
      </x:c>
      <x:c r="M2017" s="34" t="n">
        <x:v>0</x:v>
      </x:c>
      <x:c r="N2017" s="28" t="n">
        <x:v>0.03312</x:v>
      </x:c>
      <x:c r="O2017" s="34" t="n">
        <x:v>0</x:v>
      </x:c>
      <x:c r="P2017" s="34" t="n">
        <x:v>1</x:v>
      </x:c>
      <x:c r="Q2017" s="34" t="n">
        <x:v>0</x:v>
      </x:c>
      <x:c r="R2017" s="33" t="n">
        <x:v>42</x:v>
      </x:c>
      <x:c r="S2017" s="38" t="n">
        <x:v>0</x:v>
      </x:c>
      <x:c r="T2017" s="38" t="n">
        <x:v>0</x:v>
      </x:c>
      <x:c r="U2017" s="38" t="n">
        <x:v>0</x:v>
      </x:c>
      <x:c r="V2017" s="38" t="n">
        <x:v>0</x:v>
      </x:c>
      <x:c r="W2017" s="38" t="n">
        <x:v>0</x:v>
      </x:c>
      <x:c r="X2017" s="38" t="n">
        <x:v>0</x:v>
      </x:c>
      <x:c r="Y2017" s="38" t="n">
        <x:v>0</x:v>
      </x:c>
      <x:c r="Z2017" s="38" t="n">
        <x:v>0</x:v>
      </x:c>
      <x:c r="AA2017" s="38" t="n">
        <x:v>0</x:v>
      </x:c>
      <x:c r="AB2017" s="38" t="n">
        <x:v>0</x:v>
      </x:c>
      <x:c r="AC2017" s="38" t="n">
        <x:v>0</x:v>
      </x:c>
      <x:c r="AD2017" s="28" t="n">
        <x:v>0</x:v>
      </x:c>
    </x:row>
    <x:row r="2018">
      <x:c r="A2018" s="32" t="n">
        <x:v>46363</x:v>
      </x:c>
      <x:c r="B2018" s="32" t="n">
        <x:v>46357</x:v>
      </x:c>
      <x:c r="C2018" t="str">
        <x:v>Dec 2026</x:v>
      </x:c>
      <x:c r="D2018" t="str">
        <x:v>Forecast</x:v>
      </x:c>
      <x:c r="E2018" t="str">
        <x:v>DB-104</x:v>
      </x:c>
      <x:c r="F2018" t="str">
        <x:v>SunNest Cooling Towel</x:v>
      </x:c>
      <x:c r="G2018" t="str">
        <x:v>Consumable repeat</x:v>
      </x:c>
      <x:c r="H2018" t="str">
        <x:v>Summer peak</x:v>
      </x:c>
      <x:c r="I2018" t="str">
        <x:v>Discontinued</x:v>
      </x:c>
      <x:c r="J2018" t="str">
        <x:v>Amazon Marketplace</x:v>
      </x:c>
      <x:c r="K2018" t="str">
        <x:v>Marketplace Consumer</x:v>
      </x:c>
      <x:c r="L2018" t="str">
        <x:v>All Geographies</x:v>
      </x:c>
      <x:c r="M2018" s="34" t="n">
        <x:v>0</x:v>
      </x:c>
      <x:c r="N2018" s="28" t="n">
        <x:v>0.0390816</x:v>
      </x:c>
      <x:c r="O2018" s="34" t="n">
        <x:v>0</x:v>
      </x:c>
      <x:c r="P2018" s="34" t="n">
        <x:v>1</x:v>
      </x:c>
      <x:c r="Q2018" s="34" t="n">
        <x:v>0</x:v>
      </x:c>
      <x:c r="R2018" s="33" t="n">
        <x:v>42</x:v>
      </x:c>
      <x:c r="S2018" s="38" t="n">
        <x:v>0</x:v>
      </x:c>
      <x:c r="T2018" s="38" t="n">
        <x:v>0</x:v>
      </x:c>
      <x:c r="U2018" s="38" t="n">
        <x:v>0</x:v>
      </x:c>
      <x:c r="V2018" s="38" t="n">
        <x:v>0</x:v>
      </x:c>
      <x:c r="W2018" s="38" t="n">
        <x:v>0</x:v>
      </x:c>
      <x:c r="X2018" s="38" t="n">
        <x:v>0</x:v>
      </x:c>
      <x:c r="Y2018" s="38" t="n">
        <x:v>0</x:v>
      </x:c>
      <x:c r="Z2018" s="38" t="n">
        <x:v>0</x:v>
      </x:c>
      <x:c r="AA2018" s="38" t="n">
        <x:v>0</x:v>
      </x:c>
      <x:c r="AB2018" s="38" t="n">
        <x:v>0</x:v>
      </x:c>
      <x:c r="AC2018" s="38" t="n">
        <x:v>0</x:v>
      </x:c>
      <x:c r="AD2018" s="28" t="n">
        <x:v>0</x:v>
      </x:c>
    </x:row>
    <x:row r="2019">
      <x:c r="A2019" s="32" t="n">
        <x:v>46363</x:v>
      </x:c>
      <x:c r="B2019" s="32" t="n">
        <x:v>46357</x:v>
      </x:c>
      <x:c r="C2019" t="str">
        <x:v>Dec 2026</x:v>
      </x:c>
      <x:c r="D2019" t="str">
        <x:v>Forecast</x:v>
      </x:c>
      <x:c r="E2019" t="str">
        <x:v>DB-104</x:v>
      </x:c>
      <x:c r="F2019" t="str">
        <x:v>SunNest Cooling Towel</x:v>
      </x:c>
      <x:c r="G2019" t="str">
        <x:v>Consumable repeat</x:v>
      </x:c>
      <x:c r="H2019" t="str">
        <x:v>Summer peak</x:v>
      </x:c>
      <x:c r="I2019" t="str">
        <x:v>Discontinued</x:v>
      </x:c>
      <x:c r="J2019" t="str">
        <x:v>Wholesale</x:v>
      </x:c>
      <x:c r="K2019" t="str">
        <x:v>Retailer</x:v>
      </x:c>
      <x:c r="L2019" t="str">
        <x:v>All Geographies</x:v>
      </x:c>
      <x:c r="M2019" s="34" t="n">
        <x:v>0</x:v>
      </x:c>
      <x:c r="N2019" s="28" t="n">
        <x:v>0.018216000000000003</x:v>
      </x:c>
      <x:c r="O2019" s="34" t="n">
        <x:v>0</x:v>
      </x:c>
      <x:c r="P2019" s="34" t="n">
        <x:v>1</x:v>
      </x:c>
      <x:c r="Q2019" s="34" t="n">
        <x:v>0</x:v>
      </x:c>
      <x:c r="R2019" s="33" t="n">
        <x:v>42</x:v>
      </x:c>
      <x:c r="S2019" s="38" t="n">
        <x:v>0</x:v>
      </x:c>
      <x:c r="T2019" s="38" t="n">
        <x:v>0</x:v>
      </x:c>
      <x:c r="U2019" s="38" t="n">
        <x:v>0</x:v>
      </x:c>
      <x:c r="V2019" s="38" t="n">
        <x:v>0</x:v>
      </x:c>
      <x:c r="W2019" s="38" t="n">
        <x:v>0</x:v>
      </x:c>
      <x:c r="X2019" s="38" t="n">
        <x:v>0</x:v>
      </x:c>
      <x:c r="Y2019" s="38" t="n">
        <x:v>0</x:v>
      </x:c>
      <x:c r="Z2019" s="38" t="n">
        <x:v>0</x:v>
      </x:c>
      <x:c r="AA2019" s="38" t="n">
        <x:v>0</x:v>
      </x:c>
      <x:c r="AB2019" s="38" t="n">
        <x:v>0</x:v>
      </x:c>
      <x:c r="AC2019" s="38" t="n">
        <x:v>0</x:v>
      </x:c>
      <x:c r="AD2019" s="28" t="n">
        <x:v>0</x:v>
      </x:c>
    </x:row>
    <x:row r="2020">
      <x:c r="A2020" s="32" t="n">
        <x:v>46363</x:v>
      </x:c>
      <x:c r="B2020" s="32" t="n">
        <x:v>46357</x:v>
      </x:c>
      <x:c r="C2020" t="str">
        <x:v>Dec 2026</x:v>
      </x:c>
      <x:c r="D2020" t="str">
        <x:v>Forecast</x:v>
      </x:c>
      <x:c r="E2020" t="str">
        <x:v>DB-104</x:v>
      </x:c>
      <x:c r="F2020" t="str">
        <x:v>SunNest Cooling Towel</x:v>
      </x:c>
      <x:c r="G2020" t="str">
        <x:v>Consumable repeat</x:v>
      </x:c>
      <x:c r="H2020" t="str">
        <x:v>Summer peak</x:v>
      </x:c>
      <x:c r="I2020" t="str">
        <x:v>Discontinued</x:v>
      </x:c>
      <x:c r="J2020" t="str">
        <x:v>TikTok Shop</x:v>
      </x:c>
      <x:c r="K2020" t="str">
        <x:v>Social Commerce</x:v>
      </x:c>
      <x:c r="L2020" t="str">
        <x:v>All Geographies</x:v>
      </x:c>
      <x:c r="M2020" s="34" t="n">
        <x:v>0</x:v>
      </x:c>
      <x:c r="N2020" s="28" t="n">
        <x:v>0.0417312</x:v>
      </x:c>
      <x:c r="O2020" s="34" t="n">
        <x:v>0</x:v>
      </x:c>
      <x:c r="P2020" s="34" t="n">
        <x:v>1</x:v>
      </x:c>
      <x:c r="Q2020" s="34" t="n">
        <x:v>0</x:v>
      </x:c>
      <x:c r="R2020" s="33" t="n">
        <x:v>42</x:v>
      </x:c>
      <x:c r="S2020" s="38" t="n">
        <x:v>0</x:v>
      </x:c>
      <x:c r="T2020" s="38" t="n">
        <x:v>0</x:v>
      </x:c>
      <x:c r="U2020" s="38" t="n">
        <x:v>0</x:v>
      </x:c>
      <x:c r="V2020" s="38" t="n">
        <x:v>0</x:v>
      </x:c>
      <x:c r="W2020" s="38" t="n">
        <x:v>0</x:v>
      </x:c>
      <x:c r="X2020" s="38" t="n">
        <x:v>0</x:v>
      </x:c>
      <x:c r="Y2020" s="38" t="n">
        <x:v>0</x:v>
      </x:c>
      <x:c r="Z2020" s="38" t="n">
        <x:v>0</x:v>
      </x:c>
      <x:c r="AA2020" s="38" t="n">
        <x:v>0</x:v>
      </x:c>
      <x:c r="AB2020" s="38" t="n">
        <x:v>0</x:v>
      </x:c>
      <x:c r="AC2020" s="38" t="n">
        <x:v>0</x:v>
      </x:c>
      <x:c r="AD2020" s="28" t="n">
        <x:v>0</x:v>
      </x:c>
    </x:row>
    <x:row r="2021">
      <x:c r="A2021" s="32" t="n">
        <x:v>46363</x:v>
      </x:c>
      <x:c r="B2021" s="32" t="n">
        <x:v>46357</x:v>
      </x:c>
      <x:c r="C2021" t="str">
        <x:v>Dec 2026</x:v>
      </x:c>
      <x:c r="D2021" t="str">
        <x:v>Forecast</x:v>
      </x:c>
      <x:c r="E2021" t="str">
        <x:v>DB-105</x:v>
      </x:c>
      <x:c r="F2021" t="str">
        <x:v>DreamFuel Refill Pack</x:v>
      </x:c>
      <x:c r="G2021" t="str">
        <x:v>Subscription</x:v>
      </x:c>
      <x:c r="H2021" t="str">
        <x:v>None</x:v>
      </x:c>
      <x:c r="I2021" t="str">
        <x:v>Active</x:v>
      </x:c>
      <x:c r="J2021" t="str">
        <x:v>Shopify DTC</x:v>
      </x:c>
      <x:c r="K2021" t="str">
        <x:v>Consumer</x:v>
      </x:c>
      <x:c r="L2021" t="str">
        <x:v>All Geographies</x:v>
      </x:c>
      <x:c r="M2021" s="34" t="n">
        <x:v>5051</x:v>
      </x:c>
      <x:c r="N2021" s="28" t="n">
        <x:v>0.03888</x:v>
      </x:c>
      <x:c r="O2021" s="34" t="n">
        <x:v>196</x:v>
      </x:c>
      <x:c r="P2021" s="34" t="n">
        <x:v>1</x:v>
      </x:c>
      <x:c r="Q2021" s="34" t="n">
        <x:v>196</x:v>
      </x:c>
      <x:c r="R2021" s="33" t="n">
        <x:v>56</x:v>
      </x:c>
      <x:c r="S2021" s="38" t="n">
        <x:v>10.976</x:v>
      </x:c>
      <x:c r="T2021" s="38" t="n">
        <x:v>0.8780800000000001</x:v>
      </x:c>
      <x:c r="U2021" s="38" t="n">
        <x:v>0.2019584</x:v>
      </x:c>
      <x:c r="V2021" s="38" t="n">
        <x:v>9.8959616</x:v>
      </x:c>
      <x:c r="W2021" s="38" t="n">
        <x:v>3.64952</x:v>
      </x:c>
      <x:c r="X2021" s="38" t="n">
        <x:v>0.2869828864</x:v>
      </x:c>
      <x:c r="Y2021" s="38" t="n">
        <x:v>0</x:v>
      </x:c>
      <x:c r="Z2021" s="38" t="n">
        <x:v>0.8134000000000001</x:v>
      </x:c>
      <x:c r="AA2021" s="38" t="n">
        <x:v>0.32339999999999997</x:v>
      </x:c>
      <x:c r="AB2021" s="38" t="n">
        <x:v>0.0007055999999999999</x:v>
      </x:c>
      <x:c r="AC2021" s="38" t="n">
        <x:v>4.8219531136</x:v>
      </x:c>
      <x:c r="AD2021" s="28" t="n">
        <x:v>0.4872647357079478</x:v>
      </x:c>
    </x:row>
    <x:row r="2022">
      <x:c r="A2022" s="32" t="n">
        <x:v>46363</x:v>
      </x:c>
      <x:c r="B2022" s="32" t="n">
        <x:v>46357</x:v>
      </x:c>
      <x:c r="C2022" t="str">
        <x:v>Dec 2026</x:v>
      </x:c>
      <x:c r="D2022" t="str">
        <x:v>Forecast</x:v>
      </x:c>
      <x:c r="E2022" t="str">
        <x:v>DB-105</x:v>
      </x:c>
      <x:c r="F2022" t="str">
        <x:v>DreamFuel Refill Pack</x:v>
      </x:c>
      <x:c r="G2022" t="str">
        <x:v>Subscription</x:v>
      </x:c>
      <x:c r="H2022" t="str">
        <x:v>None</x:v>
      </x:c>
      <x:c r="I2022" t="str">
        <x:v>Active</x:v>
      </x:c>
      <x:c r="J2022" t="str">
        <x:v>Amazon Marketplace</x:v>
      </x:c>
      <x:c r="K2022" t="str">
        <x:v>Marketplace Consumer</x:v>
      </x:c>
      <x:c r="L2022" t="str">
        <x:v>All Geographies</x:v>
      </x:c>
      <x:c r="M2022" s="34" t="n">
        <x:v>2525</x:v>
      </x:c>
      <x:c r="N2022" s="28" t="n">
        <x:v>0.0458784</x:v>
      </x:c>
      <x:c r="O2022" s="34" t="n">
        <x:v>116</x:v>
      </x:c>
      <x:c r="P2022" s="34" t="n">
        <x:v>1</x:v>
      </x:c>
      <x:c r="Q2022" s="34" t="n">
        <x:v>116</x:v>
      </x:c>
      <x:c r="R2022" s="33" t="n">
        <x:v>56</x:v>
      </x:c>
      <x:c r="S2022" s="38" t="n">
        <x:v>6.496</x:v>
      </x:c>
      <x:c r="T2022" s="38" t="n">
        <x:v>0.32480000000000003</x:v>
      </x:c>
      <x:c r="U2022" s="38" t="n">
        <x:v>0.12342400000000002</x:v>
      </x:c>
      <x:c r="V2022" s="38" t="n">
        <x:v>6.047776000000001</x:v>
      </x:c>
      <x:c r="W2022" s="38" t="n">
        <x:v>2.15992</x:v>
      </x:c>
      <x:c r="X2022" s="38" t="n">
        <x:v>0</x:v>
      </x:c>
      <x:c r="Y2022" s="38" t="n">
        <x:v>0.9071664</x:v>
      </x:c>
      <x:c r="Z2022" s="38" t="n">
        <x:v>0.6032000000000001</x:v>
      </x:c>
      <x:c r="AA2022" s="38" t="n">
        <x:v>0.24939999999999998</x:v>
      </x:c>
      <x:c r="AB2022" s="38" t="n">
        <x:v>0.0004176</x:v>
      </x:c>
      <x:c r="AC2022" s="38" t="n">
        <x:v>2.1276720000000005</x:v>
      </x:c>
      <x:c r="AD2022" s="28" t="n">
        <x:v>0.35181064907165877</x:v>
      </x:c>
    </x:row>
    <x:row r="2023">
      <x:c r="A2023" s="32" t="n">
        <x:v>46363</x:v>
      </x:c>
      <x:c r="B2023" s="32" t="n">
        <x:v>46357</x:v>
      </x:c>
      <x:c r="C2023" t="str">
        <x:v>Dec 2026</x:v>
      </x:c>
      <x:c r="D2023" t="str">
        <x:v>Forecast</x:v>
      </x:c>
      <x:c r="E2023" t="str">
        <x:v>DB-105</x:v>
      </x:c>
      <x:c r="F2023" t="str">
        <x:v>DreamFuel Refill Pack</x:v>
      </x:c>
      <x:c r="G2023" t="str">
        <x:v>Subscription</x:v>
      </x:c>
      <x:c r="H2023" t="str">
        <x:v>None</x:v>
      </x:c>
      <x:c r="I2023" t="str">
        <x:v>Active</x:v>
      </x:c>
      <x:c r="J2023" t="str">
        <x:v>Wholesale</x:v>
      </x:c>
      <x:c r="K2023" t="str">
        <x:v>Retailer</x:v>
      </x:c>
      <x:c r="L2023" t="str">
        <x:v>All Geographies</x:v>
      </x:c>
      <x:c r="M2023" s="34" t="n">
        <x:v>1515</x:v>
      </x:c>
      <x:c r="N2023" s="28" t="n">
        <x:v>0.021384000000000004</x:v>
      </x:c>
      <x:c r="O2023" s="34" t="n">
        <x:v>32</x:v>
      </x:c>
      <x:c r="P2023" s="34" t="n">
        <x:v>1</x:v>
      </x:c>
      <x:c r="Q2023" s="34" t="n">
        <x:v>32</x:v>
      </x:c>
      <x:c r="R2023" s="33" t="n">
        <x:v>56</x:v>
      </x:c>
      <x:c r="S2023" s="38" t="n">
        <x:v>1.792</x:v>
      </x:c>
      <x:c r="T2023" s="38" t="n">
        <x:v>0.6272</x:v>
      </x:c>
      <x:c r="U2023" s="38" t="n">
        <x:v>0.023296</x:v>
      </x:c>
      <x:c r="V2023" s="38" t="n">
        <x:v>1.141504</x:v>
      </x:c>
      <x:c r="W2023" s="38" t="n">
        <x:v>0.59584</x:v>
      </x:c>
      <x:c r="X2023" s="38" t="n">
        <x:v>0</x:v>
      </x:c>
      <x:c r="Y2023" s="38" t="n">
        <x:v>0</x:v>
      </x:c>
      <x:c r="Z2023" s="38" t="n">
        <x:v>0.0736</x:v>
      </x:c>
      <x:c r="AA2023" s="38" t="n">
        <x:v>0.0272</x:v>
      </x:c>
      <x:c r="AB2023" s="38" t="n">
        <x:v>0.0001152</x:v>
      </x:c>
      <x:c r="AC2023" s="38" t="n">
        <x:v>0.44474880000000006</x:v>
      </x:c>
      <x:c r="AD2023" s="28" t="n">
        <x:v>0.3896165059430366</x:v>
      </x:c>
    </x:row>
    <x:row r="2024">
      <x:c r="A2024" s="32" t="n">
        <x:v>46363</x:v>
      </x:c>
      <x:c r="B2024" s="32" t="n">
        <x:v>46357</x:v>
      </x:c>
      <x:c r="C2024" t="str">
        <x:v>Dec 2026</x:v>
      </x:c>
      <x:c r="D2024" t="str">
        <x:v>Forecast</x:v>
      </x:c>
      <x:c r="E2024" t="str">
        <x:v>DB-105</x:v>
      </x:c>
      <x:c r="F2024" t="str">
        <x:v>DreamFuel Refill Pack</x:v>
      </x:c>
      <x:c r="G2024" t="str">
        <x:v>Subscription</x:v>
      </x:c>
      <x:c r="H2024" t="str">
        <x:v>None</x:v>
      </x:c>
      <x:c r="I2024" t="str">
        <x:v>Active</x:v>
      </x:c>
      <x:c r="J2024" t="str">
        <x:v>TikTok Shop</x:v>
      </x:c>
      <x:c r="K2024" t="str">
        <x:v>Social Commerce</x:v>
      </x:c>
      <x:c r="L2024" t="str">
        <x:v>All Geographies</x:v>
      </x:c>
      <x:c r="M2024" s="34" t="n">
        <x:v>1010</x:v>
      </x:c>
      <x:c r="N2024" s="28" t="n">
        <x:v>0.0489888</x:v>
      </x:c>
      <x:c r="O2024" s="34" t="n">
        <x:v>49</x:v>
      </x:c>
      <x:c r="P2024" s="34" t="n">
        <x:v>1</x:v>
      </x:c>
      <x:c r="Q2024" s="34" t="n">
        <x:v>49</x:v>
      </x:c>
      <x:c r="R2024" s="33" t="n">
        <x:v>56</x:v>
      </x:c>
      <x:c r="S2024" s="38" t="n">
        <x:v>2.744</x:v>
      </x:c>
      <x:c r="T2024" s="38" t="n">
        <x:v>0.32928</x:v>
      </x:c>
      <x:c r="U2024" s="38" t="n">
        <x:v>0.0482944</x:v>
      </x:c>
      <x:c r="V2024" s="38" t="n">
        <x:v>2.3664256</x:v>
      </x:c>
      <x:c r="W2024" s="38" t="n">
        <x:v>0.91238</x:v>
      </x:c>
      <x:c r="X2024" s="38" t="n">
        <x:v>0.0686263424</x:v>
      </x:c>
      <x:c r="Y2024" s="38" t="n">
        <x:v>0.141985536</x:v>
      </x:c>
      <x:c r="Z2024" s="38" t="n">
        <x:v>0.24989999999999998</x:v>
      </x:c>
      <x:c r="AA2024" s="38" t="n">
        <x:v>0.08575</x:v>
      </x:c>
      <x:c r="AB2024" s="38" t="n">
        <x:v>0.00017639999999999998</x:v>
      </x:c>
      <x:c r="AC2024" s="38" t="n">
        <x:v>0.9076073216</x:v>
      </x:c>
      <x:c r="AD2024" s="28" t="n">
        <x:v>0.3835351179432812</x:v>
      </x:c>
    </x:row>
    <x:row r="2025">
      <x:c r="A2025" s="32" t="n">
        <x:v>46370</x:v>
      </x:c>
      <x:c r="B2025" s="32" t="n">
        <x:v>46357</x:v>
      </x:c>
      <x:c r="C2025" t="str">
        <x:v>Dec 2026</x:v>
      </x:c>
      <x:c r="D2025" t="str">
        <x:v>Forecast</x:v>
      </x:c>
      <x:c r="E2025" t="str">
        <x:v>DB-101</x:v>
      </x:c>
      <x:c r="F2025" t="str">
        <x:v>AeroSip Bottle</x:v>
      </x:c>
      <x:c r="G2025" t="str">
        <x:v>One-time purchase</x:v>
      </x:c>
      <x:c r="H2025" t="str">
        <x:v>None</x:v>
      </x:c>
      <x:c r="I2025" t="str">
        <x:v>Active</x:v>
      </x:c>
      <x:c r="J2025" t="str">
        <x:v>Shopify DTC</x:v>
      </x:c>
      <x:c r="K2025" t="str">
        <x:v>Consumer</x:v>
      </x:c>
      <x:c r="L2025" t="str">
        <x:v>All Geographies</x:v>
      </x:c>
      <x:c r="M2025" s="34" t="n">
        <x:v>7296</x:v>
      </x:c>
      <x:c r="N2025" s="28" t="n">
        <x:v>0.034199999999999994</x:v>
      </x:c>
      <x:c r="O2025" s="34" t="n">
        <x:v>250</x:v>
      </x:c>
      <x:c r="P2025" s="34" t="n">
        <x:v>1</x:v>
      </x:c>
      <x:c r="Q2025" s="34" t="n">
        <x:v>250</x:v>
      </x:c>
      <x:c r="R2025" s="33" t="n">
        <x:v>29</x:v>
      </x:c>
      <x:c r="S2025" s="38" t="n">
        <x:v>7.25</x:v>
      </x:c>
      <x:c r="T2025" s="38" t="n">
        <x:v>0.58</x:v>
      </x:c>
      <x:c r="U2025" s="38" t="n">
        <x:v>0.30015</x:v>
      </x:c>
      <x:c r="V2025" s="38" t="n">
        <x:v>6.36985</x:v>
      </x:c>
      <x:c r="W2025" s="38" t="n">
        <x:v>2.7</x:v>
      </x:c>
      <x:c r="X2025" s="38" t="n">
        <x:v>0.18472565</x:v>
      </x:c>
      <x:c r="Y2025" s="38" t="n">
        <x:v>0</x:v>
      </x:c>
      <x:c r="Z2025" s="38" t="n">
        <x:v>1.0375</x:v>
      </x:c>
      <x:c r="AA2025" s="38" t="n">
        <x:v>0.4125</x:v>
      </x:c>
      <x:c r="AB2025" s="38" t="n">
        <x:v>0.009</x:v>
      </x:c>
      <x:c r="AC2025" s="38" t="n">
        <x:v>2.0261243499999995</x:v>
      </x:c>
      <x:c r="AD2025" s="28" t="n">
        <x:v>0.31808038650831644</x:v>
      </x:c>
    </x:row>
    <x:row r="2026">
      <x:c r="A2026" s="32" t="n">
        <x:v>46370</x:v>
      </x:c>
      <x:c r="B2026" s="32" t="n">
        <x:v>46357</x:v>
      </x:c>
      <x:c r="C2026" t="str">
        <x:v>Dec 2026</x:v>
      </x:c>
      <x:c r="D2026" t="str">
        <x:v>Forecast</x:v>
      </x:c>
      <x:c r="E2026" t="str">
        <x:v>DB-101</x:v>
      </x:c>
      <x:c r="F2026" t="str">
        <x:v>AeroSip Bottle</x:v>
      </x:c>
      <x:c r="G2026" t="str">
        <x:v>One-time purchase</x:v>
      </x:c>
      <x:c r="H2026" t="str">
        <x:v>None</x:v>
      </x:c>
      <x:c r="I2026" t="str">
        <x:v>Active</x:v>
      </x:c>
      <x:c r="J2026" t="str">
        <x:v>Amazon Marketplace</x:v>
      </x:c>
      <x:c r="K2026" t="str">
        <x:v>Marketplace Consumer</x:v>
      </x:c>
      <x:c r="L2026" t="str">
        <x:v>All Geographies</x:v>
      </x:c>
      <x:c r="M2026" s="34" t="n">
        <x:v>3648</x:v>
      </x:c>
      <x:c r="N2026" s="28" t="n">
        <x:v>0.040355999999999996</x:v>
      </x:c>
      <x:c r="O2026" s="34" t="n">
        <x:v>147</x:v>
      </x:c>
      <x:c r="P2026" s="34" t="n">
        <x:v>1</x:v>
      </x:c>
      <x:c r="Q2026" s="34" t="n">
        <x:v>147</x:v>
      </x:c>
      <x:c r="R2026" s="33" t="n">
        <x:v>29</x:v>
      </x:c>
      <x:c r="S2026" s="38" t="n">
        <x:v>4.263</x:v>
      </x:c>
      <x:c r="T2026" s="38" t="n">
        <x:v>0.21315</x:v>
      </x:c>
      <x:c r="U2026" s="38" t="n">
        <x:v>0.18224325</x:v>
      </x:c>
      <x:c r="V2026" s="38" t="n">
        <x:v>3.86760675</x:v>
      </x:c>
      <x:c r="W2026" s="38" t="n">
        <x:v>1.5876000000000001</x:v>
      </x:c>
      <x:c r="X2026" s="38" t="n">
        <x:v>0</x:v>
      </x:c>
      <x:c r="Y2026" s="38" t="n">
        <x:v>0.5801410125</x:v>
      </x:c>
      <x:c r="Z2026" s="38" t="n">
        <x:v>0.7644</x:v>
      </x:c>
      <x:c r="AA2026" s="38" t="n">
        <x:v>0.31605</x:v>
      </x:c>
      <x:c r="AB2026" s="38" t="n">
        <x:v>0.005292</x:v>
      </x:c>
      <x:c r="AC2026" s="38" t="n">
        <x:v>0.6141237375000003</x:v>
      </x:c>
      <x:c r="AD2026" s="28" t="n">
        <x:v>0.15878649955815705</x:v>
      </x:c>
    </x:row>
    <x:row r="2027">
      <x:c r="A2027" s="32" t="n">
        <x:v>46370</x:v>
      </x:c>
      <x:c r="B2027" s="32" t="n">
        <x:v>46357</x:v>
      </x:c>
      <x:c r="C2027" t="str">
        <x:v>Dec 2026</x:v>
      </x:c>
      <x:c r="D2027" t="str">
        <x:v>Forecast</x:v>
      </x:c>
      <x:c r="E2027" t="str">
        <x:v>DB-101</x:v>
      </x:c>
      <x:c r="F2027" t="str">
        <x:v>AeroSip Bottle</x:v>
      </x:c>
      <x:c r="G2027" t="str">
        <x:v>One-time purchase</x:v>
      </x:c>
      <x:c r="H2027" t="str">
        <x:v>None</x:v>
      </x:c>
      <x:c r="I2027" t="str">
        <x:v>Active</x:v>
      </x:c>
      <x:c r="J2027" t="str">
        <x:v>Wholesale</x:v>
      </x:c>
      <x:c r="K2027" t="str">
        <x:v>Retailer</x:v>
      </x:c>
      <x:c r="L2027" t="str">
        <x:v>All Geographies</x:v>
      </x:c>
      <x:c r="M2027" s="34" t="n">
        <x:v>2189</x:v>
      </x:c>
      <x:c r="N2027" s="28" t="n">
        <x:v>0.01881</x:v>
      </x:c>
      <x:c r="O2027" s="34" t="n">
        <x:v>41</x:v>
      </x:c>
      <x:c r="P2027" s="34" t="n">
        <x:v>1</x:v>
      </x:c>
      <x:c r="Q2027" s="34" t="n">
        <x:v>41</x:v>
      </x:c>
      <x:c r="R2027" s="33" t="n">
        <x:v>29</x:v>
      </x:c>
      <x:c r="S2027" s="38" t="n">
        <x:v>1.189</x:v>
      </x:c>
      <x:c r="T2027" s="38" t="n">
        <x:v>0.41615</x:v>
      </x:c>
      <x:c r="U2027" s="38" t="n">
        <x:v>0.034778250000000004</x:v>
      </x:c>
      <x:c r="V2027" s="38" t="n">
        <x:v>0.73807175</x:v>
      </x:c>
      <x:c r="W2027" s="38" t="n">
        <x:v>0.4428</x:v>
      </x:c>
      <x:c r="X2027" s="38" t="n">
        <x:v>0</x:v>
      </x:c>
      <x:c r="Y2027" s="38" t="n">
        <x:v>0</x:v>
      </x:c>
      <x:c r="Z2027" s="38" t="n">
        <x:v>0.0943</x:v>
      </x:c>
      <x:c r="AA2027" s="38" t="n">
        <x:v>0.03485</x:v>
      </x:c>
      <x:c r="AB2027" s="38" t="n">
        <x:v>0.0014759999999999999</x:v>
      </x:c>
      <x:c r="AC2027" s="38" t="n">
        <x:v>0.16464575</x:v>
      </x:c>
      <x:c r="AD2027" s="28" t="n">
        <x:v>0.22307553432305194</x:v>
      </x:c>
    </x:row>
    <x:row r="2028">
      <x:c r="A2028" s="32" t="n">
        <x:v>46370</x:v>
      </x:c>
      <x:c r="B2028" s="32" t="n">
        <x:v>46357</x:v>
      </x:c>
      <x:c r="C2028" t="str">
        <x:v>Dec 2026</x:v>
      </x:c>
      <x:c r="D2028" t="str">
        <x:v>Forecast</x:v>
      </x:c>
      <x:c r="E2028" t="str">
        <x:v>DB-101</x:v>
      </x:c>
      <x:c r="F2028" t="str">
        <x:v>AeroSip Bottle</x:v>
      </x:c>
      <x:c r="G2028" t="str">
        <x:v>One-time purchase</x:v>
      </x:c>
      <x:c r="H2028" t="str">
        <x:v>None</x:v>
      </x:c>
      <x:c r="I2028" t="str">
        <x:v>Active</x:v>
      </x:c>
      <x:c r="J2028" t="str">
        <x:v>TikTok Shop</x:v>
      </x:c>
      <x:c r="K2028" t="str">
        <x:v>Social Commerce</x:v>
      </x:c>
      <x:c r="L2028" t="str">
        <x:v>All Geographies</x:v>
      </x:c>
      <x:c r="M2028" s="34" t="n">
        <x:v>1459</x:v>
      </x:c>
      <x:c r="N2028" s="28" t="n">
        <x:v>0.043092</x:v>
      </x:c>
      <x:c r="O2028" s="34" t="n">
        <x:v>63</x:v>
      </x:c>
      <x:c r="P2028" s="34" t="n">
        <x:v>1</x:v>
      </x:c>
      <x:c r="Q2028" s="34" t="n">
        <x:v>63</x:v>
      </x:c>
      <x:c r="R2028" s="33" t="n">
        <x:v>29</x:v>
      </x:c>
      <x:c r="S2028" s="38" t="n">
        <x:v>1.827</x:v>
      </x:c>
      <x:c r="T2028" s="38" t="n">
        <x:v>0.21924</x:v>
      </x:c>
      <x:c r="U2028" s="38" t="n">
        <x:v>0.07234919999999999</x:v>
      </x:c>
      <x:c r="V2028" s="38" t="n">
        <x:v>1.5354108</x:v>
      </x:c>
      <x:c r="W2028" s="38" t="n">
        <x:v>0.6804000000000001</x:v>
      </x:c>
      <x:c r="X2028" s="38" t="n">
        <x:v>0.044526913200000004</x:v>
      </x:c>
      <x:c r="Y2028" s="38" t="n">
        <x:v>0.09212464799999999</x:v>
      </x:c>
      <x:c r="Z2028" s="38" t="n">
        <x:v>0.3213</x:v>
      </x:c>
      <x:c r="AA2028" s="38" t="n">
        <x:v>0.11025</x:v>
      </x:c>
      <x:c r="AB2028" s="38" t="n">
        <x:v>0.0022679999999999996</x:v>
      </x:c>
      <x:c r="AC2028" s="38" t="n">
        <x:v>0.2845412387999999</x:v>
      </x:c>
      <x:c r="AD2028" s="28" t="n">
        <x:v>0.18531928966501987</x:v>
      </x:c>
    </x:row>
    <x:row r="2029">
      <x:c r="A2029" s="32" t="n">
        <x:v>46370</x:v>
      </x:c>
      <x:c r="B2029" s="32" t="n">
        <x:v>46357</x:v>
      </x:c>
      <x:c r="C2029" t="str">
        <x:v>Dec 2026</x:v>
      </x:c>
      <x:c r="D2029" t="str">
        <x:v>Forecast</x:v>
      </x:c>
      <x:c r="E2029" t="str">
        <x:v>DB-102</x:v>
      </x:c>
      <x:c r="F2029" t="str">
        <x:v>GlowPatch Balm</x:v>
      </x:c>
      <x:c r="G2029" t="str">
        <x:v>Consumable repeat</x:v>
      </x:c>
      <x:c r="H2029" t="str">
        <x:v>None</x:v>
      </x:c>
      <x:c r="I2029" t="str">
        <x:v>Active</x:v>
      </x:c>
      <x:c r="J2029" t="str">
        <x:v>Shopify DTC</x:v>
      </x:c>
      <x:c r="K2029" t="str">
        <x:v>Consumer</x:v>
      </x:c>
      <x:c r="L2029" t="str">
        <x:v>All Geographies</x:v>
      </x:c>
      <x:c r="M2029" s="34" t="n">
        <x:v>5893</x:v>
      </x:c>
      <x:c r="N2029" s="28" t="n">
        <x:v>0.04248</x:v>
      </x:c>
      <x:c r="O2029" s="34" t="n">
        <x:v>250</x:v>
      </x:c>
      <x:c r="P2029" s="34" t="n">
        <x:v>1</x:v>
      </x:c>
      <x:c r="Q2029" s="34" t="n">
        <x:v>250</x:v>
      </x:c>
      <x:c r="R2029" s="33" t="n">
        <x:v>18</x:v>
      </x:c>
      <x:c r="S2029" s="38" t="n">
        <x:v>4.5</x:v>
      </x:c>
      <x:c r="T2029" s="38" t="n">
        <x:v>0.36</x:v>
      </x:c>
      <x:c r="U2029" s="38" t="n">
        <x:v>0.1035</x:v>
      </x:c>
      <x:c r="V2029" s="38" t="n">
        <x:v>4.036499999999999</x:v>
      </x:c>
      <x:c r="W2029" s="38" t="n">
        <x:v>1.3525</x:v>
      </x:c>
      <x:c r="X2029" s="38" t="n">
        <x:v>0.11705849999999998</x:v>
      </x:c>
      <x:c r="Y2029" s="38" t="n">
        <x:v>0</x:v>
      </x:c>
      <x:c r="Z2029" s="38" t="n">
        <x:v>1.0375</x:v>
      </x:c>
      <x:c r="AA2029" s="38" t="n">
        <x:v>0.4125</x:v>
      </x:c>
      <x:c r="AB2029" s="38" t="n">
        <x:v>0.0015</x:v>
      </x:c>
      <x:c r="AC2029" s="38" t="n">
        <x:v>1.1154414999999989</x:v>
      </x:c>
      <x:c r="AD2029" s="28" t="n">
        <x:v>0.2763387835996529</x:v>
      </x:c>
    </x:row>
    <x:row r="2030">
      <x:c r="A2030" s="32" t="n">
        <x:v>46370</x:v>
      </x:c>
      <x:c r="B2030" s="32" t="n">
        <x:v>46357</x:v>
      </x:c>
      <x:c r="C2030" t="str">
        <x:v>Dec 2026</x:v>
      </x:c>
      <x:c r="D2030" t="str">
        <x:v>Forecast</x:v>
      </x:c>
      <x:c r="E2030" t="str">
        <x:v>DB-102</x:v>
      </x:c>
      <x:c r="F2030" t="str">
        <x:v>GlowPatch Balm</x:v>
      </x:c>
      <x:c r="G2030" t="str">
        <x:v>Consumable repeat</x:v>
      </x:c>
      <x:c r="H2030" t="str">
        <x:v>None</x:v>
      </x:c>
      <x:c r="I2030" t="str">
        <x:v>Active</x:v>
      </x:c>
      <x:c r="J2030" t="str">
        <x:v>Amazon Marketplace</x:v>
      </x:c>
      <x:c r="K2030" t="str">
        <x:v>Marketplace Consumer</x:v>
      </x:c>
      <x:c r="L2030" t="str">
        <x:v>All Geographies</x:v>
      </x:c>
      <x:c r="M2030" s="34" t="n">
        <x:v>2946</x:v>
      </x:c>
      <x:c r="N2030" s="28" t="n">
        <x:v>0.050126399999999995</x:v>
      </x:c>
      <x:c r="O2030" s="34" t="n">
        <x:v>148</x:v>
      </x:c>
      <x:c r="P2030" s="34" t="n">
        <x:v>1</x:v>
      </x:c>
      <x:c r="Q2030" s="34" t="n">
        <x:v>148</x:v>
      </x:c>
      <x:c r="R2030" s="33" t="n">
        <x:v>18</x:v>
      </x:c>
      <x:c r="S2030" s="38" t="n">
        <x:v>2.664</x:v>
      </x:c>
      <x:c r="T2030" s="38" t="n">
        <x:v>0.1332</x:v>
      </x:c>
      <x:c r="U2030" s="38" t="n">
        <x:v>0.06327</x:v>
      </x:c>
      <x:c r="V2030" s="38" t="n">
        <x:v>2.46753</x:v>
      </x:c>
      <x:c r="W2030" s="38" t="n">
        <x:v>0.8006800000000001</x:v>
      </x:c>
      <x:c r="X2030" s="38" t="n">
        <x:v>0</x:v>
      </x:c>
      <x:c r="Y2030" s="38" t="n">
        <x:v>0.3701295</x:v>
      </x:c>
      <x:c r="Z2030" s="38" t="n">
        <x:v>0.7696000000000001</x:v>
      </x:c>
      <x:c r="AA2030" s="38" t="n">
        <x:v>0.3182</x:v>
      </x:c>
      <x:c r="AB2030" s="38" t="n">
        <x:v>0.0008879999999999999</x:v>
      </x:c>
      <x:c r="AC2030" s="38" t="n">
        <x:v>0.2080324999999999</x:v>
      </x:c>
      <x:c r="AD2030" s="28" t="n">
        <x:v>0.084307992202729</x:v>
      </x:c>
    </x:row>
    <x:row r="2031">
      <x:c r="A2031" s="32" t="n">
        <x:v>46370</x:v>
      </x:c>
      <x:c r="B2031" s="32" t="n">
        <x:v>46357</x:v>
      </x:c>
      <x:c r="C2031" t="str">
        <x:v>Dec 2026</x:v>
      </x:c>
      <x:c r="D2031" t="str">
        <x:v>Forecast</x:v>
      </x:c>
      <x:c r="E2031" t="str">
        <x:v>DB-102</x:v>
      </x:c>
      <x:c r="F2031" t="str">
        <x:v>GlowPatch Balm</x:v>
      </x:c>
      <x:c r="G2031" t="str">
        <x:v>Consumable repeat</x:v>
      </x:c>
      <x:c r="H2031" t="str">
        <x:v>None</x:v>
      </x:c>
      <x:c r="I2031" t="str">
        <x:v>Active</x:v>
      </x:c>
      <x:c r="J2031" t="str">
        <x:v>Wholesale</x:v>
      </x:c>
      <x:c r="K2031" t="str">
        <x:v>Retailer</x:v>
      </x:c>
      <x:c r="L2031" t="str">
        <x:v>All Geographies</x:v>
      </x:c>
      <x:c r="M2031" s="34" t="n">
        <x:v>1768</x:v>
      </x:c>
      <x:c r="N2031" s="28" t="n">
        <x:v>0.023364</x:v>
      </x:c>
      <x:c r="O2031" s="34" t="n">
        <x:v>41</x:v>
      </x:c>
      <x:c r="P2031" s="34" t="n">
        <x:v>1</x:v>
      </x:c>
      <x:c r="Q2031" s="34" t="n">
        <x:v>41</x:v>
      </x:c>
      <x:c r="R2031" s="33" t="n">
        <x:v>18</x:v>
      </x:c>
      <x:c r="S2031" s="38" t="n">
        <x:v>0.738</x:v>
      </x:c>
      <x:c r="T2031" s="38" t="n">
        <x:v>0.2583</x:v>
      </x:c>
      <x:c r="U2031" s="38" t="n">
        <x:v>0.011992500000000001</x:v>
      </x:c>
      <x:c r="V2031" s="38" t="n">
        <x:v>0.4677075</x:v>
      </x:c>
      <x:c r="W2031" s="38" t="n">
        <x:v>0.22181</x:v>
      </x:c>
      <x:c r="X2031" s="38" t="n">
        <x:v>0</x:v>
      </x:c>
      <x:c r="Y2031" s="38" t="n">
        <x:v>0</x:v>
      </x:c>
      <x:c r="Z2031" s="38" t="n">
        <x:v>0.0943</x:v>
      </x:c>
      <x:c r="AA2031" s="38" t="n">
        <x:v>0.03485</x:v>
      </x:c>
      <x:c r="AB2031" s="38" t="n">
        <x:v>0.000246</x:v>
      </x:c>
      <x:c r="AC2031" s="38" t="n">
        <x:v>0.11650150000000001</x:v>
      </x:c>
      <x:c r="AD2031" s="28" t="n">
        <x:v>0.2490905106289722</x:v>
      </x:c>
    </x:row>
    <x:row r="2032">
      <x:c r="A2032" s="32" t="n">
        <x:v>46370</x:v>
      </x:c>
      <x:c r="B2032" s="32" t="n">
        <x:v>46357</x:v>
      </x:c>
      <x:c r="C2032" t="str">
        <x:v>Dec 2026</x:v>
      </x:c>
      <x:c r="D2032" t="str">
        <x:v>Forecast</x:v>
      </x:c>
      <x:c r="E2032" t="str">
        <x:v>DB-102</x:v>
      </x:c>
      <x:c r="F2032" t="str">
        <x:v>GlowPatch Balm</x:v>
      </x:c>
      <x:c r="G2032" t="str">
        <x:v>Consumable repeat</x:v>
      </x:c>
      <x:c r="H2032" t="str">
        <x:v>None</x:v>
      </x:c>
      <x:c r="I2032" t="str">
        <x:v>Active</x:v>
      </x:c>
      <x:c r="J2032" t="str">
        <x:v>TikTok Shop</x:v>
      </x:c>
      <x:c r="K2032" t="str">
        <x:v>Social Commerce</x:v>
      </x:c>
      <x:c r="L2032" t="str">
        <x:v>All Geographies</x:v>
      </x:c>
      <x:c r="M2032" s="34" t="n">
        <x:v>1179</x:v>
      </x:c>
      <x:c r="N2032" s="28" t="n">
        <x:v>0.0535248</x:v>
      </x:c>
      <x:c r="O2032" s="34" t="n">
        <x:v>63</x:v>
      </x:c>
      <x:c r="P2032" s="34" t="n">
        <x:v>1</x:v>
      </x:c>
      <x:c r="Q2032" s="34" t="n">
        <x:v>63</x:v>
      </x:c>
      <x:c r="R2032" s="33" t="n">
        <x:v>18</x:v>
      </x:c>
      <x:c r="S2032" s="38" t="n">
        <x:v>1.134</x:v>
      </x:c>
      <x:c r="T2032" s="38" t="n">
        <x:v>0.13607999999999998</x:v>
      </x:c>
      <x:c r="U2032" s="38" t="n">
        <x:v>0.024947999999999998</x:v>
      </x:c>
      <x:c r="V2032" s="38" t="n">
        <x:v>0.972972</x:v>
      </x:c>
      <x:c r="W2032" s="38" t="n">
        <x:v>0.34082999999999997</x:v>
      </x:c>
      <x:c r="X2032" s="38" t="n">
        <x:v>0.028216188</x:v>
      </x:c>
      <x:c r="Y2032" s="38" t="n">
        <x:v>0.05837832</x:v>
      </x:c>
      <x:c r="Z2032" s="38" t="n">
        <x:v>0.3213</x:v>
      </x:c>
      <x:c r="AA2032" s="38" t="n">
        <x:v>0.11025</x:v>
      </x:c>
      <x:c r="AB2032" s="38" t="n">
        <x:v>0.000378</x:v>
      </x:c>
      <x:c r="AC2032" s="38" t="n">
        <x:v>0.11361949199999999</x:v>
      </x:c>
      <x:c r="AD2032" s="28" t="n">
        <x:v>0.11677570577570577</x:v>
      </x:c>
    </x:row>
    <x:row r="2033">
      <x:c r="A2033" s="32" t="n">
        <x:v>46370</x:v>
      </x:c>
      <x:c r="B2033" s="32" t="n">
        <x:v>46357</x:v>
      </x:c>
      <x:c r="C2033" t="str">
        <x:v>Dec 2026</x:v>
      </x:c>
      <x:c r="D2033" t="str">
        <x:v>Forecast</x:v>
      </x:c>
      <x:c r="E2033" t="str">
        <x:v>DB-103</x:v>
      </x:c>
      <x:c r="F2033" t="str">
        <x:v>EmberTrail Camp Mug</x:v>
      </x:c>
      <x:c r="G2033" t="str">
        <x:v>One-time purchase</x:v>
      </x:c>
      <x:c r="H2033" t="str">
        <x:v>Winter peak</x:v>
      </x:c>
      <x:c r="I2033" t="str">
        <x:v>Discontinued</x:v>
      </x:c>
      <x:c r="J2033" t="str">
        <x:v>Shopify DTC</x:v>
      </x:c>
      <x:c r="K2033" t="str">
        <x:v>Consumer</x:v>
      </x:c>
      <x:c r="L2033" t="str">
        <x:v>All Geographies</x:v>
      </x:c>
      <x:c r="M2033" s="34" t="n">
        <x:v>0</x:v>
      </x:c>
      <x:c r="N2033" s="28" t="n">
        <x:v>0.0324</x:v>
      </x:c>
      <x:c r="O2033" s="34" t="n">
        <x:v>0</x:v>
      </x:c>
      <x:c r="P2033" s="34" t="n">
        <x:v>1</x:v>
      </x:c>
      <x:c r="Q2033" s="34" t="n">
        <x:v>0</x:v>
      </x:c>
      <x:c r="R2033" s="33" t="n">
        <x:v>34</x:v>
      </x:c>
      <x:c r="S2033" s="38" t="n">
        <x:v>0</x:v>
      </x:c>
      <x:c r="T2033" s="38" t="n">
        <x:v>0</x:v>
      </x:c>
      <x:c r="U2033" s="38" t="n">
        <x:v>0</x:v>
      </x:c>
      <x:c r="V2033" s="38" t="n">
        <x:v>0</x:v>
      </x:c>
      <x:c r="W2033" s="38" t="n">
        <x:v>0</x:v>
      </x:c>
      <x:c r="X2033" s="38" t="n">
        <x:v>0</x:v>
      </x:c>
      <x:c r="Y2033" s="38" t="n">
        <x:v>0</x:v>
      </x:c>
      <x:c r="Z2033" s="38" t="n">
        <x:v>0</x:v>
      </x:c>
      <x:c r="AA2033" s="38" t="n">
        <x:v>0</x:v>
      </x:c>
      <x:c r="AB2033" s="38" t="n">
        <x:v>0</x:v>
      </x:c>
      <x:c r="AC2033" s="38" t="n">
        <x:v>0</x:v>
      </x:c>
      <x:c r="AD2033" s="28" t="n">
        <x:v>0</x:v>
      </x:c>
    </x:row>
    <x:row r="2034">
      <x:c r="A2034" s="32" t="n">
        <x:v>46370</x:v>
      </x:c>
      <x:c r="B2034" s="32" t="n">
        <x:v>46357</x:v>
      </x:c>
      <x:c r="C2034" t="str">
        <x:v>Dec 2026</x:v>
      </x:c>
      <x:c r="D2034" t="str">
        <x:v>Forecast</x:v>
      </x:c>
      <x:c r="E2034" t="str">
        <x:v>DB-103</x:v>
      </x:c>
      <x:c r="F2034" t="str">
        <x:v>EmberTrail Camp Mug</x:v>
      </x:c>
      <x:c r="G2034" t="str">
        <x:v>One-time purchase</x:v>
      </x:c>
      <x:c r="H2034" t="str">
        <x:v>Winter peak</x:v>
      </x:c>
      <x:c r="I2034" t="str">
        <x:v>Discontinued</x:v>
      </x:c>
      <x:c r="J2034" t="str">
        <x:v>Amazon Marketplace</x:v>
      </x:c>
      <x:c r="K2034" t="str">
        <x:v>Marketplace Consumer</x:v>
      </x:c>
      <x:c r="L2034" t="str">
        <x:v>All Geographies</x:v>
      </x:c>
      <x:c r="M2034" s="34" t="n">
        <x:v>0</x:v>
      </x:c>
      <x:c r="N2034" s="28" t="n">
        <x:v>0.038231999999999995</x:v>
      </x:c>
      <x:c r="O2034" s="34" t="n">
        <x:v>0</x:v>
      </x:c>
      <x:c r="P2034" s="34" t="n">
        <x:v>1</x:v>
      </x:c>
      <x:c r="Q2034" s="34" t="n">
        <x:v>0</x:v>
      </x:c>
      <x:c r="R2034" s="33" t="n">
        <x:v>34</x:v>
      </x:c>
      <x:c r="S2034" s="38" t="n">
        <x:v>0</x:v>
      </x:c>
      <x:c r="T2034" s="38" t="n">
        <x:v>0</x:v>
      </x:c>
      <x:c r="U2034" s="38" t="n">
        <x:v>0</x:v>
      </x:c>
      <x:c r="V2034" s="38" t="n">
        <x:v>0</x:v>
      </x:c>
      <x:c r="W2034" s="38" t="n">
        <x:v>0</x:v>
      </x:c>
      <x:c r="X2034" s="38" t="n">
        <x:v>0</x:v>
      </x:c>
      <x:c r="Y2034" s="38" t="n">
        <x:v>0</x:v>
      </x:c>
      <x:c r="Z2034" s="38" t="n">
        <x:v>0</x:v>
      </x:c>
      <x:c r="AA2034" s="38" t="n">
        <x:v>0</x:v>
      </x:c>
      <x:c r="AB2034" s="38" t="n">
        <x:v>0</x:v>
      </x:c>
      <x:c r="AC2034" s="38" t="n">
        <x:v>0</x:v>
      </x:c>
      <x:c r="AD2034" s="28" t="n">
        <x:v>0</x:v>
      </x:c>
    </x:row>
    <x:row r="2035">
      <x:c r="A2035" s="32" t="n">
        <x:v>46370</x:v>
      </x:c>
      <x:c r="B2035" s="32" t="n">
        <x:v>46357</x:v>
      </x:c>
      <x:c r="C2035" t="str">
        <x:v>Dec 2026</x:v>
      </x:c>
      <x:c r="D2035" t="str">
        <x:v>Forecast</x:v>
      </x:c>
      <x:c r="E2035" t="str">
        <x:v>DB-103</x:v>
      </x:c>
      <x:c r="F2035" t="str">
        <x:v>EmberTrail Camp Mug</x:v>
      </x:c>
      <x:c r="G2035" t="str">
        <x:v>One-time purchase</x:v>
      </x:c>
      <x:c r="H2035" t="str">
        <x:v>Winter peak</x:v>
      </x:c>
      <x:c r="I2035" t="str">
        <x:v>Discontinued</x:v>
      </x:c>
      <x:c r="J2035" t="str">
        <x:v>Wholesale</x:v>
      </x:c>
      <x:c r="K2035" t="str">
        <x:v>Retailer</x:v>
      </x:c>
      <x:c r="L2035" t="str">
        <x:v>All Geographies</x:v>
      </x:c>
      <x:c r="M2035" s="34" t="n">
        <x:v>0</x:v>
      </x:c>
      <x:c r="N2035" s="28" t="n">
        <x:v>0.017820000000000003</x:v>
      </x:c>
      <x:c r="O2035" s="34" t="n">
        <x:v>0</x:v>
      </x:c>
      <x:c r="P2035" s="34" t="n">
        <x:v>1</x:v>
      </x:c>
      <x:c r="Q2035" s="34" t="n">
        <x:v>0</x:v>
      </x:c>
      <x:c r="R2035" s="33" t="n">
        <x:v>34</x:v>
      </x:c>
      <x:c r="S2035" s="38" t="n">
        <x:v>0</x:v>
      </x:c>
      <x:c r="T2035" s="38" t="n">
        <x:v>0</x:v>
      </x:c>
      <x:c r="U2035" s="38" t="n">
        <x:v>0</x:v>
      </x:c>
      <x:c r="V2035" s="38" t="n">
        <x:v>0</x:v>
      </x:c>
      <x:c r="W2035" s="38" t="n">
        <x:v>0</x:v>
      </x:c>
      <x:c r="X2035" s="38" t="n">
        <x:v>0</x:v>
      </x:c>
      <x:c r="Y2035" s="38" t="n">
        <x:v>0</x:v>
      </x:c>
      <x:c r="Z2035" s="38" t="n">
        <x:v>0</x:v>
      </x:c>
      <x:c r="AA2035" s="38" t="n">
        <x:v>0</x:v>
      </x:c>
      <x:c r="AB2035" s="38" t="n">
        <x:v>0</x:v>
      </x:c>
      <x:c r="AC2035" s="38" t="n">
        <x:v>0</x:v>
      </x:c>
      <x:c r="AD2035" s="28" t="n">
        <x:v>0</x:v>
      </x:c>
    </x:row>
    <x:row r="2036">
      <x:c r="A2036" s="32" t="n">
        <x:v>46370</x:v>
      </x:c>
      <x:c r="B2036" s="32" t="n">
        <x:v>46357</x:v>
      </x:c>
      <x:c r="C2036" t="str">
        <x:v>Dec 2026</x:v>
      </x:c>
      <x:c r="D2036" t="str">
        <x:v>Forecast</x:v>
      </x:c>
      <x:c r="E2036" t="str">
        <x:v>DB-103</x:v>
      </x:c>
      <x:c r="F2036" t="str">
        <x:v>EmberTrail Camp Mug</x:v>
      </x:c>
      <x:c r="G2036" t="str">
        <x:v>One-time purchase</x:v>
      </x:c>
      <x:c r="H2036" t="str">
        <x:v>Winter peak</x:v>
      </x:c>
      <x:c r="I2036" t="str">
        <x:v>Discontinued</x:v>
      </x:c>
      <x:c r="J2036" t="str">
        <x:v>TikTok Shop</x:v>
      </x:c>
      <x:c r="K2036" t="str">
        <x:v>Social Commerce</x:v>
      </x:c>
      <x:c r="L2036" t="str">
        <x:v>All Geographies</x:v>
      </x:c>
      <x:c r="M2036" s="34" t="n">
        <x:v>0</x:v>
      </x:c>
      <x:c r="N2036" s="28" t="n">
        <x:v>0.040824</x:v>
      </x:c>
      <x:c r="O2036" s="34" t="n">
        <x:v>0</x:v>
      </x:c>
      <x:c r="P2036" s="34" t="n">
        <x:v>1</x:v>
      </x:c>
      <x:c r="Q2036" s="34" t="n">
        <x:v>0</x:v>
      </x:c>
      <x:c r="R2036" s="33" t="n">
        <x:v>34</x:v>
      </x:c>
      <x:c r="S2036" s="38" t="n">
        <x:v>0</x:v>
      </x:c>
      <x:c r="T2036" s="38" t="n">
        <x:v>0</x:v>
      </x:c>
      <x:c r="U2036" s="38" t="n">
        <x:v>0</x:v>
      </x:c>
      <x:c r="V2036" s="38" t="n">
        <x:v>0</x:v>
      </x:c>
      <x:c r="W2036" s="38" t="n">
        <x:v>0</x:v>
      </x:c>
      <x:c r="X2036" s="38" t="n">
        <x:v>0</x:v>
      </x:c>
      <x:c r="Y2036" s="38" t="n">
        <x:v>0</x:v>
      </x:c>
      <x:c r="Z2036" s="38" t="n">
        <x:v>0</x:v>
      </x:c>
      <x:c r="AA2036" s="38" t="n">
        <x:v>0</x:v>
      </x:c>
      <x:c r="AB2036" s="38" t="n">
        <x:v>0</x:v>
      </x:c>
      <x:c r="AC2036" s="38" t="n">
        <x:v>0</x:v>
      </x:c>
      <x:c r="AD2036" s="28" t="n">
        <x:v>0</x:v>
      </x:c>
    </x:row>
    <x:row r="2037">
      <x:c r="A2037" s="32" t="n">
        <x:v>46370</x:v>
      </x:c>
      <x:c r="B2037" s="32" t="n">
        <x:v>46357</x:v>
      </x:c>
      <x:c r="C2037" t="str">
        <x:v>Dec 2026</x:v>
      </x:c>
      <x:c r="D2037" t="str">
        <x:v>Forecast</x:v>
      </x:c>
      <x:c r="E2037" t="str">
        <x:v>DB-104</x:v>
      </x:c>
      <x:c r="F2037" t="str">
        <x:v>SunNest Cooling Towel</x:v>
      </x:c>
      <x:c r="G2037" t="str">
        <x:v>Consumable repeat</x:v>
      </x:c>
      <x:c r="H2037" t="str">
        <x:v>Summer peak</x:v>
      </x:c>
      <x:c r="I2037" t="str">
        <x:v>Discontinued</x:v>
      </x:c>
      <x:c r="J2037" t="str">
        <x:v>Shopify DTC</x:v>
      </x:c>
      <x:c r="K2037" t="str">
        <x:v>Consumer</x:v>
      </x:c>
      <x:c r="L2037" t="str">
        <x:v>All Geographies</x:v>
      </x:c>
      <x:c r="M2037" s="34" t="n">
        <x:v>0</x:v>
      </x:c>
      <x:c r="N2037" s="28" t="n">
        <x:v>0.03312</x:v>
      </x:c>
      <x:c r="O2037" s="34" t="n">
        <x:v>0</x:v>
      </x:c>
      <x:c r="P2037" s="34" t="n">
        <x:v>1</x:v>
      </x:c>
      <x:c r="Q2037" s="34" t="n">
        <x:v>0</x:v>
      </x:c>
      <x:c r="R2037" s="33" t="n">
        <x:v>42</x:v>
      </x:c>
      <x:c r="S2037" s="38" t="n">
        <x:v>0</x:v>
      </x:c>
      <x:c r="T2037" s="38" t="n">
        <x:v>0</x:v>
      </x:c>
      <x:c r="U2037" s="38" t="n">
        <x:v>0</x:v>
      </x:c>
      <x:c r="V2037" s="38" t="n">
        <x:v>0</x:v>
      </x:c>
      <x:c r="W2037" s="38" t="n">
        <x:v>0</x:v>
      </x:c>
      <x:c r="X2037" s="38" t="n">
        <x:v>0</x:v>
      </x:c>
      <x:c r="Y2037" s="38" t="n">
        <x:v>0</x:v>
      </x:c>
      <x:c r="Z2037" s="38" t="n">
        <x:v>0</x:v>
      </x:c>
      <x:c r="AA2037" s="38" t="n">
        <x:v>0</x:v>
      </x:c>
      <x:c r="AB2037" s="38" t="n">
        <x:v>0</x:v>
      </x:c>
      <x:c r="AC2037" s="38" t="n">
        <x:v>0</x:v>
      </x:c>
      <x:c r="AD2037" s="28" t="n">
        <x:v>0</x:v>
      </x:c>
    </x:row>
    <x:row r="2038">
      <x:c r="A2038" s="32" t="n">
        <x:v>46370</x:v>
      </x:c>
      <x:c r="B2038" s="32" t="n">
        <x:v>46357</x:v>
      </x:c>
      <x:c r="C2038" t="str">
        <x:v>Dec 2026</x:v>
      </x:c>
      <x:c r="D2038" t="str">
        <x:v>Forecast</x:v>
      </x:c>
      <x:c r="E2038" t="str">
        <x:v>DB-104</x:v>
      </x:c>
      <x:c r="F2038" t="str">
        <x:v>SunNest Cooling Towel</x:v>
      </x:c>
      <x:c r="G2038" t="str">
        <x:v>Consumable repeat</x:v>
      </x:c>
      <x:c r="H2038" t="str">
        <x:v>Summer peak</x:v>
      </x:c>
      <x:c r="I2038" t="str">
        <x:v>Discontinued</x:v>
      </x:c>
      <x:c r="J2038" t="str">
        <x:v>Amazon Marketplace</x:v>
      </x:c>
      <x:c r="K2038" t="str">
        <x:v>Marketplace Consumer</x:v>
      </x:c>
      <x:c r="L2038" t="str">
        <x:v>All Geographies</x:v>
      </x:c>
      <x:c r="M2038" s="34" t="n">
        <x:v>0</x:v>
      </x:c>
      <x:c r="N2038" s="28" t="n">
        <x:v>0.0390816</x:v>
      </x:c>
      <x:c r="O2038" s="34" t="n">
        <x:v>0</x:v>
      </x:c>
      <x:c r="P2038" s="34" t="n">
        <x:v>1</x:v>
      </x:c>
      <x:c r="Q2038" s="34" t="n">
        <x:v>0</x:v>
      </x:c>
      <x:c r="R2038" s="33" t="n">
        <x:v>42</x:v>
      </x:c>
      <x:c r="S2038" s="38" t="n">
        <x:v>0</x:v>
      </x:c>
      <x:c r="T2038" s="38" t="n">
        <x:v>0</x:v>
      </x:c>
      <x:c r="U2038" s="38" t="n">
        <x:v>0</x:v>
      </x:c>
      <x:c r="V2038" s="38" t="n">
        <x:v>0</x:v>
      </x:c>
      <x:c r="W2038" s="38" t="n">
        <x:v>0</x:v>
      </x:c>
      <x:c r="X2038" s="38" t="n">
        <x:v>0</x:v>
      </x:c>
      <x:c r="Y2038" s="38" t="n">
        <x:v>0</x:v>
      </x:c>
      <x:c r="Z2038" s="38" t="n">
        <x:v>0</x:v>
      </x:c>
      <x:c r="AA2038" s="38" t="n">
        <x:v>0</x:v>
      </x:c>
      <x:c r="AB2038" s="38" t="n">
        <x:v>0</x:v>
      </x:c>
      <x:c r="AC2038" s="38" t="n">
        <x:v>0</x:v>
      </x:c>
      <x:c r="AD2038" s="28" t="n">
        <x:v>0</x:v>
      </x:c>
    </x:row>
    <x:row r="2039">
      <x:c r="A2039" s="32" t="n">
        <x:v>46370</x:v>
      </x:c>
      <x:c r="B2039" s="32" t="n">
        <x:v>46357</x:v>
      </x:c>
      <x:c r="C2039" t="str">
        <x:v>Dec 2026</x:v>
      </x:c>
      <x:c r="D2039" t="str">
        <x:v>Forecast</x:v>
      </x:c>
      <x:c r="E2039" t="str">
        <x:v>DB-104</x:v>
      </x:c>
      <x:c r="F2039" t="str">
        <x:v>SunNest Cooling Towel</x:v>
      </x:c>
      <x:c r="G2039" t="str">
        <x:v>Consumable repeat</x:v>
      </x:c>
      <x:c r="H2039" t="str">
        <x:v>Summer peak</x:v>
      </x:c>
      <x:c r="I2039" t="str">
        <x:v>Discontinued</x:v>
      </x:c>
      <x:c r="J2039" t="str">
        <x:v>Wholesale</x:v>
      </x:c>
      <x:c r="K2039" t="str">
        <x:v>Retailer</x:v>
      </x:c>
      <x:c r="L2039" t="str">
        <x:v>All Geographies</x:v>
      </x:c>
      <x:c r="M2039" s="34" t="n">
        <x:v>0</x:v>
      </x:c>
      <x:c r="N2039" s="28" t="n">
        <x:v>0.018216000000000003</x:v>
      </x:c>
      <x:c r="O2039" s="34" t="n">
        <x:v>0</x:v>
      </x:c>
      <x:c r="P2039" s="34" t="n">
        <x:v>1</x:v>
      </x:c>
      <x:c r="Q2039" s="34" t="n">
        <x:v>0</x:v>
      </x:c>
      <x:c r="R2039" s="33" t="n">
        <x:v>42</x:v>
      </x:c>
      <x:c r="S2039" s="38" t="n">
        <x:v>0</x:v>
      </x:c>
      <x:c r="T2039" s="38" t="n">
        <x:v>0</x:v>
      </x:c>
      <x:c r="U2039" s="38" t="n">
        <x:v>0</x:v>
      </x:c>
      <x:c r="V2039" s="38" t="n">
        <x:v>0</x:v>
      </x:c>
      <x:c r="W2039" s="38" t="n">
        <x:v>0</x:v>
      </x:c>
      <x:c r="X2039" s="38" t="n">
        <x:v>0</x:v>
      </x:c>
      <x:c r="Y2039" s="38" t="n">
        <x:v>0</x:v>
      </x:c>
      <x:c r="Z2039" s="38" t="n">
        <x:v>0</x:v>
      </x:c>
      <x:c r="AA2039" s="38" t="n">
        <x:v>0</x:v>
      </x:c>
      <x:c r="AB2039" s="38" t="n">
        <x:v>0</x:v>
      </x:c>
      <x:c r="AC2039" s="38" t="n">
        <x:v>0</x:v>
      </x:c>
      <x:c r="AD2039" s="28" t="n">
        <x:v>0</x:v>
      </x:c>
    </x:row>
    <x:row r="2040">
      <x:c r="A2040" s="32" t="n">
        <x:v>46370</x:v>
      </x:c>
      <x:c r="B2040" s="32" t="n">
        <x:v>46357</x:v>
      </x:c>
      <x:c r="C2040" t="str">
        <x:v>Dec 2026</x:v>
      </x:c>
      <x:c r="D2040" t="str">
        <x:v>Forecast</x:v>
      </x:c>
      <x:c r="E2040" t="str">
        <x:v>DB-104</x:v>
      </x:c>
      <x:c r="F2040" t="str">
        <x:v>SunNest Cooling Towel</x:v>
      </x:c>
      <x:c r="G2040" t="str">
        <x:v>Consumable repeat</x:v>
      </x:c>
      <x:c r="H2040" t="str">
        <x:v>Summer peak</x:v>
      </x:c>
      <x:c r="I2040" t="str">
        <x:v>Discontinued</x:v>
      </x:c>
      <x:c r="J2040" t="str">
        <x:v>TikTok Shop</x:v>
      </x:c>
      <x:c r="K2040" t="str">
        <x:v>Social Commerce</x:v>
      </x:c>
      <x:c r="L2040" t="str">
        <x:v>All Geographies</x:v>
      </x:c>
      <x:c r="M2040" s="34" t="n">
        <x:v>0</x:v>
      </x:c>
      <x:c r="N2040" s="28" t="n">
        <x:v>0.0417312</x:v>
      </x:c>
      <x:c r="O2040" s="34" t="n">
        <x:v>0</x:v>
      </x:c>
      <x:c r="P2040" s="34" t="n">
        <x:v>1</x:v>
      </x:c>
      <x:c r="Q2040" s="34" t="n">
        <x:v>0</x:v>
      </x:c>
      <x:c r="R2040" s="33" t="n">
        <x:v>42</x:v>
      </x:c>
      <x:c r="S2040" s="38" t="n">
        <x:v>0</x:v>
      </x:c>
      <x:c r="T2040" s="38" t="n">
        <x:v>0</x:v>
      </x:c>
      <x:c r="U2040" s="38" t="n">
        <x:v>0</x:v>
      </x:c>
      <x:c r="V2040" s="38" t="n">
        <x:v>0</x:v>
      </x:c>
      <x:c r="W2040" s="38" t="n">
        <x:v>0</x:v>
      </x:c>
      <x:c r="X2040" s="38" t="n">
        <x:v>0</x:v>
      </x:c>
      <x:c r="Y2040" s="38" t="n">
        <x:v>0</x:v>
      </x:c>
      <x:c r="Z2040" s="38" t="n">
        <x:v>0</x:v>
      </x:c>
      <x:c r="AA2040" s="38" t="n">
        <x:v>0</x:v>
      </x:c>
      <x:c r="AB2040" s="38" t="n">
        <x:v>0</x:v>
      </x:c>
      <x:c r="AC2040" s="38" t="n">
        <x:v>0</x:v>
      </x:c>
      <x:c r="AD2040" s="28" t="n">
        <x:v>0</x:v>
      </x:c>
    </x:row>
    <x:row r="2041">
      <x:c r="A2041" s="32" t="n">
        <x:v>46370</x:v>
      </x:c>
      <x:c r="B2041" s="32" t="n">
        <x:v>46357</x:v>
      </x:c>
      <x:c r="C2041" t="str">
        <x:v>Dec 2026</x:v>
      </x:c>
      <x:c r="D2041" t="str">
        <x:v>Forecast</x:v>
      </x:c>
      <x:c r="E2041" t="str">
        <x:v>DB-105</x:v>
      </x:c>
      <x:c r="F2041" t="str">
        <x:v>DreamFuel Refill Pack</x:v>
      </x:c>
      <x:c r="G2041" t="str">
        <x:v>Subscription</x:v>
      </x:c>
      <x:c r="H2041" t="str">
        <x:v>None</x:v>
      </x:c>
      <x:c r="I2041" t="str">
        <x:v>Active</x:v>
      </x:c>
      <x:c r="J2041" t="str">
        <x:v>Shopify DTC</x:v>
      </x:c>
      <x:c r="K2041" t="str">
        <x:v>Consumer</x:v>
      </x:c>
      <x:c r="L2041" t="str">
        <x:v>All Geographies</x:v>
      </x:c>
      <x:c r="M2041" s="34" t="n">
        <x:v>5051</x:v>
      </x:c>
      <x:c r="N2041" s="28" t="n">
        <x:v>0.03888</x:v>
      </x:c>
      <x:c r="O2041" s="34" t="n">
        <x:v>196</x:v>
      </x:c>
      <x:c r="P2041" s="34" t="n">
        <x:v>1</x:v>
      </x:c>
      <x:c r="Q2041" s="34" t="n">
        <x:v>196</x:v>
      </x:c>
      <x:c r="R2041" s="33" t="n">
        <x:v>56</x:v>
      </x:c>
      <x:c r="S2041" s="38" t="n">
        <x:v>10.976</x:v>
      </x:c>
      <x:c r="T2041" s="38" t="n">
        <x:v>0.8780800000000001</x:v>
      </x:c>
      <x:c r="U2041" s="38" t="n">
        <x:v>0.2019584</x:v>
      </x:c>
      <x:c r="V2041" s="38" t="n">
        <x:v>9.8959616</x:v>
      </x:c>
      <x:c r="W2041" s="38" t="n">
        <x:v>3.64952</x:v>
      </x:c>
      <x:c r="X2041" s="38" t="n">
        <x:v>0.2869828864</x:v>
      </x:c>
      <x:c r="Y2041" s="38" t="n">
        <x:v>0</x:v>
      </x:c>
      <x:c r="Z2041" s="38" t="n">
        <x:v>0.8134000000000001</x:v>
      </x:c>
      <x:c r="AA2041" s="38" t="n">
        <x:v>0.32339999999999997</x:v>
      </x:c>
      <x:c r="AB2041" s="38" t="n">
        <x:v>0.0007055999999999999</x:v>
      </x:c>
      <x:c r="AC2041" s="38" t="n">
        <x:v>4.8219531136</x:v>
      </x:c>
      <x:c r="AD2041" s="28" t="n">
        <x:v>0.4872647357079478</x:v>
      </x:c>
    </x:row>
    <x:row r="2042">
      <x:c r="A2042" s="32" t="n">
        <x:v>46370</x:v>
      </x:c>
      <x:c r="B2042" s="32" t="n">
        <x:v>46357</x:v>
      </x:c>
      <x:c r="C2042" t="str">
        <x:v>Dec 2026</x:v>
      </x:c>
      <x:c r="D2042" t="str">
        <x:v>Forecast</x:v>
      </x:c>
      <x:c r="E2042" t="str">
        <x:v>DB-105</x:v>
      </x:c>
      <x:c r="F2042" t="str">
        <x:v>DreamFuel Refill Pack</x:v>
      </x:c>
      <x:c r="G2042" t="str">
        <x:v>Subscription</x:v>
      </x:c>
      <x:c r="H2042" t="str">
        <x:v>None</x:v>
      </x:c>
      <x:c r="I2042" t="str">
        <x:v>Active</x:v>
      </x:c>
      <x:c r="J2042" t="str">
        <x:v>Amazon Marketplace</x:v>
      </x:c>
      <x:c r="K2042" t="str">
        <x:v>Marketplace Consumer</x:v>
      </x:c>
      <x:c r="L2042" t="str">
        <x:v>All Geographies</x:v>
      </x:c>
      <x:c r="M2042" s="34" t="n">
        <x:v>2525</x:v>
      </x:c>
      <x:c r="N2042" s="28" t="n">
        <x:v>0.0458784</x:v>
      </x:c>
      <x:c r="O2042" s="34" t="n">
        <x:v>116</x:v>
      </x:c>
      <x:c r="P2042" s="34" t="n">
        <x:v>1</x:v>
      </x:c>
      <x:c r="Q2042" s="34" t="n">
        <x:v>116</x:v>
      </x:c>
      <x:c r="R2042" s="33" t="n">
        <x:v>56</x:v>
      </x:c>
      <x:c r="S2042" s="38" t="n">
        <x:v>6.496</x:v>
      </x:c>
      <x:c r="T2042" s="38" t="n">
        <x:v>0.32480000000000003</x:v>
      </x:c>
      <x:c r="U2042" s="38" t="n">
        <x:v>0.12342400000000002</x:v>
      </x:c>
      <x:c r="V2042" s="38" t="n">
        <x:v>6.047776000000001</x:v>
      </x:c>
      <x:c r="W2042" s="38" t="n">
        <x:v>2.15992</x:v>
      </x:c>
      <x:c r="X2042" s="38" t="n">
        <x:v>0</x:v>
      </x:c>
      <x:c r="Y2042" s="38" t="n">
        <x:v>0.9071664</x:v>
      </x:c>
      <x:c r="Z2042" s="38" t="n">
        <x:v>0.6032000000000001</x:v>
      </x:c>
      <x:c r="AA2042" s="38" t="n">
        <x:v>0.24939999999999998</x:v>
      </x:c>
      <x:c r="AB2042" s="38" t="n">
        <x:v>0.0004176</x:v>
      </x:c>
      <x:c r="AC2042" s="38" t="n">
        <x:v>2.1276720000000005</x:v>
      </x:c>
      <x:c r="AD2042" s="28" t="n">
        <x:v>0.35181064907165877</x:v>
      </x:c>
    </x:row>
    <x:row r="2043">
      <x:c r="A2043" s="32" t="n">
        <x:v>46370</x:v>
      </x:c>
      <x:c r="B2043" s="32" t="n">
        <x:v>46357</x:v>
      </x:c>
      <x:c r="C2043" t="str">
        <x:v>Dec 2026</x:v>
      </x:c>
      <x:c r="D2043" t="str">
        <x:v>Forecast</x:v>
      </x:c>
      <x:c r="E2043" t="str">
        <x:v>DB-105</x:v>
      </x:c>
      <x:c r="F2043" t="str">
        <x:v>DreamFuel Refill Pack</x:v>
      </x:c>
      <x:c r="G2043" t="str">
        <x:v>Subscription</x:v>
      </x:c>
      <x:c r="H2043" t="str">
        <x:v>None</x:v>
      </x:c>
      <x:c r="I2043" t="str">
        <x:v>Active</x:v>
      </x:c>
      <x:c r="J2043" t="str">
        <x:v>Wholesale</x:v>
      </x:c>
      <x:c r="K2043" t="str">
        <x:v>Retailer</x:v>
      </x:c>
      <x:c r="L2043" t="str">
        <x:v>All Geographies</x:v>
      </x:c>
      <x:c r="M2043" s="34" t="n">
        <x:v>1515</x:v>
      </x:c>
      <x:c r="N2043" s="28" t="n">
        <x:v>0.021384000000000004</x:v>
      </x:c>
      <x:c r="O2043" s="34" t="n">
        <x:v>32</x:v>
      </x:c>
      <x:c r="P2043" s="34" t="n">
        <x:v>1</x:v>
      </x:c>
      <x:c r="Q2043" s="34" t="n">
        <x:v>32</x:v>
      </x:c>
      <x:c r="R2043" s="33" t="n">
        <x:v>56</x:v>
      </x:c>
      <x:c r="S2043" s="38" t="n">
        <x:v>1.792</x:v>
      </x:c>
      <x:c r="T2043" s="38" t="n">
        <x:v>0.6272</x:v>
      </x:c>
      <x:c r="U2043" s="38" t="n">
        <x:v>0.023296</x:v>
      </x:c>
      <x:c r="V2043" s="38" t="n">
        <x:v>1.141504</x:v>
      </x:c>
      <x:c r="W2043" s="38" t="n">
        <x:v>0.59584</x:v>
      </x:c>
      <x:c r="X2043" s="38" t="n">
        <x:v>0</x:v>
      </x:c>
      <x:c r="Y2043" s="38" t="n">
        <x:v>0</x:v>
      </x:c>
      <x:c r="Z2043" s="38" t="n">
        <x:v>0.0736</x:v>
      </x:c>
      <x:c r="AA2043" s="38" t="n">
        <x:v>0.0272</x:v>
      </x:c>
      <x:c r="AB2043" s="38" t="n">
        <x:v>0.0001152</x:v>
      </x:c>
      <x:c r="AC2043" s="38" t="n">
        <x:v>0.44474880000000006</x:v>
      </x:c>
      <x:c r="AD2043" s="28" t="n">
        <x:v>0.3896165059430366</x:v>
      </x:c>
    </x:row>
    <x:row r="2044">
      <x:c r="A2044" s="32" t="n">
        <x:v>46370</x:v>
      </x:c>
      <x:c r="B2044" s="32" t="n">
        <x:v>46357</x:v>
      </x:c>
      <x:c r="C2044" t="str">
        <x:v>Dec 2026</x:v>
      </x:c>
      <x:c r="D2044" t="str">
        <x:v>Forecast</x:v>
      </x:c>
      <x:c r="E2044" t="str">
        <x:v>DB-105</x:v>
      </x:c>
      <x:c r="F2044" t="str">
        <x:v>DreamFuel Refill Pack</x:v>
      </x:c>
      <x:c r="G2044" t="str">
        <x:v>Subscription</x:v>
      </x:c>
      <x:c r="H2044" t="str">
        <x:v>None</x:v>
      </x:c>
      <x:c r="I2044" t="str">
        <x:v>Active</x:v>
      </x:c>
      <x:c r="J2044" t="str">
        <x:v>TikTok Shop</x:v>
      </x:c>
      <x:c r="K2044" t="str">
        <x:v>Social Commerce</x:v>
      </x:c>
      <x:c r="L2044" t="str">
        <x:v>All Geographies</x:v>
      </x:c>
      <x:c r="M2044" s="34" t="n">
        <x:v>1010</x:v>
      </x:c>
      <x:c r="N2044" s="28" t="n">
        <x:v>0.0489888</x:v>
      </x:c>
      <x:c r="O2044" s="34" t="n">
        <x:v>49</x:v>
      </x:c>
      <x:c r="P2044" s="34" t="n">
        <x:v>1</x:v>
      </x:c>
      <x:c r="Q2044" s="34" t="n">
        <x:v>49</x:v>
      </x:c>
      <x:c r="R2044" s="33" t="n">
        <x:v>56</x:v>
      </x:c>
      <x:c r="S2044" s="38" t="n">
        <x:v>2.744</x:v>
      </x:c>
      <x:c r="T2044" s="38" t="n">
        <x:v>0.32928</x:v>
      </x:c>
      <x:c r="U2044" s="38" t="n">
        <x:v>0.0482944</x:v>
      </x:c>
      <x:c r="V2044" s="38" t="n">
        <x:v>2.3664256</x:v>
      </x:c>
      <x:c r="W2044" s="38" t="n">
        <x:v>0.91238</x:v>
      </x:c>
      <x:c r="X2044" s="38" t="n">
        <x:v>0.0686263424</x:v>
      </x:c>
      <x:c r="Y2044" s="38" t="n">
        <x:v>0.141985536</x:v>
      </x:c>
      <x:c r="Z2044" s="38" t="n">
        <x:v>0.24989999999999998</x:v>
      </x:c>
      <x:c r="AA2044" s="38" t="n">
        <x:v>0.08575</x:v>
      </x:c>
      <x:c r="AB2044" s="38" t="n">
        <x:v>0.00017639999999999998</x:v>
      </x:c>
      <x:c r="AC2044" s="38" t="n">
        <x:v>0.9076073216</x:v>
      </x:c>
      <x:c r="AD2044" s="28" t="n">
        <x:v>0.3835351179432812</x:v>
      </x:c>
    </x:row>
    <x:row r="2045">
      <x:c r="A2045" s="32" t="n">
        <x:v>46377</x:v>
      </x:c>
      <x:c r="B2045" s="32" t="n">
        <x:v>46357</x:v>
      </x:c>
      <x:c r="C2045" t="str">
        <x:v>Dec 2026</x:v>
      </x:c>
      <x:c r="D2045" t="str">
        <x:v>Forecast</x:v>
      </x:c>
      <x:c r="E2045" t="str">
        <x:v>DB-101</x:v>
      </x:c>
      <x:c r="F2045" t="str">
        <x:v>AeroSip Bottle</x:v>
      </x:c>
      <x:c r="G2045" t="str">
        <x:v>One-time purchase</x:v>
      </x:c>
      <x:c r="H2045" t="str">
        <x:v>None</x:v>
      </x:c>
      <x:c r="I2045" t="str">
        <x:v>Active</x:v>
      </x:c>
      <x:c r="J2045" t="str">
        <x:v>Shopify DTC</x:v>
      </x:c>
      <x:c r="K2045" t="str">
        <x:v>Consumer</x:v>
      </x:c>
      <x:c r="L2045" t="str">
        <x:v>All Geographies</x:v>
      </x:c>
      <x:c r="M2045" s="34" t="n">
        <x:v>7296</x:v>
      </x:c>
      <x:c r="N2045" s="28" t="n">
        <x:v>0.034199999999999994</x:v>
      </x:c>
      <x:c r="O2045" s="34" t="n">
        <x:v>250</x:v>
      </x:c>
      <x:c r="P2045" s="34" t="n">
        <x:v>1</x:v>
      </x:c>
      <x:c r="Q2045" s="34" t="n">
        <x:v>250</x:v>
      </x:c>
      <x:c r="R2045" s="33" t="n">
        <x:v>29</x:v>
      </x:c>
      <x:c r="S2045" s="38" t="n">
        <x:v>7.25</x:v>
      </x:c>
      <x:c r="T2045" s="38" t="n">
        <x:v>0.58</x:v>
      </x:c>
      <x:c r="U2045" s="38" t="n">
        <x:v>0.30015</x:v>
      </x:c>
      <x:c r="V2045" s="38" t="n">
        <x:v>6.36985</x:v>
      </x:c>
      <x:c r="W2045" s="38" t="n">
        <x:v>2.7</x:v>
      </x:c>
      <x:c r="X2045" s="38" t="n">
        <x:v>0.18472565</x:v>
      </x:c>
      <x:c r="Y2045" s="38" t="n">
        <x:v>0</x:v>
      </x:c>
      <x:c r="Z2045" s="38" t="n">
        <x:v>1.0375</x:v>
      </x:c>
      <x:c r="AA2045" s="38" t="n">
        <x:v>0.4125</x:v>
      </x:c>
      <x:c r="AB2045" s="38" t="n">
        <x:v>0.009</x:v>
      </x:c>
      <x:c r="AC2045" s="38" t="n">
        <x:v>2.0261243499999995</x:v>
      </x:c>
      <x:c r="AD2045" s="28" t="n">
        <x:v>0.31808038650831644</x:v>
      </x:c>
    </x:row>
    <x:row r="2046">
      <x:c r="A2046" s="32" t="n">
        <x:v>46377</x:v>
      </x:c>
      <x:c r="B2046" s="32" t="n">
        <x:v>46357</x:v>
      </x:c>
      <x:c r="C2046" t="str">
        <x:v>Dec 2026</x:v>
      </x:c>
      <x:c r="D2046" t="str">
        <x:v>Forecast</x:v>
      </x:c>
      <x:c r="E2046" t="str">
        <x:v>DB-101</x:v>
      </x:c>
      <x:c r="F2046" t="str">
        <x:v>AeroSip Bottle</x:v>
      </x:c>
      <x:c r="G2046" t="str">
        <x:v>One-time purchase</x:v>
      </x:c>
      <x:c r="H2046" t="str">
        <x:v>None</x:v>
      </x:c>
      <x:c r="I2046" t="str">
        <x:v>Active</x:v>
      </x:c>
      <x:c r="J2046" t="str">
        <x:v>Amazon Marketplace</x:v>
      </x:c>
      <x:c r="K2046" t="str">
        <x:v>Marketplace Consumer</x:v>
      </x:c>
      <x:c r="L2046" t="str">
        <x:v>All Geographies</x:v>
      </x:c>
      <x:c r="M2046" s="34" t="n">
        <x:v>3648</x:v>
      </x:c>
      <x:c r="N2046" s="28" t="n">
        <x:v>0.040355999999999996</x:v>
      </x:c>
      <x:c r="O2046" s="34" t="n">
        <x:v>147</x:v>
      </x:c>
      <x:c r="P2046" s="34" t="n">
        <x:v>1</x:v>
      </x:c>
      <x:c r="Q2046" s="34" t="n">
        <x:v>147</x:v>
      </x:c>
      <x:c r="R2046" s="33" t="n">
        <x:v>29</x:v>
      </x:c>
      <x:c r="S2046" s="38" t="n">
        <x:v>4.263</x:v>
      </x:c>
      <x:c r="T2046" s="38" t="n">
        <x:v>0.21315</x:v>
      </x:c>
      <x:c r="U2046" s="38" t="n">
        <x:v>0.18224325</x:v>
      </x:c>
      <x:c r="V2046" s="38" t="n">
        <x:v>3.86760675</x:v>
      </x:c>
      <x:c r="W2046" s="38" t="n">
        <x:v>1.5876000000000001</x:v>
      </x:c>
      <x:c r="X2046" s="38" t="n">
        <x:v>0</x:v>
      </x:c>
      <x:c r="Y2046" s="38" t="n">
        <x:v>0.5801410125</x:v>
      </x:c>
      <x:c r="Z2046" s="38" t="n">
        <x:v>0.7644</x:v>
      </x:c>
      <x:c r="AA2046" s="38" t="n">
        <x:v>0.31605</x:v>
      </x:c>
      <x:c r="AB2046" s="38" t="n">
        <x:v>0.005292</x:v>
      </x:c>
      <x:c r="AC2046" s="38" t="n">
        <x:v>0.6141237375000003</x:v>
      </x:c>
      <x:c r="AD2046" s="28" t="n">
        <x:v>0.15878649955815705</x:v>
      </x:c>
    </x:row>
    <x:row r="2047">
      <x:c r="A2047" s="32" t="n">
        <x:v>46377</x:v>
      </x:c>
      <x:c r="B2047" s="32" t="n">
        <x:v>46357</x:v>
      </x:c>
      <x:c r="C2047" t="str">
        <x:v>Dec 2026</x:v>
      </x:c>
      <x:c r="D2047" t="str">
        <x:v>Forecast</x:v>
      </x:c>
      <x:c r="E2047" t="str">
        <x:v>DB-101</x:v>
      </x:c>
      <x:c r="F2047" t="str">
        <x:v>AeroSip Bottle</x:v>
      </x:c>
      <x:c r="G2047" t="str">
        <x:v>One-time purchase</x:v>
      </x:c>
      <x:c r="H2047" t="str">
        <x:v>None</x:v>
      </x:c>
      <x:c r="I2047" t="str">
        <x:v>Active</x:v>
      </x:c>
      <x:c r="J2047" t="str">
        <x:v>Wholesale</x:v>
      </x:c>
      <x:c r="K2047" t="str">
        <x:v>Retailer</x:v>
      </x:c>
      <x:c r="L2047" t="str">
        <x:v>All Geographies</x:v>
      </x:c>
      <x:c r="M2047" s="34" t="n">
        <x:v>2189</x:v>
      </x:c>
      <x:c r="N2047" s="28" t="n">
        <x:v>0.01881</x:v>
      </x:c>
      <x:c r="O2047" s="34" t="n">
        <x:v>41</x:v>
      </x:c>
      <x:c r="P2047" s="34" t="n">
        <x:v>1</x:v>
      </x:c>
      <x:c r="Q2047" s="34" t="n">
        <x:v>41</x:v>
      </x:c>
      <x:c r="R2047" s="33" t="n">
        <x:v>29</x:v>
      </x:c>
      <x:c r="S2047" s="38" t="n">
        <x:v>1.189</x:v>
      </x:c>
      <x:c r="T2047" s="38" t="n">
        <x:v>0.41615</x:v>
      </x:c>
      <x:c r="U2047" s="38" t="n">
        <x:v>0.034778250000000004</x:v>
      </x:c>
      <x:c r="V2047" s="38" t="n">
        <x:v>0.73807175</x:v>
      </x:c>
      <x:c r="W2047" s="38" t="n">
        <x:v>0.4428</x:v>
      </x:c>
      <x:c r="X2047" s="38" t="n">
        <x:v>0</x:v>
      </x:c>
      <x:c r="Y2047" s="38" t="n">
        <x:v>0</x:v>
      </x:c>
      <x:c r="Z2047" s="38" t="n">
        <x:v>0.0943</x:v>
      </x:c>
      <x:c r="AA2047" s="38" t="n">
        <x:v>0.03485</x:v>
      </x:c>
      <x:c r="AB2047" s="38" t="n">
        <x:v>0.0014759999999999999</x:v>
      </x:c>
      <x:c r="AC2047" s="38" t="n">
        <x:v>0.16464575</x:v>
      </x:c>
      <x:c r="AD2047" s="28" t="n">
        <x:v>0.22307553432305194</x:v>
      </x:c>
    </x:row>
    <x:row r="2048">
      <x:c r="A2048" s="32" t="n">
        <x:v>46377</x:v>
      </x:c>
      <x:c r="B2048" s="32" t="n">
        <x:v>46357</x:v>
      </x:c>
      <x:c r="C2048" t="str">
        <x:v>Dec 2026</x:v>
      </x:c>
      <x:c r="D2048" t="str">
        <x:v>Forecast</x:v>
      </x:c>
      <x:c r="E2048" t="str">
        <x:v>DB-101</x:v>
      </x:c>
      <x:c r="F2048" t="str">
        <x:v>AeroSip Bottle</x:v>
      </x:c>
      <x:c r="G2048" t="str">
        <x:v>One-time purchase</x:v>
      </x:c>
      <x:c r="H2048" t="str">
        <x:v>None</x:v>
      </x:c>
      <x:c r="I2048" t="str">
        <x:v>Active</x:v>
      </x:c>
      <x:c r="J2048" t="str">
        <x:v>TikTok Shop</x:v>
      </x:c>
      <x:c r="K2048" t="str">
        <x:v>Social Commerce</x:v>
      </x:c>
      <x:c r="L2048" t="str">
        <x:v>All Geographies</x:v>
      </x:c>
      <x:c r="M2048" s="34" t="n">
        <x:v>1459</x:v>
      </x:c>
      <x:c r="N2048" s="28" t="n">
        <x:v>0.043092</x:v>
      </x:c>
      <x:c r="O2048" s="34" t="n">
        <x:v>63</x:v>
      </x:c>
      <x:c r="P2048" s="34" t="n">
        <x:v>1</x:v>
      </x:c>
      <x:c r="Q2048" s="34" t="n">
        <x:v>63</x:v>
      </x:c>
      <x:c r="R2048" s="33" t="n">
        <x:v>29</x:v>
      </x:c>
      <x:c r="S2048" s="38" t="n">
        <x:v>1.827</x:v>
      </x:c>
      <x:c r="T2048" s="38" t="n">
        <x:v>0.21924</x:v>
      </x:c>
      <x:c r="U2048" s="38" t="n">
        <x:v>0.07234919999999999</x:v>
      </x:c>
      <x:c r="V2048" s="38" t="n">
        <x:v>1.5354108</x:v>
      </x:c>
      <x:c r="W2048" s="38" t="n">
        <x:v>0.6804000000000001</x:v>
      </x:c>
      <x:c r="X2048" s="38" t="n">
        <x:v>0.044526913200000004</x:v>
      </x:c>
      <x:c r="Y2048" s="38" t="n">
        <x:v>0.09212464799999999</x:v>
      </x:c>
      <x:c r="Z2048" s="38" t="n">
        <x:v>0.3213</x:v>
      </x:c>
      <x:c r="AA2048" s="38" t="n">
        <x:v>0.11025</x:v>
      </x:c>
      <x:c r="AB2048" s="38" t="n">
        <x:v>0.0022679999999999996</x:v>
      </x:c>
      <x:c r="AC2048" s="38" t="n">
        <x:v>0.2845412387999999</x:v>
      </x:c>
      <x:c r="AD2048" s="28" t="n">
        <x:v>0.18531928966501987</x:v>
      </x:c>
    </x:row>
    <x:row r="2049">
      <x:c r="A2049" s="32" t="n">
        <x:v>46377</x:v>
      </x:c>
      <x:c r="B2049" s="32" t="n">
        <x:v>46357</x:v>
      </x:c>
      <x:c r="C2049" t="str">
        <x:v>Dec 2026</x:v>
      </x:c>
      <x:c r="D2049" t="str">
        <x:v>Forecast</x:v>
      </x:c>
      <x:c r="E2049" t="str">
        <x:v>DB-102</x:v>
      </x:c>
      <x:c r="F2049" t="str">
        <x:v>GlowPatch Balm</x:v>
      </x:c>
      <x:c r="G2049" t="str">
        <x:v>Consumable repeat</x:v>
      </x:c>
      <x:c r="H2049" t="str">
        <x:v>None</x:v>
      </x:c>
      <x:c r="I2049" t="str">
        <x:v>Active</x:v>
      </x:c>
      <x:c r="J2049" t="str">
        <x:v>Shopify DTC</x:v>
      </x:c>
      <x:c r="K2049" t="str">
        <x:v>Consumer</x:v>
      </x:c>
      <x:c r="L2049" t="str">
        <x:v>All Geographies</x:v>
      </x:c>
      <x:c r="M2049" s="34" t="n">
        <x:v>5893</x:v>
      </x:c>
      <x:c r="N2049" s="28" t="n">
        <x:v>0.04248</x:v>
      </x:c>
      <x:c r="O2049" s="34" t="n">
        <x:v>250</x:v>
      </x:c>
      <x:c r="P2049" s="34" t="n">
        <x:v>1</x:v>
      </x:c>
      <x:c r="Q2049" s="34" t="n">
        <x:v>250</x:v>
      </x:c>
      <x:c r="R2049" s="33" t="n">
        <x:v>18</x:v>
      </x:c>
      <x:c r="S2049" s="38" t="n">
        <x:v>4.5</x:v>
      </x:c>
      <x:c r="T2049" s="38" t="n">
        <x:v>0.36</x:v>
      </x:c>
      <x:c r="U2049" s="38" t="n">
        <x:v>0.1035</x:v>
      </x:c>
      <x:c r="V2049" s="38" t="n">
        <x:v>4.036499999999999</x:v>
      </x:c>
      <x:c r="W2049" s="38" t="n">
        <x:v>1.3525</x:v>
      </x:c>
      <x:c r="X2049" s="38" t="n">
        <x:v>0.11705849999999998</x:v>
      </x:c>
      <x:c r="Y2049" s="38" t="n">
        <x:v>0</x:v>
      </x:c>
      <x:c r="Z2049" s="38" t="n">
        <x:v>1.0375</x:v>
      </x:c>
      <x:c r="AA2049" s="38" t="n">
        <x:v>0.4125</x:v>
      </x:c>
      <x:c r="AB2049" s="38" t="n">
        <x:v>0.0015</x:v>
      </x:c>
      <x:c r="AC2049" s="38" t="n">
        <x:v>1.1154414999999989</x:v>
      </x:c>
      <x:c r="AD2049" s="28" t="n">
        <x:v>0.2763387835996529</x:v>
      </x:c>
    </x:row>
    <x:row r="2050">
      <x:c r="A2050" s="32" t="n">
        <x:v>46377</x:v>
      </x:c>
      <x:c r="B2050" s="32" t="n">
        <x:v>46357</x:v>
      </x:c>
      <x:c r="C2050" t="str">
        <x:v>Dec 2026</x:v>
      </x:c>
      <x:c r="D2050" t="str">
        <x:v>Forecast</x:v>
      </x:c>
      <x:c r="E2050" t="str">
        <x:v>DB-102</x:v>
      </x:c>
      <x:c r="F2050" t="str">
        <x:v>GlowPatch Balm</x:v>
      </x:c>
      <x:c r="G2050" t="str">
        <x:v>Consumable repeat</x:v>
      </x:c>
      <x:c r="H2050" t="str">
        <x:v>None</x:v>
      </x:c>
      <x:c r="I2050" t="str">
        <x:v>Active</x:v>
      </x:c>
      <x:c r="J2050" t="str">
        <x:v>Amazon Marketplace</x:v>
      </x:c>
      <x:c r="K2050" t="str">
        <x:v>Marketplace Consumer</x:v>
      </x:c>
      <x:c r="L2050" t="str">
        <x:v>All Geographies</x:v>
      </x:c>
      <x:c r="M2050" s="34" t="n">
        <x:v>2946</x:v>
      </x:c>
      <x:c r="N2050" s="28" t="n">
        <x:v>0.050126399999999995</x:v>
      </x:c>
      <x:c r="O2050" s="34" t="n">
        <x:v>148</x:v>
      </x:c>
      <x:c r="P2050" s="34" t="n">
        <x:v>1</x:v>
      </x:c>
      <x:c r="Q2050" s="34" t="n">
        <x:v>148</x:v>
      </x:c>
      <x:c r="R2050" s="33" t="n">
        <x:v>18</x:v>
      </x:c>
      <x:c r="S2050" s="38" t="n">
        <x:v>2.664</x:v>
      </x:c>
      <x:c r="T2050" s="38" t="n">
        <x:v>0.1332</x:v>
      </x:c>
      <x:c r="U2050" s="38" t="n">
        <x:v>0.06327</x:v>
      </x:c>
      <x:c r="V2050" s="38" t="n">
        <x:v>2.46753</x:v>
      </x:c>
      <x:c r="W2050" s="38" t="n">
        <x:v>0.8006800000000001</x:v>
      </x:c>
      <x:c r="X2050" s="38" t="n">
        <x:v>0</x:v>
      </x:c>
      <x:c r="Y2050" s="38" t="n">
        <x:v>0.3701295</x:v>
      </x:c>
      <x:c r="Z2050" s="38" t="n">
        <x:v>0.7696000000000001</x:v>
      </x:c>
      <x:c r="AA2050" s="38" t="n">
        <x:v>0.3182</x:v>
      </x:c>
      <x:c r="AB2050" s="38" t="n">
        <x:v>0.0008879999999999999</x:v>
      </x:c>
      <x:c r="AC2050" s="38" t="n">
        <x:v>0.2080324999999999</x:v>
      </x:c>
      <x:c r="AD2050" s="28" t="n">
        <x:v>0.084307992202729</x:v>
      </x:c>
    </x:row>
    <x:row r="2051">
      <x:c r="A2051" s="32" t="n">
        <x:v>46377</x:v>
      </x:c>
      <x:c r="B2051" s="32" t="n">
        <x:v>46357</x:v>
      </x:c>
      <x:c r="C2051" t="str">
        <x:v>Dec 2026</x:v>
      </x:c>
      <x:c r="D2051" t="str">
        <x:v>Forecast</x:v>
      </x:c>
      <x:c r="E2051" t="str">
        <x:v>DB-102</x:v>
      </x:c>
      <x:c r="F2051" t="str">
        <x:v>GlowPatch Balm</x:v>
      </x:c>
      <x:c r="G2051" t="str">
        <x:v>Consumable repeat</x:v>
      </x:c>
      <x:c r="H2051" t="str">
        <x:v>None</x:v>
      </x:c>
      <x:c r="I2051" t="str">
        <x:v>Active</x:v>
      </x:c>
      <x:c r="J2051" t="str">
        <x:v>Wholesale</x:v>
      </x:c>
      <x:c r="K2051" t="str">
        <x:v>Retailer</x:v>
      </x:c>
      <x:c r="L2051" t="str">
        <x:v>All Geographies</x:v>
      </x:c>
      <x:c r="M2051" s="34" t="n">
        <x:v>1768</x:v>
      </x:c>
      <x:c r="N2051" s="28" t="n">
        <x:v>0.023364</x:v>
      </x:c>
      <x:c r="O2051" s="34" t="n">
        <x:v>41</x:v>
      </x:c>
      <x:c r="P2051" s="34" t="n">
        <x:v>1</x:v>
      </x:c>
      <x:c r="Q2051" s="34" t="n">
        <x:v>41</x:v>
      </x:c>
      <x:c r="R2051" s="33" t="n">
        <x:v>18</x:v>
      </x:c>
      <x:c r="S2051" s="38" t="n">
        <x:v>0.738</x:v>
      </x:c>
      <x:c r="T2051" s="38" t="n">
        <x:v>0.2583</x:v>
      </x:c>
      <x:c r="U2051" s="38" t="n">
        <x:v>0.011992500000000001</x:v>
      </x:c>
      <x:c r="V2051" s="38" t="n">
        <x:v>0.4677075</x:v>
      </x:c>
      <x:c r="W2051" s="38" t="n">
        <x:v>0.22181</x:v>
      </x:c>
      <x:c r="X2051" s="38" t="n">
        <x:v>0</x:v>
      </x:c>
      <x:c r="Y2051" s="38" t="n">
        <x:v>0</x:v>
      </x:c>
      <x:c r="Z2051" s="38" t="n">
        <x:v>0.0943</x:v>
      </x:c>
      <x:c r="AA2051" s="38" t="n">
        <x:v>0.03485</x:v>
      </x:c>
      <x:c r="AB2051" s="38" t="n">
        <x:v>0.000246</x:v>
      </x:c>
      <x:c r="AC2051" s="38" t="n">
        <x:v>0.11650150000000001</x:v>
      </x:c>
      <x:c r="AD2051" s="28" t="n">
        <x:v>0.2490905106289722</x:v>
      </x:c>
    </x:row>
    <x:row r="2052">
      <x:c r="A2052" s="32" t="n">
        <x:v>46377</x:v>
      </x:c>
      <x:c r="B2052" s="32" t="n">
        <x:v>46357</x:v>
      </x:c>
      <x:c r="C2052" t="str">
        <x:v>Dec 2026</x:v>
      </x:c>
      <x:c r="D2052" t="str">
        <x:v>Forecast</x:v>
      </x:c>
      <x:c r="E2052" t="str">
        <x:v>DB-102</x:v>
      </x:c>
      <x:c r="F2052" t="str">
        <x:v>GlowPatch Balm</x:v>
      </x:c>
      <x:c r="G2052" t="str">
        <x:v>Consumable repeat</x:v>
      </x:c>
      <x:c r="H2052" t="str">
        <x:v>None</x:v>
      </x:c>
      <x:c r="I2052" t="str">
        <x:v>Active</x:v>
      </x:c>
      <x:c r="J2052" t="str">
        <x:v>TikTok Shop</x:v>
      </x:c>
      <x:c r="K2052" t="str">
        <x:v>Social Commerce</x:v>
      </x:c>
      <x:c r="L2052" t="str">
        <x:v>All Geographies</x:v>
      </x:c>
      <x:c r="M2052" s="34" t="n">
        <x:v>1179</x:v>
      </x:c>
      <x:c r="N2052" s="28" t="n">
        <x:v>0.0535248</x:v>
      </x:c>
      <x:c r="O2052" s="34" t="n">
        <x:v>63</x:v>
      </x:c>
      <x:c r="P2052" s="34" t="n">
        <x:v>1</x:v>
      </x:c>
      <x:c r="Q2052" s="34" t="n">
        <x:v>63</x:v>
      </x:c>
      <x:c r="R2052" s="33" t="n">
        <x:v>18</x:v>
      </x:c>
      <x:c r="S2052" s="38" t="n">
        <x:v>1.134</x:v>
      </x:c>
      <x:c r="T2052" s="38" t="n">
        <x:v>0.13607999999999998</x:v>
      </x:c>
      <x:c r="U2052" s="38" t="n">
        <x:v>0.024947999999999998</x:v>
      </x:c>
      <x:c r="V2052" s="38" t="n">
        <x:v>0.972972</x:v>
      </x:c>
      <x:c r="W2052" s="38" t="n">
        <x:v>0.34082999999999997</x:v>
      </x:c>
      <x:c r="X2052" s="38" t="n">
        <x:v>0.028216188</x:v>
      </x:c>
      <x:c r="Y2052" s="38" t="n">
        <x:v>0.05837832</x:v>
      </x:c>
      <x:c r="Z2052" s="38" t="n">
        <x:v>0.3213</x:v>
      </x:c>
      <x:c r="AA2052" s="38" t="n">
        <x:v>0.11025</x:v>
      </x:c>
      <x:c r="AB2052" s="38" t="n">
        <x:v>0.000378</x:v>
      </x:c>
      <x:c r="AC2052" s="38" t="n">
        <x:v>0.11361949199999999</x:v>
      </x:c>
      <x:c r="AD2052" s="28" t="n">
        <x:v>0.11677570577570577</x:v>
      </x:c>
    </x:row>
    <x:row r="2053">
      <x:c r="A2053" s="32" t="n">
        <x:v>46377</x:v>
      </x:c>
      <x:c r="B2053" s="32" t="n">
        <x:v>46357</x:v>
      </x:c>
      <x:c r="C2053" t="str">
        <x:v>Dec 2026</x:v>
      </x:c>
      <x:c r="D2053" t="str">
        <x:v>Forecast</x:v>
      </x:c>
      <x:c r="E2053" t="str">
        <x:v>DB-103</x:v>
      </x:c>
      <x:c r="F2053" t="str">
        <x:v>EmberTrail Camp Mug</x:v>
      </x:c>
      <x:c r="G2053" t="str">
        <x:v>One-time purchase</x:v>
      </x:c>
      <x:c r="H2053" t="str">
        <x:v>Winter peak</x:v>
      </x:c>
      <x:c r="I2053" t="str">
        <x:v>Discontinued</x:v>
      </x:c>
      <x:c r="J2053" t="str">
        <x:v>Shopify DTC</x:v>
      </x:c>
      <x:c r="K2053" t="str">
        <x:v>Consumer</x:v>
      </x:c>
      <x:c r="L2053" t="str">
        <x:v>All Geographies</x:v>
      </x:c>
      <x:c r="M2053" s="34" t="n">
        <x:v>0</x:v>
      </x:c>
      <x:c r="N2053" s="28" t="n">
        <x:v>0.0324</x:v>
      </x:c>
      <x:c r="O2053" s="34" t="n">
        <x:v>0</x:v>
      </x:c>
      <x:c r="P2053" s="34" t="n">
        <x:v>1</x:v>
      </x:c>
      <x:c r="Q2053" s="34" t="n">
        <x:v>0</x:v>
      </x:c>
      <x:c r="R2053" s="33" t="n">
        <x:v>34</x:v>
      </x:c>
      <x:c r="S2053" s="38" t="n">
        <x:v>0</x:v>
      </x:c>
      <x:c r="T2053" s="38" t="n">
        <x:v>0</x:v>
      </x:c>
      <x:c r="U2053" s="38" t="n">
        <x:v>0</x:v>
      </x:c>
      <x:c r="V2053" s="38" t="n">
        <x:v>0</x:v>
      </x:c>
      <x:c r="W2053" s="38" t="n">
        <x:v>0</x:v>
      </x:c>
      <x:c r="X2053" s="38" t="n">
        <x:v>0</x:v>
      </x:c>
      <x:c r="Y2053" s="38" t="n">
        <x:v>0</x:v>
      </x:c>
      <x:c r="Z2053" s="38" t="n">
        <x:v>0</x:v>
      </x:c>
      <x:c r="AA2053" s="38" t="n">
        <x:v>0</x:v>
      </x:c>
      <x:c r="AB2053" s="38" t="n">
        <x:v>0</x:v>
      </x:c>
      <x:c r="AC2053" s="38" t="n">
        <x:v>0</x:v>
      </x:c>
      <x:c r="AD2053" s="28" t="n">
        <x:v>0</x:v>
      </x:c>
    </x:row>
    <x:row r="2054">
      <x:c r="A2054" s="32" t="n">
        <x:v>46377</x:v>
      </x:c>
      <x:c r="B2054" s="32" t="n">
        <x:v>46357</x:v>
      </x:c>
      <x:c r="C2054" t="str">
        <x:v>Dec 2026</x:v>
      </x:c>
      <x:c r="D2054" t="str">
        <x:v>Forecast</x:v>
      </x:c>
      <x:c r="E2054" t="str">
        <x:v>DB-103</x:v>
      </x:c>
      <x:c r="F2054" t="str">
        <x:v>EmberTrail Camp Mug</x:v>
      </x:c>
      <x:c r="G2054" t="str">
        <x:v>One-time purchase</x:v>
      </x:c>
      <x:c r="H2054" t="str">
        <x:v>Winter peak</x:v>
      </x:c>
      <x:c r="I2054" t="str">
        <x:v>Discontinued</x:v>
      </x:c>
      <x:c r="J2054" t="str">
        <x:v>Amazon Marketplace</x:v>
      </x:c>
      <x:c r="K2054" t="str">
        <x:v>Marketplace Consumer</x:v>
      </x:c>
      <x:c r="L2054" t="str">
        <x:v>All Geographies</x:v>
      </x:c>
      <x:c r="M2054" s="34" t="n">
        <x:v>0</x:v>
      </x:c>
      <x:c r="N2054" s="28" t="n">
        <x:v>0.038231999999999995</x:v>
      </x:c>
      <x:c r="O2054" s="34" t="n">
        <x:v>0</x:v>
      </x:c>
      <x:c r="P2054" s="34" t="n">
        <x:v>1</x:v>
      </x:c>
      <x:c r="Q2054" s="34" t="n">
        <x:v>0</x:v>
      </x:c>
      <x:c r="R2054" s="33" t="n">
        <x:v>34</x:v>
      </x:c>
      <x:c r="S2054" s="38" t="n">
        <x:v>0</x:v>
      </x:c>
      <x:c r="T2054" s="38" t="n">
        <x:v>0</x:v>
      </x:c>
      <x:c r="U2054" s="38" t="n">
        <x:v>0</x:v>
      </x:c>
      <x:c r="V2054" s="38" t="n">
        <x:v>0</x:v>
      </x:c>
      <x:c r="W2054" s="38" t="n">
        <x:v>0</x:v>
      </x:c>
      <x:c r="X2054" s="38" t="n">
        <x:v>0</x:v>
      </x:c>
      <x:c r="Y2054" s="38" t="n">
        <x:v>0</x:v>
      </x:c>
      <x:c r="Z2054" s="38" t="n">
        <x:v>0</x:v>
      </x:c>
      <x:c r="AA2054" s="38" t="n">
        <x:v>0</x:v>
      </x:c>
      <x:c r="AB2054" s="38" t="n">
        <x:v>0</x:v>
      </x:c>
      <x:c r="AC2054" s="38" t="n">
        <x:v>0</x:v>
      </x:c>
      <x:c r="AD2054" s="28" t="n">
        <x:v>0</x:v>
      </x:c>
    </x:row>
    <x:row r="2055">
      <x:c r="A2055" s="32" t="n">
        <x:v>46377</x:v>
      </x:c>
      <x:c r="B2055" s="32" t="n">
        <x:v>46357</x:v>
      </x:c>
      <x:c r="C2055" t="str">
        <x:v>Dec 2026</x:v>
      </x:c>
      <x:c r="D2055" t="str">
        <x:v>Forecast</x:v>
      </x:c>
      <x:c r="E2055" t="str">
        <x:v>DB-103</x:v>
      </x:c>
      <x:c r="F2055" t="str">
        <x:v>EmberTrail Camp Mug</x:v>
      </x:c>
      <x:c r="G2055" t="str">
        <x:v>One-time purchase</x:v>
      </x:c>
      <x:c r="H2055" t="str">
        <x:v>Winter peak</x:v>
      </x:c>
      <x:c r="I2055" t="str">
        <x:v>Discontinued</x:v>
      </x:c>
      <x:c r="J2055" t="str">
        <x:v>Wholesale</x:v>
      </x:c>
      <x:c r="K2055" t="str">
        <x:v>Retailer</x:v>
      </x:c>
      <x:c r="L2055" t="str">
        <x:v>All Geographies</x:v>
      </x:c>
      <x:c r="M2055" s="34" t="n">
        <x:v>0</x:v>
      </x:c>
      <x:c r="N2055" s="28" t="n">
        <x:v>0.017820000000000003</x:v>
      </x:c>
      <x:c r="O2055" s="34" t="n">
        <x:v>0</x:v>
      </x:c>
      <x:c r="P2055" s="34" t="n">
        <x:v>1</x:v>
      </x:c>
      <x:c r="Q2055" s="34" t="n">
        <x:v>0</x:v>
      </x:c>
      <x:c r="R2055" s="33" t="n">
        <x:v>34</x:v>
      </x:c>
      <x:c r="S2055" s="38" t="n">
        <x:v>0</x:v>
      </x:c>
      <x:c r="T2055" s="38" t="n">
        <x:v>0</x:v>
      </x:c>
      <x:c r="U2055" s="38" t="n">
        <x:v>0</x:v>
      </x:c>
      <x:c r="V2055" s="38" t="n">
        <x:v>0</x:v>
      </x:c>
      <x:c r="W2055" s="38" t="n">
        <x:v>0</x:v>
      </x:c>
      <x:c r="X2055" s="38" t="n">
        <x:v>0</x:v>
      </x:c>
      <x:c r="Y2055" s="38" t="n">
        <x:v>0</x:v>
      </x:c>
      <x:c r="Z2055" s="38" t="n">
        <x:v>0</x:v>
      </x:c>
      <x:c r="AA2055" s="38" t="n">
        <x:v>0</x:v>
      </x:c>
      <x:c r="AB2055" s="38" t="n">
        <x:v>0</x:v>
      </x:c>
      <x:c r="AC2055" s="38" t="n">
        <x:v>0</x:v>
      </x:c>
      <x:c r="AD2055" s="28" t="n">
        <x:v>0</x:v>
      </x:c>
    </x:row>
    <x:row r="2056">
      <x:c r="A2056" s="32" t="n">
        <x:v>46377</x:v>
      </x:c>
      <x:c r="B2056" s="32" t="n">
        <x:v>46357</x:v>
      </x:c>
      <x:c r="C2056" t="str">
        <x:v>Dec 2026</x:v>
      </x:c>
      <x:c r="D2056" t="str">
        <x:v>Forecast</x:v>
      </x:c>
      <x:c r="E2056" t="str">
        <x:v>DB-103</x:v>
      </x:c>
      <x:c r="F2056" t="str">
        <x:v>EmberTrail Camp Mug</x:v>
      </x:c>
      <x:c r="G2056" t="str">
        <x:v>One-time purchase</x:v>
      </x:c>
      <x:c r="H2056" t="str">
        <x:v>Winter peak</x:v>
      </x:c>
      <x:c r="I2056" t="str">
        <x:v>Discontinued</x:v>
      </x:c>
      <x:c r="J2056" t="str">
        <x:v>TikTok Shop</x:v>
      </x:c>
      <x:c r="K2056" t="str">
        <x:v>Social Commerce</x:v>
      </x:c>
      <x:c r="L2056" t="str">
        <x:v>All Geographies</x:v>
      </x:c>
      <x:c r="M2056" s="34" t="n">
        <x:v>0</x:v>
      </x:c>
      <x:c r="N2056" s="28" t="n">
        <x:v>0.040824</x:v>
      </x:c>
      <x:c r="O2056" s="34" t="n">
        <x:v>0</x:v>
      </x:c>
      <x:c r="P2056" s="34" t="n">
        <x:v>1</x:v>
      </x:c>
      <x:c r="Q2056" s="34" t="n">
        <x:v>0</x:v>
      </x:c>
      <x:c r="R2056" s="33" t="n">
        <x:v>34</x:v>
      </x:c>
      <x:c r="S2056" s="38" t="n">
        <x:v>0</x:v>
      </x:c>
      <x:c r="T2056" s="38" t="n">
        <x:v>0</x:v>
      </x:c>
      <x:c r="U2056" s="38" t="n">
        <x:v>0</x:v>
      </x:c>
      <x:c r="V2056" s="38" t="n">
        <x:v>0</x:v>
      </x:c>
      <x:c r="W2056" s="38" t="n">
        <x:v>0</x:v>
      </x:c>
      <x:c r="X2056" s="38" t="n">
        <x:v>0</x:v>
      </x:c>
      <x:c r="Y2056" s="38" t="n">
        <x:v>0</x:v>
      </x:c>
      <x:c r="Z2056" s="38" t="n">
        <x:v>0</x:v>
      </x:c>
      <x:c r="AA2056" s="38" t="n">
        <x:v>0</x:v>
      </x:c>
      <x:c r="AB2056" s="38" t="n">
        <x:v>0</x:v>
      </x:c>
      <x:c r="AC2056" s="38" t="n">
        <x:v>0</x:v>
      </x:c>
      <x:c r="AD2056" s="28" t="n">
        <x:v>0</x:v>
      </x:c>
    </x:row>
    <x:row r="2057">
      <x:c r="A2057" s="32" t="n">
        <x:v>46377</x:v>
      </x:c>
      <x:c r="B2057" s="32" t="n">
        <x:v>46357</x:v>
      </x:c>
      <x:c r="C2057" t="str">
        <x:v>Dec 2026</x:v>
      </x:c>
      <x:c r="D2057" t="str">
        <x:v>Forecast</x:v>
      </x:c>
      <x:c r="E2057" t="str">
        <x:v>DB-104</x:v>
      </x:c>
      <x:c r="F2057" t="str">
        <x:v>SunNest Cooling Towel</x:v>
      </x:c>
      <x:c r="G2057" t="str">
        <x:v>Consumable repeat</x:v>
      </x:c>
      <x:c r="H2057" t="str">
        <x:v>Summer peak</x:v>
      </x:c>
      <x:c r="I2057" t="str">
        <x:v>Discontinued</x:v>
      </x:c>
      <x:c r="J2057" t="str">
        <x:v>Shopify DTC</x:v>
      </x:c>
      <x:c r="K2057" t="str">
        <x:v>Consumer</x:v>
      </x:c>
      <x:c r="L2057" t="str">
        <x:v>All Geographies</x:v>
      </x:c>
      <x:c r="M2057" s="34" t="n">
        <x:v>0</x:v>
      </x:c>
      <x:c r="N2057" s="28" t="n">
        <x:v>0.03312</x:v>
      </x:c>
      <x:c r="O2057" s="34" t="n">
        <x:v>0</x:v>
      </x:c>
      <x:c r="P2057" s="34" t="n">
        <x:v>1</x:v>
      </x:c>
      <x:c r="Q2057" s="34" t="n">
        <x:v>0</x:v>
      </x:c>
      <x:c r="R2057" s="33" t="n">
        <x:v>42</x:v>
      </x:c>
      <x:c r="S2057" s="38" t="n">
        <x:v>0</x:v>
      </x:c>
      <x:c r="T2057" s="38" t="n">
        <x:v>0</x:v>
      </x:c>
      <x:c r="U2057" s="38" t="n">
        <x:v>0</x:v>
      </x:c>
      <x:c r="V2057" s="38" t="n">
        <x:v>0</x:v>
      </x:c>
      <x:c r="W2057" s="38" t="n">
        <x:v>0</x:v>
      </x:c>
      <x:c r="X2057" s="38" t="n">
        <x:v>0</x:v>
      </x:c>
      <x:c r="Y2057" s="38" t="n">
        <x:v>0</x:v>
      </x:c>
      <x:c r="Z2057" s="38" t="n">
        <x:v>0</x:v>
      </x:c>
      <x:c r="AA2057" s="38" t="n">
        <x:v>0</x:v>
      </x:c>
      <x:c r="AB2057" s="38" t="n">
        <x:v>0</x:v>
      </x:c>
      <x:c r="AC2057" s="38" t="n">
        <x:v>0</x:v>
      </x:c>
      <x:c r="AD2057" s="28" t="n">
        <x:v>0</x:v>
      </x:c>
    </x:row>
    <x:row r="2058">
      <x:c r="A2058" s="32" t="n">
        <x:v>46377</x:v>
      </x:c>
      <x:c r="B2058" s="32" t="n">
        <x:v>46357</x:v>
      </x:c>
      <x:c r="C2058" t="str">
        <x:v>Dec 2026</x:v>
      </x:c>
      <x:c r="D2058" t="str">
        <x:v>Forecast</x:v>
      </x:c>
      <x:c r="E2058" t="str">
        <x:v>DB-104</x:v>
      </x:c>
      <x:c r="F2058" t="str">
        <x:v>SunNest Cooling Towel</x:v>
      </x:c>
      <x:c r="G2058" t="str">
        <x:v>Consumable repeat</x:v>
      </x:c>
      <x:c r="H2058" t="str">
        <x:v>Summer peak</x:v>
      </x:c>
      <x:c r="I2058" t="str">
        <x:v>Discontinued</x:v>
      </x:c>
      <x:c r="J2058" t="str">
        <x:v>Amazon Marketplace</x:v>
      </x:c>
      <x:c r="K2058" t="str">
        <x:v>Marketplace Consumer</x:v>
      </x:c>
      <x:c r="L2058" t="str">
        <x:v>All Geographies</x:v>
      </x:c>
      <x:c r="M2058" s="34" t="n">
        <x:v>0</x:v>
      </x:c>
      <x:c r="N2058" s="28" t="n">
        <x:v>0.0390816</x:v>
      </x:c>
      <x:c r="O2058" s="34" t="n">
        <x:v>0</x:v>
      </x:c>
      <x:c r="P2058" s="34" t="n">
        <x:v>1</x:v>
      </x:c>
      <x:c r="Q2058" s="34" t="n">
        <x:v>0</x:v>
      </x:c>
      <x:c r="R2058" s="33" t="n">
        <x:v>42</x:v>
      </x:c>
      <x:c r="S2058" s="38" t="n">
        <x:v>0</x:v>
      </x:c>
      <x:c r="T2058" s="38" t="n">
        <x:v>0</x:v>
      </x:c>
      <x:c r="U2058" s="38" t="n">
        <x:v>0</x:v>
      </x:c>
      <x:c r="V2058" s="38" t="n">
        <x:v>0</x:v>
      </x:c>
      <x:c r="W2058" s="38" t="n">
        <x:v>0</x:v>
      </x:c>
      <x:c r="X2058" s="38" t="n">
        <x:v>0</x:v>
      </x:c>
      <x:c r="Y2058" s="38" t="n">
        <x:v>0</x:v>
      </x:c>
      <x:c r="Z2058" s="38" t="n">
        <x:v>0</x:v>
      </x:c>
      <x:c r="AA2058" s="38" t="n">
        <x:v>0</x:v>
      </x:c>
      <x:c r="AB2058" s="38" t="n">
        <x:v>0</x:v>
      </x:c>
      <x:c r="AC2058" s="38" t="n">
        <x:v>0</x:v>
      </x:c>
      <x:c r="AD2058" s="28" t="n">
        <x:v>0</x:v>
      </x:c>
    </x:row>
    <x:row r="2059">
      <x:c r="A2059" s="32" t="n">
        <x:v>46377</x:v>
      </x:c>
      <x:c r="B2059" s="32" t="n">
        <x:v>46357</x:v>
      </x:c>
      <x:c r="C2059" t="str">
        <x:v>Dec 2026</x:v>
      </x:c>
      <x:c r="D2059" t="str">
        <x:v>Forecast</x:v>
      </x:c>
      <x:c r="E2059" t="str">
        <x:v>DB-104</x:v>
      </x:c>
      <x:c r="F2059" t="str">
        <x:v>SunNest Cooling Towel</x:v>
      </x:c>
      <x:c r="G2059" t="str">
        <x:v>Consumable repeat</x:v>
      </x:c>
      <x:c r="H2059" t="str">
        <x:v>Summer peak</x:v>
      </x:c>
      <x:c r="I2059" t="str">
        <x:v>Discontinued</x:v>
      </x:c>
      <x:c r="J2059" t="str">
        <x:v>Wholesale</x:v>
      </x:c>
      <x:c r="K2059" t="str">
        <x:v>Retailer</x:v>
      </x:c>
      <x:c r="L2059" t="str">
        <x:v>All Geographies</x:v>
      </x:c>
      <x:c r="M2059" s="34" t="n">
        <x:v>0</x:v>
      </x:c>
      <x:c r="N2059" s="28" t="n">
        <x:v>0.018216000000000003</x:v>
      </x:c>
      <x:c r="O2059" s="34" t="n">
        <x:v>0</x:v>
      </x:c>
      <x:c r="P2059" s="34" t="n">
        <x:v>1</x:v>
      </x:c>
      <x:c r="Q2059" s="34" t="n">
        <x:v>0</x:v>
      </x:c>
      <x:c r="R2059" s="33" t="n">
        <x:v>42</x:v>
      </x:c>
      <x:c r="S2059" s="38" t="n">
        <x:v>0</x:v>
      </x:c>
      <x:c r="T2059" s="38" t="n">
        <x:v>0</x:v>
      </x:c>
      <x:c r="U2059" s="38" t="n">
        <x:v>0</x:v>
      </x:c>
      <x:c r="V2059" s="38" t="n">
        <x:v>0</x:v>
      </x:c>
      <x:c r="W2059" s="38" t="n">
        <x:v>0</x:v>
      </x:c>
      <x:c r="X2059" s="38" t="n">
        <x:v>0</x:v>
      </x:c>
      <x:c r="Y2059" s="38" t="n">
        <x:v>0</x:v>
      </x:c>
      <x:c r="Z2059" s="38" t="n">
        <x:v>0</x:v>
      </x:c>
      <x:c r="AA2059" s="38" t="n">
        <x:v>0</x:v>
      </x:c>
      <x:c r="AB2059" s="38" t="n">
        <x:v>0</x:v>
      </x:c>
      <x:c r="AC2059" s="38" t="n">
        <x:v>0</x:v>
      </x:c>
      <x:c r="AD2059" s="28" t="n">
        <x:v>0</x:v>
      </x:c>
    </x:row>
    <x:row r="2060">
      <x:c r="A2060" s="32" t="n">
        <x:v>46377</x:v>
      </x:c>
      <x:c r="B2060" s="32" t="n">
        <x:v>46357</x:v>
      </x:c>
      <x:c r="C2060" t="str">
        <x:v>Dec 2026</x:v>
      </x:c>
      <x:c r="D2060" t="str">
        <x:v>Forecast</x:v>
      </x:c>
      <x:c r="E2060" t="str">
        <x:v>DB-104</x:v>
      </x:c>
      <x:c r="F2060" t="str">
        <x:v>SunNest Cooling Towel</x:v>
      </x:c>
      <x:c r="G2060" t="str">
        <x:v>Consumable repeat</x:v>
      </x:c>
      <x:c r="H2060" t="str">
        <x:v>Summer peak</x:v>
      </x:c>
      <x:c r="I2060" t="str">
        <x:v>Discontinued</x:v>
      </x:c>
      <x:c r="J2060" t="str">
        <x:v>TikTok Shop</x:v>
      </x:c>
      <x:c r="K2060" t="str">
        <x:v>Social Commerce</x:v>
      </x:c>
      <x:c r="L2060" t="str">
        <x:v>All Geographies</x:v>
      </x:c>
      <x:c r="M2060" s="34" t="n">
        <x:v>0</x:v>
      </x:c>
      <x:c r="N2060" s="28" t="n">
        <x:v>0.0417312</x:v>
      </x:c>
      <x:c r="O2060" s="34" t="n">
        <x:v>0</x:v>
      </x:c>
      <x:c r="P2060" s="34" t="n">
        <x:v>1</x:v>
      </x:c>
      <x:c r="Q2060" s="34" t="n">
        <x:v>0</x:v>
      </x:c>
      <x:c r="R2060" s="33" t="n">
        <x:v>42</x:v>
      </x:c>
      <x:c r="S2060" s="38" t="n">
        <x:v>0</x:v>
      </x:c>
      <x:c r="T2060" s="38" t="n">
        <x:v>0</x:v>
      </x:c>
      <x:c r="U2060" s="38" t="n">
        <x:v>0</x:v>
      </x:c>
      <x:c r="V2060" s="38" t="n">
        <x:v>0</x:v>
      </x:c>
      <x:c r="W2060" s="38" t="n">
        <x:v>0</x:v>
      </x:c>
      <x:c r="X2060" s="38" t="n">
        <x:v>0</x:v>
      </x:c>
      <x:c r="Y2060" s="38" t="n">
        <x:v>0</x:v>
      </x:c>
      <x:c r="Z2060" s="38" t="n">
        <x:v>0</x:v>
      </x:c>
      <x:c r="AA2060" s="38" t="n">
        <x:v>0</x:v>
      </x:c>
      <x:c r="AB2060" s="38" t="n">
        <x:v>0</x:v>
      </x:c>
      <x:c r="AC2060" s="38" t="n">
        <x:v>0</x:v>
      </x:c>
      <x:c r="AD2060" s="28" t="n">
        <x:v>0</x:v>
      </x:c>
    </x:row>
    <x:row r="2061">
      <x:c r="A2061" s="32" t="n">
        <x:v>46377</x:v>
      </x:c>
      <x:c r="B2061" s="32" t="n">
        <x:v>46357</x:v>
      </x:c>
      <x:c r="C2061" t="str">
        <x:v>Dec 2026</x:v>
      </x:c>
      <x:c r="D2061" t="str">
        <x:v>Forecast</x:v>
      </x:c>
      <x:c r="E2061" t="str">
        <x:v>DB-105</x:v>
      </x:c>
      <x:c r="F2061" t="str">
        <x:v>DreamFuel Refill Pack</x:v>
      </x:c>
      <x:c r="G2061" t="str">
        <x:v>Subscription</x:v>
      </x:c>
      <x:c r="H2061" t="str">
        <x:v>None</x:v>
      </x:c>
      <x:c r="I2061" t="str">
        <x:v>Active</x:v>
      </x:c>
      <x:c r="J2061" t="str">
        <x:v>Shopify DTC</x:v>
      </x:c>
      <x:c r="K2061" t="str">
        <x:v>Consumer</x:v>
      </x:c>
      <x:c r="L2061" t="str">
        <x:v>All Geographies</x:v>
      </x:c>
      <x:c r="M2061" s="34" t="n">
        <x:v>5051</x:v>
      </x:c>
      <x:c r="N2061" s="28" t="n">
        <x:v>0.03888</x:v>
      </x:c>
      <x:c r="O2061" s="34" t="n">
        <x:v>196</x:v>
      </x:c>
      <x:c r="P2061" s="34" t="n">
        <x:v>1</x:v>
      </x:c>
      <x:c r="Q2061" s="34" t="n">
        <x:v>196</x:v>
      </x:c>
      <x:c r="R2061" s="33" t="n">
        <x:v>56</x:v>
      </x:c>
      <x:c r="S2061" s="38" t="n">
        <x:v>10.976</x:v>
      </x:c>
      <x:c r="T2061" s="38" t="n">
        <x:v>0.8780800000000001</x:v>
      </x:c>
      <x:c r="U2061" s="38" t="n">
        <x:v>0.2019584</x:v>
      </x:c>
      <x:c r="V2061" s="38" t="n">
        <x:v>9.8959616</x:v>
      </x:c>
      <x:c r="W2061" s="38" t="n">
        <x:v>3.64952</x:v>
      </x:c>
      <x:c r="X2061" s="38" t="n">
        <x:v>0.2869828864</x:v>
      </x:c>
      <x:c r="Y2061" s="38" t="n">
        <x:v>0</x:v>
      </x:c>
      <x:c r="Z2061" s="38" t="n">
        <x:v>0.8134000000000001</x:v>
      </x:c>
      <x:c r="AA2061" s="38" t="n">
        <x:v>0.32339999999999997</x:v>
      </x:c>
      <x:c r="AB2061" s="38" t="n">
        <x:v>0.0007055999999999999</x:v>
      </x:c>
      <x:c r="AC2061" s="38" t="n">
        <x:v>4.8219531136</x:v>
      </x:c>
      <x:c r="AD2061" s="28" t="n">
        <x:v>0.4872647357079478</x:v>
      </x:c>
    </x:row>
    <x:row r="2062">
      <x:c r="A2062" s="32" t="n">
        <x:v>46377</x:v>
      </x:c>
      <x:c r="B2062" s="32" t="n">
        <x:v>46357</x:v>
      </x:c>
      <x:c r="C2062" t="str">
        <x:v>Dec 2026</x:v>
      </x:c>
      <x:c r="D2062" t="str">
        <x:v>Forecast</x:v>
      </x:c>
      <x:c r="E2062" t="str">
        <x:v>DB-105</x:v>
      </x:c>
      <x:c r="F2062" t="str">
        <x:v>DreamFuel Refill Pack</x:v>
      </x:c>
      <x:c r="G2062" t="str">
        <x:v>Subscription</x:v>
      </x:c>
      <x:c r="H2062" t="str">
        <x:v>None</x:v>
      </x:c>
      <x:c r="I2062" t="str">
        <x:v>Active</x:v>
      </x:c>
      <x:c r="J2062" t="str">
        <x:v>Amazon Marketplace</x:v>
      </x:c>
      <x:c r="K2062" t="str">
        <x:v>Marketplace Consumer</x:v>
      </x:c>
      <x:c r="L2062" t="str">
        <x:v>All Geographies</x:v>
      </x:c>
      <x:c r="M2062" s="34" t="n">
        <x:v>2525</x:v>
      </x:c>
      <x:c r="N2062" s="28" t="n">
        <x:v>0.0458784</x:v>
      </x:c>
      <x:c r="O2062" s="34" t="n">
        <x:v>116</x:v>
      </x:c>
      <x:c r="P2062" s="34" t="n">
        <x:v>1</x:v>
      </x:c>
      <x:c r="Q2062" s="34" t="n">
        <x:v>116</x:v>
      </x:c>
      <x:c r="R2062" s="33" t="n">
        <x:v>56</x:v>
      </x:c>
      <x:c r="S2062" s="38" t="n">
        <x:v>6.496</x:v>
      </x:c>
      <x:c r="T2062" s="38" t="n">
        <x:v>0.32480000000000003</x:v>
      </x:c>
      <x:c r="U2062" s="38" t="n">
        <x:v>0.12342400000000002</x:v>
      </x:c>
      <x:c r="V2062" s="38" t="n">
        <x:v>6.047776000000001</x:v>
      </x:c>
      <x:c r="W2062" s="38" t="n">
        <x:v>2.15992</x:v>
      </x:c>
      <x:c r="X2062" s="38" t="n">
        <x:v>0</x:v>
      </x:c>
      <x:c r="Y2062" s="38" t="n">
        <x:v>0.9071664</x:v>
      </x:c>
      <x:c r="Z2062" s="38" t="n">
        <x:v>0.6032000000000001</x:v>
      </x:c>
      <x:c r="AA2062" s="38" t="n">
        <x:v>0.24939999999999998</x:v>
      </x:c>
      <x:c r="AB2062" s="38" t="n">
        <x:v>0.0004176</x:v>
      </x:c>
      <x:c r="AC2062" s="38" t="n">
        <x:v>2.1276720000000005</x:v>
      </x:c>
      <x:c r="AD2062" s="28" t="n">
        <x:v>0.35181064907165877</x:v>
      </x:c>
    </x:row>
    <x:row r="2063">
      <x:c r="A2063" s="32" t="n">
        <x:v>46377</x:v>
      </x:c>
      <x:c r="B2063" s="32" t="n">
        <x:v>46357</x:v>
      </x:c>
      <x:c r="C2063" t="str">
        <x:v>Dec 2026</x:v>
      </x:c>
      <x:c r="D2063" t="str">
        <x:v>Forecast</x:v>
      </x:c>
      <x:c r="E2063" t="str">
        <x:v>DB-105</x:v>
      </x:c>
      <x:c r="F2063" t="str">
        <x:v>DreamFuel Refill Pack</x:v>
      </x:c>
      <x:c r="G2063" t="str">
        <x:v>Subscription</x:v>
      </x:c>
      <x:c r="H2063" t="str">
        <x:v>None</x:v>
      </x:c>
      <x:c r="I2063" t="str">
        <x:v>Active</x:v>
      </x:c>
      <x:c r="J2063" t="str">
        <x:v>Wholesale</x:v>
      </x:c>
      <x:c r="K2063" t="str">
        <x:v>Retailer</x:v>
      </x:c>
      <x:c r="L2063" t="str">
        <x:v>All Geographies</x:v>
      </x:c>
      <x:c r="M2063" s="34" t="n">
        <x:v>1515</x:v>
      </x:c>
      <x:c r="N2063" s="28" t="n">
        <x:v>0.021384000000000004</x:v>
      </x:c>
      <x:c r="O2063" s="34" t="n">
        <x:v>32</x:v>
      </x:c>
      <x:c r="P2063" s="34" t="n">
        <x:v>1</x:v>
      </x:c>
      <x:c r="Q2063" s="34" t="n">
        <x:v>32</x:v>
      </x:c>
      <x:c r="R2063" s="33" t="n">
        <x:v>56</x:v>
      </x:c>
      <x:c r="S2063" s="38" t="n">
        <x:v>1.792</x:v>
      </x:c>
      <x:c r="T2063" s="38" t="n">
        <x:v>0.6272</x:v>
      </x:c>
      <x:c r="U2063" s="38" t="n">
        <x:v>0.023296</x:v>
      </x:c>
      <x:c r="V2063" s="38" t="n">
        <x:v>1.141504</x:v>
      </x:c>
      <x:c r="W2063" s="38" t="n">
        <x:v>0.59584</x:v>
      </x:c>
      <x:c r="X2063" s="38" t="n">
        <x:v>0</x:v>
      </x:c>
      <x:c r="Y2063" s="38" t="n">
        <x:v>0</x:v>
      </x:c>
      <x:c r="Z2063" s="38" t="n">
        <x:v>0.0736</x:v>
      </x:c>
      <x:c r="AA2063" s="38" t="n">
        <x:v>0.0272</x:v>
      </x:c>
      <x:c r="AB2063" s="38" t="n">
        <x:v>0.0001152</x:v>
      </x:c>
      <x:c r="AC2063" s="38" t="n">
        <x:v>0.44474880000000006</x:v>
      </x:c>
      <x:c r="AD2063" s="28" t="n">
        <x:v>0.3896165059430366</x:v>
      </x:c>
    </x:row>
    <x:row r="2064">
      <x:c r="A2064" s="32" t="n">
        <x:v>46377</x:v>
      </x:c>
      <x:c r="B2064" s="32" t="n">
        <x:v>46357</x:v>
      </x:c>
      <x:c r="C2064" t="str">
        <x:v>Dec 2026</x:v>
      </x:c>
      <x:c r="D2064" t="str">
        <x:v>Forecast</x:v>
      </x:c>
      <x:c r="E2064" t="str">
        <x:v>DB-105</x:v>
      </x:c>
      <x:c r="F2064" t="str">
        <x:v>DreamFuel Refill Pack</x:v>
      </x:c>
      <x:c r="G2064" t="str">
        <x:v>Subscription</x:v>
      </x:c>
      <x:c r="H2064" t="str">
        <x:v>None</x:v>
      </x:c>
      <x:c r="I2064" t="str">
        <x:v>Active</x:v>
      </x:c>
      <x:c r="J2064" t="str">
        <x:v>TikTok Shop</x:v>
      </x:c>
      <x:c r="K2064" t="str">
        <x:v>Social Commerce</x:v>
      </x:c>
      <x:c r="L2064" t="str">
        <x:v>All Geographies</x:v>
      </x:c>
      <x:c r="M2064" s="34" t="n">
        <x:v>1010</x:v>
      </x:c>
      <x:c r="N2064" s="28" t="n">
        <x:v>0.0489888</x:v>
      </x:c>
      <x:c r="O2064" s="34" t="n">
        <x:v>49</x:v>
      </x:c>
      <x:c r="P2064" s="34" t="n">
        <x:v>1</x:v>
      </x:c>
      <x:c r="Q2064" s="34" t="n">
        <x:v>49</x:v>
      </x:c>
      <x:c r="R2064" s="33" t="n">
        <x:v>56</x:v>
      </x:c>
      <x:c r="S2064" s="38" t="n">
        <x:v>2.744</x:v>
      </x:c>
      <x:c r="T2064" s="38" t="n">
        <x:v>0.32928</x:v>
      </x:c>
      <x:c r="U2064" s="38" t="n">
        <x:v>0.0482944</x:v>
      </x:c>
      <x:c r="V2064" s="38" t="n">
        <x:v>2.3664256</x:v>
      </x:c>
      <x:c r="W2064" s="38" t="n">
        <x:v>0.91238</x:v>
      </x:c>
      <x:c r="X2064" s="38" t="n">
        <x:v>0.0686263424</x:v>
      </x:c>
      <x:c r="Y2064" s="38" t="n">
        <x:v>0.141985536</x:v>
      </x:c>
      <x:c r="Z2064" s="38" t="n">
        <x:v>0.24989999999999998</x:v>
      </x:c>
      <x:c r="AA2064" s="38" t="n">
        <x:v>0.08575</x:v>
      </x:c>
      <x:c r="AB2064" s="38" t="n">
        <x:v>0.00017639999999999998</x:v>
      </x:c>
      <x:c r="AC2064" s="38" t="n">
        <x:v>0.9076073216</x:v>
      </x:c>
      <x:c r="AD2064" s="28" t="n">
        <x:v>0.3835351179432812</x:v>
      </x:c>
    </x:row>
    <x:row r="2065">
      <x:c r="A2065" s="32" t="n">
        <x:v>46384</x:v>
      </x:c>
      <x:c r="B2065" s="32" t="n">
        <x:v>46357</x:v>
      </x:c>
      <x:c r="C2065" t="str">
        <x:v>Dec 2026</x:v>
      </x:c>
      <x:c r="D2065" t="str">
        <x:v>Forecast</x:v>
      </x:c>
      <x:c r="E2065" t="str">
        <x:v>DB-101</x:v>
      </x:c>
      <x:c r="F2065" t="str">
        <x:v>AeroSip Bottle</x:v>
      </x:c>
      <x:c r="G2065" t="str">
        <x:v>One-time purchase</x:v>
      </x:c>
      <x:c r="H2065" t="str">
        <x:v>None</x:v>
      </x:c>
      <x:c r="I2065" t="str">
        <x:v>Active</x:v>
      </x:c>
      <x:c r="J2065" t="str">
        <x:v>Shopify DTC</x:v>
      </x:c>
      <x:c r="K2065" t="str">
        <x:v>Consumer</x:v>
      </x:c>
      <x:c r="L2065" t="str">
        <x:v>All Geographies</x:v>
      </x:c>
      <x:c r="M2065" s="34" t="n">
        <x:v>7296</x:v>
      </x:c>
      <x:c r="N2065" s="28" t="n">
        <x:v>0.034199999999999994</x:v>
      </x:c>
      <x:c r="O2065" s="34" t="n">
        <x:v>250</x:v>
      </x:c>
      <x:c r="P2065" s="34" t="n">
        <x:v>1</x:v>
      </x:c>
      <x:c r="Q2065" s="34" t="n">
        <x:v>250</x:v>
      </x:c>
      <x:c r="R2065" s="33" t="n">
        <x:v>29</x:v>
      </x:c>
      <x:c r="S2065" s="38" t="n">
        <x:v>7.25</x:v>
      </x:c>
      <x:c r="T2065" s="38" t="n">
        <x:v>0.58</x:v>
      </x:c>
      <x:c r="U2065" s="38" t="n">
        <x:v>0.30015</x:v>
      </x:c>
      <x:c r="V2065" s="38" t="n">
        <x:v>6.36985</x:v>
      </x:c>
      <x:c r="W2065" s="38" t="n">
        <x:v>2.7</x:v>
      </x:c>
      <x:c r="X2065" s="38" t="n">
        <x:v>0.18472565</x:v>
      </x:c>
      <x:c r="Y2065" s="38" t="n">
        <x:v>0</x:v>
      </x:c>
      <x:c r="Z2065" s="38" t="n">
        <x:v>1.0375</x:v>
      </x:c>
      <x:c r="AA2065" s="38" t="n">
        <x:v>0.4125</x:v>
      </x:c>
      <x:c r="AB2065" s="38" t="n">
        <x:v>0.009</x:v>
      </x:c>
      <x:c r="AC2065" s="38" t="n">
        <x:v>2.0261243499999995</x:v>
      </x:c>
      <x:c r="AD2065" s="28" t="n">
        <x:v>0.31808038650831644</x:v>
      </x:c>
    </x:row>
    <x:row r="2066">
      <x:c r="A2066" s="32" t="n">
        <x:v>46384</x:v>
      </x:c>
      <x:c r="B2066" s="32" t="n">
        <x:v>46357</x:v>
      </x:c>
      <x:c r="C2066" t="str">
        <x:v>Dec 2026</x:v>
      </x:c>
      <x:c r="D2066" t="str">
        <x:v>Forecast</x:v>
      </x:c>
      <x:c r="E2066" t="str">
        <x:v>DB-101</x:v>
      </x:c>
      <x:c r="F2066" t="str">
        <x:v>AeroSip Bottle</x:v>
      </x:c>
      <x:c r="G2066" t="str">
        <x:v>One-time purchase</x:v>
      </x:c>
      <x:c r="H2066" t="str">
        <x:v>None</x:v>
      </x:c>
      <x:c r="I2066" t="str">
        <x:v>Active</x:v>
      </x:c>
      <x:c r="J2066" t="str">
        <x:v>Amazon Marketplace</x:v>
      </x:c>
      <x:c r="K2066" t="str">
        <x:v>Marketplace Consumer</x:v>
      </x:c>
      <x:c r="L2066" t="str">
        <x:v>All Geographies</x:v>
      </x:c>
      <x:c r="M2066" s="34" t="n">
        <x:v>3648</x:v>
      </x:c>
      <x:c r="N2066" s="28" t="n">
        <x:v>0.040355999999999996</x:v>
      </x:c>
      <x:c r="O2066" s="34" t="n">
        <x:v>147</x:v>
      </x:c>
      <x:c r="P2066" s="34" t="n">
        <x:v>1</x:v>
      </x:c>
      <x:c r="Q2066" s="34" t="n">
        <x:v>147</x:v>
      </x:c>
      <x:c r="R2066" s="33" t="n">
        <x:v>29</x:v>
      </x:c>
      <x:c r="S2066" s="38" t="n">
        <x:v>4.263</x:v>
      </x:c>
      <x:c r="T2066" s="38" t="n">
        <x:v>0.21315</x:v>
      </x:c>
      <x:c r="U2066" s="38" t="n">
        <x:v>0.18224325</x:v>
      </x:c>
      <x:c r="V2066" s="38" t="n">
        <x:v>3.86760675</x:v>
      </x:c>
      <x:c r="W2066" s="38" t="n">
        <x:v>1.5876000000000001</x:v>
      </x:c>
      <x:c r="X2066" s="38" t="n">
        <x:v>0</x:v>
      </x:c>
      <x:c r="Y2066" s="38" t="n">
        <x:v>0.5801410125</x:v>
      </x:c>
      <x:c r="Z2066" s="38" t="n">
        <x:v>0.7644</x:v>
      </x:c>
      <x:c r="AA2066" s="38" t="n">
        <x:v>0.31605</x:v>
      </x:c>
      <x:c r="AB2066" s="38" t="n">
        <x:v>0.005292</x:v>
      </x:c>
      <x:c r="AC2066" s="38" t="n">
        <x:v>0.6141237375000003</x:v>
      </x:c>
      <x:c r="AD2066" s="28" t="n">
        <x:v>0.15878649955815705</x:v>
      </x:c>
    </x:row>
    <x:row r="2067">
      <x:c r="A2067" s="32" t="n">
        <x:v>46384</x:v>
      </x:c>
      <x:c r="B2067" s="32" t="n">
        <x:v>46357</x:v>
      </x:c>
      <x:c r="C2067" t="str">
        <x:v>Dec 2026</x:v>
      </x:c>
      <x:c r="D2067" t="str">
        <x:v>Forecast</x:v>
      </x:c>
      <x:c r="E2067" t="str">
        <x:v>DB-101</x:v>
      </x:c>
      <x:c r="F2067" t="str">
        <x:v>AeroSip Bottle</x:v>
      </x:c>
      <x:c r="G2067" t="str">
        <x:v>One-time purchase</x:v>
      </x:c>
      <x:c r="H2067" t="str">
        <x:v>None</x:v>
      </x:c>
      <x:c r="I2067" t="str">
        <x:v>Active</x:v>
      </x:c>
      <x:c r="J2067" t="str">
        <x:v>Wholesale</x:v>
      </x:c>
      <x:c r="K2067" t="str">
        <x:v>Retailer</x:v>
      </x:c>
      <x:c r="L2067" t="str">
        <x:v>All Geographies</x:v>
      </x:c>
      <x:c r="M2067" s="34" t="n">
        <x:v>2189</x:v>
      </x:c>
      <x:c r="N2067" s="28" t="n">
        <x:v>0.01881</x:v>
      </x:c>
      <x:c r="O2067" s="34" t="n">
        <x:v>41</x:v>
      </x:c>
      <x:c r="P2067" s="34" t="n">
        <x:v>1</x:v>
      </x:c>
      <x:c r="Q2067" s="34" t="n">
        <x:v>41</x:v>
      </x:c>
      <x:c r="R2067" s="33" t="n">
        <x:v>29</x:v>
      </x:c>
      <x:c r="S2067" s="38" t="n">
        <x:v>1.189</x:v>
      </x:c>
      <x:c r="T2067" s="38" t="n">
        <x:v>0.41615</x:v>
      </x:c>
      <x:c r="U2067" s="38" t="n">
        <x:v>0.034778250000000004</x:v>
      </x:c>
      <x:c r="V2067" s="38" t="n">
        <x:v>0.73807175</x:v>
      </x:c>
      <x:c r="W2067" s="38" t="n">
        <x:v>0.4428</x:v>
      </x:c>
      <x:c r="X2067" s="38" t="n">
        <x:v>0</x:v>
      </x:c>
      <x:c r="Y2067" s="38" t="n">
        <x:v>0</x:v>
      </x:c>
      <x:c r="Z2067" s="38" t="n">
        <x:v>0.0943</x:v>
      </x:c>
      <x:c r="AA2067" s="38" t="n">
        <x:v>0.03485</x:v>
      </x:c>
      <x:c r="AB2067" s="38" t="n">
        <x:v>0.0014759999999999999</x:v>
      </x:c>
      <x:c r="AC2067" s="38" t="n">
        <x:v>0.16464575</x:v>
      </x:c>
      <x:c r="AD2067" s="28" t="n">
        <x:v>0.22307553432305194</x:v>
      </x:c>
    </x:row>
    <x:row r="2068">
      <x:c r="A2068" s="32" t="n">
        <x:v>46384</x:v>
      </x:c>
      <x:c r="B2068" s="32" t="n">
        <x:v>46357</x:v>
      </x:c>
      <x:c r="C2068" t="str">
        <x:v>Dec 2026</x:v>
      </x:c>
      <x:c r="D2068" t="str">
        <x:v>Forecast</x:v>
      </x:c>
      <x:c r="E2068" t="str">
        <x:v>DB-101</x:v>
      </x:c>
      <x:c r="F2068" t="str">
        <x:v>AeroSip Bottle</x:v>
      </x:c>
      <x:c r="G2068" t="str">
        <x:v>One-time purchase</x:v>
      </x:c>
      <x:c r="H2068" t="str">
        <x:v>None</x:v>
      </x:c>
      <x:c r="I2068" t="str">
        <x:v>Active</x:v>
      </x:c>
      <x:c r="J2068" t="str">
        <x:v>TikTok Shop</x:v>
      </x:c>
      <x:c r="K2068" t="str">
        <x:v>Social Commerce</x:v>
      </x:c>
      <x:c r="L2068" t="str">
        <x:v>All Geographies</x:v>
      </x:c>
      <x:c r="M2068" s="34" t="n">
        <x:v>1459</x:v>
      </x:c>
      <x:c r="N2068" s="28" t="n">
        <x:v>0.043092</x:v>
      </x:c>
      <x:c r="O2068" s="34" t="n">
        <x:v>63</x:v>
      </x:c>
      <x:c r="P2068" s="34" t="n">
        <x:v>1</x:v>
      </x:c>
      <x:c r="Q2068" s="34" t="n">
        <x:v>63</x:v>
      </x:c>
      <x:c r="R2068" s="33" t="n">
        <x:v>29</x:v>
      </x:c>
      <x:c r="S2068" s="38" t="n">
        <x:v>1.827</x:v>
      </x:c>
      <x:c r="T2068" s="38" t="n">
        <x:v>0.21924</x:v>
      </x:c>
      <x:c r="U2068" s="38" t="n">
        <x:v>0.07234919999999999</x:v>
      </x:c>
      <x:c r="V2068" s="38" t="n">
        <x:v>1.5354108</x:v>
      </x:c>
      <x:c r="W2068" s="38" t="n">
        <x:v>0.6804000000000001</x:v>
      </x:c>
      <x:c r="X2068" s="38" t="n">
        <x:v>0.044526913200000004</x:v>
      </x:c>
      <x:c r="Y2068" s="38" t="n">
        <x:v>0.09212464799999999</x:v>
      </x:c>
      <x:c r="Z2068" s="38" t="n">
        <x:v>0.3213</x:v>
      </x:c>
      <x:c r="AA2068" s="38" t="n">
        <x:v>0.11025</x:v>
      </x:c>
      <x:c r="AB2068" s="38" t="n">
        <x:v>0.0022679999999999996</x:v>
      </x:c>
      <x:c r="AC2068" s="38" t="n">
        <x:v>0.2845412387999999</x:v>
      </x:c>
      <x:c r="AD2068" s="28" t="n">
        <x:v>0.18531928966501987</x:v>
      </x:c>
    </x:row>
    <x:row r="2069">
      <x:c r="A2069" s="32" t="n">
        <x:v>46384</x:v>
      </x:c>
      <x:c r="B2069" s="32" t="n">
        <x:v>46357</x:v>
      </x:c>
      <x:c r="C2069" t="str">
        <x:v>Dec 2026</x:v>
      </x:c>
      <x:c r="D2069" t="str">
        <x:v>Forecast</x:v>
      </x:c>
      <x:c r="E2069" t="str">
        <x:v>DB-102</x:v>
      </x:c>
      <x:c r="F2069" t="str">
        <x:v>GlowPatch Balm</x:v>
      </x:c>
      <x:c r="G2069" t="str">
        <x:v>Consumable repeat</x:v>
      </x:c>
      <x:c r="H2069" t="str">
        <x:v>None</x:v>
      </x:c>
      <x:c r="I2069" t="str">
        <x:v>Active</x:v>
      </x:c>
      <x:c r="J2069" t="str">
        <x:v>Shopify DTC</x:v>
      </x:c>
      <x:c r="K2069" t="str">
        <x:v>Consumer</x:v>
      </x:c>
      <x:c r="L2069" t="str">
        <x:v>All Geographies</x:v>
      </x:c>
      <x:c r="M2069" s="34" t="n">
        <x:v>5893</x:v>
      </x:c>
      <x:c r="N2069" s="28" t="n">
        <x:v>0.04248</x:v>
      </x:c>
      <x:c r="O2069" s="34" t="n">
        <x:v>250</x:v>
      </x:c>
      <x:c r="P2069" s="34" t="n">
        <x:v>1</x:v>
      </x:c>
      <x:c r="Q2069" s="34" t="n">
        <x:v>250</x:v>
      </x:c>
      <x:c r="R2069" s="33" t="n">
        <x:v>18</x:v>
      </x:c>
      <x:c r="S2069" s="38" t="n">
        <x:v>4.5</x:v>
      </x:c>
      <x:c r="T2069" s="38" t="n">
        <x:v>0.36</x:v>
      </x:c>
      <x:c r="U2069" s="38" t="n">
        <x:v>0.1035</x:v>
      </x:c>
      <x:c r="V2069" s="38" t="n">
        <x:v>4.036499999999999</x:v>
      </x:c>
      <x:c r="W2069" s="38" t="n">
        <x:v>1.3525</x:v>
      </x:c>
      <x:c r="X2069" s="38" t="n">
        <x:v>0.11705849999999998</x:v>
      </x:c>
      <x:c r="Y2069" s="38" t="n">
        <x:v>0</x:v>
      </x:c>
      <x:c r="Z2069" s="38" t="n">
        <x:v>1.0375</x:v>
      </x:c>
      <x:c r="AA2069" s="38" t="n">
        <x:v>0.4125</x:v>
      </x:c>
      <x:c r="AB2069" s="38" t="n">
        <x:v>0.0015</x:v>
      </x:c>
      <x:c r="AC2069" s="38" t="n">
        <x:v>1.1154414999999989</x:v>
      </x:c>
      <x:c r="AD2069" s="28" t="n">
        <x:v>0.2763387835996529</x:v>
      </x:c>
    </x:row>
    <x:row r="2070">
      <x:c r="A2070" s="32" t="n">
        <x:v>46384</x:v>
      </x:c>
      <x:c r="B2070" s="32" t="n">
        <x:v>46357</x:v>
      </x:c>
      <x:c r="C2070" t="str">
        <x:v>Dec 2026</x:v>
      </x:c>
      <x:c r="D2070" t="str">
        <x:v>Forecast</x:v>
      </x:c>
      <x:c r="E2070" t="str">
        <x:v>DB-102</x:v>
      </x:c>
      <x:c r="F2070" t="str">
        <x:v>GlowPatch Balm</x:v>
      </x:c>
      <x:c r="G2070" t="str">
        <x:v>Consumable repeat</x:v>
      </x:c>
      <x:c r="H2070" t="str">
        <x:v>None</x:v>
      </x:c>
      <x:c r="I2070" t="str">
        <x:v>Active</x:v>
      </x:c>
      <x:c r="J2070" t="str">
        <x:v>Amazon Marketplace</x:v>
      </x:c>
      <x:c r="K2070" t="str">
        <x:v>Marketplace Consumer</x:v>
      </x:c>
      <x:c r="L2070" t="str">
        <x:v>All Geographies</x:v>
      </x:c>
      <x:c r="M2070" s="34" t="n">
        <x:v>2946</x:v>
      </x:c>
      <x:c r="N2070" s="28" t="n">
        <x:v>0.050126399999999995</x:v>
      </x:c>
      <x:c r="O2070" s="34" t="n">
        <x:v>148</x:v>
      </x:c>
      <x:c r="P2070" s="34" t="n">
        <x:v>1</x:v>
      </x:c>
      <x:c r="Q2070" s="34" t="n">
        <x:v>148</x:v>
      </x:c>
      <x:c r="R2070" s="33" t="n">
        <x:v>18</x:v>
      </x:c>
      <x:c r="S2070" s="38" t="n">
        <x:v>2.664</x:v>
      </x:c>
      <x:c r="T2070" s="38" t="n">
        <x:v>0.1332</x:v>
      </x:c>
      <x:c r="U2070" s="38" t="n">
        <x:v>0.06327</x:v>
      </x:c>
      <x:c r="V2070" s="38" t="n">
        <x:v>2.46753</x:v>
      </x:c>
      <x:c r="W2070" s="38" t="n">
        <x:v>0.8006800000000001</x:v>
      </x:c>
      <x:c r="X2070" s="38" t="n">
        <x:v>0</x:v>
      </x:c>
      <x:c r="Y2070" s="38" t="n">
        <x:v>0.3701295</x:v>
      </x:c>
      <x:c r="Z2070" s="38" t="n">
        <x:v>0.7696000000000001</x:v>
      </x:c>
      <x:c r="AA2070" s="38" t="n">
        <x:v>0.3182</x:v>
      </x:c>
      <x:c r="AB2070" s="38" t="n">
        <x:v>0.0008879999999999999</x:v>
      </x:c>
      <x:c r="AC2070" s="38" t="n">
        <x:v>0.2080324999999999</x:v>
      </x:c>
      <x:c r="AD2070" s="28" t="n">
        <x:v>0.084307992202729</x:v>
      </x:c>
    </x:row>
    <x:row r="2071">
      <x:c r="A2071" s="32" t="n">
        <x:v>46384</x:v>
      </x:c>
      <x:c r="B2071" s="32" t="n">
        <x:v>46357</x:v>
      </x:c>
      <x:c r="C2071" t="str">
        <x:v>Dec 2026</x:v>
      </x:c>
      <x:c r="D2071" t="str">
        <x:v>Forecast</x:v>
      </x:c>
      <x:c r="E2071" t="str">
        <x:v>DB-102</x:v>
      </x:c>
      <x:c r="F2071" t="str">
        <x:v>GlowPatch Balm</x:v>
      </x:c>
      <x:c r="G2071" t="str">
        <x:v>Consumable repeat</x:v>
      </x:c>
      <x:c r="H2071" t="str">
        <x:v>None</x:v>
      </x:c>
      <x:c r="I2071" t="str">
        <x:v>Active</x:v>
      </x:c>
      <x:c r="J2071" t="str">
        <x:v>Wholesale</x:v>
      </x:c>
      <x:c r="K2071" t="str">
        <x:v>Retailer</x:v>
      </x:c>
      <x:c r="L2071" t="str">
        <x:v>All Geographies</x:v>
      </x:c>
      <x:c r="M2071" s="34" t="n">
        <x:v>1768</x:v>
      </x:c>
      <x:c r="N2071" s="28" t="n">
        <x:v>0.023364</x:v>
      </x:c>
      <x:c r="O2071" s="34" t="n">
        <x:v>41</x:v>
      </x:c>
      <x:c r="P2071" s="34" t="n">
        <x:v>1</x:v>
      </x:c>
      <x:c r="Q2071" s="34" t="n">
        <x:v>41</x:v>
      </x:c>
      <x:c r="R2071" s="33" t="n">
        <x:v>18</x:v>
      </x:c>
      <x:c r="S2071" s="38" t="n">
        <x:v>0.738</x:v>
      </x:c>
      <x:c r="T2071" s="38" t="n">
        <x:v>0.2583</x:v>
      </x:c>
      <x:c r="U2071" s="38" t="n">
        <x:v>0.011992500000000001</x:v>
      </x:c>
      <x:c r="V2071" s="38" t="n">
        <x:v>0.4677075</x:v>
      </x:c>
      <x:c r="W2071" s="38" t="n">
        <x:v>0.22181</x:v>
      </x:c>
      <x:c r="X2071" s="38" t="n">
        <x:v>0</x:v>
      </x:c>
      <x:c r="Y2071" s="38" t="n">
        <x:v>0</x:v>
      </x:c>
      <x:c r="Z2071" s="38" t="n">
        <x:v>0.0943</x:v>
      </x:c>
      <x:c r="AA2071" s="38" t="n">
        <x:v>0.03485</x:v>
      </x:c>
      <x:c r="AB2071" s="38" t="n">
        <x:v>0.000246</x:v>
      </x:c>
      <x:c r="AC2071" s="38" t="n">
        <x:v>0.11650150000000001</x:v>
      </x:c>
      <x:c r="AD2071" s="28" t="n">
        <x:v>0.2490905106289722</x:v>
      </x:c>
    </x:row>
    <x:row r="2072">
      <x:c r="A2072" s="32" t="n">
        <x:v>46384</x:v>
      </x:c>
      <x:c r="B2072" s="32" t="n">
        <x:v>46357</x:v>
      </x:c>
      <x:c r="C2072" t="str">
        <x:v>Dec 2026</x:v>
      </x:c>
      <x:c r="D2072" t="str">
        <x:v>Forecast</x:v>
      </x:c>
      <x:c r="E2072" t="str">
        <x:v>DB-102</x:v>
      </x:c>
      <x:c r="F2072" t="str">
        <x:v>GlowPatch Balm</x:v>
      </x:c>
      <x:c r="G2072" t="str">
        <x:v>Consumable repeat</x:v>
      </x:c>
      <x:c r="H2072" t="str">
        <x:v>None</x:v>
      </x:c>
      <x:c r="I2072" t="str">
        <x:v>Active</x:v>
      </x:c>
      <x:c r="J2072" t="str">
        <x:v>TikTok Shop</x:v>
      </x:c>
      <x:c r="K2072" t="str">
        <x:v>Social Commerce</x:v>
      </x:c>
      <x:c r="L2072" t="str">
        <x:v>All Geographies</x:v>
      </x:c>
      <x:c r="M2072" s="34" t="n">
        <x:v>1179</x:v>
      </x:c>
      <x:c r="N2072" s="28" t="n">
        <x:v>0.0535248</x:v>
      </x:c>
      <x:c r="O2072" s="34" t="n">
        <x:v>63</x:v>
      </x:c>
      <x:c r="P2072" s="34" t="n">
        <x:v>1</x:v>
      </x:c>
      <x:c r="Q2072" s="34" t="n">
        <x:v>63</x:v>
      </x:c>
      <x:c r="R2072" s="33" t="n">
        <x:v>18</x:v>
      </x:c>
      <x:c r="S2072" s="38" t="n">
        <x:v>1.134</x:v>
      </x:c>
      <x:c r="T2072" s="38" t="n">
        <x:v>0.13607999999999998</x:v>
      </x:c>
      <x:c r="U2072" s="38" t="n">
        <x:v>0.024947999999999998</x:v>
      </x:c>
      <x:c r="V2072" s="38" t="n">
        <x:v>0.972972</x:v>
      </x:c>
      <x:c r="W2072" s="38" t="n">
        <x:v>0.34082999999999997</x:v>
      </x:c>
      <x:c r="X2072" s="38" t="n">
        <x:v>0.028216188</x:v>
      </x:c>
      <x:c r="Y2072" s="38" t="n">
        <x:v>0.05837832</x:v>
      </x:c>
      <x:c r="Z2072" s="38" t="n">
        <x:v>0.3213</x:v>
      </x:c>
      <x:c r="AA2072" s="38" t="n">
        <x:v>0.11025</x:v>
      </x:c>
      <x:c r="AB2072" s="38" t="n">
        <x:v>0.000378</x:v>
      </x:c>
      <x:c r="AC2072" s="38" t="n">
        <x:v>0.11361949199999999</x:v>
      </x:c>
      <x:c r="AD2072" s="28" t="n">
        <x:v>0.11677570577570577</x:v>
      </x:c>
    </x:row>
    <x:row r="2073">
      <x:c r="A2073" s="32" t="n">
        <x:v>46384</x:v>
      </x:c>
      <x:c r="B2073" s="32" t="n">
        <x:v>46357</x:v>
      </x:c>
      <x:c r="C2073" t="str">
        <x:v>Dec 2026</x:v>
      </x:c>
      <x:c r="D2073" t="str">
        <x:v>Forecast</x:v>
      </x:c>
      <x:c r="E2073" t="str">
        <x:v>DB-103</x:v>
      </x:c>
      <x:c r="F2073" t="str">
        <x:v>EmberTrail Camp Mug</x:v>
      </x:c>
      <x:c r="G2073" t="str">
        <x:v>One-time purchase</x:v>
      </x:c>
      <x:c r="H2073" t="str">
        <x:v>Winter peak</x:v>
      </x:c>
      <x:c r="I2073" t="str">
        <x:v>Discontinued</x:v>
      </x:c>
      <x:c r="J2073" t="str">
        <x:v>Shopify DTC</x:v>
      </x:c>
      <x:c r="K2073" t="str">
        <x:v>Consumer</x:v>
      </x:c>
      <x:c r="L2073" t="str">
        <x:v>All Geographies</x:v>
      </x:c>
      <x:c r="M2073" s="34" t="n">
        <x:v>0</x:v>
      </x:c>
      <x:c r="N2073" s="28" t="n">
        <x:v>0.0324</x:v>
      </x:c>
      <x:c r="O2073" s="34" t="n">
        <x:v>0</x:v>
      </x:c>
      <x:c r="P2073" s="34" t="n">
        <x:v>1</x:v>
      </x:c>
      <x:c r="Q2073" s="34" t="n">
        <x:v>0</x:v>
      </x:c>
      <x:c r="R2073" s="33" t="n">
        <x:v>34</x:v>
      </x:c>
      <x:c r="S2073" s="38" t="n">
        <x:v>0</x:v>
      </x:c>
      <x:c r="T2073" s="38" t="n">
        <x:v>0</x:v>
      </x:c>
      <x:c r="U2073" s="38" t="n">
        <x:v>0</x:v>
      </x:c>
      <x:c r="V2073" s="38" t="n">
        <x:v>0</x:v>
      </x:c>
      <x:c r="W2073" s="38" t="n">
        <x:v>0</x:v>
      </x:c>
      <x:c r="X2073" s="38" t="n">
        <x:v>0</x:v>
      </x:c>
      <x:c r="Y2073" s="38" t="n">
        <x:v>0</x:v>
      </x:c>
      <x:c r="Z2073" s="38" t="n">
        <x:v>0</x:v>
      </x:c>
      <x:c r="AA2073" s="38" t="n">
        <x:v>0</x:v>
      </x:c>
      <x:c r="AB2073" s="38" t="n">
        <x:v>0</x:v>
      </x:c>
      <x:c r="AC2073" s="38" t="n">
        <x:v>0</x:v>
      </x:c>
      <x:c r="AD2073" s="28" t="n">
        <x:v>0</x:v>
      </x:c>
    </x:row>
    <x:row r="2074">
      <x:c r="A2074" s="32" t="n">
        <x:v>46384</x:v>
      </x:c>
      <x:c r="B2074" s="32" t="n">
        <x:v>46357</x:v>
      </x:c>
      <x:c r="C2074" t="str">
        <x:v>Dec 2026</x:v>
      </x:c>
      <x:c r="D2074" t="str">
        <x:v>Forecast</x:v>
      </x:c>
      <x:c r="E2074" t="str">
        <x:v>DB-103</x:v>
      </x:c>
      <x:c r="F2074" t="str">
        <x:v>EmberTrail Camp Mug</x:v>
      </x:c>
      <x:c r="G2074" t="str">
        <x:v>One-time purchase</x:v>
      </x:c>
      <x:c r="H2074" t="str">
        <x:v>Winter peak</x:v>
      </x:c>
      <x:c r="I2074" t="str">
        <x:v>Discontinued</x:v>
      </x:c>
      <x:c r="J2074" t="str">
        <x:v>Amazon Marketplace</x:v>
      </x:c>
      <x:c r="K2074" t="str">
        <x:v>Marketplace Consumer</x:v>
      </x:c>
      <x:c r="L2074" t="str">
        <x:v>All Geographies</x:v>
      </x:c>
      <x:c r="M2074" s="34" t="n">
        <x:v>0</x:v>
      </x:c>
      <x:c r="N2074" s="28" t="n">
        <x:v>0.038231999999999995</x:v>
      </x:c>
      <x:c r="O2074" s="34" t="n">
        <x:v>0</x:v>
      </x:c>
      <x:c r="P2074" s="34" t="n">
        <x:v>1</x:v>
      </x:c>
      <x:c r="Q2074" s="34" t="n">
        <x:v>0</x:v>
      </x:c>
      <x:c r="R2074" s="33" t="n">
        <x:v>34</x:v>
      </x:c>
      <x:c r="S2074" s="38" t="n">
        <x:v>0</x:v>
      </x:c>
      <x:c r="T2074" s="38" t="n">
        <x:v>0</x:v>
      </x:c>
      <x:c r="U2074" s="38" t="n">
        <x:v>0</x:v>
      </x:c>
      <x:c r="V2074" s="38" t="n">
        <x:v>0</x:v>
      </x:c>
      <x:c r="W2074" s="38" t="n">
        <x:v>0</x:v>
      </x:c>
      <x:c r="X2074" s="38" t="n">
        <x:v>0</x:v>
      </x:c>
      <x:c r="Y2074" s="38" t="n">
        <x:v>0</x:v>
      </x:c>
      <x:c r="Z2074" s="38" t="n">
        <x:v>0</x:v>
      </x:c>
      <x:c r="AA2074" s="38" t="n">
        <x:v>0</x:v>
      </x:c>
      <x:c r="AB2074" s="38" t="n">
        <x:v>0</x:v>
      </x:c>
      <x:c r="AC2074" s="38" t="n">
        <x:v>0</x:v>
      </x:c>
      <x:c r="AD2074" s="28" t="n">
        <x:v>0</x:v>
      </x:c>
    </x:row>
    <x:row r="2075">
      <x:c r="A2075" s="32" t="n">
        <x:v>46384</x:v>
      </x:c>
      <x:c r="B2075" s="32" t="n">
        <x:v>46357</x:v>
      </x:c>
      <x:c r="C2075" t="str">
        <x:v>Dec 2026</x:v>
      </x:c>
      <x:c r="D2075" t="str">
        <x:v>Forecast</x:v>
      </x:c>
      <x:c r="E2075" t="str">
        <x:v>DB-103</x:v>
      </x:c>
      <x:c r="F2075" t="str">
        <x:v>EmberTrail Camp Mug</x:v>
      </x:c>
      <x:c r="G2075" t="str">
        <x:v>One-time purchase</x:v>
      </x:c>
      <x:c r="H2075" t="str">
        <x:v>Winter peak</x:v>
      </x:c>
      <x:c r="I2075" t="str">
        <x:v>Discontinued</x:v>
      </x:c>
      <x:c r="J2075" t="str">
        <x:v>Wholesale</x:v>
      </x:c>
      <x:c r="K2075" t="str">
        <x:v>Retailer</x:v>
      </x:c>
      <x:c r="L2075" t="str">
        <x:v>All Geographies</x:v>
      </x:c>
      <x:c r="M2075" s="34" t="n">
        <x:v>0</x:v>
      </x:c>
      <x:c r="N2075" s="28" t="n">
        <x:v>0.017820000000000003</x:v>
      </x:c>
      <x:c r="O2075" s="34" t="n">
        <x:v>0</x:v>
      </x:c>
      <x:c r="P2075" s="34" t="n">
        <x:v>1</x:v>
      </x:c>
      <x:c r="Q2075" s="34" t="n">
        <x:v>0</x:v>
      </x:c>
      <x:c r="R2075" s="33" t="n">
        <x:v>34</x:v>
      </x:c>
      <x:c r="S2075" s="38" t="n">
        <x:v>0</x:v>
      </x:c>
      <x:c r="T2075" s="38" t="n">
        <x:v>0</x:v>
      </x:c>
      <x:c r="U2075" s="38" t="n">
        <x:v>0</x:v>
      </x:c>
      <x:c r="V2075" s="38" t="n">
        <x:v>0</x:v>
      </x:c>
      <x:c r="W2075" s="38" t="n">
        <x:v>0</x:v>
      </x:c>
      <x:c r="X2075" s="38" t="n">
        <x:v>0</x:v>
      </x:c>
      <x:c r="Y2075" s="38" t="n">
        <x:v>0</x:v>
      </x:c>
      <x:c r="Z2075" s="38" t="n">
        <x:v>0</x:v>
      </x:c>
      <x:c r="AA2075" s="38" t="n">
        <x:v>0</x:v>
      </x:c>
      <x:c r="AB2075" s="38" t="n">
        <x:v>0</x:v>
      </x:c>
      <x:c r="AC2075" s="38" t="n">
        <x:v>0</x:v>
      </x:c>
      <x:c r="AD2075" s="28" t="n">
        <x:v>0</x:v>
      </x:c>
    </x:row>
    <x:row r="2076">
      <x:c r="A2076" s="32" t="n">
        <x:v>46384</x:v>
      </x:c>
      <x:c r="B2076" s="32" t="n">
        <x:v>46357</x:v>
      </x:c>
      <x:c r="C2076" t="str">
        <x:v>Dec 2026</x:v>
      </x:c>
      <x:c r="D2076" t="str">
        <x:v>Forecast</x:v>
      </x:c>
      <x:c r="E2076" t="str">
        <x:v>DB-103</x:v>
      </x:c>
      <x:c r="F2076" t="str">
        <x:v>EmberTrail Camp Mug</x:v>
      </x:c>
      <x:c r="G2076" t="str">
        <x:v>One-time purchase</x:v>
      </x:c>
      <x:c r="H2076" t="str">
        <x:v>Winter peak</x:v>
      </x:c>
      <x:c r="I2076" t="str">
        <x:v>Discontinued</x:v>
      </x:c>
      <x:c r="J2076" t="str">
        <x:v>TikTok Shop</x:v>
      </x:c>
      <x:c r="K2076" t="str">
        <x:v>Social Commerce</x:v>
      </x:c>
      <x:c r="L2076" t="str">
        <x:v>All Geographies</x:v>
      </x:c>
      <x:c r="M2076" s="34" t="n">
        <x:v>0</x:v>
      </x:c>
      <x:c r="N2076" s="28" t="n">
        <x:v>0.040824</x:v>
      </x:c>
      <x:c r="O2076" s="34" t="n">
        <x:v>0</x:v>
      </x:c>
      <x:c r="P2076" s="34" t="n">
        <x:v>1</x:v>
      </x:c>
      <x:c r="Q2076" s="34" t="n">
        <x:v>0</x:v>
      </x:c>
      <x:c r="R2076" s="33" t="n">
        <x:v>34</x:v>
      </x:c>
      <x:c r="S2076" s="38" t="n">
        <x:v>0</x:v>
      </x:c>
      <x:c r="T2076" s="38" t="n">
        <x:v>0</x:v>
      </x:c>
      <x:c r="U2076" s="38" t="n">
        <x:v>0</x:v>
      </x:c>
      <x:c r="V2076" s="38" t="n">
        <x:v>0</x:v>
      </x:c>
      <x:c r="W2076" s="38" t="n">
        <x:v>0</x:v>
      </x:c>
      <x:c r="X2076" s="38" t="n">
        <x:v>0</x:v>
      </x:c>
      <x:c r="Y2076" s="38" t="n">
        <x:v>0</x:v>
      </x:c>
      <x:c r="Z2076" s="38" t="n">
        <x:v>0</x:v>
      </x:c>
      <x:c r="AA2076" s="38" t="n">
        <x:v>0</x:v>
      </x:c>
      <x:c r="AB2076" s="38" t="n">
        <x:v>0</x:v>
      </x:c>
      <x:c r="AC2076" s="38" t="n">
        <x:v>0</x:v>
      </x:c>
      <x:c r="AD2076" s="28" t="n">
        <x:v>0</x:v>
      </x:c>
    </x:row>
    <x:row r="2077">
      <x:c r="A2077" s="32" t="n">
        <x:v>46384</x:v>
      </x:c>
      <x:c r="B2077" s="32" t="n">
        <x:v>46357</x:v>
      </x:c>
      <x:c r="C2077" t="str">
        <x:v>Dec 2026</x:v>
      </x:c>
      <x:c r="D2077" t="str">
        <x:v>Forecast</x:v>
      </x:c>
      <x:c r="E2077" t="str">
        <x:v>DB-104</x:v>
      </x:c>
      <x:c r="F2077" t="str">
        <x:v>SunNest Cooling Towel</x:v>
      </x:c>
      <x:c r="G2077" t="str">
        <x:v>Consumable repeat</x:v>
      </x:c>
      <x:c r="H2077" t="str">
        <x:v>Summer peak</x:v>
      </x:c>
      <x:c r="I2077" t="str">
        <x:v>Discontinued</x:v>
      </x:c>
      <x:c r="J2077" t="str">
        <x:v>Shopify DTC</x:v>
      </x:c>
      <x:c r="K2077" t="str">
        <x:v>Consumer</x:v>
      </x:c>
      <x:c r="L2077" t="str">
        <x:v>All Geographies</x:v>
      </x:c>
      <x:c r="M2077" s="34" t="n">
        <x:v>0</x:v>
      </x:c>
      <x:c r="N2077" s="28" t="n">
        <x:v>0.03312</x:v>
      </x:c>
      <x:c r="O2077" s="34" t="n">
        <x:v>0</x:v>
      </x:c>
      <x:c r="P2077" s="34" t="n">
        <x:v>1</x:v>
      </x:c>
      <x:c r="Q2077" s="34" t="n">
        <x:v>0</x:v>
      </x:c>
      <x:c r="R2077" s="33" t="n">
        <x:v>42</x:v>
      </x:c>
      <x:c r="S2077" s="38" t="n">
        <x:v>0</x:v>
      </x:c>
      <x:c r="T2077" s="38" t="n">
        <x:v>0</x:v>
      </x:c>
      <x:c r="U2077" s="38" t="n">
        <x:v>0</x:v>
      </x:c>
      <x:c r="V2077" s="38" t="n">
        <x:v>0</x:v>
      </x:c>
      <x:c r="W2077" s="38" t="n">
        <x:v>0</x:v>
      </x:c>
      <x:c r="X2077" s="38" t="n">
        <x:v>0</x:v>
      </x:c>
      <x:c r="Y2077" s="38" t="n">
        <x:v>0</x:v>
      </x:c>
      <x:c r="Z2077" s="38" t="n">
        <x:v>0</x:v>
      </x:c>
      <x:c r="AA2077" s="38" t="n">
        <x:v>0</x:v>
      </x:c>
      <x:c r="AB2077" s="38" t="n">
        <x:v>0</x:v>
      </x:c>
      <x:c r="AC2077" s="38" t="n">
        <x:v>0</x:v>
      </x:c>
      <x:c r="AD2077" s="28" t="n">
        <x:v>0</x:v>
      </x:c>
    </x:row>
    <x:row r="2078">
      <x:c r="A2078" s="32" t="n">
        <x:v>46384</x:v>
      </x:c>
      <x:c r="B2078" s="32" t="n">
        <x:v>46357</x:v>
      </x:c>
      <x:c r="C2078" t="str">
        <x:v>Dec 2026</x:v>
      </x:c>
      <x:c r="D2078" t="str">
        <x:v>Forecast</x:v>
      </x:c>
      <x:c r="E2078" t="str">
        <x:v>DB-104</x:v>
      </x:c>
      <x:c r="F2078" t="str">
        <x:v>SunNest Cooling Towel</x:v>
      </x:c>
      <x:c r="G2078" t="str">
        <x:v>Consumable repeat</x:v>
      </x:c>
      <x:c r="H2078" t="str">
        <x:v>Summer peak</x:v>
      </x:c>
      <x:c r="I2078" t="str">
        <x:v>Discontinued</x:v>
      </x:c>
      <x:c r="J2078" t="str">
        <x:v>Amazon Marketplace</x:v>
      </x:c>
      <x:c r="K2078" t="str">
        <x:v>Marketplace Consumer</x:v>
      </x:c>
      <x:c r="L2078" t="str">
        <x:v>All Geographies</x:v>
      </x:c>
      <x:c r="M2078" s="34" t="n">
        <x:v>0</x:v>
      </x:c>
      <x:c r="N2078" s="28" t="n">
        <x:v>0.0390816</x:v>
      </x:c>
      <x:c r="O2078" s="34" t="n">
        <x:v>0</x:v>
      </x:c>
      <x:c r="P2078" s="34" t="n">
        <x:v>1</x:v>
      </x:c>
      <x:c r="Q2078" s="34" t="n">
        <x:v>0</x:v>
      </x:c>
      <x:c r="R2078" s="33" t="n">
        <x:v>42</x:v>
      </x:c>
      <x:c r="S2078" s="38" t="n">
        <x:v>0</x:v>
      </x:c>
      <x:c r="T2078" s="38" t="n">
        <x:v>0</x:v>
      </x:c>
      <x:c r="U2078" s="38" t="n">
        <x:v>0</x:v>
      </x:c>
      <x:c r="V2078" s="38" t="n">
        <x:v>0</x:v>
      </x:c>
      <x:c r="W2078" s="38" t="n">
        <x:v>0</x:v>
      </x:c>
      <x:c r="X2078" s="38" t="n">
        <x:v>0</x:v>
      </x:c>
      <x:c r="Y2078" s="38" t="n">
        <x:v>0</x:v>
      </x:c>
      <x:c r="Z2078" s="38" t="n">
        <x:v>0</x:v>
      </x:c>
      <x:c r="AA2078" s="38" t="n">
        <x:v>0</x:v>
      </x:c>
      <x:c r="AB2078" s="38" t="n">
        <x:v>0</x:v>
      </x:c>
      <x:c r="AC2078" s="38" t="n">
        <x:v>0</x:v>
      </x:c>
      <x:c r="AD2078" s="28" t="n">
        <x:v>0</x:v>
      </x:c>
    </x:row>
    <x:row r="2079">
      <x:c r="A2079" s="32" t="n">
        <x:v>46384</x:v>
      </x:c>
      <x:c r="B2079" s="32" t="n">
        <x:v>46357</x:v>
      </x:c>
      <x:c r="C2079" t="str">
        <x:v>Dec 2026</x:v>
      </x:c>
      <x:c r="D2079" t="str">
        <x:v>Forecast</x:v>
      </x:c>
      <x:c r="E2079" t="str">
        <x:v>DB-104</x:v>
      </x:c>
      <x:c r="F2079" t="str">
        <x:v>SunNest Cooling Towel</x:v>
      </x:c>
      <x:c r="G2079" t="str">
        <x:v>Consumable repeat</x:v>
      </x:c>
      <x:c r="H2079" t="str">
        <x:v>Summer peak</x:v>
      </x:c>
      <x:c r="I2079" t="str">
        <x:v>Discontinued</x:v>
      </x:c>
      <x:c r="J2079" t="str">
        <x:v>Wholesale</x:v>
      </x:c>
      <x:c r="K2079" t="str">
        <x:v>Retailer</x:v>
      </x:c>
      <x:c r="L2079" t="str">
        <x:v>All Geographies</x:v>
      </x:c>
      <x:c r="M2079" s="34" t="n">
        <x:v>0</x:v>
      </x:c>
      <x:c r="N2079" s="28" t="n">
        <x:v>0.018216000000000003</x:v>
      </x:c>
      <x:c r="O2079" s="34" t="n">
        <x:v>0</x:v>
      </x:c>
      <x:c r="P2079" s="34" t="n">
        <x:v>1</x:v>
      </x:c>
      <x:c r="Q2079" s="34" t="n">
        <x:v>0</x:v>
      </x:c>
      <x:c r="R2079" s="33" t="n">
        <x:v>42</x:v>
      </x:c>
      <x:c r="S2079" s="38" t="n">
        <x:v>0</x:v>
      </x:c>
      <x:c r="T2079" s="38" t="n">
        <x:v>0</x:v>
      </x:c>
      <x:c r="U2079" s="38" t="n">
        <x:v>0</x:v>
      </x:c>
      <x:c r="V2079" s="38" t="n">
        <x:v>0</x:v>
      </x:c>
      <x:c r="W2079" s="38" t="n">
        <x:v>0</x:v>
      </x:c>
      <x:c r="X2079" s="38" t="n">
        <x:v>0</x:v>
      </x:c>
      <x:c r="Y2079" s="38" t="n">
        <x:v>0</x:v>
      </x:c>
      <x:c r="Z2079" s="38" t="n">
        <x:v>0</x:v>
      </x:c>
      <x:c r="AA2079" s="38" t="n">
        <x:v>0</x:v>
      </x:c>
      <x:c r="AB2079" s="38" t="n">
        <x:v>0</x:v>
      </x:c>
      <x:c r="AC2079" s="38" t="n">
        <x:v>0</x:v>
      </x:c>
      <x:c r="AD2079" s="28" t="n">
        <x:v>0</x:v>
      </x:c>
    </x:row>
    <x:row r="2080">
      <x:c r="A2080" s="32" t="n">
        <x:v>46384</x:v>
      </x:c>
      <x:c r="B2080" s="32" t="n">
        <x:v>46357</x:v>
      </x:c>
      <x:c r="C2080" t="str">
        <x:v>Dec 2026</x:v>
      </x:c>
      <x:c r="D2080" t="str">
        <x:v>Forecast</x:v>
      </x:c>
      <x:c r="E2080" t="str">
        <x:v>DB-104</x:v>
      </x:c>
      <x:c r="F2080" t="str">
        <x:v>SunNest Cooling Towel</x:v>
      </x:c>
      <x:c r="G2080" t="str">
        <x:v>Consumable repeat</x:v>
      </x:c>
      <x:c r="H2080" t="str">
        <x:v>Summer peak</x:v>
      </x:c>
      <x:c r="I2080" t="str">
        <x:v>Discontinued</x:v>
      </x:c>
      <x:c r="J2080" t="str">
        <x:v>TikTok Shop</x:v>
      </x:c>
      <x:c r="K2080" t="str">
        <x:v>Social Commerce</x:v>
      </x:c>
      <x:c r="L2080" t="str">
        <x:v>All Geographies</x:v>
      </x:c>
      <x:c r="M2080" s="34" t="n">
        <x:v>0</x:v>
      </x:c>
      <x:c r="N2080" s="28" t="n">
        <x:v>0.0417312</x:v>
      </x:c>
      <x:c r="O2080" s="34" t="n">
        <x:v>0</x:v>
      </x:c>
      <x:c r="P2080" s="34" t="n">
        <x:v>1</x:v>
      </x:c>
      <x:c r="Q2080" s="34" t="n">
        <x:v>0</x:v>
      </x:c>
      <x:c r="R2080" s="33" t="n">
        <x:v>42</x:v>
      </x:c>
      <x:c r="S2080" s="38" t="n">
        <x:v>0</x:v>
      </x:c>
      <x:c r="T2080" s="38" t="n">
        <x:v>0</x:v>
      </x:c>
      <x:c r="U2080" s="38" t="n">
        <x:v>0</x:v>
      </x:c>
      <x:c r="V2080" s="38" t="n">
        <x:v>0</x:v>
      </x:c>
      <x:c r="W2080" s="38" t="n">
        <x:v>0</x:v>
      </x:c>
      <x:c r="X2080" s="38" t="n">
        <x:v>0</x:v>
      </x:c>
      <x:c r="Y2080" s="38" t="n">
        <x:v>0</x:v>
      </x:c>
      <x:c r="Z2080" s="38" t="n">
        <x:v>0</x:v>
      </x:c>
      <x:c r="AA2080" s="38" t="n">
        <x:v>0</x:v>
      </x:c>
      <x:c r="AB2080" s="38" t="n">
        <x:v>0</x:v>
      </x:c>
      <x:c r="AC2080" s="38" t="n">
        <x:v>0</x:v>
      </x:c>
      <x:c r="AD2080" s="28" t="n">
        <x:v>0</x:v>
      </x:c>
    </x:row>
    <x:row r="2081">
      <x:c r="A2081" s="32" t="n">
        <x:v>46384</x:v>
      </x:c>
      <x:c r="B2081" s="32" t="n">
        <x:v>46357</x:v>
      </x:c>
      <x:c r="C2081" t="str">
        <x:v>Dec 2026</x:v>
      </x:c>
      <x:c r="D2081" t="str">
        <x:v>Forecast</x:v>
      </x:c>
      <x:c r="E2081" t="str">
        <x:v>DB-105</x:v>
      </x:c>
      <x:c r="F2081" t="str">
        <x:v>DreamFuel Refill Pack</x:v>
      </x:c>
      <x:c r="G2081" t="str">
        <x:v>Subscription</x:v>
      </x:c>
      <x:c r="H2081" t="str">
        <x:v>None</x:v>
      </x:c>
      <x:c r="I2081" t="str">
        <x:v>Active</x:v>
      </x:c>
      <x:c r="J2081" t="str">
        <x:v>Shopify DTC</x:v>
      </x:c>
      <x:c r="K2081" t="str">
        <x:v>Consumer</x:v>
      </x:c>
      <x:c r="L2081" t="str">
        <x:v>All Geographies</x:v>
      </x:c>
      <x:c r="M2081" s="34" t="n">
        <x:v>5051</x:v>
      </x:c>
      <x:c r="N2081" s="28" t="n">
        <x:v>0.03888</x:v>
      </x:c>
      <x:c r="O2081" s="34" t="n">
        <x:v>196</x:v>
      </x:c>
      <x:c r="P2081" s="34" t="n">
        <x:v>1</x:v>
      </x:c>
      <x:c r="Q2081" s="34" t="n">
        <x:v>196</x:v>
      </x:c>
      <x:c r="R2081" s="33" t="n">
        <x:v>56</x:v>
      </x:c>
      <x:c r="S2081" s="38" t="n">
        <x:v>10.976</x:v>
      </x:c>
      <x:c r="T2081" s="38" t="n">
        <x:v>0.8780800000000001</x:v>
      </x:c>
      <x:c r="U2081" s="38" t="n">
        <x:v>0.2019584</x:v>
      </x:c>
      <x:c r="V2081" s="38" t="n">
        <x:v>9.8959616</x:v>
      </x:c>
      <x:c r="W2081" s="38" t="n">
        <x:v>3.64952</x:v>
      </x:c>
      <x:c r="X2081" s="38" t="n">
        <x:v>0.2869828864</x:v>
      </x:c>
      <x:c r="Y2081" s="38" t="n">
        <x:v>0</x:v>
      </x:c>
      <x:c r="Z2081" s="38" t="n">
        <x:v>0.8134000000000001</x:v>
      </x:c>
      <x:c r="AA2081" s="38" t="n">
        <x:v>0.32339999999999997</x:v>
      </x:c>
      <x:c r="AB2081" s="38" t="n">
        <x:v>0.0007055999999999999</x:v>
      </x:c>
      <x:c r="AC2081" s="38" t="n">
        <x:v>4.8219531136</x:v>
      </x:c>
      <x:c r="AD2081" s="28" t="n">
        <x:v>0.4872647357079478</x:v>
      </x:c>
    </x:row>
    <x:row r="2082">
      <x:c r="A2082" s="32" t="n">
        <x:v>46384</x:v>
      </x:c>
      <x:c r="B2082" s="32" t="n">
        <x:v>46357</x:v>
      </x:c>
      <x:c r="C2082" t="str">
        <x:v>Dec 2026</x:v>
      </x:c>
      <x:c r="D2082" t="str">
        <x:v>Forecast</x:v>
      </x:c>
      <x:c r="E2082" t="str">
        <x:v>DB-105</x:v>
      </x:c>
      <x:c r="F2082" t="str">
        <x:v>DreamFuel Refill Pack</x:v>
      </x:c>
      <x:c r="G2082" t="str">
        <x:v>Subscription</x:v>
      </x:c>
      <x:c r="H2082" t="str">
        <x:v>None</x:v>
      </x:c>
      <x:c r="I2082" t="str">
        <x:v>Active</x:v>
      </x:c>
      <x:c r="J2082" t="str">
        <x:v>Amazon Marketplace</x:v>
      </x:c>
      <x:c r="K2082" t="str">
        <x:v>Marketplace Consumer</x:v>
      </x:c>
      <x:c r="L2082" t="str">
        <x:v>All Geographies</x:v>
      </x:c>
      <x:c r="M2082" s="34" t="n">
        <x:v>2525</x:v>
      </x:c>
      <x:c r="N2082" s="28" t="n">
        <x:v>0.0458784</x:v>
      </x:c>
      <x:c r="O2082" s="34" t="n">
        <x:v>116</x:v>
      </x:c>
      <x:c r="P2082" s="34" t="n">
        <x:v>1</x:v>
      </x:c>
      <x:c r="Q2082" s="34" t="n">
        <x:v>116</x:v>
      </x:c>
      <x:c r="R2082" s="33" t="n">
        <x:v>56</x:v>
      </x:c>
      <x:c r="S2082" s="38" t="n">
        <x:v>6.496</x:v>
      </x:c>
      <x:c r="T2082" s="38" t="n">
        <x:v>0.32480000000000003</x:v>
      </x:c>
      <x:c r="U2082" s="38" t="n">
        <x:v>0.12342400000000002</x:v>
      </x:c>
      <x:c r="V2082" s="38" t="n">
        <x:v>6.047776000000001</x:v>
      </x:c>
      <x:c r="W2082" s="38" t="n">
        <x:v>2.15992</x:v>
      </x:c>
      <x:c r="X2082" s="38" t="n">
        <x:v>0</x:v>
      </x:c>
      <x:c r="Y2082" s="38" t="n">
        <x:v>0.9071664</x:v>
      </x:c>
      <x:c r="Z2082" s="38" t="n">
        <x:v>0.6032000000000001</x:v>
      </x:c>
      <x:c r="AA2082" s="38" t="n">
        <x:v>0.24939999999999998</x:v>
      </x:c>
      <x:c r="AB2082" s="38" t="n">
        <x:v>0.0004176</x:v>
      </x:c>
      <x:c r="AC2082" s="38" t="n">
        <x:v>2.1276720000000005</x:v>
      </x:c>
      <x:c r="AD2082" s="28" t="n">
        <x:v>0.35181064907165877</x:v>
      </x:c>
    </x:row>
    <x:row r="2083">
      <x:c r="A2083" s="32" t="n">
        <x:v>46384</x:v>
      </x:c>
      <x:c r="B2083" s="32" t="n">
        <x:v>46357</x:v>
      </x:c>
      <x:c r="C2083" t="str">
        <x:v>Dec 2026</x:v>
      </x:c>
      <x:c r="D2083" t="str">
        <x:v>Forecast</x:v>
      </x:c>
      <x:c r="E2083" t="str">
        <x:v>DB-105</x:v>
      </x:c>
      <x:c r="F2083" t="str">
        <x:v>DreamFuel Refill Pack</x:v>
      </x:c>
      <x:c r="G2083" t="str">
        <x:v>Subscription</x:v>
      </x:c>
      <x:c r="H2083" t="str">
        <x:v>None</x:v>
      </x:c>
      <x:c r="I2083" t="str">
        <x:v>Active</x:v>
      </x:c>
      <x:c r="J2083" t="str">
        <x:v>Wholesale</x:v>
      </x:c>
      <x:c r="K2083" t="str">
        <x:v>Retailer</x:v>
      </x:c>
      <x:c r="L2083" t="str">
        <x:v>All Geographies</x:v>
      </x:c>
      <x:c r="M2083" s="34" t="n">
        <x:v>1515</x:v>
      </x:c>
      <x:c r="N2083" s="28" t="n">
        <x:v>0.021384000000000004</x:v>
      </x:c>
      <x:c r="O2083" s="34" t="n">
        <x:v>32</x:v>
      </x:c>
      <x:c r="P2083" s="34" t="n">
        <x:v>1</x:v>
      </x:c>
      <x:c r="Q2083" s="34" t="n">
        <x:v>32</x:v>
      </x:c>
      <x:c r="R2083" s="33" t="n">
        <x:v>56</x:v>
      </x:c>
      <x:c r="S2083" s="38" t="n">
        <x:v>1.792</x:v>
      </x:c>
      <x:c r="T2083" s="38" t="n">
        <x:v>0.6272</x:v>
      </x:c>
      <x:c r="U2083" s="38" t="n">
        <x:v>0.023296</x:v>
      </x:c>
      <x:c r="V2083" s="38" t="n">
        <x:v>1.141504</x:v>
      </x:c>
      <x:c r="W2083" s="38" t="n">
        <x:v>0.59584</x:v>
      </x:c>
      <x:c r="X2083" s="38" t="n">
        <x:v>0</x:v>
      </x:c>
      <x:c r="Y2083" s="38" t="n">
        <x:v>0</x:v>
      </x:c>
      <x:c r="Z2083" s="38" t="n">
        <x:v>0.0736</x:v>
      </x:c>
      <x:c r="AA2083" s="38" t="n">
        <x:v>0.0272</x:v>
      </x:c>
      <x:c r="AB2083" s="38" t="n">
        <x:v>0.0001152</x:v>
      </x:c>
      <x:c r="AC2083" s="38" t="n">
        <x:v>0.44474880000000006</x:v>
      </x:c>
      <x:c r="AD2083" s="28" t="n">
        <x:v>0.3896165059430366</x:v>
      </x:c>
    </x:row>
    <x:row r="2084">
      <x:c r="A2084" s="32" t="n">
        <x:v>46384</x:v>
      </x:c>
      <x:c r="B2084" s="32" t="n">
        <x:v>46357</x:v>
      </x:c>
      <x:c r="C2084" t="str">
        <x:v>Dec 2026</x:v>
      </x:c>
      <x:c r="D2084" t="str">
        <x:v>Forecast</x:v>
      </x:c>
      <x:c r="E2084" t="str">
        <x:v>DB-105</x:v>
      </x:c>
      <x:c r="F2084" t="str">
        <x:v>DreamFuel Refill Pack</x:v>
      </x:c>
      <x:c r="G2084" t="str">
        <x:v>Subscription</x:v>
      </x:c>
      <x:c r="H2084" t="str">
        <x:v>None</x:v>
      </x:c>
      <x:c r="I2084" t="str">
        <x:v>Active</x:v>
      </x:c>
      <x:c r="J2084" t="str">
        <x:v>TikTok Shop</x:v>
      </x:c>
      <x:c r="K2084" t="str">
        <x:v>Social Commerce</x:v>
      </x:c>
      <x:c r="L2084" t="str">
        <x:v>All Geographies</x:v>
      </x:c>
      <x:c r="M2084" s="34" t="n">
        <x:v>1010</x:v>
      </x:c>
      <x:c r="N2084" s="28" t="n">
        <x:v>0.0489888</x:v>
      </x:c>
      <x:c r="O2084" s="34" t="n">
        <x:v>49</x:v>
      </x:c>
      <x:c r="P2084" s="34" t="n">
        <x:v>1</x:v>
      </x:c>
      <x:c r="Q2084" s="34" t="n">
        <x:v>49</x:v>
      </x:c>
      <x:c r="R2084" s="33" t="n">
        <x:v>56</x:v>
      </x:c>
      <x:c r="S2084" s="38" t="n">
        <x:v>2.744</x:v>
      </x:c>
      <x:c r="T2084" s="38" t="n">
        <x:v>0.32928</x:v>
      </x:c>
      <x:c r="U2084" s="38" t="n">
        <x:v>0.0482944</x:v>
      </x:c>
      <x:c r="V2084" s="38" t="n">
        <x:v>2.3664256</x:v>
      </x:c>
      <x:c r="W2084" s="38" t="n">
        <x:v>0.91238</x:v>
      </x:c>
      <x:c r="X2084" s="38" t="n">
        <x:v>0.0686263424</x:v>
      </x:c>
      <x:c r="Y2084" s="38" t="n">
        <x:v>0.141985536</x:v>
      </x:c>
      <x:c r="Z2084" s="38" t="n">
        <x:v>0.24989999999999998</x:v>
      </x:c>
      <x:c r="AA2084" s="38" t="n">
        <x:v>0.08575</x:v>
      </x:c>
      <x:c r="AB2084" s="38" t="n">
        <x:v>0.00017639999999999998</x:v>
      </x:c>
      <x:c r="AC2084" s="38" t="n">
        <x:v>0.9076073216</x:v>
      </x:c>
      <x:c r="AD2084" s="28" t="n">
        <x:v>0.3835351179432812</x:v>
      </x:c>
    </x:row>
  </x:sheetData>
  <x:mergeCells>
    <x:mergeCell ref="A1:AC1"/>
    <x:mergeCell ref="A2:AC2"/>
  </x:mergeCells>
  <x:pageMargins left="0.7" right="0.7" top="0.75" bottom="0.75" header="0.3" footer="0.3"/>
  <x:tableParts count="1">
    <x:tablePart xmlns:r="http://schemas.openxmlformats.org/officeDocument/2006/relationships" r:id="R1eaf79e5f0d349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8" customHeight="1">
      <x:c r="A1" s="3" t="str">
        <x:v>Geography Revenue View</x:v>
      </x:c>
    </x:row>
    <x:row r="2">
      <x:c r="A2" s="6" t="str">
        <x:v>Filterable monthly allocation by SKU, channel, customer type, and geography. Geography mix is sourced from Assumptions.</x:v>
      </x:c>
    </x:row>
    <x:row r="4">
      <x:c r="A4" s="11" t="str">
        <x:v>Month</x:v>
      </x:c>
      <x:c r="B4" s="12" t="str">
        <x:v>Month Label</x:v>
      </x:c>
      <x:c r="C4" s="12" t="str">
        <x:v>Period</x:v>
      </x:c>
      <x:c r="D4" s="12" t="str">
        <x:v>SKU</x:v>
      </x:c>
      <x:c r="E4" s="12" t="str">
        <x:v>Product</x:v>
      </x:c>
      <x:c r="F4" s="12" t="str">
        <x:v>Channel</x:v>
      </x:c>
      <x:c r="G4" s="12" t="str">
        <x:v>Customer Type</x:v>
      </x:c>
      <x:c r="H4" s="12" t="str">
        <x:v>Geography</x:v>
      </x:c>
      <x:c r="I4" s="12" t="str">
        <x:v>Units Sold</x:v>
      </x:c>
      <x:c r="J4" s="12" t="str">
        <x:v>Net Revenue $000s</x:v>
      </x:c>
      <x:c r="K4" s="12" t="str">
        <x:v>Contribution Margin $000s</x:v>
      </x:c>
      <x:c r="L4" s="13" t="str">
        <x:v>Contribution Margin %</x:v>
      </x:c>
    </x:row>
    <x:row r="5">
      <x:c r="A5" s="32" t="n">
        <x:v>45658</x:v>
      </x:c>
      <x:c r="B5" t="str">
        <x:v>Jan 2025</x:v>
      </x:c>
      <x:c r="C5" t="str">
        <x:v>Actual</x:v>
      </x:c>
      <x:c r="D5" t="str">
        <x:v>DB-101</x:v>
      </x:c>
      <x:c r="E5" t="str">
        <x:v>AeroSip Bottle</x:v>
      </x:c>
      <x:c r="F5" t="str">
        <x:v>Shopify DTC</x:v>
      </x:c>
      <x:c r="G5" t="str">
        <x:v>Consumer</x:v>
      </x:c>
      <x:c r="H5" t="str">
        <x:v>US West</x:v>
      </x:c>
      <x:c r="I5" s="34" t="n">
        <x:v>230.52</x:v>
      </x:c>
      <x:c r="J5" s="38" t="n">
        <x:v>5.873511288</x:v>
      </x:c>
      <x:c r="K5" s="38" t="n">
        <x:v>1.8682487406479993</x:v>
      </x:c>
      <x:c r="L5" s="28" t="n">
        <x:v>0.3180803865083164</x:v>
      </x:c>
    </x:row>
    <x:row r="6">
      <x:c r="A6" s="32" t="n">
        <x:v>45658</x:v>
      </x:c>
      <x:c r="B6" t="str">
        <x:v>Jan 2025</x:v>
      </x:c>
      <x:c r="C6" t="str">
        <x:v>Actual</x:v>
      </x:c>
      <x:c r="D6" t="str">
        <x:v>DB-101</x:v>
      </x:c>
      <x:c r="E6" t="str">
        <x:v>AeroSip Bottle</x:v>
      </x:c>
      <x:c r="F6" t="str">
        <x:v>Shopify DTC</x:v>
      </x:c>
      <x:c r="G6" t="str">
        <x:v>Consumer</x:v>
      </x:c>
      <x:c r="H6" t="str">
        <x:v>US Central</x:v>
      </x:c>
      <x:c r="I6" s="34" t="n">
        <x:v>162.72</x:v>
      </x:c>
      <x:c r="J6" s="38" t="n">
        <x:v>4.146007967999999</x:v>
      </x:c>
      <x:c r="K6" s="38" t="n">
        <x:v>1.3187638169279994</x:v>
      </x:c>
      <x:c r="L6" s="28" t="n">
        <x:v>0.31808038650831644</x:v>
      </x:c>
    </x:row>
    <x:row r="7">
      <x:c r="A7" s="32" t="n">
        <x:v>45658</x:v>
      </x:c>
      <x:c r="B7" t="str">
        <x:v>Jan 2025</x:v>
      </x:c>
      <x:c r="C7" t="str">
        <x:v>Actual</x:v>
      </x:c>
      <x:c r="D7" t="str">
        <x:v>DB-101</x:v>
      </x:c>
      <x:c r="E7" t="str">
        <x:v>AeroSip Bottle</x:v>
      </x:c>
      <x:c r="F7" t="str">
        <x:v>Shopify DTC</x:v>
      </x:c>
      <x:c r="G7" t="str">
        <x:v>Consumer</x:v>
      </x:c>
      <x:c r="H7" t="str">
        <x:v>US East</x:v>
      </x:c>
      <x:c r="I7" s="34" t="n">
        <x:v>216.96</x:v>
      </x:c>
      <x:c r="J7" s="38" t="n">
        <x:v>5.528010624</x:v>
      </x:c>
      <x:c r="K7" s="38" t="n">
        <x:v>1.7583517559039994</x:v>
      </x:c>
      <x:c r="L7" s="28" t="n">
        <x:v>0.3180803865083164</x:v>
      </x:c>
    </x:row>
    <x:row r="8">
      <x:c r="A8" s="32" t="n">
        <x:v>45658</x:v>
      </x:c>
      <x:c r="B8" t="str">
        <x:v>Jan 2025</x:v>
      </x:c>
      <x:c r="C8" t="str">
        <x:v>Actual</x:v>
      </x:c>
      <x:c r="D8" t="str">
        <x:v>DB-101</x:v>
      </x:c>
      <x:c r="E8" t="str">
        <x:v>AeroSip Bottle</x:v>
      </x:c>
      <x:c r="F8" t="str">
        <x:v>Shopify DTC</x:v>
      </x:c>
      <x:c r="G8" t="str">
        <x:v>Consumer</x:v>
      </x:c>
      <x:c r="H8" t="str">
        <x:v>Canada</x:v>
      </x:c>
      <x:c r="I8" s="34" t="n">
        <x:v>67.8</x:v>
      </x:c>
      <x:c r="J8" s="38" t="n">
        <x:v>1.72750332</x:v>
      </x:c>
      <x:c r="K8" s="38" t="n">
        <x:v>0.5494849237199998</x:v>
      </x:c>
      <x:c r="L8" s="28" t="n">
        <x:v>0.3180803865083164</x:v>
      </x:c>
    </x:row>
    <x:row r="9">
      <x:c r="A9" s="32" t="n">
        <x:v>45658</x:v>
      </x:c>
      <x:c r="B9" t="str">
        <x:v>Jan 2025</x:v>
      </x:c>
      <x:c r="C9" t="str">
        <x:v>Actual</x:v>
      </x:c>
      <x:c r="D9" t="str">
        <x:v>DB-101</x:v>
      </x:c>
      <x:c r="E9" t="str">
        <x:v>AeroSip Bottle</x:v>
      </x:c>
      <x:c r="F9" t="str">
        <x:v>Amazon Marketplace</x:v>
      </x:c>
      <x:c r="G9" t="str">
        <x:v>Marketplace Consumer</x:v>
      </x:c>
      <x:c r="H9" t="str">
        <x:v>US West</x:v>
      </x:c>
      <x:c r="I9" s="34" t="n">
        <x:v>136</x:v>
      </x:c>
      <x:c r="J9" s="38" t="n">
        <x:v>3.578194</x:v>
      </x:c>
      <x:c r="K9" s="38" t="n">
        <x:v>0.5681688999999998</x:v>
      </x:c>
      <x:c r="L9" s="28" t="n">
        <x:v>0.15878649955815693</x:v>
      </x:c>
    </x:row>
    <x:row r="10">
      <x:c r="A10" s="32" t="n">
        <x:v>45658</x:v>
      </x:c>
      <x:c r="B10" t="str">
        <x:v>Jan 2025</x:v>
      </x:c>
      <x:c r="C10" t="str">
        <x:v>Actual</x:v>
      </x:c>
      <x:c r="D10" t="str">
        <x:v>DB-101</x:v>
      </x:c>
      <x:c r="E10" t="str">
        <x:v>AeroSip Bottle</x:v>
      </x:c>
      <x:c r="F10" t="str">
        <x:v>Amazon Marketplace</x:v>
      </x:c>
      <x:c r="G10" t="str">
        <x:v>Marketplace Consumer</x:v>
      </x:c>
      <x:c r="H10" t="str">
        <x:v>US Central</x:v>
      </x:c>
      <x:c r="I10" s="34" t="n">
        <x:v>96</x:v>
      </x:c>
      <x:c r="J10" s="38" t="n">
        <x:v>2.525784</x:v>
      </x:c>
      <x:c r="K10" s="38" t="n">
        <x:v>0.4010603999999998</x:v>
      </x:c>
      <x:c r="L10" s="28" t="n">
        <x:v>0.15878649955815693</x:v>
      </x:c>
    </x:row>
    <x:row r="11">
      <x:c r="A11" s="32" t="n">
        <x:v>45658</x:v>
      </x:c>
      <x:c r="B11" t="str">
        <x:v>Jan 2025</x:v>
      </x:c>
      <x:c r="C11" t="str">
        <x:v>Actual</x:v>
      </x:c>
      <x:c r="D11" t="str">
        <x:v>DB-101</x:v>
      </x:c>
      <x:c r="E11" t="str">
        <x:v>AeroSip Bottle</x:v>
      </x:c>
      <x:c r="F11" t="str">
        <x:v>Amazon Marketplace</x:v>
      </x:c>
      <x:c r="G11" t="str">
        <x:v>Marketplace Consumer</x:v>
      </x:c>
      <x:c r="H11" t="str">
        <x:v>US East</x:v>
      </x:c>
      <x:c r="I11" s="34" t="n">
        <x:v>128</x:v>
      </x:c>
      <x:c r="J11" s="38" t="n">
        <x:v>3.3677119999999996</x:v>
      </x:c>
      <x:c r="K11" s="38" t="n">
        <x:v>0.5347471999999998</x:v>
      </x:c>
      <x:c r="L11" s="28" t="n">
        <x:v>0.15878649955815693</x:v>
      </x:c>
    </x:row>
    <x:row r="12">
      <x:c r="A12" s="32" t="n">
        <x:v>45658</x:v>
      </x:c>
      <x:c r="B12" t="str">
        <x:v>Jan 2025</x:v>
      </x:c>
      <x:c r="C12" t="str">
        <x:v>Actual</x:v>
      </x:c>
      <x:c r="D12" t="str">
        <x:v>DB-101</x:v>
      </x:c>
      <x:c r="E12" t="str">
        <x:v>AeroSip Bottle</x:v>
      </x:c>
      <x:c r="F12" t="str">
        <x:v>Amazon Marketplace</x:v>
      </x:c>
      <x:c r="G12" t="str">
        <x:v>Marketplace Consumer</x:v>
      </x:c>
      <x:c r="H12" t="str">
        <x:v>Canada</x:v>
      </x:c>
      <x:c r="I12" s="34" t="n">
        <x:v>40</x:v>
      </x:c>
      <x:c r="J12" s="38" t="n">
        <x:v>1.0524099999999998</x:v>
      </x:c>
      <x:c r="K12" s="38" t="n">
        <x:v>0.16710849999999994</x:v>
      </x:c>
      <x:c r="L12" s="28" t="n">
        <x:v>0.15878649955815696</x:v>
      </x:c>
    </x:row>
    <x:row r="13">
      <x:c r="A13" s="32" t="n">
        <x:v>45658</x:v>
      </x:c>
      <x:c r="B13" t="str">
        <x:v>Jan 2025</x:v>
      </x:c>
      <x:c r="C13" t="str">
        <x:v>Actual</x:v>
      </x:c>
      <x:c r="D13" t="str">
        <x:v>DB-101</x:v>
      </x:c>
      <x:c r="E13" t="str">
        <x:v>AeroSip Bottle</x:v>
      </x:c>
      <x:c r="F13" t="str">
        <x:v>Wholesale</x:v>
      </x:c>
      <x:c r="G13" t="str">
        <x:v>Retailer</x:v>
      </x:c>
      <x:c r="H13" t="str">
        <x:v>US West</x:v>
      </x:c>
      <x:c r="I13" s="34" t="n">
        <x:v>38.080000000000005</x:v>
      </x:c>
      <x:c r="J13" s="38" t="n">
        <x:v>0.6855066400000002</x:v>
      </x:c>
      <x:c r="K13" s="38" t="n">
        <x:v>0.15291976000000007</x:v>
      </x:c>
      <x:c r="L13" s="28" t="n">
        <x:v>0.22307553432305197</x:v>
      </x:c>
    </x:row>
    <x:row r="14">
      <x:c r="A14" s="32" t="n">
        <x:v>45658</x:v>
      </x:c>
      <x:c r="B14" t="str">
        <x:v>Jan 2025</x:v>
      </x:c>
      <x:c r="C14" t="str">
        <x:v>Actual</x:v>
      </x:c>
      <x:c r="D14" t="str">
        <x:v>DB-101</x:v>
      </x:c>
      <x:c r="E14" t="str">
        <x:v>AeroSip Bottle</x:v>
      </x:c>
      <x:c r="F14" t="str">
        <x:v>Wholesale</x:v>
      </x:c>
      <x:c r="G14" t="str">
        <x:v>Retailer</x:v>
      </x:c>
      <x:c r="H14" t="str">
        <x:v>US Central</x:v>
      </x:c>
      <x:c r="I14" s="34" t="n">
        <x:v>26.88</x:v>
      </x:c>
      <x:c r="J14" s="38" t="n">
        <x:v>0.48388704000000005</x:v>
      </x:c>
      <x:c r="K14" s="38" t="n">
        <x:v>0.10794336000000003</x:v>
      </x:c>
      <x:c r="L14" s="28" t="n">
        <x:v>0.22307553432305197</x:v>
      </x:c>
    </x:row>
    <x:row r="15">
      <x:c r="A15" s="32" t="n">
        <x:v>45658</x:v>
      </x:c>
      <x:c r="B15" t="str">
        <x:v>Jan 2025</x:v>
      </x:c>
      <x:c r="C15" t="str">
        <x:v>Actual</x:v>
      </x:c>
      <x:c r="D15" t="str">
        <x:v>DB-101</x:v>
      </x:c>
      <x:c r="E15" t="str">
        <x:v>AeroSip Bottle</x:v>
      </x:c>
      <x:c r="F15" t="str">
        <x:v>Wholesale</x:v>
      </x:c>
      <x:c r="G15" t="str">
        <x:v>Retailer</x:v>
      </x:c>
      <x:c r="H15" t="str">
        <x:v>US East</x:v>
      </x:c>
      <x:c r="I15" s="34" t="n">
        <x:v>35.84</x:v>
      </x:c>
      <x:c r="J15" s="38" t="n">
        <x:v>0.6451827200000001</x:v>
      </x:c>
      <x:c r="K15" s="38" t="n">
        <x:v>0.14392448000000005</x:v>
      </x:c>
      <x:c r="L15" s="28" t="n">
        <x:v>0.22307553432305197</x:v>
      </x:c>
    </x:row>
    <x:row r="16">
      <x:c r="A16" s="32" t="n">
        <x:v>45658</x:v>
      </x:c>
      <x:c r="B16" t="str">
        <x:v>Jan 2025</x:v>
      </x:c>
      <x:c r="C16" t="str">
        <x:v>Actual</x:v>
      </x:c>
      <x:c r="D16" t="str">
        <x:v>DB-101</x:v>
      </x:c>
      <x:c r="E16" t="str">
        <x:v>AeroSip Bottle</x:v>
      </x:c>
      <x:c r="F16" t="str">
        <x:v>Wholesale</x:v>
      </x:c>
      <x:c r="G16" t="str">
        <x:v>Retailer</x:v>
      </x:c>
      <x:c r="H16" t="str">
        <x:v>Canada</x:v>
      </x:c>
      <x:c r="I16" s="34" t="n">
        <x:v>11.200000000000001</x:v>
      </x:c>
      <x:c r="J16" s="38" t="n">
        <x:v>0.20161960000000004</x:v>
      </x:c>
      <x:c r="K16" s="38" t="n">
        <x:v>0.04497640000000002</x:v>
      </x:c>
      <x:c r="L16" s="28" t="n">
        <x:v>0.223075534323052</x:v>
      </x:c>
    </x:row>
    <x:row r="17">
      <x:c r="A17" s="32" t="n">
        <x:v>45658</x:v>
      </x:c>
      <x:c r="B17" t="str">
        <x:v>Jan 2025</x:v>
      </x:c>
      <x:c r="C17" t="str">
        <x:v>Actual</x:v>
      </x:c>
      <x:c r="D17" t="str">
        <x:v>DB-101</x:v>
      </x:c>
      <x:c r="E17" t="str">
        <x:v>AeroSip Bottle</x:v>
      </x:c>
      <x:c r="F17" t="str">
        <x:v>TikTok Shop</x:v>
      </x:c>
      <x:c r="G17" t="str">
        <x:v>Social Commerce</x:v>
      </x:c>
      <x:c r="H17" t="str">
        <x:v>US West</x:v>
      </x:c>
      <x:c r="I17" s="34" t="n">
        <x:v>58.14000000000001</x:v>
      </x:c>
      <x:c r="J17" s="38" t="n">
        <x:v>1.4169648240000001</x:v>
      </x:c>
      <x:c r="K17" s="38" t="n">
        <x:v>0.2625909146640001</x:v>
      </x:c>
      <x:c r="L17" s="28" t="n">
        <x:v>0.18531928966501998</x:v>
      </x:c>
    </x:row>
    <x:row r="18">
      <x:c r="A18" s="32" t="n">
        <x:v>45658</x:v>
      </x:c>
      <x:c r="B18" t="str">
        <x:v>Jan 2025</x:v>
      </x:c>
      <x:c r="C18" t="str">
        <x:v>Actual</x:v>
      </x:c>
      <x:c r="D18" t="str">
        <x:v>DB-101</x:v>
      </x:c>
      <x:c r="E18" t="str">
        <x:v>AeroSip Bottle</x:v>
      </x:c>
      <x:c r="F18" t="str">
        <x:v>TikTok Shop</x:v>
      </x:c>
      <x:c r="G18" t="str">
        <x:v>Social Commerce</x:v>
      </x:c>
      <x:c r="H18" t="str">
        <x:v>US Central</x:v>
      </x:c>
      <x:c r="I18" s="34" t="n">
        <x:v>41.04</x:v>
      </x:c>
      <x:c r="J18" s="38" t="n">
        <x:v>1.000210464</x:v>
      </x:c>
      <x:c r="K18" s="38" t="n">
        <x:v>0.18535829270400006</x:v>
      </x:c>
      <x:c r="L18" s="28" t="n">
        <x:v>0.18531928966502</x:v>
      </x:c>
    </x:row>
    <x:row r="19">
      <x:c r="A19" s="32" t="n">
        <x:v>45658</x:v>
      </x:c>
      <x:c r="B19" t="str">
        <x:v>Jan 2025</x:v>
      </x:c>
      <x:c r="C19" t="str">
        <x:v>Actual</x:v>
      </x:c>
      <x:c r="D19" t="str">
        <x:v>DB-101</x:v>
      </x:c>
      <x:c r="E19" t="str">
        <x:v>AeroSip Bottle</x:v>
      </x:c>
      <x:c r="F19" t="str">
        <x:v>TikTok Shop</x:v>
      </x:c>
      <x:c r="G19" t="str">
        <x:v>Social Commerce</x:v>
      </x:c>
      <x:c r="H19" t="str">
        <x:v>US East</x:v>
      </x:c>
      <x:c r="I19" s="34" t="n">
        <x:v>54.72</x:v>
      </x:c>
      <x:c r="J19" s="38" t="n">
        <x:v>1.333613952</x:v>
      </x:c>
      <x:c r="K19" s="38" t="n">
        <x:v>0.24714439027200008</x:v>
      </x:c>
      <x:c r="L19" s="28" t="n">
        <x:v>0.18531928966501998</x:v>
      </x:c>
    </x:row>
    <x:row r="20">
      <x:c r="A20" s="32" t="n">
        <x:v>45658</x:v>
      </x:c>
      <x:c r="B20" t="str">
        <x:v>Jan 2025</x:v>
      </x:c>
      <x:c r="C20" t="str">
        <x:v>Actual</x:v>
      </x:c>
      <x:c r="D20" t="str">
        <x:v>DB-101</x:v>
      </x:c>
      <x:c r="E20" t="str">
        <x:v>AeroSip Bottle</x:v>
      </x:c>
      <x:c r="F20" t="str">
        <x:v>TikTok Shop</x:v>
      </x:c>
      <x:c r="G20" t="str">
        <x:v>Social Commerce</x:v>
      </x:c>
      <x:c r="H20" t="str">
        <x:v>Canada</x:v>
      </x:c>
      <x:c r="I20" s="34" t="n">
        <x:v>17.1</x:v>
      </x:c>
      <x:c r="J20" s="38" t="n">
        <x:v>0.41675436000000005</x:v>
      </x:c>
      <x:c r="K20" s="38" t="n">
        <x:v>0.07723262196000003</x:v>
      </x:c>
      <x:c r="L20" s="28" t="n">
        <x:v>0.18531928966501998</x:v>
      </x:c>
    </x:row>
    <x:row r="21">
      <x:c r="A21" s="32" t="n">
        <x:v>45658</x:v>
      </x:c>
      <x:c r="B21" t="str">
        <x:v>Jan 2025</x:v>
      </x:c>
      <x:c r="C21" t="str">
        <x:v>Actual</x:v>
      </x:c>
      <x:c r="D21" t="str">
        <x:v>DB-102</x:v>
      </x:c>
      <x:c r="E21" t="str">
        <x:v>GlowPatch Balm</x:v>
      </x:c>
      <x:c r="F21" t="str">
        <x:v>Shopify DTC</x:v>
      </x:c>
      <x:c r="G21" t="str">
        <x:v>Consumer</x:v>
      </x:c>
      <x:c r="H21" t="str">
        <x:v>US West</x:v>
      </x:c>
      <x:c r="I21" s="34" t="n">
        <x:v>231.20000000000002</x:v>
      </x:c>
      <x:c r="J21" s="38" t="n">
        <x:v>3.7329552</x:v>
      </x:c>
      <x:c r="K21" s="38" t="n">
        <x:v>1.0315602992</x:v>
      </x:c>
      <x:c r="L21" s="28" t="n">
        <x:v>0.27633878359965314</x:v>
      </x:c>
    </x:row>
    <x:row r="22">
      <x:c r="A22" s="32" t="n">
        <x:v>45658</x:v>
      </x:c>
      <x:c r="B22" t="str">
        <x:v>Jan 2025</x:v>
      </x:c>
      <x:c r="C22" t="str">
        <x:v>Actual</x:v>
      </x:c>
      <x:c r="D22" t="str">
        <x:v>DB-102</x:v>
      </x:c>
      <x:c r="E22" t="str">
        <x:v>GlowPatch Balm</x:v>
      </x:c>
      <x:c r="F22" t="str">
        <x:v>Shopify DTC</x:v>
      </x:c>
      <x:c r="G22" t="str">
        <x:v>Consumer</x:v>
      </x:c>
      <x:c r="H22" t="str">
        <x:v>US Central</x:v>
      </x:c>
      <x:c r="I22" s="34" t="n">
        <x:v>163.2</x:v>
      </x:c>
      <x:c r="J22" s="38" t="n">
        <x:v>2.6350271999999997</x:v>
      </x:c>
      <x:c r="K22" s="38" t="n">
        <x:v>0.7281602111999999</x:v>
      </x:c>
      <x:c r="L22" s="28" t="n">
        <x:v>0.27633878359965314</x:v>
      </x:c>
    </x:row>
    <x:row r="23">
      <x:c r="A23" s="32" t="n">
        <x:v>45658</x:v>
      </x:c>
      <x:c r="B23" t="str">
        <x:v>Jan 2025</x:v>
      </x:c>
      <x:c r="C23" t="str">
        <x:v>Actual</x:v>
      </x:c>
      <x:c r="D23" t="str">
        <x:v>DB-102</x:v>
      </x:c>
      <x:c r="E23" t="str">
        <x:v>GlowPatch Balm</x:v>
      </x:c>
      <x:c r="F23" t="str">
        <x:v>Shopify DTC</x:v>
      </x:c>
      <x:c r="G23" t="str">
        <x:v>Consumer</x:v>
      </x:c>
      <x:c r="H23" t="str">
        <x:v>US East</x:v>
      </x:c>
      <x:c r="I23" s="34" t="n">
        <x:v>217.6</x:v>
      </x:c>
      <x:c r="J23" s="38" t="n">
        <x:v>3.5133696</x:v>
      </x:c>
      <x:c r="K23" s="38" t="n">
        <x:v>0.9708802815999998</x:v>
      </x:c>
      <x:c r="L23" s="28" t="n">
        <x:v>0.27633878359965314</x:v>
      </x:c>
    </x:row>
    <x:row r="24">
      <x:c r="A24" s="32" t="n">
        <x:v>45658</x:v>
      </x:c>
      <x:c r="B24" t="str">
        <x:v>Jan 2025</x:v>
      </x:c>
      <x:c r="C24" t="str">
        <x:v>Actual</x:v>
      </x:c>
      <x:c r="D24" t="str">
        <x:v>DB-102</x:v>
      </x:c>
      <x:c r="E24" t="str">
        <x:v>GlowPatch Balm</x:v>
      </x:c>
      <x:c r="F24" t="str">
        <x:v>Shopify DTC</x:v>
      </x:c>
      <x:c r="G24" t="str">
        <x:v>Consumer</x:v>
      </x:c>
      <x:c r="H24" t="str">
        <x:v>Canada</x:v>
      </x:c>
      <x:c r="I24" s="34" t="n">
        <x:v>68</x:v>
      </x:c>
      <x:c r="J24" s="38" t="n">
        <x:v>1.097928</x:v>
      </x:c>
      <x:c r="K24" s="38" t="n">
        <x:v>0.30340008799999996</x:v>
      </x:c>
      <x:c r="L24" s="28" t="n">
        <x:v>0.27633878359965314</x:v>
      </x:c>
    </x:row>
    <x:row r="25">
      <x:c r="A25" s="32" t="n">
        <x:v>45658</x:v>
      </x:c>
      <x:c r="B25" t="str">
        <x:v>Jan 2025</x:v>
      </x:c>
      <x:c r="C25" t="str">
        <x:v>Actual</x:v>
      </x:c>
      <x:c r="D25" t="str">
        <x:v>DB-102</x:v>
      </x:c>
      <x:c r="E25" t="str">
        <x:v>GlowPatch Balm</x:v>
      </x:c>
      <x:c r="F25" t="str">
        <x:v>Amazon Marketplace</x:v>
      </x:c>
      <x:c r="G25" t="str">
        <x:v>Marketplace Consumer</x:v>
      </x:c>
      <x:c r="H25" t="str">
        <x:v>US West</x:v>
      </x:c>
      <x:c r="I25" s="34" t="n">
        <x:v>136.68</x:v>
      </x:c>
      <x:c r="J25" s="38" t="n">
        <x:v>2.2787973</x:v>
      </x:c>
      <x:c r="K25" s="38" t="n">
        <x:v>0.19212082499999997</x:v>
      </x:c>
      <x:c r="L25" s="28" t="n">
        <x:v>0.08430799220272904</x:v>
      </x:c>
    </x:row>
    <x:row r="26">
      <x:c r="A26" s="32" t="n">
        <x:v>45658</x:v>
      </x:c>
      <x:c r="B26" t="str">
        <x:v>Jan 2025</x:v>
      </x:c>
      <x:c r="C26" t="str">
        <x:v>Actual</x:v>
      </x:c>
      <x:c r="D26" t="str">
        <x:v>DB-102</x:v>
      </x:c>
      <x:c r="E26" t="str">
        <x:v>GlowPatch Balm</x:v>
      </x:c>
      <x:c r="F26" t="str">
        <x:v>Amazon Marketplace</x:v>
      </x:c>
      <x:c r="G26" t="str">
        <x:v>Marketplace Consumer</x:v>
      </x:c>
      <x:c r="H26" t="str">
        <x:v>US Central</x:v>
      </x:c>
      <x:c r="I26" s="34" t="n">
        <x:v>96.47999999999999</x:v>
      </x:c>
      <x:c r="J26" s="38" t="n">
        <x:v>1.6085627999999998</x:v>
      </x:c>
      <x:c r="K26" s="38" t="n">
        <x:v>0.13561469999999995</x:v>
      </x:c>
      <x:c r="L26" s="28" t="n">
        <x:v>0.08430799220272903</x:v>
      </x:c>
    </x:row>
    <x:row r="27">
      <x:c r="A27" s="32" t="n">
        <x:v>45658</x:v>
      </x:c>
      <x:c r="B27" t="str">
        <x:v>Jan 2025</x:v>
      </x:c>
      <x:c r="C27" t="str">
        <x:v>Actual</x:v>
      </x:c>
      <x:c r="D27" t="str">
        <x:v>DB-102</x:v>
      </x:c>
      <x:c r="E27" t="str">
        <x:v>GlowPatch Balm</x:v>
      </x:c>
      <x:c r="F27" t="str">
        <x:v>Amazon Marketplace</x:v>
      </x:c>
      <x:c r="G27" t="str">
        <x:v>Marketplace Consumer</x:v>
      </x:c>
      <x:c r="H27" t="str">
        <x:v>US East</x:v>
      </x:c>
      <x:c r="I27" s="34" t="n">
        <x:v>128.64000000000001</x:v>
      </x:c>
      <x:c r="J27" s="38" t="n">
        <x:v>2.1447504</x:v>
      </x:c>
      <x:c r="K27" s="38" t="n">
        <x:v>0.18081959999999994</x:v>
      </x:c>
      <x:c r="L27" s="28" t="n">
        <x:v>0.08430799220272903</x:v>
      </x:c>
    </x:row>
    <x:row r="28">
      <x:c r="A28" s="32" t="n">
        <x:v>45658</x:v>
      </x:c>
      <x:c r="B28" t="str">
        <x:v>Jan 2025</x:v>
      </x:c>
      <x:c r="C28" t="str">
        <x:v>Actual</x:v>
      </x:c>
      <x:c r="D28" t="str">
        <x:v>DB-102</x:v>
      </x:c>
      <x:c r="E28" t="str">
        <x:v>GlowPatch Balm</x:v>
      </x:c>
      <x:c r="F28" t="str">
        <x:v>Amazon Marketplace</x:v>
      </x:c>
      <x:c r="G28" t="str">
        <x:v>Marketplace Consumer</x:v>
      </x:c>
      <x:c r="H28" t="str">
        <x:v>Canada</x:v>
      </x:c>
      <x:c r="I28" s="34" t="n">
        <x:v>40.2</x:v>
      </x:c>
      <x:c r="J28" s="38" t="n">
        <x:v>0.6702345</x:v>
      </x:c>
      <x:c r="K28" s="38" t="n">
        <x:v>0.05650612499999999</x:v>
      </x:c>
      <x:c r="L28" s="28" t="n">
        <x:v>0.08430799220272904</x:v>
      </x:c>
    </x:row>
    <x:row r="29">
      <x:c r="A29" s="32" t="n">
        <x:v>45658</x:v>
      </x:c>
      <x:c r="B29" t="str">
        <x:v>Jan 2025</x:v>
      </x:c>
      <x:c r="C29" t="str">
        <x:v>Actual</x:v>
      </x:c>
      <x:c r="D29" t="str">
        <x:v>DB-102</x:v>
      </x:c>
      <x:c r="E29" t="str">
        <x:v>GlowPatch Balm</x:v>
      </x:c>
      <x:c r="F29" t="str">
        <x:v>Wholesale</x:v>
      </x:c>
      <x:c r="G29" t="str">
        <x:v>Retailer</x:v>
      </x:c>
      <x:c r="H29" t="str">
        <x:v>US West</x:v>
      </x:c>
      <x:c r="I29" s="34" t="n">
        <x:v>38.080000000000005</x:v>
      </x:c>
      <x:c r="J29" s="38" t="n">
        <x:v>0.43439760000000005</x:v>
      </x:c>
      <x:c r="K29" s="38" t="n">
        <x:v>0.10820432000000002</x:v>
      </x:c>
      <x:c r="L29" s="28" t="n">
        <x:v>0.2490905106289722</x:v>
      </x:c>
    </x:row>
    <x:row r="30">
      <x:c r="A30" s="32" t="n">
        <x:v>45658</x:v>
      </x:c>
      <x:c r="B30" t="str">
        <x:v>Jan 2025</x:v>
      </x:c>
      <x:c r="C30" t="str">
        <x:v>Actual</x:v>
      </x:c>
      <x:c r="D30" t="str">
        <x:v>DB-102</x:v>
      </x:c>
      <x:c r="E30" t="str">
        <x:v>GlowPatch Balm</x:v>
      </x:c>
      <x:c r="F30" t="str">
        <x:v>Wholesale</x:v>
      </x:c>
      <x:c r="G30" t="str">
        <x:v>Retailer</x:v>
      </x:c>
      <x:c r="H30" t="str">
        <x:v>US Central</x:v>
      </x:c>
      <x:c r="I30" s="34" t="n">
        <x:v>26.88</x:v>
      </x:c>
      <x:c r="J30" s="38" t="n">
        <x:v>0.3066336</x:v>
      </x:c>
      <x:c r="K30" s="38" t="n">
        <x:v>0.07637952</x:v>
      </x:c>
      <x:c r="L30" s="28" t="n">
        <x:v>0.2490905106289722</x:v>
      </x:c>
    </x:row>
    <x:row r="31">
      <x:c r="A31" s="32" t="n">
        <x:v>45658</x:v>
      </x:c>
      <x:c r="B31" t="str">
        <x:v>Jan 2025</x:v>
      </x:c>
      <x:c r="C31" t="str">
        <x:v>Actual</x:v>
      </x:c>
      <x:c r="D31" t="str">
        <x:v>DB-102</x:v>
      </x:c>
      <x:c r="E31" t="str">
        <x:v>GlowPatch Balm</x:v>
      </x:c>
      <x:c r="F31" t="str">
        <x:v>Wholesale</x:v>
      </x:c>
      <x:c r="G31" t="str">
        <x:v>Retailer</x:v>
      </x:c>
      <x:c r="H31" t="str">
        <x:v>US East</x:v>
      </x:c>
      <x:c r="I31" s="34" t="n">
        <x:v>35.84</x:v>
      </x:c>
      <x:c r="J31" s="38" t="n">
        <x:v>0.40884480000000006</x:v>
      </x:c>
      <x:c r="K31" s="38" t="n">
        <x:v>0.10183936000000002</x:v>
      </x:c>
      <x:c r="L31" s="28" t="n">
        <x:v>0.24909051062897217</x:v>
      </x:c>
    </x:row>
    <x:row r="32">
      <x:c r="A32" s="32" t="n">
        <x:v>45658</x:v>
      </x:c>
      <x:c r="B32" t="str">
        <x:v>Jan 2025</x:v>
      </x:c>
      <x:c r="C32" t="str">
        <x:v>Actual</x:v>
      </x:c>
      <x:c r="D32" t="str">
        <x:v>DB-102</x:v>
      </x:c>
      <x:c r="E32" t="str">
        <x:v>GlowPatch Balm</x:v>
      </x:c>
      <x:c r="F32" t="str">
        <x:v>Wholesale</x:v>
      </x:c>
      <x:c r="G32" t="str">
        <x:v>Retailer</x:v>
      </x:c>
      <x:c r="H32" t="str">
        <x:v>Canada</x:v>
      </x:c>
      <x:c r="I32" s="34" t="n">
        <x:v>11.200000000000001</x:v>
      </x:c>
      <x:c r="J32" s="38" t="n">
        <x:v>0.12776400000000002</x:v>
      </x:c>
      <x:c r="K32" s="38" t="n">
        <x:v>0.03182480000000001</x:v>
      </x:c>
      <x:c r="L32" s="28" t="n">
        <x:v>0.2490905106289722</x:v>
      </x:c>
    </x:row>
    <x:row r="33">
      <x:c r="A33" s="32" t="n">
        <x:v>45658</x:v>
      </x:c>
      <x:c r="B33" t="str">
        <x:v>Jan 2025</x:v>
      </x:c>
      <x:c r="C33" t="str">
        <x:v>Actual</x:v>
      </x:c>
      <x:c r="D33" t="str">
        <x:v>DB-102</x:v>
      </x:c>
      <x:c r="E33" t="str">
        <x:v>GlowPatch Balm</x:v>
      </x:c>
      <x:c r="F33" t="str">
        <x:v>TikTok Shop</x:v>
      </x:c>
      <x:c r="G33" t="str">
        <x:v>Social Commerce</x:v>
      </x:c>
      <x:c r="H33" t="str">
        <x:v>US West</x:v>
      </x:c>
      <x:c r="I33" s="34" t="n">
        <x:v>58.480000000000004</x:v>
      </x:c>
      <x:c r="J33" s="38" t="n">
        <x:v>0.90316512</x:v>
      </x:c>
      <x:c r="K33" s="38" t="n">
        <x:v>0.10546774432000004</x:v>
      </x:c>
      <x:c r="L33" s="28" t="n">
        <x:v>0.11677570577570581</x:v>
      </x:c>
    </x:row>
    <x:row r="34">
      <x:c r="A34" s="32" t="n">
        <x:v>45658</x:v>
      </x:c>
      <x:c r="B34" t="str">
        <x:v>Jan 2025</x:v>
      </x:c>
      <x:c r="C34" t="str">
        <x:v>Actual</x:v>
      </x:c>
      <x:c r="D34" t="str">
        <x:v>DB-102</x:v>
      </x:c>
      <x:c r="E34" t="str">
        <x:v>GlowPatch Balm</x:v>
      </x:c>
      <x:c r="F34" t="str">
        <x:v>TikTok Shop</x:v>
      </x:c>
      <x:c r="G34" t="str">
        <x:v>Social Commerce</x:v>
      </x:c>
      <x:c r="H34" t="str">
        <x:v>US Central</x:v>
      </x:c>
      <x:c r="I34" s="34" t="n">
        <x:v>41.28</x:v>
      </x:c>
      <x:c r="J34" s="38" t="n">
        <x:v>0.63752832</x:v>
      </x:c>
      <x:c r="K34" s="38" t="n">
        <x:v>0.07444781952000001</x:v>
      </x:c>
      <x:c r="L34" s="28" t="n">
        <x:v>0.11677570577570578</x:v>
      </x:c>
    </x:row>
    <x:row r="35">
      <x:c r="A35" s="32" t="n">
        <x:v>45658</x:v>
      </x:c>
      <x:c r="B35" t="str">
        <x:v>Jan 2025</x:v>
      </x:c>
      <x:c r="C35" t="str">
        <x:v>Actual</x:v>
      </x:c>
      <x:c r="D35" t="str">
        <x:v>DB-102</x:v>
      </x:c>
      <x:c r="E35" t="str">
        <x:v>GlowPatch Balm</x:v>
      </x:c>
      <x:c r="F35" t="str">
        <x:v>TikTok Shop</x:v>
      </x:c>
      <x:c r="G35" t="str">
        <x:v>Social Commerce</x:v>
      </x:c>
      <x:c r="H35" t="str">
        <x:v>US East</x:v>
      </x:c>
      <x:c r="I35" s="34" t="n">
        <x:v>55.04</x:v>
      </x:c>
      <x:c r="J35" s="38" t="n">
        <x:v>0.8500377600000001</x:v>
      </x:c>
      <x:c r="K35" s="38" t="n">
        <x:v>0.09926375936000004</x:v>
      </x:c>
      <x:c r="L35" s="28" t="n">
        <x:v>0.11677570577570581</x:v>
      </x:c>
    </x:row>
    <x:row r="36">
      <x:c r="A36" s="32" t="n">
        <x:v>45658</x:v>
      </x:c>
      <x:c r="B36" t="str">
        <x:v>Jan 2025</x:v>
      </x:c>
      <x:c r="C36" t="str">
        <x:v>Actual</x:v>
      </x:c>
      <x:c r="D36" t="str">
        <x:v>DB-102</x:v>
      </x:c>
      <x:c r="E36" t="str">
        <x:v>GlowPatch Balm</x:v>
      </x:c>
      <x:c r="F36" t="str">
        <x:v>TikTok Shop</x:v>
      </x:c>
      <x:c r="G36" t="str">
        <x:v>Social Commerce</x:v>
      </x:c>
      <x:c r="H36" t="str">
        <x:v>Canada</x:v>
      </x:c>
      <x:c r="I36" s="34" t="n">
        <x:v>17.2</x:v>
      </x:c>
      <x:c r="J36" s="38" t="n">
        <x:v>0.2656368</x:v>
      </x:c>
      <x:c r="K36" s="38" t="n">
        <x:v>0.03101992480000001</x:v>
      </x:c>
      <x:c r="L36" s="28" t="n">
        <x:v>0.11677570577570581</x:v>
      </x:c>
    </x:row>
    <x:row r="37">
      <x:c r="A37" s="32" t="n">
        <x:v>45658</x:v>
      </x:c>
      <x:c r="B37" t="str">
        <x:v>Jan 2025</x:v>
      </x:c>
      <x:c r="C37" t="str">
        <x:v>Actual</x:v>
      </x:c>
      <x:c r="D37" t="str">
        <x:v>DB-103</x:v>
      </x:c>
      <x:c r="E37" t="str">
        <x:v>EmberTrail Camp Mug</x:v>
      </x:c>
      <x:c r="F37" t="str">
        <x:v>Shopify DTC</x:v>
      </x:c>
      <x:c r="G37" t="str">
        <x:v>Consumer</x:v>
      </x:c>
      <x:c r="H37" t="str">
        <x:v>US West</x:v>
      </x:c>
      <x:c r="I37" s="34" t="n">
        <x:v>184.28</x:v>
      </x:c>
      <x:c r="J37" s="38" t="n">
        <x:v>5.447243088</x:v>
      </x:c>
      <x:c r="K37" s="38" t="n">
        <x:v>1.6910217584479996</x:v>
      </x:c>
      <x:c r="L37" s="28" t="n">
        <x:v>0.31043625759482535</x:v>
      </x:c>
    </x:row>
    <x:row r="38">
      <x:c r="A38" s="32" t="n">
        <x:v>45658</x:v>
      </x:c>
      <x:c r="B38" t="str">
        <x:v>Jan 2025</x:v>
      </x:c>
      <x:c r="C38" t="str">
        <x:v>Actual</x:v>
      </x:c>
      <x:c r="D38" t="str">
        <x:v>DB-103</x:v>
      </x:c>
      <x:c r="E38" t="str">
        <x:v>EmberTrail Camp Mug</x:v>
      </x:c>
      <x:c r="F38" t="str">
        <x:v>Shopify DTC</x:v>
      </x:c>
      <x:c r="G38" t="str">
        <x:v>Consumer</x:v>
      </x:c>
      <x:c r="H38" t="str">
        <x:v>US Central</x:v>
      </x:c>
      <x:c r="I38" s="34" t="n">
        <x:v>130.07999999999998</x:v>
      </x:c>
      <x:c r="J38" s="38" t="n">
        <x:v>3.8451127679999995</x:v>
      </x:c>
      <x:c r="K38" s="38" t="n">
        <x:v>1.1936624177279995</x:v>
      </x:c>
      <x:c r="L38" s="28" t="n">
        <x:v>0.3104362575948253</x:v>
      </x:c>
    </x:row>
    <x:row r="39">
      <x:c r="A39" s="32" t="n">
        <x:v>45658</x:v>
      </x:c>
      <x:c r="B39" t="str">
        <x:v>Jan 2025</x:v>
      </x:c>
      <x:c r="C39" t="str">
        <x:v>Actual</x:v>
      </x:c>
      <x:c r="D39" t="str">
        <x:v>DB-103</x:v>
      </x:c>
      <x:c r="E39" t="str">
        <x:v>EmberTrail Camp Mug</x:v>
      </x:c>
      <x:c r="F39" t="str">
        <x:v>Shopify DTC</x:v>
      </x:c>
      <x:c r="G39" t="str">
        <x:v>Consumer</x:v>
      </x:c>
      <x:c r="H39" t="str">
        <x:v>US East</x:v>
      </x:c>
      <x:c r="I39" s="34" t="n">
        <x:v>173.44</x:v>
      </x:c>
      <x:c r="J39" s="38" t="n">
        <x:v>5.126817023999999</x:v>
      </x:c>
      <x:c r="K39" s="38" t="n">
        <x:v>1.5915498903039995</x:v>
      </x:c>
      <x:c r="L39" s="28" t="n">
        <x:v>0.3104362575948253</x:v>
      </x:c>
    </x:row>
    <x:row r="40">
      <x:c r="A40" s="32" t="n">
        <x:v>45658</x:v>
      </x:c>
      <x:c r="B40" t="str">
        <x:v>Jan 2025</x:v>
      </x:c>
      <x:c r="C40" t="str">
        <x:v>Actual</x:v>
      </x:c>
      <x:c r="D40" t="str">
        <x:v>DB-103</x:v>
      </x:c>
      <x:c r="E40" t="str">
        <x:v>EmberTrail Camp Mug</x:v>
      </x:c>
      <x:c r="F40" t="str">
        <x:v>Shopify DTC</x:v>
      </x:c>
      <x:c r="G40" t="str">
        <x:v>Consumer</x:v>
      </x:c>
      <x:c r="H40" t="str">
        <x:v>Canada</x:v>
      </x:c>
      <x:c r="I40" s="34" t="n">
        <x:v>54.2</x:v>
      </x:c>
      <x:c r="J40" s="38" t="n">
        <x:v>1.6021303199999999</x:v>
      </x:c>
      <x:c r="K40" s="38" t="n">
        <x:v>0.4973593407199999</x:v>
      </x:c>
      <x:c r="L40" s="28" t="n">
        <x:v>0.3104362575948253</x:v>
      </x:c>
    </x:row>
    <x:row r="41">
      <x:c r="A41" s="32" t="n">
        <x:v>45658</x:v>
      </x:c>
      <x:c r="B41" t="str">
        <x:v>Jan 2025</x:v>
      </x:c>
      <x:c r="C41" t="str">
        <x:v>Actual</x:v>
      </x:c>
      <x:c r="D41" t="str">
        <x:v>DB-103</x:v>
      </x:c>
      <x:c r="E41" t="str">
        <x:v>EmberTrail Camp Mug</x:v>
      </x:c>
      <x:c r="F41" t="str">
        <x:v>Amazon Marketplace</x:v>
      </x:c>
      <x:c r="G41" t="str">
        <x:v>Marketplace Consumer</x:v>
      </x:c>
      <x:c r="H41" t="str">
        <x:v>US West</x:v>
      </x:c>
      <x:c r="I41" s="34" t="n">
        <x:v>109.14000000000001</x:v>
      </x:c>
      <x:c r="J41" s="38" t="n">
        <x:v>3.3313347900000005</x:v>
      </x:c>
      <x:c r="K41" s="38" t="n">
        <x:v>0.5313999315000005</x:v>
      </x:c>
      <x:c r="L41" s="28" t="n">
        <x:v>0.15951561911314247</x:v>
      </x:c>
    </x:row>
    <x:row r="42">
      <x:c r="A42" s="32" t="n">
        <x:v>45658</x:v>
      </x:c>
      <x:c r="B42" t="str">
        <x:v>Jan 2025</x:v>
      </x:c>
      <x:c r="C42" t="str">
        <x:v>Actual</x:v>
      </x:c>
      <x:c r="D42" t="str">
        <x:v>DB-103</x:v>
      </x:c>
      <x:c r="E42" t="str">
        <x:v>EmberTrail Camp Mug</x:v>
      </x:c>
      <x:c r="F42" t="str">
        <x:v>Amazon Marketplace</x:v>
      </x:c>
      <x:c r="G42" t="str">
        <x:v>Marketplace Consumer</x:v>
      </x:c>
      <x:c r="H42" t="str">
        <x:v>US Central</x:v>
      </x:c>
      <x:c r="I42" s="34" t="n">
        <x:v>77.03999999999999</x:v>
      </x:c>
      <x:c r="J42" s="38" t="n">
        <x:v>2.35153044</x:v>
      </x:c>
      <x:c r="K42" s="38" t="n">
        <x:v>0.3751058340000003</x:v>
      </x:c>
      <x:c r="L42" s="28" t="n">
        <x:v>0.15951561911314247</x:v>
      </x:c>
    </x:row>
    <x:row r="43">
      <x:c r="A43" s="32" t="n">
        <x:v>45658</x:v>
      </x:c>
      <x:c r="B43" t="str">
        <x:v>Jan 2025</x:v>
      </x:c>
      <x:c r="C43" t="str">
        <x:v>Actual</x:v>
      </x:c>
      <x:c r="D43" t="str">
        <x:v>DB-103</x:v>
      </x:c>
      <x:c r="E43" t="str">
        <x:v>EmberTrail Camp Mug</x:v>
      </x:c>
      <x:c r="F43" t="str">
        <x:v>Amazon Marketplace</x:v>
      </x:c>
      <x:c r="G43" t="str">
        <x:v>Marketplace Consumer</x:v>
      </x:c>
      <x:c r="H43" t="str">
        <x:v>US East</x:v>
      </x:c>
      <x:c r="I43" s="34" t="n">
        <x:v>102.72</x:v>
      </x:c>
      <x:c r="J43" s="38" t="n">
        <x:v>3.13537392</x:v>
      </x:c>
      <x:c r="K43" s="38" t="n">
        <x:v>0.5001411120000004</x:v>
      </x:c>
      <x:c r="L43" s="28" t="n">
        <x:v>0.15951561911314247</x:v>
      </x:c>
    </x:row>
    <x:row r="44">
      <x:c r="A44" s="32" t="n">
        <x:v>45658</x:v>
      </x:c>
      <x:c r="B44" t="str">
        <x:v>Jan 2025</x:v>
      </x:c>
      <x:c r="C44" t="str">
        <x:v>Actual</x:v>
      </x:c>
      <x:c r="D44" t="str">
        <x:v>DB-103</x:v>
      </x:c>
      <x:c r="E44" t="str">
        <x:v>EmberTrail Camp Mug</x:v>
      </x:c>
      <x:c r="F44" t="str">
        <x:v>Amazon Marketplace</x:v>
      </x:c>
      <x:c r="G44" t="str">
        <x:v>Marketplace Consumer</x:v>
      </x:c>
      <x:c r="H44" t="str">
        <x:v>Canada</x:v>
      </x:c>
      <x:c r="I44" s="34" t="n">
        <x:v>32.1</x:v>
      </x:c>
      <x:c r="J44" s="38" t="n">
        <x:v>0.9798043500000001</x:v>
      </x:c>
      <x:c r="K44" s="38" t="n">
        <x:v>0.15629409750000015</x:v>
      </x:c>
      <x:c r="L44" s="28" t="n">
        <x:v>0.15951561911314247</x:v>
      </x:c>
    </x:row>
    <x:row r="45">
      <x:c r="A45" s="32" t="n">
        <x:v>45658</x:v>
      </x:c>
      <x:c r="B45" t="str">
        <x:v>Jan 2025</x:v>
      </x:c>
      <x:c r="C45" t="str">
        <x:v>Actual</x:v>
      </x:c>
      <x:c r="D45" t="str">
        <x:v>DB-103</x:v>
      </x:c>
      <x:c r="E45" t="str">
        <x:v>EmberTrail Camp Mug</x:v>
      </x:c>
      <x:c r="F45" t="str">
        <x:v>Wholesale</x:v>
      </x:c>
      <x:c r="G45" t="str">
        <x:v>Retailer</x:v>
      </x:c>
      <x:c r="H45" t="str">
        <x:v>US West</x:v>
      </x:c>
      <x:c r="I45" s="34" t="n">
        <x:v>30.26</x:v>
      </x:c>
      <x:c r="J45" s="38" t="n">
        <x:v>0.6319649700000001</x:v>
      </x:c>
      <x:c r="K45" s="38" t="n">
        <x:v>0.12129721000000002</x:v>
      </x:c>
      <x:c r="L45" s="28" t="n">
        <x:v>0.19193660370130958</x:v>
      </x:c>
    </x:row>
    <x:row r="46">
      <x:c r="A46" s="32" t="n">
        <x:v>45658</x:v>
      </x:c>
      <x:c r="B46" t="str">
        <x:v>Jan 2025</x:v>
      </x:c>
      <x:c r="C46" t="str">
        <x:v>Actual</x:v>
      </x:c>
      <x:c r="D46" t="str">
        <x:v>DB-103</x:v>
      </x:c>
      <x:c r="E46" t="str">
        <x:v>EmberTrail Camp Mug</x:v>
      </x:c>
      <x:c r="F46" t="str">
        <x:v>Wholesale</x:v>
      </x:c>
      <x:c r="G46" t="str">
        <x:v>Retailer</x:v>
      </x:c>
      <x:c r="H46" t="str">
        <x:v>US Central</x:v>
      </x:c>
      <x:c r="I46" s="34" t="n">
        <x:v>21.36</x:v>
      </x:c>
      <x:c r="J46" s="38" t="n">
        <x:v>0.44609292</x:v>
      </x:c>
      <x:c r="K46" s="38" t="n">
        <x:v>0.08562156</x:v>
      </x:c>
      <x:c r="L46" s="28" t="n">
        <x:v>0.19193660370130958</x:v>
      </x:c>
    </x:row>
    <x:row r="47">
      <x:c r="A47" s="32" t="n">
        <x:v>45658</x:v>
      </x:c>
      <x:c r="B47" t="str">
        <x:v>Jan 2025</x:v>
      </x:c>
      <x:c r="C47" t="str">
        <x:v>Actual</x:v>
      </x:c>
      <x:c r="D47" t="str">
        <x:v>DB-103</x:v>
      </x:c>
      <x:c r="E47" t="str">
        <x:v>EmberTrail Camp Mug</x:v>
      </x:c>
      <x:c r="F47" t="str">
        <x:v>Wholesale</x:v>
      </x:c>
      <x:c r="G47" t="str">
        <x:v>Retailer</x:v>
      </x:c>
      <x:c r="H47" t="str">
        <x:v>US East</x:v>
      </x:c>
      <x:c r="I47" s="34" t="n">
        <x:v>28.48</x:v>
      </x:c>
      <x:c r="J47" s="38" t="n">
        <x:v>0.59479056</x:v>
      </x:c>
      <x:c r="K47" s="38" t="n">
        <x:v>0.11416208000000001</x:v>
      </x:c>
      <x:c r="L47" s="28" t="n">
        <x:v>0.1919366037013096</x:v>
      </x:c>
    </x:row>
    <x:row r="48">
      <x:c r="A48" s="32" t="n">
        <x:v>45658</x:v>
      </x:c>
      <x:c r="B48" t="str">
        <x:v>Jan 2025</x:v>
      </x:c>
      <x:c r="C48" t="str">
        <x:v>Actual</x:v>
      </x:c>
      <x:c r="D48" t="str">
        <x:v>DB-103</x:v>
      </x:c>
      <x:c r="E48" t="str">
        <x:v>EmberTrail Camp Mug</x:v>
      </x:c>
      <x:c r="F48" t="str">
        <x:v>Wholesale</x:v>
      </x:c>
      <x:c r="G48" t="str">
        <x:v>Retailer</x:v>
      </x:c>
      <x:c r="H48" t="str">
        <x:v>Canada</x:v>
      </x:c>
      <x:c r="I48" s="34" t="n">
        <x:v>8.9</x:v>
      </x:c>
      <x:c r="J48" s="38" t="n">
        <x:v>0.18587205</x:v>
      </x:c>
      <x:c r="K48" s="38" t="n">
        <x:v>0.03567565</x:v>
      </x:c>
      <x:c r="L48" s="28" t="n">
        <x:v>0.19193660370130958</x:v>
      </x:c>
    </x:row>
    <x:row r="49">
      <x:c r="A49" s="32" t="n">
        <x:v>45658</x:v>
      </x:c>
      <x:c r="B49" t="str">
        <x:v>Jan 2025</x:v>
      </x:c>
      <x:c r="C49" t="str">
        <x:v>Actual</x:v>
      </x:c>
      <x:c r="D49" t="str">
        <x:v>DB-103</x:v>
      </x:c>
      <x:c r="E49" t="str">
        <x:v>EmberTrail Camp Mug</x:v>
      </x:c>
      <x:c r="F49" t="str">
        <x:v>TikTok Shop</x:v>
      </x:c>
      <x:c r="G49" t="str">
        <x:v>Social Commerce</x:v>
      </x:c>
      <x:c r="H49" t="str">
        <x:v>US West</x:v>
      </x:c>
      <x:c r="I49" s="34" t="n">
        <x:v>46.24</x:v>
      </x:c>
      <x:c r="J49" s="38" t="n">
        <x:v>1.3074082560000002</x:v>
      </x:c>
      <x:c r="K49" s="38" t="n">
        <x:v>0.23961468121600013</x:v>
      </x:c>
      <x:c r="L49" s="28" t="n">
        <x:v>0.1832745663922135</x:v>
      </x:c>
    </x:row>
    <x:row r="50">
      <x:c r="A50" s="32" t="n">
        <x:v>45658</x:v>
      </x:c>
      <x:c r="B50" t="str">
        <x:v>Jan 2025</x:v>
      </x:c>
      <x:c r="C50" t="str">
        <x:v>Actual</x:v>
      </x:c>
      <x:c r="D50" t="str">
        <x:v>DB-103</x:v>
      </x:c>
      <x:c r="E50" t="str">
        <x:v>EmberTrail Camp Mug</x:v>
      </x:c>
      <x:c r="F50" t="str">
        <x:v>TikTok Shop</x:v>
      </x:c>
      <x:c r="G50" t="str">
        <x:v>Social Commerce</x:v>
      </x:c>
      <x:c r="H50" t="str">
        <x:v>US Central</x:v>
      </x:c>
      <x:c r="I50" s="34" t="n">
        <x:v>32.64</x:v>
      </x:c>
      <x:c r="J50" s="38" t="n">
        <x:v>0.9228764159999999</x:v>
      </x:c>
      <x:c r="K50" s="38" t="n">
        <x:v>0.16913977497600008</x:v>
      </x:c>
      <x:c r="L50" s="28" t="n">
        <x:v>0.18327456639221354</x:v>
      </x:c>
    </x:row>
    <x:row r="51">
      <x:c r="A51" s="32" t="n">
        <x:v>45658</x:v>
      </x:c>
      <x:c r="B51" t="str">
        <x:v>Jan 2025</x:v>
      </x:c>
      <x:c r="C51" t="str">
        <x:v>Actual</x:v>
      </x:c>
      <x:c r="D51" t="str">
        <x:v>DB-103</x:v>
      </x:c>
      <x:c r="E51" t="str">
        <x:v>EmberTrail Camp Mug</x:v>
      </x:c>
      <x:c r="F51" t="str">
        <x:v>TikTok Shop</x:v>
      </x:c>
      <x:c r="G51" t="str">
        <x:v>Social Commerce</x:v>
      </x:c>
      <x:c r="H51" t="str">
        <x:v>US East</x:v>
      </x:c>
      <x:c r="I51" s="34" t="n">
        <x:v>43.52</x:v>
      </x:c>
      <x:c r="J51" s="38" t="n">
        <x:v>1.230501888</x:v>
      </x:c>
      <x:c r="K51" s="38" t="n">
        <x:v>0.22551969996800011</x:v>
      </x:c>
      <x:c r="L51" s="28" t="n">
        <x:v>0.18327456639221354</x:v>
      </x:c>
    </x:row>
    <x:row r="52">
      <x:c r="A52" s="32" t="n">
        <x:v>45658</x:v>
      </x:c>
      <x:c r="B52" t="str">
        <x:v>Jan 2025</x:v>
      </x:c>
      <x:c r="C52" t="str">
        <x:v>Actual</x:v>
      </x:c>
      <x:c r="D52" t="str">
        <x:v>DB-103</x:v>
      </x:c>
      <x:c r="E52" t="str">
        <x:v>EmberTrail Camp Mug</x:v>
      </x:c>
      <x:c r="F52" t="str">
        <x:v>TikTok Shop</x:v>
      </x:c>
      <x:c r="G52" t="str">
        <x:v>Social Commerce</x:v>
      </x:c>
      <x:c r="H52" t="str">
        <x:v>Canada</x:v>
      </x:c>
      <x:c r="I52" s="34" t="n">
        <x:v>13.600000000000001</x:v>
      </x:c>
      <x:c r="J52" s="38" t="n">
        <x:v>0.38453184</x:v>
      </x:c>
      <x:c r="K52" s="38" t="n">
        <x:v>0.07047490624000004</x:v>
      </x:c>
      <x:c r="L52" s="28" t="n">
        <x:v>0.18327456639221354</x:v>
      </x:c>
    </x:row>
    <x:row r="53">
      <x:c r="A53" s="32" t="n">
        <x:v>45658</x:v>
      </x:c>
      <x:c r="B53" t="str">
        <x:v>Jan 2025</x:v>
      </x:c>
      <x:c r="C53" t="str">
        <x:v>Actual</x:v>
      </x:c>
      <x:c r="D53" t="str">
        <x:v>DB-104</x:v>
      </x:c>
      <x:c r="E53" t="str">
        <x:v>SunNest Cooling Towel</x:v>
      </x:c>
      <x:c r="F53" t="str">
        <x:v>Shopify DTC</x:v>
      </x:c>
      <x:c r="G53" t="str">
        <x:v>Consumer</x:v>
      </x:c>
      <x:c r="H53" t="str">
        <x:v>US West</x:v>
      </x:c>
      <x:c r="I53" s="34" t="n">
        <x:v>109.48</x:v>
      </x:c>
      <x:c r="J53" s="38" t="n">
        <x:v>4.01879184</x:v>
      </x:c>
      <x:c r="K53" s="38" t="n">
        <x:v>1.6165234366400003</x:v>
      </x:c>
      <x:c r="L53" s="28" t="n">
        <x:v>0.4022411463441213</x:v>
      </x:c>
    </x:row>
    <x:row r="54">
      <x:c r="A54" s="32" t="n">
        <x:v>45658</x:v>
      </x:c>
      <x:c r="B54" t="str">
        <x:v>Jan 2025</x:v>
      </x:c>
      <x:c r="C54" t="str">
        <x:v>Actual</x:v>
      </x:c>
      <x:c r="D54" t="str">
        <x:v>DB-104</x:v>
      </x:c>
      <x:c r="E54" t="str">
        <x:v>SunNest Cooling Towel</x:v>
      </x:c>
      <x:c r="F54" t="str">
        <x:v>Shopify DTC</x:v>
      </x:c>
      <x:c r="G54" t="str">
        <x:v>Consumer</x:v>
      </x:c>
      <x:c r="H54" t="str">
        <x:v>US Central</x:v>
      </x:c>
      <x:c r="I54" s="34" t="n">
        <x:v>77.28</x:v>
      </x:c>
      <x:c r="J54" s="38" t="n">
        <x:v>2.8367942399999997</x:v>
      </x:c>
      <x:c r="K54" s="38" t="n">
        <x:v>1.1410753670400002</x:v>
      </x:c>
      <x:c r="L54" s="28" t="n">
        <x:v>0.4022411463441213</x:v>
      </x:c>
    </x:row>
    <x:row r="55">
      <x:c r="A55" s="32" t="n">
        <x:v>45658</x:v>
      </x:c>
      <x:c r="B55" t="str">
        <x:v>Jan 2025</x:v>
      </x:c>
      <x:c r="C55" t="str">
        <x:v>Actual</x:v>
      </x:c>
      <x:c r="D55" t="str">
        <x:v>DB-104</x:v>
      </x:c>
      <x:c r="E55" t="str">
        <x:v>SunNest Cooling Towel</x:v>
      </x:c>
      <x:c r="F55" t="str">
        <x:v>Shopify DTC</x:v>
      </x:c>
      <x:c r="G55" t="str">
        <x:v>Consumer</x:v>
      </x:c>
      <x:c r="H55" t="str">
        <x:v>US East</x:v>
      </x:c>
      <x:c r="I55" s="34" t="n">
        <x:v>103.04</x:v>
      </x:c>
      <x:c r="J55" s="38" t="n">
        <x:v>3.7823923199999996</x:v>
      </x:c>
      <x:c r="K55" s="38" t="n">
        <x:v>1.5214338227200004</x:v>
      </x:c>
      <x:c r="L55" s="28" t="n">
        <x:v>0.40224114634412134</x:v>
      </x:c>
    </x:row>
    <x:row r="56">
      <x:c r="A56" s="32" t="n">
        <x:v>45658</x:v>
      </x:c>
      <x:c r="B56" t="str">
        <x:v>Jan 2025</x:v>
      </x:c>
      <x:c r="C56" t="str">
        <x:v>Actual</x:v>
      </x:c>
      <x:c r="D56" t="str">
        <x:v>DB-104</x:v>
      </x:c>
      <x:c r="E56" t="str">
        <x:v>SunNest Cooling Towel</x:v>
      </x:c>
      <x:c r="F56" t="str">
        <x:v>Shopify DTC</x:v>
      </x:c>
      <x:c r="G56" t="str">
        <x:v>Consumer</x:v>
      </x:c>
      <x:c r="H56" t="str">
        <x:v>Canada</x:v>
      </x:c>
      <x:c r="I56" s="34" t="n">
        <x:v>32.2</x:v>
      </x:c>
      <x:c r="J56" s="38" t="n">
        <x:v>1.1819975999999999</x:v>
      </x:c>
      <x:c r="K56" s="38" t="n">
        <x:v>0.4754480696000001</x:v>
      </x:c>
      <x:c r="L56" s="28" t="n">
        <x:v>0.4022411463441213</x:v>
      </x:c>
    </x:row>
    <x:row r="57">
      <x:c r="A57" s="32" t="n">
        <x:v>45658</x:v>
      </x:c>
      <x:c r="B57" t="str">
        <x:v>Jan 2025</x:v>
      </x:c>
      <x:c r="C57" t="str">
        <x:v>Actual</x:v>
      </x:c>
      <x:c r="D57" t="str">
        <x:v>DB-104</x:v>
      </x:c>
      <x:c r="E57" t="str">
        <x:v>SunNest Cooling Towel</x:v>
      </x:c>
      <x:c r="F57" t="str">
        <x:v>Amazon Marketplace</x:v>
      </x:c>
      <x:c r="G57" t="str">
        <x:v>Marketplace Consumer</x:v>
      </x:c>
      <x:c r="H57" t="str">
        <x:v>US West</x:v>
      </x:c>
      <x:c r="I57" s="34" t="n">
        <x:v>64.60000000000001</x:v>
      </x:c>
      <x:c r="J57" s="38" t="n">
        <x:v>2.4486630000000003</x:v>
      </x:c>
      <x:c r="K57" s="38" t="n">
        <x:v>0.63251475</x:v>
      </x:c>
      <x:c r="L57" s="28" t="n">
        <x:v>0.2583102493074792</x:v>
      </x:c>
    </x:row>
    <x:row r="58">
      <x:c r="A58" s="32" t="n">
        <x:v>45658</x:v>
      </x:c>
      <x:c r="B58" t="str">
        <x:v>Jan 2025</x:v>
      </x:c>
      <x:c r="C58" t="str">
        <x:v>Actual</x:v>
      </x:c>
      <x:c r="D58" t="str">
        <x:v>DB-104</x:v>
      </x:c>
      <x:c r="E58" t="str">
        <x:v>SunNest Cooling Towel</x:v>
      </x:c>
      <x:c r="F58" t="str">
        <x:v>Amazon Marketplace</x:v>
      </x:c>
      <x:c r="G58" t="str">
        <x:v>Marketplace Consumer</x:v>
      </x:c>
      <x:c r="H58" t="str">
        <x:v>US Central</x:v>
      </x:c>
      <x:c r="I58" s="34" t="n">
        <x:v>45.6</x:v>
      </x:c>
      <x:c r="J58" s="38" t="n">
        <x:v>1.728468</x:v>
      </x:c>
      <x:c r="K58" s="38" t="n">
        <x:v>0.44648099999999996</x:v>
      </x:c>
      <x:c r="L58" s="28" t="n">
        <x:v>0.2583102493074792</x:v>
      </x:c>
    </x:row>
    <x:row r="59">
      <x:c r="A59" s="32" t="n">
        <x:v>45658</x:v>
      </x:c>
      <x:c r="B59" t="str">
        <x:v>Jan 2025</x:v>
      </x:c>
      <x:c r="C59" t="str">
        <x:v>Actual</x:v>
      </x:c>
      <x:c r="D59" t="str">
        <x:v>DB-104</x:v>
      </x:c>
      <x:c r="E59" t="str">
        <x:v>SunNest Cooling Towel</x:v>
      </x:c>
      <x:c r="F59" t="str">
        <x:v>Amazon Marketplace</x:v>
      </x:c>
      <x:c r="G59" t="str">
        <x:v>Marketplace Consumer</x:v>
      </x:c>
      <x:c r="H59" t="str">
        <x:v>US East</x:v>
      </x:c>
      <x:c r="I59" s="34" t="n">
        <x:v>60.800000000000004</x:v>
      </x:c>
      <x:c r="J59" s="38" t="n">
        <x:v>2.304624</x:v>
      </x:c>
      <x:c r="K59" s="38" t="n">
        <x:v>0.5953080000000001</x:v>
      </x:c>
      <x:c r="L59" s="28" t="n">
        <x:v>0.25831024930747926</x:v>
      </x:c>
    </x:row>
    <x:row r="60">
      <x:c r="A60" s="32" t="n">
        <x:v>45658</x:v>
      </x:c>
      <x:c r="B60" t="str">
        <x:v>Jan 2025</x:v>
      </x:c>
      <x:c r="C60" t="str">
        <x:v>Actual</x:v>
      </x:c>
      <x:c r="D60" t="str">
        <x:v>DB-104</x:v>
      </x:c>
      <x:c r="E60" t="str">
        <x:v>SunNest Cooling Towel</x:v>
      </x:c>
      <x:c r="F60" t="str">
        <x:v>Amazon Marketplace</x:v>
      </x:c>
      <x:c r="G60" t="str">
        <x:v>Marketplace Consumer</x:v>
      </x:c>
      <x:c r="H60" t="str">
        <x:v>Canada</x:v>
      </x:c>
      <x:c r="I60" s="34" t="n">
        <x:v>19</x:v>
      </x:c>
      <x:c r="J60" s="38" t="n">
        <x:v>0.720195</x:v>
      </x:c>
      <x:c r="K60" s="38" t="n">
        <x:v>0.18603375</x:v>
      </x:c>
      <x:c r="L60" s="28" t="n">
        <x:v>0.2583102493074792</x:v>
      </x:c>
    </x:row>
    <x:row r="61">
      <x:c r="A61" s="32" t="n">
        <x:v>45658</x:v>
      </x:c>
      <x:c r="B61" t="str">
        <x:v>Jan 2025</x:v>
      </x:c>
      <x:c r="C61" t="str">
        <x:v>Actual</x:v>
      </x:c>
      <x:c r="D61" t="str">
        <x:v>DB-104</x:v>
      </x:c>
      <x:c r="E61" t="str">
        <x:v>SunNest Cooling Towel</x:v>
      </x:c>
      <x:c r="F61" t="str">
        <x:v>Wholesale</x:v>
      </x:c>
      <x:c r="G61" t="str">
        <x:v>Retailer</x:v>
      </x:c>
      <x:c r="H61" t="str">
        <x:v>US West</x:v>
      </x:c>
      <x:c r="I61" s="34" t="n">
        <x:v>17.68</x:v>
      </x:c>
      <x:c r="J61" s="38" t="n">
        <x:v>0.45853080000000007</x:v>
      </x:c>
      <x:c r="K61" s="38" t="n">
        <x:v>0.13625976000000004</x:v>
      </x:c>
      <x:c r="L61" s="28" t="n">
        <x:v>0.29716599190283405</x:v>
      </x:c>
    </x:row>
    <x:row r="62">
      <x:c r="A62" s="32" t="n">
        <x:v>45658</x:v>
      </x:c>
      <x:c r="B62" t="str">
        <x:v>Jan 2025</x:v>
      </x:c>
      <x:c r="C62" t="str">
        <x:v>Actual</x:v>
      </x:c>
      <x:c r="D62" t="str">
        <x:v>DB-104</x:v>
      </x:c>
      <x:c r="E62" t="str">
        <x:v>SunNest Cooling Towel</x:v>
      </x:c>
      <x:c r="F62" t="str">
        <x:v>Wholesale</x:v>
      </x:c>
      <x:c r="G62" t="str">
        <x:v>Retailer</x:v>
      </x:c>
      <x:c r="H62" t="str">
        <x:v>US Central</x:v>
      </x:c>
      <x:c r="I62" s="34" t="n">
        <x:v>12.48</x:v>
      </x:c>
      <x:c r="J62" s="38" t="n">
        <x:v>0.32366880000000003</x:v>
      </x:c>
      <x:c r="K62" s="38" t="n">
        <x:v>0.09618336000000001</x:v>
      </x:c>
      <x:c r="L62" s="28" t="n">
        <x:v>0.297165991902834</x:v>
      </x:c>
    </x:row>
    <x:row r="63">
      <x:c r="A63" s="32" t="n">
        <x:v>45658</x:v>
      </x:c>
      <x:c r="B63" t="str">
        <x:v>Jan 2025</x:v>
      </x:c>
      <x:c r="C63" t="str">
        <x:v>Actual</x:v>
      </x:c>
      <x:c r="D63" t="str">
        <x:v>DB-104</x:v>
      </x:c>
      <x:c r="E63" t="str">
        <x:v>SunNest Cooling Towel</x:v>
      </x:c>
      <x:c r="F63" t="str">
        <x:v>Wholesale</x:v>
      </x:c>
      <x:c r="G63" t="str">
        <x:v>Retailer</x:v>
      </x:c>
      <x:c r="H63" t="str">
        <x:v>US East</x:v>
      </x:c>
      <x:c r="I63" s="34" t="n">
        <x:v>16.64</x:v>
      </x:c>
      <x:c r="J63" s="38" t="n">
        <x:v>0.43155840000000006</x:v>
      </x:c>
      <x:c r="K63" s="38" t="n">
        <x:v>0.12824448000000002</x:v>
      </x:c>
      <x:c r="L63" s="28" t="n">
        <x:v>0.297165991902834</x:v>
      </x:c>
    </x:row>
    <x:row r="64">
      <x:c r="A64" s="32" t="n">
        <x:v>45658</x:v>
      </x:c>
      <x:c r="B64" t="str">
        <x:v>Jan 2025</x:v>
      </x:c>
      <x:c r="C64" t="str">
        <x:v>Actual</x:v>
      </x:c>
      <x:c r="D64" t="str">
        <x:v>DB-104</x:v>
      </x:c>
      <x:c r="E64" t="str">
        <x:v>SunNest Cooling Towel</x:v>
      </x:c>
      <x:c r="F64" t="str">
        <x:v>Wholesale</x:v>
      </x:c>
      <x:c r="G64" t="str">
        <x:v>Retailer</x:v>
      </x:c>
      <x:c r="H64" t="str">
        <x:v>Canada</x:v>
      </x:c>
      <x:c r="I64" s="34" t="n">
        <x:v>5.2</x:v>
      </x:c>
      <x:c r="J64" s="38" t="n">
        <x:v>0.134862</x:v>
      </x:c>
      <x:c r="K64" s="38" t="n">
        <x:v>0.04007640000000001</x:v>
      </x:c>
      <x:c r="L64" s="28" t="n">
        <x:v>0.2971659919028341</x:v>
      </x:c>
    </x:row>
    <x:row r="65">
      <x:c r="A65" s="32" t="n">
        <x:v>45658</x:v>
      </x:c>
      <x:c r="B65" t="str">
        <x:v>Jan 2025</x:v>
      </x:c>
      <x:c r="C65" t="str">
        <x:v>Actual</x:v>
      </x:c>
      <x:c r="D65" t="str">
        <x:v>DB-104</x:v>
      </x:c>
      <x:c r="E65" t="str">
        <x:v>SunNest Cooling Towel</x:v>
      </x:c>
      <x:c r="F65" t="str">
        <x:v>TikTok Shop</x:v>
      </x:c>
      <x:c r="G65" t="str">
        <x:v>Social Commerce</x:v>
      </x:c>
      <x:c r="H65" t="str">
        <x:v>US West</x:v>
      </x:c>
      <x:c r="I65" s="34" t="n">
        <x:v>27.200000000000003</x:v>
      </x:c>
      <x:c r="J65" s="38" t="n">
        <x:v>0.9550464000000001</x:v>
      </x:c>
      <x:c r="K65" s="38" t="n">
        <x:v>0.2736056704</x:v>
      </x:c>
      <x:c r="L65" s="28" t="n">
        <x:v>0.2864841649578492</x:v>
      </x:c>
    </x:row>
    <x:row r="66">
      <x:c r="A66" s="32" t="n">
        <x:v>45658</x:v>
      </x:c>
      <x:c r="B66" t="str">
        <x:v>Jan 2025</x:v>
      </x:c>
      <x:c r="C66" t="str">
        <x:v>Actual</x:v>
      </x:c>
      <x:c r="D66" t="str">
        <x:v>DB-104</x:v>
      </x:c>
      <x:c r="E66" t="str">
        <x:v>SunNest Cooling Towel</x:v>
      </x:c>
      <x:c r="F66" t="str">
        <x:v>TikTok Shop</x:v>
      </x:c>
      <x:c r="G66" t="str">
        <x:v>Social Commerce</x:v>
      </x:c>
      <x:c r="H66" t="str">
        <x:v>US Central</x:v>
      </x:c>
      <x:c r="I66" s="34" t="n">
        <x:v>19.2</x:v>
      </x:c>
      <x:c r="J66" s="38" t="n">
        <x:v>0.6741503999999999</x:v>
      </x:c>
      <x:c r="K66" s="38" t="n">
        <x:v>0.19313341439999998</x:v>
      </x:c>
      <x:c r="L66" s="28" t="n">
        <x:v>0.2864841649578492</x:v>
      </x:c>
    </x:row>
    <x:row r="67">
      <x:c r="A67" s="32" t="n">
        <x:v>45658</x:v>
      </x:c>
      <x:c r="B67" t="str">
        <x:v>Jan 2025</x:v>
      </x:c>
      <x:c r="C67" t="str">
        <x:v>Actual</x:v>
      </x:c>
      <x:c r="D67" t="str">
        <x:v>DB-104</x:v>
      </x:c>
      <x:c r="E67" t="str">
        <x:v>SunNest Cooling Towel</x:v>
      </x:c>
      <x:c r="F67" t="str">
        <x:v>TikTok Shop</x:v>
      </x:c>
      <x:c r="G67" t="str">
        <x:v>Social Commerce</x:v>
      </x:c>
      <x:c r="H67" t="str">
        <x:v>US East</x:v>
      </x:c>
      <x:c r="I67" s="34" t="n">
        <x:v>25.6</x:v>
      </x:c>
      <x:c r="J67" s="38" t="n">
        <x:v>0.8988672</x:v>
      </x:c>
      <x:c r="K67" s="38" t="n">
        <x:v>0.2575112192</x:v>
      </x:c>
      <x:c r="L67" s="28" t="n">
        <x:v>0.2864841649578492</x:v>
      </x:c>
    </x:row>
    <x:row r="68">
      <x:c r="A68" s="32" t="n">
        <x:v>45658</x:v>
      </x:c>
      <x:c r="B68" t="str">
        <x:v>Jan 2025</x:v>
      </x:c>
      <x:c r="C68" t="str">
        <x:v>Actual</x:v>
      </x:c>
      <x:c r="D68" t="str">
        <x:v>DB-104</x:v>
      </x:c>
      <x:c r="E68" t="str">
        <x:v>SunNest Cooling Towel</x:v>
      </x:c>
      <x:c r="F68" t="str">
        <x:v>TikTok Shop</x:v>
      </x:c>
      <x:c r="G68" t="str">
        <x:v>Social Commerce</x:v>
      </x:c>
      <x:c r="H68" t="str">
        <x:v>Canada</x:v>
      </x:c>
      <x:c r="I68" s="34" t="n">
        <x:v>8</x:v>
      </x:c>
      <x:c r="J68" s="38" t="n">
        <x:v>0.280896</x:v>
      </x:c>
      <x:c r="K68" s="38" t="n">
        <x:v>0.080472256</x:v>
      </x:c>
      <x:c r="L68" s="28" t="n">
        <x:v>0.28648416495784923</x:v>
      </x:c>
    </x:row>
    <x:row r="69">
      <x:c r="A69" s="32" t="n">
        <x:v>45658</x:v>
      </x:c>
      <x:c r="B69" t="str">
        <x:v>Jan 2025</x:v>
      </x:c>
      <x:c r="C69" t="str">
        <x:v>Actual</x:v>
      </x:c>
      <x:c r="D69" t="str">
        <x:v>DB-105</x:v>
      </x:c>
      <x:c r="E69" t="str">
        <x:v>DreamFuel Refill Pack</x:v>
      </x:c>
      <x:c r="F69" t="str">
        <x:v>Shopify DTC</x:v>
      </x:c>
      <x:c r="G69" t="str">
        <x:v>Consumer</x:v>
      </x:c>
      <x:c r="H69" t="str">
        <x:v>US West</x:v>
      </x:c>
      <x:c r="I69" s="34" t="n">
        <x:v>181.56</x:v>
      </x:c>
      <x:c r="J69" s="38" t="n">
        <x:v>9.166891776</x:v>
      </x:c>
      <x:c r="K69" s="38" t="n">
        <x:v>4.466703098496001</x:v>
      </x:c>
      <x:c r="L69" s="28" t="n">
        <x:v>0.4872647357079478</x:v>
      </x:c>
    </x:row>
    <x:row r="70">
      <x:c r="A70" s="32" t="n">
        <x:v>45658</x:v>
      </x:c>
      <x:c r="B70" t="str">
        <x:v>Jan 2025</x:v>
      </x:c>
      <x:c r="C70" t="str">
        <x:v>Actual</x:v>
      </x:c>
      <x:c r="D70" t="str">
        <x:v>DB-105</x:v>
      </x:c>
      <x:c r="E70" t="str">
        <x:v>DreamFuel Refill Pack</x:v>
      </x:c>
      <x:c r="F70" t="str">
        <x:v>Shopify DTC</x:v>
      </x:c>
      <x:c r="G70" t="str">
        <x:v>Consumer</x:v>
      </x:c>
      <x:c r="H70" t="str">
        <x:v>US Central</x:v>
      </x:c>
      <x:c r="I70" s="34" t="n">
        <x:v>128.16</x:v>
      </x:c>
      <x:c r="J70" s="38" t="n">
        <x:v>6.470747136</x:v>
      </x:c>
      <x:c r="K70" s="38" t="n">
        <x:v>3.152966893056</x:v>
      </x:c>
      <x:c r="L70" s="28" t="n">
        <x:v>0.48726473570794776</x:v>
      </x:c>
    </x:row>
    <x:row r="71">
      <x:c r="A71" s="32" t="n">
        <x:v>45658</x:v>
      </x:c>
      <x:c r="B71" t="str">
        <x:v>Jan 2025</x:v>
      </x:c>
      <x:c r="C71" t="str">
        <x:v>Actual</x:v>
      </x:c>
      <x:c r="D71" t="str">
        <x:v>DB-105</x:v>
      </x:c>
      <x:c r="E71" t="str">
        <x:v>DreamFuel Refill Pack</x:v>
      </x:c>
      <x:c r="F71" t="str">
        <x:v>Shopify DTC</x:v>
      </x:c>
      <x:c r="G71" t="str">
        <x:v>Consumer</x:v>
      </x:c>
      <x:c r="H71" t="str">
        <x:v>US East</x:v>
      </x:c>
      <x:c r="I71" s="34" t="n">
        <x:v>170.88</x:v>
      </x:c>
      <x:c r="J71" s="38" t="n">
        <x:v>8.627662848</x:v>
      </x:c>
      <x:c r="K71" s="38" t="n">
        <x:v>4.203955857408</x:v>
      </x:c>
      <x:c r="L71" s="28" t="n">
        <x:v>0.4872647357079478</x:v>
      </x:c>
    </x:row>
    <x:row r="72">
      <x:c r="A72" s="32" t="n">
        <x:v>45658</x:v>
      </x:c>
      <x:c r="B72" t="str">
        <x:v>Jan 2025</x:v>
      </x:c>
      <x:c r="C72" t="str">
        <x:v>Actual</x:v>
      </x:c>
      <x:c r="D72" t="str">
        <x:v>DB-105</x:v>
      </x:c>
      <x:c r="E72" t="str">
        <x:v>DreamFuel Refill Pack</x:v>
      </x:c>
      <x:c r="F72" t="str">
        <x:v>Shopify DTC</x:v>
      </x:c>
      <x:c r="G72" t="str">
        <x:v>Consumer</x:v>
      </x:c>
      <x:c r="H72" t="str">
        <x:v>Canada</x:v>
      </x:c>
      <x:c r="I72" s="34" t="n">
        <x:v>53.400000000000006</x:v>
      </x:c>
      <x:c r="J72" s="38" t="n">
        <x:v>2.69614464</x:v>
      </x:c>
      <x:c r="K72" s="38" t="n">
        <x:v>1.3137362054400001</x:v>
      </x:c>
      <x:c r="L72" s="28" t="n">
        <x:v>0.4872647357079478</x:v>
      </x:c>
    </x:row>
    <x:row r="73">
      <x:c r="A73" s="32" t="n">
        <x:v>45658</x:v>
      </x:c>
      <x:c r="B73" t="str">
        <x:v>Jan 2025</x:v>
      </x:c>
      <x:c r="C73" t="str">
        <x:v>Actual</x:v>
      </x:c>
      <x:c r="D73" t="str">
        <x:v>DB-105</x:v>
      </x:c>
      <x:c r="E73" t="str">
        <x:v>DreamFuel Refill Pack</x:v>
      </x:c>
      <x:c r="F73" t="str">
        <x:v>Amazon Marketplace</x:v>
      </x:c>
      <x:c r="G73" t="str">
        <x:v>Marketplace Consumer</x:v>
      </x:c>
      <x:c r="H73" t="str">
        <x:v>US West</x:v>
      </x:c>
      <x:c r="I73" s="34" t="n">
        <x:v>107.10000000000001</x:v>
      </x:c>
      <x:c r="J73" s="38" t="n">
        <x:v>5.5837656</x:v>
      </x:c>
      <x:c r="K73" s="38" t="n">
        <x:v>1.9644282000000008</x:v>
      </x:c>
      <x:c r="L73" s="28" t="n">
        <x:v>0.3518106490716589</x:v>
      </x:c>
    </x:row>
    <x:row r="74">
      <x:c r="A74" s="32" t="n">
        <x:v>45658</x:v>
      </x:c>
      <x:c r="B74" t="str">
        <x:v>Jan 2025</x:v>
      </x:c>
      <x:c r="C74" t="str">
        <x:v>Actual</x:v>
      </x:c>
      <x:c r="D74" t="str">
        <x:v>DB-105</x:v>
      </x:c>
      <x:c r="E74" t="str">
        <x:v>DreamFuel Refill Pack</x:v>
      </x:c>
      <x:c r="F74" t="str">
        <x:v>Amazon Marketplace</x:v>
      </x:c>
      <x:c r="G74" t="str">
        <x:v>Marketplace Consumer</x:v>
      </x:c>
      <x:c r="H74" t="str">
        <x:v>US Central</x:v>
      </x:c>
      <x:c r="I74" s="34" t="n">
        <x:v>75.6</x:v>
      </x:c>
      <x:c r="J74" s="38" t="n">
        <x:v>3.9414816</x:v>
      </x:c>
      <x:c r="K74" s="38" t="n">
        <x:v>1.3866552000000003</x:v>
      </x:c>
      <x:c r="L74" s="28" t="n">
        <x:v>0.3518106490716588</x:v>
      </x:c>
    </x:row>
    <x:row r="75">
      <x:c r="A75" s="32" t="n">
        <x:v>45658</x:v>
      </x:c>
      <x:c r="B75" t="str">
        <x:v>Jan 2025</x:v>
      </x:c>
      <x:c r="C75" t="str">
        <x:v>Actual</x:v>
      </x:c>
      <x:c r="D75" t="str">
        <x:v>DB-105</x:v>
      </x:c>
      <x:c r="E75" t="str">
        <x:v>DreamFuel Refill Pack</x:v>
      </x:c>
      <x:c r="F75" t="str">
        <x:v>Amazon Marketplace</x:v>
      </x:c>
      <x:c r="G75" t="str">
        <x:v>Marketplace Consumer</x:v>
      </x:c>
      <x:c r="H75" t="str">
        <x:v>US East</x:v>
      </x:c>
      <x:c r="I75" s="34" t="n">
        <x:v>100.8</x:v>
      </x:c>
      <x:c r="J75" s="38" t="n">
        <x:v>5.255308800000001</x:v>
      </x:c>
      <x:c r="K75" s="38" t="n">
        <x:v>1.8488736000000006</x:v>
      </x:c>
      <x:c r="L75" s="28" t="n">
        <x:v>0.3518106490716588</x:v>
      </x:c>
    </x:row>
    <x:row r="76">
      <x:c r="A76" s="32" t="n">
        <x:v>45658</x:v>
      </x:c>
      <x:c r="B76" t="str">
        <x:v>Jan 2025</x:v>
      </x:c>
      <x:c r="C76" t="str">
        <x:v>Actual</x:v>
      </x:c>
      <x:c r="D76" t="str">
        <x:v>DB-105</x:v>
      </x:c>
      <x:c r="E76" t="str">
        <x:v>DreamFuel Refill Pack</x:v>
      </x:c>
      <x:c r="F76" t="str">
        <x:v>Amazon Marketplace</x:v>
      </x:c>
      <x:c r="G76" t="str">
        <x:v>Marketplace Consumer</x:v>
      </x:c>
      <x:c r="H76" t="str">
        <x:v>Canada</x:v>
      </x:c>
      <x:c r="I76" s="34" t="n">
        <x:v>31.5</x:v>
      </x:c>
      <x:c r="J76" s="38" t="n">
        <x:v>1.642284</x:v>
      </x:c>
      <x:c r="K76" s="38" t="n">
        <x:v>0.5777730000000002</x:v>
      </x:c>
      <x:c r="L76" s="28" t="n">
        <x:v>0.3518106490716588</x:v>
      </x:c>
    </x:row>
    <x:row r="77">
      <x:c r="A77" s="32" t="n">
        <x:v>45658</x:v>
      </x:c>
      <x:c r="B77" t="str">
        <x:v>Jan 2025</x:v>
      </x:c>
      <x:c r="C77" t="str">
        <x:v>Actual</x:v>
      </x:c>
      <x:c r="D77" t="str">
        <x:v>DB-105</x:v>
      </x:c>
      <x:c r="E77" t="str">
        <x:v>DreamFuel Refill Pack</x:v>
      </x:c>
      <x:c r="F77" t="str">
        <x:v>Wholesale</x:v>
      </x:c>
      <x:c r="G77" t="str">
        <x:v>Retailer</x:v>
      </x:c>
      <x:c r="H77" t="str">
        <x:v>US West</x:v>
      </x:c>
      <x:c r="I77" s="34" t="n">
        <x:v>29.92</x:v>
      </x:c>
      <x:c r="J77" s="38" t="n">
        <x:v>1.06730624</x:v>
      </x:c>
      <x:c r="K77" s="38" t="n">
        <x:v>0.41584012799999986</x:v>
      </x:c>
      <x:c r="L77" s="28" t="n">
        <x:v>0.38961650594303643</x:v>
      </x:c>
    </x:row>
    <x:row r="78">
      <x:c r="A78" s="32" t="n">
        <x:v>45658</x:v>
      </x:c>
      <x:c r="B78" t="str">
        <x:v>Jan 2025</x:v>
      </x:c>
      <x:c r="C78" t="str">
        <x:v>Actual</x:v>
      </x:c>
      <x:c r="D78" t="str">
        <x:v>DB-105</x:v>
      </x:c>
      <x:c r="E78" t="str">
        <x:v>DreamFuel Refill Pack</x:v>
      </x:c>
      <x:c r="F78" t="str">
        <x:v>Wholesale</x:v>
      </x:c>
      <x:c r="G78" t="str">
        <x:v>Retailer</x:v>
      </x:c>
      <x:c r="H78" t="str">
        <x:v>US Central</x:v>
      </x:c>
      <x:c r="I78" s="34" t="n">
        <x:v>21.119999999999997</x:v>
      </x:c>
      <x:c r="J78" s="38" t="n">
        <x:v>0.75339264</x:v>
      </x:c>
      <x:c r="K78" s="38" t="n">
        <x:v>0.2935342079999999</x:v>
      </x:c>
      <x:c r="L78" s="28" t="n">
        <x:v>0.3896165059430365</x:v>
      </x:c>
    </x:row>
    <x:row r="79">
      <x:c r="A79" s="32" t="n">
        <x:v>45658</x:v>
      </x:c>
      <x:c r="B79" t="str">
        <x:v>Jan 2025</x:v>
      </x:c>
      <x:c r="C79" t="str">
        <x:v>Actual</x:v>
      </x:c>
      <x:c r="D79" t="str">
        <x:v>DB-105</x:v>
      </x:c>
      <x:c r="E79" t="str">
        <x:v>DreamFuel Refill Pack</x:v>
      </x:c>
      <x:c r="F79" t="str">
        <x:v>Wholesale</x:v>
      </x:c>
      <x:c r="G79" t="str">
        <x:v>Retailer</x:v>
      </x:c>
      <x:c r="H79" t="str">
        <x:v>US East</x:v>
      </x:c>
      <x:c r="I79" s="34" t="n">
        <x:v>28.16</x:v>
      </x:c>
      <x:c r="J79" s="38" t="n">
        <x:v>1.00452352</x:v>
      </x:c>
      <x:c r="K79" s="38" t="n">
        <x:v>0.3913789439999999</x:v>
      </x:c>
      <x:c r="L79" s="28" t="n">
        <x:v>0.38961650594303643</x:v>
      </x:c>
    </x:row>
    <x:row r="80">
      <x:c r="A80" s="32" t="n">
        <x:v>45658</x:v>
      </x:c>
      <x:c r="B80" t="str">
        <x:v>Jan 2025</x:v>
      </x:c>
      <x:c r="C80" t="str">
        <x:v>Actual</x:v>
      </x:c>
      <x:c r="D80" t="str">
        <x:v>DB-105</x:v>
      </x:c>
      <x:c r="E80" t="str">
        <x:v>DreamFuel Refill Pack</x:v>
      </x:c>
      <x:c r="F80" t="str">
        <x:v>Wholesale</x:v>
      </x:c>
      <x:c r="G80" t="str">
        <x:v>Retailer</x:v>
      </x:c>
      <x:c r="H80" t="str">
        <x:v>Canada</x:v>
      </x:c>
      <x:c r="I80" s="34" t="n">
        <x:v>8.8</x:v>
      </x:c>
      <x:c r="J80" s="38" t="n">
        <x:v>0.3139136</x:v>
      </x:c>
      <x:c r="K80" s="38" t="n">
        <x:v>0.12230591999999996</x:v>
      </x:c>
      <x:c r="L80" s="28" t="n">
        <x:v>0.3896165059430364</x:v>
      </x:c>
    </x:row>
    <x:row r="81">
      <x:c r="A81" s="32" t="n">
        <x:v>45658</x:v>
      </x:c>
      <x:c r="B81" t="str">
        <x:v>Jan 2025</x:v>
      </x:c>
      <x:c r="C81" t="str">
        <x:v>Actual</x:v>
      </x:c>
      <x:c r="D81" t="str">
        <x:v>DB-105</x:v>
      </x:c>
      <x:c r="E81" t="str">
        <x:v>DreamFuel Refill Pack</x:v>
      </x:c>
      <x:c r="F81" t="str">
        <x:v>TikTok Shop</x:v>
      </x:c>
      <x:c r="G81" t="str">
        <x:v>Social Commerce</x:v>
      </x:c>
      <x:c r="H81" t="str">
        <x:v>US West</x:v>
      </x:c>
      <x:c r="I81" s="34" t="n">
        <x:v>45.900000000000006</x:v>
      </x:c>
      <x:c r="J81" s="38" t="n">
        <x:v>2.2167129599999997</x:v>
      </x:c>
      <x:c r="K81" s="38" t="n">
        <x:v>0.8501872665600001</x:v>
      </x:c>
      <x:c r="L81" s="28" t="n">
        <x:v>0.3835351179432813</x:v>
      </x:c>
    </x:row>
    <x:row r="82">
      <x:c r="A82" s="32" t="n">
        <x:v>45658</x:v>
      </x:c>
      <x:c r="B82" t="str">
        <x:v>Jan 2025</x:v>
      </x:c>
      <x:c r="C82" t="str">
        <x:v>Actual</x:v>
      </x:c>
      <x:c r="D82" t="str">
        <x:v>DB-105</x:v>
      </x:c>
      <x:c r="E82" t="str">
        <x:v>DreamFuel Refill Pack</x:v>
      </x:c>
      <x:c r="F82" t="str">
        <x:v>TikTok Shop</x:v>
      </x:c>
      <x:c r="G82" t="str">
        <x:v>Social Commerce</x:v>
      </x:c>
      <x:c r="H82" t="str">
        <x:v>US Central</x:v>
      </x:c>
      <x:c r="I82" s="34" t="n">
        <x:v>32.4</x:v>
      </x:c>
      <x:c r="J82" s="38" t="n">
        <x:v>1.5647385599999997</x:v>
      </x:c>
      <x:c r="K82" s="38" t="n">
        <x:v>0.60013218816</x:v>
      </x:c>
      <x:c r="L82" s="28" t="n">
        <x:v>0.3835351179432813</x:v>
      </x:c>
    </x:row>
    <x:row r="83">
      <x:c r="A83" s="32" t="n">
        <x:v>45658</x:v>
      </x:c>
      <x:c r="B83" t="str">
        <x:v>Jan 2025</x:v>
      </x:c>
      <x:c r="C83" t="str">
        <x:v>Actual</x:v>
      </x:c>
      <x:c r="D83" t="str">
        <x:v>DB-105</x:v>
      </x:c>
      <x:c r="E83" t="str">
        <x:v>DreamFuel Refill Pack</x:v>
      </x:c>
      <x:c r="F83" t="str">
        <x:v>TikTok Shop</x:v>
      </x:c>
      <x:c r="G83" t="str">
        <x:v>Social Commerce</x:v>
      </x:c>
      <x:c r="H83" t="str">
        <x:v>US East</x:v>
      </x:c>
      <x:c r="I83" s="34" t="n">
        <x:v>43.2</x:v>
      </x:c>
      <x:c r="J83" s="38" t="n">
        <x:v>2.08631808</x:v>
      </x:c>
      <x:c r="K83" s="38" t="n">
        <x:v>0.80017625088</x:v>
      </x:c>
      <x:c r="L83" s="28" t="n">
        <x:v>0.3835351179432812</x:v>
      </x:c>
    </x:row>
    <x:row r="84">
      <x:c r="A84" s="32" t="n">
        <x:v>45658</x:v>
      </x:c>
      <x:c r="B84" t="str">
        <x:v>Jan 2025</x:v>
      </x:c>
      <x:c r="C84" t="str">
        <x:v>Actual</x:v>
      </x:c>
      <x:c r="D84" t="str">
        <x:v>DB-105</x:v>
      </x:c>
      <x:c r="E84" t="str">
        <x:v>DreamFuel Refill Pack</x:v>
      </x:c>
      <x:c r="F84" t="str">
        <x:v>TikTok Shop</x:v>
      </x:c>
      <x:c r="G84" t="str">
        <x:v>Social Commerce</x:v>
      </x:c>
      <x:c r="H84" t="str">
        <x:v>Canada</x:v>
      </x:c>
      <x:c r="I84" s="34" t="n">
        <x:v>13.5</x:v>
      </x:c>
      <x:c r="J84" s="38" t="n">
        <x:v>0.6519744</x:v>
      </x:c>
      <x:c r="K84" s="38" t="n">
        <x:v>0.2500550784</x:v>
      </x:c>
      <x:c r="L84" s="28" t="n">
        <x:v>0.38353511794328127</x:v>
      </x:c>
    </x:row>
    <x:row r="85">
      <x:c r="A85" s="32" t="n">
        <x:v>45689</x:v>
      </x:c>
      <x:c r="B85" t="str">
        <x:v>Feb 2025</x:v>
      </x:c>
      <x:c r="C85" t="str">
        <x:v>Actual</x:v>
      </x:c>
      <x:c r="D85" t="str">
        <x:v>DB-101</x:v>
      </x:c>
      <x:c r="E85" t="str">
        <x:v>AeroSip Bottle</x:v>
      </x:c>
      <x:c r="F85" t="str">
        <x:v>Shopify DTC</x:v>
      </x:c>
      <x:c r="G85" t="str">
        <x:v>Consumer</x:v>
      </x:c>
      <x:c r="H85" t="str">
        <x:v>US West</x:v>
      </x:c>
      <x:c r="I85" s="34" t="n">
        <x:v>234.26000000000002</x:v>
      </x:c>
      <x:c r="J85" s="38" t="n">
        <x:v>5.968804244000001</x:v>
      </x:c>
      <x:c r="K85" s="38" t="n">
        <x:v>1.898559560924</x:v>
      </x:c>
      <x:c r="L85" s="28" t="n">
        <x:v>0.3180803865083165</x:v>
      </x:c>
    </x:row>
    <x:row r="86">
      <x:c r="A86" s="32" t="n">
        <x:v>45689</x:v>
      </x:c>
      <x:c r="B86" t="str">
        <x:v>Feb 2025</x:v>
      </x:c>
      <x:c r="C86" t="str">
        <x:v>Actual</x:v>
      </x:c>
      <x:c r="D86" t="str">
        <x:v>DB-101</x:v>
      </x:c>
      <x:c r="E86" t="str">
        <x:v>AeroSip Bottle</x:v>
      </x:c>
      <x:c r="F86" t="str">
        <x:v>Shopify DTC</x:v>
      </x:c>
      <x:c r="G86" t="str">
        <x:v>Consumer</x:v>
      </x:c>
      <x:c r="H86" t="str">
        <x:v>US Central</x:v>
      </x:c>
      <x:c r="I86" s="34" t="n">
        <x:v>165.35999999999999</x:v>
      </x:c>
      <x:c r="J86" s="38" t="n">
        <x:v>4.213273584</x:v>
      </x:c>
      <x:c r="K86" s="38" t="n">
        <x:v>1.3401596900639998</x:v>
      </x:c>
      <x:c r="L86" s="28" t="n">
        <x:v>0.31808038650831644</x:v>
      </x:c>
    </x:row>
    <x:row r="87">
      <x:c r="A87" s="32" t="n">
        <x:v>45689</x:v>
      </x:c>
      <x:c r="B87" t="str">
        <x:v>Feb 2025</x:v>
      </x:c>
      <x:c r="C87" t="str">
        <x:v>Actual</x:v>
      </x:c>
      <x:c r="D87" t="str">
        <x:v>DB-101</x:v>
      </x:c>
      <x:c r="E87" t="str">
        <x:v>AeroSip Bottle</x:v>
      </x:c>
      <x:c r="F87" t="str">
        <x:v>Shopify DTC</x:v>
      </x:c>
      <x:c r="G87" t="str">
        <x:v>Consumer</x:v>
      </x:c>
      <x:c r="H87" t="str">
        <x:v>US East</x:v>
      </x:c>
      <x:c r="I87" s="34" t="n">
        <x:v>220.48000000000002</x:v>
      </x:c>
      <x:c r="J87" s="38" t="n">
        <x:v>5.617698112</x:v>
      </x:c>
      <x:c r="K87" s="38" t="n">
        <x:v>1.7868795867519998</x:v>
      </x:c>
      <x:c r="L87" s="28" t="n">
        <x:v>0.3180803865083165</x:v>
      </x:c>
    </x:row>
    <x:row r="88">
      <x:c r="A88" s="32" t="n">
        <x:v>45689</x:v>
      </x:c>
      <x:c r="B88" t="str">
        <x:v>Feb 2025</x:v>
      </x:c>
      <x:c r="C88" t="str">
        <x:v>Actual</x:v>
      </x:c>
      <x:c r="D88" t="str">
        <x:v>DB-101</x:v>
      </x:c>
      <x:c r="E88" t="str">
        <x:v>AeroSip Bottle</x:v>
      </x:c>
      <x:c r="F88" t="str">
        <x:v>Shopify DTC</x:v>
      </x:c>
      <x:c r="G88" t="str">
        <x:v>Consumer</x:v>
      </x:c>
      <x:c r="H88" t="str">
        <x:v>Canada</x:v>
      </x:c>
      <x:c r="I88" s="34" t="n">
        <x:v>68.9</x:v>
      </x:c>
      <x:c r="J88" s="38" t="n">
        <x:v>1.7555306600000002</x:v>
      </x:c>
      <x:c r="K88" s="38" t="n">
        <x:v>0.55839987086</x:v>
      </x:c>
      <x:c r="L88" s="28" t="n">
        <x:v>0.3180803865083165</x:v>
      </x:c>
    </x:row>
    <x:row r="89">
      <x:c r="A89" s="32" t="n">
        <x:v>45689</x:v>
      </x:c>
      <x:c r="B89" t="str">
        <x:v>Feb 2025</x:v>
      </x:c>
      <x:c r="C89" t="str">
        <x:v>Actual</x:v>
      </x:c>
      <x:c r="D89" t="str">
        <x:v>DB-101</x:v>
      </x:c>
      <x:c r="E89" t="str">
        <x:v>AeroSip Bottle</x:v>
      </x:c>
      <x:c r="F89" t="str">
        <x:v>Amazon Marketplace</x:v>
      </x:c>
      <x:c r="G89" t="str">
        <x:v>Marketplace Consumer</x:v>
      </x:c>
      <x:c r="H89" t="str">
        <x:v>US West</x:v>
      </x:c>
      <x:c r="I89" s="34" t="n">
        <x:v>138.04000000000002</x:v>
      </x:c>
      <x:c r="J89" s="38" t="n">
        <x:v>3.6318669100000003</x:v>
      </x:c>
      <x:c r="K89" s="38" t="n">
        <x:v>0.5766914334999999</x:v>
      </x:c>
      <x:c r="L89" s="28" t="n">
        <x:v>0.15878649955815693</x:v>
      </x:c>
    </x:row>
    <x:row r="90">
      <x:c r="A90" s="32" t="n">
        <x:v>45689</x:v>
      </x:c>
      <x:c r="B90" t="str">
        <x:v>Feb 2025</x:v>
      </x:c>
      <x:c r="C90" t="str">
        <x:v>Actual</x:v>
      </x:c>
      <x:c r="D90" t="str">
        <x:v>DB-101</x:v>
      </x:c>
      <x:c r="E90" t="str">
        <x:v>AeroSip Bottle</x:v>
      </x:c>
      <x:c r="F90" t="str">
        <x:v>Amazon Marketplace</x:v>
      </x:c>
      <x:c r="G90" t="str">
        <x:v>Marketplace Consumer</x:v>
      </x:c>
      <x:c r="H90" t="str">
        <x:v>US Central</x:v>
      </x:c>
      <x:c r="I90" s="34" t="n">
        <x:v>97.44</x:v>
      </x:c>
      <x:c r="J90" s="38" t="n">
        <x:v>2.56367076</x:v>
      </x:c>
      <x:c r="K90" s="38" t="n">
        <x:v>0.40707630599999983</x:v>
      </x:c>
      <x:c r="L90" s="28" t="n">
        <x:v>0.15878649955815693</x:v>
      </x:c>
    </x:row>
    <x:row r="91">
      <x:c r="A91" s="32" t="n">
        <x:v>45689</x:v>
      </x:c>
      <x:c r="B91" t="str">
        <x:v>Feb 2025</x:v>
      </x:c>
      <x:c r="C91" t="str">
        <x:v>Actual</x:v>
      </x:c>
      <x:c r="D91" t="str">
        <x:v>DB-101</x:v>
      </x:c>
      <x:c r="E91" t="str">
        <x:v>AeroSip Bottle</x:v>
      </x:c>
      <x:c r="F91" t="str">
        <x:v>Amazon Marketplace</x:v>
      </x:c>
      <x:c r="G91" t="str">
        <x:v>Marketplace Consumer</x:v>
      </x:c>
      <x:c r="H91" t="str">
        <x:v>US East</x:v>
      </x:c>
      <x:c r="I91" s="34" t="n">
        <x:v>129.92000000000002</x:v>
      </x:c>
      <x:c r="J91" s="38" t="n">
        <x:v>3.41822768</x:v>
      </x:c>
      <x:c r="K91" s="38" t="n">
        <x:v>0.5427684079999998</x:v>
      </x:c>
      <x:c r="L91" s="28" t="n">
        <x:v>0.15878649955815693</x:v>
      </x:c>
    </x:row>
    <x:row r="92">
      <x:c r="A92" s="32" t="n">
        <x:v>45689</x:v>
      </x:c>
      <x:c r="B92" t="str">
        <x:v>Feb 2025</x:v>
      </x:c>
      <x:c r="C92" t="str">
        <x:v>Actual</x:v>
      </x:c>
      <x:c r="D92" t="str">
        <x:v>DB-101</x:v>
      </x:c>
      <x:c r="E92" t="str">
        <x:v>AeroSip Bottle</x:v>
      </x:c>
      <x:c r="F92" t="str">
        <x:v>Amazon Marketplace</x:v>
      </x:c>
      <x:c r="G92" t="str">
        <x:v>Marketplace Consumer</x:v>
      </x:c>
      <x:c r="H92" t="str">
        <x:v>Canada</x:v>
      </x:c>
      <x:c r="I92" s="34" t="n">
        <x:v>40.6</x:v>
      </x:c>
      <x:c r="J92" s="38" t="n">
        <x:v>1.0681961500000001</x:v>
      </x:c>
      <x:c r="K92" s="38" t="n">
        <x:v>0.16961512749999996</x:v>
      </x:c>
      <x:c r="L92" s="28" t="n">
        <x:v>0.15878649955815693</x:v>
      </x:c>
    </x:row>
    <x:row r="93">
      <x:c r="A93" s="32" t="n">
        <x:v>45689</x:v>
      </x:c>
      <x:c r="B93" t="str">
        <x:v>Feb 2025</x:v>
      </x:c>
      <x:c r="C93" t="str">
        <x:v>Actual</x:v>
      </x:c>
      <x:c r="D93" t="str">
        <x:v>DB-101</x:v>
      </x:c>
      <x:c r="E93" t="str">
        <x:v>AeroSip Bottle</x:v>
      </x:c>
      <x:c r="F93" t="str">
        <x:v>Wholesale</x:v>
      </x:c>
      <x:c r="G93" t="str">
        <x:v>Retailer</x:v>
      </x:c>
      <x:c r="H93" t="str">
        <x:v>US West</x:v>
      </x:c>
      <x:c r="I93" s="34" t="n">
        <x:v>38.42</x:v>
      </x:c>
      <x:c r="J93" s="38" t="n">
        <x:v>0.6916272350000001</x:v>
      </x:c>
      <x:c r="K93" s="38" t="n">
        <x:v>0.1542851150000001</x:v>
      </x:c>
      <x:c r="L93" s="28" t="n">
        <x:v>0.22307553432305205</x:v>
      </x:c>
    </x:row>
    <x:row r="94">
      <x:c r="A94" s="32" t="n">
        <x:v>45689</x:v>
      </x:c>
      <x:c r="B94" t="str">
        <x:v>Feb 2025</x:v>
      </x:c>
      <x:c r="C94" t="str">
        <x:v>Actual</x:v>
      </x:c>
      <x:c r="D94" t="str">
        <x:v>DB-101</x:v>
      </x:c>
      <x:c r="E94" t="str">
        <x:v>AeroSip Bottle</x:v>
      </x:c>
      <x:c r="F94" t="str">
        <x:v>Wholesale</x:v>
      </x:c>
      <x:c r="G94" t="str">
        <x:v>Retailer</x:v>
      </x:c>
      <x:c r="H94" t="str">
        <x:v>US Central</x:v>
      </x:c>
      <x:c r="I94" s="34" t="n">
        <x:v>27.119999999999997</x:v>
      </x:c>
      <x:c r="J94" s="38" t="n">
        <x:v>0.48820746000000004</x:v>
      </x:c>
      <x:c r="K94" s="38" t="n">
        <x:v>0.10890714000000006</x:v>
      </x:c>
      <x:c r="L94" s="28" t="n">
        <x:v>0.22307553432305202</x:v>
      </x:c>
    </x:row>
    <x:row r="95">
      <x:c r="A95" s="32" t="n">
        <x:v>45689</x:v>
      </x:c>
      <x:c r="B95" t="str">
        <x:v>Feb 2025</x:v>
      </x:c>
      <x:c r="C95" t="str">
        <x:v>Actual</x:v>
      </x:c>
      <x:c r="D95" t="str">
        <x:v>DB-101</x:v>
      </x:c>
      <x:c r="E95" t="str">
        <x:v>AeroSip Bottle</x:v>
      </x:c>
      <x:c r="F95" t="str">
        <x:v>Wholesale</x:v>
      </x:c>
      <x:c r="G95" t="str">
        <x:v>Retailer</x:v>
      </x:c>
      <x:c r="H95" t="str">
        <x:v>US East</x:v>
      </x:c>
      <x:c r="I95" s="34" t="n">
        <x:v>36.160000000000004</x:v>
      </x:c>
      <x:c r="J95" s="38" t="n">
        <x:v>0.65094328</x:v>
      </x:c>
      <x:c r="K95" s="38" t="n">
        <x:v>0.1452095200000001</x:v>
      </x:c>
      <x:c r="L95" s="28" t="n">
        <x:v>0.22307553432305205</x:v>
      </x:c>
    </x:row>
    <x:row r="96">
      <x:c r="A96" s="32" t="n">
        <x:v>45689</x:v>
      </x:c>
      <x:c r="B96" t="str">
        <x:v>Feb 2025</x:v>
      </x:c>
      <x:c r="C96" t="str">
        <x:v>Actual</x:v>
      </x:c>
      <x:c r="D96" t="str">
        <x:v>DB-101</x:v>
      </x:c>
      <x:c r="E96" t="str">
        <x:v>AeroSip Bottle</x:v>
      </x:c>
      <x:c r="F96" t="str">
        <x:v>Wholesale</x:v>
      </x:c>
      <x:c r="G96" t="str">
        <x:v>Retailer</x:v>
      </x:c>
      <x:c r="H96" t="str">
        <x:v>Canada</x:v>
      </x:c>
      <x:c r="I96" s="34" t="n">
        <x:v>11.3</x:v>
      </x:c>
      <x:c r="J96" s="38" t="n">
        <x:v>0.20341977500000002</x:v>
      </x:c>
      <x:c r="K96" s="38" t="n">
        <x:v>0.04537797500000003</x:v>
      </x:c>
      <x:c r="L96" s="28" t="n">
        <x:v>0.22307553432305205</x:v>
      </x:c>
    </x:row>
    <x:row r="97">
      <x:c r="A97" s="32" t="n">
        <x:v>45689</x:v>
      </x:c>
      <x:c r="B97" t="str">
        <x:v>Feb 2025</x:v>
      </x:c>
      <x:c r="C97" t="str">
        <x:v>Actual</x:v>
      </x:c>
      <x:c r="D97" t="str">
        <x:v>DB-101</x:v>
      </x:c>
      <x:c r="E97" t="str">
        <x:v>AeroSip Bottle</x:v>
      </x:c>
      <x:c r="F97" t="str">
        <x:v>TikTok Shop</x:v>
      </x:c>
      <x:c r="G97" t="str">
        <x:v>Social Commerce</x:v>
      </x:c>
      <x:c r="H97" t="str">
        <x:v>US West</x:v>
      </x:c>
      <x:c r="I97" s="34" t="n">
        <x:v>59.160000000000004</x:v>
      </x:c>
      <x:c r="J97" s="38" t="n">
        <x:v>1.4418238560000005</x:v>
      </x:c>
      <x:c r="K97" s="38" t="n">
        <x:v>0.26719777281600016</x:v>
      </x:c>
      <x:c r="L97" s="28" t="n">
        <x:v>0.18531928966501998</x:v>
      </x:c>
    </x:row>
    <x:row r="98">
      <x:c r="A98" s="32" t="n">
        <x:v>45689</x:v>
      </x:c>
      <x:c r="B98" t="str">
        <x:v>Feb 2025</x:v>
      </x:c>
      <x:c r="C98" t="str">
        <x:v>Actual</x:v>
      </x:c>
      <x:c r="D98" t="str">
        <x:v>DB-101</x:v>
      </x:c>
      <x:c r="E98" t="str">
        <x:v>AeroSip Bottle</x:v>
      </x:c>
      <x:c r="F98" t="str">
        <x:v>TikTok Shop</x:v>
      </x:c>
      <x:c r="G98" t="str">
        <x:v>Social Commerce</x:v>
      </x:c>
      <x:c r="H98" t="str">
        <x:v>US Central</x:v>
      </x:c>
      <x:c r="I98" s="34" t="n">
        <x:v>41.76</x:v>
      </x:c>
      <x:c r="J98" s="38" t="n">
        <x:v>1.0177580160000002</x:v>
      </x:c>
      <x:c r="K98" s="38" t="n">
        <x:v>0.1886101925760001</x:v>
      </x:c>
      <x:c r="L98" s="28" t="n">
        <x:v>0.18531928966502</x:v>
      </x:c>
    </x:row>
    <x:row r="99">
      <x:c r="A99" s="32" t="n">
        <x:v>45689</x:v>
      </x:c>
      <x:c r="B99" t="str">
        <x:v>Feb 2025</x:v>
      </x:c>
      <x:c r="C99" t="str">
        <x:v>Actual</x:v>
      </x:c>
      <x:c r="D99" t="str">
        <x:v>DB-101</x:v>
      </x:c>
      <x:c r="E99" t="str">
        <x:v>AeroSip Bottle</x:v>
      </x:c>
      <x:c r="F99" t="str">
        <x:v>TikTok Shop</x:v>
      </x:c>
      <x:c r="G99" t="str">
        <x:v>Social Commerce</x:v>
      </x:c>
      <x:c r="H99" t="str">
        <x:v>US East</x:v>
      </x:c>
      <x:c r="I99" s="34" t="n">
        <x:v>55.68</x:v>
      </x:c>
      <x:c r="J99" s="38" t="n">
        <x:v>1.3570106880000004</x:v>
      </x:c>
      <x:c r="K99" s="38" t="n">
        <x:v>0.2514802567680001</x:v>
      </x:c>
      <x:c r="L99" s="28" t="n">
        <x:v>0.18531928966501998</x:v>
      </x:c>
    </x:row>
    <x:row r="100">
      <x:c r="A100" s="32" t="n">
        <x:v>45689</x:v>
      </x:c>
      <x:c r="B100" t="str">
        <x:v>Feb 2025</x:v>
      </x:c>
      <x:c r="C100" t="str">
        <x:v>Actual</x:v>
      </x:c>
      <x:c r="D100" t="str">
        <x:v>DB-101</x:v>
      </x:c>
      <x:c r="E100" t="str">
        <x:v>AeroSip Bottle</x:v>
      </x:c>
      <x:c r="F100" t="str">
        <x:v>TikTok Shop</x:v>
      </x:c>
      <x:c r="G100" t="str">
        <x:v>Social Commerce</x:v>
      </x:c>
      <x:c r="H100" t="str">
        <x:v>Canada</x:v>
      </x:c>
      <x:c r="I100" s="34" t="n">
        <x:v>17.400000000000002</x:v>
      </x:c>
      <x:c r="J100" s="38" t="n">
        <x:v>0.42406584000000014</x:v>
      </x:c>
      <x:c r="K100" s="38" t="n">
        <x:v>0.07858758024000005</x:v>
      </x:c>
      <x:c r="L100" s="28" t="n">
        <x:v>0.18531928966502</x:v>
      </x:c>
    </x:row>
    <x:row r="101">
      <x:c r="A101" s="32" t="n">
        <x:v>45689</x:v>
      </x:c>
      <x:c r="B101" t="str">
        <x:v>Feb 2025</x:v>
      </x:c>
      <x:c r="C101" t="str">
        <x:v>Actual</x:v>
      </x:c>
      <x:c r="D101" t="str">
        <x:v>DB-102</x:v>
      </x:c>
      <x:c r="E101" t="str">
        <x:v>GlowPatch Balm</x:v>
      </x:c>
      <x:c r="F101" t="str">
        <x:v>Shopify DTC</x:v>
      </x:c>
      <x:c r="G101" t="str">
        <x:v>Consumer</x:v>
      </x:c>
      <x:c r="H101" t="str">
        <x:v>US West</x:v>
      </x:c>
      <x:c r="I101" s="34" t="n">
        <x:v>235.28000000000003</x:v>
      </x:c>
      <x:c r="J101" s="38" t="n">
        <x:v>3.79883088</x:v>
      </x:c>
      <x:c r="K101" s="38" t="n">
        <x:v>1.04976430448</x:v>
      </x:c>
      <x:c r="L101" s="28" t="n">
        <x:v>0.27633878359965314</x:v>
      </x:c>
    </x:row>
    <x:row r="102">
      <x:c r="A102" s="32" t="n">
        <x:v>45689</x:v>
      </x:c>
      <x:c r="B102" t="str">
        <x:v>Feb 2025</x:v>
      </x:c>
      <x:c r="C102" t="str">
        <x:v>Actual</x:v>
      </x:c>
      <x:c r="D102" t="str">
        <x:v>DB-102</x:v>
      </x:c>
      <x:c r="E102" t="str">
        <x:v>GlowPatch Balm</x:v>
      </x:c>
      <x:c r="F102" t="str">
        <x:v>Shopify DTC</x:v>
      </x:c>
      <x:c r="G102" t="str">
        <x:v>Consumer</x:v>
      </x:c>
      <x:c r="H102" t="str">
        <x:v>US Central</x:v>
      </x:c>
      <x:c r="I102" s="34" t="n">
        <x:v>166.07999999999998</x:v>
      </x:c>
      <x:c r="J102" s="38" t="n">
        <x:v>2.68152768</x:v>
      </x:c>
      <x:c r="K102" s="38" t="n">
        <x:v>0.7410100972799999</x:v>
      </x:c>
      <x:c r="L102" s="28" t="n">
        <x:v>0.27633878359965314</x:v>
      </x:c>
    </x:row>
    <x:row r="103">
      <x:c r="A103" s="32" t="n">
        <x:v>45689</x:v>
      </x:c>
      <x:c r="B103" t="str">
        <x:v>Feb 2025</x:v>
      </x:c>
      <x:c r="C103" t="str">
        <x:v>Actual</x:v>
      </x:c>
      <x:c r="D103" t="str">
        <x:v>DB-102</x:v>
      </x:c>
      <x:c r="E103" t="str">
        <x:v>GlowPatch Balm</x:v>
      </x:c>
      <x:c r="F103" t="str">
        <x:v>Shopify DTC</x:v>
      </x:c>
      <x:c r="G103" t="str">
        <x:v>Consumer</x:v>
      </x:c>
      <x:c r="H103" t="str">
        <x:v>US East</x:v>
      </x:c>
      <x:c r="I103" s="34" t="n">
        <x:v>221.44</x:v>
      </x:c>
      <x:c r="J103" s="38" t="n">
        <x:v>3.57537024</x:v>
      </x:c>
      <x:c r="K103" s="38" t="n">
        <x:v>0.9880134630399999</x:v>
      </x:c>
      <x:c r="L103" s="28" t="n">
        <x:v>0.27633878359965314</x:v>
      </x:c>
    </x:row>
    <x:row r="104">
      <x:c r="A104" s="32" t="n">
        <x:v>45689</x:v>
      </x:c>
      <x:c r="B104" t="str">
        <x:v>Feb 2025</x:v>
      </x:c>
      <x:c r="C104" t="str">
        <x:v>Actual</x:v>
      </x:c>
      <x:c r="D104" t="str">
        <x:v>DB-102</x:v>
      </x:c>
      <x:c r="E104" t="str">
        <x:v>GlowPatch Balm</x:v>
      </x:c>
      <x:c r="F104" t="str">
        <x:v>Shopify DTC</x:v>
      </x:c>
      <x:c r="G104" t="str">
        <x:v>Consumer</x:v>
      </x:c>
      <x:c r="H104" t="str">
        <x:v>Canada</x:v>
      </x:c>
      <x:c r="I104" s="34" t="n">
        <x:v>69.2</x:v>
      </x:c>
      <x:c r="J104" s="38" t="n">
        <x:v>1.1173032</x:v>
      </x:c>
      <x:c r="K104" s="38" t="n">
        <x:v>0.3087542072</x:v>
      </x:c>
      <x:c r="L104" s="28" t="n">
        <x:v>0.2763387835996532</x:v>
      </x:c>
    </x:row>
    <x:row r="105">
      <x:c r="A105" s="32" t="n">
        <x:v>45689</x:v>
      </x:c>
      <x:c r="B105" t="str">
        <x:v>Feb 2025</x:v>
      </x:c>
      <x:c r="C105" t="str">
        <x:v>Actual</x:v>
      </x:c>
      <x:c r="D105" t="str">
        <x:v>DB-102</x:v>
      </x:c>
      <x:c r="E105" t="str">
        <x:v>GlowPatch Balm</x:v>
      </x:c>
      <x:c r="F105" t="str">
        <x:v>Amazon Marketplace</x:v>
      </x:c>
      <x:c r="G105" t="str">
        <x:v>Marketplace Consumer</x:v>
      </x:c>
      <x:c r="H105" t="str">
        <x:v>US West</x:v>
      </x:c>
      <x:c r="I105" s="34" t="n">
        <x:v>138.72</x:v>
      </x:c>
      <x:c r="J105" s="38" t="n">
        <x:v>2.3128092</x:v>
      </x:c>
      <x:c r="K105" s="38" t="n">
        <x:v>0.1949882999999999</x:v>
      </x:c>
      <x:c r="L105" s="28" t="n">
        <x:v>0.08430799220272901</x:v>
      </x:c>
    </x:row>
    <x:row r="106">
      <x:c r="A106" s="32" t="n">
        <x:v>45689</x:v>
      </x:c>
      <x:c r="B106" t="str">
        <x:v>Feb 2025</x:v>
      </x:c>
      <x:c r="C106" t="str">
        <x:v>Actual</x:v>
      </x:c>
      <x:c r="D106" t="str">
        <x:v>DB-102</x:v>
      </x:c>
      <x:c r="E106" t="str">
        <x:v>GlowPatch Balm</x:v>
      </x:c>
      <x:c r="F106" t="str">
        <x:v>Amazon Marketplace</x:v>
      </x:c>
      <x:c r="G106" t="str">
        <x:v>Marketplace Consumer</x:v>
      </x:c>
      <x:c r="H106" t="str">
        <x:v>US Central</x:v>
      </x:c>
      <x:c r="I106" s="34" t="n">
        <x:v>97.92</x:v>
      </x:c>
      <x:c r="J106" s="38" t="n">
        <x:v>1.6325712</x:v>
      </x:c>
      <x:c r="K106" s="38" t="n">
        <x:v>0.13763879999999992</x:v>
      </x:c>
      <x:c r="L106" s="28" t="n">
        <x:v>0.084307992202729</x:v>
      </x:c>
    </x:row>
    <x:row r="107">
      <x:c r="A107" s="32" t="n">
        <x:v>45689</x:v>
      </x:c>
      <x:c r="B107" t="str">
        <x:v>Feb 2025</x:v>
      </x:c>
      <x:c r="C107" t="str">
        <x:v>Actual</x:v>
      </x:c>
      <x:c r="D107" t="str">
        <x:v>DB-102</x:v>
      </x:c>
      <x:c r="E107" t="str">
        <x:v>GlowPatch Balm</x:v>
      </x:c>
      <x:c r="F107" t="str">
        <x:v>Amazon Marketplace</x:v>
      </x:c>
      <x:c r="G107" t="str">
        <x:v>Marketplace Consumer</x:v>
      </x:c>
      <x:c r="H107" t="str">
        <x:v>US East</x:v>
      </x:c>
      <x:c r="I107" s="34" t="n">
        <x:v>130.56</x:v>
      </x:c>
      <x:c r="J107" s="38" t="n">
        <x:v>2.1767616</x:v>
      </x:c>
      <x:c r="K107" s="38" t="n">
        <x:v>0.1835183999999999</x:v>
      </x:c>
      <x:c r="L107" s="28" t="n">
        <x:v>0.084307992202729</x:v>
      </x:c>
    </x:row>
    <x:row r="108">
      <x:c r="A108" s="32" t="n">
        <x:v>45689</x:v>
      </x:c>
      <x:c r="B108" t="str">
        <x:v>Feb 2025</x:v>
      </x:c>
      <x:c r="C108" t="str">
        <x:v>Actual</x:v>
      </x:c>
      <x:c r="D108" t="str">
        <x:v>DB-102</x:v>
      </x:c>
      <x:c r="E108" t="str">
        <x:v>GlowPatch Balm</x:v>
      </x:c>
      <x:c r="F108" t="str">
        <x:v>Amazon Marketplace</x:v>
      </x:c>
      <x:c r="G108" t="str">
        <x:v>Marketplace Consumer</x:v>
      </x:c>
      <x:c r="H108" t="str">
        <x:v>Canada</x:v>
      </x:c>
      <x:c r="I108" s="34" t="n">
        <x:v>40.800000000000004</x:v>
      </x:c>
      <x:c r="J108" s="38" t="n">
        <x:v>0.680238</x:v>
      </x:c>
      <x:c r="K108" s="38" t="n">
        <x:v>0.05734949999999997</x:v>
      </x:c>
      <x:c r="L108" s="28" t="n">
        <x:v>0.084307992202729</x:v>
      </x:c>
    </x:row>
    <x:row r="109">
      <x:c r="A109" s="32" t="n">
        <x:v>45689</x:v>
      </x:c>
      <x:c r="B109" t="str">
        <x:v>Feb 2025</x:v>
      </x:c>
      <x:c r="C109" t="str">
        <x:v>Actual</x:v>
      </x:c>
      <x:c r="D109" t="str">
        <x:v>DB-102</x:v>
      </x:c>
      <x:c r="E109" t="str">
        <x:v>GlowPatch Balm</x:v>
      </x:c>
      <x:c r="F109" t="str">
        <x:v>Wholesale</x:v>
      </x:c>
      <x:c r="G109" t="str">
        <x:v>Retailer</x:v>
      </x:c>
      <x:c r="H109" t="str">
        <x:v>US West</x:v>
      </x:c>
      <x:c r="I109" s="34" t="n">
        <x:v>38.760000000000005</x:v>
      </x:c>
      <x:c r="J109" s="38" t="n">
        <x:v>0.44215470000000007</x:v>
      </x:c>
      <x:c r="K109" s="38" t="n">
        <x:v>0.11013654000000006</x:v>
      </x:c>
      <x:c r="L109" s="28" t="n">
        <x:v>0.24909051062897228</x:v>
      </x:c>
    </x:row>
    <x:row r="110">
      <x:c r="A110" s="32" t="n">
        <x:v>45689</x:v>
      </x:c>
      <x:c r="B110" t="str">
        <x:v>Feb 2025</x:v>
      </x:c>
      <x:c r="C110" t="str">
        <x:v>Actual</x:v>
      </x:c>
      <x:c r="D110" t="str">
        <x:v>DB-102</x:v>
      </x:c>
      <x:c r="E110" t="str">
        <x:v>GlowPatch Balm</x:v>
      </x:c>
      <x:c r="F110" t="str">
        <x:v>Wholesale</x:v>
      </x:c>
      <x:c r="G110" t="str">
        <x:v>Retailer</x:v>
      </x:c>
      <x:c r="H110" t="str">
        <x:v>US Central</x:v>
      </x:c>
      <x:c r="I110" s="34" t="n">
        <x:v>27.36</x:v>
      </x:c>
      <x:c r="J110" s="38" t="n">
        <x:v>0.31210920000000003</x:v>
      </x:c>
      <x:c r="K110" s="38" t="n">
        <x:v>0.07774344000000002</x:v>
      </x:c>
      <x:c r="L110" s="28" t="n">
        <x:v>0.24909051062897222</x:v>
      </x:c>
    </x:row>
    <x:row r="111">
      <x:c r="A111" s="32" t="n">
        <x:v>45689</x:v>
      </x:c>
      <x:c r="B111" t="str">
        <x:v>Feb 2025</x:v>
      </x:c>
      <x:c r="C111" t="str">
        <x:v>Actual</x:v>
      </x:c>
      <x:c r="D111" t="str">
        <x:v>DB-102</x:v>
      </x:c>
      <x:c r="E111" t="str">
        <x:v>GlowPatch Balm</x:v>
      </x:c>
      <x:c r="F111" t="str">
        <x:v>Wholesale</x:v>
      </x:c>
      <x:c r="G111" t="str">
        <x:v>Retailer</x:v>
      </x:c>
      <x:c r="H111" t="str">
        <x:v>US East</x:v>
      </x:c>
      <x:c r="I111" s="34" t="n">
        <x:v>36.480000000000004</x:v>
      </x:c>
      <x:c r="J111" s="38" t="n">
        <x:v>0.41614560000000006</x:v>
      </x:c>
      <x:c r="K111" s="38" t="n">
        <x:v>0.10365792000000004</x:v>
      </x:c>
      <x:c r="L111" s="28" t="n">
        <x:v>0.24909051062897222</x:v>
      </x:c>
    </x:row>
    <x:row r="112">
      <x:c r="A112" s="32" t="n">
        <x:v>45689</x:v>
      </x:c>
      <x:c r="B112" t="str">
        <x:v>Feb 2025</x:v>
      </x:c>
      <x:c r="C112" t="str">
        <x:v>Actual</x:v>
      </x:c>
      <x:c r="D112" t="str">
        <x:v>DB-102</x:v>
      </x:c>
      <x:c r="E112" t="str">
        <x:v>GlowPatch Balm</x:v>
      </x:c>
      <x:c r="F112" t="str">
        <x:v>Wholesale</x:v>
      </x:c>
      <x:c r="G112" t="str">
        <x:v>Retailer</x:v>
      </x:c>
      <x:c r="H112" t="str">
        <x:v>Canada</x:v>
      </x:c>
      <x:c r="I112" s="34" t="n">
        <x:v>11.4</x:v>
      </x:c>
      <x:c r="J112" s="38" t="n">
        <x:v>0.1300455</x:v>
      </x:c>
      <x:c r="K112" s="38" t="n">
        <x:v>0.032393100000000015</x:v>
      </x:c>
      <x:c r="L112" s="28" t="n">
        <x:v>0.24909051062897228</x:v>
      </x:c>
    </x:row>
    <x:row r="113">
      <x:c r="A113" s="32" t="n">
        <x:v>45689</x:v>
      </x:c>
      <x:c r="B113" t="str">
        <x:v>Feb 2025</x:v>
      </x:c>
      <x:c r="C113" t="str">
        <x:v>Actual</x:v>
      </x:c>
      <x:c r="D113" t="str">
        <x:v>DB-102</x:v>
      </x:c>
      <x:c r="E113" t="str">
        <x:v>GlowPatch Balm</x:v>
      </x:c>
      <x:c r="F113" t="str">
        <x:v>TikTok Shop</x:v>
      </x:c>
      <x:c r="G113" t="str">
        <x:v>Social Commerce</x:v>
      </x:c>
      <x:c r="H113" t="str">
        <x:v>US West</x:v>
      </x:c>
      <x:c r="I113" s="34" t="n">
        <x:v>59.160000000000004</x:v>
      </x:c>
      <x:c r="J113" s="38" t="n">
        <x:v>0.9136670400000001</x:v>
      </x:c>
      <x:c r="K113" s="38" t="n">
        <x:v>0.10669411344000003</x:v>
      </x:c>
      <x:c r="L113" s="28" t="n">
        <x:v>0.1167757057757058</x:v>
      </x:c>
    </x:row>
    <x:row r="114">
      <x:c r="A114" s="32" t="n">
        <x:v>45689</x:v>
      </x:c>
      <x:c r="B114" t="str">
        <x:v>Feb 2025</x:v>
      </x:c>
      <x:c r="C114" t="str">
        <x:v>Actual</x:v>
      </x:c>
      <x:c r="D114" t="str">
        <x:v>DB-102</x:v>
      </x:c>
      <x:c r="E114" t="str">
        <x:v>GlowPatch Balm</x:v>
      </x:c>
      <x:c r="F114" t="str">
        <x:v>TikTok Shop</x:v>
      </x:c>
      <x:c r="G114" t="str">
        <x:v>Social Commerce</x:v>
      </x:c>
      <x:c r="H114" t="str">
        <x:v>US Central</x:v>
      </x:c>
      <x:c r="I114" s="34" t="n">
        <x:v>41.76</x:v>
      </x:c>
      <x:c r="J114" s="38" t="n">
        <x:v>0.64494144</x:v>
      </x:c>
      <x:c r="K114" s="38" t="n">
        <x:v>0.07531349184000001</x:v>
      </x:c>
      <x:c r="L114" s="28" t="n">
        <x:v>0.1167757057757058</x:v>
      </x:c>
    </x:row>
    <x:row r="115">
      <x:c r="A115" s="32" t="n">
        <x:v>45689</x:v>
      </x:c>
      <x:c r="B115" t="str">
        <x:v>Feb 2025</x:v>
      </x:c>
      <x:c r="C115" t="str">
        <x:v>Actual</x:v>
      </x:c>
      <x:c r="D115" t="str">
        <x:v>DB-102</x:v>
      </x:c>
      <x:c r="E115" t="str">
        <x:v>GlowPatch Balm</x:v>
      </x:c>
      <x:c r="F115" t="str">
        <x:v>TikTok Shop</x:v>
      </x:c>
      <x:c r="G115" t="str">
        <x:v>Social Commerce</x:v>
      </x:c>
      <x:c r="H115" t="str">
        <x:v>US East</x:v>
      </x:c>
      <x:c r="I115" s="34" t="n">
        <x:v>55.68</x:v>
      </x:c>
      <x:c r="J115" s="38" t="n">
        <x:v>0.85992192</x:v>
      </x:c>
      <x:c r="K115" s="38" t="n">
        <x:v>0.10041798912000002</x:v>
      </x:c>
      <x:c r="L115" s="28" t="n">
        <x:v>0.1167757057757058</x:v>
      </x:c>
    </x:row>
    <x:row r="116">
      <x:c r="A116" s="32" t="n">
        <x:v>45689</x:v>
      </x:c>
      <x:c r="B116" t="str">
        <x:v>Feb 2025</x:v>
      </x:c>
      <x:c r="C116" t="str">
        <x:v>Actual</x:v>
      </x:c>
      <x:c r="D116" t="str">
        <x:v>DB-102</x:v>
      </x:c>
      <x:c r="E116" t="str">
        <x:v>GlowPatch Balm</x:v>
      </x:c>
      <x:c r="F116" t="str">
        <x:v>TikTok Shop</x:v>
      </x:c>
      <x:c r="G116" t="str">
        <x:v>Social Commerce</x:v>
      </x:c>
      <x:c r="H116" t="str">
        <x:v>Canada</x:v>
      </x:c>
      <x:c r="I116" s="34" t="n">
        <x:v>17.400000000000002</x:v>
      </x:c>
      <x:c r="J116" s="38" t="n">
        <x:v>0.2687256</x:v>
      </x:c>
      <x:c r="K116" s="38" t="n">
        <x:v>0.03138062160000001</x:v>
      </x:c>
      <x:c r="L116" s="28" t="n">
        <x:v>0.11677570577570581</x:v>
      </x:c>
    </x:row>
    <x:row r="117">
      <x:c r="A117" s="32" t="n">
        <x:v>45689</x:v>
      </x:c>
      <x:c r="B117" t="str">
        <x:v>Feb 2025</x:v>
      </x:c>
      <x:c r="C117" t="str">
        <x:v>Actual</x:v>
      </x:c>
      <x:c r="D117" t="str">
        <x:v>DB-103</x:v>
      </x:c>
      <x:c r="E117" t="str">
        <x:v>EmberTrail Camp Mug</x:v>
      </x:c>
      <x:c r="F117" t="str">
        <x:v>Shopify DTC</x:v>
      </x:c>
      <x:c r="G117" t="str">
        <x:v>Consumer</x:v>
      </x:c>
      <x:c r="H117" t="str">
        <x:v>US West</x:v>
      </x:c>
      <x:c r="I117" s="34" t="n">
        <x:v>165.92000000000002</x:v>
      </x:c>
      <x:c r="J117" s="38" t="n">
        <x:v>4.9045288320000004</x:v>
      </x:c>
      <x:c r="K117" s="38" t="n">
        <x:v>1.5225435758719998</x:v>
      </x:c>
      <x:c r="L117" s="28" t="n">
        <x:v>0.3104362575948253</x:v>
      </x:c>
    </x:row>
    <x:row r="118">
      <x:c r="A118" s="32" t="n">
        <x:v>45689</x:v>
      </x:c>
      <x:c r="B118" t="str">
        <x:v>Feb 2025</x:v>
      </x:c>
      <x:c r="C118" t="str">
        <x:v>Actual</x:v>
      </x:c>
      <x:c r="D118" t="str">
        <x:v>DB-103</x:v>
      </x:c>
      <x:c r="E118" t="str">
        <x:v>EmberTrail Camp Mug</x:v>
      </x:c>
      <x:c r="F118" t="str">
        <x:v>Shopify DTC</x:v>
      </x:c>
      <x:c r="G118" t="str">
        <x:v>Consumer</x:v>
      </x:c>
      <x:c r="H118" t="str">
        <x:v>US Central</x:v>
      </x:c>
      <x:c r="I118" s="34" t="n">
        <x:v>117.11999999999999</x:v>
      </x:c>
      <x:c r="J118" s="38" t="n">
        <x:v>3.462020352</x:v>
      </x:c>
      <x:c r="K118" s="38" t="n">
        <x:v>1.074736641792</x:v>
      </x:c>
      <x:c r="L118" s="28" t="n">
        <x:v>0.31043625759482535</x:v>
      </x:c>
    </x:row>
    <x:row r="119">
      <x:c r="A119" s="32" t="n">
        <x:v>45689</x:v>
      </x:c>
      <x:c r="B119" t="str">
        <x:v>Feb 2025</x:v>
      </x:c>
      <x:c r="C119" t="str">
        <x:v>Actual</x:v>
      </x:c>
      <x:c r="D119" t="str">
        <x:v>DB-103</x:v>
      </x:c>
      <x:c r="E119" t="str">
        <x:v>EmberTrail Camp Mug</x:v>
      </x:c>
      <x:c r="F119" t="str">
        <x:v>Shopify DTC</x:v>
      </x:c>
      <x:c r="G119" t="str">
        <x:v>Consumer</x:v>
      </x:c>
      <x:c r="H119" t="str">
        <x:v>US East</x:v>
      </x:c>
      <x:c r="I119" s="34" t="n">
        <x:v>156.16</x:v>
      </x:c>
      <x:c r="J119" s="38" t="n">
        <x:v>4.6160271360000005</x:v>
      </x:c>
      <x:c r="K119" s="38" t="n">
        <x:v>1.432982189056</x:v>
      </x:c>
      <x:c r="L119" s="28" t="n">
        <x:v>0.31043625759482535</x:v>
      </x:c>
    </x:row>
    <x:row r="120">
      <x:c r="A120" s="32" t="n">
        <x:v>45689</x:v>
      </x:c>
      <x:c r="B120" t="str">
        <x:v>Feb 2025</x:v>
      </x:c>
      <x:c r="C120" t="str">
        <x:v>Actual</x:v>
      </x:c>
      <x:c r="D120" t="str">
        <x:v>DB-103</x:v>
      </x:c>
      <x:c r="E120" t="str">
        <x:v>EmberTrail Camp Mug</x:v>
      </x:c>
      <x:c r="F120" t="str">
        <x:v>Shopify DTC</x:v>
      </x:c>
      <x:c r="G120" t="str">
        <x:v>Consumer</x:v>
      </x:c>
      <x:c r="H120" t="str">
        <x:v>Canada</x:v>
      </x:c>
      <x:c r="I120" s="34" t="n">
        <x:v>48.800000000000004</x:v>
      </x:c>
      <x:c r="J120" s="38" t="n">
        <x:v>1.44250848</x:v>
      </x:c>
      <x:c r="K120" s="38" t="n">
        <x:v>0.44780693407999994</x:v>
      </x:c>
      <x:c r="L120" s="28" t="n">
        <x:v>0.3104362575948253</x:v>
      </x:c>
    </x:row>
    <x:row r="121">
      <x:c r="A121" s="32" t="n">
        <x:v>45689</x:v>
      </x:c>
      <x:c r="B121" t="str">
        <x:v>Feb 2025</x:v>
      </x:c>
      <x:c r="C121" t="str">
        <x:v>Actual</x:v>
      </x:c>
      <x:c r="D121" t="str">
        <x:v>DB-103</x:v>
      </x:c>
      <x:c r="E121" t="str">
        <x:v>EmberTrail Camp Mug</x:v>
      </x:c>
      <x:c r="F121" t="str">
        <x:v>Amazon Marketplace</x:v>
      </x:c>
      <x:c r="G121" t="str">
        <x:v>Marketplace Consumer</x:v>
      </x:c>
      <x:c r="H121" t="str">
        <x:v>US West</x:v>
      </x:c>
      <x:c r="I121" s="34" t="n">
        <x:v>97.92</x:v>
      </x:c>
      <x:c r="J121" s="38" t="n">
        <x:v>2.98886112</x:v>
      </x:c>
      <x:c r="K121" s="38" t="n">
        <x:v>0.47677003199999995</x:v>
      </x:c>
      <x:c r="L121" s="28" t="n">
        <x:v>0.1595156191131423</x:v>
      </x:c>
    </x:row>
    <x:row r="122">
      <x:c r="A122" s="32" t="n">
        <x:v>45689</x:v>
      </x:c>
      <x:c r="B122" t="str">
        <x:v>Feb 2025</x:v>
      </x:c>
      <x:c r="C122" t="str">
        <x:v>Actual</x:v>
      </x:c>
      <x:c r="D122" t="str">
        <x:v>DB-103</x:v>
      </x:c>
      <x:c r="E122" t="str">
        <x:v>EmberTrail Camp Mug</x:v>
      </x:c>
      <x:c r="F122" t="str">
        <x:v>Amazon Marketplace</x:v>
      </x:c>
      <x:c r="G122" t="str">
        <x:v>Marketplace Consumer</x:v>
      </x:c>
      <x:c r="H122" t="str">
        <x:v>US Central</x:v>
      </x:c>
      <x:c r="I122" s="34" t="n">
        <x:v>69.12</x:v>
      </x:c>
      <x:c r="J122" s="38" t="n">
        <x:v>2.1097843199999997</x:v>
      </x:c>
      <x:c r="K122" s="38" t="n">
        <x:v>0.3365435519999999</x:v>
      </x:c>
      <x:c r="L122" s="28" t="n">
        <x:v>0.15951561911314233</x:v>
      </x:c>
    </x:row>
    <x:row r="123">
      <x:c r="A123" s="32" t="n">
        <x:v>45689</x:v>
      </x:c>
      <x:c r="B123" t="str">
        <x:v>Feb 2025</x:v>
      </x:c>
      <x:c r="C123" t="str">
        <x:v>Actual</x:v>
      </x:c>
      <x:c r="D123" t="str">
        <x:v>DB-103</x:v>
      </x:c>
      <x:c r="E123" t="str">
        <x:v>EmberTrail Camp Mug</x:v>
      </x:c>
      <x:c r="F123" t="str">
        <x:v>Amazon Marketplace</x:v>
      </x:c>
      <x:c r="G123" t="str">
        <x:v>Marketplace Consumer</x:v>
      </x:c>
      <x:c r="H123" t="str">
        <x:v>US East</x:v>
      </x:c>
      <x:c r="I123" s="34" t="n">
        <x:v>92.16</x:v>
      </x:c>
      <x:c r="J123" s="38" t="n">
        <x:v>2.81304576</x:v>
      </x:c>
      <x:c r="K123" s="38" t="n">
        <x:v>0.44872473599999996</x:v>
      </x:c>
      <x:c r="L123" s="28" t="n">
        <x:v>0.15951561911314233</x:v>
      </x:c>
    </x:row>
    <x:row r="124">
      <x:c r="A124" s="32" t="n">
        <x:v>45689</x:v>
      </x:c>
      <x:c r="B124" t="str">
        <x:v>Feb 2025</x:v>
      </x:c>
      <x:c r="C124" t="str">
        <x:v>Actual</x:v>
      </x:c>
      <x:c r="D124" t="str">
        <x:v>DB-103</x:v>
      </x:c>
      <x:c r="E124" t="str">
        <x:v>EmberTrail Camp Mug</x:v>
      </x:c>
      <x:c r="F124" t="str">
        <x:v>Amazon Marketplace</x:v>
      </x:c>
      <x:c r="G124" t="str">
        <x:v>Marketplace Consumer</x:v>
      </x:c>
      <x:c r="H124" t="str">
        <x:v>Canada</x:v>
      </x:c>
      <x:c r="I124" s="34" t="n">
        <x:v>28.8</x:v>
      </x:c>
      <x:c r="J124" s="38" t="n">
        <x:v>0.8790768</x:v>
      </x:c>
      <x:c r="K124" s="38" t="n">
        <x:v>0.14022648</x:v>
      </x:c>
      <x:c r="L124" s="28" t="n">
        <x:v>0.15951561911314233</x:v>
      </x:c>
    </x:row>
    <x:row r="125">
      <x:c r="A125" s="32" t="n">
        <x:v>45689</x:v>
      </x:c>
      <x:c r="B125" t="str">
        <x:v>Feb 2025</x:v>
      </x:c>
      <x:c r="C125" t="str">
        <x:v>Actual</x:v>
      </x:c>
      <x:c r="D125" t="str">
        <x:v>DB-103</x:v>
      </x:c>
      <x:c r="E125" t="str">
        <x:v>EmberTrail Camp Mug</x:v>
      </x:c>
      <x:c r="F125" t="str">
        <x:v>Wholesale</x:v>
      </x:c>
      <x:c r="G125" t="str">
        <x:v>Retailer</x:v>
      </x:c>
      <x:c r="H125" t="str">
        <x:v>US West</x:v>
      </x:c>
      <x:c r="I125" s="34" t="n">
        <x:v>27.200000000000003</x:v>
      </x:c>
      <x:c r="J125" s="38" t="n">
        <x:v>0.5680584000000001</x:v>
      </x:c>
      <x:c r="K125" s="38" t="n">
        <x:v>0.10903120000000013</x:v>
      </x:c>
      <x:c r="L125" s="28" t="n">
        <x:v>0.1919366037013098</x:v>
      </x:c>
    </x:row>
    <x:row r="126">
      <x:c r="A126" s="32" t="n">
        <x:v>45689</x:v>
      </x:c>
      <x:c r="B126" t="str">
        <x:v>Feb 2025</x:v>
      </x:c>
      <x:c r="C126" t="str">
        <x:v>Actual</x:v>
      </x:c>
      <x:c r="D126" t="str">
        <x:v>DB-103</x:v>
      </x:c>
      <x:c r="E126" t="str">
        <x:v>EmberTrail Camp Mug</x:v>
      </x:c>
      <x:c r="F126" t="str">
        <x:v>Wholesale</x:v>
      </x:c>
      <x:c r="G126" t="str">
        <x:v>Retailer</x:v>
      </x:c>
      <x:c r="H126" t="str">
        <x:v>US Central</x:v>
      </x:c>
      <x:c r="I126" s="34" t="n">
        <x:v>19.2</x:v>
      </x:c>
      <x:c r="J126" s="38" t="n">
        <x:v>0.4009824</x:v>
      </x:c>
      <x:c r="K126" s="38" t="n">
        <x:v>0.07696320000000008</x:v>
      </x:c>
      <x:c r="L126" s="28" t="n">
        <x:v>0.19193660370130977</x:v>
      </x:c>
    </x:row>
    <x:row r="127">
      <x:c r="A127" s="32" t="n">
        <x:v>45689</x:v>
      </x:c>
      <x:c r="B127" t="str">
        <x:v>Feb 2025</x:v>
      </x:c>
      <x:c r="C127" t="str">
        <x:v>Actual</x:v>
      </x:c>
      <x:c r="D127" t="str">
        <x:v>DB-103</x:v>
      </x:c>
      <x:c r="E127" t="str">
        <x:v>EmberTrail Camp Mug</x:v>
      </x:c>
      <x:c r="F127" t="str">
        <x:v>Wholesale</x:v>
      </x:c>
      <x:c r="G127" t="str">
        <x:v>Retailer</x:v>
      </x:c>
      <x:c r="H127" t="str">
        <x:v>US East</x:v>
      </x:c>
      <x:c r="I127" s="34" t="n">
        <x:v>25.6</x:v>
      </x:c>
      <x:c r="J127" s="38" t="n">
        <x:v>0.5346432000000001</x:v>
      </x:c>
      <x:c r="K127" s="38" t="n">
        <x:v>0.10261760000000011</x:v>
      </x:c>
      <x:c r="L127" s="28" t="n">
        <x:v>0.19193660370130977</x:v>
      </x:c>
    </x:row>
    <x:row r="128">
      <x:c r="A128" s="32" t="n">
        <x:v>45689</x:v>
      </x:c>
      <x:c r="B128" t="str">
        <x:v>Feb 2025</x:v>
      </x:c>
      <x:c r="C128" t="str">
        <x:v>Actual</x:v>
      </x:c>
      <x:c r="D128" t="str">
        <x:v>DB-103</x:v>
      </x:c>
      <x:c r="E128" t="str">
        <x:v>EmberTrail Camp Mug</x:v>
      </x:c>
      <x:c r="F128" t="str">
        <x:v>Wholesale</x:v>
      </x:c>
      <x:c r="G128" t="str">
        <x:v>Retailer</x:v>
      </x:c>
      <x:c r="H128" t="str">
        <x:v>Canada</x:v>
      </x:c>
      <x:c r="I128" s="34" t="n">
        <x:v>8</x:v>
      </x:c>
      <x:c r="J128" s="38" t="n">
        <x:v>0.16707600000000003</x:v>
      </x:c>
      <x:c r="K128" s="38" t="n">
        <x:v>0.032068000000000034</x:v>
      </x:c>
      <x:c r="L128" s="28" t="n">
        <x:v>0.19193660370130974</x:v>
      </x:c>
    </x:row>
    <x:row r="129">
      <x:c r="A129" s="32" t="n">
        <x:v>45689</x:v>
      </x:c>
      <x:c r="B129" t="str">
        <x:v>Feb 2025</x:v>
      </x:c>
      <x:c r="C129" t="str">
        <x:v>Actual</x:v>
      </x:c>
      <x:c r="D129" t="str">
        <x:v>DB-103</x:v>
      </x:c>
      <x:c r="E129" t="str">
        <x:v>EmberTrail Camp Mug</x:v>
      </x:c>
      <x:c r="F129" t="str">
        <x:v>TikTok Shop</x:v>
      </x:c>
      <x:c r="G129" t="str">
        <x:v>Social Commerce</x:v>
      </x:c>
      <x:c r="H129" t="str">
        <x:v>US West</x:v>
      </x:c>
      <x:c r="I129" s="34" t="n">
        <x:v>42.160000000000004</x:v>
      </x:c>
      <x:c r="J129" s="38" t="n">
        <x:v>1.192048704</x:v>
      </x:c>
      <x:c r="K129" s="38" t="n">
        <x:v>0.21847220934400013</x:v>
      </x:c>
      <x:c r="L129" s="28" t="n">
        <x:v>0.18327456639221354</x:v>
      </x:c>
    </x:row>
    <x:row r="130">
      <x:c r="A130" s="32" t="n">
        <x:v>45689</x:v>
      </x:c>
      <x:c r="B130" t="str">
        <x:v>Feb 2025</x:v>
      </x:c>
      <x:c r="C130" t="str">
        <x:v>Actual</x:v>
      </x:c>
      <x:c r="D130" t="str">
        <x:v>DB-103</x:v>
      </x:c>
      <x:c r="E130" t="str">
        <x:v>EmberTrail Camp Mug</x:v>
      </x:c>
      <x:c r="F130" t="str">
        <x:v>TikTok Shop</x:v>
      </x:c>
      <x:c r="G130" t="str">
        <x:v>Social Commerce</x:v>
      </x:c>
      <x:c r="H130" t="str">
        <x:v>US Central</x:v>
      </x:c>
      <x:c r="I130" s="34" t="n">
        <x:v>29.759999999999998</x:v>
      </x:c>
      <x:c r="J130" s="38" t="n">
        <x:v>0.841446144</x:v>
      </x:c>
      <x:c r="K130" s="38" t="n">
        <x:v>0.1542156771840001</x:v>
      </x:c>
      <x:c r="L130" s="28" t="n">
        <x:v>0.18327456639221357</x:v>
      </x:c>
    </x:row>
    <x:row r="131">
      <x:c r="A131" s="32" t="n">
        <x:v>45689</x:v>
      </x:c>
      <x:c r="B131" t="str">
        <x:v>Feb 2025</x:v>
      </x:c>
      <x:c r="C131" t="str">
        <x:v>Actual</x:v>
      </x:c>
      <x:c r="D131" t="str">
        <x:v>DB-103</x:v>
      </x:c>
      <x:c r="E131" t="str">
        <x:v>EmberTrail Camp Mug</x:v>
      </x:c>
      <x:c r="F131" t="str">
        <x:v>TikTok Shop</x:v>
      </x:c>
      <x:c r="G131" t="str">
        <x:v>Social Commerce</x:v>
      </x:c>
      <x:c r="H131" t="str">
        <x:v>US East</x:v>
      </x:c>
      <x:c r="I131" s="34" t="n">
        <x:v>39.68</x:v>
      </x:c>
      <x:c r="J131" s="38" t="n">
        <x:v>1.1219281920000002</x:v>
      </x:c>
      <x:c r="K131" s="38" t="n">
        <x:v>0.2056209029120001</x:v>
      </x:c>
      <x:c r="L131" s="28" t="n">
        <x:v>0.1832745663922135</x:v>
      </x:c>
    </x:row>
    <x:row r="132">
      <x:c r="A132" s="32" t="n">
        <x:v>45689</x:v>
      </x:c>
      <x:c r="B132" t="str">
        <x:v>Feb 2025</x:v>
      </x:c>
      <x:c r="C132" t="str">
        <x:v>Actual</x:v>
      </x:c>
      <x:c r="D132" t="str">
        <x:v>DB-103</x:v>
      </x:c>
      <x:c r="E132" t="str">
        <x:v>EmberTrail Camp Mug</x:v>
      </x:c>
      <x:c r="F132" t="str">
        <x:v>TikTok Shop</x:v>
      </x:c>
      <x:c r="G132" t="str">
        <x:v>Social Commerce</x:v>
      </x:c>
      <x:c r="H132" t="str">
        <x:v>Canada</x:v>
      </x:c>
      <x:c r="I132" s="34" t="n">
        <x:v>12.4</x:v>
      </x:c>
      <x:c r="J132" s="38" t="n">
        <x:v>0.35060256</x:v>
      </x:c>
      <x:c r="K132" s="38" t="n">
        <x:v>0.06425653216000003</x:v>
      </x:c>
      <x:c r="L132" s="28" t="n">
        <x:v>0.18327456639221354</x:v>
      </x:c>
    </x:row>
    <x:row r="133">
      <x:c r="A133" s="32" t="n">
        <x:v>45689</x:v>
      </x:c>
      <x:c r="B133" t="str">
        <x:v>Feb 2025</x:v>
      </x:c>
      <x:c r="C133" t="str">
        <x:v>Actual</x:v>
      </x:c>
      <x:c r="D133" t="str">
        <x:v>DB-104</x:v>
      </x:c>
      <x:c r="E133" t="str">
        <x:v>SunNest Cooling Towel</x:v>
      </x:c>
      <x:c r="F133" t="str">
        <x:v>Shopify DTC</x:v>
      </x:c>
      <x:c r="G133" t="str">
        <x:v>Consumer</x:v>
      </x:c>
      <x:c r="H133" t="str">
        <x:v>US West</x:v>
      </x:c>
      <x:c r="I133" s="34" t="n">
        <x:v>115.94000000000001</x:v>
      </x:c>
      <x:c r="J133" s="38" t="n">
        <x:v>4.255925520000001</x:v>
      </x:c>
      <x:c r="K133" s="38" t="n">
        <x:v>1.7119083599200002</x:v>
      </x:c>
      <x:c r="L133" s="28" t="n">
        <x:v>0.40224114634412117</x:v>
      </x:c>
    </x:row>
    <x:row r="134">
      <x:c r="A134" s="32" t="n">
        <x:v>45689</x:v>
      </x:c>
      <x:c r="B134" t="str">
        <x:v>Feb 2025</x:v>
      </x:c>
      <x:c r="C134" t="str">
        <x:v>Actual</x:v>
      </x:c>
      <x:c r="D134" t="str">
        <x:v>DB-104</x:v>
      </x:c>
      <x:c r="E134" t="str">
        <x:v>SunNest Cooling Towel</x:v>
      </x:c>
      <x:c r="F134" t="str">
        <x:v>Shopify DTC</x:v>
      </x:c>
      <x:c r="G134" t="str">
        <x:v>Consumer</x:v>
      </x:c>
      <x:c r="H134" t="str">
        <x:v>US Central</x:v>
      </x:c>
      <x:c r="I134" s="34" t="n">
        <x:v>81.84</x:v>
      </x:c>
      <x:c r="J134" s="38" t="n">
        <x:v>3.00418272</x:v>
      </x:c>
      <x:c r="K134" s="38" t="n">
        <x:v>1.2084059011200001</x:v>
      </x:c>
      <x:c r="L134" s="28" t="n">
        <x:v>0.40224114634412117</x:v>
      </x:c>
    </x:row>
    <x:row r="135">
      <x:c r="A135" s="32" t="n">
        <x:v>45689</x:v>
      </x:c>
      <x:c r="B135" t="str">
        <x:v>Feb 2025</x:v>
      </x:c>
      <x:c r="C135" t="str">
        <x:v>Actual</x:v>
      </x:c>
      <x:c r="D135" t="str">
        <x:v>DB-104</x:v>
      </x:c>
      <x:c r="E135" t="str">
        <x:v>SunNest Cooling Towel</x:v>
      </x:c>
      <x:c r="F135" t="str">
        <x:v>Shopify DTC</x:v>
      </x:c>
      <x:c r="G135" t="str">
        <x:v>Consumer</x:v>
      </x:c>
      <x:c r="H135" t="str">
        <x:v>US East</x:v>
      </x:c>
      <x:c r="I135" s="34" t="n">
        <x:v>109.12</x:v>
      </x:c>
      <x:c r="J135" s="38" t="n">
        <x:v>4.00557696</x:v>
      </x:c>
      <x:c r="K135" s="38" t="n">
        <x:v>1.6112078681600002</x:v>
      </x:c>
      <x:c r="L135" s="28" t="n">
        <x:v>0.4022411463441212</x:v>
      </x:c>
    </x:row>
    <x:row r="136">
      <x:c r="A136" s="32" t="n">
        <x:v>45689</x:v>
      </x:c>
      <x:c r="B136" t="str">
        <x:v>Feb 2025</x:v>
      </x:c>
      <x:c r="C136" t="str">
        <x:v>Actual</x:v>
      </x:c>
      <x:c r="D136" t="str">
        <x:v>DB-104</x:v>
      </x:c>
      <x:c r="E136" t="str">
        <x:v>SunNest Cooling Towel</x:v>
      </x:c>
      <x:c r="F136" t="str">
        <x:v>Shopify DTC</x:v>
      </x:c>
      <x:c r="G136" t="str">
        <x:v>Consumer</x:v>
      </x:c>
      <x:c r="H136" t="str">
        <x:v>Canada</x:v>
      </x:c>
      <x:c r="I136" s="34" t="n">
        <x:v>34.1</x:v>
      </x:c>
      <x:c r="J136" s="38" t="n">
        <x:v>1.2517428000000002</x:v>
      </x:c>
      <x:c r="K136" s="38" t="n">
        <x:v>0.5035024588000001</x:v>
      </x:c>
      <x:c r="L136" s="28" t="n">
        <x:v>0.4022411463441212</x:v>
      </x:c>
    </x:row>
    <x:row r="137">
      <x:c r="A137" s="32" t="n">
        <x:v>45689</x:v>
      </x:c>
      <x:c r="B137" t="str">
        <x:v>Feb 2025</x:v>
      </x:c>
      <x:c r="C137" t="str">
        <x:v>Actual</x:v>
      </x:c>
      <x:c r="D137" t="str">
        <x:v>DB-104</x:v>
      </x:c>
      <x:c r="E137" t="str">
        <x:v>SunNest Cooling Towel</x:v>
      </x:c>
      <x:c r="F137" t="str">
        <x:v>Amazon Marketplace</x:v>
      </x:c>
      <x:c r="G137" t="str">
        <x:v>Marketplace Consumer</x:v>
      </x:c>
      <x:c r="H137" t="str">
        <x:v>US West</x:v>
      </x:c>
      <x:c r="I137" s="34" t="n">
        <x:v>68.34</x:v>
      </x:c>
      <x:c r="J137" s="38" t="n">
        <x:v>2.5904277</x:v>
      </x:c>
      <x:c r="K137" s="38" t="n">
        <x:v>0.6691340250000001</x:v>
      </x:c>
      <x:c r="L137" s="28" t="n">
        <x:v>0.25831024930747926</x:v>
      </x:c>
    </x:row>
    <x:row r="138">
      <x:c r="A138" s="32" t="n">
        <x:v>45689</x:v>
      </x:c>
      <x:c r="B138" t="str">
        <x:v>Feb 2025</x:v>
      </x:c>
      <x:c r="C138" t="str">
        <x:v>Actual</x:v>
      </x:c>
      <x:c r="D138" t="str">
        <x:v>DB-104</x:v>
      </x:c>
      <x:c r="E138" t="str">
        <x:v>SunNest Cooling Towel</x:v>
      </x:c>
      <x:c r="F138" t="str">
        <x:v>Amazon Marketplace</x:v>
      </x:c>
      <x:c r="G138" t="str">
        <x:v>Marketplace Consumer</x:v>
      </x:c>
      <x:c r="H138" t="str">
        <x:v>US Central</x:v>
      </x:c>
      <x:c r="I138" s="34" t="n">
        <x:v>48.239999999999995</x:v>
      </x:c>
      <x:c r="J138" s="38" t="n">
        <x:v>1.8285372000000002</x:v>
      </x:c>
      <x:c r="K138" s="38" t="n">
        <x:v>0.4723299</x:v>
      </x:c>
      <x:c r="L138" s="28" t="n">
        <x:v>0.2583102493074792</x:v>
      </x:c>
    </x:row>
    <x:row r="139">
      <x:c r="A139" s="32" t="n">
        <x:v>45689</x:v>
      </x:c>
      <x:c r="B139" t="str">
        <x:v>Feb 2025</x:v>
      </x:c>
      <x:c r="C139" t="str">
        <x:v>Actual</x:v>
      </x:c>
      <x:c r="D139" t="str">
        <x:v>DB-104</x:v>
      </x:c>
      <x:c r="E139" t="str">
        <x:v>SunNest Cooling Towel</x:v>
      </x:c>
      <x:c r="F139" t="str">
        <x:v>Amazon Marketplace</x:v>
      </x:c>
      <x:c r="G139" t="str">
        <x:v>Marketplace Consumer</x:v>
      </x:c>
      <x:c r="H139" t="str">
        <x:v>US East</x:v>
      </x:c>
      <x:c r="I139" s="34" t="n">
        <x:v>64.32000000000001</x:v>
      </x:c>
      <x:c r="J139" s="38" t="n">
        <x:v>2.4380496000000003</x:v>
      </x:c>
      <x:c r="K139" s="38" t="n">
        <x:v>0.6297732</x:v>
      </x:c>
      <x:c r="L139" s="28" t="n">
        <x:v>0.2583102493074792</x:v>
      </x:c>
    </x:row>
    <x:row r="140">
      <x:c r="A140" s="32" t="n">
        <x:v>45689</x:v>
      </x:c>
      <x:c r="B140" t="str">
        <x:v>Feb 2025</x:v>
      </x:c>
      <x:c r="C140" t="str">
        <x:v>Actual</x:v>
      </x:c>
      <x:c r="D140" t="str">
        <x:v>DB-104</x:v>
      </x:c>
      <x:c r="E140" t="str">
        <x:v>SunNest Cooling Towel</x:v>
      </x:c>
      <x:c r="F140" t="str">
        <x:v>Amazon Marketplace</x:v>
      </x:c>
      <x:c r="G140" t="str">
        <x:v>Marketplace Consumer</x:v>
      </x:c>
      <x:c r="H140" t="str">
        <x:v>Canada</x:v>
      </x:c>
      <x:c r="I140" s="34" t="n">
        <x:v>20.1</x:v>
      </x:c>
      <x:c r="J140" s="38" t="n">
        <x:v>0.7618905000000001</x:v>
      </x:c>
      <x:c r="K140" s="38" t="n">
        <x:v>0.19680412500000002</x:v>
      </x:c>
      <x:c r="L140" s="28" t="n">
        <x:v>0.2583102493074792</x:v>
      </x:c>
    </x:row>
    <x:row r="141">
      <x:c r="A141" s="32" t="n">
        <x:v>45689</x:v>
      </x:c>
      <x:c r="B141" t="str">
        <x:v>Feb 2025</x:v>
      </x:c>
      <x:c r="C141" t="str">
        <x:v>Actual</x:v>
      </x:c>
      <x:c r="D141" t="str">
        <x:v>DB-104</x:v>
      </x:c>
      <x:c r="E141" t="str">
        <x:v>SunNest Cooling Towel</x:v>
      </x:c>
      <x:c r="F141" t="str">
        <x:v>Wholesale</x:v>
      </x:c>
      <x:c r="G141" t="str">
        <x:v>Retailer</x:v>
      </x:c>
      <x:c r="H141" t="str">
        <x:v>US West</x:v>
      </x:c>
      <x:c r="I141" s="34" t="n">
        <x:v>19.040000000000003</x:v>
      </x:c>
      <x:c r="J141" s="38" t="n">
        <x:v>0.4938024</x:v>
      </x:c>
      <x:c r="K141" s="38" t="n">
        <x:v>0.14674127999999992</x:v>
      </x:c>
      <x:c r="L141" s="28" t="n">
        <x:v>0.2971659919028339</x:v>
      </x:c>
    </x:row>
    <x:row r="142">
      <x:c r="A142" s="32" t="n">
        <x:v>45689</x:v>
      </x:c>
      <x:c r="B142" t="str">
        <x:v>Feb 2025</x:v>
      </x:c>
      <x:c r="C142" t="str">
        <x:v>Actual</x:v>
      </x:c>
      <x:c r="D142" t="str">
        <x:v>DB-104</x:v>
      </x:c>
      <x:c r="E142" t="str">
        <x:v>SunNest Cooling Towel</x:v>
      </x:c>
      <x:c r="F142" t="str">
        <x:v>Wholesale</x:v>
      </x:c>
      <x:c r="G142" t="str">
        <x:v>Retailer</x:v>
      </x:c>
      <x:c r="H142" t="str">
        <x:v>US Central</x:v>
      </x:c>
      <x:c r="I142" s="34" t="n">
        <x:v>13.44</x:v>
      </x:c>
      <x:c r="J142" s="38" t="n">
        <x:v>0.34856639999999994</x:v>
      </x:c>
      <x:c r="K142" s="38" t="n">
        <x:v>0.10358207999999994</x:v>
      </x:c>
      <x:c r="L142" s="28" t="n">
        <x:v>0.2971659919028339</x:v>
      </x:c>
    </x:row>
    <x:row r="143">
      <x:c r="A143" s="32" t="n">
        <x:v>45689</x:v>
      </x:c>
      <x:c r="B143" t="str">
        <x:v>Feb 2025</x:v>
      </x:c>
      <x:c r="C143" t="str">
        <x:v>Actual</x:v>
      </x:c>
      <x:c r="D143" t="str">
        <x:v>DB-104</x:v>
      </x:c>
      <x:c r="E143" t="str">
        <x:v>SunNest Cooling Towel</x:v>
      </x:c>
      <x:c r="F143" t="str">
        <x:v>Wholesale</x:v>
      </x:c>
      <x:c r="G143" t="str">
        <x:v>Retailer</x:v>
      </x:c>
      <x:c r="H143" t="str">
        <x:v>US East</x:v>
      </x:c>
      <x:c r="I143" s="34" t="n">
        <x:v>17.92</x:v>
      </x:c>
      <x:c r="J143" s="38" t="n">
        <x:v>0.4647552</x:v>
      </x:c>
      <x:c r="K143" s="38" t="n">
        <x:v>0.13810943999999992</x:v>
      </x:c>
      <x:c r="L143" s="28" t="n">
        <x:v>0.2971659919028338</x:v>
      </x:c>
    </x:row>
    <x:row r="144">
      <x:c r="A144" s="32" t="n">
        <x:v>45689</x:v>
      </x:c>
      <x:c r="B144" t="str">
        <x:v>Feb 2025</x:v>
      </x:c>
      <x:c r="C144" t="str">
        <x:v>Actual</x:v>
      </x:c>
      <x:c r="D144" t="str">
        <x:v>DB-104</x:v>
      </x:c>
      <x:c r="E144" t="str">
        <x:v>SunNest Cooling Towel</x:v>
      </x:c>
      <x:c r="F144" t="str">
        <x:v>Wholesale</x:v>
      </x:c>
      <x:c r="G144" t="str">
        <x:v>Retailer</x:v>
      </x:c>
      <x:c r="H144" t="str">
        <x:v>Canada</x:v>
      </x:c>
      <x:c r="I144" s="34" t="n">
        <x:v>5.6000000000000005</x:v>
      </x:c>
      <x:c r="J144" s="38" t="n">
        <x:v>0.145236</x:v>
      </x:c>
      <x:c r="K144" s="38" t="n">
        <x:v>0.04315919999999998</x:v>
      </x:c>
      <x:c r="L144" s="28" t="n">
        <x:v>0.2971659919028339</x:v>
      </x:c>
    </x:row>
    <x:row r="145">
      <x:c r="A145" s="32" t="n">
        <x:v>45689</x:v>
      </x:c>
      <x:c r="B145" t="str">
        <x:v>Feb 2025</x:v>
      </x:c>
      <x:c r="C145" t="str">
        <x:v>Actual</x:v>
      </x:c>
      <x:c r="D145" t="str">
        <x:v>DB-104</x:v>
      </x:c>
      <x:c r="E145" t="str">
        <x:v>SunNest Cooling Towel</x:v>
      </x:c>
      <x:c r="F145" t="str">
        <x:v>TikTok Shop</x:v>
      </x:c>
      <x:c r="G145" t="str">
        <x:v>Social Commerce</x:v>
      </x:c>
      <x:c r="H145" t="str">
        <x:v>US West</x:v>
      </x:c>
      <x:c r="I145" s="34" t="n">
        <x:v>28.900000000000002</x:v>
      </x:c>
      <x:c r="J145" s="38" t="n">
        <x:v>1.0147368</x:v>
      </x:c>
      <x:c r="K145" s="38" t="n">
        <x:v>0.2907060248</x:v>
      </x:c>
      <x:c r="L145" s="28" t="n">
        <x:v>0.2864841649578492</x:v>
      </x:c>
    </x:row>
    <x:row r="146">
      <x:c r="A146" s="32" t="n">
        <x:v>45689</x:v>
      </x:c>
      <x:c r="B146" t="str">
        <x:v>Feb 2025</x:v>
      </x:c>
      <x:c r="C146" t="str">
        <x:v>Actual</x:v>
      </x:c>
      <x:c r="D146" t="str">
        <x:v>DB-104</x:v>
      </x:c>
      <x:c r="E146" t="str">
        <x:v>SunNest Cooling Towel</x:v>
      </x:c>
      <x:c r="F146" t="str">
        <x:v>TikTok Shop</x:v>
      </x:c>
      <x:c r="G146" t="str">
        <x:v>Social Commerce</x:v>
      </x:c>
      <x:c r="H146" t="str">
        <x:v>US Central</x:v>
      </x:c>
      <x:c r="I146" s="34" t="n">
        <x:v>20.4</x:v>
      </x:c>
      <x:c r="J146" s="38" t="n">
        <x:v>0.7162847999999999</x:v>
      </x:c>
      <x:c r="K146" s="38" t="n">
        <x:v>0.2052042528</x:v>
      </x:c>
      <x:c r="L146" s="28" t="n">
        <x:v>0.2864841649578492</x:v>
      </x:c>
    </x:row>
    <x:row r="147">
      <x:c r="A147" s="32" t="n">
        <x:v>45689</x:v>
      </x:c>
      <x:c r="B147" t="str">
        <x:v>Feb 2025</x:v>
      </x:c>
      <x:c r="C147" t="str">
        <x:v>Actual</x:v>
      </x:c>
      <x:c r="D147" t="str">
        <x:v>DB-104</x:v>
      </x:c>
      <x:c r="E147" t="str">
        <x:v>SunNest Cooling Towel</x:v>
      </x:c>
      <x:c r="F147" t="str">
        <x:v>TikTok Shop</x:v>
      </x:c>
      <x:c r="G147" t="str">
        <x:v>Social Commerce</x:v>
      </x:c>
      <x:c r="H147" t="str">
        <x:v>US East</x:v>
      </x:c>
      <x:c r="I147" s="34" t="n">
        <x:v>27.2</x:v>
      </x:c>
      <x:c r="J147" s="38" t="n">
        <x:v>0.9550464</x:v>
      </x:c>
      <x:c r="K147" s="38" t="n">
        <x:v>0.2736056704</x:v>
      </x:c>
      <x:c r="L147" s="28" t="n">
        <x:v>0.2864841649578492</x:v>
      </x:c>
    </x:row>
    <x:row r="148">
      <x:c r="A148" s="32" t="n">
        <x:v>45689</x:v>
      </x:c>
      <x:c r="B148" t="str">
        <x:v>Feb 2025</x:v>
      </x:c>
      <x:c r="C148" t="str">
        <x:v>Actual</x:v>
      </x:c>
      <x:c r="D148" t="str">
        <x:v>DB-104</x:v>
      </x:c>
      <x:c r="E148" t="str">
        <x:v>SunNest Cooling Towel</x:v>
      </x:c>
      <x:c r="F148" t="str">
        <x:v>TikTok Shop</x:v>
      </x:c>
      <x:c r="G148" t="str">
        <x:v>Social Commerce</x:v>
      </x:c>
      <x:c r="H148" t="str">
        <x:v>Canada</x:v>
      </x:c>
      <x:c r="I148" s="34" t="n">
        <x:v>8.5</x:v>
      </x:c>
      <x:c r="J148" s="38" t="n">
        <x:v>0.298452</x:v>
      </x:c>
      <x:c r="K148" s="38" t="n">
        <x:v>0.085501772</x:v>
      </x:c>
      <x:c r="L148" s="28" t="n">
        <x:v>0.2864841649578492</x:v>
      </x:c>
    </x:row>
    <x:row r="149">
      <x:c r="A149" s="32" t="n">
        <x:v>45689</x:v>
      </x:c>
      <x:c r="B149" t="str">
        <x:v>Feb 2025</x:v>
      </x:c>
      <x:c r="C149" t="str">
        <x:v>Actual</x:v>
      </x:c>
      <x:c r="D149" t="str">
        <x:v>DB-105</x:v>
      </x:c>
      <x:c r="E149" t="str">
        <x:v>DreamFuel Refill Pack</x:v>
      </x:c>
      <x:c r="F149" t="str">
        <x:v>Shopify DTC</x:v>
      </x:c>
      <x:c r="G149" t="str">
        <x:v>Consumer</x:v>
      </x:c>
      <x:c r="H149" t="str">
        <x:v>US West</x:v>
      </x:c>
      <x:c r="I149" s="34" t="n">
        <x:v>184.28</x:v>
      </x:c>
      <x:c r="J149" s="38" t="n">
        <x:v>9.304223488000002</x:v>
      </x:c>
      <x:c r="K149" s="38" t="n">
        <x:v>4.533619998848</x:v>
      </x:c>
      <x:c r="L149" s="28" t="n">
        <x:v>0.48726473570794765</x:v>
      </x:c>
    </x:row>
    <x:row r="150">
      <x:c r="A150" s="32" t="n">
        <x:v>45689</x:v>
      </x:c>
      <x:c r="B150" t="str">
        <x:v>Feb 2025</x:v>
      </x:c>
      <x:c r="C150" t="str">
        <x:v>Actual</x:v>
      </x:c>
      <x:c r="D150" t="str">
        <x:v>DB-105</x:v>
      </x:c>
      <x:c r="E150" t="str">
        <x:v>DreamFuel Refill Pack</x:v>
      </x:c>
      <x:c r="F150" t="str">
        <x:v>Shopify DTC</x:v>
      </x:c>
      <x:c r="G150" t="str">
        <x:v>Consumer</x:v>
      </x:c>
      <x:c r="H150" t="str">
        <x:v>US Central</x:v>
      </x:c>
      <x:c r="I150" s="34" t="n">
        <x:v>130.07999999999998</x:v>
      </x:c>
      <x:c r="J150" s="38" t="n">
        <x:v>6.567687168</x:v>
      </x:c>
      <x:c r="K150" s="38" t="n">
        <x:v>3.2002023521279996</x:v>
      </x:c>
      <x:c r="L150" s="28" t="n">
        <x:v>0.4872647357079477</x:v>
      </x:c>
    </x:row>
    <x:row r="151">
      <x:c r="A151" s="32" t="n">
        <x:v>45689</x:v>
      </x:c>
      <x:c r="B151" t="str">
        <x:v>Feb 2025</x:v>
      </x:c>
      <x:c r="C151" t="str">
        <x:v>Actual</x:v>
      </x:c>
      <x:c r="D151" t="str">
        <x:v>DB-105</x:v>
      </x:c>
      <x:c r="E151" t="str">
        <x:v>DreamFuel Refill Pack</x:v>
      </x:c>
      <x:c r="F151" t="str">
        <x:v>Shopify DTC</x:v>
      </x:c>
      <x:c r="G151" t="str">
        <x:v>Consumer</x:v>
      </x:c>
      <x:c r="H151" t="str">
        <x:v>US East</x:v>
      </x:c>
      <x:c r="I151" s="34" t="n">
        <x:v>173.44</x:v>
      </x:c>
      <x:c r="J151" s="38" t="n">
        <x:v>8.756916224000001</x:v>
      </x:c>
      <x:c r="K151" s="38" t="n">
        <x:v>4.2669364695039995</x:v>
      </x:c>
      <x:c r="L151" s="28" t="n">
        <x:v>0.48726473570794765</x:v>
      </x:c>
    </x:row>
    <x:row r="152">
      <x:c r="A152" s="32" t="n">
        <x:v>45689</x:v>
      </x:c>
      <x:c r="B152" t="str">
        <x:v>Feb 2025</x:v>
      </x:c>
      <x:c r="C152" t="str">
        <x:v>Actual</x:v>
      </x:c>
      <x:c r="D152" t="str">
        <x:v>DB-105</x:v>
      </x:c>
      <x:c r="E152" t="str">
        <x:v>DreamFuel Refill Pack</x:v>
      </x:c>
      <x:c r="F152" t="str">
        <x:v>Shopify DTC</x:v>
      </x:c>
      <x:c r="G152" t="str">
        <x:v>Consumer</x:v>
      </x:c>
      <x:c r="H152" t="str">
        <x:v>Canada</x:v>
      </x:c>
      <x:c r="I152" s="34" t="n">
        <x:v>54.2</x:v>
      </x:c>
      <x:c r="J152" s="38" t="n">
        <x:v>2.7365363200000004</x:v>
      </x:c>
      <x:c r="K152" s="38" t="n">
        <x:v>1.33341764672</x:v>
      </x:c>
      <x:c r="L152" s="28" t="n">
        <x:v>0.48726473570794776</x:v>
      </x:c>
    </x:row>
    <x:row r="153">
      <x:c r="A153" s="32" t="n">
        <x:v>45689</x:v>
      </x:c>
      <x:c r="B153" t="str">
        <x:v>Feb 2025</x:v>
      </x:c>
      <x:c r="C153" t="str">
        <x:v>Actual</x:v>
      </x:c>
      <x:c r="D153" t="str">
        <x:v>DB-105</x:v>
      </x:c>
      <x:c r="E153" t="str">
        <x:v>DreamFuel Refill Pack</x:v>
      </x:c>
      <x:c r="F153" t="str">
        <x:v>Amazon Marketplace</x:v>
      </x:c>
      <x:c r="G153" t="str">
        <x:v>Marketplace Consumer</x:v>
      </x:c>
      <x:c r="H153" t="str">
        <x:v>US West</x:v>
      </x:c>
      <x:c r="I153" s="34" t="n">
        <x:v>109.14000000000001</x:v>
      </x:c>
      <x:c r="J153" s="38" t="n">
        <x:v>5.69012304</x:v>
      </x:c>
      <x:c r="K153" s="38" t="n">
        <x:v>2.00184588</x:v>
      </x:c>
      <x:c r="L153" s="28" t="n">
        <x:v>0.35181064907165877</x:v>
      </x:c>
    </x:row>
    <x:row r="154">
      <x:c r="A154" s="32" t="n">
        <x:v>45689</x:v>
      </x:c>
      <x:c r="B154" t="str">
        <x:v>Feb 2025</x:v>
      </x:c>
      <x:c r="C154" t="str">
        <x:v>Actual</x:v>
      </x:c>
      <x:c r="D154" t="str">
        <x:v>DB-105</x:v>
      </x:c>
      <x:c r="E154" t="str">
        <x:v>DreamFuel Refill Pack</x:v>
      </x:c>
      <x:c r="F154" t="str">
        <x:v>Amazon Marketplace</x:v>
      </x:c>
      <x:c r="G154" t="str">
        <x:v>Marketplace Consumer</x:v>
      </x:c>
      <x:c r="H154" t="str">
        <x:v>US Central</x:v>
      </x:c>
      <x:c r="I154" s="34" t="n">
        <x:v>77.03999999999999</x:v>
      </x:c>
      <x:c r="J154" s="38" t="n">
        <x:v>4.01655744</x:v>
      </x:c>
      <x:c r="K154" s="38" t="n">
        <x:v>1.41306768</x:v>
      </x:c>
      <x:c r="L154" s="28" t="n">
        <x:v>0.35181064907165877</x:v>
      </x:c>
    </x:row>
    <x:row r="155">
      <x:c r="A155" s="32" t="n">
        <x:v>45689</x:v>
      </x:c>
      <x:c r="B155" t="str">
        <x:v>Feb 2025</x:v>
      </x:c>
      <x:c r="C155" t="str">
        <x:v>Actual</x:v>
      </x:c>
      <x:c r="D155" t="str">
        <x:v>DB-105</x:v>
      </x:c>
      <x:c r="E155" t="str">
        <x:v>DreamFuel Refill Pack</x:v>
      </x:c>
      <x:c r="F155" t="str">
        <x:v>Amazon Marketplace</x:v>
      </x:c>
      <x:c r="G155" t="str">
        <x:v>Marketplace Consumer</x:v>
      </x:c>
      <x:c r="H155" t="str">
        <x:v>US East</x:v>
      </x:c>
      <x:c r="I155" s="34" t="n">
        <x:v>102.72</x:v>
      </x:c>
      <x:c r="J155" s="38" t="n">
        <x:v>5.35540992</x:v>
      </x:c>
      <x:c r="K155" s="38" t="n">
        <x:v>1.88409024</x:v>
      </x:c>
      <x:c r="L155" s="28" t="n">
        <x:v>0.35181064907165877</x:v>
      </x:c>
    </x:row>
    <x:row r="156">
      <x:c r="A156" s="32" t="n">
        <x:v>45689</x:v>
      </x:c>
      <x:c r="B156" t="str">
        <x:v>Feb 2025</x:v>
      </x:c>
      <x:c r="C156" t="str">
        <x:v>Actual</x:v>
      </x:c>
      <x:c r="D156" t="str">
        <x:v>DB-105</x:v>
      </x:c>
      <x:c r="E156" t="str">
        <x:v>DreamFuel Refill Pack</x:v>
      </x:c>
      <x:c r="F156" t="str">
        <x:v>Amazon Marketplace</x:v>
      </x:c>
      <x:c r="G156" t="str">
        <x:v>Marketplace Consumer</x:v>
      </x:c>
      <x:c r="H156" t="str">
        <x:v>Canada</x:v>
      </x:c>
      <x:c r="I156" s="34" t="n">
        <x:v>32.1</x:v>
      </x:c>
      <x:c r="J156" s="38" t="n">
        <x:v>1.6735655999999999</x:v>
      </x:c>
      <x:c r="K156" s="38" t="n">
        <x:v>0.5887782</x:v>
      </x:c>
      <x:c r="L156" s="28" t="n">
        <x:v>0.35181064907165877</x:v>
      </x:c>
    </x:row>
    <x:row r="157">
      <x:c r="A157" s="32" t="n">
        <x:v>45689</x:v>
      </x:c>
      <x:c r="B157" t="str">
        <x:v>Feb 2025</x:v>
      </x:c>
      <x:c r="C157" t="str">
        <x:v>Actual</x:v>
      </x:c>
      <x:c r="D157" t="str">
        <x:v>DB-105</x:v>
      </x:c>
      <x:c r="E157" t="str">
        <x:v>DreamFuel Refill Pack</x:v>
      </x:c>
      <x:c r="F157" t="str">
        <x:v>Wholesale</x:v>
      </x:c>
      <x:c r="G157" t="str">
        <x:v>Retailer</x:v>
      </x:c>
      <x:c r="H157" t="str">
        <x:v>US West</x:v>
      </x:c>
      <x:c r="I157" s="34" t="n">
        <x:v>30.26</x:v>
      </x:c>
      <x:c r="J157" s="38" t="n">
        <x:v>1.0794347199999998</x:v>
      </x:c>
      <x:c r="K157" s="38" t="n">
        <x:v>0.42056558399999994</x:v>
      </x:c>
      <x:c r="L157" s="28" t="n">
        <x:v>0.38961650594303654</x:v>
      </x:c>
    </x:row>
    <x:row r="158">
      <x:c r="A158" s="32" t="n">
        <x:v>45689</x:v>
      </x:c>
      <x:c r="B158" t="str">
        <x:v>Feb 2025</x:v>
      </x:c>
      <x:c r="C158" t="str">
        <x:v>Actual</x:v>
      </x:c>
      <x:c r="D158" t="str">
        <x:v>DB-105</x:v>
      </x:c>
      <x:c r="E158" t="str">
        <x:v>DreamFuel Refill Pack</x:v>
      </x:c>
      <x:c r="F158" t="str">
        <x:v>Wholesale</x:v>
      </x:c>
      <x:c r="G158" t="str">
        <x:v>Retailer</x:v>
      </x:c>
      <x:c r="H158" t="str">
        <x:v>US Central</x:v>
      </x:c>
      <x:c r="I158" s="34" t="n">
        <x:v>21.36</x:v>
      </x:c>
      <x:c r="J158" s="38" t="n">
        <x:v>0.7619539199999998</x:v>
      </x:c>
      <x:c r="K158" s="38" t="n">
        <x:v>0.29686982399999995</x:v>
      </x:c>
      <x:c r="L158" s="28" t="n">
        <x:v>0.3896165059430366</x:v>
      </x:c>
    </x:row>
    <x:row r="159">
      <x:c r="A159" s="32" t="n">
        <x:v>45689</x:v>
      </x:c>
      <x:c r="B159" t="str">
        <x:v>Feb 2025</x:v>
      </x:c>
      <x:c r="C159" t="str">
        <x:v>Actual</x:v>
      </x:c>
      <x:c r="D159" t="str">
        <x:v>DB-105</x:v>
      </x:c>
      <x:c r="E159" t="str">
        <x:v>DreamFuel Refill Pack</x:v>
      </x:c>
      <x:c r="F159" t="str">
        <x:v>Wholesale</x:v>
      </x:c>
      <x:c r="G159" t="str">
        <x:v>Retailer</x:v>
      </x:c>
      <x:c r="H159" t="str">
        <x:v>US East</x:v>
      </x:c>
      <x:c r="I159" s="34" t="n">
        <x:v>28.48</x:v>
      </x:c>
      <x:c r="J159" s="38" t="n">
        <x:v>1.01593856</x:v>
      </x:c>
      <x:c r="K159" s="38" t="n">
        <x:v>0.39582643199999995</x:v>
      </x:c>
      <x:c r="L159" s="28" t="n">
        <x:v>0.38961650594303654</x:v>
      </x:c>
    </x:row>
    <x:row r="160">
      <x:c r="A160" s="32" t="n">
        <x:v>45689</x:v>
      </x:c>
      <x:c r="B160" t="str">
        <x:v>Feb 2025</x:v>
      </x:c>
      <x:c r="C160" t="str">
        <x:v>Actual</x:v>
      </x:c>
      <x:c r="D160" t="str">
        <x:v>DB-105</x:v>
      </x:c>
      <x:c r="E160" t="str">
        <x:v>DreamFuel Refill Pack</x:v>
      </x:c>
      <x:c r="F160" t="str">
        <x:v>Wholesale</x:v>
      </x:c>
      <x:c r="G160" t="str">
        <x:v>Retailer</x:v>
      </x:c>
      <x:c r="H160" t="str">
        <x:v>Canada</x:v>
      </x:c>
      <x:c r="I160" s="34" t="n">
        <x:v>8.9</x:v>
      </x:c>
      <x:c r="J160" s="38" t="n">
        <x:v>0.3174808</x:v>
      </x:c>
      <x:c r="K160" s="38" t="n">
        <x:v>0.12369575999999999</x:v>
      </x:c>
      <x:c r="L160" s="28" t="n">
        <x:v>0.3896165059430365</x:v>
      </x:c>
    </x:row>
    <x:row r="161">
      <x:c r="A161" s="32" t="n">
        <x:v>45689</x:v>
      </x:c>
      <x:c r="B161" t="str">
        <x:v>Feb 2025</x:v>
      </x:c>
      <x:c r="C161" t="str">
        <x:v>Actual</x:v>
      </x:c>
      <x:c r="D161" t="str">
        <x:v>DB-105</x:v>
      </x:c>
      <x:c r="E161" t="str">
        <x:v>DreamFuel Refill Pack</x:v>
      </x:c>
      <x:c r="F161" t="str">
        <x:v>TikTok Shop</x:v>
      </x:c>
      <x:c r="G161" t="str">
        <x:v>Social Commerce</x:v>
      </x:c>
      <x:c r="H161" t="str">
        <x:v>US West</x:v>
      </x:c>
      <x:c r="I161" s="34" t="n">
        <x:v>46.24</x:v>
      </x:c>
      <x:c r="J161" s="38" t="n">
        <x:v>2.2331330560000002</x:v>
      </x:c>
      <x:c r="K161" s="38" t="n">
        <x:v>0.856484950016</x:v>
      </x:c>
      <x:c r="L161" s="28" t="n">
        <x:v>0.38353511794328116</x:v>
      </x:c>
    </x:row>
    <x:row r="162">
      <x:c r="A162" s="32" t="n">
        <x:v>45689</x:v>
      </x:c>
      <x:c r="B162" t="str">
        <x:v>Feb 2025</x:v>
      </x:c>
      <x:c r="C162" t="str">
        <x:v>Actual</x:v>
      </x:c>
      <x:c r="D162" t="str">
        <x:v>DB-105</x:v>
      </x:c>
      <x:c r="E162" t="str">
        <x:v>DreamFuel Refill Pack</x:v>
      </x:c>
      <x:c r="F162" t="str">
        <x:v>TikTok Shop</x:v>
      </x:c>
      <x:c r="G162" t="str">
        <x:v>Social Commerce</x:v>
      </x:c>
      <x:c r="H162" t="str">
        <x:v>US Central</x:v>
      </x:c>
      <x:c r="I162" s="34" t="n">
        <x:v>32.64</x:v>
      </x:c>
      <x:c r="J162" s="38" t="n">
        <x:v>1.576329216</x:v>
      </x:c>
      <x:c r="K162" s="38" t="n">
        <x:v>0.6045776117759999</x:v>
      </x:c>
      <x:c r="L162" s="28" t="n">
        <x:v>0.38353511794328116</x:v>
      </x:c>
    </x:row>
    <x:row r="163">
      <x:c r="A163" s="32" t="n">
        <x:v>45689</x:v>
      </x:c>
      <x:c r="B163" t="str">
        <x:v>Feb 2025</x:v>
      </x:c>
      <x:c r="C163" t="str">
        <x:v>Actual</x:v>
      </x:c>
      <x:c r="D163" t="str">
        <x:v>DB-105</x:v>
      </x:c>
      <x:c r="E163" t="str">
        <x:v>DreamFuel Refill Pack</x:v>
      </x:c>
      <x:c r="F163" t="str">
        <x:v>TikTok Shop</x:v>
      </x:c>
      <x:c r="G163" t="str">
        <x:v>Social Commerce</x:v>
      </x:c>
      <x:c r="H163" t="str">
        <x:v>US East</x:v>
      </x:c>
      <x:c r="I163" s="34" t="n">
        <x:v>43.52</x:v>
      </x:c>
      <x:c r="J163" s="38" t="n">
        <x:v>2.101772288</x:v>
      </x:c>
      <x:c r="K163" s="38" t="n">
        <x:v>0.806103482368</x:v>
      </x:c>
      <x:c r="L163" s="28" t="n">
        <x:v>0.38353511794328127</x:v>
      </x:c>
    </x:row>
    <x:row r="164">
      <x:c r="A164" s="32" t="n">
        <x:v>45689</x:v>
      </x:c>
      <x:c r="B164" t="str">
        <x:v>Feb 2025</x:v>
      </x:c>
      <x:c r="C164" t="str">
        <x:v>Actual</x:v>
      </x:c>
      <x:c r="D164" t="str">
        <x:v>DB-105</x:v>
      </x:c>
      <x:c r="E164" t="str">
        <x:v>DreamFuel Refill Pack</x:v>
      </x:c>
      <x:c r="F164" t="str">
        <x:v>TikTok Shop</x:v>
      </x:c>
      <x:c r="G164" t="str">
        <x:v>Social Commerce</x:v>
      </x:c>
      <x:c r="H164" t="str">
        <x:v>Canada</x:v>
      </x:c>
      <x:c r="I164" s="34" t="n">
        <x:v>13.600000000000001</x:v>
      </x:c>
      <x:c r="J164" s="38" t="n">
        <x:v>0.65680384</x:v>
      </x:c>
      <x:c r="K164" s="38" t="n">
        <x:v>0.25190733824</x:v>
      </x:c>
      <x:c r="L164" s="28" t="n">
        <x:v>0.3835351179432812</x:v>
      </x:c>
    </x:row>
    <x:row r="165">
      <x:c r="A165" s="32" t="n">
        <x:v>45717</x:v>
      </x:c>
      <x:c r="B165" t="str">
        <x:v>Mar 2025</x:v>
      </x:c>
      <x:c r="C165" t="str">
        <x:v>Actual</x:v>
      </x:c>
      <x:c r="D165" t="str">
        <x:v>DB-101</x:v>
      </x:c>
      <x:c r="E165" t="str">
        <x:v>AeroSip Bottle</x:v>
      </x:c>
      <x:c r="F165" t="str">
        <x:v>Shopify DTC</x:v>
      </x:c>
      <x:c r="G165" t="str">
        <x:v>Consumer</x:v>
      </x:c>
      <x:c r="H165" t="str">
        <x:v>US West</x:v>
      </x:c>
      <x:c r="I165" s="34" t="n">
        <x:v>298.18</x:v>
      </x:c>
      <x:c r="J165" s="38" t="n">
        <x:v>7.5974474920000015</x:v>
      </x:c>
      <x:c r="K165" s="38" t="n">
        <x:v>2.416599034732</x:v>
      </x:c>
      <x:c r="L165" s="28" t="n">
        <x:v>0.3180803865083165</x:v>
      </x:c>
    </x:row>
    <x:row r="166">
      <x:c r="A166" s="32" t="n">
        <x:v>45717</x:v>
      </x:c>
      <x:c r="B166" t="str">
        <x:v>Mar 2025</x:v>
      </x:c>
      <x:c r="C166" t="str">
        <x:v>Actual</x:v>
      </x:c>
      <x:c r="D166" t="str">
        <x:v>DB-101</x:v>
      </x:c>
      <x:c r="E166" t="str">
        <x:v>AeroSip Bottle</x:v>
      </x:c>
      <x:c r="F166" t="str">
        <x:v>Shopify DTC</x:v>
      </x:c>
      <x:c r="G166" t="str">
        <x:v>Consumer</x:v>
      </x:c>
      <x:c r="H166" t="str">
        <x:v>US Central</x:v>
      </x:c>
      <x:c r="I166" s="34" t="n">
        <x:v>210.48</x:v>
      </x:c>
      <x:c r="J166" s="38" t="n">
        <x:v>5.362904112000001</x:v>
      </x:c>
      <x:c r="K166" s="38" t="n">
        <x:v>1.7058346127519999</x:v>
      </x:c>
      <x:c r="L166" s="28" t="n">
        <x:v>0.31808038650831644</x:v>
      </x:c>
    </x:row>
    <x:row r="167">
      <x:c r="A167" s="32" t="n">
        <x:v>45717</x:v>
      </x:c>
      <x:c r="B167" t="str">
        <x:v>Mar 2025</x:v>
      </x:c>
      <x:c r="C167" t="str">
        <x:v>Actual</x:v>
      </x:c>
      <x:c r="D167" t="str">
        <x:v>DB-101</x:v>
      </x:c>
      <x:c r="E167" t="str">
        <x:v>AeroSip Bottle</x:v>
      </x:c>
      <x:c r="F167" t="str">
        <x:v>Shopify DTC</x:v>
      </x:c>
      <x:c r="G167" t="str">
        <x:v>Consumer</x:v>
      </x:c>
      <x:c r="H167" t="str">
        <x:v>US East</x:v>
      </x:c>
      <x:c r="I167" s="34" t="n">
        <x:v>280.64</x:v>
      </x:c>
      <x:c r="J167" s="38" t="n">
        <x:v>7.150538816000001</x:v>
      </x:c>
      <x:c r="K167" s="38" t="n">
        <x:v>2.2744461503360003</x:v>
      </x:c>
      <x:c r="L167" s="28" t="n">
        <x:v>0.3180803865083165</x:v>
      </x:c>
    </x:row>
    <x:row r="168">
      <x:c r="A168" s="32" t="n">
        <x:v>45717</x:v>
      </x:c>
      <x:c r="B168" t="str">
        <x:v>Mar 2025</x:v>
      </x:c>
      <x:c r="C168" t="str">
        <x:v>Actual</x:v>
      </x:c>
      <x:c r="D168" t="str">
        <x:v>DB-101</x:v>
      </x:c>
      <x:c r="E168" t="str">
        <x:v>AeroSip Bottle</x:v>
      </x:c>
      <x:c r="F168" t="str">
        <x:v>Shopify DTC</x:v>
      </x:c>
      <x:c r="G168" t="str">
        <x:v>Consumer</x:v>
      </x:c>
      <x:c r="H168" t="str">
        <x:v>Canada</x:v>
      </x:c>
      <x:c r="I168" s="34" t="n">
        <x:v>87.7</x:v>
      </x:c>
      <x:c r="J168" s="38" t="n">
        <x:v>2.2345433800000003</x:v>
      </x:c>
      <x:c r="K168" s="38" t="n">
        <x:v>0.71076442198</x:v>
      </x:c>
      <x:c r="L168" s="28" t="n">
        <x:v>0.3180803865083165</x:v>
      </x:c>
    </x:row>
    <x:row r="169">
      <x:c r="A169" s="32" t="n">
        <x:v>45717</x:v>
      </x:c>
      <x:c r="B169" t="str">
        <x:v>Mar 2025</x:v>
      </x:c>
      <x:c r="C169" t="str">
        <x:v>Actual</x:v>
      </x:c>
      <x:c r="D169" t="str">
        <x:v>DB-101</x:v>
      </x:c>
      <x:c r="E169" t="str">
        <x:v>AeroSip Bottle</x:v>
      </x:c>
      <x:c r="F169" t="str">
        <x:v>Amazon Marketplace</x:v>
      </x:c>
      <x:c r="G169" t="str">
        <x:v>Marketplace Consumer</x:v>
      </x:c>
      <x:c r="H169" t="str">
        <x:v>US West</x:v>
      </x:c>
      <x:c r="I169" s="34" t="n">
        <x:v>176.12</x:v>
      </x:c>
      <x:c r="J169" s="38" t="n">
        <x:v>4.633761230000001</x:v>
      </x:c>
      <x:c r="K169" s="38" t="n">
        <x:v>0.7357787254999997</x:v>
      </x:c>
      <x:c r="L169" s="28" t="n">
        <x:v>0.15878649955815688</x:v>
      </x:c>
    </x:row>
    <x:row r="170">
      <x:c r="A170" s="32" t="n">
        <x:v>45717</x:v>
      </x:c>
      <x:c r="B170" t="str">
        <x:v>Mar 2025</x:v>
      </x:c>
      <x:c r="C170" t="str">
        <x:v>Actual</x:v>
      </x:c>
      <x:c r="D170" t="str">
        <x:v>DB-101</x:v>
      </x:c>
      <x:c r="E170" t="str">
        <x:v>AeroSip Bottle</x:v>
      </x:c>
      <x:c r="F170" t="str">
        <x:v>Amazon Marketplace</x:v>
      </x:c>
      <x:c r="G170" t="str">
        <x:v>Marketplace Consumer</x:v>
      </x:c>
      <x:c r="H170" t="str">
        <x:v>US Central</x:v>
      </x:c>
      <x:c r="I170" s="34" t="n">
        <x:v>124.32</x:v>
      </x:c>
      <x:c r="J170" s="38" t="n">
        <x:v>3.27089028</x:v>
      </x:c>
      <x:c r="K170" s="38" t="n">
        <x:v>0.5193732179999997</x:v>
      </x:c>
      <x:c r="L170" s="28" t="n">
        <x:v>0.15878649955815688</x:v>
      </x:c>
    </x:row>
    <x:row r="171">
      <x:c r="A171" s="32" t="n">
        <x:v>45717</x:v>
      </x:c>
      <x:c r="B171" t="str">
        <x:v>Mar 2025</x:v>
      </x:c>
      <x:c r="C171" t="str">
        <x:v>Actual</x:v>
      </x:c>
      <x:c r="D171" t="str">
        <x:v>DB-101</x:v>
      </x:c>
      <x:c r="E171" t="str">
        <x:v>AeroSip Bottle</x:v>
      </x:c>
      <x:c r="F171" t="str">
        <x:v>Amazon Marketplace</x:v>
      </x:c>
      <x:c r="G171" t="str">
        <x:v>Marketplace Consumer</x:v>
      </x:c>
      <x:c r="H171" t="str">
        <x:v>US East</x:v>
      </x:c>
      <x:c r="I171" s="34" t="n">
        <x:v>165.76</x:v>
      </x:c>
      <x:c r="J171" s="38" t="n">
        <x:v>4.361187040000001</x:v>
      </x:c>
      <x:c r="K171" s="38" t="n">
        <x:v>0.6924976239999997</x:v>
      </x:c>
      <x:c r="L171" s="28" t="n">
        <x:v>0.1587864995581569</x:v>
      </x:c>
    </x:row>
    <x:row r="172">
      <x:c r="A172" s="32" t="n">
        <x:v>45717</x:v>
      </x:c>
      <x:c r="B172" t="str">
        <x:v>Mar 2025</x:v>
      </x:c>
      <x:c r="C172" t="str">
        <x:v>Actual</x:v>
      </x:c>
      <x:c r="D172" t="str">
        <x:v>DB-101</x:v>
      </x:c>
      <x:c r="E172" t="str">
        <x:v>AeroSip Bottle</x:v>
      </x:c>
      <x:c r="F172" t="str">
        <x:v>Amazon Marketplace</x:v>
      </x:c>
      <x:c r="G172" t="str">
        <x:v>Marketplace Consumer</x:v>
      </x:c>
      <x:c r="H172" t="str">
        <x:v>Canada</x:v>
      </x:c>
      <x:c r="I172" s="34" t="n">
        <x:v>51.800000000000004</x:v>
      </x:c>
      <x:c r="J172" s="38" t="n">
        <x:v>1.3628709500000002</x:v>
      </x:c>
      <x:c r="K172" s="38" t="n">
        <x:v>0.2164055074999999</x:v>
      </x:c>
      <x:c r="L172" s="28" t="n">
        <x:v>0.15878649955815688</x:v>
      </x:c>
    </x:row>
    <x:row r="173">
      <x:c r="A173" s="32" t="n">
        <x:v>45717</x:v>
      </x:c>
      <x:c r="B173" t="str">
        <x:v>Mar 2025</x:v>
      </x:c>
      <x:c r="C173" t="str">
        <x:v>Actual</x:v>
      </x:c>
      <x:c r="D173" t="str">
        <x:v>DB-101</x:v>
      </x:c>
      <x:c r="E173" t="str">
        <x:v>AeroSip Bottle</x:v>
      </x:c>
      <x:c r="F173" t="str">
        <x:v>Wholesale</x:v>
      </x:c>
      <x:c r="G173" t="str">
        <x:v>Retailer</x:v>
      </x:c>
      <x:c r="H173" t="str">
        <x:v>US West</x:v>
      </x:c>
      <x:c r="I173" s="34" t="n">
        <x:v>49.300000000000004</x:v>
      </x:c>
      <x:c r="J173" s="38" t="n">
        <x:v>0.8874862750000002</x:v>
      </x:c>
      <x:c r="K173" s="38" t="n">
        <x:v>0.19797647500000015</x:v>
      </x:c>
      <x:c r="L173" s="28" t="n">
        <x:v>0.22307553432305205</x:v>
      </x:c>
    </x:row>
    <x:row r="174">
      <x:c r="A174" s="32" t="n">
        <x:v>45717</x:v>
      </x:c>
      <x:c r="B174" t="str">
        <x:v>Mar 2025</x:v>
      </x:c>
      <x:c r="C174" t="str">
        <x:v>Actual</x:v>
      </x:c>
      <x:c r="D174" t="str">
        <x:v>DB-101</x:v>
      </x:c>
      <x:c r="E174" t="str">
        <x:v>AeroSip Bottle</x:v>
      </x:c>
      <x:c r="F174" t="str">
        <x:v>Wholesale</x:v>
      </x:c>
      <x:c r="G174" t="str">
        <x:v>Retailer</x:v>
      </x:c>
      <x:c r="H174" t="str">
        <x:v>US Central</x:v>
      </x:c>
      <x:c r="I174" s="34" t="n">
        <x:v>34.8</x:v>
      </x:c>
      <x:c r="J174" s="38" t="n">
        <x:v>0.6264609000000001</x:v>
      </x:c>
      <x:c r="K174" s="38" t="n">
        <x:v>0.1397481000000001</x:v>
      </x:c>
      <x:c r="L174" s="28" t="n">
        <x:v>0.22307553432305205</x:v>
      </x:c>
    </x:row>
    <x:row r="175">
      <x:c r="A175" s="32" t="n">
        <x:v>45717</x:v>
      </x:c>
      <x:c r="B175" t="str">
        <x:v>Mar 2025</x:v>
      </x:c>
      <x:c r="C175" t="str">
        <x:v>Actual</x:v>
      </x:c>
      <x:c r="D175" t="str">
        <x:v>DB-101</x:v>
      </x:c>
      <x:c r="E175" t="str">
        <x:v>AeroSip Bottle</x:v>
      </x:c>
      <x:c r="F175" t="str">
        <x:v>Wholesale</x:v>
      </x:c>
      <x:c r="G175" t="str">
        <x:v>Retailer</x:v>
      </x:c>
      <x:c r="H175" t="str">
        <x:v>US East</x:v>
      </x:c>
      <x:c r="I175" s="34" t="n">
        <x:v>46.4</x:v>
      </x:c>
      <x:c r="J175" s="38" t="n">
        <x:v>0.8352812000000002</x:v>
      </x:c>
      <x:c r="K175" s="38" t="n">
        <x:v>0.18633080000000013</x:v>
      </x:c>
      <x:c r="L175" s="28" t="n">
        <x:v>0.22307553432305205</x:v>
      </x:c>
    </x:row>
    <x:row r="176">
      <x:c r="A176" s="32" t="n">
        <x:v>45717</x:v>
      </x:c>
      <x:c r="B176" t="str">
        <x:v>Mar 2025</x:v>
      </x:c>
      <x:c r="C176" t="str">
        <x:v>Actual</x:v>
      </x:c>
      <x:c r="D176" t="str">
        <x:v>DB-101</x:v>
      </x:c>
      <x:c r="E176" t="str">
        <x:v>AeroSip Bottle</x:v>
      </x:c>
      <x:c r="F176" t="str">
        <x:v>Wholesale</x:v>
      </x:c>
      <x:c r="G176" t="str">
        <x:v>Retailer</x:v>
      </x:c>
      <x:c r="H176" t="str">
        <x:v>Canada</x:v>
      </x:c>
      <x:c r="I176" s="34" t="n">
        <x:v>14.5</x:v>
      </x:c>
      <x:c r="J176" s="38" t="n">
        <x:v>0.26102537500000006</x:v>
      </x:c>
      <x:c r="K176" s="38" t="n">
        <x:v>0.05822837500000005</x:v>
      </x:c>
      <x:c r="L176" s="28" t="n">
        <x:v>0.22307553432305205</x:v>
      </x:c>
    </x:row>
    <x:row r="177">
      <x:c r="A177" s="32" t="n">
        <x:v>45717</x:v>
      </x:c>
      <x:c r="B177" t="str">
        <x:v>Mar 2025</x:v>
      </x:c>
      <x:c r="C177" t="str">
        <x:v>Actual</x:v>
      </x:c>
      <x:c r="D177" t="str">
        <x:v>DB-101</x:v>
      </x:c>
      <x:c r="E177" t="str">
        <x:v>AeroSip Bottle</x:v>
      </x:c>
      <x:c r="F177" t="str">
        <x:v>TikTok Shop</x:v>
      </x:c>
      <x:c r="G177" t="str">
        <x:v>Social Commerce</x:v>
      </x:c>
      <x:c r="H177" t="str">
        <x:v>US West</x:v>
      </x:c>
      <x:c r="I177" s="34" t="n">
        <x:v>75.14</x:v>
      </x:c>
      <x:c r="J177" s="38" t="n">
        <x:v>1.8312820240000003</x:v>
      </x:c>
      <x:c r="K177" s="38" t="n">
        <x:v>0.3393718838640002</x:v>
      </x:c>
      <x:c r="L177" s="28" t="n">
        <x:v>0.18531928966502</x:v>
      </x:c>
    </x:row>
    <x:row r="178">
      <x:c r="A178" s="32" t="n">
        <x:v>45717</x:v>
      </x:c>
      <x:c r="B178" t="str">
        <x:v>Mar 2025</x:v>
      </x:c>
      <x:c r="C178" t="str">
        <x:v>Actual</x:v>
      </x:c>
      <x:c r="D178" t="str">
        <x:v>DB-101</x:v>
      </x:c>
      <x:c r="E178" t="str">
        <x:v>AeroSip Bottle</x:v>
      </x:c>
      <x:c r="F178" t="str">
        <x:v>TikTok Shop</x:v>
      </x:c>
      <x:c r="G178" t="str">
        <x:v>Social Commerce</x:v>
      </x:c>
      <x:c r="H178" t="str">
        <x:v>US Central</x:v>
      </x:c>
      <x:c r="I178" s="34" t="n">
        <x:v>53.04</x:v>
      </x:c>
      <x:c r="J178" s="38" t="n">
        <x:v>1.292669664</x:v>
      </x:c>
      <x:c r="K178" s="38" t="n">
        <x:v>0.2395566239040001</x:v>
      </x:c>
      <x:c r="L178" s="28" t="n">
        <x:v>0.18531928966502</x:v>
      </x:c>
    </x:row>
    <x:row r="179">
      <x:c r="A179" s="32" t="n">
        <x:v>45717</x:v>
      </x:c>
      <x:c r="B179" t="str">
        <x:v>Mar 2025</x:v>
      </x:c>
      <x:c r="C179" t="str">
        <x:v>Actual</x:v>
      </x:c>
      <x:c r="D179" t="str">
        <x:v>DB-101</x:v>
      </x:c>
      <x:c r="E179" t="str">
        <x:v>AeroSip Bottle</x:v>
      </x:c>
      <x:c r="F179" t="str">
        <x:v>TikTok Shop</x:v>
      </x:c>
      <x:c r="G179" t="str">
        <x:v>Social Commerce</x:v>
      </x:c>
      <x:c r="H179" t="str">
        <x:v>US East</x:v>
      </x:c>
      <x:c r="I179" s="34" t="n">
        <x:v>70.72</x:v>
      </x:c>
      <x:c r="J179" s="38" t="n">
        <x:v>1.7235595520000002</x:v>
      </x:c>
      <x:c r="K179" s="38" t="n">
        <x:v>0.31940883187200014</x:v>
      </x:c>
      <x:c r="L179" s="28" t="n">
        <x:v>0.18531928966502</x:v>
      </x:c>
    </x:row>
    <x:row r="180">
      <x:c r="A180" s="32" t="n">
        <x:v>45717</x:v>
      </x:c>
      <x:c r="B180" t="str">
        <x:v>Mar 2025</x:v>
      </x:c>
      <x:c r="C180" t="str">
        <x:v>Actual</x:v>
      </x:c>
      <x:c r="D180" t="str">
        <x:v>DB-101</x:v>
      </x:c>
      <x:c r="E180" t="str">
        <x:v>AeroSip Bottle</x:v>
      </x:c>
      <x:c r="F180" t="str">
        <x:v>TikTok Shop</x:v>
      </x:c>
      <x:c r="G180" t="str">
        <x:v>Social Commerce</x:v>
      </x:c>
      <x:c r="H180" t="str">
        <x:v>Canada</x:v>
      </x:c>
      <x:c r="I180" s="34" t="n">
        <x:v>22.1</x:v>
      </x:c>
      <x:c r="J180" s="38" t="n">
        <x:v>0.53861236</x:v>
      </x:c>
      <x:c r="K180" s="38" t="n">
        <x:v>0.09981525996000006</x:v>
      </x:c>
      <x:c r="L180" s="28" t="n">
        <x:v>0.18531928966502004</x:v>
      </x:c>
    </x:row>
    <x:row r="181">
      <x:c r="A181" s="32" t="n">
        <x:v>45717</x:v>
      </x:c>
      <x:c r="B181" t="str">
        <x:v>Mar 2025</x:v>
      </x:c>
      <x:c r="C181" t="str">
        <x:v>Actual</x:v>
      </x:c>
      <x:c r="D181" t="str">
        <x:v>DB-102</x:v>
      </x:c>
      <x:c r="E181" t="str">
        <x:v>GlowPatch Balm</x:v>
      </x:c>
      <x:c r="F181" t="str">
        <x:v>Shopify DTC</x:v>
      </x:c>
      <x:c r="G181" t="str">
        <x:v>Consumer</x:v>
      </x:c>
      <x:c r="H181" t="str">
        <x:v>US West</x:v>
      </x:c>
      <x:c r="I181" s="34" t="n">
        <x:v>299.20000000000005</x:v>
      </x:c>
      <x:c r="J181" s="38" t="n">
        <x:v>4.830883200000001</x:v>
      </x:c>
      <x:c r="K181" s="38" t="n">
        <x:v>1.3349603871999995</x:v>
      </x:c>
      <x:c r="L181" s="28" t="n">
        <x:v>0.276338783599653</x:v>
      </x:c>
    </x:row>
    <x:row r="182">
      <x:c r="A182" s="32" t="n">
        <x:v>45717</x:v>
      </x:c>
      <x:c r="B182" t="str">
        <x:v>Mar 2025</x:v>
      </x:c>
      <x:c r="C182" t="str">
        <x:v>Actual</x:v>
      </x:c>
      <x:c r="D182" t="str">
        <x:v>DB-102</x:v>
      </x:c>
      <x:c r="E182" t="str">
        <x:v>GlowPatch Balm</x:v>
      </x:c>
      <x:c r="F182" t="str">
        <x:v>Shopify DTC</x:v>
      </x:c>
      <x:c r="G182" t="str">
        <x:v>Consumer</x:v>
      </x:c>
      <x:c r="H182" t="str">
        <x:v>US Central</x:v>
      </x:c>
      <x:c r="I182" s="34" t="n">
        <x:v>211.2</x:v>
      </x:c>
      <x:c r="J182" s="38" t="n">
        <x:v>3.4100352</x:v>
      </x:c>
      <x:c r="K182" s="38" t="n">
        <x:v>0.9423249791999996</x:v>
      </x:c>
      <x:c r="L182" s="28" t="n">
        <x:v>0.2763387835996531</x:v>
      </x:c>
    </x:row>
    <x:row r="183">
      <x:c r="A183" s="32" t="n">
        <x:v>45717</x:v>
      </x:c>
      <x:c r="B183" t="str">
        <x:v>Mar 2025</x:v>
      </x:c>
      <x:c r="C183" t="str">
        <x:v>Actual</x:v>
      </x:c>
      <x:c r="D183" t="str">
        <x:v>DB-102</x:v>
      </x:c>
      <x:c r="E183" t="str">
        <x:v>GlowPatch Balm</x:v>
      </x:c>
      <x:c r="F183" t="str">
        <x:v>Shopify DTC</x:v>
      </x:c>
      <x:c r="G183" t="str">
        <x:v>Consumer</x:v>
      </x:c>
      <x:c r="H183" t="str">
        <x:v>US East</x:v>
      </x:c>
      <x:c r="I183" s="34" t="n">
        <x:v>281.6</x:v>
      </x:c>
      <x:c r="J183" s="38" t="n">
        <x:v>4.5467136</x:v>
      </x:c>
      <x:c r="K183" s="38" t="n">
        <x:v>1.2564333055999997</x:v>
      </x:c>
      <x:c r="L183" s="28" t="n">
        <x:v>0.2763387835996531</x:v>
      </x:c>
    </x:row>
    <x:row r="184">
      <x:c r="A184" s="32" t="n">
        <x:v>45717</x:v>
      </x:c>
      <x:c r="B184" t="str">
        <x:v>Mar 2025</x:v>
      </x:c>
      <x:c r="C184" t="str">
        <x:v>Actual</x:v>
      </x:c>
      <x:c r="D184" t="str">
        <x:v>DB-102</x:v>
      </x:c>
      <x:c r="E184" t="str">
        <x:v>GlowPatch Balm</x:v>
      </x:c>
      <x:c r="F184" t="str">
        <x:v>Shopify DTC</x:v>
      </x:c>
      <x:c r="G184" t="str">
        <x:v>Consumer</x:v>
      </x:c>
      <x:c r="H184" t="str">
        <x:v>Canada</x:v>
      </x:c>
      <x:c r="I184" s="34" t="n">
        <x:v>88</x:v>
      </x:c>
      <x:c r="J184" s="38" t="n">
        <x:v>1.420848</x:v>
      </x:c>
      <x:c r="K184" s="38" t="n">
        <x:v>0.39263540799999985</x:v>
      </x:c>
      <x:c r="L184" s="28" t="n">
        <x:v>0.276338783599653</x:v>
      </x:c>
    </x:row>
    <x:row r="185">
      <x:c r="A185" s="32" t="n">
        <x:v>45717</x:v>
      </x:c>
      <x:c r="B185" t="str">
        <x:v>Mar 2025</x:v>
      </x:c>
      <x:c r="C185" t="str">
        <x:v>Actual</x:v>
      </x:c>
      <x:c r="D185" t="str">
        <x:v>DB-102</x:v>
      </x:c>
      <x:c r="E185" t="str">
        <x:v>GlowPatch Balm</x:v>
      </x:c>
      <x:c r="F185" t="str">
        <x:v>Amazon Marketplace</x:v>
      </x:c>
      <x:c r="G185" t="str">
        <x:v>Marketplace Consumer</x:v>
      </x:c>
      <x:c r="H185" t="str">
        <x:v>US West</x:v>
      </x:c>
      <x:c r="I185" s="34" t="n">
        <x:v>176.46</x:v>
      </x:c>
      <x:c r="J185" s="38" t="n">
        <x:v>2.9420293500000003</x:v>
      </x:c>
      <x:c r="K185" s="38" t="n">
        <x:v>0.2480365874999999</x:v>
      </x:c>
      <x:c r="L185" s="28" t="n">
        <x:v>0.084307992202729</x:v>
      </x:c>
    </x:row>
    <x:row r="186">
      <x:c r="A186" s="32" t="n">
        <x:v>45717</x:v>
      </x:c>
      <x:c r="B186" t="str">
        <x:v>Mar 2025</x:v>
      </x:c>
      <x:c r="C186" t="str">
        <x:v>Actual</x:v>
      </x:c>
      <x:c r="D186" t="str">
        <x:v>DB-102</x:v>
      </x:c>
      <x:c r="E186" t="str">
        <x:v>GlowPatch Balm</x:v>
      </x:c>
      <x:c r="F186" t="str">
        <x:v>Amazon Marketplace</x:v>
      </x:c>
      <x:c r="G186" t="str">
        <x:v>Marketplace Consumer</x:v>
      </x:c>
      <x:c r="H186" t="str">
        <x:v>US Central</x:v>
      </x:c>
      <x:c r="I186" s="34" t="n">
        <x:v>124.56</x:v>
      </x:c>
      <x:c r="J186" s="38" t="n">
        <x:v>2.0767266</x:v>
      </x:c>
      <x:c r="K186" s="38" t="n">
        <x:v>0.1750846499999999</x:v>
      </x:c>
      <x:c r="L186" s="28" t="n">
        <x:v>0.08430799220272898</x:v>
      </x:c>
    </x:row>
    <x:row r="187">
      <x:c r="A187" s="32" t="n">
        <x:v>45717</x:v>
      </x:c>
      <x:c r="B187" t="str">
        <x:v>Mar 2025</x:v>
      </x:c>
      <x:c r="C187" t="str">
        <x:v>Actual</x:v>
      </x:c>
      <x:c r="D187" t="str">
        <x:v>DB-102</x:v>
      </x:c>
      <x:c r="E187" t="str">
        <x:v>GlowPatch Balm</x:v>
      </x:c>
      <x:c r="F187" t="str">
        <x:v>Amazon Marketplace</x:v>
      </x:c>
      <x:c r="G187" t="str">
        <x:v>Marketplace Consumer</x:v>
      </x:c>
      <x:c r="H187" t="str">
        <x:v>US East</x:v>
      </x:c>
      <x:c r="I187" s="34" t="n">
        <x:v>166.08</x:v>
      </x:c>
      <x:c r="J187" s="38" t="n">
        <x:v>2.7689688</x:v>
      </x:c>
      <x:c r="K187" s="38" t="n">
        <x:v>0.23344619999999988</x:v>
      </x:c>
      <x:c r="L187" s="28" t="n">
        <x:v>0.084307992202729</x:v>
      </x:c>
    </x:row>
    <x:row r="188">
      <x:c r="A188" s="32" t="n">
        <x:v>45717</x:v>
      </x:c>
      <x:c r="B188" t="str">
        <x:v>Mar 2025</x:v>
      </x:c>
      <x:c r="C188" t="str">
        <x:v>Actual</x:v>
      </x:c>
      <x:c r="D188" t="str">
        <x:v>DB-102</x:v>
      </x:c>
      <x:c r="E188" t="str">
        <x:v>GlowPatch Balm</x:v>
      </x:c>
      <x:c r="F188" t="str">
        <x:v>Amazon Marketplace</x:v>
      </x:c>
      <x:c r="G188" t="str">
        <x:v>Marketplace Consumer</x:v>
      </x:c>
      <x:c r="H188" t="str">
        <x:v>Canada</x:v>
      </x:c>
      <x:c r="I188" s="34" t="n">
        <x:v>51.900000000000006</x:v>
      </x:c>
      <x:c r="J188" s="38" t="n">
        <x:v>0.8653027500000001</x:v>
      </x:c>
      <x:c r="K188" s="38" t="n">
        <x:v>0.07295193749999997</x:v>
      </x:c>
      <x:c r="L188" s="28" t="n">
        <x:v>0.084307992202729</x:v>
      </x:c>
    </x:row>
    <x:row r="189">
      <x:c r="A189" s="32" t="n">
        <x:v>45717</x:v>
      </x:c>
      <x:c r="B189" t="str">
        <x:v>Mar 2025</x:v>
      </x:c>
      <x:c r="C189" t="str">
        <x:v>Actual</x:v>
      </x:c>
      <x:c r="D189" t="str">
        <x:v>DB-102</x:v>
      </x:c>
      <x:c r="E189" t="str">
        <x:v>GlowPatch Balm</x:v>
      </x:c>
      <x:c r="F189" t="str">
        <x:v>Wholesale</x:v>
      </x:c>
      <x:c r="G189" t="str">
        <x:v>Retailer</x:v>
      </x:c>
      <x:c r="H189" t="str">
        <x:v>US West</x:v>
      </x:c>
      <x:c r="I189" s="34" t="n">
        <x:v>49.300000000000004</x:v>
      </x:c>
      <x:c r="J189" s="38" t="n">
        <x:v>0.5623897500000001</x:v>
      </x:c>
      <x:c r="K189" s="38" t="n">
        <x:v>0.14008595000000013</x:v>
      </x:c>
      <x:c r="L189" s="28" t="n">
        <x:v>0.24909051062897233</x:v>
      </x:c>
    </x:row>
    <x:row r="190">
      <x:c r="A190" s="32" t="n">
        <x:v>45717</x:v>
      </x:c>
      <x:c r="B190" t="str">
        <x:v>Mar 2025</x:v>
      </x:c>
      <x:c r="C190" t="str">
        <x:v>Actual</x:v>
      </x:c>
      <x:c r="D190" t="str">
        <x:v>DB-102</x:v>
      </x:c>
      <x:c r="E190" t="str">
        <x:v>GlowPatch Balm</x:v>
      </x:c>
      <x:c r="F190" t="str">
        <x:v>Wholesale</x:v>
      </x:c>
      <x:c r="G190" t="str">
        <x:v>Retailer</x:v>
      </x:c>
      <x:c r="H190" t="str">
        <x:v>US Central</x:v>
      </x:c>
      <x:c r="I190" s="34" t="n">
        <x:v>34.8</x:v>
      </x:c>
      <x:c r="J190" s="38" t="n">
        <x:v>0.39698100000000003</x:v>
      </x:c>
      <x:c r="K190" s="38" t="n">
        <x:v>0.09888420000000007</x:v>
      </x:c>
      <x:c r="L190" s="28" t="n">
        <x:v>0.24909051062897233</x:v>
      </x:c>
    </x:row>
    <x:row r="191">
      <x:c r="A191" s="32" t="n">
        <x:v>45717</x:v>
      </x:c>
      <x:c r="B191" t="str">
        <x:v>Mar 2025</x:v>
      </x:c>
      <x:c r="C191" t="str">
        <x:v>Actual</x:v>
      </x:c>
      <x:c r="D191" t="str">
        <x:v>DB-102</x:v>
      </x:c>
      <x:c r="E191" t="str">
        <x:v>GlowPatch Balm</x:v>
      </x:c>
      <x:c r="F191" t="str">
        <x:v>Wholesale</x:v>
      </x:c>
      <x:c r="G191" t="str">
        <x:v>Retailer</x:v>
      </x:c>
      <x:c r="H191" t="str">
        <x:v>US East</x:v>
      </x:c>
      <x:c r="I191" s="34" t="n">
        <x:v>46.4</x:v>
      </x:c>
      <x:c r="J191" s="38" t="n">
        <x:v>0.5293080000000001</x:v>
      </x:c>
      <x:c r="K191" s="38" t="n">
        <x:v>0.1318456000000001</x:v>
      </x:c>
      <x:c r="L191" s="28" t="n">
        <x:v>0.24909051062897228</x:v>
      </x:c>
    </x:row>
    <x:row r="192">
      <x:c r="A192" s="32" t="n">
        <x:v>45717</x:v>
      </x:c>
      <x:c r="B192" t="str">
        <x:v>Mar 2025</x:v>
      </x:c>
      <x:c r="C192" t="str">
        <x:v>Actual</x:v>
      </x:c>
      <x:c r="D192" t="str">
        <x:v>DB-102</x:v>
      </x:c>
      <x:c r="E192" t="str">
        <x:v>GlowPatch Balm</x:v>
      </x:c>
      <x:c r="F192" t="str">
        <x:v>Wholesale</x:v>
      </x:c>
      <x:c r="G192" t="str">
        <x:v>Retailer</x:v>
      </x:c>
      <x:c r="H192" t="str">
        <x:v>Canada</x:v>
      </x:c>
      <x:c r="I192" s="34" t="n">
        <x:v>14.5</x:v>
      </x:c>
      <x:c r="J192" s="38" t="n">
        <x:v>0.16540875000000002</x:v>
      </x:c>
      <x:c r="K192" s="38" t="n">
        <x:v>0.04120175000000004</x:v>
      </x:c>
      <x:c r="L192" s="28" t="n">
        <x:v>0.24909051062897236</x:v>
      </x:c>
    </x:row>
    <x:row r="193">
      <x:c r="A193" s="32" t="n">
        <x:v>45717</x:v>
      </x:c>
      <x:c r="B193" t="str">
        <x:v>Mar 2025</x:v>
      </x:c>
      <x:c r="C193" t="str">
        <x:v>Actual</x:v>
      </x:c>
      <x:c r="D193" t="str">
        <x:v>DB-102</x:v>
      </x:c>
      <x:c r="E193" t="str">
        <x:v>GlowPatch Balm</x:v>
      </x:c>
      <x:c r="F193" t="str">
        <x:v>TikTok Shop</x:v>
      </x:c>
      <x:c r="G193" t="str">
        <x:v>Social Commerce</x:v>
      </x:c>
      <x:c r="H193" t="str">
        <x:v>US West</x:v>
      </x:c>
      <x:c r="I193" s="34" t="n">
        <x:v>75.48</x:v>
      </x:c>
      <x:c r="J193" s="38" t="n">
        <x:v>1.1657131200000002</x:v>
      </x:c>
      <x:c r="K193" s="38" t="n">
        <x:v>0.13612697232000007</x:v>
      </x:c>
      <x:c r="L193" s="28" t="n">
        <x:v>0.11677570577570581</x:v>
      </x:c>
    </x:row>
    <x:row r="194">
      <x:c r="A194" s="32" t="n">
        <x:v>45717</x:v>
      </x:c>
      <x:c r="B194" t="str">
        <x:v>Mar 2025</x:v>
      </x:c>
      <x:c r="C194" t="str">
        <x:v>Actual</x:v>
      </x:c>
      <x:c r="D194" t="str">
        <x:v>DB-102</x:v>
      </x:c>
      <x:c r="E194" t="str">
        <x:v>GlowPatch Balm</x:v>
      </x:c>
      <x:c r="F194" t="str">
        <x:v>TikTok Shop</x:v>
      </x:c>
      <x:c r="G194" t="str">
        <x:v>Social Commerce</x:v>
      </x:c>
      <x:c r="H194" t="str">
        <x:v>US Central</x:v>
      </x:c>
      <x:c r="I194" s="34" t="n">
        <x:v>53.28</x:v>
      </x:c>
      <x:c r="J194" s="38" t="n">
        <x:v>0.8228563200000001</x:v>
      </x:c>
      <x:c r="K194" s="38" t="n">
        <x:v>0.09608962752000004</x:v>
      </x:c>
      <x:c r="L194" s="28" t="n">
        <x:v>0.11677570577570581</x:v>
      </x:c>
    </x:row>
    <x:row r="195">
      <x:c r="A195" s="32" t="n">
        <x:v>45717</x:v>
      </x:c>
      <x:c r="B195" t="str">
        <x:v>Mar 2025</x:v>
      </x:c>
      <x:c r="C195" t="str">
        <x:v>Actual</x:v>
      </x:c>
      <x:c r="D195" t="str">
        <x:v>DB-102</x:v>
      </x:c>
      <x:c r="E195" t="str">
        <x:v>GlowPatch Balm</x:v>
      </x:c>
      <x:c r="F195" t="str">
        <x:v>TikTok Shop</x:v>
      </x:c>
      <x:c r="G195" t="str">
        <x:v>Social Commerce</x:v>
      </x:c>
      <x:c r="H195" t="str">
        <x:v>US East</x:v>
      </x:c>
      <x:c r="I195" s="34" t="n">
        <x:v>71.04</x:v>
      </x:c>
      <x:c r="J195" s="38" t="n">
        <x:v>1.0971417600000002</x:v>
      </x:c>
      <x:c r="K195" s="38" t="n">
        <x:v>0.12811950336000005</x:v>
      </x:c>
      <x:c r="L195" s="28" t="n">
        <x:v>0.1167757057757058</x:v>
      </x:c>
    </x:row>
    <x:row r="196">
      <x:c r="A196" s="32" t="n">
        <x:v>45717</x:v>
      </x:c>
      <x:c r="B196" t="str">
        <x:v>Mar 2025</x:v>
      </x:c>
      <x:c r="C196" t="str">
        <x:v>Actual</x:v>
      </x:c>
      <x:c r="D196" t="str">
        <x:v>DB-102</x:v>
      </x:c>
      <x:c r="E196" t="str">
        <x:v>GlowPatch Balm</x:v>
      </x:c>
      <x:c r="F196" t="str">
        <x:v>TikTok Shop</x:v>
      </x:c>
      <x:c r="G196" t="str">
        <x:v>Social Commerce</x:v>
      </x:c>
      <x:c r="H196" t="str">
        <x:v>Canada</x:v>
      </x:c>
      <x:c r="I196" s="34" t="n">
        <x:v>22.200000000000003</x:v>
      </x:c>
      <x:c r="J196" s="38" t="n">
        <x:v>0.3428568000000001</x:v>
      </x:c>
      <x:c r="K196" s="38" t="n">
        <x:v>0.04003734480000002</x:v>
      </x:c>
      <x:c r="L196" s="28" t="n">
        <x:v>0.11677570577570581</x:v>
      </x:c>
    </x:row>
    <x:row r="197">
      <x:c r="A197" s="32" t="n">
        <x:v>45717</x:v>
      </x:c>
      <x:c r="B197" t="str">
        <x:v>Mar 2025</x:v>
      </x:c>
      <x:c r="C197" t="str">
        <x:v>Actual</x:v>
      </x:c>
      <x:c r="D197" t="str">
        <x:v>DB-103</x:v>
      </x:c>
      <x:c r="E197" t="str">
        <x:v>EmberTrail Camp Mug</x:v>
      </x:c>
      <x:c r="F197" t="str">
        <x:v>Shopify DTC</x:v>
      </x:c>
      <x:c r="G197" t="str">
        <x:v>Consumer</x:v>
      </x:c>
      <x:c r="H197" t="str">
        <x:v>US West</x:v>
      </x:c>
      <x:c r="I197" s="34" t="n">
        <x:v>179.86</x:v>
      </x:c>
      <x:c r="J197" s="38" t="n">
        <x:v>5.316589656</x:v>
      </x:c>
      <x:c r="K197" s="38" t="n">
        <x:v>1.6504621959759997</x:v>
      </x:c>
      <x:c r="L197" s="28" t="n">
        <x:v>0.31043625759482535</x:v>
      </x:c>
    </x:row>
    <x:row r="198">
      <x:c r="A198" s="32" t="n">
        <x:v>45717</x:v>
      </x:c>
      <x:c r="B198" t="str">
        <x:v>Mar 2025</x:v>
      </x:c>
      <x:c r="C198" t="str">
        <x:v>Actual</x:v>
      </x:c>
      <x:c r="D198" t="str">
        <x:v>DB-103</x:v>
      </x:c>
      <x:c r="E198" t="str">
        <x:v>EmberTrail Camp Mug</x:v>
      </x:c>
      <x:c r="F198" t="str">
        <x:v>Shopify DTC</x:v>
      </x:c>
      <x:c r="G198" t="str">
        <x:v>Consumer</x:v>
      </x:c>
      <x:c r="H198" t="str">
        <x:v>US Central</x:v>
      </x:c>
      <x:c r="I198" s="34" t="n">
        <x:v>126.96</x:v>
      </x:c>
      <x:c r="J198" s="38" t="n">
        <x:v>3.7528868159999993</x:v>
      </x:c>
      <x:c r="K198" s="38" t="n">
        <x:v>1.1650321383359998</x:v>
      </x:c>
      <x:c r="L198" s="28" t="n">
        <x:v>0.3104362575948254</x:v>
      </x:c>
    </x:row>
    <x:row r="199">
      <x:c r="A199" s="32" t="n">
        <x:v>45717</x:v>
      </x:c>
      <x:c r="B199" t="str">
        <x:v>Mar 2025</x:v>
      </x:c>
      <x:c r="C199" t="str">
        <x:v>Actual</x:v>
      </x:c>
      <x:c r="D199" t="str">
        <x:v>DB-103</x:v>
      </x:c>
      <x:c r="E199" t="str">
        <x:v>EmberTrail Camp Mug</x:v>
      </x:c>
      <x:c r="F199" t="str">
        <x:v>Shopify DTC</x:v>
      </x:c>
      <x:c r="G199" t="str">
        <x:v>Consumer</x:v>
      </x:c>
      <x:c r="H199" t="str">
        <x:v>US East</x:v>
      </x:c>
      <x:c r="I199" s="34" t="n">
        <x:v>169.28</x:v>
      </x:c>
      <x:c r="J199" s="38" t="n">
        <x:v>5.003849088</x:v>
      </x:c>
      <x:c r="K199" s="38" t="n">
        <x:v>1.5533761844479999</x:v>
      </x:c>
      <x:c r="L199" s="28" t="n">
        <x:v>0.31043625759482535</x:v>
      </x:c>
    </x:row>
    <x:row r="200">
      <x:c r="A200" s="32" t="n">
        <x:v>45717</x:v>
      </x:c>
      <x:c r="B200" t="str">
        <x:v>Mar 2025</x:v>
      </x:c>
      <x:c r="C200" t="str">
        <x:v>Actual</x:v>
      </x:c>
      <x:c r="D200" t="str">
        <x:v>DB-103</x:v>
      </x:c>
      <x:c r="E200" t="str">
        <x:v>EmberTrail Camp Mug</x:v>
      </x:c>
      <x:c r="F200" t="str">
        <x:v>Shopify DTC</x:v>
      </x:c>
      <x:c r="G200" t="str">
        <x:v>Consumer</x:v>
      </x:c>
      <x:c r="H200" t="str">
        <x:v>Canada</x:v>
      </x:c>
      <x:c r="I200" s="34" t="n">
        <x:v>52.900000000000006</x:v>
      </x:c>
      <x:c r="J200" s="38" t="n">
        <x:v>1.56370284</x:v>
      </x:c>
      <x:c r="K200" s="38" t="n">
        <x:v>0.4854300576399999</x:v>
      </x:c>
      <x:c r="L200" s="28" t="n">
        <x:v>0.31043625759482535</x:v>
      </x:c>
    </x:row>
    <x:row r="201">
      <x:c r="A201" s="32" t="n">
        <x:v>45717</x:v>
      </x:c>
      <x:c r="B201" t="str">
        <x:v>Mar 2025</x:v>
      </x:c>
      <x:c r="C201" t="str">
        <x:v>Actual</x:v>
      </x:c>
      <x:c r="D201" t="str">
        <x:v>DB-103</x:v>
      </x:c>
      <x:c r="E201" t="str">
        <x:v>EmberTrail Camp Mug</x:v>
      </x:c>
      <x:c r="F201" t="str">
        <x:v>Amazon Marketplace</x:v>
      </x:c>
      <x:c r="G201" t="str">
        <x:v>Marketplace Consumer</x:v>
      </x:c>
      <x:c r="H201" t="str">
        <x:v>US West</x:v>
      </x:c>
      <x:c r="I201" s="34" t="n">
        <x:v>106.08000000000001</x:v>
      </x:c>
      <x:c r="J201" s="38" t="n">
        <x:v>3.2379328800000002</x:v>
      </x:c>
      <x:c r="K201" s="38" t="n">
        <x:v>0.5165008680000001</x:v>
      </x:c>
      <x:c r="L201" s="28" t="n">
        <x:v>0.15951561911314233</x:v>
      </x:c>
    </x:row>
    <x:row r="202">
      <x:c r="A202" s="32" t="n">
        <x:v>45717</x:v>
      </x:c>
      <x:c r="B202" t="str">
        <x:v>Mar 2025</x:v>
      </x:c>
      <x:c r="C202" t="str">
        <x:v>Actual</x:v>
      </x:c>
      <x:c r="D202" t="str">
        <x:v>DB-103</x:v>
      </x:c>
      <x:c r="E202" t="str">
        <x:v>EmberTrail Camp Mug</x:v>
      </x:c>
      <x:c r="F202" t="str">
        <x:v>Amazon Marketplace</x:v>
      </x:c>
      <x:c r="G202" t="str">
        <x:v>Marketplace Consumer</x:v>
      </x:c>
      <x:c r="H202" t="str">
        <x:v>US Central</x:v>
      </x:c>
      <x:c r="I202" s="34" t="n">
        <x:v>74.88</x:v>
      </x:c>
      <x:c r="J202" s="38" t="n">
        <x:v>2.28559968</x:v>
      </x:c>
      <x:c r="K202" s="38" t="n">
        <x:v>0.364588848</x:v>
      </x:c>
      <x:c r="L202" s="28" t="n">
        <x:v>0.15951561911314235</x:v>
      </x:c>
    </x:row>
    <x:row r="203">
      <x:c r="A203" s="32" t="n">
        <x:v>45717</x:v>
      </x:c>
      <x:c r="B203" t="str">
        <x:v>Mar 2025</x:v>
      </x:c>
      <x:c r="C203" t="str">
        <x:v>Actual</x:v>
      </x:c>
      <x:c r="D203" t="str">
        <x:v>DB-103</x:v>
      </x:c>
      <x:c r="E203" t="str">
        <x:v>EmberTrail Camp Mug</x:v>
      </x:c>
      <x:c r="F203" t="str">
        <x:v>Amazon Marketplace</x:v>
      </x:c>
      <x:c r="G203" t="str">
        <x:v>Marketplace Consumer</x:v>
      </x:c>
      <x:c r="H203" t="str">
        <x:v>US East</x:v>
      </x:c>
      <x:c r="I203" s="34" t="n">
        <x:v>99.84</x:v>
      </x:c>
      <x:c r="J203" s="38" t="n">
        <x:v>3.04746624</x:v>
      </x:c>
      <x:c r="K203" s="38" t="n">
        <x:v>0.4861184640000001</x:v>
      </x:c>
      <x:c r="L203" s="28" t="n">
        <x:v>0.15951561911314235</x:v>
      </x:c>
    </x:row>
    <x:row r="204">
      <x:c r="A204" s="32" t="n">
        <x:v>45717</x:v>
      </x:c>
      <x:c r="B204" t="str">
        <x:v>Mar 2025</x:v>
      </x:c>
      <x:c r="C204" t="str">
        <x:v>Actual</x:v>
      </x:c>
      <x:c r="D204" t="str">
        <x:v>DB-103</x:v>
      </x:c>
      <x:c r="E204" t="str">
        <x:v>EmberTrail Camp Mug</x:v>
      </x:c>
      <x:c r="F204" t="str">
        <x:v>Amazon Marketplace</x:v>
      </x:c>
      <x:c r="G204" t="str">
        <x:v>Marketplace Consumer</x:v>
      </x:c>
      <x:c r="H204" t="str">
        <x:v>Canada</x:v>
      </x:c>
      <x:c r="I204" s="34" t="n">
        <x:v>31.200000000000003</x:v>
      </x:c>
      <x:c r="J204" s="38" t="n">
        <x:v>0.9523332</x:v>
      </x:c>
      <x:c r="K204" s="38" t="n">
        <x:v>0.15191202000000004</x:v>
      </x:c>
      <x:c r="L204" s="28" t="n">
        <x:v>0.15951561911314238</x:v>
      </x:c>
    </x:row>
    <x:row r="205">
      <x:c r="A205" s="32" t="n">
        <x:v>45717</x:v>
      </x:c>
      <x:c r="B205" t="str">
        <x:v>Mar 2025</x:v>
      </x:c>
      <x:c r="C205" t="str">
        <x:v>Actual</x:v>
      </x:c>
      <x:c r="D205" t="str">
        <x:v>DB-103</x:v>
      </x:c>
      <x:c r="E205" t="str">
        <x:v>EmberTrail Camp Mug</x:v>
      </x:c>
      <x:c r="F205" t="str">
        <x:v>Wholesale</x:v>
      </x:c>
      <x:c r="G205" t="str">
        <x:v>Retailer</x:v>
      </x:c>
      <x:c r="H205" t="str">
        <x:v>US West</x:v>
      </x:c>
      <x:c r="I205" s="34" t="n">
        <x:v>29.580000000000002</x:v>
      </x:c>
      <x:c r="J205" s="38" t="n">
        <x:v>0.6177635100000001</x:v>
      </x:c>
      <x:c r="K205" s="38" t="n">
        <x:v>0.11857143000000006</x:v>
      </x:c>
      <x:c r="L205" s="28" t="n">
        <x:v>0.19193660370130966</x:v>
      </x:c>
    </x:row>
    <x:row r="206">
      <x:c r="A206" s="32" t="n">
        <x:v>45717</x:v>
      </x:c>
      <x:c r="B206" t="str">
        <x:v>Mar 2025</x:v>
      </x:c>
      <x:c r="C206" t="str">
        <x:v>Actual</x:v>
      </x:c>
      <x:c r="D206" t="str">
        <x:v>DB-103</x:v>
      </x:c>
      <x:c r="E206" t="str">
        <x:v>EmberTrail Camp Mug</x:v>
      </x:c>
      <x:c r="F206" t="str">
        <x:v>Wholesale</x:v>
      </x:c>
      <x:c r="G206" t="str">
        <x:v>Retailer</x:v>
      </x:c>
      <x:c r="H206" t="str">
        <x:v>US Central</x:v>
      </x:c>
      <x:c r="I206" s="34" t="n">
        <x:v>20.88</x:v>
      </x:c>
      <x:c r="J206" s="38" t="n">
        <x:v>0.43606836</x:v>
      </x:c>
      <x:c r="K206" s="38" t="n">
        <x:v>0.08369748000000003</x:v>
      </x:c>
      <x:c r="L206" s="28" t="n">
        <x:v>0.19193660370130966</x:v>
      </x:c>
    </x:row>
    <x:row r="207">
      <x:c r="A207" s="32" t="n">
        <x:v>45717</x:v>
      </x:c>
      <x:c r="B207" t="str">
        <x:v>Mar 2025</x:v>
      </x:c>
      <x:c r="C207" t="str">
        <x:v>Actual</x:v>
      </x:c>
      <x:c r="D207" t="str">
        <x:v>DB-103</x:v>
      </x:c>
      <x:c r="E207" t="str">
        <x:v>EmberTrail Camp Mug</x:v>
      </x:c>
      <x:c r="F207" t="str">
        <x:v>Wholesale</x:v>
      </x:c>
      <x:c r="G207" t="str">
        <x:v>Retailer</x:v>
      </x:c>
      <x:c r="H207" t="str">
        <x:v>US East</x:v>
      </x:c>
      <x:c r="I207" s="34" t="n">
        <x:v>27.84</x:v>
      </x:c>
      <x:c r="J207" s="38" t="n">
        <x:v>0.58142448</x:v>
      </x:c>
      <x:c r="K207" s="38" t="n">
        <x:v>0.11159664000000005</x:v>
      </x:c>
      <x:c r="L207" s="28" t="n">
        <x:v>0.19193660370130966</x:v>
      </x:c>
    </x:row>
    <x:row r="208">
      <x:c r="A208" s="32" t="n">
        <x:v>45717</x:v>
      </x:c>
      <x:c r="B208" t="str">
        <x:v>Mar 2025</x:v>
      </x:c>
      <x:c r="C208" t="str">
        <x:v>Actual</x:v>
      </x:c>
      <x:c r="D208" t="str">
        <x:v>DB-103</x:v>
      </x:c>
      <x:c r="E208" t="str">
        <x:v>EmberTrail Camp Mug</x:v>
      </x:c>
      <x:c r="F208" t="str">
        <x:v>Wholesale</x:v>
      </x:c>
      <x:c r="G208" t="str">
        <x:v>Retailer</x:v>
      </x:c>
      <x:c r="H208" t="str">
        <x:v>Canada</x:v>
      </x:c>
      <x:c r="I208" s="34" t="n">
        <x:v>8.700000000000001</x:v>
      </x:c>
      <x:c r="J208" s="38" t="n">
        <x:v>0.18169515000000003</x:v>
      </x:c>
      <x:c r="K208" s="38" t="n">
        <x:v>0.034873950000000015</x:v>
      </x:c>
      <x:c r="L208" s="28" t="n">
        <x:v>0.19193660370130963</x:v>
      </x:c>
    </x:row>
    <x:row r="209">
      <x:c r="A209" s="32" t="n">
        <x:v>45717</x:v>
      </x:c>
      <x:c r="B209" t="str">
        <x:v>Mar 2025</x:v>
      </x:c>
      <x:c r="C209" t="str">
        <x:v>Actual</x:v>
      </x:c>
      <x:c r="D209" t="str">
        <x:v>DB-103</x:v>
      </x:c>
      <x:c r="E209" t="str">
        <x:v>EmberTrail Camp Mug</x:v>
      </x:c>
      <x:c r="F209" t="str">
        <x:v>TikTok Shop</x:v>
      </x:c>
      <x:c r="G209" t="str">
        <x:v>Social Commerce</x:v>
      </x:c>
      <x:c r="H209" t="str">
        <x:v>US West</x:v>
      </x:c>
      <x:c r="I209" s="34" t="n">
        <x:v>45.56</x:v>
      </x:c>
      <x:c r="J209" s="38" t="n">
        <x:v>1.2881816640000001</x:v>
      </x:c>
      <x:c r="K209" s="38" t="n">
        <x:v>0.23609093590400004</x:v>
      </x:c>
      <x:c r="L209" s="28" t="n">
        <x:v>0.18327456639221346</x:v>
      </x:c>
    </x:row>
    <x:row r="210">
      <x:c r="A210" s="32" t="n">
        <x:v>45717</x:v>
      </x:c>
      <x:c r="B210" t="str">
        <x:v>Mar 2025</x:v>
      </x:c>
      <x:c r="C210" t="str">
        <x:v>Actual</x:v>
      </x:c>
      <x:c r="D210" t="str">
        <x:v>DB-103</x:v>
      </x:c>
      <x:c r="E210" t="str">
        <x:v>EmberTrail Camp Mug</x:v>
      </x:c>
      <x:c r="F210" t="str">
        <x:v>TikTok Shop</x:v>
      </x:c>
      <x:c r="G210" t="str">
        <x:v>Social Commerce</x:v>
      </x:c>
      <x:c r="H210" t="str">
        <x:v>US Central</x:v>
      </x:c>
      <x:c r="I210" s="34" t="n">
        <x:v>32.16</x:v>
      </x:c>
      <x:c r="J210" s="38" t="n">
        <x:v>0.909304704</x:v>
      </x:c>
      <x:c r="K210" s="38" t="n">
        <x:v>0.16665242534400002</x:v>
      </x:c>
      <x:c r="L210" s="28" t="n">
        <x:v>0.18327456639221348</x:v>
      </x:c>
    </x:row>
    <x:row r="211">
      <x:c r="A211" s="32" t="n">
        <x:v>45717</x:v>
      </x:c>
      <x:c r="B211" t="str">
        <x:v>Mar 2025</x:v>
      </x:c>
      <x:c r="C211" t="str">
        <x:v>Actual</x:v>
      </x:c>
      <x:c r="D211" t="str">
        <x:v>DB-103</x:v>
      </x:c>
      <x:c r="E211" t="str">
        <x:v>EmberTrail Camp Mug</x:v>
      </x:c>
      <x:c r="F211" t="str">
        <x:v>TikTok Shop</x:v>
      </x:c>
      <x:c r="G211" t="str">
        <x:v>Social Commerce</x:v>
      </x:c>
      <x:c r="H211" t="str">
        <x:v>US East</x:v>
      </x:c>
      <x:c r="I211" s="34" t="n">
        <x:v>42.88</x:v>
      </x:c>
      <x:c r="J211" s="38" t="n">
        <x:v>1.2124062720000002</x:v>
      </x:c>
      <x:c r="K211" s="38" t="n">
        <x:v>0.22220323379200005</x:v>
      </x:c>
      <x:c r="L211" s="28" t="n">
        <x:v>0.18327456639221346</x:v>
      </x:c>
    </x:row>
    <x:row r="212">
      <x:c r="A212" s="32" t="n">
        <x:v>45717</x:v>
      </x:c>
      <x:c r="B212" t="str">
        <x:v>Mar 2025</x:v>
      </x:c>
      <x:c r="C212" t="str">
        <x:v>Actual</x:v>
      </x:c>
      <x:c r="D212" t="str">
        <x:v>DB-103</x:v>
      </x:c>
      <x:c r="E212" t="str">
        <x:v>EmberTrail Camp Mug</x:v>
      </x:c>
      <x:c r="F212" t="str">
        <x:v>TikTok Shop</x:v>
      </x:c>
      <x:c r="G212" t="str">
        <x:v>Social Commerce</x:v>
      </x:c>
      <x:c r="H212" t="str">
        <x:v>Canada</x:v>
      </x:c>
      <x:c r="I212" s="34" t="n">
        <x:v>13.4</x:v>
      </x:c>
      <x:c r="J212" s="38" t="n">
        <x:v>0.37887696000000004</x:v>
      </x:c>
      <x:c r="K212" s="38" t="n">
        <x:v>0.06943851056000001</x:v>
      </x:c>
      <x:c r="L212" s="28" t="n">
        <x:v>0.18327456639221346</x:v>
      </x:c>
    </x:row>
    <x:row r="213">
      <x:c r="A213" s="32" t="n">
        <x:v>45717</x:v>
      </x:c>
      <x:c r="B213" t="str">
        <x:v>Mar 2025</x:v>
      </x:c>
      <x:c r="C213" t="str">
        <x:v>Actual</x:v>
      </x:c>
      <x:c r="D213" t="str">
        <x:v>DB-104</x:v>
      </x:c>
      <x:c r="E213" t="str">
        <x:v>SunNest Cooling Towel</x:v>
      </x:c>
      <x:c r="F213" t="str">
        <x:v>Shopify DTC</x:v>
      </x:c>
      <x:c r="G213" t="str">
        <x:v>Consumer</x:v>
      </x:c>
      <x:c r="H213" t="str">
        <x:v>US West</x:v>
      </x:c>
      <x:c r="I213" s="34" t="n">
        <x:v>166.26000000000002</x:v>
      </x:c>
      <x:c r="J213" s="38" t="n">
        <x:v>6.1030720800000005</x:v>
      </x:c>
      <x:c r="K213" s="38" t="n">
        <x:v>2.4549067096800004</x:v>
      </x:c>
      <x:c r="L213" s="28" t="n">
        <x:v>0.4022411463441212</x:v>
      </x:c>
    </x:row>
    <x:row r="214">
      <x:c r="A214" s="32" t="n">
        <x:v>45717</x:v>
      </x:c>
      <x:c r="B214" t="str">
        <x:v>Mar 2025</x:v>
      </x:c>
      <x:c r="C214" t="str">
        <x:v>Actual</x:v>
      </x:c>
      <x:c r="D214" t="str">
        <x:v>DB-104</x:v>
      </x:c>
      <x:c r="E214" t="str">
        <x:v>SunNest Cooling Towel</x:v>
      </x:c>
      <x:c r="F214" t="str">
        <x:v>Shopify DTC</x:v>
      </x:c>
      <x:c r="G214" t="str">
        <x:v>Consumer</x:v>
      </x:c>
      <x:c r="H214" t="str">
        <x:v>US Central</x:v>
      </x:c>
      <x:c r="I214" s="34" t="n">
        <x:v>117.36</x:v>
      </x:c>
      <x:c r="J214" s="38" t="n">
        <x:v>4.30805088</x:v>
      </x:c>
      <x:c r="K214" s="38" t="n">
        <x:v>1.73287532448</x:v>
      </x:c>
      <x:c r="L214" s="28" t="n">
        <x:v>0.40224114634412117</x:v>
      </x:c>
    </x:row>
    <x:row r="215">
      <x:c r="A215" s="32" t="n">
        <x:v>45717</x:v>
      </x:c>
      <x:c r="B215" t="str">
        <x:v>Mar 2025</x:v>
      </x:c>
      <x:c r="C215" t="str">
        <x:v>Actual</x:v>
      </x:c>
      <x:c r="D215" t="str">
        <x:v>DB-104</x:v>
      </x:c>
      <x:c r="E215" t="str">
        <x:v>SunNest Cooling Towel</x:v>
      </x:c>
      <x:c r="F215" t="str">
        <x:v>Shopify DTC</x:v>
      </x:c>
      <x:c r="G215" t="str">
        <x:v>Consumer</x:v>
      </x:c>
      <x:c r="H215" t="str">
        <x:v>US East</x:v>
      </x:c>
      <x:c r="I215" s="34" t="n">
        <x:v>156.48</x:v>
      </x:c>
      <x:c r="J215" s="38" t="n">
        <x:v>5.7440678400000005</x:v>
      </x:c>
      <x:c r="K215" s="38" t="n">
        <x:v>2.31050043264</x:v>
      </x:c>
      <x:c r="L215" s="28" t="n">
        <x:v>0.40224114634412117</x:v>
      </x:c>
    </x:row>
    <x:row r="216">
      <x:c r="A216" s="32" t="n">
        <x:v>45717</x:v>
      </x:c>
      <x:c r="B216" t="str">
        <x:v>Mar 2025</x:v>
      </x:c>
      <x:c r="C216" t="str">
        <x:v>Actual</x:v>
      </x:c>
      <x:c r="D216" t="str">
        <x:v>DB-104</x:v>
      </x:c>
      <x:c r="E216" t="str">
        <x:v>SunNest Cooling Towel</x:v>
      </x:c>
      <x:c r="F216" t="str">
        <x:v>Shopify DTC</x:v>
      </x:c>
      <x:c r="G216" t="str">
        <x:v>Consumer</x:v>
      </x:c>
      <x:c r="H216" t="str">
        <x:v>Canada</x:v>
      </x:c>
      <x:c r="I216" s="34" t="n">
        <x:v>48.900000000000006</x:v>
      </x:c>
      <x:c r="J216" s="38" t="n">
        <x:v>1.7950212</x:v>
      </x:c>
      <x:c r="K216" s="38" t="n">
        <x:v>0.7220313852000001</x:v>
      </x:c>
      <x:c r="L216" s="28" t="n">
        <x:v>0.4022411463441212</x:v>
      </x:c>
    </x:row>
    <x:row r="217">
      <x:c r="A217" s="32" t="n">
        <x:v>45717</x:v>
      </x:c>
      <x:c r="B217" t="str">
        <x:v>Mar 2025</x:v>
      </x:c>
      <x:c r="C217" t="str">
        <x:v>Actual</x:v>
      </x:c>
      <x:c r="D217" t="str">
        <x:v>DB-104</x:v>
      </x:c>
      <x:c r="E217" t="str">
        <x:v>SunNest Cooling Towel</x:v>
      </x:c>
      <x:c r="F217" t="str">
        <x:v>Amazon Marketplace</x:v>
      </x:c>
      <x:c r="G217" t="str">
        <x:v>Marketplace Consumer</x:v>
      </x:c>
      <x:c r="H217" t="str">
        <x:v>US West</x:v>
      </x:c>
      <x:c r="I217" s="34" t="n">
        <x:v>97.92</x:v>
      </x:c>
      <x:c r="J217" s="38" t="n">
        <x:v>3.7116576</x:v>
      </x:c>
      <x:c r="K217" s="38" t="n">
        <x:v>0.9587592000000003</x:v>
      </x:c>
      <x:c r="L217" s="28" t="n">
        <x:v>0.2583102493074793</x:v>
      </x:c>
    </x:row>
    <x:row r="218">
      <x:c r="A218" s="32" t="n">
        <x:v>45717</x:v>
      </x:c>
      <x:c r="B218" t="str">
        <x:v>Mar 2025</x:v>
      </x:c>
      <x:c r="C218" t="str">
        <x:v>Actual</x:v>
      </x:c>
      <x:c r="D218" t="str">
        <x:v>DB-104</x:v>
      </x:c>
      <x:c r="E218" t="str">
        <x:v>SunNest Cooling Towel</x:v>
      </x:c>
      <x:c r="F218" t="str">
        <x:v>Amazon Marketplace</x:v>
      </x:c>
      <x:c r="G218" t="str">
        <x:v>Marketplace Consumer</x:v>
      </x:c>
      <x:c r="H218" t="str">
        <x:v>US Central</x:v>
      </x:c>
      <x:c r="I218" s="34" t="n">
        <x:v>69.12</x:v>
      </x:c>
      <x:c r="J218" s="38" t="n">
        <x:v>2.6199936</x:v>
      </x:c>
      <x:c r="K218" s="38" t="n">
        <x:v>0.6767712</x:v>
      </x:c>
      <x:c r="L218" s="28" t="n">
        <x:v>0.25831024930747926</x:v>
      </x:c>
    </x:row>
    <x:row r="219">
      <x:c r="A219" s="32" t="n">
        <x:v>45717</x:v>
      </x:c>
      <x:c r="B219" t="str">
        <x:v>Mar 2025</x:v>
      </x:c>
      <x:c r="C219" t="str">
        <x:v>Actual</x:v>
      </x:c>
      <x:c r="D219" t="str">
        <x:v>DB-104</x:v>
      </x:c>
      <x:c r="E219" t="str">
        <x:v>SunNest Cooling Towel</x:v>
      </x:c>
      <x:c r="F219" t="str">
        <x:v>Amazon Marketplace</x:v>
      </x:c>
      <x:c r="G219" t="str">
        <x:v>Marketplace Consumer</x:v>
      </x:c>
      <x:c r="H219" t="str">
        <x:v>US East</x:v>
      </x:c>
      <x:c r="I219" s="34" t="n">
        <x:v>92.16</x:v>
      </x:c>
      <x:c r="J219" s="38" t="n">
        <x:v>3.4933248</x:v>
      </x:c>
      <x:c r="K219" s="38" t="n">
        <x:v>0.9023616000000001</x:v>
      </x:c>
      <x:c r="L219" s="28" t="n">
        <x:v>0.25831024930747926</x:v>
      </x:c>
    </x:row>
    <x:row r="220">
      <x:c r="A220" s="32" t="n">
        <x:v>45717</x:v>
      </x:c>
      <x:c r="B220" t="str">
        <x:v>Mar 2025</x:v>
      </x:c>
      <x:c r="C220" t="str">
        <x:v>Actual</x:v>
      </x:c>
      <x:c r="D220" t="str">
        <x:v>DB-104</x:v>
      </x:c>
      <x:c r="E220" t="str">
        <x:v>SunNest Cooling Towel</x:v>
      </x:c>
      <x:c r="F220" t="str">
        <x:v>Amazon Marketplace</x:v>
      </x:c>
      <x:c r="G220" t="str">
        <x:v>Marketplace Consumer</x:v>
      </x:c>
      <x:c r="H220" t="str">
        <x:v>Canada</x:v>
      </x:c>
      <x:c r="I220" s="34" t="n">
        <x:v>28.8</x:v>
      </x:c>
      <x:c r="J220" s="38" t="n">
        <x:v>1.091664</x:v>
      </x:c>
      <x:c r="K220" s="38" t="n">
        <x:v>0.28198800000000007</x:v>
      </x:c>
      <x:c r="L220" s="28" t="n">
        <x:v>0.2583102493074793</x:v>
      </x:c>
    </x:row>
    <x:row r="221">
      <x:c r="A221" s="32" t="n">
        <x:v>45717</x:v>
      </x:c>
      <x:c r="B221" t="str">
        <x:v>Mar 2025</x:v>
      </x:c>
      <x:c r="C221" t="str">
        <x:v>Actual</x:v>
      </x:c>
      <x:c r="D221" t="str">
        <x:v>DB-104</x:v>
      </x:c>
      <x:c r="E221" t="str">
        <x:v>SunNest Cooling Towel</x:v>
      </x:c>
      <x:c r="F221" t="str">
        <x:v>Wholesale</x:v>
      </x:c>
      <x:c r="G221" t="str">
        <x:v>Retailer</x:v>
      </x:c>
      <x:c r="H221" t="str">
        <x:v>US West</x:v>
      </x:c>
      <x:c r="I221" s="34" t="n">
        <x:v>27.200000000000003</x:v>
      </x:c>
      <x:c r="J221" s="38" t="n">
        <x:v>0.7054320000000002</x:v>
      </x:c>
      <x:c r="K221" s="38" t="n">
        <x:v>0.20963040000000008</x:v>
      </x:c>
      <x:c r="L221" s="28" t="n">
        <x:v>0.29716599190283405</x:v>
      </x:c>
    </x:row>
    <x:row r="222">
      <x:c r="A222" s="32" t="n">
        <x:v>45717</x:v>
      </x:c>
      <x:c r="B222" t="str">
        <x:v>Mar 2025</x:v>
      </x:c>
      <x:c r="C222" t="str">
        <x:v>Actual</x:v>
      </x:c>
      <x:c r="D222" t="str">
        <x:v>DB-104</x:v>
      </x:c>
      <x:c r="E222" t="str">
        <x:v>SunNest Cooling Towel</x:v>
      </x:c>
      <x:c r="F222" t="str">
        <x:v>Wholesale</x:v>
      </x:c>
      <x:c r="G222" t="str">
        <x:v>Retailer</x:v>
      </x:c>
      <x:c r="H222" t="str">
        <x:v>US Central</x:v>
      </x:c>
      <x:c r="I222" s="34" t="n">
        <x:v>19.2</x:v>
      </x:c>
      <x:c r="J222" s="38" t="n">
        <x:v>0.497952</x:v>
      </x:c>
      <x:c r="K222" s="38" t="n">
        <x:v>0.14797440000000003</x:v>
      </x:c>
      <x:c r="L222" s="28" t="n">
        <x:v>0.29716599190283405</x:v>
      </x:c>
    </x:row>
    <x:row r="223">
      <x:c r="A223" s="32" t="n">
        <x:v>45717</x:v>
      </x:c>
      <x:c r="B223" t="str">
        <x:v>Mar 2025</x:v>
      </x:c>
      <x:c r="C223" t="str">
        <x:v>Actual</x:v>
      </x:c>
      <x:c r="D223" t="str">
        <x:v>DB-104</x:v>
      </x:c>
      <x:c r="E223" t="str">
        <x:v>SunNest Cooling Towel</x:v>
      </x:c>
      <x:c r="F223" t="str">
        <x:v>Wholesale</x:v>
      </x:c>
      <x:c r="G223" t="str">
        <x:v>Retailer</x:v>
      </x:c>
      <x:c r="H223" t="str">
        <x:v>US East</x:v>
      </x:c>
      <x:c r="I223" s="34" t="n">
        <x:v>25.6</x:v>
      </x:c>
      <x:c r="J223" s="38" t="n">
        <x:v>0.6639360000000001</x:v>
      </x:c>
      <x:c r="K223" s="38" t="n">
        <x:v>0.19729920000000006</x:v>
      </x:c>
      <x:c r="L223" s="28" t="n">
        <x:v>0.29716599190283405</x:v>
      </x:c>
    </x:row>
    <x:row r="224">
      <x:c r="A224" s="32" t="n">
        <x:v>45717</x:v>
      </x:c>
      <x:c r="B224" t="str">
        <x:v>Mar 2025</x:v>
      </x:c>
      <x:c r="C224" t="str">
        <x:v>Actual</x:v>
      </x:c>
      <x:c r="D224" t="str">
        <x:v>DB-104</x:v>
      </x:c>
      <x:c r="E224" t="str">
        <x:v>SunNest Cooling Towel</x:v>
      </x:c>
      <x:c r="F224" t="str">
        <x:v>Wholesale</x:v>
      </x:c>
      <x:c r="G224" t="str">
        <x:v>Retailer</x:v>
      </x:c>
      <x:c r="H224" t="str">
        <x:v>Canada</x:v>
      </x:c>
      <x:c r="I224" s="34" t="n">
        <x:v>8</x:v>
      </x:c>
      <x:c r="J224" s="38" t="n">
        <x:v>0.20748000000000003</x:v>
      </x:c>
      <x:c r="K224" s="38" t="n">
        <x:v>0.06165600000000002</x:v>
      </x:c>
      <x:c r="L224" s="28" t="n">
        <x:v>0.2971659919028341</x:v>
      </x:c>
    </x:row>
    <x:row r="225">
      <x:c r="A225" s="32" t="n">
        <x:v>45717</x:v>
      </x:c>
      <x:c r="B225" t="str">
        <x:v>Mar 2025</x:v>
      </x:c>
      <x:c r="C225" t="str">
        <x:v>Actual</x:v>
      </x:c>
      <x:c r="D225" t="str">
        <x:v>DB-104</x:v>
      </x:c>
      <x:c r="E225" t="str">
        <x:v>SunNest Cooling Towel</x:v>
      </x:c>
      <x:c r="F225" t="str">
        <x:v>TikTok Shop</x:v>
      </x:c>
      <x:c r="G225" t="str">
        <x:v>Social Commerce</x:v>
      </x:c>
      <x:c r="H225" t="str">
        <x:v>US West</x:v>
      </x:c>
      <x:c r="I225" s="34" t="n">
        <x:v>42.160000000000004</x:v>
      </x:c>
      <x:c r="J225" s="38" t="n">
        <x:v>1.4803219200000002</x:v>
      </x:c>
      <x:c r="K225" s="38" t="n">
        <x:v>0.42408878912000025</x:v>
      </x:c>
      <x:c r="L225" s="28" t="n">
        <x:v>0.2864841649578493</x:v>
      </x:c>
    </x:row>
    <x:row r="226">
      <x:c r="A226" s="32" t="n">
        <x:v>45717</x:v>
      </x:c>
      <x:c r="B226" t="str">
        <x:v>Mar 2025</x:v>
      </x:c>
      <x:c r="C226" t="str">
        <x:v>Actual</x:v>
      </x:c>
      <x:c r="D226" t="str">
        <x:v>DB-104</x:v>
      </x:c>
      <x:c r="E226" t="str">
        <x:v>SunNest Cooling Towel</x:v>
      </x:c>
      <x:c r="F226" t="str">
        <x:v>TikTok Shop</x:v>
      </x:c>
      <x:c r="G226" t="str">
        <x:v>Social Commerce</x:v>
      </x:c>
      <x:c r="H226" t="str">
        <x:v>US Central</x:v>
      </x:c>
      <x:c r="I226" s="34" t="n">
        <x:v>29.759999999999998</x:v>
      </x:c>
      <x:c r="J226" s="38" t="n">
        <x:v>1.04493312</x:v>
      </x:c>
      <x:c r="K226" s="38" t="n">
        <x:v>0.2993567923200002</x:v>
      </x:c>
      <x:c r="L226" s="28" t="n">
        <x:v>0.28648416495784934</x:v>
      </x:c>
    </x:row>
    <x:row r="227">
      <x:c r="A227" s="32" t="n">
        <x:v>45717</x:v>
      </x:c>
      <x:c r="B227" t="str">
        <x:v>Mar 2025</x:v>
      </x:c>
      <x:c r="C227" t="str">
        <x:v>Actual</x:v>
      </x:c>
      <x:c r="D227" t="str">
        <x:v>DB-104</x:v>
      </x:c>
      <x:c r="E227" t="str">
        <x:v>SunNest Cooling Towel</x:v>
      </x:c>
      <x:c r="F227" t="str">
        <x:v>TikTok Shop</x:v>
      </x:c>
      <x:c r="G227" t="str">
        <x:v>Social Commerce</x:v>
      </x:c>
      <x:c r="H227" t="str">
        <x:v>US East</x:v>
      </x:c>
      <x:c r="I227" s="34" t="n">
        <x:v>39.68</x:v>
      </x:c>
      <x:c r="J227" s="38" t="n">
        <x:v>1.39324416</x:v>
      </x:c>
      <x:c r="K227" s="38" t="n">
        <x:v>0.3991423897600002</x:v>
      </x:c>
      <x:c r="L227" s="28" t="n">
        <x:v>0.2864841649578493</x:v>
      </x:c>
    </x:row>
    <x:row r="228">
      <x:c r="A228" s="32" t="n">
        <x:v>45717</x:v>
      </x:c>
      <x:c r="B228" t="str">
        <x:v>Mar 2025</x:v>
      </x:c>
      <x:c r="C228" t="str">
        <x:v>Actual</x:v>
      </x:c>
      <x:c r="D228" t="str">
        <x:v>DB-104</x:v>
      </x:c>
      <x:c r="E228" t="str">
        <x:v>SunNest Cooling Towel</x:v>
      </x:c>
      <x:c r="F228" t="str">
        <x:v>TikTok Shop</x:v>
      </x:c>
      <x:c r="G228" t="str">
        <x:v>Social Commerce</x:v>
      </x:c>
      <x:c r="H228" t="str">
        <x:v>Canada</x:v>
      </x:c>
      <x:c r="I228" s="34" t="n">
        <x:v>12.4</x:v>
      </x:c>
      <x:c r="J228" s="38" t="n">
        <x:v>0.4353888000000001</x:v>
      </x:c>
      <x:c r="K228" s="38" t="n">
        <x:v>0.12473199680000008</x:v>
      </x:c>
      <x:c r="L228" s="28" t="n">
        <x:v>0.2864841649578493</x:v>
      </x:c>
    </x:row>
    <x:row r="229">
      <x:c r="A229" s="32" t="n">
        <x:v>45717</x:v>
      </x:c>
      <x:c r="B229" t="str">
        <x:v>Mar 2025</x:v>
      </x:c>
      <x:c r="C229" t="str">
        <x:v>Actual</x:v>
      </x:c>
      <x:c r="D229" t="str">
        <x:v>DB-105</x:v>
      </x:c>
      <x:c r="E229" t="str">
        <x:v>DreamFuel Refill Pack</x:v>
      </x:c>
      <x:c r="F229" t="str">
        <x:v>Shopify DTC</x:v>
      </x:c>
      <x:c r="G229" t="str">
        <x:v>Consumer</x:v>
      </x:c>
      <x:c r="H229" t="str">
        <x:v>US West</x:v>
      </x:c>
      <x:c r="I229" s="34" t="n">
        <x:v>234.94000000000003</x:v>
      </x:c>
      <x:c r="J229" s="38" t="n">
        <x:v>11.862026624</x:v>
      </x:c>
      <x:c r="K229" s="38" t="n">
        <x:v>5.779947267903999</x:v>
      </x:c>
      <x:c r="L229" s="28" t="n">
        <x:v>0.4872647357079477</x:v>
      </x:c>
    </x:row>
    <x:row r="230">
      <x:c r="A230" s="32" t="n">
        <x:v>45717</x:v>
      </x:c>
      <x:c r="B230" t="str">
        <x:v>Mar 2025</x:v>
      </x:c>
      <x:c r="C230" t="str">
        <x:v>Actual</x:v>
      </x:c>
      <x:c r="D230" t="str">
        <x:v>DB-105</x:v>
      </x:c>
      <x:c r="E230" t="str">
        <x:v>DreamFuel Refill Pack</x:v>
      </x:c>
      <x:c r="F230" t="str">
        <x:v>Shopify DTC</x:v>
      </x:c>
      <x:c r="G230" t="str">
        <x:v>Consumer</x:v>
      </x:c>
      <x:c r="H230" t="str">
        <x:v>US Central</x:v>
      </x:c>
      <x:c r="I230" s="34" t="n">
        <x:v>165.84</x:v>
      </x:c>
      <x:c r="J230" s="38" t="n">
        <x:v>8.373195264</x:v>
      </x:c>
      <x:c r="K230" s="38" t="n">
        <x:v>4.079962777343999</x:v>
      </x:c>
      <x:c r="L230" s="28" t="n">
        <x:v>0.4872647357079477</x:v>
      </x:c>
    </x:row>
    <x:row r="231">
      <x:c r="A231" s="32" t="n">
        <x:v>45717</x:v>
      </x:c>
      <x:c r="B231" t="str">
        <x:v>Mar 2025</x:v>
      </x:c>
      <x:c r="C231" t="str">
        <x:v>Actual</x:v>
      </x:c>
      <x:c r="D231" t="str">
        <x:v>DB-105</x:v>
      </x:c>
      <x:c r="E231" t="str">
        <x:v>DreamFuel Refill Pack</x:v>
      </x:c>
      <x:c r="F231" t="str">
        <x:v>Shopify DTC</x:v>
      </x:c>
      <x:c r="G231" t="str">
        <x:v>Consumer</x:v>
      </x:c>
      <x:c r="H231" t="str">
        <x:v>US East</x:v>
      </x:c>
      <x:c r="I231" s="34" t="n">
        <x:v>221.12</x:v>
      </x:c>
      <x:c r="J231" s="38" t="n">
        <x:v>11.164260352</x:v>
      </x:c>
      <x:c r="K231" s="38" t="n">
        <x:v>5.439950369791999</x:v>
      </x:c>
      <x:c r="L231" s="28" t="n">
        <x:v>0.48726473570794776</x:v>
      </x:c>
    </x:row>
    <x:row r="232">
      <x:c r="A232" s="32" t="n">
        <x:v>45717</x:v>
      </x:c>
      <x:c r="B232" t="str">
        <x:v>Mar 2025</x:v>
      </x:c>
      <x:c r="C232" t="str">
        <x:v>Actual</x:v>
      </x:c>
      <x:c r="D232" t="str">
        <x:v>DB-105</x:v>
      </x:c>
      <x:c r="E232" t="str">
        <x:v>DreamFuel Refill Pack</x:v>
      </x:c>
      <x:c r="F232" t="str">
        <x:v>Shopify DTC</x:v>
      </x:c>
      <x:c r="G232" t="str">
        <x:v>Consumer</x:v>
      </x:c>
      <x:c r="H232" t="str">
        <x:v>Canada</x:v>
      </x:c>
      <x:c r="I232" s="34" t="n">
        <x:v>69.10000000000001</x:v>
      </x:c>
      <x:c r="J232" s="38" t="n">
        <x:v>3.48883136</x:v>
      </x:c>
      <x:c r="K232" s="38" t="n">
        <x:v>1.6999844905599997</x:v>
      </x:c>
      <x:c r="L232" s="28" t="n">
        <x:v>0.4872647357079477</x:v>
      </x:c>
    </x:row>
    <x:row r="233">
      <x:c r="A233" s="32" t="n">
        <x:v>45717</x:v>
      </x:c>
      <x:c r="B233" t="str">
        <x:v>Mar 2025</x:v>
      </x:c>
      <x:c r="C233" t="str">
        <x:v>Actual</x:v>
      </x:c>
      <x:c r="D233" t="str">
        <x:v>DB-105</x:v>
      </x:c>
      <x:c r="E233" t="str">
        <x:v>DreamFuel Refill Pack</x:v>
      </x:c>
      <x:c r="F233" t="str">
        <x:v>Amazon Marketplace</x:v>
      </x:c>
      <x:c r="G233" t="str">
        <x:v>Marketplace Consumer</x:v>
      </x:c>
      <x:c r="H233" t="str">
        <x:v>US West</x:v>
      </x:c>
      <x:c r="I233" s="34" t="n">
        <x:v>138.38000000000002</x:v>
      </x:c>
      <x:c r="J233" s="38" t="n">
        <x:v>7.214579680000001</x:v>
      </x:c>
      <x:c r="K233" s="38" t="n">
        <x:v>2.5381659599999997</x:v>
      </x:c>
      <x:c r="L233" s="28" t="n">
        <x:v>0.35181064907165865</x:v>
      </x:c>
    </x:row>
    <x:row r="234">
      <x:c r="A234" s="32" t="n">
        <x:v>45717</x:v>
      </x:c>
      <x:c r="B234" t="str">
        <x:v>Mar 2025</x:v>
      </x:c>
      <x:c r="C234" t="str">
        <x:v>Actual</x:v>
      </x:c>
      <x:c r="D234" t="str">
        <x:v>DB-105</x:v>
      </x:c>
      <x:c r="E234" t="str">
        <x:v>DreamFuel Refill Pack</x:v>
      </x:c>
      <x:c r="F234" t="str">
        <x:v>Amazon Marketplace</x:v>
      </x:c>
      <x:c r="G234" t="str">
        <x:v>Marketplace Consumer</x:v>
      </x:c>
      <x:c r="H234" t="str">
        <x:v>US Central</x:v>
      </x:c>
      <x:c r="I234" s="34" t="n">
        <x:v>97.67999999999999</x:v>
      </x:c>
      <x:c r="J234" s="38" t="n">
        <x:v>5.09264448</x:v>
      </x:c>
      <x:c r="K234" s="38" t="n">
        <x:v>1.7916465599999996</x:v>
      </x:c>
      <x:c r="L234" s="28" t="n">
        <x:v>0.35181064907165865</x:v>
      </x:c>
    </x:row>
    <x:row r="235">
      <x:c r="A235" s="32" t="n">
        <x:v>45717</x:v>
      </x:c>
      <x:c r="B235" t="str">
        <x:v>Mar 2025</x:v>
      </x:c>
      <x:c r="C235" t="str">
        <x:v>Actual</x:v>
      </x:c>
      <x:c r="D235" t="str">
        <x:v>DB-105</x:v>
      </x:c>
      <x:c r="E235" t="str">
        <x:v>DreamFuel Refill Pack</x:v>
      </x:c>
      <x:c r="F235" t="str">
        <x:v>Amazon Marketplace</x:v>
      </x:c>
      <x:c r="G235" t="str">
        <x:v>Marketplace Consumer</x:v>
      </x:c>
      <x:c r="H235" t="str">
        <x:v>US East</x:v>
      </x:c>
      <x:c r="I235" s="34" t="n">
        <x:v>130.24</x:v>
      </x:c>
      <x:c r="J235" s="38" t="n">
        <x:v>6.790192640000001</x:v>
      </x:c>
      <x:c r="K235" s="38" t="n">
        <x:v>2.3888620799999996</x:v>
      </x:c>
      <x:c r="L235" s="28" t="n">
        <x:v>0.35181064907165865</x:v>
      </x:c>
    </x:row>
    <x:row r="236">
      <x:c r="A236" s="32" t="n">
        <x:v>45717</x:v>
      </x:c>
      <x:c r="B236" t="str">
        <x:v>Mar 2025</x:v>
      </x:c>
      <x:c r="C236" t="str">
        <x:v>Actual</x:v>
      </x:c>
      <x:c r="D236" t="str">
        <x:v>DB-105</x:v>
      </x:c>
      <x:c r="E236" t="str">
        <x:v>DreamFuel Refill Pack</x:v>
      </x:c>
      <x:c r="F236" t="str">
        <x:v>Amazon Marketplace</x:v>
      </x:c>
      <x:c r="G236" t="str">
        <x:v>Marketplace Consumer</x:v>
      </x:c>
      <x:c r="H236" t="str">
        <x:v>Canada</x:v>
      </x:c>
      <x:c r="I236" s="34" t="n">
        <x:v>40.7</x:v>
      </x:c>
      <x:c r="J236" s="38" t="n">
        <x:v>2.1219352000000002</x:v>
      </x:c>
      <x:c r="K236" s="38" t="n">
        <x:v>0.7465193999999999</x:v>
      </x:c>
      <x:c r="L236" s="28" t="n">
        <x:v>0.35181064907165865</x:v>
      </x:c>
    </x:row>
    <x:row r="237">
      <x:c r="A237" s="32" t="n">
        <x:v>45717</x:v>
      </x:c>
      <x:c r="B237" t="str">
        <x:v>Mar 2025</x:v>
      </x:c>
      <x:c r="C237" t="str">
        <x:v>Actual</x:v>
      </x:c>
      <x:c r="D237" t="str">
        <x:v>DB-105</x:v>
      </x:c>
      <x:c r="E237" t="str">
        <x:v>DreamFuel Refill Pack</x:v>
      </x:c>
      <x:c r="F237" t="str">
        <x:v>Wholesale</x:v>
      </x:c>
      <x:c r="G237" t="str">
        <x:v>Retailer</x:v>
      </x:c>
      <x:c r="H237" t="str">
        <x:v>US West</x:v>
      </x:c>
      <x:c r="I237" s="34" t="n">
        <x:v>39.1</x:v>
      </x:c>
      <x:c r="J237" s="38" t="n">
        <x:v>1.3947752000000002</x:v>
      </x:c>
      <x:c r="K237" s="38" t="n">
        <x:v>0.5434274400000001</x:v>
      </x:c>
      <x:c r="L237" s="28" t="n">
        <x:v>0.38961650594303654</x:v>
      </x:c>
    </x:row>
    <x:row r="238">
      <x:c r="A238" s="32" t="n">
        <x:v>45717</x:v>
      </x:c>
      <x:c r="B238" t="str">
        <x:v>Mar 2025</x:v>
      </x:c>
      <x:c r="C238" t="str">
        <x:v>Actual</x:v>
      </x:c>
      <x:c r="D238" t="str">
        <x:v>DB-105</x:v>
      </x:c>
      <x:c r="E238" t="str">
        <x:v>DreamFuel Refill Pack</x:v>
      </x:c>
      <x:c r="F238" t="str">
        <x:v>Wholesale</x:v>
      </x:c>
      <x:c r="G238" t="str">
        <x:v>Retailer</x:v>
      </x:c>
      <x:c r="H238" t="str">
        <x:v>US Central</x:v>
      </x:c>
      <x:c r="I238" s="34" t="n">
        <x:v>27.599999999999998</x:v>
      </x:c>
      <x:c r="J238" s="38" t="n">
        <x:v>0.9845472000000001</x:v>
      </x:c>
      <x:c r="K238" s="38" t="n">
        <x:v>0.38359584</x:v>
      </x:c>
      <x:c r="L238" s="28" t="n">
        <x:v>0.38961650594303654</x:v>
      </x:c>
    </x:row>
    <x:row r="239">
      <x:c r="A239" s="32" t="n">
        <x:v>45717</x:v>
      </x:c>
      <x:c r="B239" t="str">
        <x:v>Mar 2025</x:v>
      </x:c>
      <x:c r="C239" t="str">
        <x:v>Actual</x:v>
      </x:c>
      <x:c r="D239" t="str">
        <x:v>DB-105</x:v>
      </x:c>
      <x:c r="E239" t="str">
        <x:v>DreamFuel Refill Pack</x:v>
      </x:c>
      <x:c r="F239" t="str">
        <x:v>Wholesale</x:v>
      </x:c>
      <x:c r="G239" t="str">
        <x:v>Retailer</x:v>
      </x:c>
      <x:c r="H239" t="str">
        <x:v>US East</x:v>
      </x:c>
      <x:c r="I239" s="34" t="n">
        <x:v>36.800000000000004</x:v>
      </x:c>
      <x:c r="J239" s="38" t="n">
        <x:v>1.3127296000000002</x:v>
      </x:c>
      <x:c r="K239" s="38" t="n">
        <x:v>0.51146112</x:v>
      </x:c>
      <x:c r="L239" s="28" t="n">
        <x:v>0.3896165059430365</x:v>
      </x:c>
    </x:row>
    <x:row r="240">
      <x:c r="A240" s="32" t="n">
        <x:v>45717</x:v>
      </x:c>
      <x:c r="B240" t="str">
        <x:v>Mar 2025</x:v>
      </x:c>
      <x:c r="C240" t="str">
        <x:v>Actual</x:v>
      </x:c>
      <x:c r="D240" t="str">
        <x:v>DB-105</x:v>
      </x:c>
      <x:c r="E240" t="str">
        <x:v>DreamFuel Refill Pack</x:v>
      </x:c>
      <x:c r="F240" t="str">
        <x:v>Wholesale</x:v>
      </x:c>
      <x:c r="G240" t="str">
        <x:v>Retailer</x:v>
      </x:c>
      <x:c r="H240" t="str">
        <x:v>Canada</x:v>
      </x:c>
      <x:c r="I240" s="34" t="n">
        <x:v>11.5</x:v>
      </x:c>
      <x:c r="J240" s="38" t="n">
        <x:v>0.41022800000000004</x:v>
      </x:c>
      <x:c r="K240" s="38" t="n">
        <x:v>0.15983160000000002</x:v>
      </x:c>
      <x:c r="L240" s="28" t="n">
        <x:v>0.38961650594303654</x:v>
      </x:c>
    </x:row>
    <x:row r="241">
      <x:c r="A241" s="32" t="n">
        <x:v>45717</x:v>
      </x:c>
      <x:c r="B241" t="str">
        <x:v>Mar 2025</x:v>
      </x:c>
      <x:c r="C241" t="str">
        <x:v>Actual</x:v>
      </x:c>
      <x:c r="D241" t="str">
        <x:v>DB-105</x:v>
      </x:c>
      <x:c r="E241" t="str">
        <x:v>DreamFuel Refill Pack</x:v>
      </x:c>
      <x:c r="F241" t="str">
        <x:v>TikTok Shop</x:v>
      </x:c>
      <x:c r="G241" t="str">
        <x:v>Social Commerce</x:v>
      </x:c>
      <x:c r="H241" t="str">
        <x:v>US West</x:v>
      </x:c>
      <x:c r="I241" s="34" t="n">
        <x:v>59.50000000000001</x:v>
      </x:c>
      <x:c r="J241" s="38" t="n">
        <x:v>2.8735167999999995</x:v>
      </x:c>
      <x:c r="K241" s="38" t="n">
        <x:v>1.1020946047999998</x:v>
      </x:c>
      <x:c r="L241" s="28" t="n">
        <x:v>0.3835351179432812</x:v>
      </x:c>
    </x:row>
    <x:row r="242">
      <x:c r="A242" s="32" t="n">
        <x:v>45717</x:v>
      </x:c>
      <x:c r="B242" t="str">
        <x:v>Mar 2025</x:v>
      </x:c>
      <x:c r="C242" t="str">
        <x:v>Actual</x:v>
      </x:c>
      <x:c r="D242" t="str">
        <x:v>DB-105</x:v>
      </x:c>
      <x:c r="E242" t="str">
        <x:v>DreamFuel Refill Pack</x:v>
      </x:c>
      <x:c r="F242" t="str">
        <x:v>TikTok Shop</x:v>
      </x:c>
      <x:c r="G242" t="str">
        <x:v>Social Commerce</x:v>
      </x:c>
      <x:c r="H242" t="str">
        <x:v>US Central</x:v>
      </x:c>
      <x:c r="I242" s="34" t="n">
        <x:v>42</x:v>
      </x:c>
      <x:c r="J242" s="38" t="n">
        <x:v>2.0283647999999994</x:v>
      </x:c>
      <x:c r="K242" s="38" t="n">
        <x:v>0.7779491327999998</x:v>
      </x:c>
      <x:c r="L242" s="28" t="n">
        <x:v>0.3835351179432812</x:v>
      </x:c>
    </x:row>
    <x:row r="243">
      <x:c r="A243" s="32" t="n">
        <x:v>45717</x:v>
      </x:c>
      <x:c r="B243" t="str">
        <x:v>Mar 2025</x:v>
      </x:c>
      <x:c r="C243" t="str">
        <x:v>Actual</x:v>
      </x:c>
      <x:c r="D243" t="str">
        <x:v>DB-105</x:v>
      </x:c>
      <x:c r="E243" t="str">
        <x:v>DreamFuel Refill Pack</x:v>
      </x:c>
      <x:c r="F243" t="str">
        <x:v>TikTok Shop</x:v>
      </x:c>
      <x:c r="G243" t="str">
        <x:v>Social Commerce</x:v>
      </x:c>
      <x:c r="H243" t="str">
        <x:v>US East</x:v>
      </x:c>
      <x:c r="I243" s="34" t="n">
        <x:v>56</x:v>
      </x:c>
      <x:c r="J243" s="38" t="n">
        <x:v>2.7044863999999995</x:v>
      </x:c>
      <x:c r="K243" s="38" t="n">
        <x:v>1.0372655103999997</x:v>
      </x:c>
      <x:c r="L243" s="28" t="n">
        <x:v>0.38353511794328116</x:v>
      </x:c>
    </x:row>
    <x:row r="244">
      <x:c r="A244" s="32" t="n">
        <x:v>45717</x:v>
      </x:c>
      <x:c r="B244" t="str">
        <x:v>Mar 2025</x:v>
      </x:c>
      <x:c r="C244" t="str">
        <x:v>Actual</x:v>
      </x:c>
      <x:c r="D244" t="str">
        <x:v>DB-105</x:v>
      </x:c>
      <x:c r="E244" t="str">
        <x:v>DreamFuel Refill Pack</x:v>
      </x:c>
      <x:c r="F244" t="str">
        <x:v>TikTok Shop</x:v>
      </x:c>
      <x:c r="G244" t="str">
        <x:v>Social Commerce</x:v>
      </x:c>
      <x:c r="H244" t="str">
        <x:v>Canada</x:v>
      </x:c>
      <x:c r="I244" s="34" t="n">
        <x:v>17.5</x:v>
      </x:c>
      <x:c r="J244" s="38" t="n">
        <x:v>0.8451519999999999</x:v>
      </x:c>
      <x:c r="K244" s="38" t="n">
        <x:v>0.32414547199999993</x:v>
      </x:c>
      <x:c r="L244" s="28" t="n">
        <x:v>0.38353511794328116</x:v>
      </x:c>
    </x:row>
    <x:row r="245">
      <x:c r="A245" s="32" t="n">
        <x:v>45748</x:v>
      </x:c>
      <x:c r="B245" t="str">
        <x:v>Apr 2025</x:v>
      </x:c>
      <x:c r="C245" t="str">
        <x:v>Actual</x:v>
      </x:c>
      <x:c r="D245" t="str">
        <x:v>DB-101</x:v>
      </x:c>
      <x:c r="E245" t="str">
        <x:v>AeroSip Bottle</x:v>
      </x:c>
      <x:c r="F245" t="str">
        <x:v>Shopify DTC</x:v>
      </x:c>
      <x:c r="G245" t="str">
        <x:v>Consumer</x:v>
      </x:c>
      <x:c r="H245" t="str">
        <x:v>US West</x:v>
      </x:c>
      <x:c r="I245" s="34" t="n">
        <x:v>243.10000000000002</x:v>
      </x:c>
      <x:c r="J245" s="38" t="n">
        <x:v>6.1940421400000005</x:v>
      </x:c>
      <x:c r="K245" s="38" t="n">
        <x:v>1.9702033179399998</x:v>
      </x:c>
      <x:c r="L245" s="28" t="n">
        <x:v>0.31808038650831644</x:v>
      </x:c>
    </x:row>
    <x:row r="246">
      <x:c r="A246" s="32" t="n">
        <x:v>45748</x:v>
      </x:c>
      <x:c r="B246" t="str">
        <x:v>Apr 2025</x:v>
      </x:c>
      <x:c r="C246" t="str">
        <x:v>Actual</x:v>
      </x:c>
      <x:c r="D246" t="str">
        <x:v>DB-101</x:v>
      </x:c>
      <x:c r="E246" t="str">
        <x:v>AeroSip Bottle</x:v>
      </x:c>
      <x:c r="F246" t="str">
        <x:v>Shopify DTC</x:v>
      </x:c>
      <x:c r="G246" t="str">
        <x:v>Consumer</x:v>
      </x:c>
      <x:c r="H246" t="str">
        <x:v>US Central</x:v>
      </x:c>
      <x:c r="I246" s="34" t="n">
        <x:v>171.6</x:v>
      </x:c>
      <x:c r="J246" s="38" t="n">
        <x:v>4.372265039999999</x:v>
      </x:c>
      <x:c r="K246" s="38" t="n">
        <x:v>1.3907317538399997</x:v>
      </x:c>
      <x:c r="L246" s="28" t="n">
        <x:v>0.3180803865083165</x:v>
      </x:c>
    </x:row>
    <x:row r="247">
      <x:c r="A247" s="32" t="n">
        <x:v>45748</x:v>
      </x:c>
      <x:c r="B247" t="str">
        <x:v>Apr 2025</x:v>
      </x:c>
      <x:c r="C247" t="str">
        <x:v>Actual</x:v>
      </x:c>
      <x:c r="D247" t="str">
        <x:v>DB-101</x:v>
      </x:c>
      <x:c r="E247" t="str">
        <x:v>AeroSip Bottle</x:v>
      </x:c>
      <x:c r="F247" t="str">
        <x:v>Shopify DTC</x:v>
      </x:c>
      <x:c r="G247" t="str">
        <x:v>Consumer</x:v>
      </x:c>
      <x:c r="H247" t="str">
        <x:v>US East</x:v>
      </x:c>
      <x:c r="I247" s="34" t="n">
        <x:v>228.8</x:v>
      </x:c>
      <x:c r="J247" s="38" t="n">
        <x:v>5.82968672</x:v>
      </x:c>
      <x:c r="K247" s="38" t="n">
        <x:v>1.8543090051199997</x:v>
      </x:c>
      <x:c r="L247" s="28" t="n">
        <x:v>0.3180803865083165</x:v>
      </x:c>
    </x:row>
    <x:row r="248">
      <x:c r="A248" s="32" t="n">
        <x:v>45748</x:v>
      </x:c>
      <x:c r="B248" t="str">
        <x:v>Apr 2025</x:v>
      </x:c>
      <x:c r="C248" t="str">
        <x:v>Actual</x:v>
      </x:c>
      <x:c r="D248" t="str">
        <x:v>DB-101</x:v>
      </x:c>
      <x:c r="E248" t="str">
        <x:v>AeroSip Bottle</x:v>
      </x:c>
      <x:c r="F248" t="str">
        <x:v>Shopify DTC</x:v>
      </x:c>
      <x:c r="G248" t="str">
        <x:v>Consumer</x:v>
      </x:c>
      <x:c r="H248" t="str">
        <x:v>Canada</x:v>
      </x:c>
      <x:c r="I248" s="34" t="n">
        <x:v>71.5</x:v>
      </x:c>
      <x:c r="J248" s="38" t="n">
        <x:v>1.8217771</x:v>
      </x:c>
      <x:c r="K248" s="38" t="n">
        <x:v>0.5794715640999999</x:v>
      </x:c>
      <x:c r="L248" s="28" t="n">
        <x:v>0.31808038650831644</x:v>
      </x:c>
    </x:row>
    <x:row r="249">
      <x:c r="A249" s="32" t="n">
        <x:v>45748</x:v>
      </x:c>
      <x:c r="B249" t="str">
        <x:v>Apr 2025</x:v>
      </x:c>
      <x:c r="C249" t="str">
        <x:v>Actual</x:v>
      </x:c>
      <x:c r="D249" t="str">
        <x:v>DB-101</x:v>
      </x:c>
      <x:c r="E249" t="str">
        <x:v>AeroSip Bottle</x:v>
      </x:c>
      <x:c r="F249" t="str">
        <x:v>Amazon Marketplace</x:v>
      </x:c>
      <x:c r="G249" t="str">
        <x:v>Marketplace Consumer</x:v>
      </x:c>
      <x:c r="H249" t="str">
        <x:v>US West</x:v>
      </x:c>
      <x:c r="I249" s="34" t="n">
        <x:v>143.48000000000002</x:v>
      </x:c>
      <x:c r="J249" s="38" t="n">
        <x:v>3.7749946700000003</x:v>
      </x:c>
      <x:c r="K249" s="38" t="n">
        <x:v>0.5994181894999998</x:v>
      </x:c>
      <x:c r="L249" s="28" t="n">
        <x:v>0.15878649955815693</x:v>
      </x:c>
    </x:row>
    <x:row r="250">
      <x:c r="A250" s="32" t="n">
        <x:v>45748</x:v>
      </x:c>
      <x:c r="B250" t="str">
        <x:v>Apr 2025</x:v>
      </x:c>
      <x:c r="C250" t="str">
        <x:v>Actual</x:v>
      </x:c>
      <x:c r="D250" t="str">
        <x:v>DB-101</x:v>
      </x:c>
      <x:c r="E250" t="str">
        <x:v>AeroSip Bottle</x:v>
      </x:c>
      <x:c r="F250" t="str">
        <x:v>Amazon Marketplace</x:v>
      </x:c>
      <x:c r="G250" t="str">
        <x:v>Marketplace Consumer</x:v>
      </x:c>
      <x:c r="H250" t="str">
        <x:v>US Central</x:v>
      </x:c>
      <x:c r="I250" s="34" t="n">
        <x:v>101.28</x:v>
      </x:c>
      <x:c r="J250" s="38" t="n">
        <x:v>2.66470212</x:v>
      </x:c>
      <x:c r="K250" s="38" t="n">
        <x:v>0.42311872199999984</x:v>
      </x:c>
      <x:c r="L250" s="28" t="n">
        <x:v>0.15878649955815693</x:v>
      </x:c>
    </x:row>
    <x:row r="251">
      <x:c r="A251" s="32" t="n">
        <x:v>45748</x:v>
      </x:c>
      <x:c r="B251" t="str">
        <x:v>Apr 2025</x:v>
      </x:c>
      <x:c r="C251" t="str">
        <x:v>Actual</x:v>
      </x:c>
      <x:c r="D251" t="str">
        <x:v>DB-101</x:v>
      </x:c>
      <x:c r="E251" t="str">
        <x:v>AeroSip Bottle</x:v>
      </x:c>
      <x:c r="F251" t="str">
        <x:v>Amazon Marketplace</x:v>
      </x:c>
      <x:c r="G251" t="str">
        <x:v>Marketplace Consumer</x:v>
      </x:c>
      <x:c r="H251" t="str">
        <x:v>US East</x:v>
      </x:c>
      <x:c r="I251" s="34" t="n">
        <x:v>135.04</x:v>
      </x:c>
      <x:c r="J251" s="38" t="n">
        <x:v>3.55293616</x:v>
      </x:c>
      <x:c r="K251" s="38" t="n">
        <x:v>0.5641582959999998</x:v>
      </x:c>
      <x:c r="L251" s="28" t="n">
        <x:v>0.15878649955815693</x:v>
      </x:c>
    </x:row>
    <x:row r="252">
      <x:c r="A252" s="32" t="n">
        <x:v>45748</x:v>
      </x:c>
      <x:c r="B252" t="str">
        <x:v>Apr 2025</x:v>
      </x:c>
      <x:c r="C252" t="str">
        <x:v>Actual</x:v>
      </x:c>
      <x:c r="D252" t="str">
        <x:v>DB-101</x:v>
      </x:c>
      <x:c r="E252" t="str">
        <x:v>AeroSip Bottle</x:v>
      </x:c>
      <x:c r="F252" t="str">
        <x:v>Amazon Marketplace</x:v>
      </x:c>
      <x:c r="G252" t="str">
        <x:v>Marketplace Consumer</x:v>
      </x:c>
      <x:c r="H252" t="str">
        <x:v>Canada</x:v>
      </x:c>
      <x:c r="I252" s="34" t="n">
        <x:v>42.2</x:v>
      </x:c>
      <x:c r="J252" s="38" t="n">
        <x:v>1.11029255</x:v>
      </x:c>
      <x:c r="K252" s="38" t="n">
        <x:v>0.17629946749999995</x:v>
      </x:c>
      <x:c r="L252" s="28" t="n">
        <x:v>0.15878649955815693</x:v>
      </x:c>
    </x:row>
    <x:row r="253">
      <x:c r="A253" s="32" t="n">
        <x:v>45748</x:v>
      </x:c>
      <x:c r="B253" t="str">
        <x:v>Apr 2025</x:v>
      </x:c>
      <x:c r="C253" t="str">
        <x:v>Actual</x:v>
      </x:c>
      <x:c r="D253" t="str">
        <x:v>DB-101</x:v>
      </x:c>
      <x:c r="E253" t="str">
        <x:v>AeroSip Bottle</x:v>
      </x:c>
      <x:c r="F253" t="str">
        <x:v>Wholesale</x:v>
      </x:c>
      <x:c r="G253" t="str">
        <x:v>Retailer</x:v>
      </x:c>
      <x:c r="H253" t="str">
        <x:v>US West</x:v>
      </x:c>
      <x:c r="I253" s="34" t="n">
        <x:v>40.120000000000005</x:v>
      </x:c>
      <x:c r="J253" s="38" t="n">
        <x:v>0.7222302100000002</x:v>
      </x:c>
      <x:c r="K253" s="38" t="n">
        <x:v>0.1611118900000001</x:v>
      </x:c>
      <x:c r="L253" s="28" t="n">
        <x:v>0.223075534323052</x:v>
      </x:c>
    </x:row>
    <x:row r="254">
      <x:c r="A254" s="32" t="n">
        <x:v>45748</x:v>
      </x:c>
      <x:c r="B254" t="str">
        <x:v>Apr 2025</x:v>
      </x:c>
      <x:c r="C254" t="str">
        <x:v>Actual</x:v>
      </x:c>
      <x:c r="D254" t="str">
        <x:v>DB-101</x:v>
      </x:c>
      <x:c r="E254" t="str">
        <x:v>AeroSip Bottle</x:v>
      </x:c>
      <x:c r="F254" t="str">
        <x:v>Wholesale</x:v>
      </x:c>
      <x:c r="G254" t="str">
        <x:v>Retailer</x:v>
      </x:c>
      <x:c r="H254" t="str">
        <x:v>US Central</x:v>
      </x:c>
      <x:c r="I254" s="34" t="n">
        <x:v>28.32</x:v>
      </x:c>
      <x:c r="J254" s="38" t="n">
        <x:v>0.5098095600000001</x:v>
      </x:c>
      <x:c r="K254" s="38" t="n">
        <x:v>0.11372604000000006</x:v>
      </x:c>
      <x:c r="L254" s="28" t="n">
        <x:v>0.223075534323052</x:v>
      </x:c>
    </x:row>
    <x:row r="255">
      <x:c r="A255" s="32" t="n">
        <x:v>45748</x:v>
      </x:c>
      <x:c r="B255" t="str">
        <x:v>Apr 2025</x:v>
      </x:c>
      <x:c r="C255" t="str">
        <x:v>Actual</x:v>
      </x:c>
      <x:c r="D255" t="str">
        <x:v>DB-101</x:v>
      </x:c>
      <x:c r="E255" t="str">
        <x:v>AeroSip Bottle</x:v>
      </x:c>
      <x:c r="F255" t="str">
        <x:v>Wholesale</x:v>
      </x:c>
      <x:c r="G255" t="str">
        <x:v>Retailer</x:v>
      </x:c>
      <x:c r="H255" t="str">
        <x:v>US East</x:v>
      </x:c>
      <x:c r="I255" s="34" t="n">
        <x:v>37.76</x:v>
      </x:c>
      <x:c r="J255" s="38" t="n">
        <x:v>0.6797460800000001</x:v>
      </x:c>
      <x:c r="K255" s="38" t="n">
        <x:v>0.15163472000000008</x:v>
      </x:c>
      <x:c r="L255" s="28" t="n">
        <x:v>0.223075534323052</x:v>
      </x:c>
    </x:row>
    <x:row r="256">
      <x:c r="A256" s="32" t="n">
        <x:v>45748</x:v>
      </x:c>
      <x:c r="B256" t="str">
        <x:v>Apr 2025</x:v>
      </x:c>
      <x:c r="C256" t="str">
        <x:v>Actual</x:v>
      </x:c>
      <x:c r="D256" t="str">
        <x:v>DB-101</x:v>
      </x:c>
      <x:c r="E256" t="str">
        <x:v>AeroSip Bottle</x:v>
      </x:c>
      <x:c r="F256" t="str">
        <x:v>Wholesale</x:v>
      </x:c>
      <x:c r="G256" t="str">
        <x:v>Retailer</x:v>
      </x:c>
      <x:c r="H256" t="str">
        <x:v>Canada</x:v>
      </x:c>
      <x:c r="I256" s="34" t="n">
        <x:v>11.8</x:v>
      </x:c>
      <x:c r="J256" s="38" t="n">
        <x:v>0.21242065000000007</x:v>
      </x:c>
      <x:c r="K256" s="38" t="n">
        <x:v>0.04738585000000003</x:v>
      </x:c>
      <x:c r="L256" s="28" t="n">
        <x:v>0.223075534323052</x:v>
      </x:c>
    </x:row>
    <x:row r="257">
      <x:c r="A257" s="32" t="n">
        <x:v>45748</x:v>
      </x:c>
      <x:c r="B257" t="str">
        <x:v>Apr 2025</x:v>
      </x:c>
      <x:c r="C257" t="str">
        <x:v>Actual</x:v>
      </x:c>
      <x:c r="D257" t="str">
        <x:v>DB-101</x:v>
      </x:c>
      <x:c r="E257" t="str">
        <x:v>AeroSip Bottle</x:v>
      </x:c>
      <x:c r="F257" t="str">
        <x:v>TikTok Shop</x:v>
      </x:c>
      <x:c r="G257" t="str">
        <x:v>Social Commerce</x:v>
      </x:c>
      <x:c r="H257" t="str">
        <x:v>US West</x:v>
      </x:c>
      <x:c r="I257" s="34" t="n">
        <x:v>61.2</x:v>
      </x:c>
      <x:c r="J257" s="38" t="n">
        <x:v>1.49154192</x:v>
      </x:c>
      <x:c r="K257" s="38" t="n">
        <x:v>0.2764114891200001</x:v>
      </x:c>
      <x:c r="L257" s="28" t="n">
        <x:v>0.18531928966502</x:v>
      </x:c>
    </x:row>
    <x:row r="258">
      <x:c r="A258" s="32" t="n">
        <x:v>45748</x:v>
      </x:c>
      <x:c r="B258" t="str">
        <x:v>Apr 2025</x:v>
      </x:c>
      <x:c r="C258" t="str">
        <x:v>Actual</x:v>
      </x:c>
      <x:c r="D258" t="str">
        <x:v>DB-101</x:v>
      </x:c>
      <x:c r="E258" t="str">
        <x:v>AeroSip Bottle</x:v>
      </x:c>
      <x:c r="F258" t="str">
        <x:v>TikTok Shop</x:v>
      </x:c>
      <x:c r="G258" t="str">
        <x:v>Social Commerce</x:v>
      </x:c>
      <x:c r="H258" t="str">
        <x:v>US Central</x:v>
      </x:c>
      <x:c r="I258" s="34" t="n">
        <x:v>43.199999999999996</x:v>
      </x:c>
      <x:c r="J258" s="38" t="n">
        <x:v>1.05285312</x:v>
      </x:c>
      <x:c r="K258" s="38" t="n">
        <x:v>0.19511399232000004</x:v>
      </x:c>
      <x:c r="L258" s="28" t="n">
        <x:v>0.18531928966501998</x:v>
      </x:c>
    </x:row>
    <x:row r="259">
      <x:c r="A259" s="32" t="n">
        <x:v>45748</x:v>
      </x:c>
      <x:c r="B259" t="str">
        <x:v>Apr 2025</x:v>
      </x:c>
      <x:c r="C259" t="str">
        <x:v>Actual</x:v>
      </x:c>
      <x:c r="D259" t="str">
        <x:v>DB-101</x:v>
      </x:c>
      <x:c r="E259" t="str">
        <x:v>AeroSip Bottle</x:v>
      </x:c>
      <x:c r="F259" t="str">
        <x:v>TikTok Shop</x:v>
      </x:c>
      <x:c r="G259" t="str">
        <x:v>Social Commerce</x:v>
      </x:c>
      <x:c r="H259" t="str">
        <x:v>US East</x:v>
      </x:c>
      <x:c r="I259" s="34" t="n">
        <x:v>57.6</x:v>
      </x:c>
      <x:c r="J259" s="38" t="n">
        <x:v>1.40380416</x:v>
      </x:c>
      <x:c r="K259" s="38" t="n">
        <x:v>0.2601519897600001</x:v>
      </x:c>
      <x:c r="L259" s="28" t="n">
        <x:v>0.18531928966502</x:v>
      </x:c>
    </x:row>
    <x:row r="260">
      <x:c r="A260" s="32" t="n">
        <x:v>45748</x:v>
      </x:c>
      <x:c r="B260" t="str">
        <x:v>Apr 2025</x:v>
      </x:c>
      <x:c r="C260" t="str">
        <x:v>Actual</x:v>
      </x:c>
      <x:c r="D260" t="str">
        <x:v>DB-101</x:v>
      </x:c>
      <x:c r="E260" t="str">
        <x:v>AeroSip Bottle</x:v>
      </x:c>
      <x:c r="F260" t="str">
        <x:v>TikTok Shop</x:v>
      </x:c>
      <x:c r="G260" t="str">
        <x:v>Social Commerce</x:v>
      </x:c>
      <x:c r="H260" t="str">
        <x:v>Canada</x:v>
      </x:c>
      <x:c r="I260" s="34" t="n">
        <x:v>18</x:v>
      </x:c>
      <x:c r="J260" s="38" t="n">
        <x:v>0.4386888</x:v>
      </x:c>
      <x:c r="K260" s="38" t="n">
        <x:v>0.08129749680000004</x:v>
      </x:c>
      <x:c r="L260" s="28" t="n">
        <x:v>0.18531928966502004</x:v>
      </x:c>
    </x:row>
    <x:row r="261">
      <x:c r="A261" s="32" t="n">
        <x:v>45748</x:v>
      </x:c>
      <x:c r="B261" t="str">
        <x:v>Apr 2025</x:v>
      </x:c>
      <x:c r="C261" t="str">
        <x:v>Actual</x:v>
      </x:c>
      <x:c r="D261" t="str">
        <x:v>DB-102</x:v>
      </x:c>
      <x:c r="E261" t="str">
        <x:v>GlowPatch Balm</x:v>
      </x:c>
      <x:c r="F261" t="str">
        <x:v>Shopify DTC</x:v>
      </x:c>
      <x:c r="G261" t="str">
        <x:v>Consumer</x:v>
      </x:c>
      <x:c r="H261" t="str">
        <x:v>US West</x:v>
      </x:c>
      <x:c r="I261" s="34" t="n">
        <x:v>243.78000000000003</x:v>
      </x:c>
      <x:c r="J261" s="38" t="n">
        <x:v>3.936071880000001</x:v>
      </x:c>
      <x:c r="K261" s="38" t="n">
        <x:v>1.0876893154800003</x:v>
      </x:c>
      <x:c r="L261" s="28" t="n">
        <x:v>0.27633878359965314</x:v>
      </x:c>
    </x:row>
    <x:row r="262">
      <x:c r="A262" s="32" t="n">
        <x:v>45748</x:v>
      </x:c>
      <x:c r="B262" t="str">
        <x:v>Apr 2025</x:v>
      </x:c>
      <x:c r="C262" t="str">
        <x:v>Actual</x:v>
      </x:c>
      <x:c r="D262" t="str">
        <x:v>DB-102</x:v>
      </x:c>
      <x:c r="E262" t="str">
        <x:v>GlowPatch Balm</x:v>
      </x:c>
      <x:c r="F262" t="str">
        <x:v>Shopify DTC</x:v>
      </x:c>
      <x:c r="G262" t="str">
        <x:v>Consumer</x:v>
      </x:c>
      <x:c r="H262" t="str">
        <x:v>US Central</x:v>
      </x:c>
      <x:c r="I262" s="34" t="n">
        <x:v>172.07999999999998</x:v>
      </x:c>
      <x:c r="J262" s="38" t="n">
        <x:v>2.7784036800000003</x:v>
      </x:c>
      <x:c r="K262" s="38" t="n">
        <x:v>0.7677806932800001</x:v>
      </x:c>
      <x:c r="L262" s="28" t="n">
        <x:v>0.2763387835996532</x:v>
      </x:c>
    </x:row>
    <x:row r="263">
      <x:c r="A263" s="32" t="n">
        <x:v>45748</x:v>
      </x:c>
      <x:c r="B263" t="str">
        <x:v>Apr 2025</x:v>
      </x:c>
      <x:c r="C263" t="str">
        <x:v>Actual</x:v>
      </x:c>
      <x:c r="D263" t="str">
        <x:v>DB-102</x:v>
      </x:c>
      <x:c r="E263" t="str">
        <x:v>GlowPatch Balm</x:v>
      </x:c>
      <x:c r="F263" t="str">
        <x:v>Shopify DTC</x:v>
      </x:c>
      <x:c r="G263" t="str">
        <x:v>Consumer</x:v>
      </x:c>
      <x:c r="H263" t="str">
        <x:v>US East</x:v>
      </x:c>
      <x:c r="I263" s="34" t="n">
        <x:v>229.44</x:v>
      </x:c>
      <x:c r="J263" s="38" t="n">
        <x:v>3.7045382400000006</x:v>
      </x:c>
      <x:c r="K263" s="38" t="n">
        <x:v>1.0237075910400002</x:v>
      </x:c>
      <x:c r="L263" s="28" t="n">
        <x:v>0.2763387835996532</x:v>
      </x:c>
    </x:row>
    <x:row r="264">
      <x:c r="A264" s="32" t="n">
        <x:v>45748</x:v>
      </x:c>
      <x:c r="B264" t="str">
        <x:v>Apr 2025</x:v>
      </x:c>
      <x:c r="C264" t="str">
        <x:v>Actual</x:v>
      </x:c>
      <x:c r="D264" t="str">
        <x:v>DB-102</x:v>
      </x:c>
      <x:c r="E264" t="str">
        <x:v>GlowPatch Balm</x:v>
      </x:c>
      <x:c r="F264" t="str">
        <x:v>Shopify DTC</x:v>
      </x:c>
      <x:c r="G264" t="str">
        <x:v>Consumer</x:v>
      </x:c>
      <x:c r="H264" t="str">
        <x:v>Canada</x:v>
      </x:c>
      <x:c r="I264" s="34" t="n">
        <x:v>71.7</x:v>
      </x:c>
      <x:c r="J264" s="38" t="n">
        <x:v>1.1576682000000003</x:v>
      </x:c>
      <x:c r="K264" s="38" t="n">
        <x:v>0.31990862220000005</x:v>
      </x:c>
      <x:c r="L264" s="28" t="n">
        <x:v>0.27633878359965314</x:v>
      </x:c>
    </x:row>
    <x:row r="265">
      <x:c r="A265" s="32" t="n">
        <x:v>45748</x:v>
      </x:c>
      <x:c r="B265" t="str">
        <x:v>Apr 2025</x:v>
      </x:c>
      <x:c r="C265" t="str">
        <x:v>Actual</x:v>
      </x:c>
      <x:c r="D265" t="str">
        <x:v>DB-102</x:v>
      </x:c>
      <x:c r="E265" t="str">
        <x:v>GlowPatch Balm</x:v>
      </x:c>
      <x:c r="F265" t="str">
        <x:v>Amazon Marketplace</x:v>
      </x:c>
      <x:c r="G265" t="str">
        <x:v>Marketplace Consumer</x:v>
      </x:c>
      <x:c r="H265" t="str">
        <x:v>US West</x:v>
      </x:c>
      <x:c r="I265" s="34" t="n">
        <x:v>143.82000000000002</x:v>
      </x:c>
      <x:c r="J265" s="38" t="n">
        <x:v>2.3978389500000006</x:v>
      </x:c>
      <x:c r="K265" s="38" t="n">
        <x:v>0.2021569874999999</x:v>
      </x:c>
      <x:c r="L265" s="28" t="n">
        <x:v>0.08430799220272898</x:v>
      </x:c>
    </x:row>
    <x:row r="266">
      <x:c r="A266" s="32" t="n">
        <x:v>45748</x:v>
      </x:c>
      <x:c r="B266" t="str">
        <x:v>Apr 2025</x:v>
      </x:c>
      <x:c r="C266" t="str">
        <x:v>Actual</x:v>
      </x:c>
      <x:c r="D266" t="str">
        <x:v>DB-102</x:v>
      </x:c>
      <x:c r="E266" t="str">
        <x:v>GlowPatch Balm</x:v>
      </x:c>
      <x:c r="F266" t="str">
        <x:v>Amazon Marketplace</x:v>
      </x:c>
      <x:c r="G266" t="str">
        <x:v>Marketplace Consumer</x:v>
      </x:c>
      <x:c r="H266" t="str">
        <x:v>US Central</x:v>
      </x:c>
      <x:c r="I266" s="34" t="n">
        <x:v>101.52</x:v>
      </x:c>
      <x:c r="J266" s="38" t="n">
        <x:v>1.6925922</x:v>
      </x:c>
      <x:c r="K266" s="38" t="n">
        <x:v>0.1426990499999999</x:v>
      </x:c>
      <x:c r="L266" s="28" t="n">
        <x:v>0.084307992202729</x:v>
      </x:c>
    </x:row>
    <x:row r="267">
      <x:c r="A267" s="32" t="n">
        <x:v>45748</x:v>
      </x:c>
      <x:c r="B267" t="str">
        <x:v>Apr 2025</x:v>
      </x:c>
      <x:c r="C267" t="str">
        <x:v>Actual</x:v>
      </x:c>
      <x:c r="D267" t="str">
        <x:v>DB-102</x:v>
      </x:c>
      <x:c r="E267" t="str">
        <x:v>GlowPatch Balm</x:v>
      </x:c>
      <x:c r="F267" t="str">
        <x:v>Amazon Marketplace</x:v>
      </x:c>
      <x:c r="G267" t="str">
        <x:v>Marketplace Consumer</x:v>
      </x:c>
      <x:c r="H267" t="str">
        <x:v>US East</x:v>
      </x:c>
      <x:c r="I267" s="34" t="n">
        <x:v>135.36</x:v>
      </x:c>
      <x:c r="J267" s="38" t="n">
        <x:v>2.2567896000000003</x:v>
      </x:c>
      <x:c r="K267" s="38" t="n">
        <x:v>0.19026539999999992</x:v>
      </x:c>
      <x:c r="L267" s="28" t="n">
        <x:v>0.084307992202729</x:v>
      </x:c>
    </x:row>
    <x:row r="268">
      <x:c r="A268" s="32" t="n">
        <x:v>45748</x:v>
      </x:c>
      <x:c r="B268" t="str">
        <x:v>Apr 2025</x:v>
      </x:c>
      <x:c r="C268" t="str">
        <x:v>Actual</x:v>
      </x:c>
      <x:c r="D268" t="str">
        <x:v>DB-102</x:v>
      </x:c>
      <x:c r="E268" t="str">
        <x:v>GlowPatch Balm</x:v>
      </x:c>
      <x:c r="F268" t="str">
        <x:v>Amazon Marketplace</x:v>
      </x:c>
      <x:c r="G268" t="str">
        <x:v>Marketplace Consumer</x:v>
      </x:c>
      <x:c r="H268" t="str">
        <x:v>Canada</x:v>
      </x:c>
      <x:c r="I268" s="34" t="n">
        <x:v>42.300000000000004</x:v>
      </x:c>
      <x:c r="J268" s="38" t="n">
        <x:v>0.7052467500000001</x:v>
      </x:c>
      <x:c r="K268" s="38" t="n">
        <x:v>0.059457937499999974</x:v>
      </x:c>
      <x:c r="L268" s="28" t="n">
        <x:v>0.08430799220272898</x:v>
      </x:c>
    </x:row>
    <x:row r="269">
      <x:c r="A269" s="32" t="n">
        <x:v>45748</x:v>
      </x:c>
      <x:c r="B269" t="str">
        <x:v>Apr 2025</x:v>
      </x:c>
      <x:c r="C269" t="str">
        <x:v>Actual</x:v>
      </x:c>
      <x:c r="D269" t="str">
        <x:v>DB-102</x:v>
      </x:c>
      <x:c r="E269" t="str">
        <x:v>GlowPatch Balm</x:v>
      </x:c>
      <x:c r="F269" t="str">
        <x:v>Wholesale</x:v>
      </x:c>
      <x:c r="G269" t="str">
        <x:v>Retailer</x:v>
      </x:c>
      <x:c r="H269" t="str">
        <x:v>US West</x:v>
      </x:c>
      <x:c r="I269" s="34" t="n">
        <x:v>40.46</x:v>
      </x:c>
      <x:c r="J269" s="38" t="n">
        <x:v>0.4615474500000001</x:v>
      </x:c>
      <x:c r="K269" s="38" t="n">
        <x:v>0.11496709000000009</x:v>
      </x:c>
      <x:c r="L269" s="28" t="n">
        <x:v>0.24909051062897233</x:v>
      </x:c>
    </x:row>
    <x:row r="270">
      <x:c r="A270" s="32" t="n">
        <x:v>45748</x:v>
      </x:c>
      <x:c r="B270" t="str">
        <x:v>Apr 2025</x:v>
      </x:c>
      <x:c r="C270" t="str">
        <x:v>Actual</x:v>
      </x:c>
      <x:c r="D270" t="str">
        <x:v>DB-102</x:v>
      </x:c>
      <x:c r="E270" t="str">
        <x:v>GlowPatch Balm</x:v>
      </x:c>
      <x:c r="F270" t="str">
        <x:v>Wholesale</x:v>
      </x:c>
      <x:c r="G270" t="str">
        <x:v>Retailer</x:v>
      </x:c>
      <x:c r="H270" t="str">
        <x:v>US Central</x:v>
      </x:c>
      <x:c r="I270" s="34" t="n">
        <x:v>28.56</x:v>
      </x:c>
      <x:c r="J270" s="38" t="n">
        <x:v>0.32579820000000004</x:v>
      </x:c>
      <x:c r="K270" s="38" t="n">
        <x:v>0.08115324000000006</x:v>
      </x:c>
      <x:c r="L270" s="28" t="n">
        <x:v>0.2490905106289723</x:v>
      </x:c>
    </x:row>
    <x:row r="271">
      <x:c r="A271" s="32" t="n">
        <x:v>45748</x:v>
      </x:c>
      <x:c r="B271" t="str">
        <x:v>Apr 2025</x:v>
      </x:c>
      <x:c r="C271" t="str">
        <x:v>Actual</x:v>
      </x:c>
      <x:c r="D271" t="str">
        <x:v>DB-102</x:v>
      </x:c>
      <x:c r="E271" t="str">
        <x:v>GlowPatch Balm</x:v>
      </x:c>
      <x:c r="F271" t="str">
        <x:v>Wholesale</x:v>
      </x:c>
      <x:c r="G271" t="str">
        <x:v>Retailer</x:v>
      </x:c>
      <x:c r="H271" t="str">
        <x:v>US East</x:v>
      </x:c>
      <x:c r="I271" s="34" t="n">
        <x:v>38.08</x:v>
      </x:c>
      <x:c r="J271" s="38" t="n">
        <x:v>0.43439760000000005</x:v>
      </x:c>
      <x:c r="K271" s="38" t="n">
        <x:v>0.10820432000000008</x:v>
      </x:c>
      <x:c r="L271" s="28" t="n">
        <x:v>0.2490905106289723</x:v>
      </x:c>
    </x:row>
    <x:row r="272">
      <x:c r="A272" s="32" t="n">
        <x:v>45748</x:v>
      </x:c>
      <x:c r="B272" t="str">
        <x:v>Apr 2025</x:v>
      </x:c>
      <x:c r="C272" t="str">
        <x:v>Actual</x:v>
      </x:c>
      <x:c r="D272" t="str">
        <x:v>DB-102</x:v>
      </x:c>
      <x:c r="E272" t="str">
        <x:v>GlowPatch Balm</x:v>
      </x:c>
      <x:c r="F272" t="str">
        <x:v>Wholesale</x:v>
      </x:c>
      <x:c r="G272" t="str">
        <x:v>Retailer</x:v>
      </x:c>
      <x:c r="H272" t="str">
        <x:v>Canada</x:v>
      </x:c>
      <x:c r="I272" s="34" t="n">
        <x:v>11.9</x:v>
      </x:c>
      <x:c r="J272" s="38" t="n">
        <x:v>0.13574925000000002</x:v>
      </x:c>
      <x:c r="K272" s="38" t="n">
        <x:v>0.03381385000000003</x:v>
      </x:c>
      <x:c r="L272" s="28" t="n">
        <x:v>0.24909051062897233</x:v>
      </x:c>
    </x:row>
    <x:row r="273">
      <x:c r="A273" s="32" t="n">
        <x:v>45748</x:v>
      </x:c>
      <x:c r="B273" t="str">
        <x:v>Apr 2025</x:v>
      </x:c>
      <x:c r="C273" t="str">
        <x:v>Actual</x:v>
      </x:c>
      <x:c r="D273" t="str">
        <x:v>DB-102</x:v>
      </x:c>
      <x:c r="E273" t="str">
        <x:v>GlowPatch Balm</x:v>
      </x:c>
      <x:c r="F273" t="str">
        <x:v>TikTok Shop</x:v>
      </x:c>
      <x:c r="G273" t="str">
        <x:v>Social Commerce</x:v>
      </x:c>
      <x:c r="H273" t="str">
        <x:v>US West</x:v>
      </x:c>
      <x:c r="I273" s="34" t="n">
        <x:v>61.2</x:v>
      </x:c>
      <x:c r="J273" s="38" t="n">
        <x:v>0.9451728000000003</x:v>
      </x:c>
      <x:c r="K273" s="38" t="n">
        <x:v>0.1103732208000001</x:v>
      </x:c>
      <x:c r="L273" s="28" t="n">
        <x:v>0.11677570577570585</x:v>
      </x:c>
    </x:row>
    <x:row r="274">
      <x:c r="A274" s="32" t="n">
        <x:v>45748</x:v>
      </x:c>
      <x:c r="B274" t="str">
        <x:v>Apr 2025</x:v>
      </x:c>
      <x:c r="C274" t="str">
        <x:v>Actual</x:v>
      </x:c>
      <x:c r="D274" t="str">
        <x:v>DB-102</x:v>
      </x:c>
      <x:c r="E274" t="str">
        <x:v>GlowPatch Balm</x:v>
      </x:c>
      <x:c r="F274" t="str">
        <x:v>TikTok Shop</x:v>
      </x:c>
      <x:c r="G274" t="str">
        <x:v>Social Commerce</x:v>
      </x:c>
      <x:c r="H274" t="str">
        <x:v>US Central</x:v>
      </x:c>
      <x:c r="I274" s="34" t="n">
        <x:v>43.199999999999996</x:v>
      </x:c>
      <x:c r="J274" s="38" t="n">
        <x:v>0.6671808000000001</x:v>
      </x:c>
      <x:c r="K274" s="38" t="n">
        <x:v>0.07791050880000006</x:v>
      </x:c>
      <x:c r="L274" s="28" t="n">
        <x:v>0.11677570577570584</x:v>
      </x:c>
    </x:row>
    <x:row r="275">
      <x:c r="A275" s="32" t="n">
        <x:v>45748</x:v>
      </x:c>
      <x:c r="B275" t="str">
        <x:v>Apr 2025</x:v>
      </x:c>
      <x:c r="C275" t="str">
        <x:v>Actual</x:v>
      </x:c>
      <x:c r="D275" t="str">
        <x:v>DB-102</x:v>
      </x:c>
      <x:c r="E275" t="str">
        <x:v>GlowPatch Balm</x:v>
      </x:c>
      <x:c r="F275" t="str">
        <x:v>TikTok Shop</x:v>
      </x:c>
      <x:c r="G275" t="str">
        <x:v>Social Commerce</x:v>
      </x:c>
      <x:c r="H275" t="str">
        <x:v>US East</x:v>
      </x:c>
      <x:c r="I275" s="34" t="n">
        <x:v>57.6</x:v>
      </x:c>
      <x:c r="J275" s="38" t="n">
        <x:v>0.8895744000000002</x:v>
      </x:c>
      <x:c r="K275" s="38" t="n">
        <x:v>0.10388067840000009</x:v>
      </x:c>
      <x:c r="L275" s="28" t="n">
        <x:v>0.11677570577570585</x:v>
      </x:c>
    </x:row>
    <x:row r="276">
      <x:c r="A276" s="32" t="n">
        <x:v>45748</x:v>
      </x:c>
      <x:c r="B276" t="str">
        <x:v>Apr 2025</x:v>
      </x:c>
      <x:c r="C276" t="str">
        <x:v>Actual</x:v>
      </x:c>
      <x:c r="D276" t="str">
        <x:v>DB-102</x:v>
      </x:c>
      <x:c r="E276" t="str">
        <x:v>GlowPatch Balm</x:v>
      </x:c>
      <x:c r="F276" t="str">
        <x:v>TikTok Shop</x:v>
      </x:c>
      <x:c r="G276" t="str">
        <x:v>Social Commerce</x:v>
      </x:c>
      <x:c r="H276" t="str">
        <x:v>Canada</x:v>
      </x:c>
      <x:c r="I276" s="34" t="n">
        <x:v>18</x:v>
      </x:c>
      <x:c r="J276" s="38" t="n">
        <x:v>0.2779920000000001</x:v>
      </x:c>
      <x:c r="K276" s="38" t="n">
        <x:v>0.032462712000000025</x:v>
      </x:c>
      <x:c r="L276" s="28" t="n">
        <x:v>0.11677570577570584</x:v>
      </x:c>
    </x:row>
    <x:row r="277">
      <x:c r="A277" s="32" t="n">
        <x:v>45748</x:v>
      </x:c>
      <x:c r="B277" t="str">
        <x:v>Apr 2025</x:v>
      </x:c>
      <x:c r="C277" t="str">
        <x:v>Actual</x:v>
      </x:c>
      <x:c r="D277" t="str">
        <x:v>DB-103</x:v>
      </x:c>
      <x:c r="E277" t="str">
        <x:v>EmberTrail Camp Mug</x:v>
      </x:c>
      <x:c r="F277" t="str">
        <x:v>Shopify DTC</x:v>
      </x:c>
      <x:c r="G277" t="str">
        <x:v>Consumer</x:v>
      </x:c>
      <x:c r="H277" t="str">
        <x:v>US West</x:v>
      </x:c>
      <x:c r="I277" s="34" t="n">
        <x:v>130.9</x:v>
      </x:c>
      <x:c r="J277" s="38" t="n">
        <x:v>3.86935164</x:v>
      </x:c>
      <x:c r="K277" s="38" t="n">
        <x:v>1.2011870424399995</x:v>
      </x:c>
      <x:c r="L277" s="28" t="n">
        <x:v>0.31043625759482524</x:v>
      </x:c>
    </x:row>
    <x:row r="278">
      <x:c r="A278" s="32" t="n">
        <x:v>45748</x:v>
      </x:c>
      <x:c r="B278" t="str">
        <x:v>Apr 2025</x:v>
      </x:c>
      <x:c r="C278" t="str">
        <x:v>Actual</x:v>
      </x:c>
      <x:c r="D278" t="str">
        <x:v>DB-103</x:v>
      </x:c>
      <x:c r="E278" t="str">
        <x:v>EmberTrail Camp Mug</x:v>
      </x:c>
      <x:c r="F278" t="str">
        <x:v>Shopify DTC</x:v>
      </x:c>
      <x:c r="G278" t="str">
        <x:v>Consumer</x:v>
      </x:c>
      <x:c r="H278" t="str">
        <x:v>US Central</x:v>
      </x:c>
      <x:c r="I278" s="34" t="n">
        <x:v>92.39999999999999</x:v>
      </x:c>
      <x:c r="J278" s="38" t="n">
        <x:v>2.73130704</x:v>
      </x:c>
      <x:c r="K278" s="38" t="n">
        <x:v>0.8478967358399996</x:v>
      </x:c>
      <x:c r="L278" s="28" t="n">
        <x:v>0.31043625759482524</x:v>
      </x:c>
    </x:row>
    <x:row r="279">
      <x:c r="A279" s="32" t="n">
        <x:v>45748</x:v>
      </x:c>
      <x:c r="B279" t="str">
        <x:v>Apr 2025</x:v>
      </x:c>
      <x:c r="C279" t="str">
        <x:v>Actual</x:v>
      </x:c>
      <x:c r="D279" t="str">
        <x:v>DB-103</x:v>
      </x:c>
      <x:c r="E279" t="str">
        <x:v>EmberTrail Camp Mug</x:v>
      </x:c>
      <x:c r="F279" t="str">
        <x:v>Shopify DTC</x:v>
      </x:c>
      <x:c r="G279" t="str">
        <x:v>Consumer</x:v>
      </x:c>
      <x:c r="H279" t="str">
        <x:v>US East</x:v>
      </x:c>
      <x:c r="I279" s="34" t="n">
        <x:v>123.2</x:v>
      </x:c>
      <x:c r="J279" s="38" t="n">
        <x:v>3.64174272</x:v>
      </x:c>
      <x:c r="K279" s="38" t="n">
        <x:v>1.1305289811199994</x:v>
      </x:c>
      <x:c r="L279" s="28" t="n">
        <x:v>0.31043625759482524</x:v>
      </x:c>
    </x:row>
    <x:row r="280">
      <x:c r="A280" s="32" t="n">
        <x:v>45748</x:v>
      </x:c>
      <x:c r="B280" t="str">
        <x:v>Apr 2025</x:v>
      </x:c>
      <x:c r="C280" t="str">
        <x:v>Actual</x:v>
      </x:c>
      <x:c r="D280" t="str">
        <x:v>DB-103</x:v>
      </x:c>
      <x:c r="E280" t="str">
        <x:v>EmberTrail Camp Mug</x:v>
      </x:c>
      <x:c r="F280" t="str">
        <x:v>Shopify DTC</x:v>
      </x:c>
      <x:c r="G280" t="str">
        <x:v>Consumer</x:v>
      </x:c>
      <x:c r="H280" t="str">
        <x:v>Canada</x:v>
      </x:c>
      <x:c r="I280" s="34" t="n">
        <x:v>38.5</x:v>
      </x:c>
      <x:c r="J280" s="38" t="n">
        <x:v>1.1380446</x:v>
      </x:c>
      <x:c r="K280" s="38" t="n">
        <x:v>0.3532903065999999</x:v>
      </x:c>
      <x:c r="L280" s="28" t="n">
        <x:v>0.3104362575948253</x:v>
      </x:c>
    </x:row>
    <x:row r="281">
      <x:c r="A281" s="32" t="n">
        <x:v>45748</x:v>
      </x:c>
      <x:c r="B281" t="str">
        <x:v>Apr 2025</x:v>
      </x:c>
      <x:c r="C281" t="str">
        <x:v>Actual</x:v>
      </x:c>
      <x:c r="D281" t="str">
        <x:v>DB-103</x:v>
      </x:c>
      <x:c r="E281" t="str">
        <x:v>EmberTrail Camp Mug</x:v>
      </x:c>
      <x:c r="F281" t="str">
        <x:v>Amazon Marketplace</x:v>
      </x:c>
      <x:c r="G281" t="str">
        <x:v>Marketplace Consumer</x:v>
      </x:c>
      <x:c r="H281" t="str">
        <x:v>US West</x:v>
      </x:c>
      <x:c r="I281" s="34" t="n">
        <x:v>77.18</x:v>
      </x:c>
      <x:c r="J281" s="38" t="n">
        <x:v>2.3558037300000003</x:v>
      </x:c>
      <x:c r="K281" s="38" t="n">
        <x:v>0.3757874905000001</x:v>
      </x:c>
      <x:c r="L281" s="28" t="n">
        <x:v>0.15951561911314235</x:v>
      </x:c>
    </x:row>
    <x:row r="282">
      <x:c r="A282" s="32" t="n">
        <x:v>45748</x:v>
      </x:c>
      <x:c r="B282" t="str">
        <x:v>Apr 2025</x:v>
      </x:c>
      <x:c r="C282" t="str">
        <x:v>Actual</x:v>
      </x:c>
      <x:c r="D282" t="str">
        <x:v>DB-103</x:v>
      </x:c>
      <x:c r="E282" t="str">
        <x:v>EmberTrail Camp Mug</x:v>
      </x:c>
      <x:c r="F282" t="str">
        <x:v>Amazon Marketplace</x:v>
      </x:c>
      <x:c r="G282" t="str">
        <x:v>Marketplace Consumer</x:v>
      </x:c>
      <x:c r="H282" t="str">
        <x:v>US Central</x:v>
      </x:c>
      <x:c r="I282" s="34" t="n">
        <x:v>54.48</x:v>
      </x:c>
      <x:c r="J282" s="38" t="n">
        <x:v>1.66292028</x:v>
      </x:c>
      <x:c r="K282" s="38" t="n">
        <x:v>0.265261758</x:v>
      </x:c>
      <x:c r="L282" s="28" t="n">
        <x:v>0.15951561911314233</x:v>
      </x:c>
    </x:row>
    <x:row r="283">
      <x:c r="A283" s="32" t="n">
        <x:v>45748</x:v>
      </x:c>
      <x:c r="B283" t="str">
        <x:v>Apr 2025</x:v>
      </x:c>
      <x:c r="C283" t="str">
        <x:v>Actual</x:v>
      </x:c>
      <x:c r="D283" t="str">
        <x:v>DB-103</x:v>
      </x:c>
      <x:c r="E283" t="str">
        <x:v>EmberTrail Camp Mug</x:v>
      </x:c>
      <x:c r="F283" t="str">
        <x:v>Amazon Marketplace</x:v>
      </x:c>
      <x:c r="G283" t="str">
        <x:v>Marketplace Consumer</x:v>
      </x:c>
      <x:c r="H283" t="str">
        <x:v>US East</x:v>
      </x:c>
      <x:c r="I283" s="34" t="n">
        <x:v>72.64</x:v>
      </x:c>
      <x:c r="J283" s="38" t="n">
        <x:v>2.2172270400000005</x:v>
      </x:c>
      <x:c r="K283" s="38" t="n">
        <x:v>0.35368234400000004</x:v>
      </x:c>
      <x:c r="L283" s="28" t="n">
        <x:v>0.15951561911314233</x:v>
      </x:c>
    </x:row>
    <x:row r="284">
      <x:c r="A284" s="32" t="n">
        <x:v>45748</x:v>
      </x:c>
      <x:c r="B284" t="str">
        <x:v>Apr 2025</x:v>
      </x:c>
      <x:c r="C284" t="str">
        <x:v>Actual</x:v>
      </x:c>
      <x:c r="D284" t="str">
        <x:v>DB-103</x:v>
      </x:c>
      <x:c r="E284" t="str">
        <x:v>EmberTrail Camp Mug</x:v>
      </x:c>
      <x:c r="F284" t="str">
        <x:v>Amazon Marketplace</x:v>
      </x:c>
      <x:c r="G284" t="str">
        <x:v>Marketplace Consumer</x:v>
      </x:c>
      <x:c r="H284" t="str">
        <x:v>Canada</x:v>
      </x:c>
      <x:c r="I284" s="34" t="n">
        <x:v>22.700000000000003</x:v>
      </x:c>
      <x:c r="J284" s="38" t="n">
        <x:v>0.6928834500000001</x:v>
      </x:c>
      <x:c r="K284" s="38" t="n">
        <x:v>0.11052573250000003</x:v>
      </x:c>
      <x:c r="L284" s="28" t="n">
        <x:v>0.15951561911314235</x:v>
      </x:c>
    </x:row>
    <x:row r="285">
      <x:c r="A285" s="32" t="n">
        <x:v>45748</x:v>
      </x:c>
      <x:c r="B285" t="str">
        <x:v>Apr 2025</x:v>
      </x:c>
      <x:c r="C285" t="str">
        <x:v>Actual</x:v>
      </x:c>
      <x:c r="D285" t="str">
        <x:v>DB-103</x:v>
      </x:c>
      <x:c r="E285" t="str">
        <x:v>EmberTrail Camp Mug</x:v>
      </x:c>
      <x:c r="F285" t="str">
        <x:v>Wholesale</x:v>
      </x:c>
      <x:c r="G285" t="str">
        <x:v>Retailer</x:v>
      </x:c>
      <x:c r="H285" t="str">
        <x:v>US West</x:v>
      </x:c>
      <x:c r="I285" s="34" t="n">
        <x:v>21.76</x:v>
      </x:c>
      <x:c r="J285" s="38" t="n">
        <x:v>0.45444672</x:v>
      </x:c>
      <x:c r="K285" s="38" t="n">
        <x:v>0.08722496000000002</x:v>
      </x:c>
      <x:c r="L285" s="28" t="n">
        <x:v>0.1919366037013096</x:v>
      </x:c>
    </x:row>
    <x:row r="286">
      <x:c r="A286" s="32" t="n">
        <x:v>45748</x:v>
      </x:c>
      <x:c r="B286" t="str">
        <x:v>Apr 2025</x:v>
      </x:c>
      <x:c r="C286" t="str">
        <x:v>Actual</x:v>
      </x:c>
      <x:c r="D286" t="str">
        <x:v>DB-103</x:v>
      </x:c>
      <x:c r="E286" t="str">
        <x:v>EmberTrail Camp Mug</x:v>
      </x:c>
      <x:c r="F286" t="str">
        <x:v>Wholesale</x:v>
      </x:c>
      <x:c r="G286" t="str">
        <x:v>Retailer</x:v>
      </x:c>
      <x:c r="H286" t="str">
        <x:v>US Central</x:v>
      </x:c>
      <x:c r="I286" s="34" t="n">
        <x:v>15.36</x:v>
      </x:c>
      <x:c r="J286" s="38" t="n">
        <x:v>0.32078592</x:v>
      </x:c>
      <x:c r="K286" s="38" t="n">
        <x:v>0.06157056000000001</x:v>
      </x:c>
      <x:c r="L286" s="28" t="n">
        <x:v>0.1919366037013096</x:v>
      </x:c>
    </x:row>
    <x:row r="287">
      <x:c r="A287" s="32" t="n">
        <x:v>45748</x:v>
      </x:c>
      <x:c r="B287" t="str">
        <x:v>Apr 2025</x:v>
      </x:c>
      <x:c r="C287" t="str">
        <x:v>Actual</x:v>
      </x:c>
      <x:c r="D287" t="str">
        <x:v>DB-103</x:v>
      </x:c>
      <x:c r="E287" t="str">
        <x:v>EmberTrail Camp Mug</x:v>
      </x:c>
      <x:c r="F287" t="str">
        <x:v>Wholesale</x:v>
      </x:c>
      <x:c r="G287" t="str">
        <x:v>Retailer</x:v>
      </x:c>
      <x:c r="H287" t="str">
        <x:v>US East</x:v>
      </x:c>
      <x:c r="I287" s="34" t="n">
        <x:v>20.48</x:v>
      </x:c>
      <x:c r="J287" s="38" t="n">
        <x:v>0.42771456</x:v>
      </x:c>
      <x:c r="K287" s="38" t="n">
        <x:v>0.08209408000000001</x:v>
      </x:c>
      <x:c r="L287" s="28" t="n">
        <x:v>0.1919366037013096</x:v>
      </x:c>
    </x:row>
    <x:row r="288">
      <x:c r="A288" s="32" t="n">
        <x:v>45748</x:v>
      </x:c>
      <x:c r="B288" t="str">
        <x:v>Apr 2025</x:v>
      </x:c>
      <x:c r="C288" t="str">
        <x:v>Actual</x:v>
      </x:c>
      <x:c r="D288" t="str">
        <x:v>DB-103</x:v>
      </x:c>
      <x:c r="E288" t="str">
        <x:v>EmberTrail Camp Mug</x:v>
      </x:c>
      <x:c r="F288" t="str">
        <x:v>Wholesale</x:v>
      </x:c>
      <x:c r="G288" t="str">
        <x:v>Retailer</x:v>
      </x:c>
      <x:c r="H288" t="str">
        <x:v>Canada</x:v>
      </x:c>
      <x:c r="I288" s="34" t="n">
        <x:v>6.4</x:v>
      </x:c>
      <x:c r="J288" s="38" t="n">
        <x:v>0.1336608</x:v>
      </x:c>
      <x:c r="K288" s="38" t="n">
        <x:v>0.025654400000000008</x:v>
      </x:c>
      <x:c r="L288" s="28" t="n">
        <x:v>0.19193660370130966</x:v>
      </x:c>
    </x:row>
    <x:row r="289">
      <x:c r="A289" s="32" t="n">
        <x:v>45748</x:v>
      </x:c>
      <x:c r="B289" t="str">
        <x:v>Apr 2025</x:v>
      </x:c>
      <x:c r="C289" t="str">
        <x:v>Actual</x:v>
      </x:c>
      <x:c r="D289" t="str">
        <x:v>DB-103</x:v>
      </x:c>
      <x:c r="E289" t="str">
        <x:v>EmberTrail Camp Mug</x:v>
      </x:c>
      <x:c r="F289" t="str">
        <x:v>TikTok Shop</x:v>
      </x:c>
      <x:c r="G289" t="str">
        <x:v>Social Commerce</x:v>
      </x:c>
      <x:c r="H289" t="str">
        <x:v>US West</x:v>
      </x:c>
      <x:c r="I289" s="34" t="n">
        <x:v>32.64</x:v>
      </x:c>
      <x:c r="J289" s="38" t="n">
        <x:v>0.9228764159999999</x:v>
      </x:c>
      <x:c r="K289" s="38" t="n">
        <x:v>0.1691397749759999</x:v>
      </x:c>
      <x:c r="L289" s="28" t="n">
        <x:v>0.18327456639221337</x:v>
      </x:c>
    </x:row>
    <x:row r="290">
      <x:c r="A290" s="32" t="n">
        <x:v>45748</x:v>
      </x:c>
      <x:c r="B290" t="str">
        <x:v>Apr 2025</x:v>
      </x:c>
      <x:c r="C290" t="str">
        <x:v>Actual</x:v>
      </x:c>
      <x:c r="D290" t="str">
        <x:v>DB-103</x:v>
      </x:c>
      <x:c r="E290" t="str">
        <x:v>EmberTrail Camp Mug</x:v>
      </x:c>
      <x:c r="F290" t="str">
        <x:v>TikTok Shop</x:v>
      </x:c>
      <x:c r="G290" t="str">
        <x:v>Social Commerce</x:v>
      </x:c>
      <x:c r="H290" t="str">
        <x:v>US Central</x:v>
      </x:c>
      <x:c r="I290" s="34" t="n">
        <x:v>23.04</x:v>
      </x:c>
      <x:c r="J290" s="38" t="n">
        <x:v>0.6514421759999999</x:v>
      </x:c>
      <x:c r="K290" s="38" t="n">
        <x:v>0.11939278233599993</x:v>
      </x:c>
      <x:c r="L290" s="28" t="n">
        <x:v>0.18327456639221337</x:v>
      </x:c>
    </x:row>
    <x:row r="291">
      <x:c r="A291" s="32" t="n">
        <x:v>45748</x:v>
      </x:c>
      <x:c r="B291" t="str">
        <x:v>Apr 2025</x:v>
      </x:c>
      <x:c r="C291" t="str">
        <x:v>Actual</x:v>
      </x:c>
      <x:c r="D291" t="str">
        <x:v>DB-103</x:v>
      </x:c>
      <x:c r="E291" t="str">
        <x:v>EmberTrail Camp Mug</x:v>
      </x:c>
      <x:c r="F291" t="str">
        <x:v>TikTok Shop</x:v>
      </x:c>
      <x:c r="G291" t="str">
        <x:v>Social Commerce</x:v>
      </x:c>
      <x:c r="H291" t="str">
        <x:v>US East</x:v>
      </x:c>
      <x:c r="I291" s="34" t="n">
        <x:v>30.72</x:v>
      </x:c>
      <x:c r="J291" s="38" t="n">
        <x:v>0.8685895679999999</x:v>
      </x:c>
      <x:c r="K291" s="38" t="n">
        <x:v>0.1591903764479999</x:v>
      </x:c>
      <x:c r="L291" s="28" t="n">
        <x:v>0.18327456639221337</x:v>
      </x:c>
    </x:row>
    <x:row r="292">
      <x:c r="A292" s="32" t="n">
        <x:v>45748</x:v>
      </x:c>
      <x:c r="B292" t="str">
        <x:v>Apr 2025</x:v>
      </x:c>
      <x:c r="C292" t="str">
        <x:v>Actual</x:v>
      </x:c>
      <x:c r="D292" t="str">
        <x:v>DB-103</x:v>
      </x:c>
      <x:c r="E292" t="str">
        <x:v>EmberTrail Camp Mug</x:v>
      </x:c>
      <x:c r="F292" t="str">
        <x:v>TikTok Shop</x:v>
      </x:c>
      <x:c r="G292" t="str">
        <x:v>Social Commerce</x:v>
      </x:c>
      <x:c r="H292" t="str">
        <x:v>Canada</x:v>
      </x:c>
      <x:c r="I292" s="34" t="n">
        <x:v>9.600000000000001</x:v>
      </x:c>
      <x:c r="J292" s="38" t="n">
        <x:v>0.27143424</x:v>
      </x:c>
      <x:c r="K292" s="38" t="n">
        <x:v>0.04974699263999997</x:v>
      </x:c>
      <x:c r="L292" s="28" t="n">
        <x:v>0.18327456639221335</x:v>
      </x:c>
    </x:row>
    <x:row r="293">
      <x:c r="A293" s="32" t="n">
        <x:v>45748</x:v>
      </x:c>
      <x:c r="B293" t="str">
        <x:v>Apr 2025</x:v>
      </x:c>
      <x:c r="C293" t="str">
        <x:v>Actual</x:v>
      </x:c>
      <x:c r="D293" t="str">
        <x:v>DB-104</x:v>
      </x:c>
      <x:c r="E293" t="str">
        <x:v>SunNest Cooling Towel</x:v>
      </x:c>
      <x:c r="F293" t="str">
        <x:v>Shopify DTC</x:v>
      </x:c>
      <x:c r="G293" t="str">
        <x:v>Consumer</x:v>
      </x:c>
      <x:c r="H293" t="str">
        <x:v>US West</x:v>
      </x:c>
      <x:c r="I293" s="34" t="n">
        <x:v>161.5</x:v>
      </x:c>
      <x:c r="J293" s="38" t="n">
        <x:v>5.928342</x:v>
      </x:c>
      <x:c r="K293" s="38" t="n">
        <x:v>2.3846230820000005</x:v>
      </x:c>
      <x:c r="L293" s="28" t="n">
        <x:v>0.4022411463441213</x:v>
      </x:c>
    </x:row>
    <x:row r="294">
      <x:c r="A294" s="32" t="n">
        <x:v>45748</x:v>
      </x:c>
      <x:c r="B294" t="str">
        <x:v>Apr 2025</x:v>
      </x:c>
      <x:c r="C294" t="str">
        <x:v>Actual</x:v>
      </x:c>
      <x:c r="D294" t="str">
        <x:v>DB-104</x:v>
      </x:c>
      <x:c r="E294" t="str">
        <x:v>SunNest Cooling Towel</x:v>
      </x:c>
      <x:c r="F294" t="str">
        <x:v>Shopify DTC</x:v>
      </x:c>
      <x:c r="G294" t="str">
        <x:v>Consumer</x:v>
      </x:c>
      <x:c r="H294" t="str">
        <x:v>US Central</x:v>
      </x:c>
      <x:c r="I294" s="34" t="n">
        <x:v>114</x:v>
      </x:c>
      <x:c r="J294" s="38" t="n">
        <x:v>4.184711999999999</x:v>
      </x:c>
      <x:c r="K294" s="38" t="n">
        <x:v>1.6832633520000002</x:v>
      </x:c>
      <x:c r="L294" s="28" t="n">
        <x:v>0.4022411463441213</x:v>
      </x:c>
    </x:row>
    <x:row r="295">
      <x:c r="A295" s="32" t="n">
        <x:v>45748</x:v>
      </x:c>
      <x:c r="B295" t="str">
        <x:v>Apr 2025</x:v>
      </x:c>
      <x:c r="C295" t="str">
        <x:v>Actual</x:v>
      </x:c>
      <x:c r="D295" t="str">
        <x:v>DB-104</x:v>
      </x:c>
      <x:c r="E295" t="str">
        <x:v>SunNest Cooling Towel</x:v>
      </x:c>
      <x:c r="F295" t="str">
        <x:v>Shopify DTC</x:v>
      </x:c>
      <x:c r="G295" t="str">
        <x:v>Consumer</x:v>
      </x:c>
      <x:c r="H295" t="str">
        <x:v>US East</x:v>
      </x:c>
      <x:c r="I295" s="34" t="n">
        <x:v>152</x:v>
      </x:c>
      <x:c r="J295" s="38" t="n">
        <x:v>5.579616</x:v>
      </x:c>
      <x:c r="K295" s="38" t="n">
        <x:v>2.244351136</x:v>
      </x:c>
      <x:c r="L295" s="28" t="n">
        <x:v>0.4022411463441212</x:v>
      </x:c>
    </x:row>
    <x:row r="296">
      <x:c r="A296" s="32" t="n">
        <x:v>45748</x:v>
      </x:c>
      <x:c r="B296" t="str">
        <x:v>Apr 2025</x:v>
      </x:c>
      <x:c r="C296" t="str">
        <x:v>Actual</x:v>
      </x:c>
      <x:c r="D296" t="str">
        <x:v>DB-104</x:v>
      </x:c>
      <x:c r="E296" t="str">
        <x:v>SunNest Cooling Towel</x:v>
      </x:c>
      <x:c r="F296" t="str">
        <x:v>Shopify DTC</x:v>
      </x:c>
      <x:c r="G296" t="str">
        <x:v>Consumer</x:v>
      </x:c>
      <x:c r="H296" t="str">
        <x:v>Canada</x:v>
      </x:c>
      <x:c r="I296" s="34" t="n">
        <x:v>47.5</x:v>
      </x:c>
      <x:c r="J296" s="38" t="n">
        <x:v>1.74363</x:v>
      </x:c>
      <x:c r="K296" s="38" t="n">
        <x:v>0.7013597300000001</x:v>
      </x:c>
      <x:c r="L296" s="28" t="n">
        <x:v>0.4022411463441212</x:v>
      </x:c>
    </x:row>
    <x:row r="297">
      <x:c r="A297" s="32" t="n">
        <x:v>45748</x:v>
      </x:c>
      <x:c r="B297" t="str">
        <x:v>Apr 2025</x:v>
      </x:c>
      <x:c r="C297" t="str">
        <x:v>Actual</x:v>
      </x:c>
      <x:c r="D297" t="str">
        <x:v>DB-104</x:v>
      </x:c>
      <x:c r="E297" t="str">
        <x:v>SunNest Cooling Towel</x:v>
      </x:c>
      <x:c r="F297" t="str">
        <x:v>Amazon Marketplace</x:v>
      </x:c>
      <x:c r="G297" t="str">
        <x:v>Marketplace Consumer</x:v>
      </x:c>
      <x:c r="H297" t="str">
        <x:v>US West</x:v>
      </x:c>
      <x:c r="I297" s="34" t="n">
        <x:v>95.54</x:v>
      </x:c>
      <x:c r="J297" s="38" t="n">
        <x:v>3.6214437000000004</x:v>
      </x:c>
      <x:c r="K297" s="38" t="n">
        <x:v>0.9354560250000004</x:v>
      </x:c>
      <x:c r="L297" s="28" t="n">
        <x:v>0.2583102493074793</x:v>
      </x:c>
    </x:row>
    <x:row r="298">
      <x:c r="A298" s="32" t="n">
        <x:v>45748</x:v>
      </x:c>
      <x:c r="B298" t="str">
        <x:v>Apr 2025</x:v>
      </x:c>
      <x:c r="C298" t="str">
        <x:v>Actual</x:v>
      </x:c>
      <x:c r="D298" t="str">
        <x:v>DB-104</x:v>
      </x:c>
      <x:c r="E298" t="str">
        <x:v>SunNest Cooling Towel</x:v>
      </x:c>
      <x:c r="F298" t="str">
        <x:v>Amazon Marketplace</x:v>
      </x:c>
      <x:c r="G298" t="str">
        <x:v>Marketplace Consumer</x:v>
      </x:c>
      <x:c r="H298" t="str">
        <x:v>US Central</x:v>
      </x:c>
      <x:c r="I298" s="34" t="n">
        <x:v>67.44</x:v>
      </x:c>
      <x:c r="J298" s="38" t="n">
        <x:v>2.5563132</x:v>
      </x:c>
      <x:c r="K298" s="38" t="n">
        <x:v>0.6603219000000001</x:v>
      </x:c>
      <x:c r="L298" s="28" t="n">
        <x:v>0.25831024930747926</x:v>
      </x:c>
    </x:row>
    <x:row r="299">
      <x:c r="A299" s="32" t="n">
        <x:v>45748</x:v>
      </x:c>
      <x:c r="B299" t="str">
        <x:v>Apr 2025</x:v>
      </x:c>
      <x:c r="C299" t="str">
        <x:v>Actual</x:v>
      </x:c>
      <x:c r="D299" t="str">
        <x:v>DB-104</x:v>
      </x:c>
      <x:c r="E299" t="str">
        <x:v>SunNest Cooling Towel</x:v>
      </x:c>
      <x:c r="F299" t="str">
        <x:v>Amazon Marketplace</x:v>
      </x:c>
      <x:c r="G299" t="str">
        <x:v>Marketplace Consumer</x:v>
      </x:c>
      <x:c r="H299" t="str">
        <x:v>US East</x:v>
      </x:c>
      <x:c r="I299" s="34" t="n">
        <x:v>89.92</x:v>
      </x:c>
      <x:c r="J299" s="38" t="n">
        <x:v>3.4084176000000004</x:v>
      </x:c>
      <x:c r="K299" s="38" t="n">
        <x:v>0.8804292000000002</x:v>
      </x:c>
      <x:c r="L299" s="28" t="n">
        <x:v>0.25831024930747926</x:v>
      </x:c>
    </x:row>
    <x:row r="300">
      <x:c r="A300" s="32" t="n">
        <x:v>45748</x:v>
      </x:c>
      <x:c r="B300" t="str">
        <x:v>Apr 2025</x:v>
      </x:c>
      <x:c r="C300" t="str">
        <x:v>Actual</x:v>
      </x:c>
      <x:c r="D300" t="str">
        <x:v>DB-104</x:v>
      </x:c>
      <x:c r="E300" t="str">
        <x:v>SunNest Cooling Towel</x:v>
      </x:c>
      <x:c r="F300" t="str">
        <x:v>Amazon Marketplace</x:v>
      </x:c>
      <x:c r="G300" t="str">
        <x:v>Marketplace Consumer</x:v>
      </x:c>
      <x:c r="H300" t="str">
        <x:v>Canada</x:v>
      </x:c>
      <x:c r="I300" s="34" t="n">
        <x:v>28.1</x:v>
      </x:c>
      <x:c r="J300" s="38" t="n">
        <x:v>1.0651305000000002</x:v>
      </x:c>
      <x:c r="K300" s="38" t="n">
        <x:v>0.27513412500000006</x:v>
      </x:c>
      <x:c r="L300" s="28" t="n">
        <x:v>0.25831024930747926</x:v>
      </x:c>
    </x:row>
    <x:row r="301">
      <x:c r="A301" s="32" t="n">
        <x:v>45748</x:v>
      </x:c>
      <x:c r="B301" t="str">
        <x:v>Apr 2025</x:v>
      </x:c>
      <x:c r="C301" t="str">
        <x:v>Actual</x:v>
      </x:c>
      <x:c r="D301" t="str">
        <x:v>DB-104</x:v>
      </x:c>
      <x:c r="E301" t="str">
        <x:v>SunNest Cooling Towel</x:v>
      </x:c>
      <x:c r="F301" t="str">
        <x:v>Wholesale</x:v>
      </x:c>
      <x:c r="G301" t="str">
        <x:v>Retailer</x:v>
      </x:c>
      <x:c r="H301" t="str">
        <x:v>US West</x:v>
      </x:c>
      <x:c r="I301" s="34" t="n">
        <x:v>26.860000000000003</x:v>
      </x:c>
      <x:c r="J301" s="38" t="n">
        <x:v>0.6966141000000001</x:v>
      </x:c>
      <x:c r="K301" s="38" t="n">
        <x:v>0.20701002000000013</x:v>
      </x:c>
      <x:c r="L301" s="28" t="n">
        <x:v>0.29716599190283416</x:v>
      </x:c>
    </x:row>
    <x:row r="302">
      <x:c r="A302" s="32" t="n">
        <x:v>45748</x:v>
      </x:c>
      <x:c r="B302" t="str">
        <x:v>Apr 2025</x:v>
      </x:c>
      <x:c r="C302" t="str">
        <x:v>Actual</x:v>
      </x:c>
      <x:c r="D302" t="str">
        <x:v>DB-104</x:v>
      </x:c>
      <x:c r="E302" t="str">
        <x:v>SunNest Cooling Towel</x:v>
      </x:c>
      <x:c r="F302" t="str">
        <x:v>Wholesale</x:v>
      </x:c>
      <x:c r="G302" t="str">
        <x:v>Retailer</x:v>
      </x:c>
      <x:c r="H302" t="str">
        <x:v>US Central</x:v>
      </x:c>
      <x:c r="I302" s="34" t="n">
        <x:v>18.96</x:v>
      </x:c>
      <x:c r="J302" s="38" t="n">
        <x:v>0.49172760000000004</x:v>
      </x:c>
      <x:c r="K302" s="38" t="n">
        <x:v>0.14612472000000007</x:v>
      </x:c>
      <x:c r="L302" s="28" t="n">
        <x:v>0.2971659919028341</x:v>
      </x:c>
    </x:row>
    <x:row r="303">
      <x:c r="A303" s="32" t="n">
        <x:v>45748</x:v>
      </x:c>
      <x:c r="B303" t="str">
        <x:v>Apr 2025</x:v>
      </x:c>
      <x:c r="C303" t="str">
        <x:v>Actual</x:v>
      </x:c>
      <x:c r="D303" t="str">
        <x:v>DB-104</x:v>
      </x:c>
      <x:c r="E303" t="str">
        <x:v>SunNest Cooling Towel</x:v>
      </x:c>
      <x:c r="F303" t="str">
        <x:v>Wholesale</x:v>
      </x:c>
      <x:c r="G303" t="str">
        <x:v>Retailer</x:v>
      </x:c>
      <x:c r="H303" t="str">
        <x:v>US East</x:v>
      </x:c>
      <x:c r="I303" s="34" t="n">
        <x:v>25.28</x:v>
      </x:c>
      <x:c r="J303" s="38" t="n">
        <x:v>0.6556368</x:v>
      </x:c>
      <x:c r="K303" s="38" t="n">
        <x:v>0.1948329600000001</x:v>
      </x:c>
      <x:c r="L303" s="28" t="n">
        <x:v>0.29716599190283416</x:v>
      </x:c>
    </x:row>
    <x:row r="304">
      <x:c r="A304" s="32" t="n">
        <x:v>45748</x:v>
      </x:c>
      <x:c r="B304" t="str">
        <x:v>Apr 2025</x:v>
      </x:c>
      <x:c r="C304" t="str">
        <x:v>Actual</x:v>
      </x:c>
      <x:c r="D304" t="str">
        <x:v>DB-104</x:v>
      </x:c>
      <x:c r="E304" t="str">
        <x:v>SunNest Cooling Towel</x:v>
      </x:c>
      <x:c r="F304" t="str">
        <x:v>Wholesale</x:v>
      </x:c>
      <x:c r="G304" t="str">
        <x:v>Retailer</x:v>
      </x:c>
      <x:c r="H304" t="str">
        <x:v>Canada</x:v>
      </x:c>
      <x:c r="I304" s="34" t="n">
        <x:v>7.9</x:v>
      </x:c>
      <x:c r="J304" s="38" t="n">
        <x:v>0.20488650000000003</x:v>
      </x:c>
      <x:c r="K304" s="38" t="n">
        <x:v>0.06088530000000003</x:v>
      </x:c>
      <x:c r="L304" s="28" t="n">
        <x:v>0.2971659919028341</x:v>
      </x:c>
    </x:row>
    <x:row r="305">
      <x:c r="A305" s="32" t="n">
        <x:v>45748</x:v>
      </x:c>
      <x:c r="B305" t="str">
        <x:v>Apr 2025</x:v>
      </x:c>
      <x:c r="C305" t="str">
        <x:v>Actual</x:v>
      </x:c>
      <x:c r="D305" t="str">
        <x:v>DB-104</x:v>
      </x:c>
      <x:c r="E305" t="str">
        <x:v>SunNest Cooling Towel</x:v>
      </x:c>
      <x:c r="F305" t="str">
        <x:v>TikTok Shop</x:v>
      </x:c>
      <x:c r="G305" t="str">
        <x:v>Social Commerce</x:v>
      </x:c>
      <x:c r="H305" t="str">
        <x:v>US West</x:v>
      </x:c>
      <x:c r="I305" s="34" t="n">
        <x:v>40.800000000000004</x:v>
      </x:c>
      <x:c r="J305" s="38" t="n">
        <x:v>1.4325696</x:v>
      </x:c>
      <x:c r="K305" s="38" t="n">
        <x:v>0.41040850560000014</x:v>
      </x:c>
      <x:c r="L305" s="28" t="n">
        <x:v>0.28648416495784923</x:v>
      </x:c>
    </x:row>
    <x:row r="306">
      <x:c r="A306" s="32" t="n">
        <x:v>45748</x:v>
      </x:c>
      <x:c r="B306" t="str">
        <x:v>Apr 2025</x:v>
      </x:c>
      <x:c r="C306" t="str">
        <x:v>Actual</x:v>
      </x:c>
      <x:c r="D306" t="str">
        <x:v>DB-104</x:v>
      </x:c>
      <x:c r="E306" t="str">
        <x:v>SunNest Cooling Towel</x:v>
      </x:c>
      <x:c r="F306" t="str">
        <x:v>TikTok Shop</x:v>
      </x:c>
      <x:c r="G306" t="str">
        <x:v>Social Commerce</x:v>
      </x:c>
      <x:c r="H306" t="str">
        <x:v>US Central</x:v>
      </x:c>
      <x:c r="I306" s="34" t="n">
        <x:v>28.799999999999997</x:v>
      </x:c>
      <x:c r="J306" s="38" t="n">
        <x:v>1.0112256</x:v>
      </x:c>
      <x:c r="K306" s="38" t="n">
        <x:v>0.2897001216000001</x:v>
      </x:c>
      <x:c r="L306" s="28" t="n">
        <x:v>0.2864841649578493</x:v>
      </x:c>
    </x:row>
    <x:row r="307">
      <x:c r="A307" s="32" t="n">
        <x:v>45748</x:v>
      </x:c>
      <x:c r="B307" t="str">
        <x:v>Apr 2025</x:v>
      </x:c>
      <x:c r="C307" t="str">
        <x:v>Actual</x:v>
      </x:c>
      <x:c r="D307" t="str">
        <x:v>DB-104</x:v>
      </x:c>
      <x:c r="E307" t="str">
        <x:v>SunNest Cooling Towel</x:v>
      </x:c>
      <x:c r="F307" t="str">
        <x:v>TikTok Shop</x:v>
      </x:c>
      <x:c r="G307" t="str">
        <x:v>Social Commerce</x:v>
      </x:c>
      <x:c r="H307" t="str">
        <x:v>US East</x:v>
      </x:c>
      <x:c r="I307" s="34" t="n">
        <x:v>38.4</x:v>
      </x:c>
      <x:c r="J307" s="38" t="n">
        <x:v>1.3483008</x:v>
      </x:c>
      <x:c r="K307" s="38" t="n">
        <x:v>0.38626682880000013</x:v>
      </x:c>
      <x:c r="L307" s="28" t="n">
        <x:v>0.28648416495784923</x:v>
      </x:c>
    </x:row>
    <x:row r="308">
      <x:c r="A308" s="32" t="n">
        <x:v>45748</x:v>
      </x:c>
      <x:c r="B308" t="str">
        <x:v>Apr 2025</x:v>
      </x:c>
      <x:c r="C308" t="str">
        <x:v>Actual</x:v>
      </x:c>
      <x:c r="D308" t="str">
        <x:v>DB-104</x:v>
      </x:c>
      <x:c r="E308" t="str">
        <x:v>SunNest Cooling Towel</x:v>
      </x:c>
      <x:c r="F308" t="str">
        <x:v>TikTok Shop</x:v>
      </x:c>
      <x:c r="G308" t="str">
        <x:v>Social Commerce</x:v>
      </x:c>
      <x:c r="H308" t="str">
        <x:v>Canada</x:v>
      </x:c>
      <x:c r="I308" s="34" t="n">
        <x:v>12</x:v>
      </x:c>
      <x:c r="J308" s="38" t="n">
        <x:v>0.42134400000000005</x:v>
      </x:c>
      <x:c r="K308" s="38" t="n">
        <x:v>0.12070838400000004</x:v>
      </x:c>
      <x:c r="L308" s="28" t="n">
        <x:v>0.28648416495784923</x:v>
      </x:c>
    </x:row>
    <x:row r="309">
      <x:c r="A309" s="32" t="n">
        <x:v>45748</x:v>
      </x:c>
      <x:c r="B309" t="str">
        <x:v>Apr 2025</x:v>
      </x:c>
      <x:c r="C309" t="str">
        <x:v>Actual</x:v>
      </x:c>
      <x:c r="D309" t="str">
        <x:v>DB-105</x:v>
      </x:c>
      <x:c r="E309" t="str">
        <x:v>DreamFuel Refill Pack</x:v>
      </x:c>
      <x:c r="F309" t="str">
        <x:v>Shopify DTC</x:v>
      </x:c>
      <x:c r="G309" t="str">
        <x:v>Consumer</x:v>
      </x:c>
      <x:c r="H309" t="str">
        <x:v>US West</x:v>
      </x:c>
      <x:c r="I309" s="34" t="n">
        <x:v>191.08</x:v>
      </x:c>
      <x:c r="J309" s="38" t="n">
        <x:v>9.647552768</x:v>
      </x:c>
      <x:c r="K309" s="38" t="n">
        <x:v>4.700912249727999</x:v>
      </x:c>
      <x:c r="L309" s="28" t="n">
        <x:v>0.48726473570794765</x:v>
      </x:c>
    </x:row>
    <x:row r="310">
      <x:c r="A310" s="32" t="n">
        <x:v>45748</x:v>
      </x:c>
      <x:c r="B310" t="str">
        <x:v>Apr 2025</x:v>
      </x:c>
      <x:c r="C310" t="str">
        <x:v>Actual</x:v>
      </x:c>
      <x:c r="D310" t="str">
        <x:v>DB-105</x:v>
      </x:c>
      <x:c r="E310" t="str">
        <x:v>DreamFuel Refill Pack</x:v>
      </x:c>
      <x:c r="F310" t="str">
        <x:v>Shopify DTC</x:v>
      </x:c>
      <x:c r="G310" t="str">
        <x:v>Consumer</x:v>
      </x:c>
      <x:c r="H310" t="str">
        <x:v>US Central</x:v>
      </x:c>
      <x:c r="I310" s="34" t="n">
        <x:v>134.88</x:v>
      </x:c>
      <x:c r="J310" s="38" t="n">
        <x:v>6.810037248</x:v>
      </x:c>
      <x:c r="K310" s="38" t="n">
        <x:v>3.3182909998079992</x:v>
      </x:c>
      <x:c r="L310" s="28" t="n">
        <x:v>0.48726473570794765</x:v>
      </x:c>
    </x:row>
    <x:row r="311">
      <x:c r="A311" s="32" t="n">
        <x:v>45748</x:v>
      </x:c>
      <x:c r="B311" t="str">
        <x:v>Apr 2025</x:v>
      </x:c>
      <x:c r="C311" t="str">
        <x:v>Actual</x:v>
      </x:c>
      <x:c r="D311" t="str">
        <x:v>DB-105</x:v>
      </x:c>
      <x:c r="E311" t="str">
        <x:v>DreamFuel Refill Pack</x:v>
      </x:c>
      <x:c r="F311" t="str">
        <x:v>Shopify DTC</x:v>
      </x:c>
      <x:c r="G311" t="str">
        <x:v>Consumer</x:v>
      </x:c>
      <x:c r="H311" t="str">
        <x:v>US East</x:v>
      </x:c>
      <x:c r="I311" s="34" t="n">
        <x:v>179.84</x:v>
      </x:c>
      <x:c r="J311" s="38" t="n">
        <x:v>9.080049664</x:v>
      </x:c>
      <x:c r="K311" s="38" t="n">
        <x:v>4.424387999743999</x:v>
      </x:c>
      <x:c r="L311" s="28" t="n">
        <x:v>0.48726473570794765</x:v>
      </x:c>
    </x:row>
    <x:row r="312">
      <x:c r="A312" s="32" t="n">
        <x:v>45748</x:v>
      </x:c>
      <x:c r="B312" t="str">
        <x:v>Apr 2025</x:v>
      </x:c>
      <x:c r="C312" t="str">
        <x:v>Actual</x:v>
      </x:c>
      <x:c r="D312" t="str">
        <x:v>DB-105</x:v>
      </x:c>
      <x:c r="E312" t="str">
        <x:v>DreamFuel Refill Pack</x:v>
      </x:c>
      <x:c r="F312" t="str">
        <x:v>Shopify DTC</x:v>
      </x:c>
      <x:c r="G312" t="str">
        <x:v>Consumer</x:v>
      </x:c>
      <x:c r="H312" t="str">
        <x:v>Canada</x:v>
      </x:c>
      <x:c r="I312" s="34" t="n">
        <x:v>56.2</x:v>
      </x:c>
      <x:c r="J312" s="38" t="n">
        <x:v>2.83751552</x:v>
      </x:c>
      <x:c r="K312" s="38" t="n">
        <x:v>1.3826212499199997</x:v>
      </x:c>
      <x:c r="L312" s="28" t="n">
        <x:v>0.48726473570794765</x:v>
      </x:c>
    </x:row>
    <x:row r="313">
      <x:c r="A313" s="32" t="n">
        <x:v>45748</x:v>
      </x:c>
      <x:c r="B313" t="str">
        <x:v>Apr 2025</x:v>
      </x:c>
      <x:c r="C313" t="str">
        <x:v>Actual</x:v>
      </x:c>
      <x:c r="D313" t="str">
        <x:v>DB-105</x:v>
      </x:c>
      <x:c r="E313" t="str">
        <x:v>DreamFuel Refill Pack</x:v>
      </x:c>
      <x:c r="F313" t="str">
        <x:v>Amazon Marketplace</x:v>
      </x:c>
      <x:c r="G313" t="str">
        <x:v>Marketplace Consumer</x:v>
      </x:c>
      <x:c r="H313" t="str">
        <x:v>US West</x:v>
      </x:c>
      <x:c r="I313" s="34" t="n">
        <x:v>112.54</x:v>
      </x:c>
      <x:c r="J313" s="38" t="n">
        <x:v>5.8673854400000005</x:v>
      </x:c>
      <x:c r="K313" s="38" t="n">
        <x:v>2.0642086799999992</x:v>
      </x:c>
      <x:c r="L313" s="28" t="n">
        <x:v>0.3518106490716586</x:v>
      </x:c>
    </x:row>
    <x:row r="314">
      <x:c r="A314" s="32" t="n">
        <x:v>45748</x:v>
      </x:c>
      <x:c r="B314" t="str">
        <x:v>Apr 2025</x:v>
      </x:c>
      <x:c r="C314" t="str">
        <x:v>Actual</x:v>
      </x:c>
      <x:c r="D314" t="str">
        <x:v>DB-105</x:v>
      </x:c>
      <x:c r="E314" t="str">
        <x:v>DreamFuel Refill Pack</x:v>
      </x:c>
      <x:c r="F314" t="str">
        <x:v>Amazon Marketplace</x:v>
      </x:c>
      <x:c r="G314" t="str">
        <x:v>Marketplace Consumer</x:v>
      </x:c>
      <x:c r="H314" t="str">
        <x:v>US Central</x:v>
      </x:c>
      <x:c r="I314" s="34" t="n">
        <x:v>79.44</x:v>
      </x:c>
      <x:c r="J314" s="38" t="n">
        <x:v>4.14168384</x:v>
      </x:c>
      <x:c r="K314" s="38" t="n">
        <x:v>1.4570884799999995</x:v>
      </x:c>
      <x:c r="L314" s="28" t="n">
        <x:v>0.35181064907165865</x:v>
      </x:c>
    </x:row>
    <x:row r="315">
      <x:c r="A315" s="32" t="n">
        <x:v>45748</x:v>
      </x:c>
      <x:c r="B315" t="str">
        <x:v>Apr 2025</x:v>
      </x:c>
      <x:c r="C315" t="str">
        <x:v>Actual</x:v>
      </x:c>
      <x:c r="D315" t="str">
        <x:v>DB-105</x:v>
      </x:c>
      <x:c r="E315" t="str">
        <x:v>DreamFuel Refill Pack</x:v>
      </x:c>
      <x:c r="F315" t="str">
        <x:v>Amazon Marketplace</x:v>
      </x:c>
      <x:c r="G315" t="str">
        <x:v>Marketplace Consumer</x:v>
      </x:c>
      <x:c r="H315" t="str">
        <x:v>US East</x:v>
      </x:c>
      <x:c r="I315" s="34" t="n">
        <x:v>105.92</x:v>
      </x:c>
      <x:c r="J315" s="38" t="n">
        <x:v>5.52224512</x:v>
      </x:c>
      <x:c r="K315" s="38" t="n">
        <x:v>1.9427846399999993</x:v>
      </x:c>
      <x:c r="L315" s="28" t="n">
        <x:v>0.3518106490716586</x:v>
      </x:c>
    </x:row>
    <x:row r="316">
      <x:c r="A316" s="32" t="n">
        <x:v>45748</x:v>
      </x:c>
      <x:c r="B316" t="str">
        <x:v>Apr 2025</x:v>
      </x:c>
      <x:c r="C316" t="str">
        <x:v>Actual</x:v>
      </x:c>
      <x:c r="D316" t="str">
        <x:v>DB-105</x:v>
      </x:c>
      <x:c r="E316" t="str">
        <x:v>DreamFuel Refill Pack</x:v>
      </x:c>
      <x:c r="F316" t="str">
        <x:v>Amazon Marketplace</x:v>
      </x:c>
      <x:c r="G316" t="str">
        <x:v>Marketplace Consumer</x:v>
      </x:c>
      <x:c r="H316" t="str">
        <x:v>Canada</x:v>
      </x:c>
      <x:c r="I316" s="34" t="n">
        <x:v>33.1</x:v>
      </x:c>
      <x:c r="J316" s="38" t="n">
        <x:v>1.7257016</x:v>
      </x:c>
      <x:c r="K316" s="38" t="n">
        <x:v>0.6071201999999998</x:v>
      </x:c>
      <x:c r="L316" s="28" t="n">
        <x:v>0.3518106490716586</x:v>
      </x:c>
    </x:row>
    <x:row r="317">
      <x:c r="A317" s="32" t="n">
        <x:v>45748</x:v>
      </x:c>
      <x:c r="B317" t="str">
        <x:v>Apr 2025</x:v>
      </x:c>
      <x:c r="C317" t="str">
        <x:v>Actual</x:v>
      </x:c>
      <x:c r="D317" t="str">
        <x:v>DB-105</x:v>
      </x:c>
      <x:c r="E317" t="str">
        <x:v>DreamFuel Refill Pack</x:v>
      </x:c>
      <x:c r="F317" t="str">
        <x:v>Wholesale</x:v>
      </x:c>
      <x:c r="G317" t="str">
        <x:v>Retailer</x:v>
      </x:c>
      <x:c r="H317" t="str">
        <x:v>US West</x:v>
      </x:c>
      <x:c r="I317" s="34" t="n">
        <x:v>31.28</x:v>
      </x:c>
      <x:c r="J317" s="38" t="n">
        <x:v>1.1158201600000002</x:v>
      </x:c>
      <x:c r="K317" s="38" t="n">
        <x:v>0.4347419520000001</x:v>
      </x:c>
      <x:c r="L317" s="28" t="n">
        <x:v>0.3896165059430366</x:v>
      </x:c>
    </x:row>
    <x:row r="318">
      <x:c r="A318" s="32" t="n">
        <x:v>45748</x:v>
      </x:c>
      <x:c r="B318" t="str">
        <x:v>Apr 2025</x:v>
      </x:c>
      <x:c r="C318" t="str">
        <x:v>Actual</x:v>
      </x:c>
      <x:c r="D318" t="str">
        <x:v>DB-105</x:v>
      </x:c>
      <x:c r="E318" t="str">
        <x:v>DreamFuel Refill Pack</x:v>
      </x:c>
      <x:c r="F318" t="str">
        <x:v>Wholesale</x:v>
      </x:c>
      <x:c r="G318" t="str">
        <x:v>Retailer</x:v>
      </x:c>
      <x:c r="H318" t="str">
        <x:v>US Central</x:v>
      </x:c>
      <x:c r="I318" s="34" t="n">
        <x:v>22.08</x:v>
      </x:c>
      <x:c r="J318" s="38" t="n">
        <x:v>0.7876377600000001</x:v>
      </x:c>
      <x:c r="K318" s="38" t="n">
        <x:v>0.306876672</x:v>
      </x:c>
      <x:c r="L318" s="28" t="n">
        <x:v>0.38961650594303654</x:v>
      </x:c>
    </x:row>
    <x:row r="319">
      <x:c r="A319" s="32" t="n">
        <x:v>45748</x:v>
      </x:c>
      <x:c r="B319" t="str">
        <x:v>Apr 2025</x:v>
      </x:c>
      <x:c r="C319" t="str">
        <x:v>Actual</x:v>
      </x:c>
      <x:c r="D319" t="str">
        <x:v>DB-105</x:v>
      </x:c>
      <x:c r="E319" t="str">
        <x:v>DreamFuel Refill Pack</x:v>
      </x:c>
      <x:c r="F319" t="str">
        <x:v>Wholesale</x:v>
      </x:c>
      <x:c r="G319" t="str">
        <x:v>Retailer</x:v>
      </x:c>
      <x:c r="H319" t="str">
        <x:v>US East</x:v>
      </x:c>
      <x:c r="I319" s="34" t="n">
        <x:v>29.44</x:v>
      </x:c>
      <x:c r="J319" s="38" t="n">
        <x:v>1.0501836800000002</x:v>
      </x:c>
      <x:c r="K319" s="38" t="n">
        <x:v>0.40916889600000006</x:v>
      </x:c>
      <x:c r="L319" s="28" t="n">
        <x:v>0.38961650594303654</x:v>
      </x:c>
    </x:row>
    <x:row r="320">
      <x:c r="A320" s="32" t="n">
        <x:v>45748</x:v>
      </x:c>
      <x:c r="B320" t="str">
        <x:v>Apr 2025</x:v>
      </x:c>
      <x:c r="C320" t="str">
        <x:v>Actual</x:v>
      </x:c>
      <x:c r="D320" t="str">
        <x:v>DB-105</x:v>
      </x:c>
      <x:c r="E320" t="str">
        <x:v>DreamFuel Refill Pack</x:v>
      </x:c>
      <x:c r="F320" t="str">
        <x:v>Wholesale</x:v>
      </x:c>
      <x:c r="G320" t="str">
        <x:v>Retailer</x:v>
      </x:c>
      <x:c r="H320" t="str">
        <x:v>Canada</x:v>
      </x:c>
      <x:c r="I320" s="34" t="n">
        <x:v>9.200000000000001</x:v>
      </x:c>
      <x:c r="J320" s="38" t="n">
        <x:v>0.32818240000000004</x:v>
      </x:c>
      <x:c r="K320" s="38" t="n">
        <x:v>0.12786528000000003</x:v>
      </x:c>
      <x:c r="L320" s="28" t="n">
        <x:v>0.3896165059430366</x:v>
      </x:c>
    </x:row>
    <x:row r="321">
      <x:c r="A321" s="32" t="n">
        <x:v>45748</x:v>
      </x:c>
      <x:c r="B321" t="str">
        <x:v>Apr 2025</x:v>
      </x:c>
      <x:c r="C321" t="str">
        <x:v>Actual</x:v>
      </x:c>
      <x:c r="D321" t="str">
        <x:v>DB-105</x:v>
      </x:c>
      <x:c r="E321" t="str">
        <x:v>DreamFuel Refill Pack</x:v>
      </x:c>
      <x:c r="F321" t="str">
        <x:v>TikTok Shop</x:v>
      </x:c>
      <x:c r="G321" t="str">
        <x:v>Social Commerce</x:v>
      </x:c>
      <x:c r="H321" t="str">
        <x:v>US West</x:v>
      </x:c>
      <x:c r="I321" s="34" t="n">
        <x:v>48.28</x:v>
      </x:c>
      <x:c r="J321" s="38" t="n">
        <x:v>2.331653632</x:v>
      </x:c>
      <x:c r="K321" s="38" t="n">
        <x:v>0.8942710507520001</x:v>
      </x:c>
      <x:c r="L321" s="28" t="n">
        <x:v>0.3835351179432812</x:v>
      </x:c>
    </x:row>
    <x:row r="322">
      <x:c r="A322" s="32" t="n">
        <x:v>45748</x:v>
      </x:c>
      <x:c r="B322" t="str">
        <x:v>Apr 2025</x:v>
      </x:c>
      <x:c r="C322" t="str">
        <x:v>Actual</x:v>
      </x:c>
      <x:c r="D322" t="str">
        <x:v>DB-105</x:v>
      </x:c>
      <x:c r="E322" t="str">
        <x:v>DreamFuel Refill Pack</x:v>
      </x:c>
      <x:c r="F322" t="str">
        <x:v>TikTok Shop</x:v>
      </x:c>
      <x:c r="G322" t="str">
        <x:v>Social Commerce</x:v>
      </x:c>
      <x:c r="H322" t="str">
        <x:v>US Central</x:v>
      </x:c>
      <x:c r="I322" s="34" t="n">
        <x:v>34.08</x:v>
      </x:c>
      <x:c r="J322" s="38" t="n">
        <x:v>1.6458731519999998</x:v>
      </x:c>
      <x:c r="K322" s="38" t="n">
        <x:v>0.631250153472</x:v>
      </x:c>
      <x:c r="L322" s="28" t="n">
        <x:v>0.3835351179432812</x:v>
      </x:c>
    </x:row>
    <x:row r="323">
      <x:c r="A323" s="32" t="n">
        <x:v>45748</x:v>
      </x:c>
      <x:c r="B323" t="str">
        <x:v>Apr 2025</x:v>
      </x:c>
      <x:c r="C323" t="str">
        <x:v>Actual</x:v>
      </x:c>
      <x:c r="D323" t="str">
        <x:v>DB-105</x:v>
      </x:c>
      <x:c r="E323" t="str">
        <x:v>DreamFuel Refill Pack</x:v>
      </x:c>
      <x:c r="F323" t="str">
        <x:v>TikTok Shop</x:v>
      </x:c>
      <x:c r="G323" t="str">
        <x:v>Social Commerce</x:v>
      </x:c>
      <x:c r="H323" t="str">
        <x:v>US East</x:v>
      </x:c>
      <x:c r="I323" s="34" t="n">
        <x:v>45.44</x:v>
      </x:c>
      <x:c r="J323" s="38" t="n">
        <x:v>2.1944975359999996</x:v>
      </x:c>
      <x:c r="K323" s="38" t="n">
        <x:v>0.841666871296</x:v>
      </x:c>
      <x:c r="L323" s="28" t="n">
        <x:v>0.38353511794328127</x:v>
      </x:c>
    </x:row>
    <x:row r="324">
      <x:c r="A324" s="32" t="n">
        <x:v>45748</x:v>
      </x:c>
      <x:c r="B324" t="str">
        <x:v>Apr 2025</x:v>
      </x:c>
      <x:c r="C324" t="str">
        <x:v>Actual</x:v>
      </x:c>
      <x:c r="D324" t="str">
        <x:v>DB-105</x:v>
      </x:c>
      <x:c r="E324" t="str">
        <x:v>DreamFuel Refill Pack</x:v>
      </x:c>
      <x:c r="F324" t="str">
        <x:v>TikTok Shop</x:v>
      </x:c>
      <x:c r="G324" t="str">
        <x:v>Social Commerce</x:v>
      </x:c>
      <x:c r="H324" t="str">
        <x:v>Canada</x:v>
      </x:c>
      <x:c r="I324" s="34" t="n">
        <x:v>14.200000000000001</x:v>
      </x:c>
      <x:c r="J324" s="38" t="n">
        <x:v>0.68578048</x:v>
      </x:c>
      <x:c r="K324" s="38" t="n">
        <x:v>0.26302089728000005</x:v>
      </x:c>
      <x:c r="L324" s="28" t="n">
        <x:v>0.38353511794328127</x:v>
      </x:c>
    </x:row>
    <x:row r="325">
      <x:c r="A325" s="32" t="n">
        <x:v>45778</x:v>
      </x:c>
      <x:c r="B325" t="str">
        <x:v>May 2025</x:v>
      </x:c>
      <x:c r="C325" t="str">
        <x:v>Actual</x:v>
      </x:c>
      <x:c r="D325" t="str">
        <x:v>DB-101</x:v>
      </x:c>
      <x:c r="E325" t="str">
        <x:v>AeroSip Bottle</x:v>
      </x:c>
      <x:c r="F325" t="str">
        <x:v>Shopify DTC</x:v>
      </x:c>
      <x:c r="G325" t="str">
        <x:v>Consumer</x:v>
      </x:c>
      <x:c r="H325" t="str">
        <x:v>US West</x:v>
      </x:c>
      <x:c r="I325" s="34" t="n">
        <x:v>246.84000000000003</x:v>
      </x:c>
      <x:c r="J325" s="38" t="n">
        <x:v>6.289335095999999</x:v>
      </x:c>
      <x:c r="K325" s="38" t="n">
        <x:v>2.000514138216</x:v>
      </x:c>
      <x:c r="L325" s="28" t="n">
        <x:v>0.31808038650831655</x:v>
      </x:c>
    </x:row>
    <x:row r="326">
      <x:c r="A326" s="32" t="n">
        <x:v>45778</x:v>
      </x:c>
      <x:c r="B326" t="str">
        <x:v>May 2025</x:v>
      </x:c>
      <x:c r="C326" t="str">
        <x:v>Actual</x:v>
      </x:c>
      <x:c r="D326" t="str">
        <x:v>DB-101</x:v>
      </x:c>
      <x:c r="E326" t="str">
        <x:v>AeroSip Bottle</x:v>
      </x:c>
      <x:c r="F326" t="str">
        <x:v>Shopify DTC</x:v>
      </x:c>
      <x:c r="G326" t="str">
        <x:v>Consumer</x:v>
      </x:c>
      <x:c r="H326" t="str">
        <x:v>US Central</x:v>
      </x:c>
      <x:c r="I326" s="34" t="n">
        <x:v>174.23999999999998</x:v>
      </x:c>
      <x:c r="J326" s="38" t="n">
        <x:v>4.439530656</x:v>
      </x:c>
      <x:c r="K326" s="38" t="n">
        <x:v>1.412127626976</x:v>
      </x:c>
      <x:c r="L326" s="28" t="n">
        <x:v>0.31808038650831655</x:v>
      </x:c>
    </x:row>
    <x:row r="327">
      <x:c r="A327" s="32" t="n">
        <x:v>45778</x:v>
      </x:c>
      <x:c r="B327" t="str">
        <x:v>May 2025</x:v>
      </x:c>
      <x:c r="C327" t="str">
        <x:v>Actual</x:v>
      </x:c>
      <x:c r="D327" t="str">
        <x:v>DB-101</x:v>
      </x:c>
      <x:c r="E327" t="str">
        <x:v>AeroSip Bottle</x:v>
      </x:c>
      <x:c r="F327" t="str">
        <x:v>Shopify DTC</x:v>
      </x:c>
      <x:c r="G327" t="str">
        <x:v>Consumer</x:v>
      </x:c>
      <x:c r="H327" t="str">
        <x:v>US East</x:v>
      </x:c>
      <x:c r="I327" s="34" t="n">
        <x:v>232.32</x:v>
      </x:c>
      <x:c r="J327" s="38" t="n">
        <x:v>5.919374208</x:v>
      </x:c>
      <x:c r="K327" s="38" t="n">
        <x:v>1.8828368359679999</x:v>
      </x:c>
      <x:c r="L327" s="28" t="n">
        <x:v>0.3180803865083165</x:v>
      </x:c>
    </x:row>
    <x:row r="328">
      <x:c r="A328" s="32" t="n">
        <x:v>45778</x:v>
      </x:c>
      <x:c r="B328" t="str">
        <x:v>May 2025</x:v>
      </x:c>
      <x:c r="C328" t="str">
        <x:v>Actual</x:v>
      </x:c>
      <x:c r="D328" t="str">
        <x:v>DB-101</x:v>
      </x:c>
      <x:c r="E328" t="str">
        <x:v>AeroSip Bottle</x:v>
      </x:c>
      <x:c r="F328" t="str">
        <x:v>Shopify DTC</x:v>
      </x:c>
      <x:c r="G328" t="str">
        <x:v>Consumer</x:v>
      </x:c>
      <x:c r="H328" t="str">
        <x:v>Canada</x:v>
      </x:c>
      <x:c r="I328" s="34" t="n">
        <x:v>72.60000000000001</x:v>
      </x:c>
      <x:c r="J328" s="38" t="n">
        <x:v>1.8498044399999998</x:v>
      </x:c>
      <x:c r="K328" s="38" t="n">
        <x:v>0.58838651124</x:v>
      </x:c>
      <x:c r="L328" s="28" t="n">
        <x:v>0.31808038650831655</x:v>
      </x:c>
    </x:row>
    <x:row r="329">
      <x:c r="A329" s="32" t="n">
        <x:v>45778</x:v>
      </x:c>
      <x:c r="B329" t="str">
        <x:v>May 2025</x:v>
      </x:c>
      <x:c r="C329" t="str">
        <x:v>Actual</x:v>
      </x:c>
      <x:c r="D329" t="str">
        <x:v>DB-101</x:v>
      </x:c>
      <x:c r="E329" t="str">
        <x:v>AeroSip Bottle</x:v>
      </x:c>
      <x:c r="F329" t="str">
        <x:v>Amazon Marketplace</x:v>
      </x:c>
      <x:c r="G329" t="str">
        <x:v>Marketplace Consumer</x:v>
      </x:c>
      <x:c r="H329" t="str">
        <x:v>US West</x:v>
      </x:c>
      <x:c r="I329" s="34" t="n">
        <x:v>145.52</x:v>
      </x:c>
      <x:c r="J329" s="38" t="n">
        <x:v>3.8286675800000003</x:v>
      </x:c>
      <x:c r="K329" s="38" t="n">
        <x:v>0.6079407229999998</x:v>
      </x:c>
      <x:c r="L329" s="28" t="n">
        <x:v>0.15878649955815693</x:v>
      </x:c>
    </x:row>
    <x:row r="330">
      <x:c r="A330" s="32" t="n">
        <x:v>45778</x:v>
      </x:c>
      <x:c r="B330" t="str">
        <x:v>May 2025</x:v>
      </x:c>
      <x:c r="C330" t="str">
        <x:v>Actual</x:v>
      </x:c>
      <x:c r="D330" t="str">
        <x:v>DB-101</x:v>
      </x:c>
      <x:c r="E330" t="str">
        <x:v>AeroSip Bottle</x:v>
      </x:c>
      <x:c r="F330" t="str">
        <x:v>Amazon Marketplace</x:v>
      </x:c>
      <x:c r="G330" t="str">
        <x:v>Marketplace Consumer</x:v>
      </x:c>
      <x:c r="H330" t="str">
        <x:v>US Central</x:v>
      </x:c>
      <x:c r="I330" s="34" t="n">
        <x:v>102.72</x:v>
      </x:c>
      <x:c r="J330" s="38" t="n">
        <x:v>2.70258888</x:v>
      </x:c>
      <x:c r="K330" s="38" t="n">
        <x:v>0.4291346279999998</x:v>
      </x:c>
      <x:c r="L330" s="28" t="n">
        <x:v>0.1587864995581569</x:v>
      </x:c>
    </x:row>
    <x:row r="331">
      <x:c r="A331" s="32" t="n">
        <x:v>45778</x:v>
      </x:c>
      <x:c r="B331" t="str">
        <x:v>May 2025</x:v>
      </x:c>
      <x:c r="C331" t="str">
        <x:v>Actual</x:v>
      </x:c>
      <x:c r="D331" t="str">
        <x:v>DB-101</x:v>
      </x:c>
      <x:c r="E331" t="str">
        <x:v>AeroSip Bottle</x:v>
      </x:c>
      <x:c r="F331" t="str">
        <x:v>Amazon Marketplace</x:v>
      </x:c>
      <x:c r="G331" t="str">
        <x:v>Marketplace Consumer</x:v>
      </x:c>
      <x:c r="H331" t="str">
        <x:v>US East</x:v>
      </x:c>
      <x:c r="I331" s="34" t="n">
        <x:v>136.96</x:v>
      </x:c>
      <x:c r="J331" s="38" t="n">
        <x:v>3.6034518400000004</x:v>
      </x:c>
      <x:c r="K331" s="38" t="n">
        <x:v>0.5721795039999998</x:v>
      </x:c>
      <x:c r="L331" s="28" t="n">
        <x:v>0.15878649955815693</x:v>
      </x:c>
    </x:row>
    <x:row r="332">
      <x:c r="A332" s="32" t="n">
        <x:v>45778</x:v>
      </x:c>
      <x:c r="B332" t="str">
        <x:v>May 2025</x:v>
      </x:c>
      <x:c r="C332" t="str">
        <x:v>Actual</x:v>
      </x:c>
      <x:c r="D332" t="str">
        <x:v>DB-101</x:v>
      </x:c>
      <x:c r="E332" t="str">
        <x:v>AeroSip Bottle</x:v>
      </x:c>
      <x:c r="F332" t="str">
        <x:v>Amazon Marketplace</x:v>
      </x:c>
      <x:c r="G332" t="str">
        <x:v>Marketplace Consumer</x:v>
      </x:c>
      <x:c r="H332" t="str">
        <x:v>Canada</x:v>
      </x:c>
      <x:c r="I332" s="34" t="n">
        <x:v>42.800000000000004</x:v>
      </x:c>
      <x:c r="J332" s="38" t="n">
        <x:v>1.1260787</x:v>
      </x:c>
      <x:c r="K332" s="38" t="n">
        <x:v>0.17880609499999994</x:v>
      </x:c>
      <x:c r="L332" s="28" t="n">
        <x:v>0.15878649955815693</x:v>
      </x:c>
    </x:row>
    <x:row r="333">
      <x:c r="A333" s="32" t="n">
        <x:v>45778</x:v>
      </x:c>
      <x:c r="B333" t="str">
        <x:v>May 2025</x:v>
      </x:c>
      <x:c r="C333" t="str">
        <x:v>Actual</x:v>
      </x:c>
      <x:c r="D333" t="str">
        <x:v>DB-101</x:v>
      </x:c>
      <x:c r="E333" t="str">
        <x:v>AeroSip Bottle</x:v>
      </x:c>
      <x:c r="F333" t="str">
        <x:v>Wholesale</x:v>
      </x:c>
      <x:c r="G333" t="str">
        <x:v>Retailer</x:v>
      </x:c>
      <x:c r="H333" t="str">
        <x:v>US West</x:v>
      </x:c>
      <x:c r="I333" s="34" t="n">
        <x:v>40.800000000000004</x:v>
      </x:c>
      <x:c r="J333" s="38" t="n">
        <x:v>0.7344714000000001</x:v>
      </x:c>
      <x:c r="K333" s="38" t="n">
        <x:v>0.16384260000000006</x:v>
      </x:c>
      <x:c r="L333" s="28" t="n">
        <x:v>0.22307553432305197</x:v>
      </x:c>
    </x:row>
    <x:row r="334">
      <x:c r="A334" s="32" t="n">
        <x:v>45778</x:v>
      </x:c>
      <x:c r="B334" t="str">
        <x:v>May 2025</x:v>
      </x:c>
      <x:c r="C334" t="str">
        <x:v>Actual</x:v>
      </x:c>
      <x:c r="D334" t="str">
        <x:v>DB-101</x:v>
      </x:c>
      <x:c r="E334" t="str">
        <x:v>AeroSip Bottle</x:v>
      </x:c>
      <x:c r="F334" t="str">
        <x:v>Wholesale</x:v>
      </x:c>
      <x:c r="G334" t="str">
        <x:v>Retailer</x:v>
      </x:c>
      <x:c r="H334" t="str">
        <x:v>US Central</x:v>
      </x:c>
      <x:c r="I334" s="34" t="n">
        <x:v>28.799999999999997</x:v>
      </x:c>
      <x:c r="J334" s="38" t="n">
        <x:v>0.5184504</x:v>
      </x:c>
      <x:c r="K334" s="38" t="n">
        <x:v>0.11565360000000004</x:v>
      </x:c>
      <x:c r="L334" s="28" t="n">
        <x:v>0.223075534323052</x:v>
      </x:c>
    </x:row>
    <x:row r="335">
      <x:c r="A335" s="32" t="n">
        <x:v>45778</x:v>
      </x:c>
      <x:c r="B335" t="str">
        <x:v>May 2025</x:v>
      </x:c>
      <x:c r="C335" t="str">
        <x:v>Actual</x:v>
      </x:c>
      <x:c r="D335" t="str">
        <x:v>DB-101</x:v>
      </x:c>
      <x:c r="E335" t="str">
        <x:v>AeroSip Bottle</x:v>
      </x:c>
      <x:c r="F335" t="str">
        <x:v>Wholesale</x:v>
      </x:c>
      <x:c r="G335" t="str">
        <x:v>Retailer</x:v>
      </x:c>
      <x:c r="H335" t="str">
        <x:v>US East</x:v>
      </x:c>
      <x:c r="I335" s="34" t="n">
        <x:v>38.4</x:v>
      </x:c>
      <x:c r="J335" s="38" t="n">
        <x:v>0.6912672000000001</x:v>
      </x:c>
      <x:c r="K335" s="38" t="n">
        <x:v>0.15420480000000006</x:v>
      </x:c>
      <x:c r="L335" s="28" t="n">
        <x:v>0.223075534323052</x:v>
      </x:c>
    </x:row>
    <x:row r="336">
      <x:c r="A336" s="32" t="n">
        <x:v>45778</x:v>
      </x:c>
      <x:c r="B336" t="str">
        <x:v>May 2025</x:v>
      </x:c>
      <x:c r="C336" t="str">
        <x:v>Actual</x:v>
      </x:c>
      <x:c r="D336" t="str">
        <x:v>DB-101</x:v>
      </x:c>
      <x:c r="E336" t="str">
        <x:v>AeroSip Bottle</x:v>
      </x:c>
      <x:c r="F336" t="str">
        <x:v>Wholesale</x:v>
      </x:c>
      <x:c r="G336" t="str">
        <x:v>Retailer</x:v>
      </x:c>
      <x:c r="H336" t="str">
        <x:v>Canada</x:v>
      </x:c>
      <x:c r="I336" s="34" t="n">
        <x:v>12</x:v>
      </x:c>
      <x:c r="J336" s="38" t="n">
        <x:v>0.21602100000000002</x:v>
      </x:c>
      <x:c r="K336" s="38" t="n">
        <x:v>0.04818900000000002</x:v>
      </x:c>
      <x:c r="L336" s="28" t="n">
        <x:v>0.223075534323052</x:v>
      </x:c>
    </x:row>
    <x:row r="337">
      <x:c r="A337" s="32" t="n">
        <x:v>45778</x:v>
      </x:c>
      <x:c r="B337" t="str">
        <x:v>May 2025</x:v>
      </x:c>
      <x:c r="C337" t="str">
        <x:v>Actual</x:v>
      </x:c>
      <x:c r="D337" t="str">
        <x:v>DB-101</x:v>
      </x:c>
      <x:c r="E337" t="str">
        <x:v>AeroSip Bottle</x:v>
      </x:c>
      <x:c r="F337" t="str">
        <x:v>TikTok Shop</x:v>
      </x:c>
      <x:c r="G337" t="str">
        <x:v>Social Commerce</x:v>
      </x:c>
      <x:c r="H337" t="str">
        <x:v>US West</x:v>
      </x:c>
      <x:c r="I337" s="34" t="n">
        <x:v>62.220000000000006</x:v>
      </x:c>
      <x:c r="J337" s="38" t="n">
        <x:v>1.5164009520000001</x:v>
      </x:c>
      <x:c r="K337" s="38" t="n">
        <x:v>0.281018347272</x:v>
      </x:c>
      <x:c r="L337" s="28" t="n">
        <x:v>0.1853192896650199</x:v>
      </x:c>
    </x:row>
    <x:row r="338">
      <x:c r="A338" s="32" t="n">
        <x:v>45778</x:v>
      </x:c>
      <x:c r="B338" t="str">
        <x:v>May 2025</x:v>
      </x:c>
      <x:c r="C338" t="str">
        <x:v>Actual</x:v>
      </x:c>
      <x:c r="D338" t="str">
        <x:v>DB-101</x:v>
      </x:c>
      <x:c r="E338" t="str">
        <x:v>AeroSip Bottle</x:v>
      </x:c>
      <x:c r="F338" t="str">
        <x:v>TikTok Shop</x:v>
      </x:c>
      <x:c r="G338" t="str">
        <x:v>Social Commerce</x:v>
      </x:c>
      <x:c r="H338" t="str">
        <x:v>US Central</x:v>
      </x:c>
      <x:c r="I338" s="34" t="n">
        <x:v>43.92</x:v>
      </x:c>
      <x:c r="J338" s="38" t="n">
        <x:v>1.0704006719999999</x:v>
      </x:c>
      <x:c r="K338" s="38" t="n">
        <x:v>0.19836589219199996</x:v>
      </x:c>
      <x:c r="L338" s="28" t="n">
        <x:v>0.18531928966501993</x:v>
      </x:c>
    </x:row>
    <x:row r="339">
      <x:c r="A339" s="32" t="n">
        <x:v>45778</x:v>
      </x:c>
      <x:c r="B339" t="str">
        <x:v>May 2025</x:v>
      </x:c>
      <x:c r="C339" t="str">
        <x:v>Actual</x:v>
      </x:c>
      <x:c r="D339" t="str">
        <x:v>DB-101</x:v>
      </x:c>
      <x:c r="E339" t="str">
        <x:v>AeroSip Bottle</x:v>
      </x:c>
      <x:c r="F339" t="str">
        <x:v>TikTok Shop</x:v>
      </x:c>
      <x:c r="G339" t="str">
        <x:v>Social Commerce</x:v>
      </x:c>
      <x:c r="H339" t="str">
        <x:v>US East</x:v>
      </x:c>
      <x:c r="I339" s="34" t="n">
        <x:v>58.56</x:v>
      </x:c>
      <x:c r="J339" s="38" t="n">
        <x:v>1.427200896</x:v>
      </x:c>
      <x:c r="K339" s="38" t="n">
        <x:v>0.26448785625599996</x:v>
      </x:c>
      <x:c r="L339" s="28" t="n">
        <x:v>0.18531928966501993</x:v>
      </x:c>
    </x:row>
    <x:row r="340">
      <x:c r="A340" s="32" t="n">
        <x:v>45778</x:v>
      </x:c>
      <x:c r="B340" t="str">
        <x:v>May 2025</x:v>
      </x:c>
      <x:c r="C340" t="str">
        <x:v>Actual</x:v>
      </x:c>
      <x:c r="D340" t="str">
        <x:v>DB-101</x:v>
      </x:c>
      <x:c r="E340" t="str">
        <x:v>AeroSip Bottle</x:v>
      </x:c>
      <x:c r="F340" t="str">
        <x:v>TikTok Shop</x:v>
      </x:c>
      <x:c r="G340" t="str">
        <x:v>Social Commerce</x:v>
      </x:c>
      <x:c r="H340" t="str">
        <x:v>Canada</x:v>
      </x:c>
      <x:c r="I340" s="34" t="n">
        <x:v>18.3</x:v>
      </x:c>
      <x:c r="J340" s="38" t="n">
        <x:v>0.44600028</x:v>
      </x:c>
      <x:c r="K340" s="38" t="n">
        <x:v>0.08265245507999999</x:v>
      </x:c>
      <x:c r="L340" s="28" t="n">
        <x:v>0.18531928966501993</x:v>
      </x:c>
    </x:row>
    <x:row r="341">
      <x:c r="A341" s="32" t="n">
        <x:v>45778</x:v>
      </x:c>
      <x:c r="B341" t="str">
        <x:v>May 2025</x:v>
      </x:c>
      <x:c r="C341" t="str">
        <x:v>Actual</x:v>
      </x:c>
      <x:c r="D341" t="str">
        <x:v>DB-102</x:v>
      </x:c>
      <x:c r="E341" t="str">
        <x:v>GlowPatch Balm</x:v>
      </x:c>
      <x:c r="F341" t="str">
        <x:v>Shopify DTC</x:v>
      </x:c>
      <x:c r="G341" t="str">
        <x:v>Consumer</x:v>
      </x:c>
      <x:c r="H341" t="str">
        <x:v>US West</x:v>
      </x:c>
      <x:c r="I341" s="34" t="n">
        <x:v>247.52</x:v>
      </x:c>
      <x:c r="J341" s="38" t="n">
        <x:v>3.99645792</x:v>
      </x:c>
      <x:c r="K341" s="38" t="n">
        <x:v>1.1043763203199997</x:v>
      </x:c>
      <x:c r="L341" s="28" t="n">
        <x:v>0.2763387835996531</x:v>
      </x:c>
    </x:row>
    <x:row r="342">
      <x:c r="A342" s="32" t="n">
        <x:v>45778</x:v>
      </x:c>
      <x:c r="B342" t="str">
        <x:v>May 2025</x:v>
      </x:c>
      <x:c r="C342" t="str">
        <x:v>Actual</x:v>
      </x:c>
      <x:c r="D342" t="str">
        <x:v>DB-102</x:v>
      </x:c>
      <x:c r="E342" t="str">
        <x:v>GlowPatch Balm</x:v>
      </x:c>
      <x:c r="F342" t="str">
        <x:v>Shopify DTC</x:v>
      </x:c>
      <x:c r="G342" t="str">
        <x:v>Consumer</x:v>
      </x:c>
      <x:c r="H342" t="str">
        <x:v>US Central</x:v>
      </x:c>
      <x:c r="I342" s="34" t="n">
        <x:v>174.72</x:v>
      </x:c>
      <x:c r="J342" s="38" t="n">
        <x:v>2.8210291199999995</x:v>
      </x:c>
      <x:c r="K342" s="38" t="n">
        <x:v>0.7795597555199997</x:v>
      </x:c>
      <x:c r="L342" s="28" t="n">
        <x:v>0.2763387835996531</x:v>
      </x:c>
    </x:row>
    <x:row r="343">
      <x:c r="A343" s="32" t="n">
        <x:v>45778</x:v>
      </x:c>
      <x:c r="B343" t="str">
        <x:v>May 2025</x:v>
      </x:c>
      <x:c r="C343" t="str">
        <x:v>Actual</x:v>
      </x:c>
      <x:c r="D343" t="str">
        <x:v>DB-102</x:v>
      </x:c>
      <x:c r="E343" t="str">
        <x:v>GlowPatch Balm</x:v>
      </x:c>
      <x:c r="F343" t="str">
        <x:v>Shopify DTC</x:v>
      </x:c>
      <x:c r="G343" t="str">
        <x:v>Consumer</x:v>
      </x:c>
      <x:c r="H343" t="str">
        <x:v>US East</x:v>
      </x:c>
      <x:c r="I343" s="34" t="n">
        <x:v>232.96</x:v>
      </x:c>
      <x:c r="J343" s="38" t="n">
        <x:v>3.7613721599999996</x:v>
      </x:c>
      <x:c r="K343" s="38" t="n">
        <x:v>1.0394130073599996</x:v>
      </x:c>
      <x:c r="L343" s="28" t="n">
        <x:v>0.2763387835996531</x:v>
      </x:c>
    </x:row>
    <x:row r="344">
      <x:c r="A344" s="32" t="n">
        <x:v>45778</x:v>
      </x:c>
      <x:c r="B344" t="str">
        <x:v>May 2025</x:v>
      </x:c>
      <x:c r="C344" t="str">
        <x:v>Actual</x:v>
      </x:c>
      <x:c r="D344" t="str">
        <x:v>DB-102</x:v>
      </x:c>
      <x:c r="E344" t="str">
        <x:v>GlowPatch Balm</x:v>
      </x:c>
      <x:c r="F344" t="str">
        <x:v>Shopify DTC</x:v>
      </x:c>
      <x:c r="G344" t="str">
        <x:v>Consumer</x:v>
      </x:c>
      <x:c r="H344" t="str">
        <x:v>Canada</x:v>
      </x:c>
      <x:c r="I344" s="34" t="n">
        <x:v>72.8</x:v>
      </x:c>
      <x:c r="J344" s="38" t="n">
        <x:v>1.1754288</x:v>
      </x:c>
      <x:c r="K344" s="38" t="n">
        <x:v>0.3248165647999999</x:v>
      </x:c>
      <x:c r="L344" s="28" t="n">
        <x:v>0.2763387835996531</x:v>
      </x:c>
    </x:row>
    <x:row r="345">
      <x:c r="A345" s="32" t="n">
        <x:v>45778</x:v>
      </x:c>
      <x:c r="B345" t="str">
        <x:v>May 2025</x:v>
      </x:c>
      <x:c r="C345" t="str">
        <x:v>Actual</x:v>
      </x:c>
      <x:c r="D345" t="str">
        <x:v>DB-102</x:v>
      </x:c>
      <x:c r="E345" t="str">
        <x:v>GlowPatch Balm</x:v>
      </x:c>
      <x:c r="F345" t="str">
        <x:v>Amazon Marketplace</x:v>
      </x:c>
      <x:c r="G345" t="str">
        <x:v>Marketplace Consumer</x:v>
      </x:c>
      <x:c r="H345" t="str">
        <x:v>US West</x:v>
      </x:c>
      <x:c r="I345" s="34" t="n">
        <x:v>146.20000000000002</x:v>
      </x:c>
      <x:c r="J345" s="38" t="n">
        <x:v>2.4375195</x:v>
      </x:c>
      <x:c r="K345" s="38" t="n">
        <x:v>0.20550237499999993</x:v>
      </x:c>
      <x:c r="L345" s="28" t="n">
        <x:v>0.08430799220272901</x:v>
      </x:c>
    </x:row>
    <x:row r="346">
      <x:c r="A346" s="32" t="n">
        <x:v>45778</x:v>
      </x:c>
      <x:c r="B346" t="str">
        <x:v>May 2025</x:v>
      </x:c>
      <x:c r="C346" t="str">
        <x:v>Actual</x:v>
      </x:c>
      <x:c r="D346" t="str">
        <x:v>DB-102</x:v>
      </x:c>
      <x:c r="E346" t="str">
        <x:v>GlowPatch Balm</x:v>
      </x:c>
      <x:c r="F346" t="str">
        <x:v>Amazon Marketplace</x:v>
      </x:c>
      <x:c r="G346" t="str">
        <x:v>Marketplace Consumer</x:v>
      </x:c>
      <x:c r="H346" t="str">
        <x:v>US Central</x:v>
      </x:c>
      <x:c r="I346" s="34" t="n">
        <x:v>103.2</x:v>
      </x:c>
      <x:c r="J346" s="38" t="n">
        <x:v>1.7206019999999997</x:v>
      </x:c>
      <x:c r="K346" s="38" t="n">
        <x:v>0.14506049999999995</x:v>
      </x:c>
      <x:c r="L346" s="28" t="n">
        <x:v>0.08430799220272903</x:v>
      </x:c>
    </x:row>
    <x:row r="347">
      <x:c r="A347" s="32" t="n">
        <x:v>45778</x:v>
      </x:c>
      <x:c r="B347" t="str">
        <x:v>May 2025</x:v>
      </x:c>
      <x:c r="C347" t="str">
        <x:v>Actual</x:v>
      </x:c>
      <x:c r="D347" t="str">
        <x:v>DB-102</x:v>
      </x:c>
      <x:c r="E347" t="str">
        <x:v>GlowPatch Balm</x:v>
      </x:c>
      <x:c r="F347" t="str">
        <x:v>Amazon Marketplace</x:v>
      </x:c>
      <x:c r="G347" t="str">
        <x:v>Marketplace Consumer</x:v>
      </x:c>
      <x:c r="H347" t="str">
        <x:v>US East</x:v>
      </x:c>
      <x:c r="I347" s="34" t="n">
        <x:v>137.6</x:v>
      </x:c>
      <x:c r="J347" s="38" t="n">
        <x:v>2.294136</x:v>
      </x:c>
      <x:c r="K347" s="38" t="n">
        <x:v>0.19341399999999995</x:v>
      </x:c>
      <x:c r="L347" s="28" t="n">
        <x:v>0.08430799220272903</x:v>
      </x:c>
    </x:row>
    <x:row r="348">
      <x:c r="A348" s="32" t="n">
        <x:v>45778</x:v>
      </x:c>
      <x:c r="B348" t="str">
        <x:v>May 2025</x:v>
      </x:c>
      <x:c r="C348" t="str">
        <x:v>Actual</x:v>
      </x:c>
      <x:c r="D348" t="str">
        <x:v>DB-102</x:v>
      </x:c>
      <x:c r="E348" t="str">
        <x:v>GlowPatch Balm</x:v>
      </x:c>
      <x:c r="F348" t="str">
        <x:v>Amazon Marketplace</x:v>
      </x:c>
      <x:c r="G348" t="str">
        <x:v>Marketplace Consumer</x:v>
      </x:c>
      <x:c r="H348" t="str">
        <x:v>Canada</x:v>
      </x:c>
      <x:c r="I348" s="34" t="n">
        <x:v>43</x:v>
      </x:c>
      <x:c r="J348" s="38" t="n">
        <x:v>0.7169175</x:v>
      </x:c>
      <x:c r="K348" s="38" t="n">
        <x:v>0.06044187499999998</x:v>
      </x:c>
      <x:c r="L348" s="28" t="n">
        <x:v>0.08430799220272901</x:v>
      </x:c>
    </x:row>
    <x:row r="349">
      <x:c r="A349" s="32" t="n">
        <x:v>45778</x:v>
      </x:c>
      <x:c r="B349" t="str">
        <x:v>May 2025</x:v>
      </x:c>
      <x:c r="C349" t="str">
        <x:v>Actual</x:v>
      </x:c>
      <x:c r="D349" t="str">
        <x:v>DB-102</x:v>
      </x:c>
      <x:c r="E349" t="str">
        <x:v>GlowPatch Balm</x:v>
      </x:c>
      <x:c r="F349" t="str">
        <x:v>Wholesale</x:v>
      </x:c>
      <x:c r="G349" t="str">
        <x:v>Retailer</x:v>
      </x:c>
      <x:c r="H349" t="str">
        <x:v>US West</x:v>
      </x:c>
      <x:c r="I349" s="34" t="n">
        <x:v>40.800000000000004</x:v>
      </x:c>
      <x:c r="J349" s="38" t="n">
        <x:v>0.4654260000000001</x:v>
      </x:c>
      <x:c r="K349" s="38" t="n">
        <x:v>0.11593320000000008</x:v>
      </x:c>
      <x:c r="L349" s="28" t="n">
        <x:v>0.24909051062897228</x:v>
      </x:c>
    </x:row>
    <x:row r="350">
      <x:c r="A350" s="32" t="n">
        <x:v>45778</x:v>
      </x:c>
      <x:c r="B350" t="str">
        <x:v>May 2025</x:v>
      </x:c>
      <x:c r="C350" t="str">
        <x:v>Actual</x:v>
      </x:c>
      <x:c r="D350" t="str">
        <x:v>DB-102</x:v>
      </x:c>
      <x:c r="E350" t="str">
        <x:v>GlowPatch Balm</x:v>
      </x:c>
      <x:c r="F350" t="str">
        <x:v>Wholesale</x:v>
      </x:c>
      <x:c r="G350" t="str">
        <x:v>Retailer</x:v>
      </x:c>
      <x:c r="H350" t="str">
        <x:v>US Central</x:v>
      </x:c>
      <x:c r="I350" s="34" t="n">
        <x:v>28.799999999999997</x:v>
      </x:c>
      <x:c r="J350" s="38" t="n">
        <x:v>0.32853600000000005</x:v>
      </x:c>
      <x:c r="K350" s="38" t="n">
        <x:v>0.08183520000000005</x:v>
      </x:c>
      <x:c r="L350" s="28" t="n">
        <x:v>0.24909051062897228</x:v>
      </x:c>
    </x:row>
    <x:row r="351">
      <x:c r="A351" s="32" t="n">
        <x:v>45778</x:v>
      </x:c>
      <x:c r="B351" t="str">
        <x:v>May 2025</x:v>
      </x:c>
      <x:c r="C351" t="str">
        <x:v>Actual</x:v>
      </x:c>
      <x:c r="D351" t="str">
        <x:v>DB-102</x:v>
      </x:c>
      <x:c r="E351" t="str">
        <x:v>GlowPatch Balm</x:v>
      </x:c>
      <x:c r="F351" t="str">
        <x:v>Wholesale</x:v>
      </x:c>
      <x:c r="G351" t="str">
        <x:v>Retailer</x:v>
      </x:c>
      <x:c r="H351" t="str">
        <x:v>US East</x:v>
      </x:c>
      <x:c r="I351" s="34" t="n">
        <x:v>38.4</x:v>
      </x:c>
      <x:c r="J351" s="38" t="n">
        <x:v>0.4380480000000001</x:v>
      </x:c>
      <x:c r="K351" s="38" t="n">
        <x:v>0.10911360000000007</x:v>
      </x:c>
      <x:c r="L351" s="28" t="n">
        <x:v>0.24909051062897228</x:v>
      </x:c>
    </x:row>
    <x:row r="352">
      <x:c r="A352" s="32" t="n">
        <x:v>45778</x:v>
      </x:c>
      <x:c r="B352" t="str">
        <x:v>May 2025</x:v>
      </x:c>
      <x:c r="C352" t="str">
        <x:v>Actual</x:v>
      </x:c>
      <x:c r="D352" t="str">
        <x:v>DB-102</x:v>
      </x:c>
      <x:c r="E352" t="str">
        <x:v>GlowPatch Balm</x:v>
      </x:c>
      <x:c r="F352" t="str">
        <x:v>Wholesale</x:v>
      </x:c>
      <x:c r="G352" t="str">
        <x:v>Retailer</x:v>
      </x:c>
      <x:c r="H352" t="str">
        <x:v>Canada</x:v>
      </x:c>
      <x:c r="I352" s="34" t="n">
        <x:v>12</x:v>
      </x:c>
      <x:c r="J352" s="38" t="n">
        <x:v>0.13689000000000004</x:v>
      </x:c>
      <x:c r="K352" s="38" t="n">
        <x:v>0.034098000000000024</x:v>
      </x:c>
      <x:c r="L352" s="28" t="n">
        <x:v>0.24909051062897228</x:v>
      </x:c>
    </x:row>
    <x:row r="353">
      <x:c r="A353" s="32" t="n">
        <x:v>45778</x:v>
      </x:c>
      <x:c r="B353" t="str">
        <x:v>May 2025</x:v>
      </x:c>
      <x:c r="C353" t="str">
        <x:v>Actual</x:v>
      </x:c>
      <x:c r="D353" t="str">
        <x:v>DB-102</x:v>
      </x:c>
      <x:c r="E353" t="str">
        <x:v>GlowPatch Balm</x:v>
      </x:c>
      <x:c r="F353" t="str">
        <x:v>TikTok Shop</x:v>
      </x:c>
      <x:c r="G353" t="str">
        <x:v>Social Commerce</x:v>
      </x:c>
      <x:c r="H353" t="str">
        <x:v>US West</x:v>
      </x:c>
      <x:c r="I353" s="34" t="n">
        <x:v>62.56</x:v>
      </x:c>
      <x:c r="J353" s="38" t="n">
        <x:v>0.96617664</x:v>
      </x:c>
      <x:c r="K353" s="38" t="n">
        <x:v>0.11282595903999984</x:v>
      </x:c>
      <x:c r="L353" s="28" t="n">
        <x:v>0.1167757057757056</x:v>
      </x:c>
    </x:row>
    <x:row r="354">
      <x:c r="A354" s="32" t="n">
        <x:v>45778</x:v>
      </x:c>
      <x:c r="B354" t="str">
        <x:v>May 2025</x:v>
      </x:c>
      <x:c r="C354" t="str">
        <x:v>Actual</x:v>
      </x:c>
      <x:c r="D354" t="str">
        <x:v>DB-102</x:v>
      </x:c>
      <x:c r="E354" t="str">
        <x:v>GlowPatch Balm</x:v>
      </x:c>
      <x:c r="F354" t="str">
        <x:v>TikTok Shop</x:v>
      </x:c>
      <x:c r="G354" t="str">
        <x:v>Social Commerce</x:v>
      </x:c>
      <x:c r="H354" t="str">
        <x:v>US Central</x:v>
      </x:c>
      <x:c r="I354" s="34" t="n">
        <x:v>44.16</x:v>
      </x:c>
      <x:c r="J354" s="38" t="n">
        <x:v>0.6820070399999999</x:v>
      </x:c>
      <x:c r="K354" s="38" t="n">
        <x:v>0.07964185343999988</x:v>
      </x:c>
      <x:c r="L354" s="28" t="n">
        <x:v>0.11677570577570562</x:v>
      </x:c>
    </x:row>
    <x:row r="355">
      <x:c r="A355" s="32" t="n">
        <x:v>45778</x:v>
      </x:c>
      <x:c r="B355" t="str">
        <x:v>May 2025</x:v>
      </x:c>
      <x:c r="C355" t="str">
        <x:v>Actual</x:v>
      </x:c>
      <x:c r="D355" t="str">
        <x:v>DB-102</x:v>
      </x:c>
      <x:c r="E355" t="str">
        <x:v>GlowPatch Balm</x:v>
      </x:c>
      <x:c r="F355" t="str">
        <x:v>TikTok Shop</x:v>
      </x:c>
      <x:c r="G355" t="str">
        <x:v>Social Commerce</x:v>
      </x:c>
      <x:c r="H355" t="str">
        <x:v>US East</x:v>
      </x:c>
      <x:c r="I355" s="34" t="n">
        <x:v>58.88</x:v>
      </x:c>
      <x:c r="J355" s="38" t="n">
        <x:v>0.9093427199999999</x:v>
      </x:c>
      <x:c r="K355" s="38" t="n">
        <x:v>0.10618913791999984</x:v>
      </x:c>
      <x:c r="L355" s="28" t="n">
        <x:v>0.1167757057757056</x:v>
      </x:c>
    </x:row>
    <x:row r="356">
      <x:c r="A356" s="32" t="n">
        <x:v>45778</x:v>
      </x:c>
      <x:c r="B356" t="str">
        <x:v>May 2025</x:v>
      </x:c>
      <x:c r="C356" t="str">
        <x:v>Actual</x:v>
      </x:c>
      <x:c r="D356" t="str">
        <x:v>DB-102</x:v>
      </x:c>
      <x:c r="E356" t="str">
        <x:v>GlowPatch Balm</x:v>
      </x:c>
      <x:c r="F356" t="str">
        <x:v>TikTok Shop</x:v>
      </x:c>
      <x:c r="G356" t="str">
        <x:v>Social Commerce</x:v>
      </x:c>
      <x:c r="H356" t="str">
        <x:v>Canada</x:v>
      </x:c>
      <x:c r="I356" s="34" t="n">
        <x:v>18.400000000000002</x:v>
      </x:c>
      <x:c r="J356" s="38" t="n">
        <x:v>0.28416959999999997</x:v>
      </x:c>
      <x:c r="K356" s="38" t="n">
        <x:v>0.03318410559999995</x:v>
      </x:c>
      <x:c r="L356" s="28" t="n">
        <x:v>0.11677570577570562</x:v>
      </x:c>
    </x:row>
    <x:row r="357">
      <x:c r="A357" s="32" t="n">
        <x:v>45778</x:v>
      </x:c>
      <x:c r="B357" t="str">
        <x:v>May 2025</x:v>
      </x:c>
      <x:c r="C357" t="str">
        <x:v>Actual</x:v>
      </x:c>
      <x:c r="D357" t="str">
        <x:v>DB-103</x:v>
      </x:c>
      <x:c r="E357" t="str">
        <x:v>EmberTrail Camp Mug</x:v>
      </x:c>
      <x:c r="F357" t="str">
        <x:v>Shopify DTC</x:v>
      </x:c>
      <x:c r="G357" t="str">
        <x:v>Consumer</x:v>
      </x:c>
      <x:c r="H357" t="str">
        <x:v>US West</x:v>
      </x:c>
      <x:c r="I357" s="34" t="n">
        <x:v>126.14000000000001</x:v>
      </x:c>
      <x:c r="J357" s="38" t="n">
        <x:v>3.7286479440000004</x:v>
      </x:c>
      <x:c r="K357" s="38" t="n">
        <x:v>1.1575075136240005</x:v>
      </x:c>
      <x:c r="L357" s="28" t="n">
        <x:v>0.31043625759482546</x:v>
      </x:c>
    </x:row>
    <x:row r="358">
      <x:c r="A358" s="32" t="n">
        <x:v>45778</x:v>
      </x:c>
      <x:c r="B358" t="str">
        <x:v>May 2025</x:v>
      </x:c>
      <x:c r="C358" t="str">
        <x:v>Actual</x:v>
      </x:c>
      <x:c r="D358" t="str">
        <x:v>DB-103</x:v>
      </x:c>
      <x:c r="E358" t="str">
        <x:v>EmberTrail Camp Mug</x:v>
      </x:c>
      <x:c r="F358" t="str">
        <x:v>Shopify DTC</x:v>
      </x:c>
      <x:c r="G358" t="str">
        <x:v>Consumer</x:v>
      </x:c>
      <x:c r="H358" t="str">
        <x:v>US Central</x:v>
      </x:c>
      <x:c r="I358" s="34" t="n">
        <x:v>89.03999999999999</x:v>
      </x:c>
      <x:c r="J358" s="38" t="n">
        <x:v>2.631986784</x:v>
      </x:c>
      <x:c r="K358" s="38" t="n">
        <x:v>0.8170641272640002</x:v>
      </x:c>
      <x:c r="L358" s="28" t="n">
        <x:v>0.31043625759482546</x:v>
      </x:c>
    </x:row>
    <x:row r="359">
      <x:c r="A359" s="32" t="n">
        <x:v>45778</x:v>
      </x:c>
      <x:c r="B359" t="str">
        <x:v>May 2025</x:v>
      </x:c>
      <x:c r="C359" t="str">
        <x:v>Actual</x:v>
      </x:c>
      <x:c r="D359" t="str">
        <x:v>DB-103</x:v>
      </x:c>
      <x:c r="E359" t="str">
        <x:v>EmberTrail Camp Mug</x:v>
      </x:c>
      <x:c r="F359" t="str">
        <x:v>Shopify DTC</x:v>
      </x:c>
      <x:c r="G359" t="str">
        <x:v>Consumer</x:v>
      </x:c>
      <x:c r="H359" t="str">
        <x:v>US East</x:v>
      </x:c>
      <x:c r="I359" s="34" t="n">
        <x:v>118.72</x:v>
      </x:c>
      <x:c r="J359" s="38" t="n">
        <x:v>3.5093157120000003</x:v>
      </x:c>
      <x:c r="K359" s="38" t="n">
        <x:v>1.0894188363520005</x:v>
      </x:c>
      <x:c r="L359" s="28" t="n">
        <x:v>0.3104362575948255</x:v>
      </x:c>
    </x:row>
    <x:row r="360">
      <x:c r="A360" s="32" t="n">
        <x:v>45778</x:v>
      </x:c>
      <x:c r="B360" t="str">
        <x:v>May 2025</x:v>
      </x:c>
      <x:c r="C360" t="str">
        <x:v>Actual</x:v>
      </x:c>
      <x:c r="D360" t="str">
        <x:v>DB-103</x:v>
      </x:c>
      <x:c r="E360" t="str">
        <x:v>EmberTrail Camp Mug</x:v>
      </x:c>
      <x:c r="F360" t="str">
        <x:v>Shopify DTC</x:v>
      </x:c>
      <x:c r="G360" t="str">
        <x:v>Consumer</x:v>
      </x:c>
      <x:c r="H360" t="str">
        <x:v>Canada</x:v>
      </x:c>
      <x:c r="I360" s="34" t="n">
        <x:v>37.1</x:v>
      </x:c>
      <x:c r="J360" s="38" t="n">
        <x:v>1.09666116</x:v>
      </x:c>
      <x:c r="K360" s="38" t="n">
        <x:v>0.34044338636000016</x:v>
      </x:c>
      <x:c r="L360" s="28" t="n">
        <x:v>0.3104362575948255</x:v>
      </x:c>
    </x:row>
    <x:row r="361">
      <x:c r="A361" s="32" t="n">
        <x:v>45778</x:v>
      </x:c>
      <x:c r="B361" t="str">
        <x:v>May 2025</x:v>
      </x:c>
      <x:c r="C361" t="str">
        <x:v>Actual</x:v>
      </x:c>
      <x:c r="D361" t="str">
        <x:v>DB-103</x:v>
      </x:c>
      <x:c r="E361" t="str">
        <x:v>EmberTrail Camp Mug</x:v>
      </x:c>
      <x:c r="F361" t="str">
        <x:v>Amazon Marketplace</x:v>
      </x:c>
      <x:c r="G361" t="str">
        <x:v>Marketplace Consumer</x:v>
      </x:c>
      <x:c r="H361" t="str">
        <x:v>US West</x:v>
      </x:c>
      <x:c r="I361" s="34" t="n">
        <x:v>74.46000000000001</x:v>
      </x:c>
      <x:c r="J361" s="38" t="n">
        <x:v>2.2727798100000003</x:v>
      </x:c>
      <x:c r="K361" s="38" t="n">
        <x:v>0.3625438785000002</x:v>
      </x:c>
      <x:c r="L361" s="28" t="n">
        <x:v>0.1595156191131424</x:v>
      </x:c>
    </x:row>
    <x:row r="362">
      <x:c r="A362" s="32" t="n">
        <x:v>45778</x:v>
      </x:c>
      <x:c r="B362" t="str">
        <x:v>May 2025</x:v>
      </x:c>
      <x:c r="C362" t="str">
        <x:v>Actual</x:v>
      </x:c>
      <x:c r="D362" t="str">
        <x:v>DB-103</x:v>
      </x:c>
      <x:c r="E362" t="str">
        <x:v>EmberTrail Camp Mug</x:v>
      </x:c>
      <x:c r="F362" t="str">
        <x:v>Amazon Marketplace</x:v>
      </x:c>
      <x:c r="G362" t="str">
        <x:v>Marketplace Consumer</x:v>
      </x:c>
      <x:c r="H362" t="str">
        <x:v>US Central</x:v>
      </x:c>
      <x:c r="I362" s="34" t="n">
        <x:v>52.559999999999995</x:v>
      </x:c>
      <x:c r="J362" s="38" t="n">
        <x:v>1.60431516</x:v>
      </x:c>
      <x:c r="K362" s="38" t="n">
        <x:v>0.2559133260000001</x:v>
      </x:c>
      <x:c r="L362" s="28" t="n">
        <x:v>0.15951561911314238</x:v>
      </x:c>
    </x:row>
    <x:row r="363">
      <x:c r="A363" s="32" t="n">
        <x:v>45778</x:v>
      </x:c>
      <x:c r="B363" t="str">
        <x:v>May 2025</x:v>
      </x:c>
      <x:c r="C363" t="str">
        <x:v>Actual</x:v>
      </x:c>
      <x:c r="D363" t="str">
        <x:v>DB-103</x:v>
      </x:c>
      <x:c r="E363" t="str">
        <x:v>EmberTrail Camp Mug</x:v>
      </x:c>
      <x:c r="F363" t="str">
        <x:v>Amazon Marketplace</x:v>
      </x:c>
      <x:c r="G363" t="str">
        <x:v>Marketplace Consumer</x:v>
      </x:c>
      <x:c r="H363" t="str">
        <x:v>US East</x:v>
      </x:c>
      <x:c r="I363" s="34" t="n">
        <x:v>70.08</x:v>
      </x:c>
      <x:c r="J363" s="38" t="n">
        <x:v>2.1390868800000002</x:v>
      </x:c>
      <x:c r="K363" s="38" t="n">
        <x:v>0.34121776800000014</x:v>
      </x:c>
      <x:c r="L363" s="28" t="n">
        <x:v>0.15951561911314238</x:v>
      </x:c>
    </x:row>
    <x:row r="364">
      <x:c r="A364" s="32" t="n">
        <x:v>45778</x:v>
      </x:c>
      <x:c r="B364" t="str">
        <x:v>May 2025</x:v>
      </x:c>
      <x:c r="C364" t="str">
        <x:v>Actual</x:v>
      </x:c>
      <x:c r="D364" t="str">
        <x:v>DB-103</x:v>
      </x:c>
      <x:c r="E364" t="str">
        <x:v>EmberTrail Camp Mug</x:v>
      </x:c>
      <x:c r="F364" t="str">
        <x:v>Amazon Marketplace</x:v>
      </x:c>
      <x:c r="G364" t="str">
        <x:v>Marketplace Consumer</x:v>
      </x:c>
      <x:c r="H364" t="str">
        <x:v>Canada</x:v>
      </x:c>
      <x:c r="I364" s="34" t="n">
        <x:v>21.900000000000002</x:v>
      </x:c>
      <x:c r="J364" s="38" t="n">
        <x:v>0.6684646500000001</x:v>
      </x:c>
      <x:c r="K364" s="38" t="n">
        <x:v>0.10663055250000004</x:v>
      </x:c>
      <x:c r="L364" s="28" t="n">
        <x:v>0.15951561911314238</x:v>
      </x:c>
    </x:row>
    <x:row r="365">
      <x:c r="A365" s="32" t="n">
        <x:v>45778</x:v>
      </x:c>
      <x:c r="B365" t="str">
        <x:v>May 2025</x:v>
      </x:c>
      <x:c r="C365" t="str">
        <x:v>Actual</x:v>
      </x:c>
      <x:c r="D365" t="str">
        <x:v>DB-103</x:v>
      </x:c>
      <x:c r="E365" t="str">
        <x:v>EmberTrail Camp Mug</x:v>
      </x:c>
      <x:c r="F365" t="str">
        <x:v>Wholesale</x:v>
      </x:c>
      <x:c r="G365" t="str">
        <x:v>Retailer</x:v>
      </x:c>
      <x:c r="H365" t="str">
        <x:v>US West</x:v>
      </x:c>
      <x:c r="I365" s="34" t="n">
        <x:v>20.400000000000002</x:v>
      </x:c>
      <x:c r="J365" s="38" t="n">
        <x:v>0.4260438000000001</x:v>
      </x:c>
      <x:c r="K365" s="38" t="n">
        <x:v>0.08177340000000004</x:v>
      </x:c>
      <x:c r="L365" s="28" t="n">
        <x:v>0.19193660370130963</x:v>
      </x:c>
    </x:row>
    <x:row r="366">
      <x:c r="A366" s="32" t="n">
        <x:v>45778</x:v>
      </x:c>
      <x:c r="B366" t="str">
        <x:v>May 2025</x:v>
      </x:c>
      <x:c r="C366" t="str">
        <x:v>Actual</x:v>
      </x:c>
      <x:c r="D366" t="str">
        <x:v>DB-103</x:v>
      </x:c>
      <x:c r="E366" t="str">
        <x:v>EmberTrail Camp Mug</x:v>
      </x:c>
      <x:c r="F366" t="str">
        <x:v>Wholesale</x:v>
      </x:c>
      <x:c r="G366" t="str">
        <x:v>Retailer</x:v>
      </x:c>
      <x:c r="H366" t="str">
        <x:v>US Central</x:v>
      </x:c>
      <x:c r="I366" s="34" t="n">
        <x:v>14.399999999999999</x:v>
      </x:c>
      <x:c r="J366" s="38" t="n">
        <x:v>0.3007368</x:v>
      </x:c>
      <x:c r="K366" s="38" t="n">
        <x:v>0.05772240000000002</x:v>
      </x:c>
      <x:c r="L366" s="28" t="n">
        <x:v>0.19193660370130963</x:v>
      </x:c>
    </x:row>
    <x:row r="367">
      <x:c r="A367" s="32" t="n">
        <x:v>45778</x:v>
      </x:c>
      <x:c r="B367" t="str">
        <x:v>May 2025</x:v>
      </x:c>
      <x:c r="C367" t="str">
        <x:v>Actual</x:v>
      </x:c>
      <x:c r="D367" t="str">
        <x:v>DB-103</x:v>
      </x:c>
      <x:c r="E367" t="str">
        <x:v>EmberTrail Camp Mug</x:v>
      </x:c>
      <x:c r="F367" t="str">
        <x:v>Wholesale</x:v>
      </x:c>
      <x:c r="G367" t="str">
        <x:v>Retailer</x:v>
      </x:c>
      <x:c r="H367" t="str">
        <x:v>US East</x:v>
      </x:c>
      <x:c r="I367" s="34" t="n">
        <x:v>19.2</x:v>
      </x:c>
      <x:c r="J367" s="38" t="n">
        <x:v>0.40098240000000007</x:v>
      </x:c>
      <x:c r="K367" s="38" t="n">
        <x:v>0.07696320000000002</x:v>
      </x:c>
      <x:c r="L367" s="28" t="n">
        <x:v>0.1919366037013096</x:v>
      </x:c>
    </x:row>
    <x:row r="368">
      <x:c r="A368" s="32" t="n">
        <x:v>45778</x:v>
      </x:c>
      <x:c r="B368" t="str">
        <x:v>May 2025</x:v>
      </x:c>
      <x:c r="C368" t="str">
        <x:v>Actual</x:v>
      </x:c>
      <x:c r="D368" t="str">
        <x:v>DB-103</x:v>
      </x:c>
      <x:c r="E368" t="str">
        <x:v>EmberTrail Camp Mug</x:v>
      </x:c>
      <x:c r="F368" t="str">
        <x:v>Wholesale</x:v>
      </x:c>
      <x:c r="G368" t="str">
        <x:v>Retailer</x:v>
      </x:c>
      <x:c r="H368" t="str">
        <x:v>Canada</x:v>
      </x:c>
      <x:c r="I368" s="34" t="n">
        <x:v>6</x:v>
      </x:c>
      <x:c r="J368" s="38" t="n">
        <x:v>0.12530700000000003</x:v>
      </x:c>
      <x:c r="K368" s="38" t="n">
        <x:v>0.02405100000000001</x:v>
      </x:c>
      <x:c r="L368" s="28" t="n">
        <x:v>0.1919366037013096</x:v>
      </x:c>
    </x:row>
    <x:row r="369">
      <x:c r="A369" s="32" t="n">
        <x:v>45778</x:v>
      </x:c>
      <x:c r="B369" t="str">
        <x:v>May 2025</x:v>
      </x:c>
      <x:c r="C369" t="str">
        <x:v>Actual</x:v>
      </x:c>
      <x:c r="D369" t="str">
        <x:v>DB-103</x:v>
      </x:c>
      <x:c r="E369" t="str">
        <x:v>EmberTrail Camp Mug</x:v>
      </x:c>
      <x:c r="F369" t="str">
        <x:v>TikTok Shop</x:v>
      </x:c>
      <x:c r="G369" t="str">
        <x:v>Social Commerce</x:v>
      </x:c>
      <x:c r="H369" t="str">
        <x:v>US West</x:v>
      </x:c>
      <x:c r="I369" s="34" t="n">
        <x:v>31.62</x:v>
      </x:c>
      <x:c r="J369" s="38" t="n">
        <x:v>0.894036528</x:v>
      </x:c>
      <x:c r="K369" s="38" t="n">
        <x:v>0.16385415700799993</x:v>
      </x:c>
      <x:c r="L369" s="28" t="n">
        <x:v>0.18327456639221337</x:v>
      </x:c>
    </x:row>
    <x:row r="370">
      <x:c r="A370" s="32" t="n">
        <x:v>45778</x:v>
      </x:c>
      <x:c r="B370" t="str">
        <x:v>May 2025</x:v>
      </x:c>
      <x:c r="C370" t="str">
        <x:v>Actual</x:v>
      </x:c>
      <x:c r="D370" t="str">
        <x:v>DB-103</x:v>
      </x:c>
      <x:c r="E370" t="str">
        <x:v>EmberTrail Camp Mug</x:v>
      </x:c>
      <x:c r="F370" t="str">
        <x:v>TikTok Shop</x:v>
      </x:c>
      <x:c r="G370" t="str">
        <x:v>Social Commerce</x:v>
      </x:c>
      <x:c r="H370" t="str">
        <x:v>US Central</x:v>
      </x:c>
      <x:c r="I370" s="34" t="n">
        <x:v>22.32</x:v>
      </x:c>
      <x:c r="J370" s="38" t="n">
        <x:v>0.631084608</x:v>
      </x:c>
      <x:c r="K370" s="38" t="n">
        <x:v>0.11566175788799994</x:v>
      </x:c>
      <x:c r="L370" s="28" t="n">
        <x:v>0.18327456639221337</x:v>
      </x:c>
    </x:row>
    <x:row r="371">
      <x:c r="A371" s="32" t="n">
        <x:v>45778</x:v>
      </x:c>
      <x:c r="B371" t="str">
        <x:v>May 2025</x:v>
      </x:c>
      <x:c r="C371" t="str">
        <x:v>Actual</x:v>
      </x:c>
      <x:c r="D371" t="str">
        <x:v>DB-103</x:v>
      </x:c>
      <x:c r="E371" t="str">
        <x:v>EmberTrail Camp Mug</x:v>
      </x:c>
      <x:c r="F371" t="str">
        <x:v>TikTok Shop</x:v>
      </x:c>
      <x:c r="G371" t="str">
        <x:v>Social Commerce</x:v>
      </x:c>
      <x:c r="H371" t="str">
        <x:v>US East</x:v>
      </x:c>
      <x:c r="I371" s="34" t="n">
        <x:v>29.76</x:v>
      </x:c>
      <x:c r="J371" s="38" t="n">
        <x:v>0.841446144</x:v>
      </x:c>
      <x:c r="K371" s="38" t="n">
        <x:v>0.15421567718399995</x:v>
      </x:c>
      <x:c r="L371" s="28" t="n">
        <x:v>0.1832745663922134</x:v>
      </x:c>
    </x:row>
    <x:row r="372">
      <x:c r="A372" s="32" t="n">
        <x:v>45778</x:v>
      </x:c>
      <x:c r="B372" t="str">
        <x:v>May 2025</x:v>
      </x:c>
      <x:c r="C372" t="str">
        <x:v>Actual</x:v>
      </x:c>
      <x:c r="D372" t="str">
        <x:v>DB-103</x:v>
      </x:c>
      <x:c r="E372" t="str">
        <x:v>EmberTrail Camp Mug</x:v>
      </x:c>
      <x:c r="F372" t="str">
        <x:v>TikTok Shop</x:v>
      </x:c>
      <x:c r="G372" t="str">
        <x:v>Social Commerce</x:v>
      </x:c>
      <x:c r="H372" t="str">
        <x:v>Canada</x:v>
      </x:c>
      <x:c r="I372" s="34" t="n">
        <x:v>9.3</x:v>
      </x:c>
      <x:c r="J372" s="38" t="n">
        <x:v>0.26295192</x:v>
      </x:c>
      <x:c r="K372" s="38" t="n">
        <x:v>0.04819239911999998</x:v>
      </x:c>
      <x:c r="L372" s="28" t="n">
        <x:v>0.18327456639221337</x:v>
      </x:c>
    </x:row>
    <x:row r="373">
      <x:c r="A373" s="32" t="n">
        <x:v>45778</x:v>
      </x:c>
      <x:c r="B373" t="str">
        <x:v>May 2025</x:v>
      </x:c>
      <x:c r="C373" t="str">
        <x:v>Actual</x:v>
      </x:c>
      <x:c r="D373" t="str">
        <x:v>DB-104</x:v>
      </x:c>
      <x:c r="E373" t="str">
        <x:v>SunNest Cooling Towel</x:v>
      </x:c>
      <x:c r="F373" t="str">
        <x:v>Shopify DTC</x:v>
      </x:c>
      <x:c r="G373" t="str">
        <x:v>Consumer</x:v>
      </x:c>
      <x:c r="H373" t="str">
        <x:v>US West</x:v>
      </x:c>
      <x:c r="I373" s="34" t="n">
        <x:v>199.92000000000002</x:v>
      </x:c>
      <x:c r="J373" s="38" t="n">
        <x:v>7.338663359999999</x:v>
      </x:c>
      <x:c r="K373" s="38" t="n">
        <x:v>2.9519123625599994</x:v>
      </x:c>
      <x:c r="L373" s="28" t="n">
        <x:v>0.40224114634412117</x:v>
      </x:c>
    </x:row>
    <x:row r="374">
      <x:c r="A374" s="32" t="n">
        <x:v>45778</x:v>
      </x:c>
      <x:c r="B374" t="str">
        <x:v>May 2025</x:v>
      </x:c>
      <x:c r="C374" t="str">
        <x:v>Actual</x:v>
      </x:c>
      <x:c r="D374" t="str">
        <x:v>DB-104</x:v>
      </x:c>
      <x:c r="E374" t="str">
        <x:v>SunNest Cooling Towel</x:v>
      </x:c>
      <x:c r="F374" t="str">
        <x:v>Shopify DTC</x:v>
      </x:c>
      <x:c r="G374" t="str">
        <x:v>Consumer</x:v>
      </x:c>
      <x:c r="H374" t="str">
        <x:v>US Central</x:v>
      </x:c>
      <x:c r="I374" s="34" t="n">
        <x:v>141.12</x:v>
      </x:c>
      <x:c r="J374" s="38" t="n">
        <x:v>5.180232959999999</x:v>
      </x:c>
      <x:c r="K374" s="38" t="n">
        <x:v>2.0837028441599994</x:v>
      </x:c>
      <x:c r="L374" s="28" t="n">
        <x:v>0.40224114634412117</x:v>
      </x:c>
    </x:row>
    <x:row r="375">
      <x:c r="A375" s="32" t="n">
        <x:v>45778</x:v>
      </x:c>
      <x:c r="B375" t="str">
        <x:v>May 2025</x:v>
      </x:c>
      <x:c r="C375" t="str">
        <x:v>Actual</x:v>
      </x:c>
      <x:c r="D375" t="str">
        <x:v>DB-104</x:v>
      </x:c>
      <x:c r="E375" t="str">
        <x:v>SunNest Cooling Towel</x:v>
      </x:c>
      <x:c r="F375" t="str">
        <x:v>Shopify DTC</x:v>
      </x:c>
      <x:c r="G375" t="str">
        <x:v>Consumer</x:v>
      </x:c>
      <x:c r="H375" t="str">
        <x:v>US East</x:v>
      </x:c>
      <x:c r="I375" s="34" t="n">
        <x:v>188.16</x:v>
      </x:c>
      <x:c r="J375" s="38" t="n">
        <x:v>6.906977279999999</x:v>
      </x:c>
      <x:c r="K375" s="38" t="n">
        <x:v>2.7782704588799993</x:v>
      </x:c>
      <x:c r="L375" s="28" t="n">
        <x:v>0.40224114634412117</x:v>
      </x:c>
    </x:row>
    <x:row r="376">
      <x:c r="A376" s="32" t="n">
        <x:v>45778</x:v>
      </x:c>
      <x:c r="B376" t="str">
        <x:v>May 2025</x:v>
      </x:c>
      <x:c r="C376" t="str">
        <x:v>Actual</x:v>
      </x:c>
      <x:c r="D376" t="str">
        <x:v>DB-104</x:v>
      </x:c>
      <x:c r="E376" t="str">
        <x:v>SunNest Cooling Towel</x:v>
      </x:c>
      <x:c r="F376" t="str">
        <x:v>Shopify DTC</x:v>
      </x:c>
      <x:c r="G376" t="str">
        <x:v>Consumer</x:v>
      </x:c>
      <x:c r="H376" t="str">
        <x:v>Canada</x:v>
      </x:c>
      <x:c r="I376" s="34" t="n">
        <x:v>58.800000000000004</x:v>
      </x:c>
      <x:c r="J376" s="38" t="n">
        <x:v>2.1584304</x:v>
      </x:c>
      <x:c r="K376" s="38" t="n">
        <x:v>0.8682095183999998</x:v>
      </x:c>
      <x:c r="L376" s="28" t="n">
        <x:v>0.4022411463441211</x:v>
      </x:c>
    </x:row>
    <x:row r="377">
      <x:c r="A377" s="32" t="n">
        <x:v>45778</x:v>
      </x:c>
      <x:c r="B377" t="str">
        <x:v>May 2025</x:v>
      </x:c>
      <x:c r="C377" t="str">
        <x:v>Actual</x:v>
      </x:c>
      <x:c r="D377" t="str">
        <x:v>DB-104</x:v>
      </x:c>
      <x:c r="E377" t="str">
        <x:v>SunNest Cooling Towel</x:v>
      </x:c>
      <x:c r="F377" t="str">
        <x:v>Amazon Marketplace</x:v>
      </x:c>
      <x:c r="G377" t="str">
        <x:v>Marketplace Consumer</x:v>
      </x:c>
      <x:c r="H377" t="str">
        <x:v>US West</x:v>
      </x:c>
      <x:c r="I377" s="34" t="n">
        <x:v>117.98</x:v>
      </x:c>
      <x:c r="J377" s="38" t="n">
        <x:v>4.4720319</x:v>
      </x:c>
      <x:c r="K377" s="38" t="n">
        <x:v>1.1551716749999998</x:v>
      </x:c>
      <x:c r="L377" s="28" t="n">
        <x:v>0.2583102493074792</x:v>
      </x:c>
    </x:row>
    <x:row r="378">
      <x:c r="A378" s="32" t="n">
        <x:v>45778</x:v>
      </x:c>
      <x:c r="B378" t="str">
        <x:v>May 2025</x:v>
      </x:c>
      <x:c r="C378" t="str">
        <x:v>Actual</x:v>
      </x:c>
      <x:c r="D378" t="str">
        <x:v>DB-104</x:v>
      </x:c>
      <x:c r="E378" t="str">
        <x:v>SunNest Cooling Towel</x:v>
      </x:c>
      <x:c r="F378" t="str">
        <x:v>Amazon Marketplace</x:v>
      </x:c>
      <x:c r="G378" t="str">
        <x:v>Marketplace Consumer</x:v>
      </x:c>
      <x:c r="H378" t="str">
        <x:v>US Central</x:v>
      </x:c>
      <x:c r="I378" s="34" t="n">
        <x:v>83.28</x:v>
      </x:c>
      <x:c r="J378" s="38" t="n">
        <x:v>3.1567283999999995</x:v>
      </x:c>
      <x:c r="K378" s="38" t="n">
        <x:v>0.8154152999999998</x:v>
      </x:c>
      <x:c r="L378" s="28" t="n">
        <x:v>0.2583102493074792</x:v>
      </x:c>
    </x:row>
    <x:row r="379">
      <x:c r="A379" s="32" t="n">
        <x:v>45778</x:v>
      </x:c>
      <x:c r="B379" t="str">
        <x:v>May 2025</x:v>
      </x:c>
      <x:c r="C379" t="str">
        <x:v>Actual</x:v>
      </x:c>
      <x:c r="D379" t="str">
        <x:v>DB-104</x:v>
      </x:c>
      <x:c r="E379" t="str">
        <x:v>SunNest Cooling Towel</x:v>
      </x:c>
      <x:c r="F379" t="str">
        <x:v>Amazon Marketplace</x:v>
      </x:c>
      <x:c r="G379" t="str">
        <x:v>Marketplace Consumer</x:v>
      </x:c>
      <x:c r="H379" t="str">
        <x:v>US East</x:v>
      </x:c>
      <x:c r="I379" s="34" t="n">
        <x:v>111.04</x:v>
      </x:c>
      <x:c r="J379" s="38" t="n">
        <x:v>4.2089712</x:v>
      </x:c>
      <x:c r="K379" s="38" t="n">
        <x:v>1.0872203999999999</x:v>
      </x:c>
      <x:c r="L379" s="28" t="n">
        <x:v>0.2583102493074792</x:v>
      </x:c>
    </x:row>
    <x:row r="380">
      <x:c r="A380" s="32" t="n">
        <x:v>45778</x:v>
      </x:c>
      <x:c r="B380" t="str">
        <x:v>May 2025</x:v>
      </x:c>
      <x:c r="C380" t="str">
        <x:v>Actual</x:v>
      </x:c>
      <x:c r="D380" t="str">
        <x:v>DB-104</x:v>
      </x:c>
      <x:c r="E380" t="str">
        <x:v>SunNest Cooling Towel</x:v>
      </x:c>
      <x:c r="F380" t="str">
        <x:v>Amazon Marketplace</x:v>
      </x:c>
      <x:c r="G380" t="str">
        <x:v>Marketplace Consumer</x:v>
      </x:c>
      <x:c r="H380" t="str">
        <x:v>Canada</x:v>
      </x:c>
      <x:c r="I380" s="34" t="n">
        <x:v>34.7</x:v>
      </x:c>
      <x:c r="J380" s="38" t="n">
        <x:v>1.3153035</x:v>
      </x:c>
      <x:c r="K380" s="38" t="n">
        <x:v>0.33975637499999994</x:v>
      </x:c>
      <x:c r="L380" s="28" t="n">
        <x:v>0.2583102493074792</x:v>
      </x:c>
    </x:row>
    <x:row r="381">
      <x:c r="A381" s="32" t="n">
        <x:v>45778</x:v>
      </x:c>
      <x:c r="B381" t="str">
        <x:v>May 2025</x:v>
      </x:c>
      <x:c r="C381" t="str">
        <x:v>Actual</x:v>
      </x:c>
      <x:c r="D381" t="str">
        <x:v>DB-104</x:v>
      </x:c>
      <x:c r="E381" t="str">
        <x:v>SunNest Cooling Towel</x:v>
      </x:c>
      <x:c r="F381" t="str">
        <x:v>Wholesale</x:v>
      </x:c>
      <x:c r="G381" t="str">
        <x:v>Retailer</x:v>
      </x:c>
      <x:c r="H381" t="str">
        <x:v>US West</x:v>
      </x:c>
      <x:c r="I381" s="34" t="n">
        <x:v>32.64</x:v>
      </x:c>
      <x:c r="J381" s="38" t="n">
        <x:v>0.8465184</x:v>
      </x:c>
      <x:c r="K381" s="38" t="n">
        <x:v>0.25155647999999997</x:v>
      </x:c>
      <x:c r="L381" s="28" t="n">
        <x:v>0.297165991902834</x:v>
      </x:c>
    </x:row>
    <x:row r="382">
      <x:c r="A382" s="32" t="n">
        <x:v>45778</x:v>
      </x:c>
      <x:c r="B382" t="str">
        <x:v>May 2025</x:v>
      </x:c>
      <x:c r="C382" t="str">
        <x:v>Actual</x:v>
      </x:c>
      <x:c r="D382" t="str">
        <x:v>DB-104</x:v>
      </x:c>
      <x:c r="E382" t="str">
        <x:v>SunNest Cooling Towel</x:v>
      </x:c>
      <x:c r="F382" t="str">
        <x:v>Wholesale</x:v>
      </x:c>
      <x:c r="G382" t="str">
        <x:v>Retailer</x:v>
      </x:c>
      <x:c r="H382" t="str">
        <x:v>US Central</x:v>
      </x:c>
      <x:c r="I382" s="34" t="n">
        <x:v>23.04</x:v>
      </x:c>
      <x:c r="J382" s="38" t="n">
        <x:v>0.5975423999999999</x:v>
      </x:c>
      <x:c r="K382" s="38" t="n">
        <x:v>0.17756927999999997</x:v>
      </x:c>
      <x:c r="L382" s="28" t="n">
        <x:v>0.297165991902834</x:v>
      </x:c>
    </x:row>
    <x:row r="383">
      <x:c r="A383" s="32" t="n">
        <x:v>45778</x:v>
      </x:c>
      <x:c r="B383" t="str">
        <x:v>May 2025</x:v>
      </x:c>
      <x:c r="C383" t="str">
        <x:v>Actual</x:v>
      </x:c>
      <x:c r="D383" t="str">
        <x:v>DB-104</x:v>
      </x:c>
      <x:c r="E383" t="str">
        <x:v>SunNest Cooling Towel</x:v>
      </x:c>
      <x:c r="F383" t="str">
        <x:v>Wholesale</x:v>
      </x:c>
      <x:c r="G383" t="str">
        <x:v>Retailer</x:v>
      </x:c>
      <x:c r="H383" t="str">
        <x:v>US East</x:v>
      </x:c>
      <x:c r="I383" s="34" t="n">
        <x:v>30.72</x:v>
      </x:c>
      <x:c r="J383" s="38" t="n">
        <x:v>0.7967232</x:v>
      </x:c>
      <x:c r="K383" s="38" t="n">
        <x:v>0.23675903999999995</x:v>
      </x:c>
      <x:c r="L383" s="28" t="n">
        <x:v>0.29716599190283394</x:v>
      </x:c>
    </x:row>
    <x:row r="384">
      <x:c r="A384" s="32" t="n">
        <x:v>45778</x:v>
      </x:c>
      <x:c r="B384" t="str">
        <x:v>May 2025</x:v>
      </x:c>
      <x:c r="C384" t="str">
        <x:v>Actual</x:v>
      </x:c>
      <x:c r="D384" t="str">
        <x:v>DB-104</x:v>
      </x:c>
      <x:c r="E384" t="str">
        <x:v>SunNest Cooling Towel</x:v>
      </x:c>
      <x:c r="F384" t="str">
        <x:v>Wholesale</x:v>
      </x:c>
      <x:c r="G384" t="str">
        <x:v>Retailer</x:v>
      </x:c>
      <x:c r="H384" t="str">
        <x:v>Canada</x:v>
      </x:c>
      <x:c r="I384" s="34" t="n">
        <x:v>9.600000000000001</x:v>
      </x:c>
      <x:c r="J384" s="38" t="n">
        <x:v>0.248976</x:v>
      </x:c>
      <x:c r="K384" s="38" t="n">
        <x:v>0.07398719999999999</x:v>
      </x:c>
      <x:c r="L384" s="28" t="n">
        <x:v>0.29716599190283394</x:v>
      </x:c>
    </x:row>
    <x:row r="385">
      <x:c r="A385" s="32" t="n">
        <x:v>45778</x:v>
      </x:c>
      <x:c r="B385" t="str">
        <x:v>May 2025</x:v>
      </x:c>
      <x:c r="C385" t="str">
        <x:v>Actual</x:v>
      </x:c>
      <x:c r="D385" t="str">
        <x:v>DB-104</x:v>
      </x:c>
      <x:c r="E385" t="str">
        <x:v>SunNest Cooling Towel</x:v>
      </x:c>
      <x:c r="F385" t="str">
        <x:v>TikTok Shop</x:v>
      </x:c>
      <x:c r="G385" t="str">
        <x:v>Social Commerce</x:v>
      </x:c>
      <x:c r="H385" t="str">
        <x:v>US West</x:v>
      </x:c>
      <x:c r="I385" s="34" t="n">
        <x:v>50.32</x:v>
      </x:c>
      <x:c r="J385" s="38" t="n">
        <x:v>1.7668358400000002</x:v>
      </x:c>
      <x:c r="K385" s="38" t="n">
        <x:v>0.50617049024</x:v>
      </x:c>
      <x:c r="L385" s="28" t="n">
        <x:v>0.2864841649578492</x:v>
      </x:c>
    </x:row>
    <x:row r="386">
      <x:c r="A386" s="32" t="n">
        <x:v>45778</x:v>
      </x:c>
      <x:c r="B386" t="str">
        <x:v>May 2025</x:v>
      </x:c>
      <x:c r="C386" t="str">
        <x:v>Actual</x:v>
      </x:c>
      <x:c r="D386" t="str">
        <x:v>DB-104</x:v>
      </x:c>
      <x:c r="E386" t="str">
        <x:v>SunNest Cooling Towel</x:v>
      </x:c>
      <x:c r="F386" t="str">
        <x:v>TikTok Shop</x:v>
      </x:c>
      <x:c r="G386" t="str">
        <x:v>Social Commerce</x:v>
      </x:c>
      <x:c r="H386" t="str">
        <x:v>US Central</x:v>
      </x:c>
      <x:c r="I386" s="34" t="n">
        <x:v>35.519999999999996</x:v>
      </x:c>
      <x:c r="J386" s="38" t="n">
        <x:v>1.24717824</x:v>
      </x:c>
      <x:c r="K386" s="38" t="n">
        <x:v>0.35729681664</x:v>
      </x:c>
      <x:c r="L386" s="28" t="n">
        <x:v>0.2864841649578492</x:v>
      </x:c>
    </x:row>
    <x:row r="387">
      <x:c r="A387" s="32" t="n">
        <x:v>45778</x:v>
      </x:c>
      <x:c r="B387" t="str">
        <x:v>May 2025</x:v>
      </x:c>
      <x:c r="C387" t="str">
        <x:v>Actual</x:v>
      </x:c>
      <x:c r="D387" t="str">
        <x:v>DB-104</x:v>
      </x:c>
      <x:c r="E387" t="str">
        <x:v>SunNest Cooling Towel</x:v>
      </x:c>
      <x:c r="F387" t="str">
        <x:v>TikTok Shop</x:v>
      </x:c>
      <x:c r="G387" t="str">
        <x:v>Social Commerce</x:v>
      </x:c>
      <x:c r="H387" t="str">
        <x:v>US East</x:v>
      </x:c>
      <x:c r="I387" s="34" t="n">
        <x:v>47.36</x:v>
      </x:c>
      <x:c r="J387" s="38" t="n">
        <x:v>1.6629043200000002</x:v>
      </x:c>
      <x:c r="K387" s="38" t="n">
        <x:v>0.47639575552</x:v>
      </x:c>
      <x:c r="L387" s="28" t="n">
        <x:v>0.2864841649578491</x:v>
      </x:c>
    </x:row>
    <x:row r="388">
      <x:c r="A388" s="32" t="n">
        <x:v>45778</x:v>
      </x:c>
      <x:c r="B388" t="str">
        <x:v>May 2025</x:v>
      </x:c>
      <x:c r="C388" t="str">
        <x:v>Actual</x:v>
      </x:c>
      <x:c r="D388" t="str">
        <x:v>DB-104</x:v>
      </x:c>
      <x:c r="E388" t="str">
        <x:v>SunNest Cooling Towel</x:v>
      </x:c>
      <x:c r="F388" t="str">
        <x:v>TikTok Shop</x:v>
      </x:c>
      <x:c r="G388" t="str">
        <x:v>Social Commerce</x:v>
      </x:c>
      <x:c r="H388" t="str">
        <x:v>Canada</x:v>
      </x:c>
      <x:c r="I388" s="34" t="n">
        <x:v>14.8</x:v>
      </x:c>
      <x:c r="J388" s="38" t="n">
        <x:v>0.5196576</x:v>
      </x:c>
      <x:c r="K388" s="38" t="n">
        <x:v>0.1488736736</x:v>
      </x:c>
      <x:c r="L388" s="28" t="n">
        <x:v>0.2864841649578492</x:v>
      </x:c>
    </x:row>
    <x:row r="389">
      <x:c r="A389" s="32" t="n">
        <x:v>45778</x:v>
      </x:c>
      <x:c r="B389" t="str">
        <x:v>May 2025</x:v>
      </x:c>
      <x:c r="C389" t="str">
        <x:v>Actual</x:v>
      </x:c>
      <x:c r="D389" t="str">
        <x:v>DB-105</x:v>
      </x:c>
      <x:c r="E389" t="str">
        <x:v>DreamFuel Refill Pack</x:v>
      </x:c>
      <x:c r="F389" t="str">
        <x:v>Shopify DTC</x:v>
      </x:c>
      <x:c r="G389" t="str">
        <x:v>Consumer</x:v>
      </x:c>
      <x:c r="H389" t="str">
        <x:v>US West</x:v>
      </x:c>
      <x:c r="I389" s="34" t="n">
        <x:v>194.48000000000002</x:v>
      </x:c>
      <x:c r="J389" s="38" t="n">
        <x:v>9.819217408</x:v>
      </x:c>
      <x:c r="K389" s="38" t="n">
        <x:v>4.784558375167999</x:v>
      </x:c>
      <x:c r="L389" s="28" t="n">
        <x:v>0.4872647357079477</x:v>
      </x:c>
    </x:row>
    <x:row r="390">
      <x:c r="A390" s="32" t="n">
        <x:v>45778</x:v>
      </x:c>
      <x:c r="B390" t="str">
        <x:v>May 2025</x:v>
      </x:c>
      <x:c r="C390" t="str">
        <x:v>Actual</x:v>
      </x:c>
      <x:c r="D390" t="str">
        <x:v>DB-105</x:v>
      </x:c>
      <x:c r="E390" t="str">
        <x:v>DreamFuel Refill Pack</x:v>
      </x:c>
      <x:c r="F390" t="str">
        <x:v>Shopify DTC</x:v>
      </x:c>
      <x:c r="G390" t="str">
        <x:v>Consumer</x:v>
      </x:c>
      <x:c r="H390" t="str">
        <x:v>US Central</x:v>
      </x:c>
      <x:c r="I390" s="34" t="n">
        <x:v>137.28</x:v>
      </x:c>
      <x:c r="J390" s="38" t="n">
        <x:v>6.931212287999999</x:v>
      </x:c>
      <x:c r="K390" s="38" t="n">
        <x:v>3.3773353236479995</x:v>
      </x:c>
      <x:c r="L390" s="28" t="n">
        <x:v>0.48726473570794776</x:v>
      </x:c>
    </x:row>
    <x:row r="391">
      <x:c r="A391" s="32" t="n">
        <x:v>45778</x:v>
      </x:c>
      <x:c r="B391" t="str">
        <x:v>May 2025</x:v>
      </x:c>
      <x:c r="C391" t="str">
        <x:v>Actual</x:v>
      </x:c>
      <x:c r="D391" t="str">
        <x:v>DB-105</x:v>
      </x:c>
      <x:c r="E391" t="str">
        <x:v>DreamFuel Refill Pack</x:v>
      </x:c>
      <x:c r="F391" t="str">
        <x:v>Shopify DTC</x:v>
      </x:c>
      <x:c r="G391" t="str">
        <x:v>Consumer</x:v>
      </x:c>
      <x:c r="H391" t="str">
        <x:v>US East</x:v>
      </x:c>
      <x:c r="I391" s="34" t="n">
        <x:v>183.04</x:v>
      </x:c>
      <x:c r="J391" s="38" t="n">
        <x:v>9.241616383999999</x:v>
      </x:c>
      <x:c r="K391" s="38" t="n">
        <x:v>4.503113764864</x:v>
      </x:c>
      <x:c r="L391" s="28" t="n">
        <x:v>0.4872647357079478</x:v>
      </x:c>
    </x:row>
    <x:row r="392">
      <x:c r="A392" s="32" t="n">
        <x:v>45778</x:v>
      </x:c>
      <x:c r="B392" t="str">
        <x:v>May 2025</x:v>
      </x:c>
      <x:c r="C392" t="str">
        <x:v>Actual</x:v>
      </x:c>
      <x:c r="D392" t="str">
        <x:v>DB-105</x:v>
      </x:c>
      <x:c r="E392" t="str">
        <x:v>DreamFuel Refill Pack</x:v>
      </x:c>
      <x:c r="F392" t="str">
        <x:v>Shopify DTC</x:v>
      </x:c>
      <x:c r="G392" t="str">
        <x:v>Consumer</x:v>
      </x:c>
      <x:c r="H392" t="str">
        <x:v>Canada</x:v>
      </x:c>
      <x:c r="I392" s="34" t="n">
        <x:v>57.2</x:v>
      </x:c>
      <x:c r="J392" s="38" t="n">
        <x:v>2.88800512</x:v>
      </x:c>
      <x:c r="K392" s="38" t="n">
        <x:v>1.40722305152</x:v>
      </x:c>
      <x:c r="L392" s="28" t="n">
        <x:v>0.48726473570794776</x:v>
      </x:c>
    </x:row>
    <x:row r="393">
      <x:c r="A393" s="32" t="n">
        <x:v>45778</x:v>
      </x:c>
      <x:c r="B393" t="str">
        <x:v>May 2025</x:v>
      </x:c>
      <x:c r="C393" t="str">
        <x:v>Actual</x:v>
      </x:c>
      <x:c r="D393" t="str">
        <x:v>DB-105</x:v>
      </x:c>
      <x:c r="E393" t="str">
        <x:v>DreamFuel Refill Pack</x:v>
      </x:c>
      <x:c r="F393" t="str">
        <x:v>Amazon Marketplace</x:v>
      </x:c>
      <x:c r="G393" t="str">
        <x:v>Marketplace Consumer</x:v>
      </x:c>
      <x:c r="H393" t="str">
        <x:v>US West</x:v>
      </x:c>
      <x:c r="I393" s="34" t="n">
        <x:v>114.58000000000001</x:v>
      </x:c>
      <x:c r="J393" s="38" t="n">
        <x:v>5.973742880000001</x:v>
      </x:c>
      <x:c r="K393" s="38" t="n">
        <x:v>2.1016263600000005</x:v>
      </x:c>
      <x:c r="L393" s="28" t="n">
        <x:v>0.3518106490716587</x:v>
      </x:c>
    </x:row>
    <x:row r="394">
      <x:c r="A394" s="32" t="n">
        <x:v>45778</x:v>
      </x:c>
      <x:c r="B394" t="str">
        <x:v>May 2025</x:v>
      </x:c>
      <x:c r="C394" t="str">
        <x:v>Actual</x:v>
      </x:c>
      <x:c r="D394" t="str">
        <x:v>DB-105</x:v>
      </x:c>
      <x:c r="E394" t="str">
        <x:v>DreamFuel Refill Pack</x:v>
      </x:c>
      <x:c r="F394" t="str">
        <x:v>Amazon Marketplace</x:v>
      </x:c>
      <x:c r="G394" t="str">
        <x:v>Marketplace Consumer</x:v>
      </x:c>
      <x:c r="H394" t="str">
        <x:v>US Central</x:v>
      </x:c>
      <x:c r="I394" s="34" t="n">
        <x:v>80.88</x:v>
      </x:c>
      <x:c r="J394" s="38" t="n">
        <x:v>4.21675968</x:v>
      </x:c>
      <x:c r="K394" s="38" t="n">
        <x:v>1.4835009600000002</x:v>
      </x:c>
      <x:c r="L394" s="28" t="n">
        <x:v>0.35181064907165877</x:v>
      </x:c>
    </x:row>
    <x:row r="395">
      <x:c r="A395" s="32" t="n">
        <x:v>45778</x:v>
      </x:c>
      <x:c r="B395" t="str">
        <x:v>May 2025</x:v>
      </x:c>
      <x:c r="C395" t="str">
        <x:v>Actual</x:v>
      </x:c>
      <x:c r="D395" t="str">
        <x:v>DB-105</x:v>
      </x:c>
      <x:c r="E395" t="str">
        <x:v>DreamFuel Refill Pack</x:v>
      </x:c>
      <x:c r="F395" t="str">
        <x:v>Amazon Marketplace</x:v>
      </x:c>
      <x:c r="G395" t="str">
        <x:v>Marketplace Consumer</x:v>
      </x:c>
      <x:c r="H395" t="str">
        <x:v>US East</x:v>
      </x:c>
      <x:c r="I395" s="34" t="n">
        <x:v>107.84</x:v>
      </x:c>
      <x:c r="J395" s="38" t="n">
        <x:v>5.622346240000001</x:v>
      </x:c>
      <x:c r="K395" s="38" t="n">
        <x:v>1.9780012800000004</x:v>
      </x:c>
      <x:c r="L395" s="28" t="n">
        <x:v>0.35181064907165877</x:v>
      </x:c>
    </x:row>
    <x:row r="396">
      <x:c r="A396" s="32" t="n">
        <x:v>45778</x:v>
      </x:c>
      <x:c r="B396" t="str">
        <x:v>May 2025</x:v>
      </x:c>
      <x:c r="C396" t="str">
        <x:v>Actual</x:v>
      </x:c>
      <x:c r="D396" t="str">
        <x:v>DB-105</x:v>
      </x:c>
      <x:c r="E396" t="str">
        <x:v>DreamFuel Refill Pack</x:v>
      </x:c>
      <x:c r="F396" t="str">
        <x:v>Amazon Marketplace</x:v>
      </x:c>
      <x:c r="G396" t="str">
        <x:v>Marketplace Consumer</x:v>
      </x:c>
      <x:c r="H396" t="str">
        <x:v>Canada</x:v>
      </x:c>
      <x:c r="I396" s="34" t="n">
        <x:v>33.7</x:v>
      </x:c>
      <x:c r="J396" s="38" t="n">
        <x:v>1.7569832000000003</x:v>
      </x:c>
      <x:c r="K396" s="38" t="n">
        <x:v>0.6181254000000002</x:v>
      </x:c>
      <x:c r="L396" s="28" t="n">
        <x:v>0.35181064907165877</x:v>
      </x:c>
    </x:row>
    <x:row r="397">
      <x:c r="A397" s="32" t="n">
        <x:v>45778</x:v>
      </x:c>
      <x:c r="B397" t="str">
        <x:v>May 2025</x:v>
      </x:c>
      <x:c r="C397" t="str">
        <x:v>Actual</x:v>
      </x:c>
      <x:c r="D397" t="str">
        <x:v>DB-105</x:v>
      </x:c>
      <x:c r="E397" t="str">
        <x:v>DreamFuel Refill Pack</x:v>
      </x:c>
      <x:c r="F397" t="str">
        <x:v>Wholesale</x:v>
      </x:c>
      <x:c r="G397" t="str">
        <x:v>Retailer</x:v>
      </x:c>
      <x:c r="H397" t="str">
        <x:v>US West</x:v>
      </x:c>
      <x:c r="I397" s="34" t="n">
        <x:v>32.300000000000004</x:v>
      </x:c>
      <x:c r="J397" s="38" t="n">
        <x:v>1.1522056</x:v>
      </x:c>
      <x:c r="K397" s="38" t="n">
        <x:v>0.4489183200000002</x:v>
      </x:c>
      <x:c r="L397" s="28" t="n">
        <x:v>0.3896165059430367</x:v>
      </x:c>
    </x:row>
    <x:row r="398">
      <x:c r="A398" s="32" t="n">
        <x:v>45778</x:v>
      </x:c>
      <x:c r="B398" t="str">
        <x:v>May 2025</x:v>
      </x:c>
      <x:c r="C398" t="str">
        <x:v>Actual</x:v>
      </x:c>
      <x:c r="D398" t="str">
        <x:v>DB-105</x:v>
      </x:c>
      <x:c r="E398" t="str">
        <x:v>DreamFuel Refill Pack</x:v>
      </x:c>
      <x:c r="F398" t="str">
        <x:v>Wholesale</x:v>
      </x:c>
      <x:c r="G398" t="str">
        <x:v>Retailer</x:v>
      </x:c>
      <x:c r="H398" t="str">
        <x:v>US Central</x:v>
      </x:c>
      <x:c r="I398" s="34" t="n">
        <x:v>22.8</x:v>
      </x:c>
      <x:c r="J398" s="38" t="n">
        <x:v>0.8133216</x:v>
      </x:c>
      <x:c r="K398" s="38" t="n">
        <x:v>0.31688352000000014</x:v>
      </x:c>
      <x:c r="L398" s="28" t="n">
        <x:v>0.38961650594303676</x:v>
      </x:c>
    </x:row>
    <x:row r="399">
      <x:c r="A399" s="32" t="n">
        <x:v>45778</x:v>
      </x:c>
      <x:c r="B399" t="str">
        <x:v>May 2025</x:v>
      </x:c>
      <x:c r="C399" t="str">
        <x:v>Actual</x:v>
      </x:c>
      <x:c r="D399" t="str">
        <x:v>DB-105</x:v>
      </x:c>
      <x:c r="E399" t="str">
        <x:v>DreamFuel Refill Pack</x:v>
      </x:c>
      <x:c r="F399" t="str">
        <x:v>Wholesale</x:v>
      </x:c>
      <x:c r="G399" t="str">
        <x:v>Retailer</x:v>
      </x:c>
      <x:c r="H399" t="str">
        <x:v>US East</x:v>
      </x:c>
      <x:c r="I399" s="34" t="n">
        <x:v>30.400000000000002</x:v>
      </x:c>
      <x:c r="J399" s="38" t="n">
        <x:v>1.0844288</x:v>
      </x:c>
      <x:c r="K399" s="38" t="n">
        <x:v>0.42251136000000017</x:v>
      </x:c>
      <x:c r="L399" s="28" t="n">
        <x:v>0.3896165059430367</x:v>
      </x:c>
    </x:row>
    <x:row r="400">
      <x:c r="A400" s="32" t="n">
        <x:v>45778</x:v>
      </x:c>
      <x:c r="B400" t="str">
        <x:v>May 2025</x:v>
      </x:c>
      <x:c r="C400" t="str">
        <x:v>Actual</x:v>
      </x:c>
      <x:c r="D400" t="str">
        <x:v>DB-105</x:v>
      </x:c>
      <x:c r="E400" t="str">
        <x:v>DreamFuel Refill Pack</x:v>
      </x:c>
      <x:c r="F400" t="str">
        <x:v>Wholesale</x:v>
      </x:c>
      <x:c r="G400" t="str">
        <x:v>Retailer</x:v>
      </x:c>
      <x:c r="H400" t="str">
        <x:v>Canada</x:v>
      </x:c>
      <x:c r="I400" s="34" t="n">
        <x:v>9.5</x:v>
      </x:c>
      <x:c r="J400" s="38" t="n">
        <x:v>0.338884</x:v>
      </x:c>
      <x:c r="K400" s="38" t="n">
        <x:v>0.13203480000000006</x:v>
      </x:c>
      <x:c r="L400" s="28" t="n">
        <x:v>0.3896165059430367</x:v>
      </x:c>
    </x:row>
    <x:row r="401">
      <x:c r="A401" s="32" t="n">
        <x:v>45778</x:v>
      </x:c>
      <x:c r="B401" t="str">
        <x:v>May 2025</x:v>
      </x:c>
      <x:c r="C401" t="str">
        <x:v>Actual</x:v>
      </x:c>
      <x:c r="D401" t="str">
        <x:v>DB-105</x:v>
      </x:c>
      <x:c r="E401" t="str">
        <x:v>DreamFuel Refill Pack</x:v>
      </x:c>
      <x:c r="F401" t="str">
        <x:v>TikTok Shop</x:v>
      </x:c>
      <x:c r="G401" t="str">
        <x:v>Social Commerce</x:v>
      </x:c>
      <x:c r="H401" t="str">
        <x:v>US West</x:v>
      </x:c>
      <x:c r="I401" s="34" t="n">
        <x:v>48.96</x:v>
      </x:c>
      <x:c r="J401" s="38" t="n">
        <x:v>2.364493824</x:v>
      </x:c>
      <x:c r="K401" s="38" t="n">
        <x:v>0.9068664176640002</x:v>
      </x:c>
      <x:c r="L401" s="28" t="n">
        <x:v>0.38353511794328127</x:v>
      </x:c>
    </x:row>
    <x:row r="402">
      <x:c r="A402" s="32" t="n">
        <x:v>45778</x:v>
      </x:c>
      <x:c r="B402" t="str">
        <x:v>May 2025</x:v>
      </x:c>
      <x:c r="C402" t="str">
        <x:v>Actual</x:v>
      </x:c>
      <x:c r="D402" t="str">
        <x:v>DB-105</x:v>
      </x:c>
      <x:c r="E402" t="str">
        <x:v>DreamFuel Refill Pack</x:v>
      </x:c>
      <x:c r="F402" t="str">
        <x:v>TikTok Shop</x:v>
      </x:c>
      <x:c r="G402" t="str">
        <x:v>Social Commerce</x:v>
      </x:c>
      <x:c r="H402" t="str">
        <x:v>US Central</x:v>
      </x:c>
      <x:c r="I402" s="34" t="n">
        <x:v>34.56</x:v>
      </x:c>
      <x:c r="J402" s="38" t="n">
        <x:v>1.669054464</x:v>
      </x:c>
      <x:c r="K402" s="38" t="n">
        <x:v>0.6401410007040002</x:v>
      </x:c>
      <x:c r="L402" s="28" t="n">
        <x:v>0.3835351179432813</x:v>
      </x:c>
    </x:row>
    <x:row r="403">
      <x:c r="A403" s="32" t="n">
        <x:v>45778</x:v>
      </x:c>
      <x:c r="B403" t="str">
        <x:v>May 2025</x:v>
      </x:c>
      <x:c r="C403" t="str">
        <x:v>Actual</x:v>
      </x:c>
      <x:c r="D403" t="str">
        <x:v>DB-105</x:v>
      </x:c>
      <x:c r="E403" t="str">
        <x:v>DreamFuel Refill Pack</x:v>
      </x:c>
      <x:c r="F403" t="str">
        <x:v>TikTok Shop</x:v>
      </x:c>
      <x:c r="G403" t="str">
        <x:v>Social Commerce</x:v>
      </x:c>
      <x:c r="H403" t="str">
        <x:v>US East</x:v>
      </x:c>
      <x:c r="I403" s="34" t="n">
        <x:v>46.08</x:v>
      </x:c>
      <x:c r="J403" s="38" t="n">
        <x:v>2.225405952</x:v>
      </x:c>
      <x:c r="K403" s="38" t="n">
        <x:v>0.8535213342720002</x:v>
      </x:c>
      <x:c r="L403" s="28" t="n">
        <x:v>0.38353511794328127</x:v>
      </x:c>
    </x:row>
    <x:row r="404">
      <x:c r="A404" s="32" t="n">
        <x:v>45778</x:v>
      </x:c>
      <x:c r="B404" t="str">
        <x:v>May 2025</x:v>
      </x:c>
      <x:c r="C404" t="str">
        <x:v>Actual</x:v>
      </x:c>
      <x:c r="D404" t="str">
        <x:v>DB-105</x:v>
      </x:c>
      <x:c r="E404" t="str">
        <x:v>DreamFuel Refill Pack</x:v>
      </x:c>
      <x:c r="F404" t="str">
        <x:v>TikTok Shop</x:v>
      </x:c>
      <x:c r="G404" t="str">
        <x:v>Social Commerce</x:v>
      </x:c>
      <x:c r="H404" t="str">
        <x:v>Canada</x:v>
      </x:c>
      <x:c r="I404" s="34" t="n">
        <x:v>14.4</x:v>
      </x:c>
      <x:c r="J404" s="38" t="n">
        <x:v>0.6954393600000001</x:v>
      </x:c>
      <x:c r="K404" s="38" t="n">
        <x:v>0.2667254169600001</x:v>
      </x:c>
      <x:c r="L404" s="28" t="n">
        <x:v>0.38353511794328127</x:v>
      </x:c>
    </x:row>
    <x:row r="405">
      <x:c r="A405" s="32" t="n">
        <x:v>45809</x:v>
      </x:c>
      <x:c r="B405" t="str">
        <x:v>Jun 2025</x:v>
      </x:c>
      <x:c r="C405" t="str">
        <x:v>Actual</x:v>
      </x:c>
      <x:c r="D405" t="str">
        <x:v>DB-101</x:v>
      </x:c>
      <x:c r="E405" t="str">
        <x:v>AeroSip Bottle</x:v>
      </x:c>
      <x:c r="F405" t="str">
        <x:v>Shopify DTC</x:v>
      </x:c>
      <x:c r="G405" t="str">
        <x:v>Consumer</x:v>
      </x:c>
      <x:c r="H405" t="str">
        <x:v>US West</x:v>
      </x:c>
      <x:c r="I405" s="34" t="n">
        <x:v>313.82000000000005</x:v>
      </x:c>
      <x:c r="J405" s="38" t="n">
        <x:v>7.995945308000002</x:v>
      </x:c>
      <x:c r="K405" s="38" t="n">
        <x:v>2.5433533740680003</x:v>
      </x:c>
      <x:c r="L405" s="28" t="n">
        <x:v>0.3180803865083165</x:v>
      </x:c>
    </x:row>
    <x:row r="406">
      <x:c r="A406" s="32" t="n">
        <x:v>45809</x:v>
      </x:c>
      <x:c r="B406" t="str">
        <x:v>Jun 2025</x:v>
      </x:c>
      <x:c r="C406" t="str">
        <x:v>Actual</x:v>
      </x:c>
      <x:c r="D406" t="str">
        <x:v>DB-101</x:v>
      </x:c>
      <x:c r="E406" t="str">
        <x:v>AeroSip Bottle</x:v>
      </x:c>
      <x:c r="F406" t="str">
        <x:v>Shopify DTC</x:v>
      </x:c>
      <x:c r="G406" t="str">
        <x:v>Consumer</x:v>
      </x:c>
      <x:c r="H406" t="str">
        <x:v>US Central</x:v>
      </x:c>
      <x:c r="I406" s="34" t="n">
        <x:v>221.51999999999998</x:v>
      </x:c>
      <x:c r="J406" s="38" t="n">
        <x:v>5.644196688000001</x:v>
      </x:c>
      <x:c r="K406" s="38" t="n">
        <x:v>1.795308264048</x:v>
      </x:c>
      <x:c r="L406" s="28" t="n">
        <x:v>0.3180803865083165</x:v>
      </x:c>
    </x:row>
    <x:row r="407">
      <x:c r="A407" s="32" t="n">
        <x:v>45809</x:v>
      </x:c>
      <x:c r="B407" t="str">
        <x:v>Jun 2025</x:v>
      </x:c>
      <x:c r="C407" t="str">
        <x:v>Actual</x:v>
      </x:c>
      <x:c r="D407" t="str">
        <x:v>DB-101</x:v>
      </x:c>
      <x:c r="E407" t="str">
        <x:v>AeroSip Bottle</x:v>
      </x:c>
      <x:c r="F407" t="str">
        <x:v>Shopify DTC</x:v>
      </x:c>
      <x:c r="G407" t="str">
        <x:v>Consumer</x:v>
      </x:c>
      <x:c r="H407" t="str">
        <x:v>US East</x:v>
      </x:c>
      <x:c r="I407" s="34" t="n">
        <x:v>295.36</x:v>
      </x:c>
      <x:c r="J407" s="38" t="n">
        <x:v>7.525595584000001</x:v>
      </x:c>
      <x:c r="K407" s="38" t="n">
        <x:v>2.3937443520640005</x:v>
      </x:c>
      <x:c r="L407" s="28" t="n">
        <x:v>0.31808038650831655</x:v>
      </x:c>
    </x:row>
    <x:row r="408">
      <x:c r="A408" s="32" t="n">
        <x:v>45809</x:v>
      </x:c>
      <x:c r="B408" t="str">
        <x:v>Jun 2025</x:v>
      </x:c>
      <x:c r="C408" t="str">
        <x:v>Actual</x:v>
      </x:c>
      <x:c r="D408" t="str">
        <x:v>DB-101</x:v>
      </x:c>
      <x:c r="E408" t="str">
        <x:v>AeroSip Bottle</x:v>
      </x:c>
      <x:c r="F408" t="str">
        <x:v>Shopify DTC</x:v>
      </x:c>
      <x:c r="G408" t="str">
        <x:v>Consumer</x:v>
      </x:c>
      <x:c r="H408" t="str">
        <x:v>Canada</x:v>
      </x:c>
      <x:c r="I408" s="34" t="n">
        <x:v>92.30000000000001</x:v>
      </x:c>
      <x:c r="J408" s="38" t="n">
        <x:v>2.3517486200000004</x:v>
      </x:c>
      <x:c r="K408" s="38" t="n">
        <x:v>0.7480451100200001</x:v>
      </x:c>
      <x:c r="L408" s="28" t="n">
        <x:v>0.3180803865083165</x:v>
      </x:c>
    </x:row>
    <x:row r="409">
      <x:c r="A409" s="32" t="n">
        <x:v>45809</x:v>
      </x:c>
      <x:c r="B409" t="str">
        <x:v>Jun 2025</x:v>
      </x:c>
      <x:c r="C409" t="str">
        <x:v>Actual</x:v>
      </x:c>
      <x:c r="D409" t="str">
        <x:v>DB-101</x:v>
      </x:c>
      <x:c r="E409" t="str">
        <x:v>AeroSip Bottle</x:v>
      </x:c>
      <x:c r="F409" t="str">
        <x:v>Amazon Marketplace</x:v>
      </x:c>
      <x:c r="G409" t="str">
        <x:v>Marketplace Consumer</x:v>
      </x:c>
      <x:c r="H409" t="str">
        <x:v>US West</x:v>
      </x:c>
      <x:c r="I409" s="34" t="n">
        <x:v>185.3</x:v>
      </x:c>
      <x:c r="J409" s="38" t="n">
        <x:v>4.875289325</x:v>
      </x:c>
      <x:c r="K409" s="38" t="n">
        <x:v>0.7741301262500004</x:v>
      </x:c>
      <x:c r="L409" s="28" t="n">
        <x:v>0.1587864995581571</x:v>
      </x:c>
    </x:row>
    <x:row r="410">
      <x:c r="A410" s="32" t="n">
        <x:v>45809</x:v>
      </x:c>
      <x:c r="B410" t="str">
        <x:v>Jun 2025</x:v>
      </x:c>
      <x:c r="C410" t="str">
        <x:v>Actual</x:v>
      </x:c>
      <x:c r="D410" t="str">
        <x:v>DB-101</x:v>
      </x:c>
      <x:c r="E410" t="str">
        <x:v>AeroSip Bottle</x:v>
      </x:c>
      <x:c r="F410" t="str">
        <x:v>Amazon Marketplace</x:v>
      </x:c>
      <x:c r="G410" t="str">
        <x:v>Marketplace Consumer</x:v>
      </x:c>
      <x:c r="H410" t="str">
        <x:v>US Central</x:v>
      </x:c>
      <x:c r="I410" s="34" t="n">
        <x:v>130.79999999999998</x:v>
      </x:c>
      <x:c r="J410" s="38" t="n">
        <x:v>3.4413807</x:v>
      </x:c>
      <x:c r="K410" s="38" t="n">
        <x:v>0.5464447950000002</x:v>
      </x:c>
      <x:c r="L410" s="28" t="n">
        <x:v>0.15878649955815705</x:v>
      </x:c>
    </x:row>
    <x:row r="411">
      <x:c r="A411" s="32" t="n">
        <x:v>45809</x:v>
      </x:c>
      <x:c r="B411" t="str">
        <x:v>Jun 2025</x:v>
      </x:c>
      <x:c r="C411" t="str">
        <x:v>Actual</x:v>
      </x:c>
      <x:c r="D411" t="str">
        <x:v>DB-101</x:v>
      </x:c>
      <x:c r="E411" t="str">
        <x:v>AeroSip Bottle</x:v>
      </x:c>
      <x:c r="F411" t="str">
        <x:v>Amazon Marketplace</x:v>
      </x:c>
      <x:c r="G411" t="str">
        <x:v>Marketplace Consumer</x:v>
      </x:c>
      <x:c r="H411" t="str">
        <x:v>US East</x:v>
      </x:c>
      <x:c r="I411" s="34" t="n">
        <x:v>174.4</x:v>
      </x:c>
      <x:c r="J411" s="38" t="n">
        <x:v>4.5885076</x:v>
      </x:c>
      <x:c r="K411" s="38" t="n">
        <x:v>0.7285930600000003</x:v>
      </x:c>
      <x:c r="L411" s="28" t="n">
        <x:v>0.15878649955815707</x:v>
      </x:c>
    </x:row>
    <x:row r="412">
      <x:c r="A412" s="32" t="n">
        <x:v>45809</x:v>
      </x:c>
      <x:c r="B412" t="str">
        <x:v>Jun 2025</x:v>
      </x:c>
      <x:c r="C412" t="str">
        <x:v>Actual</x:v>
      </x:c>
      <x:c r="D412" t="str">
        <x:v>DB-101</x:v>
      </x:c>
      <x:c r="E412" t="str">
        <x:v>AeroSip Bottle</x:v>
      </x:c>
      <x:c r="F412" t="str">
        <x:v>Amazon Marketplace</x:v>
      </x:c>
      <x:c r="G412" t="str">
        <x:v>Marketplace Consumer</x:v>
      </x:c>
      <x:c r="H412" t="str">
        <x:v>Canada</x:v>
      </x:c>
      <x:c r="I412" s="34" t="n">
        <x:v>54.5</x:v>
      </x:c>
      <x:c r="J412" s="38" t="n">
        <x:v>1.433908625</x:v>
      </x:c>
      <x:c r="K412" s="38" t="n">
        <x:v>0.22768533125000012</x:v>
      </x:c>
      <x:c r="L412" s="28" t="n">
        <x:v>0.15878649955815707</x:v>
      </x:c>
    </x:row>
    <x:row r="413">
      <x:c r="A413" s="32" t="n">
        <x:v>45809</x:v>
      </x:c>
      <x:c r="B413" t="str">
        <x:v>Jun 2025</x:v>
      </x:c>
      <x:c r="C413" t="str">
        <x:v>Actual</x:v>
      </x:c>
      <x:c r="D413" t="str">
        <x:v>DB-101</x:v>
      </x:c>
      <x:c r="E413" t="str">
        <x:v>AeroSip Bottle</x:v>
      </x:c>
      <x:c r="F413" t="str">
        <x:v>Wholesale</x:v>
      </x:c>
      <x:c r="G413" t="str">
        <x:v>Retailer</x:v>
      </x:c>
      <x:c r="H413" t="str">
        <x:v>US West</x:v>
      </x:c>
      <x:c r="I413" s="34" t="n">
        <x:v>51.68000000000001</x:v>
      </x:c>
      <x:c r="J413" s="38" t="n">
        <x:v>0.9303304400000001</x:v>
      </x:c>
      <x:c r="K413" s="38" t="n">
        <x:v>0.20753396000000013</x:v>
      </x:c>
      <x:c r="L413" s="28" t="n">
        <x:v>0.22307553432305205</x:v>
      </x:c>
    </x:row>
    <x:row r="414">
      <x:c r="A414" s="32" t="n">
        <x:v>45809</x:v>
      </x:c>
      <x:c r="B414" t="str">
        <x:v>Jun 2025</x:v>
      </x:c>
      <x:c r="C414" t="str">
        <x:v>Actual</x:v>
      </x:c>
      <x:c r="D414" t="str">
        <x:v>DB-101</x:v>
      </x:c>
      <x:c r="E414" t="str">
        <x:v>AeroSip Bottle</x:v>
      </x:c>
      <x:c r="F414" t="str">
        <x:v>Wholesale</x:v>
      </x:c>
      <x:c r="G414" t="str">
        <x:v>Retailer</x:v>
      </x:c>
      <x:c r="H414" t="str">
        <x:v>US Central</x:v>
      </x:c>
      <x:c r="I414" s="34" t="n">
        <x:v>36.48</x:v>
      </x:c>
      <x:c r="J414" s="38" t="n">
        <x:v>0.65670384</x:v>
      </x:c>
      <x:c r="K414" s="38" t="n">
        <x:v>0.14649456000000008</x:v>
      </x:c>
      <x:c r="L414" s="28" t="n">
        <x:v>0.22307553432305202</x:v>
      </x:c>
    </x:row>
    <x:row r="415">
      <x:c r="A415" s="32" t="n">
        <x:v>45809</x:v>
      </x:c>
      <x:c r="B415" t="str">
        <x:v>Jun 2025</x:v>
      </x:c>
      <x:c r="C415" t="str">
        <x:v>Actual</x:v>
      </x:c>
      <x:c r="D415" t="str">
        <x:v>DB-101</x:v>
      </x:c>
      <x:c r="E415" t="str">
        <x:v>AeroSip Bottle</x:v>
      </x:c>
      <x:c r="F415" t="str">
        <x:v>Wholesale</x:v>
      </x:c>
      <x:c r="G415" t="str">
        <x:v>Retailer</x:v>
      </x:c>
      <x:c r="H415" t="str">
        <x:v>US East</x:v>
      </x:c>
      <x:c r="I415" s="34" t="n">
        <x:v>48.64</x:v>
      </x:c>
      <x:c r="J415" s="38" t="n">
        <x:v>0.87560512</x:v>
      </x:c>
      <x:c r="K415" s="38" t="n">
        <x:v>0.1953260800000001</x:v>
      </x:c>
      <x:c r="L415" s="28" t="n">
        <x:v>0.22307553432305202</x:v>
      </x:c>
    </x:row>
    <x:row r="416">
      <x:c r="A416" s="32" t="n">
        <x:v>45809</x:v>
      </x:c>
      <x:c r="B416" t="str">
        <x:v>Jun 2025</x:v>
      </x:c>
      <x:c r="C416" t="str">
        <x:v>Actual</x:v>
      </x:c>
      <x:c r="D416" t="str">
        <x:v>DB-101</x:v>
      </x:c>
      <x:c r="E416" t="str">
        <x:v>AeroSip Bottle</x:v>
      </x:c>
      <x:c r="F416" t="str">
        <x:v>Wholesale</x:v>
      </x:c>
      <x:c r="G416" t="str">
        <x:v>Retailer</x:v>
      </x:c>
      <x:c r="H416" t="str">
        <x:v>Canada</x:v>
      </x:c>
      <x:c r="I416" s="34" t="n">
        <x:v>15.200000000000001</x:v>
      </x:c>
      <x:c r="J416" s="38" t="n">
        <x:v>0.2736266</x:v>
      </x:c>
      <x:c r="K416" s="38" t="n">
        <x:v>0.061039400000000035</x:v>
      </x:c>
      <x:c r="L416" s="28" t="n">
        <x:v>0.22307553432305205</x:v>
      </x:c>
    </x:row>
    <x:row r="417">
      <x:c r="A417" s="32" t="n">
        <x:v>45809</x:v>
      </x:c>
      <x:c r="B417" t="str">
        <x:v>Jun 2025</x:v>
      </x:c>
      <x:c r="C417" t="str">
        <x:v>Actual</x:v>
      </x:c>
      <x:c r="D417" t="str">
        <x:v>DB-101</x:v>
      </x:c>
      <x:c r="E417" t="str">
        <x:v>AeroSip Bottle</x:v>
      </x:c>
      <x:c r="F417" t="str">
        <x:v>TikTok Shop</x:v>
      </x:c>
      <x:c r="G417" t="str">
        <x:v>Social Commerce</x:v>
      </x:c>
      <x:c r="H417" t="str">
        <x:v>US West</x:v>
      </x:c>
      <x:c r="I417" s="34" t="n">
        <x:v>79.22</x:v>
      </x:c>
      <x:c r="J417" s="38" t="n">
        <x:v>1.9307181520000005</x:v>
      </x:c>
      <x:c r="K417" s="38" t="n">
        <x:v>0.3577993164719999</x:v>
      </x:c>
      <x:c r="L417" s="28" t="n">
        <x:v>0.18531928966501984</x:v>
      </x:c>
    </x:row>
    <x:row r="418">
      <x:c r="A418" s="32" t="n">
        <x:v>45809</x:v>
      </x:c>
      <x:c r="B418" t="str">
        <x:v>Jun 2025</x:v>
      </x:c>
      <x:c r="C418" t="str">
        <x:v>Actual</x:v>
      </x:c>
      <x:c r="D418" t="str">
        <x:v>DB-101</x:v>
      </x:c>
      <x:c r="E418" t="str">
        <x:v>AeroSip Bottle</x:v>
      </x:c>
      <x:c r="F418" t="str">
        <x:v>TikTok Shop</x:v>
      </x:c>
      <x:c r="G418" t="str">
        <x:v>Social Commerce</x:v>
      </x:c>
      <x:c r="H418" t="str">
        <x:v>US Central</x:v>
      </x:c>
      <x:c r="I418" s="34" t="n">
        <x:v>55.919999999999995</x:v>
      </x:c>
      <x:c r="J418" s="38" t="n">
        <x:v>1.3628598720000002</x:v>
      </x:c>
      <x:c r="K418" s="38" t="n">
        <x:v>0.2525642233919999</x:v>
      </x:c>
      <x:c r="L418" s="28" t="n">
        <x:v>0.18531928966501984</x:v>
      </x:c>
    </x:row>
    <x:row r="419">
      <x:c r="A419" s="32" t="n">
        <x:v>45809</x:v>
      </x:c>
      <x:c r="B419" t="str">
        <x:v>Jun 2025</x:v>
      </x:c>
      <x:c r="C419" t="str">
        <x:v>Actual</x:v>
      </x:c>
      <x:c r="D419" t="str">
        <x:v>DB-101</x:v>
      </x:c>
      <x:c r="E419" t="str">
        <x:v>AeroSip Bottle</x:v>
      </x:c>
      <x:c r="F419" t="str">
        <x:v>TikTok Shop</x:v>
      </x:c>
      <x:c r="G419" t="str">
        <x:v>Social Commerce</x:v>
      </x:c>
      <x:c r="H419" t="str">
        <x:v>US East</x:v>
      </x:c>
      <x:c r="I419" s="34" t="n">
        <x:v>74.56</x:v>
      </x:c>
      <x:c r="J419" s="38" t="n">
        <x:v>1.8171464960000003</x:v>
      </x:c>
      <x:c r="K419" s="38" t="n">
        <x:v>0.3367522978559999</x:v>
      </x:c>
      <x:c r="L419" s="28" t="n">
        <x:v>0.18531928966501987</x:v>
      </x:c>
    </x:row>
    <x:row r="420">
      <x:c r="A420" s="32" t="n">
        <x:v>45809</x:v>
      </x:c>
      <x:c r="B420" t="str">
        <x:v>Jun 2025</x:v>
      </x:c>
      <x:c r="C420" t="str">
        <x:v>Actual</x:v>
      </x:c>
      <x:c r="D420" t="str">
        <x:v>DB-101</x:v>
      </x:c>
      <x:c r="E420" t="str">
        <x:v>AeroSip Bottle</x:v>
      </x:c>
      <x:c r="F420" t="str">
        <x:v>TikTok Shop</x:v>
      </x:c>
      <x:c r="G420" t="str">
        <x:v>Social Commerce</x:v>
      </x:c>
      <x:c r="H420" t="str">
        <x:v>Canada</x:v>
      </x:c>
      <x:c r="I420" s="34" t="n">
        <x:v>23.3</x:v>
      </x:c>
      <x:c r="J420" s="38" t="n">
        <x:v>0.5678582800000002</x:v>
      </x:c>
      <x:c r="K420" s="38" t="n">
        <x:v>0.10523509307999997</x:v>
      </x:c>
      <x:c r="L420" s="28" t="n">
        <x:v>0.18531928966501984</x:v>
      </x:c>
    </x:row>
    <x:row r="421">
      <x:c r="A421" s="32" t="n">
        <x:v>45809</x:v>
      </x:c>
      <x:c r="B421" t="str">
        <x:v>Jun 2025</x:v>
      </x:c>
      <x:c r="C421" t="str">
        <x:v>Actual</x:v>
      </x:c>
      <x:c r="D421" t="str">
        <x:v>DB-102</x:v>
      </x:c>
      <x:c r="E421" t="str">
        <x:v>GlowPatch Balm</x:v>
      </x:c>
      <x:c r="F421" t="str">
        <x:v>Shopify DTC</x:v>
      </x:c>
      <x:c r="G421" t="str">
        <x:v>Consumer</x:v>
      </x:c>
      <x:c r="H421" t="str">
        <x:v>US West</x:v>
      </x:c>
      <x:c r="I421" s="34" t="n">
        <x:v>315.18</x:v>
      </x:c>
      <x:c r="J421" s="38" t="n">
        <x:v>5.08889628</x:v>
      </x:c>
      <x:c r="K421" s="38" t="n">
        <x:v>1.4062594078800004</x:v>
      </x:c>
      <x:c r="L421" s="28" t="n">
        <x:v>0.27633878359965325</x:v>
      </x:c>
    </x:row>
    <x:row r="422">
      <x:c r="A422" s="32" t="n">
        <x:v>45809</x:v>
      </x:c>
      <x:c r="B422" t="str">
        <x:v>Jun 2025</x:v>
      </x:c>
      <x:c r="C422" t="str">
        <x:v>Actual</x:v>
      </x:c>
      <x:c r="D422" t="str">
        <x:v>DB-102</x:v>
      </x:c>
      <x:c r="E422" t="str">
        <x:v>GlowPatch Balm</x:v>
      </x:c>
      <x:c r="F422" t="str">
        <x:v>Shopify DTC</x:v>
      </x:c>
      <x:c r="G422" t="str">
        <x:v>Consumer</x:v>
      </x:c>
      <x:c r="H422" t="str">
        <x:v>US Central</x:v>
      </x:c>
      <x:c r="I422" s="34" t="n">
        <x:v>222.48</x:v>
      </x:c>
      <x:c r="J422" s="38" t="n">
        <x:v>3.5921620799999996</x:v>
      </x:c>
      <x:c r="K422" s="38" t="n">
        <x:v>0.9926536996800002</x:v>
      </x:c>
      <x:c r="L422" s="28" t="n">
        <x:v>0.27633878359965325</x:v>
      </x:c>
    </x:row>
    <x:row r="423">
      <x:c r="A423" s="32" t="n">
        <x:v>45809</x:v>
      </x:c>
      <x:c r="B423" t="str">
        <x:v>Jun 2025</x:v>
      </x:c>
      <x:c r="C423" t="str">
        <x:v>Actual</x:v>
      </x:c>
      <x:c r="D423" t="str">
        <x:v>DB-102</x:v>
      </x:c>
      <x:c r="E423" t="str">
        <x:v>GlowPatch Balm</x:v>
      </x:c>
      <x:c r="F423" t="str">
        <x:v>Shopify DTC</x:v>
      </x:c>
      <x:c r="G423" t="str">
        <x:v>Consumer</x:v>
      </x:c>
      <x:c r="H423" t="str">
        <x:v>US East</x:v>
      </x:c>
      <x:c r="I423" s="34" t="n">
        <x:v>296.64</x:v>
      </x:c>
      <x:c r="J423" s="38" t="n">
        <x:v>4.78954944</x:v>
      </x:c>
      <x:c r="K423" s="38" t="n">
        <x:v>1.3235382662400001</x:v>
      </x:c>
      <x:c r="L423" s="28" t="n">
        <x:v>0.2763387835996532</x:v>
      </x:c>
    </x:row>
    <x:row r="424">
      <x:c r="A424" s="32" t="n">
        <x:v>45809</x:v>
      </x:c>
      <x:c r="B424" t="str">
        <x:v>Jun 2025</x:v>
      </x:c>
      <x:c r="C424" t="str">
        <x:v>Actual</x:v>
      </x:c>
      <x:c r="D424" t="str">
        <x:v>DB-102</x:v>
      </x:c>
      <x:c r="E424" t="str">
        <x:v>GlowPatch Balm</x:v>
      </x:c>
      <x:c r="F424" t="str">
        <x:v>Shopify DTC</x:v>
      </x:c>
      <x:c r="G424" t="str">
        <x:v>Consumer</x:v>
      </x:c>
      <x:c r="H424" t="str">
        <x:v>Canada</x:v>
      </x:c>
      <x:c r="I424" s="34" t="n">
        <x:v>92.7</x:v>
      </x:c>
      <x:c r="J424" s="38" t="n">
        <x:v>1.4967342</x:v>
      </x:c>
      <x:c r="K424" s="38" t="n">
        <x:v>0.4136057082000001</x:v>
      </x:c>
      <x:c r="L424" s="28" t="n">
        <x:v>0.27633878359965325</x:v>
      </x:c>
    </x:row>
    <x:row r="425">
      <x:c r="A425" s="32" t="n">
        <x:v>45809</x:v>
      </x:c>
      <x:c r="B425" t="str">
        <x:v>Jun 2025</x:v>
      </x:c>
      <x:c r="C425" t="str">
        <x:v>Actual</x:v>
      </x:c>
      <x:c r="D425" t="str">
        <x:v>DB-102</x:v>
      </x:c>
      <x:c r="E425" t="str">
        <x:v>GlowPatch Balm</x:v>
      </x:c>
      <x:c r="F425" t="str">
        <x:v>Amazon Marketplace</x:v>
      </x:c>
      <x:c r="G425" t="str">
        <x:v>Marketplace Consumer</x:v>
      </x:c>
      <x:c r="H425" t="str">
        <x:v>US West</x:v>
      </x:c>
      <x:c r="I425" s="34" t="n">
        <x:v>185.64000000000001</x:v>
      </x:c>
      <x:c r="J425" s="38" t="n">
        <x:v>3.0950829</x:v>
      </x:c>
      <x:c r="K425" s="38" t="n">
        <x:v>0.26094022499999964</x:v>
      </x:c>
      <x:c r="L425" s="28" t="n">
        <x:v>0.08430799220272893</x:v>
      </x:c>
    </x:row>
    <x:row r="426">
      <x:c r="A426" s="32" t="n">
        <x:v>45809</x:v>
      </x:c>
      <x:c r="B426" t="str">
        <x:v>Jun 2025</x:v>
      </x:c>
      <x:c r="C426" t="str">
        <x:v>Actual</x:v>
      </x:c>
      <x:c r="D426" t="str">
        <x:v>DB-102</x:v>
      </x:c>
      <x:c r="E426" t="str">
        <x:v>GlowPatch Balm</x:v>
      </x:c>
      <x:c r="F426" t="str">
        <x:v>Amazon Marketplace</x:v>
      </x:c>
      <x:c r="G426" t="str">
        <x:v>Marketplace Consumer</x:v>
      </x:c>
      <x:c r="H426" t="str">
        <x:v>US Central</x:v>
      </x:c>
      <x:c r="I426" s="34" t="n">
        <x:v>131.04</x:v>
      </x:c>
      <x:c r="J426" s="38" t="n">
        <x:v>2.1847643999999997</x:v>
      </x:c>
      <x:c r="K426" s="38" t="n">
        <x:v>0.18419309999999975</x:v>
      </x:c>
      <x:c r="L426" s="28" t="n">
        <x:v>0.08430799220272894</x:v>
      </x:c>
    </x:row>
    <x:row r="427">
      <x:c r="A427" s="32" t="n">
        <x:v>45809</x:v>
      </x:c>
      <x:c r="B427" t="str">
        <x:v>Jun 2025</x:v>
      </x:c>
      <x:c r="C427" t="str">
        <x:v>Actual</x:v>
      </x:c>
      <x:c r="D427" t="str">
        <x:v>DB-102</x:v>
      </x:c>
      <x:c r="E427" t="str">
        <x:v>GlowPatch Balm</x:v>
      </x:c>
      <x:c r="F427" t="str">
        <x:v>Amazon Marketplace</x:v>
      </x:c>
      <x:c r="G427" t="str">
        <x:v>Marketplace Consumer</x:v>
      </x:c>
      <x:c r="H427" t="str">
        <x:v>US East</x:v>
      </x:c>
      <x:c r="I427" s="34" t="n">
        <x:v>174.72</x:v>
      </x:c>
      <x:c r="J427" s="38" t="n">
        <x:v>2.9130192</x:v>
      </x:c>
      <x:c r="K427" s="38" t="n">
        <x:v>0.24559079999999966</x:v>
      </x:c>
      <x:c r="L427" s="28" t="n">
        <x:v>0.08430799220272893</x:v>
      </x:c>
    </x:row>
    <x:row r="428">
      <x:c r="A428" s="32" t="n">
        <x:v>45809</x:v>
      </x:c>
      <x:c r="B428" t="str">
        <x:v>Jun 2025</x:v>
      </x:c>
      <x:c r="C428" t="str">
        <x:v>Actual</x:v>
      </x:c>
      <x:c r="D428" t="str">
        <x:v>DB-102</x:v>
      </x:c>
      <x:c r="E428" t="str">
        <x:v>GlowPatch Balm</x:v>
      </x:c>
      <x:c r="F428" t="str">
        <x:v>Amazon Marketplace</x:v>
      </x:c>
      <x:c r="G428" t="str">
        <x:v>Marketplace Consumer</x:v>
      </x:c>
      <x:c r="H428" t="str">
        <x:v>Canada</x:v>
      </x:c>
      <x:c r="I428" s="34" t="n">
        <x:v>54.6</x:v>
      </x:c>
      <x:c r="J428" s="38" t="n">
        <x:v>0.9103185</x:v>
      </x:c>
      <x:c r="K428" s="38" t="n">
        <x:v>0.0767471249999999</x:v>
      </x:c>
      <x:c r="L428" s="28" t="n">
        <x:v>0.08430799220272893</x:v>
      </x:c>
    </x:row>
    <x:row r="429">
      <x:c r="A429" s="32" t="n">
        <x:v>45809</x:v>
      </x:c>
      <x:c r="B429" t="str">
        <x:v>Jun 2025</x:v>
      </x:c>
      <x:c r="C429" t="str">
        <x:v>Actual</x:v>
      </x:c>
      <x:c r="D429" t="str">
        <x:v>DB-102</x:v>
      </x:c>
      <x:c r="E429" t="str">
        <x:v>GlowPatch Balm</x:v>
      </x:c>
      <x:c r="F429" t="str">
        <x:v>Wholesale</x:v>
      </x:c>
      <x:c r="G429" t="str">
        <x:v>Retailer</x:v>
      </x:c>
      <x:c r="H429" t="str">
        <x:v>US West</x:v>
      </x:c>
      <x:c r="I429" s="34" t="n">
        <x:v>52.02</x:v>
      </x:c>
      <x:c r="J429" s="38" t="n">
        <x:v>0.5934181500000001</x:v>
      </x:c>
      <x:c r="K429" s="38" t="n">
        <x:v>0.14781483000000006</x:v>
      </x:c>
      <x:c r="L429" s="28" t="n">
        <x:v>0.24909051062897225</x:v>
      </x:c>
    </x:row>
    <x:row r="430">
      <x:c r="A430" s="32" t="n">
        <x:v>45809</x:v>
      </x:c>
      <x:c r="B430" t="str">
        <x:v>Jun 2025</x:v>
      </x:c>
      <x:c r="C430" t="str">
        <x:v>Actual</x:v>
      </x:c>
      <x:c r="D430" t="str">
        <x:v>DB-102</x:v>
      </x:c>
      <x:c r="E430" t="str">
        <x:v>GlowPatch Balm</x:v>
      </x:c>
      <x:c r="F430" t="str">
        <x:v>Wholesale</x:v>
      </x:c>
      <x:c r="G430" t="str">
        <x:v>Retailer</x:v>
      </x:c>
      <x:c r="H430" t="str">
        <x:v>US Central</x:v>
      </x:c>
      <x:c r="I430" s="34" t="n">
        <x:v>36.72</x:v>
      </x:c>
      <x:c r="J430" s="38" t="n">
        <x:v>0.4188834000000001</x:v>
      </x:c>
      <x:c r="K430" s="38" t="n">
        <x:v>0.10433988000000002</x:v>
      </x:c>
      <x:c r="L430" s="28" t="n">
        <x:v>0.2490905106289722</x:v>
      </x:c>
    </x:row>
    <x:row r="431">
      <x:c r="A431" s="32" t="n">
        <x:v>45809</x:v>
      </x:c>
      <x:c r="B431" t="str">
        <x:v>Jun 2025</x:v>
      </x:c>
      <x:c r="C431" t="str">
        <x:v>Actual</x:v>
      </x:c>
      <x:c r="D431" t="str">
        <x:v>DB-102</x:v>
      </x:c>
      <x:c r="E431" t="str">
        <x:v>GlowPatch Balm</x:v>
      </x:c>
      <x:c r="F431" t="str">
        <x:v>Wholesale</x:v>
      </x:c>
      <x:c r="G431" t="str">
        <x:v>Retailer</x:v>
      </x:c>
      <x:c r="H431" t="str">
        <x:v>US East</x:v>
      </x:c>
      <x:c r="I431" s="34" t="n">
        <x:v>48.96</x:v>
      </x:c>
      <x:c r="J431" s="38" t="n">
        <x:v>0.5585112000000001</x:v>
      </x:c>
      <x:c r="K431" s="38" t="n">
        <x:v>0.13911984000000005</x:v>
      </x:c>
      <x:c r="L431" s="28" t="n">
        <x:v>0.24909051062897222</x:v>
      </x:c>
    </x:row>
    <x:row r="432">
      <x:c r="A432" s="32" t="n">
        <x:v>45809</x:v>
      </x:c>
      <x:c r="B432" t="str">
        <x:v>Jun 2025</x:v>
      </x:c>
      <x:c r="C432" t="str">
        <x:v>Actual</x:v>
      </x:c>
      <x:c r="D432" t="str">
        <x:v>DB-102</x:v>
      </x:c>
      <x:c r="E432" t="str">
        <x:v>GlowPatch Balm</x:v>
      </x:c>
      <x:c r="F432" t="str">
        <x:v>Wholesale</x:v>
      </x:c>
      <x:c r="G432" t="str">
        <x:v>Retailer</x:v>
      </x:c>
      <x:c r="H432" t="str">
        <x:v>Canada</x:v>
      </x:c>
      <x:c r="I432" s="34" t="n">
        <x:v>15.3</x:v>
      </x:c>
      <x:c r="J432" s="38" t="n">
        <x:v>0.17453475000000004</x:v>
      </x:c>
      <x:c r="K432" s="38" t="n">
        <x:v>0.04347495000000001</x:v>
      </x:c>
      <x:c r="L432" s="28" t="n">
        <x:v>0.24909051062897217</x:v>
      </x:c>
    </x:row>
    <x:row r="433">
      <x:c r="A433" s="32" t="n">
        <x:v>45809</x:v>
      </x:c>
      <x:c r="B433" t="str">
        <x:v>Jun 2025</x:v>
      </x:c>
      <x:c r="C433" t="str">
        <x:v>Actual</x:v>
      </x:c>
      <x:c r="D433" t="str">
        <x:v>DB-102</x:v>
      </x:c>
      <x:c r="E433" t="str">
        <x:v>GlowPatch Balm</x:v>
      </x:c>
      <x:c r="F433" t="str">
        <x:v>TikTok Shop</x:v>
      </x:c>
      <x:c r="G433" t="str">
        <x:v>Social Commerce</x:v>
      </x:c>
      <x:c r="H433" t="str">
        <x:v>US West</x:v>
      </x:c>
      <x:c r="I433" s="34" t="n">
        <x:v>79.56</x:v>
      </x:c>
      <x:c r="J433" s="38" t="n">
        <x:v>1.2287246400000003</x:v>
      </x:c>
      <x:c r="K433" s="38" t="n">
        <x:v>0.1434851870400001</x:v>
      </x:c>
      <x:c r="L433" s="28" t="n">
        <x:v>0.11677570577570583</x:v>
      </x:c>
    </x:row>
    <x:row r="434">
      <x:c r="A434" s="32" t="n">
        <x:v>45809</x:v>
      </x:c>
      <x:c r="B434" t="str">
        <x:v>Jun 2025</x:v>
      </x:c>
      <x:c r="C434" t="str">
        <x:v>Actual</x:v>
      </x:c>
      <x:c r="D434" t="str">
        <x:v>DB-102</x:v>
      </x:c>
      <x:c r="E434" t="str">
        <x:v>GlowPatch Balm</x:v>
      </x:c>
      <x:c r="F434" t="str">
        <x:v>TikTok Shop</x:v>
      </x:c>
      <x:c r="G434" t="str">
        <x:v>Social Commerce</x:v>
      </x:c>
      <x:c r="H434" t="str">
        <x:v>US Central</x:v>
      </x:c>
      <x:c r="I434" s="34" t="n">
        <x:v>56.16</x:v>
      </x:c>
      <x:c r="J434" s="38" t="n">
        <x:v>0.8673350400000001</x:v>
      </x:c>
      <x:c r="K434" s="38" t="n">
        <x:v>0.10128366144000005</x:v>
      </x:c>
      <x:c r="L434" s="28" t="n">
        <x:v>0.11677570577570583</x:v>
      </x:c>
    </x:row>
    <x:row r="435">
      <x:c r="A435" s="32" t="n">
        <x:v>45809</x:v>
      </x:c>
      <x:c r="B435" t="str">
        <x:v>Jun 2025</x:v>
      </x:c>
      <x:c r="C435" t="str">
        <x:v>Actual</x:v>
      </x:c>
      <x:c r="D435" t="str">
        <x:v>DB-102</x:v>
      </x:c>
      <x:c r="E435" t="str">
        <x:v>GlowPatch Balm</x:v>
      </x:c>
      <x:c r="F435" t="str">
        <x:v>TikTok Shop</x:v>
      </x:c>
      <x:c r="G435" t="str">
        <x:v>Social Commerce</x:v>
      </x:c>
      <x:c r="H435" t="str">
        <x:v>US East</x:v>
      </x:c>
      <x:c r="I435" s="34" t="n">
        <x:v>74.88</x:v>
      </x:c>
      <x:c r="J435" s="38" t="n">
        <x:v>1.1564467200000002</x:v>
      </x:c>
      <x:c r="K435" s="38" t="n">
        <x:v>0.13504488192000008</x:v>
      </x:c>
      <x:c r="L435" s="28" t="n">
        <x:v>0.11677570577570583</x:v>
      </x:c>
    </x:row>
    <x:row r="436">
      <x:c r="A436" s="32" t="n">
        <x:v>45809</x:v>
      </x:c>
      <x:c r="B436" t="str">
        <x:v>Jun 2025</x:v>
      </x:c>
      <x:c r="C436" t="str">
        <x:v>Actual</x:v>
      </x:c>
      <x:c r="D436" t="str">
        <x:v>DB-102</x:v>
      </x:c>
      <x:c r="E436" t="str">
        <x:v>GlowPatch Balm</x:v>
      </x:c>
      <x:c r="F436" t="str">
        <x:v>TikTok Shop</x:v>
      </x:c>
      <x:c r="G436" t="str">
        <x:v>Social Commerce</x:v>
      </x:c>
      <x:c r="H436" t="str">
        <x:v>Canada</x:v>
      </x:c>
      <x:c r="I436" s="34" t="n">
        <x:v>23.400000000000002</x:v>
      </x:c>
      <x:c r="J436" s="38" t="n">
        <x:v>0.3613896000000001</x:v>
      </x:c>
      <x:c r="K436" s="38" t="n">
        <x:v>0.042201525600000026</x:v>
      </x:c>
      <x:c r="L436" s="28" t="n">
        <x:v>0.11677570577570581</x:v>
      </x:c>
    </x:row>
    <x:row r="437">
      <x:c r="A437" s="32" t="n">
        <x:v>45809</x:v>
      </x:c>
      <x:c r="B437" t="str">
        <x:v>Jun 2025</x:v>
      </x:c>
      <x:c r="C437" t="str">
        <x:v>Actual</x:v>
      </x:c>
      <x:c r="D437" t="str">
        <x:v>DB-103</x:v>
      </x:c>
      <x:c r="E437" t="str">
        <x:v>EmberTrail Camp Mug</x:v>
      </x:c>
      <x:c r="F437" t="str">
        <x:v>Shopify DTC</x:v>
      </x:c>
      <x:c r="G437" t="str">
        <x:v>Consumer</x:v>
      </x:c>
      <x:c r="H437" t="str">
        <x:v>US West</x:v>
      </x:c>
      <x:c r="I437" s="34" t="n">
        <x:v>154.36</x:v>
      </x:c>
      <x:c r="J437" s="38" t="n">
        <x:v>4.562819856000001</x:v>
      </x:c>
      <x:c r="K437" s="38" t="n">
        <x:v>1.416464720176</x:v>
      </x:c>
      <x:c r="L437" s="28" t="n">
        <x:v>0.3104362575948253</x:v>
      </x:c>
    </x:row>
    <x:row r="438">
      <x:c r="A438" s="32" t="n">
        <x:v>45809</x:v>
      </x:c>
      <x:c r="B438" t="str">
        <x:v>Jun 2025</x:v>
      </x:c>
      <x:c r="C438" t="str">
        <x:v>Actual</x:v>
      </x:c>
      <x:c r="D438" t="str">
        <x:v>DB-103</x:v>
      </x:c>
      <x:c r="E438" t="str">
        <x:v>EmberTrail Camp Mug</x:v>
      </x:c>
      <x:c r="F438" t="str">
        <x:v>Shopify DTC</x:v>
      </x:c>
      <x:c r="G438" t="str">
        <x:v>Consumer</x:v>
      </x:c>
      <x:c r="H438" t="str">
        <x:v>US Central</x:v>
      </x:c>
      <x:c r="I438" s="34" t="n">
        <x:v>108.96</x:v>
      </x:c>
      <x:c r="J438" s="38" t="n">
        <x:v>3.220814016</x:v>
      </x:c>
      <x:c r="K438" s="38" t="n">
        <x:v>0.9998574495359999</x:v>
      </x:c>
      <x:c r="L438" s="28" t="n">
        <x:v>0.31043625759482535</x:v>
      </x:c>
    </x:row>
    <x:row r="439">
      <x:c r="A439" s="32" t="n">
        <x:v>45809</x:v>
      </x:c>
      <x:c r="B439" t="str">
        <x:v>Jun 2025</x:v>
      </x:c>
      <x:c r="C439" t="str">
        <x:v>Actual</x:v>
      </x:c>
      <x:c r="D439" t="str">
        <x:v>DB-103</x:v>
      </x:c>
      <x:c r="E439" t="str">
        <x:v>EmberTrail Camp Mug</x:v>
      </x:c>
      <x:c r="F439" t="str">
        <x:v>Shopify DTC</x:v>
      </x:c>
      <x:c r="G439" t="str">
        <x:v>Consumer</x:v>
      </x:c>
      <x:c r="H439" t="str">
        <x:v>US East</x:v>
      </x:c>
      <x:c r="I439" s="34" t="n">
        <x:v>145.28</x:v>
      </x:c>
      <x:c r="J439" s="38" t="n">
        <x:v>4.294418688</x:v>
      </x:c>
      <x:c r="K439" s="38" t="n">
        <x:v>1.3331432660479998</x:v>
      </x:c>
      <x:c r="L439" s="28" t="n">
        <x:v>0.3104362575948253</x:v>
      </x:c>
    </x:row>
    <x:row r="440">
      <x:c r="A440" s="32" t="n">
        <x:v>45809</x:v>
      </x:c>
      <x:c r="B440" t="str">
        <x:v>Jun 2025</x:v>
      </x:c>
      <x:c r="C440" t="str">
        <x:v>Actual</x:v>
      </x:c>
      <x:c r="D440" t="str">
        <x:v>DB-103</x:v>
      </x:c>
      <x:c r="E440" t="str">
        <x:v>EmberTrail Camp Mug</x:v>
      </x:c>
      <x:c r="F440" t="str">
        <x:v>Shopify DTC</x:v>
      </x:c>
      <x:c r="G440" t="str">
        <x:v>Consumer</x:v>
      </x:c>
      <x:c r="H440" t="str">
        <x:v>Canada</x:v>
      </x:c>
      <x:c r="I440" s="34" t="n">
        <x:v>45.400000000000006</x:v>
      </x:c>
      <x:c r="J440" s="38" t="n">
        <x:v>1.3420058400000001</x:v>
      </x:c>
      <x:c r="K440" s="38" t="n">
        <x:v>0.41660727063999997</x:v>
      </x:c>
      <x:c r="L440" s="28" t="n">
        <x:v>0.31043625759482535</x:v>
      </x:c>
    </x:row>
    <x:row r="441">
      <x:c r="A441" s="32" t="n">
        <x:v>45809</x:v>
      </x:c>
      <x:c r="B441" t="str">
        <x:v>Jun 2025</x:v>
      </x:c>
      <x:c r="C441" t="str">
        <x:v>Actual</x:v>
      </x:c>
      <x:c r="D441" t="str">
        <x:v>DB-103</x:v>
      </x:c>
      <x:c r="E441" t="str">
        <x:v>EmberTrail Camp Mug</x:v>
      </x:c>
      <x:c r="F441" t="str">
        <x:v>Amazon Marketplace</x:v>
      </x:c>
      <x:c r="G441" t="str">
        <x:v>Marketplace Consumer</x:v>
      </x:c>
      <x:c r="H441" t="str">
        <x:v>US West</x:v>
      </x:c>
      <x:c r="I441" s="34" t="n">
        <x:v>91.12</x:v>
      </x:c>
      <x:c r="J441" s="38" t="n">
        <x:v>2.7813013200000003</x:v>
      </x:c>
      <x:c r="K441" s="38" t="n">
        <x:v>0.443661002</x:v>
      </x:c>
      <x:c r="L441" s="28" t="n">
        <x:v>0.15951561911314233</x:v>
      </x:c>
    </x:row>
    <x:row r="442">
      <x:c r="A442" s="32" t="n">
        <x:v>45809</x:v>
      </x:c>
      <x:c r="B442" t="str">
        <x:v>Jun 2025</x:v>
      </x:c>
      <x:c r="C442" t="str">
        <x:v>Actual</x:v>
      </x:c>
      <x:c r="D442" t="str">
        <x:v>DB-103</x:v>
      </x:c>
      <x:c r="E442" t="str">
        <x:v>EmberTrail Camp Mug</x:v>
      </x:c>
      <x:c r="F442" t="str">
        <x:v>Amazon Marketplace</x:v>
      </x:c>
      <x:c r="G442" t="str">
        <x:v>Marketplace Consumer</x:v>
      </x:c>
      <x:c r="H442" t="str">
        <x:v>US Central</x:v>
      </x:c>
      <x:c r="I442" s="34" t="n">
        <x:v>64.32</x:v>
      </x:c>
      <x:c r="J442" s="38" t="n">
        <x:v>1.9632715200000002</x:v>
      </x:c>
      <x:c r="K442" s="38" t="n">
        <x:v>0.313172472</x:v>
      </x:c>
      <x:c r="L442" s="28" t="n">
        <x:v>0.1595156191131423</x:v>
      </x:c>
    </x:row>
    <x:row r="443">
      <x:c r="A443" s="32" t="n">
        <x:v>45809</x:v>
      </x:c>
      <x:c r="B443" t="str">
        <x:v>Jun 2025</x:v>
      </x:c>
      <x:c r="C443" t="str">
        <x:v>Actual</x:v>
      </x:c>
      <x:c r="D443" t="str">
        <x:v>DB-103</x:v>
      </x:c>
      <x:c r="E443" t="str">
        <x:v>EmberTrail Camp Mug</x:v>
      </x:c>
      <x:c r="F443" t="str">
        <x:v>Amazon Marketplace</x:v>
      </x:c>
      <x:c r="G443" t="str">
        <x:v>Marketplace Consumer</x:v>
      </x:c>
      <x:c r="H443" t="str">
        <x:v>US East</x:v>
      </x:c>
      <x:c r="I443" s="34" t="n">
        <x:v>85.76</x:v>
      </x:c>
      <x:c r="J443" s="38" t="n">
        <x:v>2.6176953600000004</x:v>
      </x:c>
      <x:c r="K443" s="38" t="n">
        <x:v>0.41756329600000003</x:v>
      </x:c>
      <x:c r="L443" s="28" t="n">
        <x:v>0.15951561911314233</x:v>
      </x:c>
    </x:row>
    <x:row r="444">
      <x:c r="A444" s="32" t="n">
        <x:v>45809</x:v>
      </x:c>
      <x:c r="B444" t="str">
        <x:v>Jun 2025</x:v>
      </x:c>
      <x:c r="C444" t="str">
        <x:v>Actual</x:v>
      </x:c>
      <x:c r="D444" t="str">
        <x:v>DB-103</x:v>
      </x:c>
      <x:c r="E444" t="str">
        <x:v>EmberTrail Camp Mug</x:v>
      </x:c>
      <x:c r="F444" t="str">
        <x:v>Amazon Marketplace</x:v>
      </x:c>
      <x:c r="G444" t="str">
        <x:v>Marketplace Consumer</x:v>
      </x:c>
      <x:c r="H444" t="str">
        <x:v>Canada</x:v>
      </x:c>
      <x:c r="I444" s="34" t="n">
        <x:v>26.8</x:v>
      </x:c>
      <x:c r="J444" s="38" t="n">
        <x:v>0.8180298000000001</x:v>
      </x:c>
      <x:c r="K444" s="38" t="n">
        <x:v>0.13048853000000002</x:v>
      </x:c>
      <x:c r="L444" s="28" t="n">
        <x:v>0.15951561911314233</x:v>
      </x:c>
    </x:row>
    <x:row r="445">
      <x:c r="A445" s="32" t="n">
        <x:v>45809</x:v>
      </x:c>
      <x:c r="B445" t="str">
        <x:v>Jun 2025</x:v>
      </x:c>
      <x:c r="C445" t="str">
        <x:v>Actual</x:v>
      </x:c>
      <x:c r="D445" t="str">
        <x:v>DB-103</x:v>
      </x:c>
      <x:c r="E445" t="str">
        <x:v>EmberTrail Camp Mug</x:v>
      </x:c>
      <x:c r="F445" t="str">
        <x:v>Wholesale</x:v>
      </x:c>
      <x:c r="G445" t="str">
        <x:v>Retailer</x:v>
      </x:c>
      <x:c r="H445" t="str">
        <x:v>US West</x:v>
      </x:c>
      <x:c r="I445" s="34" t="n">
        <x:v>25.500000000000004</x:v>
      </x:c>
      <x:c r="J445" s="38" t="n">
        <x:v>0.5325547500000001</x:v>
      </x:c>
      <x:c r="K445" s="38" t="n">
        <x:v>0.10221675000000005</x:v>
      </x:c>
      <x:c r="L445" s="28" t="n">
        <x:v>0.19193660370130966</x:v>
      </x:c>
    </x:row>
    <x:row r="446">
      <x:c r="A446" s="32" t="n">
        <x:v>45809</x:v>
      </x:c>
      <x:c r="B446" t="str">
        <x:v>Jun 2025</x:v>
      </x:c>
      <x:c r="C446" t="str">
        <x:v>Actual</x:v>
      </x:c>
      <x:c r="D446" t="str">
        <x:v>DB-103</x:v>
      </x:c>
      <x:c r="E446" t="str">
        <x:v>EmberTrail Camp Mug</x:v>
      </x:c>
      <x:c r="F446" t="str">
        <x:v>Wholesale</x:v>
      </x:c>
      <x:c r="G446" t="str">
        <x:v>Retailer</x:v>
      </x:c>
      <x:c r="H446" t="str">
        <x:v>US Central</x:v>
      </x:c>
      <x:c r="I446" s="34" t="n">
        <x:v>18</x:v>
      </x:c>
      <x:c r="J446" s="38" t="n">
        <x:v>0.375921</x:v>
      </x:c>
      <x:c r="K446" s="38" t="n">
        <x:v>0.07215300000000002</x:v>
      </x:c>
      <x:c r="L446" s="28" t="n">
        <x:v>0.19193660370130963</x:v>
      </x:c>
    </x:row>
    <x:row r="447">
      <x:c r="A447" s="32" t="n">
        <x:v>45809</x:v>
      </x:c>
      <x:c r="B447" t="str">
        <x:v>Jun 2025</x:v>
      </x:c>
      <x:c r="C447" t="str">
        <x:v>Actual</x:v>
      </x:c>
      <x:c r="D447" t="str">
        <x:v>DB-103</x:v>
      </x:c>
      <x:c r="E447" t="str">
        <x:v>EmberTrail Camp Mug</x:v>
      </x:c>
      <x:c r="F447" t="str">
        <x:v>Wholesale</x:v>
      </x:c>
      <x:c r="G447" t="str">
        <x:v>Retailer</x:v>
      </x:c>
      <x:c r="H447" t="str">
        <x:v>US East</x:v>
      </x:c>
      <x:c r="I447" s="34" t="n">
        <x:v>24</x:v>
      </x:c>
      <x:c r="J447" s="38" t="n">
        <x:v>0.501228</x:v>
      </x:c>
      <x:c r="K447" s="38" t="n">
        <x:v>0.09620400000000004</x:v>
      </x:c>
      <x:c r="L447" s="28" t="n">
        <x:v>0.19193660370130966</x:v>
      </x:c>
    </x:row>
    <x:row r="448">
      <x:c r="A448" s="32" t="n">
        <x:v>45809</x:v>
      </x:c>
      <x:c r="B448" t="str">
        <x:v>Jun 2025</x:v>
      </x:c>
      <x:c r="C448" t="str">
        <x:v>Actual</x:v>
      </x:c>
      <x:c r="D448" t="str">
        <x:v>DB-103</x:v>
      </x:c>
      <x:c r="E448" t="str">
        <x:v>EmberTrail Camp Mug</x:v>
      </x:c>
      <x:c r="F448" t="str">
        <x:v>Wholesale</x:v>
      </x:c>
      <x:c r="G448" t="str">
        <x:v>Retailer</x:v>
      </x:c>
      <x:c r="H448" t="str">
        <x:v>Canada</x:v>
      </x:c>
      <x:c r="I448" s="34" t="n">
        <x:v>7.5</x:v>
      </x:c>
      <x:c r="J448" s="38" t="n">
        <x:v>0.15663375000000002</x:v>
      </x:c>
      <x:c r="K448" s="38" t="n">
        <x:v>0.030063750000000014</x:v>
      </x:c>
      <x:c r="L448" s="28" t="n">
        <x:v>0.19193660370130966</x:v>
      </x:c>
    </x:row>
    <x:row r="449">
      <x:c r="A449" s="32" t="n">
        <x:v>45809</x:v>
      </x:c>
      <x:c r="B449" t="str">
        <x:v>Jun 2025</x:v>
      </x:c>
      <x:c r="C449" t="str">
        <x:v>Actual</x:v>
      </x:c>
      <x:c r="D449" t="str">
        <x:v>DB-103</x:v>
      </x:c>
      <x:c r="E449" t="str">
        <x:v>EmberTrail Camp Mug</x:v>
      </x:c>
      <x:c r="F449" t="str">
        <x:v>TikTok Shop</x:v>
      </x:c>
      <x:c r="G449" t="str">
        <x:v>Social Commerce</x:v>
      </x:c>
      <x:c r="H449" t="str">
        <x:v>US West</x:v>
      </x:c>
      <x:c r="I449" s="34" t="n">
        <x:v>39.1</x:v>
      </x:c>
      <x:c r="J449" s="38" t="n">
        <x:v>1.10552904</x:v>
      </x:c>
      <x:c r="K449" s="38" t="n">
        <x:v>0.20261535543999992</x:v>
      </x:c>
      <x:c r="L449" s="28" t="n">
        <x:v>0.1832745663922134</x:v>
      </x:c>
    </x:row>
    <x:row r="450">
      <x:c r="A450" s="32" t="n">
        <x:v>45809</x:v>
      </x:c>
      <x:c r="B450" t="str">
        <x:v>Jun 2025</x:v>
      </x:c>
      <x:c r="C450" t="str">
        <x:v>Actual</x:v>
      </x:c>
      <x:c r="D450" t="str">
        <x:v>DB-103</x:v>
      </x:c>
      <x:c r="E450" t="str">
        <x:v>EmberTrail Camp Mug</x:v>
      </x:c>
      <x:c r="F450" t="str">
        <x:v>TikTok Shop</x:v>
      </x:c>
      <x:c r="G450" t="str">
        <x:v>Social Commerce</x:v>
      </x:c>
      <x:c r="H450" t="str">
        <x:v>US Central</x:v>
      </x:c>
      <x:c r="I450" s="34" t="n">
        <x:v>27.599999999999998</x:v>
      </x:c>
      <x:c r="J450" s="38" t="n">
        <x:v>0.78037344</x:v>
      </x:c>
      <x:c r="K450" s="38" t="n">
        <x:v>0.14302260383999993</x:v>
      </x:c>
      <x:c r="L450" s="28" t="n">
        <x:v>0.18327456639221337</x:v>
      </x:c>
    </x:row>
    <x:row r="451">
      <x:c r="A451" s="32" t="n">
        <x:v>45809</x:v>
      </x:c>
      <x:c r="B451" t="str">
        <x:v>Jun 2025</x:v>
      </x:c>
      <x:c r="C451" t="str">
        <x:v>Actual</x:v>
      </x:c>
      <x:c r="D451" t="str">
        <x:v>DB-103</x:v>
      </x:c>
      <x:c r="E451" t="str">
        <x:v>EmberTrail Camp Mug</x:v>
      </x:c>
      <x:c r="F451" t="str">
        <x:v>TikTok Shop</x:v>
      </x:c>
      <x:c r="G451" t="str">
        <x:v>Social Commerce</x:v>
      </x:c>
      <x:c r="H451" t="str">
        <x:v>US East</x:v>
      </x:c>
      <x:c r="I451" s="34" t="n">
        <x:v>36.800000000000004</x:v>
      </x:c>
      <x:c r="J451" s="38" t="n">
        <x:v>1.04049792</x:v>
      </x:c>
      <x:c r="K451" s="38" t="n">
        <x:v>0.19069680511999992</x:v>
      </x:c>
      <x:c r="L451" s="28" t="n">
        <x:v>0.18327456639221337</x:v>
      </x:c>
    </x:row>
    <x:row r="452">
      <x:c r="A452" s="32" t="n">
        <x:v>45809</x:v>
      </x:c>
      <x:c r="B452" t="str">
        <x:v>Jun 2025</x:v>
      </x:c>
      <x:c r="C452" t="str">
        <x:v>Actual</x:v>
      </x:c>
      <x:c r="D452" t="str">
        <x:v>DB-103</x:v>
      </x:c>
      <x:c r="E452" t="str">
        <x:v>EmberTrail Camp Mug</x:v>
      </x:c>
      <x:c r="F452" t="str">
        <x:v>TikTok Shop</x:v>
      </x:c>
      <x:c r="G452" t="str">
        <x:v>Social Commerce</x:v>
      </x:c>
      <x:c r="H452" t="str">
        <x:v>Canada</x:v>
      </x:c>
      <x:c r="I452" s="34" t="n">
        <x:v>11.5</x:v>
      </x:c>
      <x:c r="J452" s="38" t="n">
        <x:v>0.3251556</x:v>
      </x:c>
      <x:c r="K452" s="38" t="n">
        <x:v>0.05959275159999997</x:v>
      </x:c>
      <x:c r="L452" s="28" t="n">
        <x:v>0.18327456639221337</x:v>
      </x:c>
    </x:row>
    <x:row r="453">
      <x:c r="A453" s="32" t="n">
        <x:v>45809</x:v>
      </x:c>
      <x:c r="B453" t="str">
        <x:v>Jun 2025</x:v>
      </x:c>
      <x:c r="C453" t="str">
        <x:v>Actual</x:v>
      </x:c>
      <x:c r="D453" t="str">
        <x:v>DB-104</x:v>
      </x:c>
      <x:c r="E453" t="str">
        <x:v>SunNest Cooling Towel</x:v>
      </x:c>
      <x:c r="F453" t="str">
        <x:v>Shopify DTC</x:v>
      </x:c>
      <x:c r="G453" t="str">
        <x:v>Consumer</x:v>
      </x:c>
      <x:c r="H453" t="str">
        <x:v>US West</x:v>
      </x:c>
      <x:c r="I453" s="34" t="n">
        <x:v>288.32</x:v>
      </x:c>
      <x:c r="J453" s="38" t="n">
        <x:v>10.58365056</x:v>
      </x:c>
      <x:c r="K453" s="38" t="n">
        <x:v>4.25717973376</x:v>
      </x:c>
      <x:c r="L453" s="28" t="n">
        <x:v>0.40224114634412117</x:v>
      </x:c>
    </x:row>
    <x:row r="454">
      <x:c r="A454" s="32" t="n">
        <x:v>45809</x:v>
      </x:c>
      <x:c r="B454" t="str">
        <x:v>Jun 2025</x:v>
      </x:c>
      <x:c r="C454" t="str">
        <x:v>Actual</x:v>
      </x:c>
      <x:c r="D454" t="str">
        <x:v>DB-104</x:v>
      </x:c>
      <x:c r="E454" t="str">
        <x:v>SunNest Cooling Towel</x:v>
      </x:c>
      <x:c r="F454" t="str">
        <x:v>Shopify DTC</x:v>
      </x:c>
      <x:c r="G454" t="str">
        <x:v>Consumer</x:v>
      </x:c>
      <x:c r="H454" t="str">
        <x:v>US Central</x:v>
      </x:c>
      <x:c r="I454" s="34" t="n">
        <x:v>203.51999999999998</x:v>
      </x:c>
      <x:c r="J454" s="38" t="n">
        <x:v>7.470812159999999</x:v>
      </x:c>
      <x:c r="K454" s="38" t="n">
        <x:v>3.00506804736</x:v>
      </x:c>
      <x:c r="L454" s="28" t="n">
        <x:v>0.4022411463441212</x:v>
      </x:c>
    </x:row>
    <x:row r="455">
      <x:c r="A455" s="32" t="n">
        <x:v>45809</x:v>
      </x:c>
      <x:c r="B455" t="str">
        <x:v>Jun 2025</x:v>
      </x:c>
      <x:c r="C455" t="str">
        <x:v>Actual</x:v>
      </x:c>
      <x:c r="D455" t="str">
        <x:v>DB-104</x:v>
      </x:c>
      <x:c r="E455" t="str">
        <x:v>SunNest Cooling Towel</x:v>
      </x:c>
      <x:c r="F455" t="str">
        <x:v>Shopify DTC</x:v>
      </x:c>
      <x:c r="G455" t="str">
        <x:v>Consumer</x:v>
      </x:c>
      <x:c r="H455" t="str">
        <x:v>US East</x:v>
      </x:c>
      <x:c r="I455" s="34" t="n">
        <x:v>271.36</x:v>
      </x:c>
      <x:c r="J455" s="38" t="n">
        <x:v>9.96108288</x:v>
      </x:c>
      <x:c r="K455" s="38" t="n">
        <x:v>4.00675739648</x:v>
      </x:c>
      <x:c r="L455" s="28" t="n">
        <x:v>0.4022411463441212</x:v>
      </x:c>
    </x:row>
    <x:row r="456">
      <x:c r="A456" s="32" t="n">
        <x:v>45809</x:v>
      </x:c>
      <x:c r="B456" t="str">
        <x:v>Jun 2025</x:v>
      </x:c>
      <x:c r="C456" t="str">
        <x:v>Actual</x:v>
      </x:c>
      <x:c r="D456" t="str">
        <x:v>DB-104</x:v>
      </x:c>
      <x:c r="E456" t="str">
        <x:v>SunNest Cooling Towel</x:v>
      </x:c>
      <x:c r="F456" t="str">
        <x:v>Shopify DTC</x:v>
      </x:c>
      <x:c r="G456" t="str">
        <x:v>Consumer</x:v>
      </x:c>
      <x:c r="H456" t="str">
        <x:v>Canada</x:v>
      </x:c>
      <x:c r="I456" s="34" t="n">
        <x:v>84.80000000000001</x:v>
      </x:c>
      <x:c r="J456" s="38" t="n">
        <x:v>3.1128384</x:v>
      </x:c>
      <x:c r="K456" s="38" t="n">
        <x:v>1.2521116864000001</x:v>
      </x:c>
      <x:c r="L456" s="28" t="n">
        <x:v>0.4022411463441212</x:v>
      </x:c>
    </x:row>
    <x:row r="457">
      <x:c r="A457" s="32" t="n">
        <x:v>45809</x:v>
      </x:c>
      <x:c r="B457" t="str">
        <x:v>Jun 2025</x:v>
      </x:c>
      <x:c r="C457" t="str">
        <x:v>Actual</x:v>
      </x:c>
      <x:c r="D457" t="str">
        <x:v>DB-104</x:v>
      </x:c>
      <x:c r="E457" t="str">
        <x:v>SunNest Cooling Towel</x:v>
      </x:c>
      <x:c r="F457" t="str">
        <x:v>Amazon Marketplace</x:v>
      </x:c>
      <x:c r="G457" t="str">
        <x:v>Marketplace Consumer</x:v>
      </x:c>
      <x:c r="H457" t="str">
        <x:v>US West</x:v>
      </x:c>
      <x:c r="I457" s="34" t="n">
        <x:v>170</x:v>
      </x:c>
      <x:c r="J457" s="38" t="n">
        <x:v>6.44385</x:v>
      </x:c>
      <x:c r="K457" s="38" t="n">
        <x:v>1.6645125</x:v>
      </x:c>
      <x:c r="L457" s="28" t="n">
        <x:v>0.2583102493074792</x:v>
      </x:c>
    </x:row>
    <x:row r="458">
      <x:c r="A458" s="32" t="n">
        <x:v>45809</x:v>
      </x:c>
      <x:c r="B458" t="str">
        <x:v>Jun 2025</x:v>
      </x:c>
      <x:c r="C458" t="str">
        <x:v>Actual</x:v>
      </x:c>
      <x:c r="D458" t="str">
        <x:v>DB-104</x:v>
      </x:c>
      <x:c r="E458" t="str">
        <x:v>SunNest Cooling Towel</x:v>
      </x:c>
      <x:c r="F458" t="str">
        <x:v>Amazon Marketplace</x:v>
      </x:c>
      <x:c r="G458" t="str">
        <x:v>Marketplace Consumer</x:v>
      </x:c>
      <x:c r="H458" t="str">
        <x:v>US Central</x:v>
      </x:c>
      <x:c r="I458" s="34" t="n">
        <x:v>120</x:v>
      </x:c>
      <x:c r="J458" s="38" t="n">
        <x:v>4.5485999999999995</x:v>
      </x:c>
      <x:c r="K458" s="38" t="n">
        <x:v>1.17495</x:v>
      </x:c>
      <x:c r="L458" s="28" t="n">
        <x:v>0.25831024930747926</x:v>
      </x:c>
    </x:row>
    <x:row r="459">
      <x:c r="A459" s="32" t="n">
        <x:v>45809</x:v>
      </x:c>
      <x:c r="B459" t="str">
        <x:v>Jun 2025</x:v>
      </x:c>
      <x:c r="C459" t="str">
        <x:v>Actual</x:v>
      </x:c>
      <x:c r="D459" t="str">
        <x:v>DB-104</x:v>
      </x:c>
      <x:c r="E459" t="str">
        <x:v>SunNest Cooling Towel</x:v>
      </x:c>
      <x:c r="F459" t="str">
        <x:v>Amazon Marketplace</x:v>
      </x:c>
      <x:c r="G459" t="str">
        <x:v>Marketplace Consumer</x:v>
      </x:c>
      <x:c r="H459" t="str">
        <x:v>US East</x:v>
      </x:c>
      <x:c r="I459" s="34" t="n">
        <x:v>160</x:v>
      </x:c>
      <x:c r="J459" s="38" t="n">
        <x:v>6.0648</x:v>
      </x:c>
      <x:c r="K459" s="38" t="n">
        <x:v>1.5666</x:v>
      </x:c>
      <x:c r="L459" s="28" t="n">
        <x:v>0.2583102493074792</x:v>
      </x:c>
    </x:row>
    <x:row r="460">
      <x:c r="A460" s="32" t="n">
        <x:v>45809</x:v>
      </x:c>
      <x:c r="B460" t="str">
        <x:v>Jun 2025</x:v>
      </x:c>
      <x:c r="C460" t="str">
        <x:v>Actual</x:v>
      </x:c>
      <x:c r="D460" t="str">
        <x:v>DB-104</x:v>
      </x:c>
      <x:c r="E460" t="str">
        <x:v>SunNest Cooling Towel</x:v>
      </x:c>
      <x:c r="F460" t="str">
        <x:v>Amazon Marketplace</x:v>
      </x:c>
      <x:c r="G460" t="str">
        <x:v>Marketplace Consumer</x:v>
      </x:c>
      <x:c r="H460" t="str">
        <x:v>Canada</x:v>
      </x:c>
      <x:c r="I460" s="34" t="n">
        <x:v>50</x:v>
      </x:c>
      <x:c r="J460" s="38" t="n">
        <x:v>1.89525</x:v>
      </x:c>
      <x:c r="K460" s="38" t="n">
        <x:v>0.4895625</x:v>
      </x:c>
      <x:c r="L460" s="28" t="n">
        <x:v>0.2583102493074792</x:v>
      </x:c>
    </x:row>
    <x:row r="461">
      <x:c r="A461" s="32" t="n">
        <x:v>45809</x:v>
      </x:c>
      <x:c r="B461" t="str">
        <x:v>Jun 2025</x:v>
      </x:c>
      <x:c r="C461" t="str">
        <x:v>Actual</x:v>
      </x:c>
      <x:c r="D461" t="str">
        <x:v>DB-104</x:v>
      </x:c>
      <x:c r="E461" t="str">
        <x:v>SunNest Cooling Towel</x:v>
      </x:c>
      <x:c r="F461" t="str">
        <x:v>Wholesale</x:v>
      </x:c>
      <x:c r="G461" t="str">
        <x:v>Retailer</x:v>
      </x:c>
      <x:c r="H461" t="str">
        <x:v>US West</x:v>
      </x:c>
      <x:c r="I461" s="34" t="n">
        <x:v>47.6</x:v>
      </x:c>
      <x:c r="J461" s="38" t="n">
        <x:v>1.2345059999999999</x:v>
      </x:c>
      <x:c r="K461" s="38" t="n">
        <x:v>0.3668531999999998</x:v>
      </x:c>
      <x:c r="L461" s="28" t="n">
        <x:v>0.2971659919028339</x:v>
      </x:c>
    </x:row>
    <x:row r="462">
      <x:c r="A462" s="32" t="n">
        <x:v>45809</x:v>
      </x:c>
      <x:c r="B462" t="str">
        <x:v>Jun 2025</x:v>
      </x:c>
      <x:c r="C462" t="str">
        <x:v>Actual</x:v>
      </x:c>
      <x:c r="D462" t="str">
        <x:v>DB-104</x:v>
      </x:c>
      <x:c r="E462" t="str">
        <x:v>SunNest Cooling Towel</x:v>
      </x:c>
      <x:c r="F462" t="str">
        <x:v>Wholesale</x:v>
      </x:c>
      <x:c r="G462" t="str">
        <x:v>Retailer</x:v>
      </x:c>
      <x:c r="H462" t="str">
        <x:v>US Central</x:v>
      </x:c>
      <x:c r="I462" s="34" t="n">
        <x:v>33.6</x:v>
      </x:c>
      <x:c r="J462" s="38" t="n">
        <x:v>0.8714159999999999</x:v>
      </x:c>
      <x:c r="K462" s="38" t="n">
        <x:v>0.25895519999999983</x:v>
      </x:c>
      <x:c r="L462" s="28" t="n">
        <x:v>0.2971659919028339</x:v>
      </x:c>
    </x:row>
    <x:row r="463">
      <x:c r="A463" s="32" t="n">
        <x:v>45809</x:v>
      </x:c>
      <x:c r="B463" t="str">
        <x:v>Jun 2025</x:v>
      </x:c>
      <x:c r="C463" t="str">
        <x:v>Actual</x:v>
      </x:c>
      <x:c r="D463" t="str">
        <x:v>DB-104</x:v>
      </x:c>
      <x:c r="E463" t="str">
        <x:v>SunNest Cooling Towel</x:v>
      </x:c>
      <x:c r="F463" t="str">
        <x:v>Wholesale</x:v>
      </x:c>
      <x:c r="G463" t="str">
        <x:v>Retailer</x:v>
      </x:c>
      <x:c r="H463" t="str">
        <x:v>US East</x:v>
      </x:c>
      <x:c r="I463" s="34" t="n">
        <x:v>44.800000000000004</x:v>
      </x:c>
      <x:c r="J463" s="38" t="n">
        <x:v>1.1618879999999998</x:v>
      </x:c>
      <x:c r="K463" s="38" t="n">
        <x:v>0.3452735999999998</x:v>
      </x:c>
      <x:c r="L463" s="28" t="n">
        <x:v>0.2971659919028339</x:v>
      </x:c>
    </x:row>
    <x:row r="464">
      <x:c r="A464" s="32" t="n">
        <x:v>45809</x:v>
      </x:c>
      <x:c r="B464" t="str">
        <x:v>Jun 2025</x:v>
      </x:c>
      <x:c r="C464" t="str">
        <x:v>Actual</x:v>
      </x:c>
      <x:c r="D464" t="str">
        <x:v>DB-104</x:v>
      </x:c>
      <x:c r="E464" t="str">
        <x:v>SunNest Cooling Towel</x:v>
      </x:c>
      <x:c r="F464" t="str">
        <x:v>Wholesale</x:v>
      </x:c>
      <x:c r="G464" t="str">
        <x:v>Retailer</x:v>
      </x:c>
      <x:c r="H464" t="str">
        <x:v>Canada</x:v>
      </x:c>
      <x:c r="I464" s="34" t="n">
        <x:v>14</x:v>
      </x:c>
      <x:c r="J464" s="38" t="n">
        <x:v>0.36308999999999997</x:v>
      </x:c>
      <x:c r="K464" s="38" t="n">
        <x:v>0.10789799999999994</x:v>
      </x:c>
      <x:c r="L464" s="28" t="n">
        <x:v>0.2971659919028339</x:v>
      </x:c>
    </x:row>
    <x:row r="465">
      <x:c r="A465" s="32" t="n">
        <x:v>45809</x:v>
      </x:c>
      <x:c r="B465" t="str">
        <x:v>Jun 2025</x:v>
      </x:c>
      <x:c r="C465" t="str">
        <x:v>Actual</x:v>
      </x:c>
      <x:c r="D465" t="str">
        <x:v>DB-104</x:v>
      </x:c>
      <x:c r="E465" t="str">
        <x:v>SunNest Cooling Towel</x:v>
      </x:c>
      <x:c r="F465" t="str">
        <x:v>TikTok Shop</x:v>
      </x:c>
      <x:c r="G465" t="str">
        <x:v>Social Commerce</x:v>
      </x:c>
      <x:c r="H465" t="str">
        <x:v>US West</x:v>
      </x:c>
      <x:c r="I465" s="34" t="n">
        <x:v>72.76</x:v>
      </x:c>
      <x:c r="J465" s="38" t="n">
        <x:v>2.55474912</x:v>
      </x:c>
      <x:c r="K465" s="38" t="n">
        <x:v>0.7318951683199999</x:v>
      </x:c>
      <x:c r="L465" s="28" t="n">
        <x:v>0.2864841649578491</x:v>
      </x:c>
    </x:row>
    <x:row r="466">
      <x:c r="A466" s="32" t="n">
        <x:v>45809</x:v>
      </x:c>
      <x:c r="B466" t="str">
        <x:v>Jun 2025</x:v>
      </x:c>
      <x:c r="C466" t="str">
        <x:v>Actual</x:v>
      </x:c>
      <x:c r="D466" t="str">
        <x:v>DB-104</x:v>
      </x:c>
      <x:c r="E466" t="str">
        <x:v>SunNest Cooling Towel</x:v>
      </x:c>
      <x:c r="F466" t="str">
        <x:v>TikTok Shop</x:v>
      </x:c>
      <x:c r="G466" t="str">
        <x:v>Social Commerce</x:v>
      </x:c>
      <x:c r="H466" t="str">
        <x:v>US Central</x:v>
      </x:c>
      <x:c r="I466" s="34" t="n">
        <x:v>51.36</x:v>
      </x:c>
      <x:c r="J466" s="38" t="n">
        <x:v>1.8033523199999997</x:v>
      </x:c>
      <x:c r="K466" s="38" t="n">
        <x:v>0.5166318835199999</x:v>
      </x:c>
      <x:c r="L466" s="28" t="n">
        <x:v>0.2864841649578492</x:v>
      </x:c>
    </x:row>
    <x:row r="467">
      <x:c r="A467" s="32" t="n">
        <x:v>45809</x:v>
      </x:c>
      <x:c r="B467" t="str">
        <x:v>Jun 2025</x:v>
      </x:c>
      <x:c r="C467" t="str">
        <x:v>Actual</x:v>
      </x:c>
      <x:c r="D467" t="str">
        <x:v>DB-104</x:v>
      </x:c>
      <x:c r="E467" t="str">
        <x:v>SunNest Cooling Towel</x:v>
      </x:c>
      <x:c r="F467" t="str">
        <x:v>TikTok Shop</x:v>
      </x:c>
      <x:c r="G467" t="str">
        <x:v>Social Commerce</x:v>
      </x:c>
      <x:c r="H467" t="str">
        <x:v>US East</x:v>
      </x:c>
      <x:c r="I467" s="34" t="n">
        <x:v>68.48</x:v>
      </x:c>
      <x:c r="J467" s="38" t="n">
        <x:v>2.40446976</x:v>
      </x:c>
      <x:c r="K467" s="38" t="n">
        <x:v>0.6888425113599999</x:v>
      </x:c>
      <x:c r="L467" s="28" t="n">
        <x:v>0.2864841649578491</x:v>
      </x:c>
    </x:row>
    <x:row r="468">
      <x:c r="A468" s="32" t="n">
        <x:v>45809</x:v>
      </x:c>
      <x:c r="B468" t="str">
        <x:v>Jun 2025</x:v>
      </x:c>
      <x:c r="C468" t="str">
        <x:v>Actual</x:v>
      </x:c>
      <x:c r="D468" t="str">
        <x:v>DB-104</x:v>
      </x:c>
      <x:c r="E468" t="str">
        <x:v>SunNest Cooling Towel</x:v>
      </x:c>
      <x:c r="F468" t="str">
        <x:v>TikTok Shop</x:v>
      </x:c>
      <x:c r="G468" t="str">
        <x:v>Social Commerce</x:v>
      </x:c>
      <x:c r="H468" t="str">
        <x:v>Canada</x:v>
      </x:c>
      <x:c r="I468" s="34" t="n">
        <x:v>21.400000000000002</x:v>
      </x:c>
      <x:c r="J468" s="38" t="n">
        <x:v>0.7513968</x:v>
      </x:c>
      <x:c r="K468" s="38" t="n">
        <x:v>0.21526328479999998</x:v>
      </x:c>
      <x:c r="L468" s="28" t="n">
        <x:v>0.2864841649578492</x:v>
      </x:c>
    </x:row>
    <x:row r="469">
      <x:c r="A469" s="32" t="n">
        <x:v>45809</x:v>
      </x:c>
      <x:c r="B469" t="str">
        <x:v>Jun 2025</x:v>
      </x:c>
      <x:c r="C469" t="str">
        <x:v>Actual</x:v>
      </x:c>
      <x:c r="D469" t="str">
        <x:v>DB-105</x:v>
      </x:c>
      <x:c r="E469" t="str">
        <x:v>DreamFuel Refill Pack</x:v>
      </x:c>
      <x:c r="F469" t="str">
        <x:v>Shopify DTC</x:v>
      </x:c>
      <x:c r="G469" t="str">
        <x:v>Consumer</x:v>
      </x:c>
      <x:c r="H469" t="str">
        <x:v>US West</x:v>
      </x:c>
      <x:c r="I469" s="34" t="n">
        <x:v>246.84000000000003</x:v>
      </x:c>
      <x:c r="J469" s="38" t="n">
        <x:v>12.462852864</x:v>
      </x:c>
      <x:c r="K469" s="38" t="n">
        <x:v>6.072708706944</x:v>
      </x:c>
      <x:c r="L469" s="28" t="n">
        <x:v>0.48726473570794776</x:v>
      </x:c>
    </x:row>
    <x:row r="470">
      <x:c r="A470" s="32" t="n">
        <x:v>45809</x:v>
      </x:c>
      <x:c r="B470" t="str">
        <x:v>Jun 2025</x:v>
      </x:c>
      <x:c r="C470" t="str">
        <x:v>Actual</x:v>
      </x:c>
      <x:c r="D470" t="str">
        <x:v>DB-105</x:v>
      </x:c>
      <x:c r="E470" t="str">
        <x:v>DreamFuel Refill Pack</x:v>
      </x:c>
      <x:c r="F470" t="str">
        <x:v>Shopify DTC</x:v>
      </x:c>
      <x:c r="G470" t="str">
        <x:v>Consumer</x:v>
      </x:c>
      <x:c r="H470" t="str">
        <x:v>US Central</x:v>
      </x:c>
      <x:c r="I470" s="34" t="n">
        <x:v>174.23999999999998</x:v>
      </x:c>
      <x:c r="J470" s="38" t="n">
        <x:v>8.797307903999998</x:v>
      </x:c>
      <x:c r="K470" s="38" t="n">
        <x:v>4.286617910784</x:v>
      </x:c>
      <x:c r="L470" s="28" t="n">
        <x:v>0.48726473570794787</x:v>
      </x:c>
    </x:row>
    <x:row r="471">
      <x:c r="A471" s="32" t="n">
        <x:v>45809</x:v>
      </x:c>
      <x:c r="B471" t="str">
        <x:v>Jun 2025</x:v>
      </x:c>
      <x:c r="C471" t="str">
        <x:v>Actual</x:v>
      </x:c>
      <x:c r="D471" t="str">
        <x:v>DB-105</x:v>
      </x:c>
      <x:c r="E471" t="str">
        <x:v>DreamFuel Refill Pack</x:v>
      </x:c>
      <x:c r="F471" t="str">
        <x:v>Shopify DTC</x:v>
      </x:c>
      <x:c r="G471" t="str">
        <x:v>Consumer</x:v>
      </x:c>
      <x:c r="H471" t="str">
        <x:v>US East</x:v>
      </x:c>
      <x:c r="I471" s="34" t="n">
        <x:v>232.32</x:v>
      </x:c>
      <x:c r="J471" s="38" t="n">
        <x:v>11.729743871999998</x:v>
      </x:c>
      <x:c r="K471" s="38" t="n">
        <x:v>5.715490547712</x:v>
      </x:c>
      <x:c r="L471" s="28" t="n">
        <x:v>0.48726473570794787</x:v>
      </x:c>
    </x:row>
    <x:row r="472">
      <x:c r="A472" s="32" t="n">
        <x:v>45809</x:v>
      </x:c>
      <x:c r="B472" t="str">
        <x:v>Jun 2025</x:v>
      </x:c>
      <x:c r="C472" t="str">
        <x:v>Actual</x:v>
      </x:c>
      <x:c r="D472" t="str">
        <x:v>DB-105</x:v>
      </x:c>
      <x:c r="E472" t="str">
        <x:v>DreamFuel Refill Pack</x:v>
      </x:c>
      <x:c r="F472" t="str">
        <x:v>Shopify DTC</x:v>
      </x:c>
      <x:c r="G472" t="str">
        <x:v>Consumer</x:v>
      </x:c>
      <x:c r="H472" t="str">
        <x:v>Canada</x:v>
      </x:c>
      <x:c r="I472" s="34" t="n">
        <x:v>72.60000000000001</x:v>
      </x:c>
      <x:c r="J472" s="38" t="n">
        <x:v>3.66554496</x:v>
      </x:c>
      <x:c r="K472" s="38" t="n">
        <x:v>1.7860907961599999</x:v>
      </x:c>
      <x:c r="L472" s="28" t="n">
        <x:v>0.48726473570794776</x:v>
      </x:c>
    </x:row>
    <x:row r="473">
      <x:c r="A473" s="32" t="n">
        <x:v>45809</x:v>
      </x:c>
      <x:c r="B473" t="str">
        <x:v>Jun 2025</x:v>
      </x:c>
      <x:c r="C473" t="str">
        <x:v>Actual</x:v>
      </x:c>
      <x:c r="D473" t="str">
        <x:v>DB-105</x:v>
      </x:c>
      <x:c r="E473" t="str">
        <x:v>DreamFuel Refill Pack</x:v>
      </x:c>
      <x:c r="F473" t="str">
        <x:v>Amazon Marketplace</x:v>
      </x:c>
      <x:c r="G473" t="str">
        <x:v>Marketplace Consumer</x:v>
      </x:c>
      <x:c r="H473" t="str">
        <x:v>US West</x:v>
      </x:c>
      <x:c r="I473" s="34" t="n">
        <x:v>145.52</x:v>
      </x:c>
      <x:c r="J473" s="38" t="n">
        <x:v>7.586830720000001</x:v>
      </x:c>
      <x:c r="K473" s="38" t="n">
        <x:v>2.6691278400000003</x:v>
      </x:c>
      <x:c r="L473" s="28" t="n">
        <x:v>0.3518106490716587</x:v>
      </x:c>
    </x:row>
    <x:row r="474">
      <x:c r="A474" s="32" t="n">
        <x:v>45809</x:v>
      </x:c>
      <x:c r="B474" t="str">
        <x:v>Jun 2025</x:v>
      </x:c>
      <x:c r="C474" t="str">
        <x:v>Actual</x:v>
      </x:c>
      <x:c r="D474" t="str">
        <x:v>DB-105</x:v>
      </x:c>
      <x:c r="E474" t="str">
        <x:v>DreamFuel Refill Pack</x:v>
      </x:c>
      <x:c r="F474" t="str">
        <x:v>Amazon Marketplace</x:v>
      </x:c>
      <x:c r="G474" t="str">
        <x:v>Marketplace Consumer</x:v>
      </x:c>
      <x:c r="H474" t="str">
        <x:v>US Central</x:v>
      </x:c>
      <x:c r="I474" s="34" t="n">
        <x:v>102.72</x:v>
      </x:c>
      <x:c r="J474" s="38" t="n">
        <x:v>5.35540992</x:v>
      </x:c>
      <x:c r="K474" s="38" t="n">
        <x:v>1.88409024</x:v>
      </x:c>
      <x:c r="L474" s="28" t="n">
        <x:v>0.35181064907165877</x:v>
      </x:c>
    </x:row>
    <x:row r="475">
      <x:c r="A475" s="32" t="n">
        <x:v>45809</x:v>
      </x:c>
      <x:c r="B475" t="str">
        <x:v>Jun 2025</x:v>
      </x:c>
      <x:c r="C475" t="str">
        <x:v>Actual</x:v>
      </x:c>
      <x:c r="D475" t="str">
        <x:v>DB-105</x:v>
      </x:c>
      <x:c r="E475" t="str">
        <x:v>DreamFuel Refill Pack</x:v>
      </x:c>
      <x:c r="F475" t="str">
        <x:v>Amazon Marketplace</x:v>
      </x:c>
      <x:c r="G475" t="str">
        <x:v>Marketplace Consumer</x:v>
      </x:c>
      <x:c r="H475" t="str">
        <x:v>US East</x:v>
      </x:c>
      <x:c r="I475" s="34" t="n">
        <x:v>136.96</x:v>
      </x:c>
      <x:c r="J475" s="38" t="n">
        <x:v>7.140546560000001</x:v>
      </x:c>
      <x:c r="K475" s="38" t="n">
        <x:v>2.51212032</x:v>
      </x:c>
      <x:c r="L475" s="28" t="n">
        <x:v>0.3518106490716587</x:v>
      </x:c>
    </x:row>
    <x:row r="476">
      <x:c r="A476" s="32" t="n">
        <x:v>45809</x:v>
      </x:c>
      <x:c r="B476" t="str">
        <x:v>Jun 2025</x:v>
      </x:c>
      <x:c r="C476" t="str">
        <x:v>Actual</x:v>
      </x:c>
      <x:c r="D476" t="str">
        <x:v>DB-105</x:v>
      </x:c>
      <x:c r="E476" t="str">
        <x:v>DreamFuel Refill Pack</x:v>
      </x:c>
      <x:c r="F476" t="str">
        <x:v>Amazon Marketplace</x:v>
      </x:c>
      <x:c r="G476" t="str">
        <x:v>Marketplace Consumer</x:v>
      </x:c>
      <x:c r="H476" t="str">
        <x:v>Canada</x:v>
      </x:c>
      <x:c r="I476" s="34" t="n">
        <x:v>42.800000000000004</x:v>
      </x:c>
      <x:c r="J476" s="38" t="n">
        <x:v>2.2314208</x:v>
      </x:c>
      <x:c r="K476" s="38" t="n">
        <x:v>0.7850376</x:v>
      </x:c>
      <x:c r="L476" s="28" t="n">
        <x:v>0.35181064907165877</x:v>
      </x:c>
    </x:row>
    <x:row r="477">
      <x:c r="A477" s="32" t="n">
        <x:v>45809</x:v>
      </x:c>
      <x:c r="B477" t="str">
        <x:v>Jun 2025</x:v>
      </x:c>
      <x:c r="C477" t="str">
        <x:v>Actual</x:v>
      </x:c>
      <x:c r="D477" t="str">
        <x:v>DB-105</x:v>
      </x:c>
      <x:c r="E477" t="str">
        <x:v>DreamFuel Refill Pack</x:v>
      </x:c>
      <x:c r="F477" t="str">
        <x:v>Wholesale</x:v>
      </x:c>
      <x:c r="G477" t="str">
        <x:v>Retailer</x:v>
      </x:c>
      <x:c r="H477" t="str">
        <x:v>US West</x:v>
      </x:c>
      <x:c r="I477" s="34" t="n">
        <x:v>40.800000000000004</x:v>
      </x:c>
      <x:c r="J477" s="38" t="n">
        <x:v>1.4554176000000003</x:v>
      </x:c>
      <x:c r="K477" s="38" t="n">
        <x:v>0.5670547200000003</x:v>
      </x:c>
      <x:c r="L477" s="28" t="n">
        <x:v>0.3896165059430367</x:v>
      </x:c>
    </x:row>
    <x:row r="478">
      <x:c r="A478" s="32" t="n">
        <x:v>45809</x:v>
      </x:c>
      <x:c r="B478" t="str">
        <x:v>Jun 2025</x:v>
      </x:c>
      <x:c r="C478" t="str">
        <x:v>Actual</x:v>
      </x:c>
      <x:c r="D478" t="str">
        <x:v>DB-105</x:v>
      </x:c>
      <x:c r="E478" t="str">
        <x:v>DreamFuel Refill Pack</x:v>
      </x:c>
      <x:c r="F478" t="str">
        <x:v>Wholesale</x:v>
      </x:c>
      <x:c r="G478" t="str">
        <x:v>Retailer</x:v>
      </x:c>
      <x:c r="H478" t="str">
        <x:v>US Central</x:v>
      </x:c>
      <x:c r="I478" s="34" t="n">
        <x:v>28.799999999999997</x:v>
      </x:c>
      <x:c r="J478" s="38" t="n">
        <x:v>1.0273536</x:v>
      </x:c>
      <x:c r="K478" s="38" t="n">
        <x:v>0.40027392000000017</x:v>
      </x:c>
      <x:c r="L478" s="28" t="n">
        <x:v>0.3896165059430367</x:v>
      </x:c>
    </x:row>
    <x:row r="479">
      <x:c r="A479" s="32" t="n">
        <x:v>45809</x:v>
      </x:c>
      <x:c r="B479" t="str">
        <x:v>Jun 2025</x:v>
      </x:c>
      <x:c r="C479" t="str">
        <x:v>Actual</x:v>
      </x:c>
      <x:c r="D479" t="str">
        <x:v>DB-105</x:v>
      </x:c>
      <x:c r="E479" t="str">
        <x:v>DreamFuel Refill Pack</x:v>
      </x:c>
      <x:c r="F479" t="str">
        <x:v>Wholesale</x:v>
      </x:c>
      <x:c r="G479" t="str">
        <x:v>Retailer</x:v>
      </x:c>
      <x:c r="H479" t="str">
        <x:v>US East</x:v>
      </x:c>
      <x:c r="I479" s="34" t="n">
        <x:v>38.4</x:v>
      </x:c>
      <x:c r="J479" s="38" t="n">
        <x:v>1.3698048000000003</x:v>
      </x:c>
      <x:c r="K479" s="38" t="n">
        <x:v>0.5336985600000003</x:v>
      </x:c>
      <x:c r="L479" s="28" t="n">
        <x:v>0.38961650594303665</x:v>
      </x:c>
    </x:row>
    <x:row r="480">
      <x:c r="A480" s="32" t="n">
        <x:v>45809</x:v>
      </x:c>
      <x:c r="B480" t="str">
        <x:v>Jun 2025</x:v>
      </x:c>
      <x:c r="C480" t="str">
        <x:v>Actual</x:v>
      </x:c>
      <x:c r="D480" t="str">
        <x:v>DB-105</x:v>
      </x:c>
      <x:c r="E480" t="str">
        <x:v>DreamFuel Refill Pack</x:v>
      </x:c>
      <x:c r="F480" t="str">
        <x:v>Wholesale</x:v>
      </x:c>
      <x:c r="G480" t="str">
        <x:v>Retailer</x:v>
      </x:c>
      <x:c r="H480" t="str">
        <x:v>Canada</x:v>
      </x:c>
      <x:c r="I480" s="34" t="n">
        <x:v>12</x:v>
      </x:c>
      <x:c r="J480" s="38" t="n">
        <x:v>0.4280640000000001</x:v>
      </x:c>
      <x:c r="K480" s="38" t="n">
        <x:v>0.1667808000000001</x:v>
      </x:c>
      <x:c r="L480" s="28" t="n">
        <x:v>0.38961650594303665</x:v>
      </x:c>
    </x:row>
    <x:row r="481">
      <x:c r="A481" s="32" t="n">
        <x:v>45809</x:v>
      </x:c>
      <x:c r="B481" t="str">
        <x:v>Jun 2025</x:v>
      </x:c>
      <x:c r="C481" t="str">
        <x:v>Actual</x:v>
      </x:c>
      <x:c r="D481" t="str">
        <x:v>DB-105</x:v>
      </x:c>
      <x:c r="E481" t="str">
        <x:v>DreamFuel Refill Pack</x:v>
      </x:c>
      <x:c r="F481" t="str">
        <x:v>TikTok Shop</x:v>
      </x:c>
      <x:c r="G481" t="str">
        <x:v>Social Commerce</x:v>
      </x:c>
      <x:c r="H481" t="str">
        <x:v>US West</x:v>
      </x:c>
      <x:c r="I481" s="34" t="n">
        <x:v>62.220000000000006</x:v>
      </x:c>
      <x:c r="J481" s="38" t="n">
        <x:v>3.0048775680000004</x:v>
      </x:c>
      <x:c r="K481" s="38" t="n">
        <x:v>1.1524760724480003</x:v>
      </x:c>
      <x:c r="L481" s="28" t="n">
        <x:v>0.38353511794328127</x:v>
      </x:c>
    </x:row>
    <x:row r="482">
      <x:c r="A482" s="32" t="n">
        <x:v>45809</x:v>
      </x:c>
      <x:c r="B482" t="str">
        <x:v>Jun 2025</x:v>
      </x:c>
      <x:c r="C482" t="str">
        <x:v>Actual</x:v>
      </x:c>
      <x:c r="D482" t="str">
        <x:v>DB-105</x:v>
      </x:c>
      <x:c r="E482" t="str">
        <x:v>DreamFuel Refill Pack</x:v>
      </x:c>
      <x:c r="F482" t="str">
        <x:v>TikTok Shop</x:v>
      </x:c>
      <x:c r="G482" t="str">
        <x:v>Social Commerce</x:v>
      </x:c>
      <x:c r="H482" t="str">
        <x:v>US Central</x:v>
      </x:c>
      <x:c r="I482" s="34" t="n">
        <x:v>43.92</x:v>
      </x:c>
      <x:c r="J482" s="38" t="n">
        <x:v>2.121090048</x:v>
      </x:c>
      <x:c r="K482" s="38" t="n">
        <x:v>0.813512521728</x:v>
      </x:c>
      <x:c r="L482" s="28" t="n">
        <x:v>0.3835351179432812</x:v>
      </x:c>
    </x:row>
    <x:row r="483">
      <x:c r="A483" s="32" t="n">
        <x:v>45809</x:v>
      </x:c>
      <x:c r="B483" t="str">
        <x:v>Jun 2025</x:v>
      </x:c>
      <x:c r="C483" t="str">
        <x:v>Actual</x:v>
      </x:c>
      <x:c r="D483" t="str">
        <x:v>DB-105</x:v>
      </x:c>
      <x:c r="E483" t="str">
        <x:v>DreamFuel Refill Pack</x:v>
      </x:c>
      <x:c r="F483" t="str">
        <x:v>TikTok Shop</x:v>
      </x:c>
      <x:c r="G483" t="str">
        <x:v>Social Commerce</x:v>
      </x:c>
      <x:c r="H483" t="str">
        <x:v>US East</x:v>
      </x:c>
      <x:c r="I483" s="34" t="n">
        <x:v>58.56</x:v>
      </x:c>
      <x:c r="J483" s="38" t="n">
        <x:v>2.828120064</x:v>
      </x:c>
      <x:c r="K483" s="38" t="n">
        <x:v>1.0846833623040002</x:v>
      </x:c>
      <x:c r="L483" s="28" t="n">
        <x:v>0.38353511794328127</x:v>
      </x:c>
    </x:row>
    <x:row r="484">
      <x:c r="A484" s="32" t="n">
        <x:v>45809</x:v>
      </x:c>
      <x:c r="B484" t="str">
        <x:v>Jun 2025</x:v>
      </x:c>
      <x:c r="C484" t="str">
        <x:v>Actual</x:v>
      </x:c>
      <x:c r="D484" t="str">
        <x:v>DB-105</x:v>
      </x:c>
      <x:c r="E484" t="str">
        <x:v>DreamFuel Refill Pack</x:v>
      </x:c>
      <x:c r="F484" t="str">
        <x:v>TikTok Shop</x:v>
      </x:c>
      <x:c r="G484" t="str">
        <x:v>Social Commerce</x:v>
      </x:c>
      <x:c r="H484" t="str">
        <x:v>Canada</x:v>
      </x:c>
      <x:c r="I484" s="34" t="n">
        <x:v>18.3</x:v>
      </x:c>
      <x:c r="J484" s="38" t="n">
        <x:v>0.8837875200000002</x:v>
      </x:c>
      <x:c r="K484" s="38" t="n">
        <x:v>0.33896355072000006</x:v>
      </x:c>
      <x:c r="L484" s="28" t="n">
        <x:v>0.3835351179432812</x:v>
      </x:c>
    </x:row>
    <x:row r="485">
      <x:c r="A485" s="32" t="n">
        <x:v>45839</x:v>
      </x:c>
      <x:c r="B485" t="str">
        <x:v>Jul 2025</x:v>
      </x:c>
      <x:c r="C485" t="str">
        <x:v>Actual</x:v>
      </x:c>
      <x:c r="D485" t="str">
        <x:v>DB-101</x:v>
      </x:c>
      <x:c r="E485" t="str">
        <x:v>AeroSip Bottle</x:v>
      </x:c>
      <x:c r="F485" t="str">
        <x:v>Shopify DTC</x:v>
      </x:c>
      <x:c r="G485" t="str">
        <x:v>Consumer</x:v>
      </x:c>
      <x:c r="H485" t="str">
        <x:v>US West</x:v>
      </x:c>
      <x:c r="I485" s="34" t="n">
        <x:v>255.68</x:v>
      </x:c>
      <x:c r="J485" s="38" t="n">
        <x:v>6.514572992</x:v>
      </x:c>
      <x:c r="K485" s="38" t="n">
        <x:v>2.072157895232</x:v>
      </x:c>
      <x:c r="L485" s="28" t="n">
        <x:v>0.3180803865083165</x:v>
      </x:c>
    </x:row>
    <x:row r="486">
      <x:c r="A486" s="32" t="n">
        <x:v>45839</x:v>
      </x:c>
      <x:c r="B486" t="str">
        <x:v>Jul 2025</x:v>
      </x:c>
      <x:c r="C486" t="str">
        <x:v>Actual</x:v>
      </x:c>
      <x:c r="D486" t="str">
        <x:v>DB-101</x:v>
      </x:c>
      <x:c r="E486" t="str">
        <x:v>AeroSip Bottle</x:v>
      </x:c>
      <x:c r="F486" t="str">
        <x:v>Shopify DTC</x:v>
      </x:c>
      <x:c r="G486" t="str">
        <x:v>Consumer</x:v>
      </x:c>
      <x:c r="H486" t="str">
        <x:v>US Central</x:v>
      </x:c>
      <x:c r="I486" s="34" t="n">
        <x:v>180.48</x:v>
      </x:c>
      <x:c r="J486" s="38" t="n">
        <x:v>4.5985221119999995</x:v>
      </x:c>
      <x:c r="K486" s="38" t="n">
        <x:v>1.4626996907519998</x:v>
      </x:c>
      <x:c r="L486" s="28" t="n">
        <x:v>0.3180803865083165</x:v>
      </x:c>
    </x:row>
    <x:row r="487">
      <x:c r="A487" s="32" t="n">
        <x:v>45839</x:v>
      </x:c>
      <x:c r="B487" t="str">
        <x:v>Jul 2025</x:v>
      </x:c>
      <x:c r="C487" t="str">
        <x:v>Actual</x:v>
      </x:c>
      <x:c r="D487" t="str">
        <x:v>DB-101</x:v>
      </x:c>
      <x:c r="E487" t="str">
        <x:v>AeroSip Bottle</x:v>
      </x:c>
      <x:c r="F487" t="str">
        <x:v>Shopify DTC</x:v>
      </x:c>
      <x:c r="G487" t="str">
        <x:v>Consumer</x:v>
      </x:c>
      <x:c r="H487" t="str">
        <x:v>US East</x:v>
      </x:c>
      <x:c r="I487" s="34" t="n">
        <x:v>240.64000000000001</x:v>
      </x:c>
      <x:c r="J487" s="38" t="n">
        <x:v>6.131362815999999</x:v>
      </x:c>
      <x:c r="K487" s="38" t="n">
        <x:v>1.9502662543359999</x:v>
      </x:c>
      <x:c r="L487" s="28" t="n">
        <x:v>0.31808038650831655</x:v>
      </x:c>
    </x:row>
    <x:row r="488">
      <x:c r="A488" s="32" t="n">
        <x:v>45839</x:v>
      </x:c>
      <x:c r="B488" t="str">
        <x:v>Jul 2025</x:v>
      </x:c>
      <x:c r="C488" t="str">
        <x:v>Actual</x:v>
      </x:c>
      <x:c r="D488" t="str">
        <x:v>DB-101</x:v>
      </x:c>
      <x:c r="E488" t="str">
        <x:v>AeroSip Bottle</x:v>
      </x:c>
      <x:c r="F488" t="str">
        <x:v>Shopify DTC</x:v>
      </x:c>
      <x:c r="G488" t="str">
        <x:v>Consumer</x:v>
      </x:c>
      <x:c r="H488" t="str">
        <x:v>Canada</x:v>
      </x:c>
      <x:c r="I488" s="34" t="n">
        <x:v>75.2</x:v>
      </x:c>
      <x:c r="J488" s="38" t="n">
        <x:v>1.91605088</x:v>
      </x:c>
      <x:c r="K488" s="38" t="n">
        <x:v>0.60945820448</x:v>
      </x:c>
      <x:c r="L488" s="28" t="n">
        <x:v>0.3180803865083165</x:v>
      </x:c>
    </x:row>
    <x:row r="489">
      <x:c r="A489" s="32" t="n">
        <x:v>45839</x:v>
      </x:c>
      <x:c r="B489" t="str">
        <x:v>Jul 2025</x:v>
      </x:c>
      <x:c r="C489" t="str">
        <x:v>Actual</x:v>
      </x:c>
      <x:c r="D489" t="str">
        <x:v>DB-101</x:v>
      </x:c>
      <x:c r="E489" t="str">
        <x:v>AeroSip Bottle</x:v>
      </x:c>
      <x:c r="F489" t="str">
        <x:v>Amazon Marketplace</x:v>
      </x:c>
      <x:c r="G489" t="str">
        <x:v>Marketplace Consumer</x:v>
      </x:c>
      <x:c r="H489" t="str">
        <x:v>US West</x:v>
      </x:c>
      <x:c r="I489" s="34" t="n">
        <x:v>150.62</x:v>
      </x:c>
      <x:c r="J489" s="38" t="n">
        <x:v>3.962849855</x:v>
      </x:c>
      <x:c r="K489" s="38" t="n">
        <x:v>0.6292470567499997</x:v>
      </x:c>
      <x:c r="L489" s="28" t="n">
        <x:v>0.1587864995581569</x:v>
      </x:c>
    </x:row>
    <x:row r="490">
      <x:c r="A490" s="32" t="n">
        <x:v>45839</x:v>
      </x:c>
      <x:c r="B490" t="str">
        <x:v>Jul 2025</x:v>
      </x:c>
      <x:c r="C490" t="str">
        <x:v>Actual</x:v>
      </x:c>
      <x:c r="D490" t="str">
        <x:v>DB-101</x:v>
      </x:c>
      <x:c r="E490" t="str">
        <x:v>AeroSip Bottle</x:v>
      </x:c>
      <x:c r="F490" t="str">
        <x:v>Amazon Marketplace</x:v>
      </x:c>
      <x:c r="G490" t="str">
        <x:v>Marketplace Consumer</x:v>
      </x:c>
      <x:c r="H490" t="str">
        <x:v>US Central</x:v>
      </x:c>
      <x:c r="I490" s="34" t="n">
        <x:v>106.32</x:v>
      </x:c>
      <x:c r="J490" s="38" t="n">
        <x:v>2.7973057799999994</x:v>
      </x:c>
      <x:c r="K490" s="38" t="n">
        <x:v>0.4441743929999997</x:v>
      </x:c>
      <x:c r="L490" s="28" t="n">
        <x:v>0.15878649955815693</x:v>
      </x:c>
    </x:row>
    <x:row r="491">
      <x:c r="A491" s="32" t="n">
        <x:v>45839</x:v>
      </x:c>
      <x:c r="B491" t="str">
        <x:v>Jul 2025</x:v>
      </x:c>
      <x:c r="C491" t="str">
        <x:v>Actual</x:v>
      </x:c>
      <x:c r="D491" t="str">
        <x:v>DB-101</x:v>
      </x:c>
      <x:c r="E491" t="str">
        <x:v>AeroSip Bottle</x:v>
      </x:c>
      <x:c r="F491" t="str">
        <x:v>Amazon Marketplace</x:v>
      </x:c>
      <x:c r="G491" t="str">
        <x:v>Marketplace Consumer</x:v>
      </x:c>
      <x:c r="H491" t="str">
        <x:v>US East</x:v>
      </x:c>
      <x:c r="I491" s="34" t="n">
        <x:v>141.76</x:v>
      </x:c>
      <x:c r="J491" s="38" t="n">
        <x:v>3.7297410399999995</x:v>
      </x:c>
      <x:c r="K491" s="38" t="n">
        <x:v>0.5922325239999997</x:v>
      </x:c>
      <x:c r="L491" s="28" t="n">
        <x:v>0.15878649955815693</x:v>
      </x:c>
    </x:row>
    <x:row r="492">
      <x:c r="A492" s="32" t="n">
        <x:v>45839</x:v>
      </x:c>
      <x:c r="B492" t="str">
        <x:v>Jul 2025</x:v>
      </x:c>
      <x:c r="C492" t="str">
        <x:v>Actual</x:v>
      </x:c>
      <x:c r="D492" t="str">
        <x:v>DB-101</x:v>
      </x:c>
      <x:c r="E492" t="str">
        <x:v>AeroSip Bottle</x:v>
      </x:c>
      <x:c r="F492" t="str">
        <x:v>Amazon Marketplace</x:v>
      </x:c>
      <x:c r="G492" t="str">
        <x:v>Marketplace Consumer</x:v>
      </x:c>
      <x:c r="H492" t="str">
        <x:v>Canada</x:v>
      </x:c>
      <x:c r="I492" s="34" t="n">
        <x:v>44.300000000000004</x:v>
      </x:c>
      <x:c r="J492" s="38" t="n">
        <x:v>1.165544075</x:v>
      </x:c>
      <x:c r="K492" s="38" t="n">
        <x:v>0.1850726637499999</x:v>
      </x:c>
      <x:c r="L492" s="28" t="n">
        <x:v>0.1587864995581569</x:v>
      </x:c>
    </x:row>
    <x:row r="493">
      <x:c r="A493" s="32" t="n">
        <x:v>45839</x:v>
      </x:c>
      <x:c r="B493" t="str">
        <x:v>Jul 2025</x:v>
      </x:c>
      <x:c r="C493" t="str">
        <x:v>Actual</x:v>
      </x:c>
      <x:c r="D493" t="str">
        <x:v>DB-101</x:v>
      </x:c>
      <x:c r="E493" t="str">
        <x:v>AeroSip Bottle</x:v>
      </x:c>
      <x:c r="F493" t="str">
        <x:v>Wholesale</x:v>
      </x:c>
      <x:c r="G493" t="str">
        <x:v>Retailer</x:v>
      </x:c>
      <x:c r="H493" t="str">
        <x:v>US West</x:v>
      </x:c>
      <x:c r="I493" s="34" t="n">
        <x:v>42.160000000000004</x:v>
      </x:c>
      <x:c r="J493" s="38" t="n">
        <x:v>0.7589537800000001</x:v>
      </x:c>
      <x:c r="K493" s="38" t="n">
        <x:v>0.1693040200000001</x:v>
      </x:c>
      <x:c r="L493" s="28" t="n">
        <x:v>0.22307553432305202</x:v>
      </x:c>
    </x:row>
    <x:row r="494">
      <x:c r="A494" s="32" t="n">
        <x:v>45839</x:v>
      </x:c>
      <x:c r="B494" t="str">
        <x:v>Jul 2025</x:v>
      </x:c>
      <x:c r="C494" t="str">
        <x:v>Actual</x:v>
      </x:c>
      <x:c r="D494" t="str">
        <x:v>DB-101</x:v>
      </x:c>
      <x:c r="E494" t="str">
        <x:v>AeroSip Bottle</x:v>
      </x:c>
      <x:c r="F494" t="str">
        <x:v>Wholesale</x:v>
      </x:c>
      <x:c r="G494" t="str">
        <x:v>Retailer</x:v>
      </x:c>
      <x:c r="H494" t="str">
        <x:v>US Central</x:v>
      </x:c>
      <x:c r="I494" s="34" t="n">
        <x:v>29.759999999999998</x:v>
      </x:c>
      <x:c r="J494" s="38" t="n">
        <x:v>0.53573208</x:v>
      </x:c>
      <x:c r="K494" s="38" t="n">
        <x:v>0.11950872000000007</x:v>
      </x:c>
      <x:c r="L494" s="28" t="n">
        <x:v>0.22307553432305202</x:v>
      </x:c>
    </x:row>
    <x:row r="495">
      <x:c r="A495" s="32" t="n">
        <x:v>45839</x:v>
      </x:c>
      <x:c r="B495" t="str">
        <x:v>Jul 2025</x:v>
      </x:c>
      <x:c r="C495" t="str">
        <x:v>Actual</x:v>
      </x:c>
      <x:c r="D495" t="str">
        <x:v>DB-101</x:v>
      </x:c>
      <x:c r="E495" t="str">
        <x:v>AeroSip Bottle</x:v>
      </x:c>
      <x:c r="F495" t="str">
        <x:v>Wholesale</x:v>
      </x:c>
      <x:c r="G495" t="str">
        <x:v>Retailer</x:v>
      </x:c>
      <x:c r="H495" t="str">
        <x:v>US East</x:v>
      </x:c>
      <x:c r="I495" s="34" t="n">
        <x:v>39.68</x:v>
      </x:c>
      <x:c r="J495" s="38" t="n">
        <x:v>0.7143094400000001</x:v>
      </x:c>
      <x:c r="K495" s="38" t="n">
        <x:v>0.1593449600000001</x:v>
      </x:c>
      <x:c r="L495" s="28" t="n">
        <x:v>0.22307553432305202</x:v>
      </x:c>
    </x:row>
    <x:row r="496">
      <x:c r="A496" s="32" t="n">
        <x:v>45839</x:v>
      </x:c>
      <x:c r="B496" t="str">
        <x:v>Jul 2025</x:v>
      </x:c>
      <x:c r="C496" t="str">
        <x:v>Actual</x:v>
      </x:c>
      <x:c r="D496" t="str">
        <x:v>DB-101</x:v>
      </x:c>
      <x:c r="E496" t="str">
        <x:v>AeroSip Bottle</x:v>
      </x:c>
      <x:c r="F496" t="str">
        <x:v>Wholesale</x:v>
      </x:c>
      <x:c r="G496" t="str">
        <x:v>Retailer</x:v>
      </x:c>
      <x:c r="H496" t="str">
        <x:v>Canada</x:v>
      </x:c>
      <x:c r="I496" s="34" t="n">
        <x:v>12.4</x:v>
      </x:c>
      <x:c r="J496" s="38" t="n">
        <x:v>0.22322170000000005</x:v>
      </x:c>
      <x:c r="K496" s="38" t="n">
        <x:v>0.049795300000000035</x:v>
      </x:c>
      <x:c r="L496" s="28" t="n">
        <x:v>0.22307553432305202</x:v>
      </x:c>
    </x:row>
    <x:row r="497">
      <x:c r="A497" s="32" t="n">
        <x:v>45839</x:v>
      </x:c>
      <x:c r="B497" t="str">
        <x:v>Jul 2025</x:v>
      </x:c>
      <x:c r="C497" t="str">
        <x:v>Actual</x:v>
      </x:c>
      <x:c r="D497" t="str">
        <x:v>DB-101</x:v>
      </x:c>
      <x:c r="E497" t="str">
        <x:v>AeroSip Bottle</x:v>
      </x:c>
      <x:c r="F497" t="str">
        <x:v>TikTok Shop</x:v>
      </x:c>
      <x:c r="G497" t="str">
        <x:v>Social Commerce</x:v>
      </x:c>
      <x:c r="H497" t="str">
        <x:v>US West</x:v>
      </x:c>
      <x:c r="I497" s="34" t="n">
        <x:v>64.26</x:v>
      </x:c>
      <x:c r="J497" s="38" t="n">
        <x:v>1.566119016</x:v>
      </x:c>
      <x:c r="K497" s="38" t="n">
        <x:v>0.29023206357599984</x:v>
      </x:c>
      <x:c r="L497" s="28" t="n">
        <x:v>0.18531928966501984</x:v>
      </x:c>
    </x:row>
    <x:row r="498">
      <x:c r="A498" s="32" t="n">
        <x:v>45839</x:v>
      </x:c>
      <x:c r="B498" t="str">
        <x:v>Jul 2025</x:v>
      </x:c>
      <x:c r="C498" t="str">
        <x:v>Actual</x:v>
      </x:c>
      <x:c r="D498" t="str">
        <x:v>DB-101</x:v>
      </x:c>
      <x:c r="E498" t="str">
        <x:v>AeroSip Bottle</x:v>
      </x:c>
      <x:c r="F498" t="str">
        <x:v>TikTok Shop</x:v>
      </x:c>
      <x:c r="G498" t="str">
        <x:v>Social Commerce</x:v>
      </x:c>
      <x:c r="H498" t="str">
        <x:v>US Central</x:v>
      </x:c>
      <x:c r="I498" s="34" t="n">
        <x:v>45.36</x:v>
      </x:c>
      <x:c r="J498" s="38" t="n">
        <x:v>1.105495776</x:v>
      </x:c>
      <x:c r="K498" s="38" t="n">
        <x:v>0.20486969193599985</x:v>
      </x:c>
      <x:c r="L498" s="28" t="n">
        <x:v>0.18531928966501982</x:v>
      </x:c>
    </x:row>
    <x:row r="499">
      <x:c r="A499" s="32" t="n">
        <x:v>45839</x:v>
      </x:c>
      <x:c r="B499" t="str">
        <x:v>Jul 2025</x:v>
      </x:c>
      <x:c r="C499" t="str">
        <x:v>Actual</x:v>
      </x:c>
      <x:c r="D499" t="str">
        <x:v>DB-101</x:v>
      </x:c>
      <x:c r="E499" t="str">
        <x:v>AeroSip Bottle</x:v>
      </x:c>
      <x:c r="F499" t="str">
        <x:v>TikTok Shop</x:v>
      </x:c>
      <x:c r="G499" t="str">
        <x:v>Social Commerce</x:v>
      </x:c>
      <x:c r="H499" t="str">
        <x:v>US East</x:v>
      </x:c>
      <x:c r="I499" s="34" t="n">
        <x:v>60.480000000000004</x:v>
      </x:c>
      <x:c r="J499" s="38" t="n">
        <x:v>1.4739943679999998</x:v>
      </x:c>
      <x:c r="K499" s="38" t="n">
        <x:v>0.2731595892479998</x:v>
      </x:c>
      <x:c r="L499" s="28" t="n">
        <x:v>0.18531928966501984</x:v>
      </x:c>
    </x:row>
    <x:row r="500">
      <x:c r="A500" s="32" t="n">
        <x:v>45839</x:v>
      </x:c>
      <x:c r="B500" t="str">
        <x:v>Jul 2025</x:v>
      </x:c>
      <x:c r="C500" t="str">
        <x:v>Actual</x:v>
      </x:c>
      <x:c r="D500" t="str">
        <x:v>DB-101</x:v>
      </x:c>
      <x:c r="E500" t="str">
        <x:v>AeroSip Bottle</x:v>
      </x:c>
      <x:c r="F500" t="str">
        <x:v>TikTok Shop</x:v>
      </x:c>
      <x:c r="G500" t="str">
        <x:v>Social Commerce</x:v>
      </x:c>
      <x:c r="H500" t="str">
        <x:v>Canada</x:v>
      </x:c>
      <x:c r="I500" s="34" t="n">
        <x:v>18.900000000000002</x:v>
      </x:c>
      <x:c r="J500" s="38" t="n">
        <x:v>0.46062324</x:v>
      </x:c>
      <x:c r="K500" s="38" t="n">
        <x:v>0.08536237163999995</x:v>
      </x:c>
      <x:c r="L500" s="28" t="n">
        <x:v>0.18531928966501984</x:v>
      </x:c>
    </x:row>
    <x:row r="501">
      <x:c r="A501" s="32" t="n">
        <x:v>45839</x:v>
      </x:c>
      <x:c r="B501" t="str">
        <x:v>Jul 2025</x:v>
      </x:c>
      <x:c r="C501" t="str">
        <x:v>Actual</x:v>
      </x:c>
      <x:c r="D501" t="str">
        <x:v>DB-102</x:v>
      </x:c>
      <x:c r="E501" t="str">
        <x:v>GlowPatch Balm</x:v>
      </x:c>
      <x:c r="F501" t="str">
        <x:v>Shopify DTC</x:v>
      </x:c>
      <x:c r="G501" t="str">
        <x:v>Consumer</x:v>
      </x:c>
      <x:c r="H501" t="str">
        <x:v>US West</x:v>
      </x:c>
      <x:c r="I501" s="34" t="n">
        <x:v>256.36</x:v>
      </x:c>
      <x:c r="J501" s="38" t="n">
        <x:v>4.139188560000001</x:v>
      </x:c>
      <x:c r="K501" s="38" t="n">
        <x:v>1.14381833176</x:v>
      </x:c>
      <x:c r="L501" s="28" t="n">
        <x:v>0.2763387835996531</x:v>
      </x:c>
    </x:row>
    <x:row r="502">
      <x:c r="A502" s="32" t="n">
        <x:v>45839</x:v>
      </x:c>
      <x:c r="B502" t="str">
        <x:v>Jul 2025</x:v>
      </x:c>
      <x:c r="C502" t="str">
        <x:v>Actual</x:v>
      </x:c>
      <x:c r="D502" t="str">
        <x:v>DB-102</x:v>
      </x:c>
      <x:c r="E502" t="str">
        <x:v>GlowPatch Balm</x:v>
      </x:c>
      <x:c r="F502" t="str">
        <x:v>Shopify DTC</x:v>
      </x:c>
      <x:c r="G502" t="str">
        <x:v>Consumer</x:v>
      </x:c>
      <x:c r="H502" t="str">
        <x:v>US Central</x:v>
      </x:c>
      <x:c r="I502" s="34" t="n">
        <x:v>180.95999999999998</x:v>
      </x:c>
      <x:c r="J502" s="38" t="n">
        <x:v>2.92178016</x:v>
      </x:c>
      <x:c r="K502" s="38" t="n">
        <x:v>0.8074011753599998</x:v>
      </x:c>
      <x:c r="L502" s="28" t="n">
        <x:v>0.2763387835996531</x:v>
      </x:c>
    </x:row>
    <x:row r="503">
      <x:c r="A503" s="32" t="n">
        <x:v>45839</x:v>
      </x:c>
      <x:c r="B503" t="str">
        <x:v>Jul 2025</x:v>
      </x:c>
      <x:c r="C503" t="str">
        <x:v>Actual</x:v>
      </x:c>
      <x:c r="D503" t="str">
        <x:v>DB-102</x:v>
      </x:c>
      <x:c r="E503" t="str">
        <x:v>GlowPatch Balm</x:v>
      </x:c>
      <x:c r="F503" t="str">
        <x:v>Shopify DTC</x:v>
      </x:c>
      <x:c r="G503" t="str">
        <x:v>Consumer</x:v>
      </x:c>
      <x:c r="H503" t="str">
        <x:v>US East</x:v>
      </x:c>
      <x:c r="I503" s="34" t="n">
        <x:v>241.28</x:v>
      </x:c>
      <x:c r="J503" s="38" t="n">
        <x:v>3.89570688</x:v>
      </x:c>
      <x:c r="K503" s="38" t="n">
        <x:v>1.0765349004799998</x:v>
      </x:c>
      <x:c r="L503" s="28" t="n">
        <x:v>0.2763387835996531</x:v>
      </x:c>
    </x:row>
    <x:row r="504">
      <x:c r="A504" s="32" t="n">
        <x:v>45839</x:v>
      </x:c>
      <x:c r="B504" t="str">
        <x:v>Jul 2025</x:v>
      </x:c>
      <x:c r="C504" t="str">
        <x:v>Actual</x:v>
      </x:c>
      <x:c r="D504" t="str">
        <x:v>DB-102</x:v>
      </x:c>
      <x:c r="E504" t="str">
        <x:v>GlowPatch Balm</x:v>
      </x:c>
      <x:c r="F504" t="str">
        <x:v>Shopify DTC</x:v>
      </x:c>
      <x:c r="G504" t="str">
        <x:v>Consumer</x:v>
      </x:c>
      <x:c r="H504" t="str">
        <x:v>Canada</x:v>
      </x:c>
      <x:c r="I504" s="34" t="n">
        <x:v>75.4</x:v>
      </x:c>
      <x:c r="J504" s="38" t="n">
        <x:v>1.2174084</x:v>
      </x:c>
      <x:c r="K504" s="38" t="n">
        <x:v>0.3364171564</x:v>
      </x:c>
      <x:c r="L504" s="28" t="n">
        <x:v>0.27633878359965314</x:v>
      </x:c>
    </x:row>
    <x:row r="505">
      <x:c r="A505" s="32" t="n">
        <x:v>45839</x:v>
      </x:c>
      <x:c r="B505" t="str">
        <x:v>Jul 2025</x:v>
      </x:c>
      <x:c r="C505" t="str">
        <x:v>Actual</x:v>
      </x:c>
      <x:c r="D505" t="str">
        <x:v>DB-102</x:v>
      </x:c>
      <x:c r="E505" t="str">
        <x:v>GlowPatch Balm</x:v>
      </x:c>
      <x:c r="F505" t="str">
        <x:v>Amazon Marketplace</x:v>
      </x:c>
      <x:c r="G505" t="str">
        <x:v>Marketplace Consumer</x:v>
      </x:c>
      <x:c r="H505" t="str">
        <x:v>US West</x:v>
      </x:c>
      <x:c r="I505" s="34" t="n">
        <x:v>151.3</x:v>
      </x:c>
      <x:c r="J505" s="38" t="n">
        <x:v>2.5225492500000004</x:v>
      </x:c>
      <x:c r="K505" s="38" t="n">
        <x:v>0.21267106250000015</x:v>
      </x:c>
      <x:c r="L505" s="28" t="n">
        <x:v>0.0843079922027291</x:v>
      </x:c>
    </x:row>
    <x:row r="506">
      <x:c r="A506" s="32" t="n">
        <x:v>45839</x:v>
      </x:c>
      <x:c r="B506" t="str">
        <x:v>Jul 2025</x:v>
      </x:c>
      <x:c r="C506" t="str">
        <x:v>Actual</x:v>
      </x:c>
      <x:c r="D506" t="str">
        <x:v>DB-102</x:v>
      </x:c>
      <x:c r="E506" t="str">
        <x:v>GlowPatch Balm</x:v>
      </x:c>
      <x:c r="F506" t="str">
        <x:v>Amazon Marketplace</x:v>
      </x:c>
      <x:c r="G506" t="str">
        <x:v>Marketplace Consumer</x:v>
      </x:c>
      <x:c r="H506" t="str">
        <x:v>US Central</x:v>
      </x:c>
      <x:c r="I506" s="34" t="n">
        <x:v>106.8</x:v>
      </x:c>
      <x:c r="J506" s="38" t="n">
        <x:v>1.780623</x:v>
      </x:c>
      <x:c r="K506" s="38" t="n">
        <x:v>0.15012075000000008</x:v>
      </x:c>
      <x:c r="L506" s="28" t="n">
        <x:v>0.08430799220272908</x:v>
      </x:c>
    </x:row>
    <x:row r="507">
      <x:c r="A507" s="32" t="n">
        <x:v>45839</x:v>
      </x:c>
      <x:c r="B507" t="str">
        <x:v>Jul 2025</x:v>
      </x:c>
      <x:c r="C507" t="str">
        <x:v>Actual</x:v>
      </x:c>
      <x:c r="D507" t="str">
        <x:v>DB-102</x:v>
      </x:c>
      <x:c r="E507" t="str">
        <x:v>GlowPatch Balm</x:v>
      </x:c>
      <x:c r="F507" t="str">
        <x:v>Amazon Marketplace</x:v>
      </x:c>
      <x:c r="G507" t="str">
        <x:v>Marketplace Consumer</x:v>
      </x:c>
      <x:c r="H507" t="str">
        <x:v>US East</x:v>
      </x:c>
      <x:c r="I507" s="34" t="n">
        <x:v>142.4</x:v>
      </x:c>
      <x:c r="J507" s="38" t="n">
        <x:v>2.374164</x:v>
      </x:c>
      <x:c r="K507" s="38" t="n">
        <x:v>0.20016100000000012</x:v>
      </x:c>
      <x:c r="L507" s="28" t="n">
        <x:v>0.0843079922027291</x:v>
      </x:c>
    </x:row>
    <x:row r="508">
      <x:c r="A508" s="32" t="n">
        <x:v>45839</x:v>
      </x:c>
      <x:c r="B508" t="str">
        <x:v>Jul 2025</x:v>
      </x:c>
      <x:c r="C508" t="str">
        <x:v>Actual</x:v>
      </x:c>
      <x:c r="D508" t="str">
        <x:v>DB-102</x:v>
      </x:c>
      <x:c r="E508" t="str">
        <x:v>GlowPatch Balm</x:v>
      </x:c>
      <x:c r="F508" t="str">
        <x:v>Amazon Marketplace</x:v>
      </x:c>
      <x:c r="G508" t="str">
        <x:v>Marketplace Consumer</x:v>
      </x:c>
      <x:c r="H508" t="str">
        <x:v>Canada</x:v>
      </x:c>
      <x:c r="I508" s="34" t="n">
        <x:v>44.5</x:v>
      </x:c>
      <x:c r="J508" s="38" t="n">
        <x:v>0.7419262500000001</x:v>
      </x:c>
      <x:c r="K508" s="38" t="n">
        <x:v>0.06255031250000004</x:v>
      </x:c>
      <x:c r="L508" s="28" t="n">
        <x:v>0.08430799220272908</x:v>
      </x:c>
    </x:row>
    <x:row r="509">
      <x:c r="A509" s="32" t="n">
        <x:v>45839</x:v>
      </x:c>
      <x:c r="B509" t="str">
        <x:v>Jul 2025</x:v>
      </x:c>
      <x:c r="C509" t="str">
        <x:v>Actual</x:v>
      </x:c>
      <x:c r="D509" t="str">
        <x:v>DB-102</x:v>
      </x:c>
      <x:c r="E509" t="str">
        <x:v>GlowPatch Balm</x:v>
      </x:c>
      <x:c r="F509" t="str">
        <x:v>Wholesale</x:v>
      </x:c>
      <x:c r="G509" t="str">
        <x:v>Retailer</x:v>
      </x:c>
      <x:c r="H509" t="str">
        <x:v>US West</x:v>
      </x:c>
      <x:c r="I509" s="34" t="n">
        <x:v>42.160000000000004</x:v>
      </x:c>
      <x:c r="J509" s="38" t="n">
        <x:v>0.48094020000000004</x:v>
      </x:c>
      <x:c r="K509" s="38" t="n">
        <x:v>0.11979764000000002</x:v>
      </x:c>
      <x:c r="L509" s="28" t="n">
        <x:v>0.2490905106289722</x:v>
      </x:c>
    </x:row>
    <x:row r="510">
      <x:c r="A510" s="32" t="n">
        <x:v>45839</x:v>
      </x:c>
      <x:c r="B510" t="str">
        <x:v>Jul 2025</x:v>
      </x:c>
      <x:c r="C510" t="str">
        <x:v>Actual</x:v>
      </x:c>
      <x:c r="D510" t="str">
        <x:v>DB-102</x:v>
      </x:c>
      <x:c r="E510" t="str">
        <x:v>GlowPatch Balm</x:v>
      </x:c>
      <x:c r="F510" t="str">
        <x:v>Wholesale</x:v>
      </x:c>
      <x:c r="G510" t="str">
        <x:v>Retailer</x:v>
      </x:c>
      <x:c r="H510" t="str">
        <x:v>US Central</x:v>
      </x:c>
      <x:c r="I510" s="34" t="n">
        <x:v>29.759999999999998</x:v>
      </x:c>
      <x:c r="J510" s="38" t="n">
        <x:v>0.3394872</x:v>
      </x:c>
      <x:c r="K510" s="38" t="n">
        <x:v>0.08456304</x:v>
      </x:c>
      <x:c r="L510" s="28" t="n">
        <x:v>0.2490905106289722</x:v>
      </x:c>
    </x:row>
    <x:row r="511">
      <x:c r="A511" s="32" t="n">
        <x:v>45839</x:v>
      </x:c>
      <x:c r="B511" t="str">
        <x:v>Jul 2025</x:v>
      </x:c>
      <x:c r="C511" t="str">
        <x:v>Actual</x:v>
      </x:c>
      <x:c r="D511" t="str">
        <x:v>DB-102</x:v>
      </x:c>
      <x:c r="E511" t="str">
        <x:v>GlowPatch Balm</x:v>
      </x:c>
      <x:c r="F511" t="str">
        <x:v>Wholesale</x:v>
      </x:c>
      <x:c r="G511" t="str">
        <x:v>Retailer</x:v>
      </x:c>
      <x:c r="H511" t="str">
        <x:v>US East</x:v>
      </x:c>
      <x:c r="I511" s="34" t="n">
        <x:v>39.68</x:v>
      </x:c>
      <x:c r="J511" s="38" t="n">
        <x:v>0.45264960000000004</x:v>
      </x:c>
      <x:c r="K511" s="38" t="n">
        <x:v>0.11275072000000001</x:v>
      </x:c>
      <x:c r="L511" s="28" t="n">
        <x:v>0.24909051062897217</x:v>
      </x:c>
    </x:row>
    <x:row r="512">
      <x:c r="A512" s="32" t="n">
        <x:v>45839</x:v>
      </x:c>
      <x:c r="B512" t="str">
        <x:v>Jul 2025</x:v>
      </x:c>
      <x:c r="C512" t="str">
        <x:v>Actual</x:v>
      </x:c>
      <x:c r="D512" t="str">
        <x:v>DB-102</x:v>
      </x:c>
      <x:c r="E512" t="str">
        <x:v>GlowPatch Balm</x:v>
      </x:c>
      <x:c r="F512" t="str">
        <x:v>Wholesale</x:v>
      </x:c>
      <x:c r="G512" t="str">
        <x:v>Retailer</x:v>
      </x:c>
      <x:c r="H512" t="str">
        <x:v>Canada</x:v>
      </x:c>
      <x:c r="I512" s="34" t="n">
        <x:v>12.4</x:v>
      </x:c>
      <x:c r="J512" s="38" t="n">
        <x:v>0.14145300000000002</x:v>
      </x:c>
      <x:c r="K512" s="38" t="n">
        <x:v>0.035234600000000005</x:v>
      </x:c>
      <x:c r="L512" s="28" t="n">
        <x:v>0.24909051062897217</x:v>
      </x:c>
    </x:row>
    <x:row r="513">
      <x:c r="A513" s="32" t="n">
        <x:v>45839</x:v>
      </x:c>
      <x:c r="B513" t="str">
        <x:v>Jul 2025</x:v>
      </x:c>
      <x:c r="C513" t="str">
        <x:v>Actual</x:v>
      </x:c>
      <x:c r="D513" t="str">
        <x:v>DB-102</x:v>
      </x:c>
      <x:c r="E513" t="str">
        <x:v>GlowPatch Balm</x:v>
      </x:c>
      <x:c r="F513" t="str">
        <x:v>TikTok Shop</x:v>
      </x:c>
      <x:c r="G513" t="str">
        <x:v>Social Commerce</x:v>
      </x:c>
      <x:c r="H513" t="str">
        <x:v>US West</x:v>
      </x:c>
      <x:c r="I513" s="34" t="n">
        <x:v>64.60000000000001</x:v>
      </x:c>
      <x:c r="J513" s="38" t="n">
        <x:v>0.9976824</x:v>
      </x:c>
      <x:c r="K513" s="38" t="n">
        <x:v>0.11650506640000008</x:v>
      </x:c>
      <x:c r="L513" s="28" t="n">
        <x:v>0.11677570577570585</x:v>
      </x:c>
    </x:row>
    <x:row r="514">
      <x:c r="A514" s="32" t="n">
        <x:v>45839</x:v>
      </x:c>
      <x:c r="B514" t="str">
        <x:v>Jul 2025</x:v>
      </x:c>
      <x:c r="C514" t="str">
        <x:v>Actual</x:v>
      </x:c>
      <x:c r="D514" t="str">
        <x:v>DB-102</x:v>
      </x:c>
      <x:c r="E514" t="str">
        <x:v>GlowPatch Balm</x:v>
      </x:c>
      <x:c r="F514" t="str">
        <x:v>TikTok Shop</x:v>
      </x:c>
      <x:c r="G514" t="str">
        <x:v>Social Commerce</x:v>
      </x:c>
      <x:c r="H514" t="str">
        <x:v>US Central</x:v>
      </x:c>
      <x:c r="I514" s="34" t="n">
        <x:v>45.6</x:v>
      </x:c>
      <x:c r="J514" s="38" t="n">
        <x:v>0.7042463999999999</x:v>
      </x:c>
      <x:c r="K514" s="38" t="n">
        <x:v>0.08223887040000005</x:v>
      </x:c>
      <x:c r="L514" s="28" t="n">
        <x:v>0.11677570577570585</x:v>
      </x:c>
    </x:row>
    <x:row r="515">
      <x:c r="A515" s="32" t="n">
        <x:v>45839</x:v>
      </x:c>
      <x:c r="B515" t="str">
        <x:v>Jul 2025</x:v>
      </x:c>
      <x:c r="C515" t="str">
        <x:v>Actual</x:v>
      </x:c>
      <x:c r="D515" t="str">
        <x:v>DB-102</x:v>
      </x:c>
      <x:c r="E515" t="str">
        <x:v>GlowPatch Balm</x:v>
      </x:c>
      <x:c r="F515" t="str">
        <x:v>TikTok Shop</x:v>
      </x:c>
      <x:c r="G515" t="str">
        <x:v>Social Commerce</x:v>
      </x:c>
      <x:c r="H515" t="str">
        <x:v>US East</x:v>
      </x:c>
      <x:c r="I515" s="34" t="n">
        <x:v>60.800000000000004</x:v>
      </x:c>
      <x:c r="J515" s="38" t="n">
        <x:v>0.9389951999999999</x:v>
      </x:c>
      <x:c r="K515" s="38" t="n">
        <x:v>0.10965182720000007</x:v>
      </x:c>
      <x:c r="L515" s="28" t="n">
        <x:v>0.11677570577570585</x:v>
      </x:c>
    </x:row>
    <x:row r="516">
      <x:c r="A516" s="32" t="n">
        <x:v>45839</x:v>
      </x:c>
      <x:c r="B516" t="str">
        <x:v>Jul 2025</x:v>
      </x:c>
      <x:c r="C516" t="str">
        <x:v>Actual</x:v>
      </x:c>
      <x:c r="D516" t="str">
        <x:v>DB-102</x:v>
      </x:c>
      <x:c r="E516" t="str">
        <x:v>GlowPatch Balm</x:v>
      </x:c>
      <x:c r="F516" t="str">
        <x:v>TikTok Shop</x:v>
      </x:c>
      <x:c r="G516" t="str">
        <x:v>Social Commerce</x:v>
      </x:c>
      <x:c r="H516" t="str">
        <x:v>Canada</x:v>
      </x:c>
      <x:c r="I516" s="34" t="n">
        <x:v>19</x:v>
      </x:c>
      <x:c r="J516" s="38" t="n">
        <x:v>0.293436</x:v>
      </x:c>
      <x:c r="K516" s="38" t="n">
        <x:v>0.03426619600000002</x:v>
      </x:c>
      <x:c r="L516" s="28" t="n">
        <x:v>0.11677570577570585</x:v>
      </x:c>
    </x:row>
    <x:row r="517">
      <x:c r="A517" s="32" t="n">
        <x:v>45839</x:v>
      </x:c>
      <x:c r="B517" t="str">
        <x:v>Jul 2025</x:v>
      </x:c>
      <x:c r="C517" t="str">
        <x:v>Actual</x:v>
      </x:c>
      <x:c r="D517" t="str">
        <x:v>DB-103</x:v>
      </x:c>
      <x:c r="E517" t="str">
        <x:v>EmberTrail Camp Mug</x:v>
      </x:c>
      <x:c r="F517" t="str">
        <x:v>Shopify DTC</x:v>
      </x:c>
      <x:c r="G517" t="str">
        <x:v>Consumer</x:v>
      </x:c>
      <x:c r="H517" t="str">
        <x:v>US West</x:v>
      </x:c>
      <x:c r="I517" s="34" t="n">
        <x:v>130.9</x:v>
      </x:c>
      <x:c r="J517" s="38" t="n">
        <x:v>3.86935164</x:v>
      </x:c>
      <x:c r="K517" s="38" t="n">
        <x:v>1.2011870424399995</x:v>
      </x:c>
      <x:c r="L517" s="28" t="n">
        <x:v>0.31043625759482524</x:v>
      </x:c>
    </x:row>
    <x:row r="518">
      <x:c r="A518" s="32" t="n">
        <x:v>45839</x:v>
      </x:c>
      <x:c r="B518" t="str">
        <x:v>Jul 2025</x:v>
      </x:c>
      <x:c r="C518" t="str">
        <x:v>Actual</x:v>
      </x:c>
      <x:c r="D518" t="str">
        <x:v>DB-103</x:v>
      </x:c>
      <x:c r="E518" t="str">
        <x:v>EmberTrail Camp Mug</x:v>
      </x:c>
      <x:c r="F518" t="str">
        <x:v>Shopify DTC</x:v>
      </x:c>
      <x:c r="G518" t="str">
        <x:v>Consumer</x:v>
      </x:c>
      <x:c r="H518" t="str">
        <x:v>US Central</x:v>
      </x:c>
      <x:c r="I518" s="34" t="n">
        <x:v>92.39999999999999</x:v>
      </x:c>
      <x:c r="J518" s="38" t="n">
        <x:v>2.73130704</x:v>
      </x:c>
      <x:c r="K518" s="38" t="n">
        <x:v>0.8478967358399996</x:v>
      </x:c>
      <x:c r="L518" s="28" t="n">
        <x:v>0.31043625759482524</x:v>
      </x:c>
    </x:row>
    <x:row r="519">
      <x:c r="A519" s="32" t="n">
        <x:v>45839</x:v>
      </x:c>
      <x:c r="B519" t="str">
        <x:v>Jul 2025</x:v>
      </x:c>
      <x:c r="C519" t="str">
        <x:v>Actual</x:v>
      </x:c>
      <x:c r="D519" t="str">
        <x:v>DB-103</x:v>
      </x:c>
      <x:c r="E519" t="str">
        <x:v>EmberTrail Camp Mug</x:v>
      </x:c>
      <x:c r="F519" t="str">
        <x:v>Shopify DTC</x:v>
      </x:c>
      <x:c r="G519" t="str">
        <x:v>Consumer</x:v>
      </x:c>
      <x:c r="H519" t="str">
        <x:v>US East</x:v>
      </x:c>
      <x:c r="I519" s="34" t="n">
        <x:v>123.2</x:v>
      </x:c>
      <x:c r="J519" s="38" t="n">
        <x:v>3.64174272</x:v>
      </x:c>
      <x:c r="K519" s="38" t="n">
        <x:v>1.1305289811199994</x:v>
      </x:c>
      <x:c r="L519" s="28" t="n">
        <x:v>0.31043625759482524</x:v>
      </x:c>
    </x:row>
    <x:row r="520">
      <x:c r="A520" s="32" t="n">
        <x:v>45839</x:v>
      </x:c>
      <x:c r="B520" t="str">
        <x:v>Jul 2025</x:v>
      </x:c>
      <x:c r="C520" t="str">
        <x:v>Actual</x:v>
      </x:c>
      <x:c r="D520" t="str">
        <x:v>DB-103</x:v>
      </x:c>
      <x:c r="E520" t="str">
        <x:v>EmberTrail Camp Mug</x:v>
      </x:c>
      <x:c r="F520" t="str">
        <x:v>Shopify DTC</x:v>
      </x:c>
      <x:c r="G520" t="str">
        <x:v>Consumer</x:v>
      </x:c>
      <x:c r="H520" t="str">
        <x:v>Canada</x:v>
      </x:c>
      <x:c r="I520" s="34" t="n">
        <x:v>38.5</x:v>
      </x:c>
      <x:c r="J520" s="38" t="n">
        <x:v>1.1380446</x:v>
      </x:c>
      <x:c r="K520" s="38" t="n">
        <x:v>0.3532903065999999</x:v>
      </x:c>
      <x:c r="L520" s="28" t="n">
        <x:v>0.3104362575948253</x:v>
      </x:c>
    </x:row>
    <x:row r="521">
      <x:c r="A521" s="32" t="n">
        <x:v>45839</x:v>
      </x:c>
      <x:c r="B521" t="str">
        <x:v>Jul 2025</x:v>
      </x:c>
      <x:c r="C521" t="str">
        <x:v>Actual</x:v>
      </x:c>
      <x:c r="D521" t="str">
        <x:v>DB-103</x:v>
      </x:c>
      <x:c r="E521" t="str">
        <x:v>EmberTrail Camp Mug</x:v>
      </x:c>
      <x:c r="F521" t="str">
        <x:v>Amazon Marketplace</x:v>
      </x:c>
      <x:c r="G521" t="str">
        <x:v>Marketplace Consumer</x:v>
      </x:c>
      <x:c r="H521" t="str">
        <x:v>US West</x:v>
      </x:c>
      <x:c r="I521" s="34" t="n">
        <x:v>77.18</x:v>
      </x:c>
      <x:c r="J521" s="38" t="n">
        <x:v>2.3558037300000003</x:v>
      </x:c>
      <x:c r="K521" s="38" t="n">
        <x:v>0.3757874905000001</x:v>
      </x:c>
      <x:c r="L521" s="28" t="n">
        <x:v>0.15951561911314235</x:v>
      </x:c>
    </x:row>
    <x:row r="522">
      <x:c r="A522" s="32" t="n">
        <x:v>45839</x:v>
      </x:c>
      <x:c r="B522" t="str">
        <x:v>Jul 2025</x:v>
      </x:c>
      <x:c r="C522" t="str">
        <x:v>Actual</x:v>
      </x:c>
      <x:c r="D522" t="str">
        <x:v>DB-103</x:v>
      </x:c>
      <x:c r="E522" t="str">
        <x:v>EmberTrail Camp Mug</x:v>
      </x:c>
      <x:c r="F522" t="str">
        <x:v>Amazon Marketplace</x:v>
      </x:c>
      <x:c r="G522" t="str">
        <x:v>Marketplace Consumer</x:v>
      </x:c>
      <x:c r="H522" t="str">
        <x:v>US Central</x:v>
      </x:c>
      <x:c r="I522" s="34" t="n">
        <x:v>54.48</x:v>
      </x:c>
      <x:c r="J522" s="38" t="n">
        <x:v>1.66292028</x:v>
      </x:c>
      <x:c r="K522" s="38" t="n">
        <x:v>0.265261758</x:v>
      </x:c>
      <x:c r="L522" s="28" t="n">
        <x:v>0.15951561911314233</x:v>
      </x:c>
    </x:row>
    <x:row r="523">
      <x:c r="A523" s="32" t="n">
        <x:v>45839</x:v>
      </x:c>
      <x:c r="B523" t="str">
        <x:v>Jul 2025</x:v>
      </x:c>
      <x:c r="C523" t="str">
        <x:v>Actual</x:v>
      </x:c>
      <x:c r="D523" t="str">
        <x:v>DB-103</x:v>
      </x:c>
      <x:c r="E523" t="str">
        <x:v>EmberTrail Camp Mug</x:v>
      </x:c>
      <x:c r="F523" t="str">
        <x:v>Amazon Marketplace</x:v>
      </x:c>
      <x:c r="G523" t="str">
        <x:v>Marketplace Consumer</x:v>
      </x:c>
      <x:c r="H523" t="str">
        <x:v>US East</x:v>
      </x:c>
      <x:c r="I523" s="34" t="n">
        <x:v>72.64</x:v>
      </x:c>
      <x:c r="J523" s="38" t="n">
        <x:v>2.2172270400000005</x:v>
      </x:c>
      <x:c r="K523" s="38" t="n">
        <x:v>0.35368234400000004</x:v>
      </x:c>
      <x:c r="L523" s="28" t="n">
        <x:v>0.15951561911314233</x:v>
      </x:c>
    </x:row>
    <x:row r="524">
      <x:c r="A524" s="32" t="n">
        <x:v>45839</x:v>
      </x:c>
      <x:c r="B524" t="str">
        <x:v>Jul 2025</x:v>
      </x:c>
      <x:c r="C524" t="str">
        <x:v>Actual</x:v>
      </x:c>
      <x:c r="D524" t="str">
        <x:v>DB-103</x:v>
      </x:c>
      <x:c r="E524" t="str">
        <x:v>EmberTrail Camp Mug</x:v>
      </x:c>
      <x:c r="F524" t="str">
        <x:v>Amazon Marketplace</x:v>
      </x:c>
      <x:c r="G524" t="str">
        <x:v>Marketplace Consumer</x:v>
      </x:c>
      <x:c r="H524" t="str">
        <x:v>Canada</x:v>
      </x:c>
      <x:c r="I524" s="34" t="n">
        <x:v>22.700000000000003</x:v>
      </x:c>
      <x:c r="J524" s="38" t="n">
        <x:v>0.6928834500000001</x:v>
      </x:c>
      <x:c r="K524" s="38" t="n">
        <x:v>0.11052573250000003</x:v>
      </x:c>
      <x:c r="L524" s="28" t="n">
        <x:v>0.15951561911314235</x:v>
      </x:c>
    </x:row>
    <x:row r="525">
      <x:c r="A525" s="32" t="n">
        <x:v>45839</x:v>
      </x:c>
      <x:c r="B525" t="str">
        <x:v>Jul 2025</x:v>
      </x:c>
      <x:c r="C525" t="str">
        <x:v>Actual</x:v>
      </x:c>
      <x:c r="D525" t="str">
        <x:v>DB-103</x:v>
      </x:c>
      <x:c r="E525" t="str">
        <x:v>EmberTrail Camp Mug</x:v>
      </x:c>
      <x:c r="F525" t="str">
        <x:v>Wholesale</x:v>
      </x:c>
      <x:c r="G525" t="str">
        <x:v>Retailer</x:v>
      </x:c>
      <x:c r="H525" t="str">
        <x:v>US West</x:v>
      </x:c>
      <x:c r="I525" s="34" t="n">
        <x:v>21.76</x:v>
      </x:c>
      <x:c r="J525" s="38" t="n">
        <x:v>0.45444672</x:v>
      </x:c>
      <x:c r="K525" s="38" t="n">
        <x:v>0.08722496000000002</x:v>
      </x:c>
      <x:c r="L525" s="28" t="n">
        <x:v>0.1919366037013096</x:v>
      </x:c>
    </x:row>
    <x:row r="526">
      <x:c r="A526" s="32" t="n">
        <x:v>45839</x:v>
      </x:c>
      <x:c r="B526" t="str">
        <x:v>Jul 2025</x:v>
      </x:c>
      <x:c r="C526" t="str">
        <x:v>Actual</x:v>
      </x:c>
      <x:c r="D526" t="str">
        <x:v>DB-103</x:v>
      </x:c>
      <x:c r="E526" t="str">
        <x:v>EmberTrail Camp Mug</x:v>
      </x:c>
      <x:c r="F526" t="str">
        <x:v>Wholesale</x:v>
      </x:c>
      <x:c r="G526" t="str">
        <x:v>Retailer</x:v>
      </x:c>
      <x:c r="H526" t="str">
        <x:v>US Central</x:v>
      </x:c>
      <x:c r="I526" s="34" t="n">
        <x:v>15.36</x:v>
      </x:c>
      <x:c r="J526" s="38" t="n">
        <x:v>0.32078592</x:v>
      </x:c>
      <x:c r="K526" s="38" t="n">
        <x:v>0.06157056000000001</x:v>
      </x:c>
      <x:c r="L526" s="28" t="n">
        <x:v>0.1919366037013096</x:v>
      </x:c>
    </x:row>
    <x:row r="527">
      <x:c r="A527" s="32" t="n">
        <x:v>45839</x:v>
      </x:c>
      <x:c r="B527" t="str">
        <x:v>Jul 2025</x:v>
      </x:c>
      <x:c r="C527" t="str">
        <x:v>Actual</x:v>
      </x:c>
      <x:c r="D527" t="str">
        <x:v>DB-103</x:v>
      </x:c>
      <x:c r="E527" t="str">
        <x:v>EmberTrail Camp Mug</x:v>
      </x:c>
      <x:c r="F527" t="str">
        <x:v>Wholesale</x:v>
      </x:c>
      <x:c r="G527" t="str">
        <x:v>Retailer</x:v>
      </x:c>
      <x:c r="H527" t="str">
        <x:v>US East</x:v>
      </x:c>
      <x:c r="I527" s="34" t="n">
        <x:v>20.48</x:v>
      </x:c>
      <x:c r="J527" s="38" t="n">
        <x:v>0.42771456</x:v>
      </x:c>
      <x:c r="K527" s="38" t="n">
        <x:v>0.08209408000000001</x:v>
      </x:c>
      <x:c r="L527" s="28" t="n">
        <x:v>0.1919366037013096</x:v>
      </x:c>
    </x:row>
    <x:row r="528">
      <x:c r="A528" s="32" t="n">
        <x:v>45839</x:v>
      </x:c>
      <x:c r="B528" t="str">
        <x:v>Jul 2025</x:v>
      </x:c>
      <x:c r="C528" t="str">
        <x:v>Actual</x:v>
      </x:c>
      <x:c r="D528" t="str">
        <x:v>DB-103</x:v>
      </x:c>
      <x:c r="E528" t="str">
        <x:v>EmberTrail Camp Mug</x:v>
      </x:c>
      <x:c r="F528" t="str">
        <x:v>Wholesale</x:v>
      </x:c>
      <x:c r="G528" t="str">
        <x:v>Retailer</x:v>
      </x:c>
      <x:c r="H528" t="str">
        <x:v>Canada</x:v>
      </x:c>
      <x:c r="I528" s="34" t="n">
        <x:v>6.4</x:v>
      </x:c>
      <x:c r="J528" s="38" t="n">
        <x:v>0.1336608</x:v>
      </x:c>
      <x:c r="K528" s="38" t="n">
        <x:v>0.025654400000000008</x:v>
      </x:c>
      <x:c r="L528" s="28" t="n">
        <x:v>0.19193660370130966</x:v>
      </x:c>
    </x:row>
    <x:row r="529">
      <x:c r="A529" s="32" t="n">
        <x:v>45839</x:v>
      </x:c>
      <x:c r="B529" t="str">
        <x:v>Jul 2025</x:v>
      </x:c>
      <x:c r="C529" t="str">
        <x:v>Actual</x:v>
      </x:c>
      <x:c r="D529" t="str">
        <x:v>DB-103</x:v>
      </x:c>
      <x:c r="E529" t="str">
        <x:v>EmberTrail Camp Mug</x:v>
      </x:c>
      <x:c r="F529" t="str">
        <x:v>TikTok Shop</x:v>
      </x:c>
      <x:c r="G529" t="str">
        <x:v>Social Commerce</x:v>
      </x:c>
      <x:c r="H529" t="str">
        <x:v>US West</x:v>
      </x:c>
      <x:c r="I529" s="34" t="n">
        <x:v>32.64</x:v>
      </x:c>
      <x:c r="J529" s="38" t="n">
        <x:v>0.9228764159999999</x:v>
      </x:c>
      <x:c r="K529" s="38" t="n">
        <x:v>0.1691397749759999</x:v>
      </x:c>
      <x:c r="L529" s="28" t="n">
        <x:v>0.18327456639221337</x:v>
      </x:c>
    </x:row>
    <x:row r="530">
      <x:c r="A530" s="32" t="n">
        <x:v>45839</x:v>
      </x:c>
      <x:c r="B530" t="str">
        <x:v>Jul 2025</x:v>
      </x:c>
      <x:c r="C530" t="str">
        <x:v>Actual</x:v>
      </x:c>
      <x:c r="D530" t="str">
        <x:v>DB-103</x:v>
      </x:c>
      <x:c r="E530" t="str">
        <x:v>EmberTrail Camp Mug</x:v>
      </x:c>
      <x:c r="F530" t="str">
        <x:v>TikTok Shop</x:v>
      </x:c>
      <x:c r="G530" t="str">
        <x:v>Social Commerce</x:v>
      </x:c>
      <x:c r="H530" t="str">
        <x:v>US Central</x:v>
      </x:c>
      <x:c r="I530" s="34" t="n">
        <x:v>23.04</x:v>
      </x:c>
      <x:c r="J530" s="38" t="n">
        <x:v>0.6514421759999999</x:v>
      </x:c>
      <x:c r="K530" s="38" t="n">
        <x:v>0.11939278233599993</x:v>
      </x:c>
      <x:c r="L530" s="28" t="n">
        <x:v>0.18327456639221337</x:v>
      </x:c>
    </x:row>
    <x:row r="531">
      <x:c r="A531" s="32" t="n">
        <x:v>45839</x:v>
      </x:c>
      <x:c r="B531" t="str">
        <x:v>Jul 2025</x:v>
      </x:c>
      <x:c r="C531" t="str">
        <x:v>Actual</x:v>
      </x:c>
      <x:c r="D531" t="str">
        <x:v>DB-103</x:v>
      </x:c>
      <x:c r="E531" t="str">
        <x:v>EmberTrail Camp Mug</x:v>
      </x:c>
      <x:c r="F531" t="str">
        <x:v>TikTok Shop</x:v>
      </x:c>
      <x:c r="G531" t="str">
        <x:v>Social Commerce</x:v>
      </x:c>
      <x:c r="H531" t="str">
        <x:v>US East</x:v>
      </x:c>
      <x:c r="I531" s="34" t="n">
        <x:v>30.72</x:v>
      </x:c>
      <x:c r="J531" s="38" t="n">
        <x:v>0.8685895679999999</x:v>
      </x:c>
      <x:c r="K531" s="38" t="n">
        <x:v>0.1591903764479999</x:v>
      </x:c>
      <x:c r="L531" s="28" t="n">
        <x:v>0.18327456639221337</x:v>
      </x:c>
    </x:row>
    <x:row r="532">
      <x:c r="A532" s="32" t="n">
        <x:v>45839</x:v>
      </x:c>
      <x:c r="B532" t="str">
        <x:v>Jul 2025</x:v>
      </x:c>
      <x:c r="C532" t="str">
        <x:v>Actual</x:v>
      </x:c>
      <x:c r="D532" t="str">
        <x:v>DB-103</x:v>
      </x:c>
      <x:c r="E532" t="str">
        <x:v>EmberTrail Camp Mug</x:v>
      </x:c>
      <x:c r="F532" t="str">
        <x:v>TikTok Shop</x:v>
      </x:c>
      <x:c r="G532" t="str">
        <x:v>Social Commerce</x:v>
      </x:c>
      <x:c r="H532" t="str">
        <x:v>Canada</x:v>
      </x:c>
      <x:c r="I532" s="34" t="n">
        <x:v>9.600000000000001</x:v>
      </x:c>
      <x:c r="J532" s="38" t="n">
        <x:v>0.27143424</x:v>
      </x:c>
      <x:c r="K532" s="38" t="n">
        <x:v>0.04974699263999997</x:v>
      </x:c>
      <x:c r="L532" s="28" t="n">
        <x:v>0.18327456639221335</x:v>
      </x:c>
    </x:row>
    <x:row r="533">
      <x:c r="A533" s="32" t="n">
        <x:v>45839</x:v>
      </x:c>
      <x:c r="B533" t="str">
        <x:v>Jul 2025</x:v>
      </x:c>
      <x:c r="C533" t="str">
        <x:v>Actual</x:v>
      </x:c>
      <x:c r="D533" t="str">
        <x:v>DB-104</x:v>
      </x:c>
      <x:c r="E533" t="str">
        <x:v>SunNest Cooling Towel</x:v>
      </x:c>
      <x:c r="F533" t="str">
        <x:v>Shopify DTC</x:v>
      </x:c>
      <x:c r="G533" t="str">
        <x:v>Consumer</x:v>
      </x:c>
      <x:c r="H533" t="str">
        <x:v>US West</x:v>
      </x:c>
      <x:c r="I533" s="34" t="n">
        <x:v>229.84</x:v>
      </x:c>
      <x:c r="J533" s="38" t="n">
        <x:v>8.43696672</x:v>
      </x:c>
      <x:c r="K533" s="38" t="n">
        <x:v>3.3936951651199996</x:v>
      </x:c>
      <x:c r="L533" s="28" t="n">
        <x:v>0.40224114634412117</x:v>
      </x:c>
    </x:row>
    <x:row r="534">
      <x:c r="A534" s="32" t="n">
        <x:v>45839</x:v>
      </x:c>
      <x:c r="B534" t="str">
        <x:v>Jul 2025</x:v>
      </x:c>
      <x:c r="C534" t="str">
        <x:v>Actual</x:v>
      </x:c>
      <x:c r="D534" t="str">
        <x:v>DB-104</x:v>
      </x:c>
      <x:c r="E534" t="str">
        <x:v>SunNest Cooling Towel</x:v>
      </x:c>
      <x:c r="F534" t="str">
        <x:v>Shopify DTC</x:v>
      </x:c>
      <x:c r="G534" t="str">
        <x:v>Consumer</x:v>
      </x:c>
      <x:c r="H534" t="str">
        <x:v>US Central</x:v>
      </x:c>
      <x:c r="I534" s="34" t="n">
        <x:v>162.23999999999998</x:v>
      </x:c>
      <x:c r="J534" s="38" t="n">
        <x:v>5.9555059199999985</x:v>
      </x:c>
      <x:c r="K534" s="38" t="n">
        <x:v>2.3955495283199997</x:v>
      </x:c>
      <x:c r="L534" s="28" t="n">
        <x:v>0.4022411463441212</x:v>
      </x:c>
    </x:row>
    <x:row r="535">
      <x:c r="A535" s="32" t="n">
        <x:v>45839</x:v>
      </x:c>
      <x:c r="B535" t="str">
        <x:v>Jul 2025</x:v>
      </x:c>
      <x:c r="C535" t="str">
        <x:v>Actual</x:v>
      </x:c>
      <x:c r="D535" t="str">
        <x:v>DB-104</x:v>
      </x:c>
      <x:c r="E535" t="str">
        <x:v>SunNest Cooling Towel</x:v>
      </x:c>
      <x:c r="F535" t="str">
        <x:v>Shopify DTC</x:v>
      </x:c>
      <x:c r="G535" t="str">
        <x:v>Consumer</x:v>
      </x:c>
      <x:c r="H535" t="str">
        <x:v>US East</x:v>
      </x:c>
      <x:c r="I535" s="34" t="n">
        <x:v>216.32</x:v>
      </x:c>
      <x:c r="J535" s="38" t="n">
        <x:v>7.940674559999999</x:v>
      </x:c>
      <x:c r="K535" s="38" t="n">
        <x:v>3.1940660377599994</x:v>
      </x:c>
      <x:c r="L535" s="28" t="n">
        <x:v>0.40224114634412117</x:v>
      </x:c>
    </x:row>
    <x:row r="536">
      <x:c r="A536" s="32" t="n">
        <x:v>45839</x:v>
      </x:c>
      <x:c r="B536" t="str">
        <x:v>Jul 2025</x:v>
      </x:c>
      <x:c r="C536" t="str">
        <x:v>Actual</x:v>
      </x:c>
      <x:c r="D536" t="str">
        <x:v>DB-104</x:v>
      </x:c>
      <x:c r="E536" t="str">
        <x:v>SunNest Cooling Towel</x:v>
      </x:c>
      <x:c r="F536" t="str">
        <x:v>Shopify DTC</x:v>
      </x:c>
      <x:c r="G536" t="str">
        <x:v>Consumer</x:v>
      </x:c>
      <x:c r="H536" t="str">
        <x:v>Canada</x:v>
      </x:c>
      <x:c r="I536" s="34" t="n">
        <x:v>67.60000000000001</x:v>
      </x:c>
      <x:c r="J536" s="38" t="n">
        <x:v>2.4814608</x:v>
      </x:c>
      <x:c r="K536" s="38" t="n">
        <x:v>0.9981456367999999</x:v>
      </x:c>
      <x:c r="L536" s="28" t="n">
        <x:v>0.40224114634412117</x:v>
      </x:c>
    </x:row>
    <x:row r="537">
      <x:c r="A537" s="32" t="n">
        <x:v>45839</x:v>
      </x:c>
      <x:c r="B537" t="str">
        <x:v>Jul 2025</x:v>
      </x:c>
      <x:c r="C537" t="str">
        <x:v>Actual</x:v>
      </x:c>
      <x:c r="D537" t="str">
        <x:v>DB-104</x:v>
      </x:c>
      <x:c r="E537" t="str">
        <x:v>SunNest Cooling Towel</x:v>
      </x:c>
      <x:c r="F537" t="str">
        <x:v>Amazon Marketplace</x:v>
      </x:c>
      <x:c r="G537" t="str">
        <x:v>Marketplace Consumer</x:v>
      </x:c>
      <x:c r="H537" t="str">
        <x:v>US West</x:v>
      </x:c>
      <x:c r="I537" s="34" t="n">
        <x:v>135.32000000000002</x:v>
      </x:c>
      <x:c r="J537" s="38" t="n">
        <x:v>5.1293046</x:v>
      </x:c>
      <x:c r="K537" s="38" t="n">
        <x:v>1.3249519500000002</x:v>
      </x:c>
      <x:c r="L537" s="28" t="n">
        <x:v>0.25831024930747926</x:v>
      </x:c>
    </x:row>
    <x:row r="538">
      <x:c r="A538" s="32" t="n">
        <x:v>45839</x:v>
      </x:c>
      <x:c r="B538" t="str">
        <x:v>Jul 2025</x:v>
      </x:c>
      <x:c r="C538" t="str">
        <x:v>Actual</x:v>
      </x:c>
      <x:c r="D538" t="str">
        <x:v>DB-104</x:v>
      </x:c>
      <x:c r="E538" t="str">
        <x:v>SunNest Cooling Towel</x:v>
      </x:c>
      <x:c r="F538" t="str">
        <x:v>Amazon Marketplace</x:v>
      </x:c>
      <x:c r="G538" t="str">
        <x:v>Marketplace Consumer</x:v>
      </x:c>
      <x:c r="H538" t="str">
        <x:v>US Central</x:v>
      </x:c>
      <x:c r="I538" s="34" t="n">
        <x:v>95.52</x:v>
      </x:c>
      <x:c r="J538" s="38" t="n">
        <x:v>3.6206856</x:v>
      </x:c>
      <x:c r="K538" s="38" t="n">
        <x:v>0.9352602</x:v>
      </x:c>
      <x:c r="L538" s="28" t="n">
        <x:v>0.25831024930747926</x:v>
      </x:c>
    </x:row>
    <x:row r="539">
      <x:c r="A539" s="32" t="n">
        <x:v>45839</x:v>
      </x:c>
      <x:c r="B539" t="str">
        <x:v>Jul 2025</x:v>
      </x:c>
      <x:c r="C539" t="str">
        <x:v>Actual</x:v>
      </x:c>
      <x:c r="D539" t="str">
        <x:v>DB-104</x:v>
      </x:c>
      <x:c r="E539" t="str">
        <x:v>SunNest Cooling Towel</x:v>
      </x:c>
      <x:c r="F539" t="str">
        <x:v>Amazon Marketplace</x:v>
      </x:c>
      <x:c r="G539" t="str">
        <x:v>Marketplace Consumer</x:v>
      </x:c>
      <x:c r="H539" t="str">
        <x:v>US East</x:v>
      </x:c>
      <x:c r="I539" s="34" t="n">
        <x:v>127.36</x:v>
      </x:c>
      <x:c r="J539" s="38" t="n">
        <x:v>4.8275808</x:v>
      </x:c>
      <x:c r="K539" s="38" t="n">
        <x:v>1.2470136</x:v>
      </x:c>
      <x:c r="L539" s="28" t="n">
        <x:v>0.25831024930747926</x:v>
      </x:c>
    </x:row>
    <x:row r="540">
      <x:c r="A540" s="32" t="n">
        <x:v>45839</x:v>
      </x:c>
      <x:c r="B540" t="str">
        <x:v>Jul 2025</x:v>
      </x:c>
      <x:c r="C540" t="str">
        <x:v>Actual</x:v>
      </x:c>
      <x:c r="D540" t="str">
        <x:v>DB-104</x:v>
      </x:c>
      <x:c r="E540" t="str">
        <x:v>SunNest Cooling Towel</x:v>
      </x:c>
      <x:c r="F540" t="str">
        <x:v>Amazon Marketplace</x:v>
      </x:c>
      <x:c r="G540" t="str">
        <x:v>Marketplace Consumer</x:v>
      </x:c>
      <x:c r="H540" t="str">
        <x:v>Canada</x:v>
      </x:c>
      <x:c r="I540" s="34" t="n">
        <x:v>39.800000000000004</x:v>
      </x:c>
      <x:c r="J540" s="38" t="n">
        <x:v>1.5086190000000002</x:v>
      </x:c>
      <x:c r="K540" s="38" t="n">
        <x:v>0.38969175000000006</x:v>
      </x:c>
      <x:c r="L540" s="28" t="n">
        <x:v>0.25831024930747926</x:v>
      </x:c>
    </x:row>
    <x:row r="541">
      <x:c r="A541" s="32" t="n">
        <x:v>45839</x:v>
      </x:c>
      <x:c r="B541" t="str">
        <x:v>Jul 2025</x:v>
      </x:c>
      <x:c r="C541" t="str">
        <x:v>Actual</x:v>
      </x:c>
      <x:c r="D541" t="str">
        <x:v>DB-104</x:v>
      </x:c>
      <x:c r="E541" t="str">
        <x:v>SunNest Cooling Towel</x:v>
      </x:c>
      <x:c r="F541" t="str">
        <x:v>Wholesale</x:v>
      </x:c>
      <x:c r="G541" t="str">
        <x:v>Retailer</x:v>
      </x:c>
      <x:c r="H541" t="str">
        <x:v>US West</x:v>
      </x:c>
      <x:c r="I541" s="34" t="n">
        <x:v>38.080000000000005</x:v>
      </x:c>
      <x:c r="J541" s="38" t="n">
        <x:v>0.9876048</x:v>
      </x:c>
      <x:c r="K541" s="38" t="n">
        <x:v>0.29348255999999984</x:v>
      </x:c>
      <x:c r="L541" s="28" t="n">
        <x:v>0.2971659919028339</x:v>
      </x:c>
    </x:row>
    <x:row r="542">
      <x:c r="A542" s="32" t="n">
        <x:v>45839</x:v>
      </x:c>
      <x:c r="B542" t="str">
        <x:v>Jul 2025</x:v>
      </x:c>
      <x:c r="C542" t="str">
        <x:v>Actual</x:v>
      </x:c>
      <x:c r="D542" t="str">
        <x:v>DB-104</x:v>
      </x:c>
      <x:c r="E542" t="str">
        <x:v>SunNest Cooling Towel</x:v>
      </x:c>
      <x:c r="F542" t="str">
        <x:v>Wholesale</x:v>
      </x:c>
      <x:c r="G542" t="str">
        <x:v>Retailer</x:v>
      </x:c>
      <x:c r="H542" t="str">
        <x:v>US Central</x:v>
      </x:c>
      <x:c r="I542" s="34" t="n">
        <x:v>26.88</x:v>
      </x:c>
      <x:c r="J542" s="38" t="n">
        <x:v>0.6971327999999999</x:v>
      </x:c>
      <x:c r="K542" s="38" t="n">
        <x:v>0.20716415999999988</x:v>
      </x:c>
      <x:c r="L542" s="28" t="n">
        <x:v>0.2971659919028339</x:v>
      </x:c>
    </x:row>
    <x:row r="543">
      <x:c r="A543" s="32" t="n">
        <x:v>45839</x:v>
      </x:c>
      <x:c r="B543" t="str">
        <x:v>Jul 2025</x:v>
      </x:c>
      <x:c r="C543" t="str">
        <x:v>Actual</x:v>
      </x:c>
      <x:c r="D543" t="str">
        <x:v>DB-104</x:v>
      </x:c>
      <x:c r="E543" t="str">
        <x:v>SunNest Cooling Towel</x:v>
      </x:c>
      <x:c r="F543" t="str">
        <x:v>Wholesale</x:v>
      </x:c>
      <x:c r="G543" t="str">
        <x:v>Retailer</x:v>
      </x:c>
      <x:c r="H543" t="str">
        <x:v>US East</x:v>
      </x:c>
      <x:c r="I543" s="34" t="n">
        <x:v>35.84</x:v>
      </x:c>
      <x:c r="J543" s="38" t="n">
        <x:v>0.9295104</x:v>
      </x:c>
      <x:c r="K543" s="38" t="n">
        <x:v>0.27621887999999983</x:v>
      </x:c>
      <x:c r="L543" s="28" t="n">
        <x:v>0.2971659919028338</x:v>
      </x:c>
    </x:row>
    <x:row r="544">
      <x:c r="A544" s="32" t="n">
        <x:v>45839</x:v>
      </x:c>
      <x:c r="B544" t="str">
        <x:v>Jul 2025</x:v>
      </x:c>
      <x:c r="C544" t="str">
        <x:v>Actual</x:v>
      </x:c>
      <x:c r="D544" t="str">
        <x:v>DB-104</x:v>
      </x:c>
      <x:c r="E544" t="str">
        <x:v>SunNest Cooling Towel</x:v>
      </x:c>
      <x:c r="F544" t="str">
        <x:v>Wholesale</x:v>
      </x:c>
      <x:c r="G544" t="str">
        <x:v>Retailer</x:v>
      </x:c>
      <x:c r="H544" t="str">
        <x:v>Canada</x:v>
      </x:c>
      <x:c r="I544" s="34" t="n">
        <x:v>11.200000000000001</x:v>
      </x:c>
      <x:c r="J544" s="38" t="n">
        <x:v>0.290472</x:v>
      </x:c>
      <x:c r="K544" s="38" t="n">
        <x:v>0.08631839999999996</x:v>
      </x:c>
      <x:c r="L544" s="28" t="n">
        <x:v>0.2971659919028339</x:v>
      </x:c>
    </x:row>
    <x:row r="545">
      <x:c r="A545" s="32" t="n">
        <x:v>45839</x:v>
      </x:c>
      <x:c r="B545" t="str">
        <x:v>Jul 2025</x:v>
      </x:c>
      <x:c r="C545" t="str">
        <x:v>Actual</x:v>
      </x:c>
      <x:c r="D545" t="str">
        <x:v>DB-104</x:v>
      </x:c>
      <x:c r="E545" t="str">
        <x:v>SunNest Cooling Towel</x:v>
      </x:c>
      <x:c r="F545" t="str">
        <x:v>TikTok Shop</x:v>
      </x:c>
      <x:c r="G545" t="str">
        <x:v>Social Commerce</x:v>
      </x:c>
      <x:c r="H545" t="str">
        <x:v>US West</x:v>
      </x:c>
      <x:c r="I545" s="34" t="n">
        <x:v>57.800000000000004</x:v>
      </x:c>
      <x:c r="J545" s="38" t="n">
        <x:v>2.0294736</x:v>
      </x:c>
      <x:c r="K545" s="38" t="n">
        <x:v>0.5814120495999999</x:v>
      </x:c>
      <x:c r="L545" s="28" t="n">
        <x:v>0.2864841649578491</x:v>
      </x:c>
    </x:row>
    <x:row r="546">
      <x:c r="A546" s="32" t="n">
        <x:v>45839</x:v>
      </x:c>
      <x:c r="B546" t="str">
        <x:v>Jul 2025</x:v>
      </x:c>
      <x:c r="C546" t="str">
        <x:v>Actual</x:v>
      </x:c>
      <x:c r="D546" t="str">
        <x:v>DB-104</x:v>
      </x:c>
      <x:c r="E546" t="str">
        <x:v>SunNest Cooling Towel</x:v>
      </x:c>
      <x:c r="F546" t="str">
        <x:v>TikTok Shop</x:v>
      </x:c>
      <x:c r="G546" t="str">
        <x:v>Social Commerce</x:v>
      </x:c>
      <x:c r="H546" t="str">
        <x:v>US Central</x:v>
      </x:c>
      <x:c r="I546" s="34" t="n">
        <x:v>40.8</x:v>
      </x:c>
      <x:c r="J546" s="38" t="n">
        <x:v>1.4325695999999999</x:v>
      </x:c>
      <x:c r="K546" s="38" t="n">
        <x:v>0.4104085055999999</x:v>
      </x:c>
      <x:c r="L546" s="28" t="n">
        <x:v>0.2864841649578491</x:v>
      </x:c>
    </x:row>
    <x:row r="547">
      <x:c r="A547" s="32" t="n">
        <x:v>45839</x:v>
      </x:c>
      <x:c r="B547" t="str">
        <x:v>Jul 2025</x:v>
      </x:c>
      <x:c r="C547" t="str">
        <x:v>Actual</x:v>
      </x:c>
      <x:c r="D547" t="str">
        <x:v>DB-104</x:v>
      </x:c>
      <x:c r="E547" t="str">
        <x:v>SunNest Cooling Towel</x:v>
      </x:c>
      <x:c r="F547" t="str">
        <x:v>TikTok Shop</x:v>
      </x:c>
      <x:c r="G547" t="str">
        <x:v>Social Commerce</x:v>
      </x:c>
      <x:c r="H547" t="str">
        <x:v>US East</x:v>
      </x:c>
      <x:c r="I547" s="34" t="n">
        <x:v>54.4</x:v>
      </x:c>
      <x:c r="J547" s="38" t="n">
        <x:v>1.9100928</x:v>
      </x:c>
      <x:c r="K547" s="38" t="n">
        <x:v>0.5472113407999999</x:v>
      </x:c>
      <x:c r="L547" s="28" t="n">
        <x:v>0.2864841649578491</x:v>
      </x:c>
    </x:row>
    <x:row r="548">
      <x:c r="A548" s="32" t="n">
        <x:v>45839</x:v>
      </x:c>
      <x:c r="B548" t="str">
        <x:v>Jul 2025</x:v>
      </x:c>
      <x:c r="C548" t="str">
        <x:v>Actual</x:v>
      </x:c>
      <x:c r="D548" t="str">
        <x:v>DB-104</x:v>
      </x:c>
      <x:c r="E548" t="str">
        <x:v>SunNest Cooling Towel</x:v>
      </x:c>
      <x:c r="F548" t="str">
        <x:v>TikTok Shop</x:v>
      </x:c>
      <x:c r="G548" t="str">
        <x:v>Social Commerce</x:v>
      </x:c>
      <x:c r="H548" t="str">
        <x:v>Canada</x:v>
      </x:c>
      <x:c r="I548" s="34" t="n">
        <x:v>17</x:v>
      </x:c>
      <x:c r="J548" s="38" t="n">
        <x:v>0.596904</x:v>
      </x:c>
      <x:c r="K548" s="38" t="n">
        <x:v>0.17100354399999998</x:v>
      </x:c>
      <x:c r="L548" s="28" t="n">
        <x:v>0.2864841649578491</x:v>
      </x:c>
    </x:row>
    <x:row r="549">
      <x:c r="A549" s="32" t="n">
        <x:v>45839</x:v>
      </x:c>
      <x:c r="B549" t="str">
        <x:v>Jul 2025</x:v>
      </x:c>
      <x:c r="C549" t="str">
        <x:v>Actual</x:v>
      </x:c>
      <x:c r="D549" t="str">
        <x:v>DB-105</x:v>
      </x:c>
      <x:c r="E549" t="str">
        <x:v>DreamFuel Refill Pack</x:v>
      </x:c>
      <x:c r="F549" t="str">
        <x:v>Shopify DTC</x:v>
      </x:c>
      <x:c r="G549" t="str">
        <x:v>Consumer</x:v>
      </x:c>
      <x:c r="H549" t="str">
        <x:v>US West</x:v>
      </x:c>
      <x:c r="I549" s="34" t="n">
        <x:v>201.28</x:v>
      </x:c>
      <x:c r="J549" s="38" t="n">
        <x:v>10.162546688</x:v>
      </x:c>
      <x:c r="K549" s="38" t="n">
        <x:v>4.951850626047999</x:v>
      </x:c>
      <x:c r="L549" s="28" t="n">
        <x:v>0.4872647357079476</x:v>
      </x:c>
    </x:row>
    <x:row r="550">
      <x:c r="A550" s="32" t="n">
        <x:v>45839</x:v>
      </x:c>
      <x:c r="B550" t="str">
        <x:v>Jul 2025</x:v>
      </x:c>
      <x:c r="C550" t="str">
        <x:v>Actual</x:v>
      </x:c>
      <x:c r="D550" t="str">
        <x:v>DB-105</x:v>
      </x:c>
      <x:c r="E550" t="str">
        <x:v>DreamFuel Refill Pack</x:v>
      </x:c>
      <x:c r="F550" t="str">
        <x:v>Shopify DTC</x:v>
      </x:c>
      <x:c r="G550" t="str">
        <x:v>Consumer</x:v>
      </x:c>
      <x:c r="H550" t="str">
        <x:v>US Central</x:v>
      </x:c>
      <x:c r="I550" s="34" t="n">
        <x:v>142.07999999999998</x:v>
      </x:c>
      <x:c r="J550" s="38" t="n">
        <x:v>7.173562367999999</x:v>
      </x:c>
      <x:c r="K550" s="38" t="n">
        <x:v>3.4954239713279986</x:v>
      </x:c>
      <x:c r="L550" s="28" t="n">
        <x:v>0.48726473570794765</x:v>
      </x:c>
    </x:row>
    <x:row r="551">
      <x:c r="A551" s="32" t="n">
        <x:v>45839</x:v>
      </x:c>
      <x:c r="B551" t="str">
        <x:v>Jul 2025</x:v>
      </x:c>
      <x:c r="C551" t="str">
        <x:v>Actual</x:v>
      </x:c>
      <x:c r="D551" t="str">
        <x:v>DB-105</x:v>
      </x:c>
      <x:c r="E551" t="str">
        <x:v>DreamFuel Refill Pack</x:v>
      </x:c>
      <x:c r="F551" t="str">
        <x:v>Shopify DTC</x:v>
      </x:c>
      <x:c r="G551" t="str">
        <x:v>Consumer</x:v>
      </x:c>
      <x:c r="H551" t="str">
        <x:v>US East</x:v>
      </x:c>
      <x:c r="I551" s="34" t="n">
        <x:v>189.44</x:v>
      </x:c>
      <x:c r="J551" s="38" t="n">
        <x:v>9.564749824</x:v>
      </x:c>
      <x:c r="K551" s="38" t="n">
        <x:v>4.660565295103999</x:v>
      </x:c>
      <x:c r="L551" s="28" t="n">
        <x:v>0.4872647357079477</x:v>
      </x:c>
    </x:row>
    <x:row r="552">
      <x:c r="A552" s="32" t="n">
        <x:v>45839</x:v>
      </x:c>
      <x:c r="B552" t="str">
        <x:v>Jul 2025</x:v>
      </x:c>
      <x:c r="C552" t="str">
        <x:v>Actual</x:v>
      </x:c>
      <x:c r="D552" t="str">
        <x:v>DB-105</x:v>
      </x:c>
      <x:c r="E552" t="str">
        <x:v>DreamFuel Refill Pack</x:v>
      </x:c>
      <x:c r="F552" t="str">
        <x:v>Shopify DTC</x:v>
      </x:c>
      <x:c r="G552" t="str">
        <x:v>Consumer</x:v>
      </x:c>
      <x:c r="H552" t="str">
        <x:v>Canada</x:v>
      </x:c>
      <x:c r="I552" s="34" t="n">
        <x:v>59.2</x:v>
      </x:c>
      <x:c r="J552" s="38" t="n">
        <x:v>2.98898432</x:v>
      </x:c>
      <x:c r="K552" s="38" t="n">
        <x:v>1.4564266547199995</x:v>
      </x:c>
      <x:c r="L552" s="28" t="n">
        <x:v>0.4872647357079476</x:v>
      </x:c>
    </x:row>
    <x:row r="553">
      <x:c r="A553" s="32" t="n">
        <x:v>45839</x:v>
      </x:c>
      <x:c r="B553" t="str">
        <x:v>Jul 2025</x:v>
      </x:c>
      <x:c r="C553" t="str">
        <x:v>Actual</x:v>
      </x:c>
      <x:c r="D553" t="str">
        <x:v>DB-105</x:v>
      </x:c>
      <x:c r="E553" t="str">
        <x:v>DreamFuel Refill Pack</x:v>
      </x:c>
      <x:c r="F553" t="str">
        <x:v>Amazon Marketplace</x:v>
      </x:c>
      <x:c r="G553" t="str">
        <x:v>Marketplace Consumer</x:v>
      </x:c>
      <x:c r="H553" t="str">
        <x:v>US West</x:v>
      </x:c>
      <x:c r="I553" s="34" t="n">
        <x:v>118.66000000000001</x:v>
      </x:c>
      <x:c r="J553" s="38" t="n">
        <x:v>6.186457760000001</x:v>
      </x:c>
      <x:c r="K553" s="38" t="n">
        <x:v>2.17646172</x:v>
      </x:c>
      <x:c r="L553" s="28" t="n">
        <x:v>0.35181064907165865</x:v>
      </x:c>
    </x:row>
    <x:row r="554">
      <x:c r="A554" s="32" t="n">
        <x:v>45839</x:v>
      </x:c>
      <x:c r="B554" t="str">
        <x:v>Jul 2025</x:v>
      </x:c>
      <x:c r="C554" t="str">
        <x:v>Actual</x:v>
      </x:c>
      <x:c r="D554" t="str">
        <x:v>DB-105</x:v>
      </x:c>
      <x:c r="E554" t="str">
        <x:v>DreamFuel Refill Pack</x:v>
      </x:c>
      <x:c r="F554" t="str">
        <x:v>Amazon Marketplace</x:v>
      </x:c>
      <x:c r="G554" t="str">
        <x:v>Marketplace Consumer</x:v>
      </x:c>
      <x:c r="H554" t="str">
        <x:v>US Central</x:v>
      </x:c>
      <x:c r="I554" s="34" t="n">
        <x:v>83.75999999999999</x:v>
      </x:c>
      <x:c r="J554" s="38" t="n">
        <x:v>4.3669113600000005</x:v>
      </x:c>
      <x:c r="K554" s="38" t="n">
        <x:v>1.5363259199999997</x:v>
      </x:c>
      <x:c r="L554" s="28" t="n">
        <x:v>0.35181064907165865</x:v>
      </x:c>
    </x:row>
    <x:row r="555">
      <x:c r="A555" s="32" t="n">
        <x:v>45839</x:v>
      </x:c>
      <x:c r="B555" t="str">
        <x:v>Jul 2025</x:v>
      </x:c>
      <x:c r="C555" t="str">
        <x:v>Actual</x:v>
      </x:c>
      <x:c r="D555" t="str">
        <x:v>DB-105</x:v>
      </x:c>
      <x:c r="E555" t="str">
        <x:v>DreamFuel Refill Pack</x:v>
      </x:c>
      <x:c r="F555" t="str">
        <x:v>Amazon Marketplace</x:v>
      </x:c>
      <x:c r="G555" t="str">
        <x:v>Marketplace Consumer</x:v>
      </x:c>
      <x:c r="H555" t="str">
        <x:v>US East</x:v>
      </x:c>
      <x:c r="I555" s="34" t="n">
        <x:v>111.68</x:v>
      </x:c>
      <x:c r="J555" s="38" t="n">
        <x:v>5.822548480000001</x:v>
      </x:c>
      <x:c r="K555" s="38" t="n">
        <x:v>2.0484345599999996</x:v>
      </x:c>
      <x:c r="L555" s="28" t="n">
        <x:v>0.3518106490716586</x:v>
      </x:c>
    </x:row>
    <x:row r="556">
      <x:c r="A556" s="32" t="n">
        <x:v>45839</x:v>
      </x:c>
      <x:c r="B556" t="str">
        <x:v>Jul 2025</x:v>
      </x:c>
      <x:c r="C556" t="str">
        <x:v>Actual</x:v>
      </x:c>
      <x:c r="D556" t="str">
        <x:v>DB-105</x:v>
      </x:c>
      <x:c r="E556" t="str">
        <x:v>DreamFuel Refill Pack</x:v>
      </x:c>
      <x:c r="F556" t="str">
        <x:v>Amazon Marketplace</x:v>
      </x:c>
      <x:c r="G556" t="str">
        <x:v>Marketplace Consumer</x:v>
      </x:c>
      <x:c r="H556" t="str">
        <x:v>Canada</x:v>
      </x:c>
      <x:c r="I556" s="34" t="n">
        <x:v>34.9</x:v>
      </x:c>
      <x:c r="J556" s="38" t="n">
        <x:v>1.8195464000000001</x:v>
      </x:c>
      <x:c r="K556" s="38" t="n">
        <x:v>0.6401357999999999</x:v>
      </x:c>
      <x:c r="L556" s="28" t="n">
        <x:v>0.35181064907165865</x:v>
      </x:c>
    </x:row>
    <x:row r="557">
      <x:c r="A557" s="32" t="n">
        <x:v>45839</x:v>
      </x:c>
      <x:c r="B557" t="str">
        <x:v>Jul 2025</x:v>
      </x:c>
      <x:c r="C557" t="str">
        <x:v>Actual</x:v>
      </x:c>
      <x:c r="D557" t="str">
        <x:v>DB-105</x:v>
      </x:c>
      <x:c r="E557" t="str">
        <x:v>DreamFuel Refill Pack</x:v>
      </x:c>
      <x:c r="F557" t="str">
        <x:v>Wholesale</x:v>
      </x:c>
      <x:c r="G557" t="str">
        <x:v>Retailer</x:v>
      </x:c>
      <x:c r="H557" t="str">
        <x:v>US West</x:v>
      </x:c>
      <x:c r="I557" s="34" t="n">
        <x:v>32.980000000000004</x:v>
      </x:c>
      <x:c r="J557" s="38" t="n">
        <x:v>1.1764625600000003</x:v>
      </x:c>
      <x:c r="K557" s="38" t="n">
        <x:v>0.4583692320000002</x:v>
      </x:c>
      <x:c r="L557" s="28" t="n">
        <x:v>0.3896165059430366</x:v>
      </x:c>
    </x:row>
    <x:row r="558">
      <x:c r="A558" s="32" t="n">
        <x:v>45839</x:v>
      </x:c>
      <x:c r="B558" t="str">
        <x:v>Jul 2025</x:v>
      </x:c>
      <x:c r="C558" t="str">
        <x:v>Actual</x:v>
      </x:c>
      <x:c r="D558" t="str">
        <x:v>DB-105</x:v>
      </x:c>
      <x:c r="E558" t="str">
        <x:v>DreamFuel Refill Pack</x:v>
      </x:c>
      <x:c r="F558" t="str">
        <x:v>Wholesale</x:v>
      </x:c>
      <x:c r="G558" t="str">
        <x:v>Retailer</x:v>
      </x:c>
      <x:c r="H558" t="str">
        <x:v>US Central</x:v>
      </x:c>
      <x:c r="I558" s="34" t="n">
        <x:v>23.279999999999998</x:v>
      </x:c>
      <x:c r="J558" s="38" t="n">
        <x:v>0.8304441600000001</x:v>
      </x:c>
      <x:c r="K558" s="38" t="n">
        <x:v>0.3235547520000001</x:v>
      </x:c>
      <x:c r="L558" s="28" t="n">
        <x:v>0.38961650594303665</x:v>
      </x:c>
    </x:row>
    <x:row r="559">
      <x:c r="A559" s="32" t="n">
        <x:v>45839</x:v>
      </x:c>
      <x:c r="B559" t="str">
        <x:v>Jul 2025</x:v>
      </x:c>
      <x:c r="C559" t="str">
        <x:v>Actual</x:v>
      </x:c>
      <x:c r="D559" t="str">
        <x:v>DB-105</x:v>
      </x:c>
      <x:c r="E559" t="str">
        <x:v>DreamFuel Refill Pack</x:v>
      </x:c>
      <x:c r="F559" t="str">
        <x:v>Wholesale</x:v>
      </x:c>
      <x:c r="G559" t="str">
        <x:v>Retailer</x:v>
      </x:c>
      <x:c r="H559" t="str">
        <x:v>US East</x:v>
      </x:c>
      <x:c r="I559" s="34" t="n">
        <x:v>31.04</x:v>
      </x:c>
      <x:c r="J559" s="38" t="n">
        <x:v>1.10725888</x:v>
      </x:c>
      <x:c r="K559" s="38" t="n">
        <x:v>0.43140633600000017</x:v>
      </x:c>
      <x:c r="L559" s="28" t="n">
        <x:v>0.3896165059430367</x:v>
      </x:c>
    </x:row>
    <x:row r="560">
      <x:c r="A560" s="32" t="n">
        <x:v>45839</x:v>
      </x:c>
      <x:c r="B560" t="str">
        <x:v>Jul 2025</x:v>
      </x:c>
      <x:c r="C560" t="str">
        <x:v>Actual</x:v>
      </x:c>
      <x:c r="D560" t="str">
        <x:v>DB-105</x:v>
      </x:c>
      <x:c r="E560" t="str">
        <x:v>DreamFuel Refill Pack</x:v>
      </x:c>
      <x:c r="F560" t="str">
        <x:v>Wholesale</x:v>
      </x:c>
      <x:c r="G560" t="str">
        <x:v>Retailer</x:v>
      </x:c>
      <x:c r="H560" t="str">
        <x:v>Canada</x:v>
      </x:c>
      <x:c r="I560" s="34" t="n">
        <x:v>9.700000000000001</x:v>
      </x:c>
      <x:c r="J560" s="38" t="n">
        <x:v>0.34601840000000006</x:v>
      </x:c>
      <x:c r="K560" s="38" t="n">
        <x:v>0.13481448000000004</x:v>
      </x:c>
      <x:c r="L560" s="28" t="n">
        <x:v>0.3896165059430366</x:v>
      </x:c>
    </x:row>
    <x:row r="561">
      <x:c r="A561" s="32" t="n">
        <x:v>45839</x:v>
      </x:c>
      <x:c r="B561" t="str">
        <x:v>Jul 2025</x:v>
      </x:c>
      <x:c r="C561" t="str">
        <x:v>Actual</x:v>
      </x:c>
      <x:c r="D561" t="str">
        <x:v>DB-105</x:v>
      </x:c>
      <x:c r="E561" t="str">
        <x:v>DreamFuel Refill Pack</x:v>
      </x:c>
      <x:c r="F561" t="str">
        <x:v>TikTok Shop</x:v>
      </x:c>
      <x:c r="G561" t="str">
        <x:v>Social Commerce</x:v>
      </x:c>
      <x:c r="H561" t="str">
        <x:v>US West</x:v>
      </x:c>
      <x:c r="I561" s="34" t="n">
        <x:v>50.32</x:v>
      </x:c>
      <x:c r="J561" s="38" t="n">
        <x:v>2.4301742080000004</x:v>
      </x:c>
      <x:c r="K561" s="38" t="n">
        <x:v>0.9320571514880002</x:v>
      </x:c>
      <x:c r="L561" s="28" t="n">
        <x:v>0.3835351179432812</x:v>
      </x:c>
    </x:row>
    <x:row r="562">
      <x:c r="A562" s="32" t="n">
        <x:v>45839</x:v>
      </x:c>
      <x:c r="B562" t="str">
        <x:v>Jul 2025</x:v>
      </x:c>
      <x:c r="C562" t="str">
        <x:v>Actual</x:v>
      </x:c>
      <x:c r="D562" t="str">
        <x:v>DB-105</x:v>
      </x:c>
      <x:c r="E562" t="str">
        <x:v>DreamFuel Refill Pack</x:v>
      </x:c>
      <x:c r="F562" t="str">
        <x:v>TikTok Shop</x:v>
      </x:c>
      <x:c r="G562" t="str">
        <x:v>Social Commerce</x:v>
      </x:c>
      <x:c r="H562" t="str">
        <x:v>US Central</x:v>
      </x:c>
      <x:c r="I562" s="34" t="n">
        <x:v>35.519999999999996</x:v>
      </x:c>
      <x:c r="J562" s="38" t="n">
        <x:v>1.7154170880000001</x:v>
      </x:c>
      <x:c r="K562" s="38" t="n">
        <x:v>0.6579226951680001</x:v>
      </x:c>
      <x:c r="L562" s="28" t="n">
        <x:v>0.3835351179432812</x:v>
      </x:c>
    </x:row>
    <x:row r="563">
      <x:c r="A563" s="32" t="n">
        <x:v>45839</x:v>
      </x:c>
      <x:c r="B563" t="str">
        <x:v>Jul 2025</x:v>
      </x:c>
      <x:c r="C563" t="str">
        <x:v>Actual</x:v>
      </x:c>
      <x:c r="D563" t="str">
        <x:v>DB-105</x:v>
      </x:c>
      <x:c r="E563" t="str">
        <x:v>DreamFuel Refill Pack</x:v>
      </x:c>
      <x:c r="F563" t="str">
        <x:v>TikTok Shop</x:v>
      </x:c>
      <x:c r="G563" t="str">
        <x:v>Social Commerce</x:v>
      </x:c>
      <x:c r="H563" t="str">
        <x:v>US East</x:v>
      </x:c>
      <x:c r="I563" s="34" t="n">
        <x:v>47.36</x:v>
      </x:c>
      <x:c r="J563" s="38" t="n">
        <x:v>2.2872227840000003</x:v>
      </x:c>
      <x:c r="K563" s="38" t="n">
        <x:v>0.8772302602240001</x:v>
      </x:c>
      <x:c r="L563" s="28" t="n">
        <x:v>0.3835351179432812</x:v>
      </x:c>
    </x:row>
    <x:row r="564">
      <x:c r="A564" s="32" t="n">
        <x:v>45839</x:v>
      </x:c>
      <x:c r="B564" t="str">
        <x:v>Jul 2025</x:v>
      </x:c>
      <x:c r="C564" t="str">
        <x:v>Actual</x:v>
      </x:c>
      <x:c r="D564" t="str">
        <x:v>DB-105</x:v>
      </x:c>
      <x:c r="E564" t="str">
        <x:v>DreamFuel Refill Pack</x:v>
      </x:c>
      <x:c r="F564" t="str">
        <x:v>TikTok Shop</x:v>
      </x:c>
      <x:c r="G564" t="str">
        <x:v>Social Commerce</x:v>
      </x:c>
      <x:c r="H564" t="str">
        <x:v>Canada</x:v>
      </x:c>
      <x:c r="I564" s="34" t="n">
        <x:v>14.8</x:v>
      </x:c>
      <x:c r="J564" s="38" t="n">
        <x:v>0.7147571200000001</x:v>
      </x:c>
      <x:c r="K564" s="38" t="n">
        <x:v>0.27413445632000005</x:v>
      </x:c>
      <x:c r="L564" s="28" t="n">
        <x:v>0.3835351179432812</x:v>
      </x:c>
    </x:row>
    <x:row r="565">
      <x:c r="A565" s="32" t="n">
        <x:v>45870</x:v>
      </x:c>
      <x:c r="B565" t="str">
        <x:v>Aug 2025</x:v>
      </x:c>
      <x:c r="C565" t="str">
        <x:v>Actual</x:v>
      </x:c>
      <x:c r="D565" t="str">
        <x:v>DB-101</x:v>
      </x:c>
      <x:c r="E565" t="str">
        <x:v>AeroSip Bottle</x:v>
      </x:c>
      <x:c r="F565" t="str">
        <x:v>Shopify DTC</x:v>
      </x:c>
      <x:c r="G565" t="str">
        <x:v>Consumer</x:v>
      </x:c>
      <x:c r="H565" t="str">
        <x:v>US West</x:v>
      </x:c>
      <x:c r="I565" s="34" t="n">
        <x:v>259.42</x:v>
      </x:c>
      <x:c r="J565" s="38" t="n">
        <x:v>6.6098659479999995</x:v>
      </x:c>
      <x:c r="K565" s="38" t="n">
        <x:v>2.102468715507999</x:v>
      </x:c>
      <x:c r="L565" s="28" t="n">
        <x:v>0.3180803865083164</x:v>
      </x:c>
    </x:row>
    <x:row r="566">
      <x:c r="A566" s="32" t="n">
        <x:v>45870</x:v>
      </x:c>
      <x:c r="B566" t="str">
        <x:v>Aug 2025</x:v>
      </x:c>
      <x:c r="C566" t="str">
        <x:v>Actual</x:v>
      </x:c>
      <x:c r="D566" t="str">
        <x:v>DB-101</x:v>
      </x:c>
      <x:c r="E566" t="str">
        <x:v>AeroSip Bottle</x:v>
      </x:c>
      <x:c r="F566" t="str">
        <x:v>Shopify DTC</x:v>
      </x:c>
      <x:c r="G566" t="str">
        <x:v>Consumer</x:v>
      </x:c>
      <x:c r="H566" t="str">
        <x:v>US Central</x:v>
      </x:c>
      <x:c r="I566" s="34" t="n">
        <x:v>183.12</x:v>
      </x:c>
      <x:c r="J566" s="38" t="n">
        <x:v>4.665787727999999</x:v>
      </x:c>
      <x:c r="K566" s="38" t="n">
        <x:v>1.4840955638879991</x:v>
      </x:c>
      <x:c r="L566" s="28" t="n">
        <x:v>0.31808038650831644</x:v>
      </x:c>
    </x:row>
    <x:row r="567">
      <x:c r="A567" s="32" t="n">
        <x:v>45870</x:v>
      </x:c>
      <x:c r="B567" t="str">
        <x:v>Aug 2025</x:v>
      </x:c>
      <x:c r="C567" t="str">
        <x:v>Actual</x:v>
      </x:c>
      <x:c r="D567" t="str">
        <x:v>DB-101</x:v>
      </x:c>
      <x:c r="E567" t="str">
        <x:v>AeroSip Bottle</x:v>
      </x:c>
      <x:c r="F567" t="str">
        <x:v>Shopify DTC</x:v>
      </x:c>
      <x:c r="G567" t="str">
        <x:v>Consumer</x:v>
      </x:c>
      <x:c r="H567" t="str">
        <x:v>US East</x:v>
      </x:c>
      <x:c r="I567" s="34" t="n">
        <x:v>244.16</x:v>
      </x:c>
      <x:c r="J567" s="38" t="n">
        <x:v>6.221050303999999</x:v>
      </x:c>
      <x:c r="K567" s="38" t="n">
        <x:v>1.978794085183999</x:v>
      </x:c>
      <x:c r="L567" s="28" t="n">
        <x:v>0.3180803865083164</x:v>
      </x:c>
    </x:row>
    <x:row r="568">
      <x:c r="A568" s="32" t="n">
        <x:v>45870</x:v>
      </x:c>
      <x:c r="B568" t="str">
        <x:v>Aug 2025</x:v>
      </x:c>
      <x:c r="C568" t="str">
        <x:v>Actual</x:v>
      </x:c>
      <x:c r="D568" t="str">
        <x:v>DB-101</x:v>
      </x:c>
      <x:c r="E568" t="str">
        <x:v>AeroSip Bottle</x:v>
      </x:c>
      <x:c r="F568" t="str">
        <x:v>Shopify DTC</x:v>
      </x:c>
      <x:c r="G568" t="str">
        <x:v>Consumer</x:v>
      </x:c>
      <x:c r="H568" t="str">
        <x:v>Canada</x:v>
      </x:c>
      <x:c r="I568" s="34" t="n">
        <x:v>76.3</x:v>
      </x:c>
      <x:c r="J568" s="38" t="n">
        <x:v>1.9440782199999997</x:v>
      </x:c>
      <x:c r="K568" s="38" t="n">
        <x:v>0.6183731516199997</x:v>
      </x:c>
      <x:c r="L568" s="28" t="n">
        <x:v>0.31808038650831644</x:v>
      </x:c>
    </x:row>
    <x:row r="569">
      <x:c r="A569" s="32" t="n">
        <x:v>45870</x:v>
      </x:c>
      <x:c r="B569" t="str">
        <x:v>Aug 2025</x:v>
      </x:c>
      <x:c r="C569" t="str">
        <x:v>Actual</x:v>
      </x:c>
      <x:c r="D569" t="str">
        <x:v>DB-101</x:v>
      </x:c>
      <x:c r="E569" t="str">
        <x:v>AeroSip Bottle</x:v>
      </x:c>
      <x:c r="F569" t="str">
        <x:v>Amazon Marketplace</x:v>
      </x:c>
      <x:c r="G569" t="str">
        <x:v>Marketplace Consumer</x:v>
      </x:c>
      <x:c r="H569" t="str">
        <x:v>US West</x:v>
      </x:c>
      <x:c r="I569" s="34" t="n">
        <x:v>153</x:v>
      </x:c>
      <x:c r="J569" s="38" t="n">
        <x:v>4.02546825</x:v>
      </x:c>
      <x:c r="K569" s="38" t="n">
        <x:v>0.6391900125000002</x:v>
      </x:c>
      <x:c r="L569" s="28" t="n">
        <x:v>0.15878649955815702</x:v>
      </x:c>
    </x:row>
    <x:row r="570">
      <x:c r="A570" s="32" t="n">
        <x:v>45870</x:v>
      </x:c>
      <x:c r="B570" t="str">
        <x:v>Aug 2025</x:v>
      </x:c>
      <x:c r="C570" t="str">
        <x:v>Actual</x:v>
      </x:c>
      <x:c r="D570" t="str">
        <x:v>DB-101</x:v>
      </x:c>
      <x:c r="E570" t="str">
        <x:v>AeroSip Bottle</x:v>
      </x:c>
      <x:c r="F570" t="str">
        <x:v>Amazon Marketplace</x:v>
      </x:c>
      <x:c r="G570" t="str">
        <x:v>Marketplace Consumer</x:v>
      </x:c>
      <x:c r="H570" t="str">
        <x:v>US Central</x:v>
      </x:c>
      <x:c r="I570" s="34" t="n">
        <x:v>108</x:v>
      </x:c>
      <x:c r="J570" s="38" t="n">
        <x:v>2.841507</x:v>
      </x:c>
      <x:c r="K570" s="38" t="n">
        <x:v>0.45119295000000004</x:v>
      </x:c>
      <x:c r="L570" s="28" t="n">
        <x:v>0.15878649955815702</x:v>
      </x:c>
    </x:row>
    <x:row r="571">
      <x:c r="A571" s="32" t="n">
        <x:v>45870</x:v>
      </x:c>
      <x:c r="B571" t="str">
        <x:v>Aug 2025</x:v>
      </x:c>
      <x:c r="C571" t="str">
        <x:v>Actual</x:v>
      </x:c>
      <x:c r="D571" t="str">
        <x:v>DB-101</x:v>
      </x:c>
      <x:c r="E571" t="str">
        <x:v>AeroSip Bottle</x:v>
      </x:c>
      <x:c r="F571" t="str">
        <x:v>Amazon Marketplace</x:v>
      </x:c>
      <x:c r="G571" t="str">
        <x:v>Marketplace Consumer</x:v>
      </x:c>
      <x:c r="H571" t="str">
        <x:v>US East</x:v>
      </x:c>
      <x:c r="I571" s="34" t="n">
        <x:v>144</x:v>
      </x:c>
      <x:c r="J571" s="38" t="n">
        <x:v>3.7886760000000006</x:v>
      </x:c>
      <x:c r="K571" s="38" t="n">
        <x:v>0.6015906000000001</x:v>
      </x:c>
      <x:c r="L571" s="28" t="n">
        <x:v>0.158786499558157</x:v>
      </x:c>
    </x:row>
    <x:row r="572">
      <x:c r="A572" s="32" t="n">
        <x:v>45870</x:v>
      </x:c>
      <x:c r="B572" t="str">
        <x:v>Aug 2025</x:v>
      </x:c>
      <x:c r="C572" t="str">
        <x:v>Actual</x:v>
      </x:c>
      <x:c r="D572" t="str">
        <x:v>DB-101</x:v>
      </x:c>
      <x:c r="E572" t="str">
        <x:v>AeroSip Bottle</x:v>
      </x:c>
      <x:c r="F572" t="str">
        <x:v>Amazon Marketplace</x:v>
      </x:c>
      <x:c r="G572" t="str">
        <x:v>Marketplace Consumer</x:v>
      </x:c>
      <x:c r="H572" t="str">
        <x:v>Canada</x:v>
      </x:c>
      <x:c r="I572" s="34" t="n">
        <x:v>45</x:v>
      </x:c>
      <x:c r="J572" s="38" t="n">
        <x:v>1.18396125</x:v>
      </x:c>
      <x:c r="K572" s="38" t="n">
        <x:v>0.18799706250000003</x:v>
      </x:c>
      <x:c r="L572" s="28" t="n">
        <x:v>0.15878649955815702</x:v>
      </x:c>
    </x:row>
    <x:row r="573">
      <x:c r="A573" s="32" t="n">
        <x:v>45870</x:v>
      </x:c>
      <x:c r="B573" t="str">
        <x:v>Aug 2025</x:v>
      </x:c>
      <x:c r="C573" t="str">
        <x:v>Actual</x:v>
      </x:c>
      <x:c r="D573" t="str">
        <x:v>DB-101</x:v>
      </x:c>
      <x:c r="E573" t="str">
        <x:v>AeroSip Bottle</x:v>
      </x:c>
      <x:c r="F573" t="str">
        <x:v>Wholesale</x:v>
      </x:c>
      <x:c r="G573" t="str">
        <x:v>Retailer</x:v>
      </x:c>
      <x:c r="H573" t="str">
        <x:v>US West</x:v>
      </x:c>
      <x:c r="I573" s="34" t="n">
        <x:v>42.84</x:v>
      </x:c>
      <x:c r="J573" s="38" t="n">
        <x:v>0.7711949700000001</x:v>
      </x:c>
      <x:c r="K573" s="38" t="n">
        <x:v>0.17203473000000014</x:v>
      </x:c>
      <x:c r="L573" s="28" t="n">
        <x:v>0.22307553432305205</x:v>
      </x:c>
    </x:row>
    <x:row r="574">
      <x:c r="A574" s="32" t="n">
        <x:v>45870</x:v>
      </x:c>
      <x:c r="B574" t="str">
        <x:v>Aug 2025</x:v>
      </x:c>
      <x:c r="C574" t="str">
        <x:v>Actual</x:v>
      </x:c>
      <x:c r="D574" t="str">
        <x:v>DB-101</x:v>
      </x:c>
      <x:c r="E574" t="str">
        <x:v>AeroSip Bottle</x:v>
      </x:c>
      <x:c r="F574" t="str">
        <x:v>Wholesale</x:v>
      </x:c>
      <x:c r="G574" t="str">
        <x:v>Retailer</x:v>
      </x:c>
      <x:c r="H574" t="str">
        <x:v>US Central</x:v>
      </x:c>
      <x:c r="I574" s="34" t="n">
        <x:v>30.24</x:v>
      </x:c>
      <x:c r="J574" s="38" t="n">
        <x:v>0.54437292</x:v>
      </x:c>
      <x:c r="K574" s="38" t="n">
        <x:v>0.12143628000000009</x:v>
      </x:c>
      <x:c r="L574" s="28" t="n">
        <x:v>0.22307553432305208</x:v>
      </x:c>
    </x:row>
    <x:row r="575">
      <x:c r="A575" s="32" t="n">
        <x:v>45870</x:v>
      </x:c>
      <x:c r="B575" t="str">
        <x:v>Aug 2025</x:v>
      </x:c>
      <x:c r="C575" t="str">
        <x:v>Actual</x:v>
      </x:c>
      <x:c r="D575" t="str">
        <x:v>DB-101</x:v>
      </x:c>
      <x:c r="E575" t="str">
        <x:v>AeroSip Bottle</x:v>
      </x:c>
      <x:c r="F575" t="str">
        <x:v>Wholesale</x:v>
      </x:c>
      <x:c r="G575" t="str">
        <x:v>Retailer</x:v>
      </x:c>
      <x:c r="H575" t="str">
        <x:v>US East</x:v>
      </x:c>
      <x:c r="I575" s="34" t="n">
        <x:v>40.32</x:v>
      </x:c>
      <x:c r="J575" s="38" t="n">
        <x:v>0.7258305600000001</x:v>
      </x:c>
      <x:c r="K575" s="38" t="n">
        <x:v>0.16191504000000012</x:v>
      </x:c>
      <x:c r="L575" s="28" t="n">
        <x:v>0.22307553432305205</x:v>
      </x:c>
    </x:row>
    <x:row r="576">
      <x:c r="A576" s="32" t="n">
        <x:v>45870</x:v>
      </x:c>
      <x:c r="B576" t="str">
        <x:v>Aug 2025</x:v>
      </x:c>
      <x:c r="C576" t="str">
        <x:v>Actual</x:v>
      </x:c>
      <x:c r="D576" t="str">
        <x:v>DB-101</x:v>
      </x:c>
      <x:c r="E576" t="str">
        <x:v>AeroSip Bottle</x:v>
      </x:c>
      <x:c r="F576" t="str">
        <x:v>Wholesale</x:v>
      </x:c>
      <x:c r="G576" t="str">
        <x:v>Retailer</x:v>
      </x:c>
      <x:c r="H576" t="str">
        <x:v>Canada</x:v>
      </x:c>
      <x:c r="I576" s="34" t="n">
        <x:v>12.600000000000001</x:v>
      </x:c>
      <x:c r="J576" s="38" t="n">
        <x:v>0.22682205000000005</x:v>
      </x:c>
      <x:c r="K576" s="38" t="n">
        <x:v>0.050598450000000045</x:v>
      </x:c>
      <x:c r="L576" s="28" t="n">
        <x:v>0.22307553432305208</x:v>
      </x:c>
    </x:row>
    <x:row r="577">
      <x:c r="A577" s="32" t="n">
        <x:v>45870</x:v>
      </x:c>
      <x:c r="B577" t="str">
        <x:v>Aug 2025</x:v>
      </x:c>
      <x:c r="C577" t="str">
        <x:v>Actual</x:v>
      </x:c>
      <x:c r="D577" t="str">
        <x:v>DB-101</x:v>
      </x:c>
      <x:c r="E577" t="str">
        <x:v>AeroSip Bottle</x:v>
      </x:c>
      <x:c r="F577" t="str">
        <x:v>TikTok Shop</x:v>
      </x:c>
      <x:c r="G577" t="str">
        <x:v>Social Commerce</x:v>
      </x:c>
      <x:c r="H577" t="str">
        <x:v>US West</x:v>
      </x:c>
      <x:c r="I577" s="34" t="n">
        <x:v>65.28</x:v>
      </x:c>
      <x:c r="J577" s="38" t="n">
        <x:v>1.590978048</x:v>
      </x:c>
      <x:c r="K577" s="38" t="n">
        <x:v>0.29483892172799975</x:v>
      </x:c>
      <x:c r="L577" s="28" t="n">
        <x:v>0.1853192896650198</x:v>
      </x:c>
    </x:row>
    <x:row r="578">
      <x:c r="A578" s="32" t="n">
        <x:v>45870</x:v>
      </x:c>
      <x:c r="B578" t="str">
        <x:v>Aug 2025</x:v>
      </x:c>
      <x:c r="C578" t="str">
        <x:v>Actual</x:v>
      </x:c>
      <x:c r="D578" t="str">
        <x:v>DB-101</x:v>
      </x:c>
      <x:c r="E578" t="str">
        <x:v>AeroSip Bottle</x:v>
      </x:c>
      <x:c r="F578" t="str">
        <x:v>TikTok Shop</x:v>
      </x:c>
      <x:c r="G578" t="str">
        <x:v>Social Commerce</x:v>
      </x:c>
      <x:c r="H578" t="str">
        <x:v>US Central</x:v>
      </x:c>
      <x:c r="I578" s="34" t="n">
        <x:v>46.08</x:v>
      </x:c>
      <x:c r="J578" s="38" t="n">
        <x:v>1.1230433279999998</x:v>
      </x:c>
      <x:c r="K578" s="38" t="n">
        <x:v>0.2081215918079998</x:v>
      </x:c>
      <x:c r="L578" s="28" t="n">
        <x:v>0.1853192896650198</x:v>
      </x:c>
    </x:row>
    <x:row r="579">
      <x:c r="A579" s="32" t="n">
        <x:v>45870</x:v>
      </x:c>
      <x:c r="B579" t="str">
        <x:v>Aug 2025</x:v>
      </x:c>
      <x:c r="C579" t="str">
        <x:v>Actual</x:v>
      </x:c>
      <x:c r="D579" t="str">
        <x:v>DB-101</x:v>
      </x:c>
      <x:c r="E579" t="str">
        <x:v>AeroSip Bottle</x:v>
      </x:c>
      <x:c r="F579" t="str">
        <x:v>TikTok Shop</x:v>
      </x:c>
      <x:c r="G579" t="str">
        <x:v>Social Commerce</x:v>
      </x:c>
      <x:c r="H579" t="str">
        <x:v>US East</x:v>
      </x:c>
      <x:c r="I579" s="34" t="n">
        <x:v>61.44</x:v>
      </x:c>
      <x:c r="J579" s="38" t="n">
        <x:v>1.4973911039999999</x:v>
      </x:c>
      <x:c r="K579" s="38" t="n">
        <x:v>0.27749545574399975</x:v>
      </x:c>
      <x:c r="L579" s="28" t="n">
        <x:v>0.1853192896650198</x:v>
      </x:c>
    </x:row>
    <x:row r="580">
      <x:c r="A580" s="32" t="n">
        <x:v>45870</x:v>
      </x:c>
      <x:c r="B580" t="str">
        <x:v>Aug 2025</x:v>
      </x:c>
      <x:c r="C580" t="str">
        <x:v>Actual</x:v>
      </x:c>
      <x:c r="D580" t="str">
        <x:v>DB-101</x:v>
      </x:c>
      <x:c r="E580" t="str">
        <x:v>AeroSip Bottle</x:v>
      </x:c>
      <x:c r="F580" t="str">
        <x:v>TikTok Shop</x:v>
      </x:c>
      <x:c r="G580" t="str">
        <x:v>Social Commerce</x:v>
      </x:c>
      <x:c r="H580" t="str">
        <x:v>Canada</x:v>
      </x:c>
      <x:c r="I580" s="34" t="n">
        <x:v>19.200000000000003</x:v>
      </x:c>
      <x:c r="J580" s="38" t="n">
        <x:v>0.46793471999999997</x:v>
      </x:c>
      <x:c r="K580" s="38" t="n">
        <x:v>0.08671732991999992</x:v>
      </x:c>
      <x:c r="L580" s="28" t="n">
        <x:v>0.1853192896650198</x:v>
      </x:c>
    </x:row>
    <x:row r="581">
      <x:c r="A581" s="32" t="n">
        <x:v>45870</x:v>
      </x:c>
      <x:c r="B581" t="str">
        <x:v>Aug 2025</x:v>
      </x:c>
      <x:c r="C581" t="str">
        <x:v>Actual</x:v>
      </x:c>
      <x:c r="D581" t="str">
        <x:v>DB-102</x:v>
      </x:c>
      <x:c r="E581" t="str">
        <x:v>GlowPatch Balm</x:v>
      </x:c>
      <x:c r="F581" t="str">
        <x:v>Shopify DTC</x:v>
      </x:c>
      <x:c r="G581" t="str">
        <x:v>Consumer</x:v>
      </x:c>
      <x:c r="H581" t="str">
        <x:v>US West</x:v>
      </x:c>
      <x:c r="I581" s="34" t="n">
        <x:v>260.1</x:v>
      </x:c>
      <x:c r="J581" s="38" t="n">
        <x:v>4.199574600000001</x:v>
      </x:c>
      <x:c r="K581" s="38" t="n">
        <x:v>1.1605053366</x:v>
      </x:c>
      <x:c r="L581" s="28" t="n">
        <x:v>0.2763387835996531</x:v>
      </x:c>
    </x:row>
    <x:row r="582">
      <x:c r="A582" s="32" t="n">
        <x:v>45870</x:v>
      </x:c>
      <x:c r="B582" t="str">
        <x:v>Aug 2025</x:v>
      </x:c>
      <x:c r="C582" t="str">
        <x:v>Actual</x:v>
      </x:c>
      <x:c r="D582" t="str">
        <x:v>DB-102</x:v>
      </x:c>
      <x:c r="E582" t="str">
        <x:v>GlowPatch Balm</x:v>
      </x:c>
      <x:c r="F582" t="str">
        <x:v>Shopify DTC</x:v>
      </x:c>
      <x:c r="G582" t="str">
        <x:v>Consumer</x:v>
      </x:c>
      <x:c r="H582" t="str">
        <x:v>US Central</x:v>
      </x:c>
      <x:c r="I582" s="34" t="n">
        <x:v>183.6</x:v>
      </x:c>
      <x:c r="J582" s="38" t="n">
        <x:v>2.9644056</x:v>
      </x:c>
      <x:c r="K582" s="38" t="n">
        <x:v>0.8191802375999998</x:v>
      </x:c>
      <x:c r="L582" s="28" t="n">
        <x:v>0.2763387835996531</x:v>
      </x:c>
    </x:row>
    <x:row r="583">
      <x:c r="A583" s="32" t="n">
        <x:v>45870</x:v>
      </x:c>
      <x:c r="B583" t="str">
        <x:v>Aug 2025</x:v>
      </x:c>
      <x:c r="C583" t="str">
        <x:v>Actual</x:v>
      </x:c>
      <x:c r="D583" t="str">
        <x:v>DB-102</x:v>
      </x:c>
      <x:c r="E583" t="str">
        <x:v>GlowPatch Balm</x:v>
      </x:c>
      <x:c r="F583" t="str">
        <x:v>Shopify DTC</x:v>
      </x:c>
      <x:c r="G583" t="str">
        <x:v>Consumer</x:v>
      </x:c>
      <x:c r="H583" t="str">
        <x:v>US East</x:v>
      </x:c>
      <x:c r="I583" s="34" t="n">
        <x:v>244.8</x:v>
      </x:c>
      <x:c r="J583" s="38" t="n">
        <x:v>3.9525408000000004</x:v>
      </x:c>
      <x:c r="K583" s="38" t="n">
        <x:v>1.0922403167999999</x:v>
      </x:c>
      <x:c r="L583" s="28" t="n">
        <x:v>0.2763387835996531</x:v>
      </x:c>
    </x:row>
    <x:row r="584">
      <x:c r="A584" s="32" t="n">
        <x:v>45870</x:v>
      </x:c>
      <x:c r="B584" t="str">
        <x:v>Aug 2025</x:v>
      </x:c>
      <x:c r="C584" t="str">
        <x:v>Actual</x:v>
      </x:c>
      <x:c r="D584" t="str">
        <x:v>DB-102</x:v>
      </x:c>
      <x:c r="E584" t="str">
        <x:v>GlowPatch Balm</x:v>
      </x:c>
      <x:c r="F584" t="str">
        <x:v>Shopify DTC</x:v>
      </x:c>
      <x:c r="G584" t="str">
        <x:v>Consumer</x:v>
      </x:c>
      <x:c r="H584" t="str">
        <x:v>Canada</x:v>
      </x:c>
      <x:c r="I584" s="34" t="n">
        <x:v>76.5</x:v>
      </x:c>
      <x:c r="J584" s="38" t="n">
        <x:v>1.2351690000000002</x:v>
      </x:c>
      <x:c r="K584" s="38" t="n">
        <x:v>0.34132509899999997</x:v>
      </x:c>
      <x:c r="L584" s="28" t="n">
        <x:v>0.2763387835996531</x:v>
      </x:c>
    </x:row>
    <x:row r="585">
      <x:c r="A585" s="32" t="n">
        <x:v>45870</x:v>
      </x:c>
      <x:c r="B585" t="str">
        <x:v>Aug 2025</x:v>
      </x:c>
      <x:c r="C585" t="str">
        <x:v>Actual</x:v>
      </x:c>
      <x:c r="D585" t="str">
        <x:v>DB-102</x:v>
      </x:c>
      <x:c r="E585" t="str">
        <x:v>GlowPatch Balm</x:v>
      </x:c>
      <x:c r="F585" t="str">
        <x:v>Amazon Marketplace</x:v>
      </x:c>
      <x:c r="G585" t="str">
        <x:v>Marketplace Consumer</x:v>
      </x:c>
      <x:c r="H585" t="str">
        <x:v>US West</x:v>
      </x:c>
      <x:c r="I585" s="34" t="n">
        <x:v>153.68</x:v>
      </x:c>
      <x:c r="J585" s="38" t="n">
        <x:v>2.5622298000000003</x:v>
      </x:c>
      <x:c r="K585" s="38" t="n">
        <x:v>0.2160164500000001</x:v>
      </x:c>
      <x:c r="L585" s="28" t="n">
        <x:v>0.08430799220272908</x:v>
      </x:c>
    </x:row>
    <x:row r="586">
      <x:c r="A586" s="32" t="n">
        <x:v>45870</x:v>
      </x:c>
      <x:c r="B586" t="str">
        <x:v>Aug 2025</x:v>
      </x:c>
      <x:c r="C586" t="str">
        <x:v>Actual</x:v>
      </x:c>
      <x:c r="D586" t="str">
        <x:v>DB-102</x:v>
      </x:c>
      <x:c r="E586" t="str">
        <x:v>GlowPatch Balm</x:v>
      </x:c>
      <x:c r="F586" t="str">
        <x:v>Amazon Marketplace</x:v>
      </x:c>
      <x:c r="G586" t="str">
        <x:v>Marketplace Consumer</x:v>
      </x:c>
      <x:c r="H586" t="str">
        <x:v>US Central</x:v>
      </x:c>
      <x:c r="I586" s="34" t="n">
        <x:v>108.47999999999999</x:v>
      </x:c>
      <x:c r="J586" s="38" t="n">
        <x:v>1.8086327999999998</x:v>
      </x:c>
      <x:c r="K586" s="38" t="n">
        <x:v>0.15248220000000007</x:v>
      </x:c>
      <x:c r="L586" s="28" t="n">
        <x:v>0.0843079922027291</x:v>
      </x:c>
    </x:row>
    <x:row r="587">
      <x:c r="A587" s="32" t="n">
        <x:v>45870</x:v>
      </x:c>
      <x:c r="B587" t="str">
        <x:v>Aug 2025</x:v>
      </x:c>
      <x:c r="C587" t="str">
        <x:v>Actual</x:v>
      </x:c>
      <x:c r="D587" t="str">
        <x:v>DB-102</x:v>
      </x:c>
      <x:c r="E587" t="str">
        <x:v>GlowPatch Balm</x:v>
      </x:c>
      <x:c r="F587" t="str">
        <x:v>Amazon Marketplace</x:v>
      </x:c>
      <x:c r="G587" t="str">
        <x:v>Marketplace Consumer</x:v>
      </x:c>
      <x:c r="H587" t="str">
        <x:v>US East</x:v>
      </x:c>
      <x:c r="I587" s="34" t="n">
        <x:v>144.64000000000001</x:v>
      </x:c>
      <x:c r="J587" s="38" t="n">
        <x:v>2.4115104</x:v>
      </x:c>
      <x:c r="K587" s="38" t="n">
        <x:v>0.2033096000000001</x:v>
      </x:c>
      <x:c r="L587" s="28" t="n">
        <x:v>0.08430799220272908</x:v>
      </x:c>
    </x:row>
    <x:row r="588">
      <x:c r="A588" s="32" t="n">
        <x:v>45870</x:v>
      </x:c>
      <x:c r="B588" t="str">
        <x:v>Aug 2025</x:v>
      </x:c>
      <x:c r="C588" t="str">
        <x:v>Actual</x:v>
      </x:c>
      <x:c r="D588" t="str">
        <x:v>DB-102</x:v>
      </x:c>
      <x:c r="E588" t="str">
        <x:v>GlowPatch Balm</x:v>
      </x:c>
      <x:c r="F588" t="str">
        <x:v>Amazon Marketplace</x:v>
      </x:c>
      <x:c r="G588" t="str">
        <x:v>Marketplace Consumer</x:v>
      </x:c>
      <x:c r="H588" t="str">
        <x:v>Canada</x:v>
      </x:c>
      <x:c r="I588" s="34" t="n">
        <x:v>45.2</x:v>
      </x:c>
      <x:c r="J588" s="38" t="n">
        <x:v>0.7535970000000001</x:v>
      </x:c>
      <x:c r="K588" s="38" t="n">
        <x:v>0.06353425000000003</x:v>
      </x:c>
      <x:c r="L588" s="28" t="n">
        <x:v>0.08430799220272907</x:v>
      </x:c>
    </x:row>
    <x:row r="589">
      <x:c r="A589" s="32" t="n">
        <x:v>45870</x:v>
      </x:c>
      <x:c r="B589" t="str">
        <x:v>Aug 2025</x:v>
      </x:c>
      <x:c r="C589" t="str">
        <x:v>Actual</x:v>
      </x:c>
      <x:c r="D589" t="str">
        <x:v>DB-102</x:v>
      </x:c>
      <x:c r="E589" t="str">
        <x:v>GlowPatch Balm</x:v>
      </x:c>
      <x:c r="F589" t="str">
        <x:v>Wholesale</x:v>
      </x:c>
      <x:c r="G589" t="str">
        <x:v>Retailer</x:v>
      </x:c>
      <x:c r="H589" t="str">
        <x:v>US West</x:v>
      </x:c>
      <x:c r="I589" s="34" t="n">
        <x:v>43.18</x:v>
      </x:c>
      <x:c r="J589" s="38" t="n">
        <x:v>0.4925758500000001</x:v>
      </x:c>
      <x:c r="K589" s="38" t="n">
        <x:v>0.12269597</x:v>
      </x:c>
      <x:c r="L589" s="28" t="n">
        <x:v>0.2490905106289721</x:v>
      </x:c>
    </x:row>
    <x:row r="590">
      <x:c r="A590" s="32" t="n">
        <x:v>45870</x:v>
      </x:c>
      <x:c r="B590" t="str">
        <x:v>Aug 2025</x:v>
      </x:c>
      <x:c r="C590" t="str">
        <x:v>Actual</x:v>
      </x:c>
      <x:c r="D590" t="str">
        <x:v>DB-102</x:v>
      </x:c>
      <x:c r="E590" t="str">
        <x:v>GlowPatch Balm</x:v>
      </x:c>
      <x:c r="F590" t="str">
        <x:v>Wholesale</x:v>
      </x:c>
      <x:c r="G590" t="str">
        <x:v>Retailer</x:v>
      </x:c>
      <x:c r="H590" t="str">
        <x:v>US Central</x:v>
      </x:c>
      <x:c r="I590" s="34" t="n">
        <x:v>30.48</x:v>
      </x:c>
      <x:c r="J590" s="38" t="n">
        <x:v>0.3477006</x:v>
      </x:c>
      <x:c r="K590" s="38" t="n">
        <x:v>0.08660891999999999</x:v>
      </x:c>
      <x:c r="L590" s="28" t="n">
        <x:v>0.24909051062897214</x:v>
      </x:c>
    </x:row>
    <x:row r="591">
      <x:c r="A591" s="32" t="n">
        <x:v>45870</x:v>
      </x:c>
      <x:c r="B591" t="str">
        <x:v>Aug 2025</x:v>
      </x:c>
      <x:c r="C591" t="str">
        <x:v>Actual</x:v>
      </x:c>
      <x:c r="D591" t="str">
        <x:v>DB-102</x:v>
      </x:c>
      <x:c r="E591" t="str">
        <x:v>GlowPatch Balm</x:v>
      </x:c>
      <x:c r="F591" t="str">
        <x:v>Wholesale</x:v>
      </x:c>
      <x:c r="G591" t="str">
        <x:v>Retailer</x:v>
      </x:c>
      <x:c r="H591" t="str">
        <x:v>US East</x:v>
      </x:c>
      <x:c r="I591" s="34" t="n">
        <x:v>40.64</x:v>
      </x:c>
      <x:c r="J591" s="38" t="n">
        <x:v>0.46360080000000004</x:v>
      </x:c>
      <x:c r="K591" s="38" t="n">
        <x:v>0.11547856</x:v>
      </x:c>
      <x:c r="L591" s="28" t="n">
        <x:v>0.24909051062897214</x:v>
      </x:c>
    </x:row>
    <x:row r="592">
      <x:c r="A592" s="32" t="n">
        <x:v>45870</x:v>
      </x:c>
      <x:c r="B592" t="str">
        <x:v>Aug 2025</x:v>
      </x:c>
      <x:c r="C592" t="str">
        <x:v>Actual</x:v>
      </x:c>
      <x:c r="D592" t="str">
        <x:v>DB-102</x:v>
      </x:c>
      <x:c r="E592" t="str">
        <x:v>GlowPatch Balm</x:v>
      </x:c>
      <x:c r="F592" t="str">
        <x:v>Wholesale</x:v>
      </x:c>
      <x:c r="G592" t="str">
        <x:v>Retailer</x:v>
      </x:c>
      <x:c r="H592" t="str">
        <x:v>Canada</x:v>
      </x:c>
      <x:c r="I592" s="34" t="n">
        <x:v>12.700000000000001</x:v>
      </x:c>
      <x:c r="J592" s="38" t="n">
        <x:v>0.14487525</x:v>
      </x:c>
      <x:c r="K592" s="38" t="n">
        <x:v>0.03608705</x:v>
      </x:c>
      <x:c r="L592" s="28" t="n">
        <x:v>0.24909051062897217</x:v>
      </x:c>
    </x:row>
    <x:row r="593">
      <x:c r="A593" s="32" t="n">
        <x:v>45870</x:v>
      </x:c>
      <x:c r="B593" t="str">
        <x:v>Aug 2025</x:v>
      </x:c>
      <x:c r="C593" t="str">
        <x:v>Actual</x:v>
      </x:c>
      <x:c r="D593" t="str">
        <x:v>DB-102</x:v>
      </x:c>
      <x:c r="E593" t="str">
        <x:v>GlowPatch Balm</x:v>
      </x:c>
      <x:c r="F593" t="str">
        <x:v>TikTok Shop</x:v>
      </x:c>
      <x:c r="G593" t="str">
        <x:v>Social Commerce</x:v>
      </x:c>
      <x:c r="H593" t="str">
        <x:v>US West</x:v>
      </x:c>
      <x:c r="I593" s="34" t="n">
        <x:v>65.28</x:v>
      </x:c>
      <x:c r="J593" s="38" t="n">
        <x:v>1.00818432</x:v>
      </x:c>
      <x:c r="K593" s="38" t="n">
        <x:v>0.11773143552</x:v>
      </x:c>
      <x:c r="L593" s="28" t="n">
        <x:v>0.11677570577570577</x:v>
      </x:c>
    </x:row>
    <x:row r="594">
      <x:c r="A594" s="32" t="n">
        <x:v>45870</x:v>
      </x:c>
      <x:c r="B594" t="str">
        <x:v>Aug 2025</x:v>
      </x:c>
      <x:c r="C594" t="str">
        <x:v>Actual</x:v>
      </x:c>
      <x:c r="D594" t="str">
        <x:v>DB-102</x:v>
      </x:c>
      <x:c r="E594" t="str">
        <x:v>GlowPatch Balm</x:v>
      </x:c>
      <x:c r="F594" t="str">
        <x:v>TikTok Shop</x:v>
      </x:c>
      <x:c r="G594" t="str">
        <x:v>Social Commerce</x:v>
      </x:c>
      <x:c r="H594" t="str">
        <x:v>US Central</x:v>
      </x:c>
      <x:c r="I594" s="34" t="n">
        <x:v>46.08</x:v>
      </x:c>
      <x:c r="J594" s="38" t="n">
        <x:v>0.71165952</x:v>
      </x:c>
      <x:c r="K594" s="38" t="n">
        <x:v>0.08310454272</x:v>
      </x:c>
      <x:c r="L594" s="28" t="n">
        <x:v>0.11677570577570577</x:v>
      </x:c>
    </x:row>
    <x:row r="595">
      <x:c r="A595" s="32" t="n">
        <x:v>45870</x:v>
      </x:c>
      <x:c r="B595" t="str">
        <x:v>Aug 2025</x:v>
      </x:c>
      <x:c r="C595" t="str">
        <x:v>Actual</x:v>
      </x:c>
      <x:c r="D595" t="str">
        <x:v>DB-102</x:v>
      </x:c>
      <x:c r="E595" t="str">
        <x:v>GlowPatch Balm</x:v>
      </x:c>
      <x:c r="F595" t="str">
        <x:v>TikTok Shop</x:v>
      </x:c>
      <x:c r="G595" t="str">
        <x:v>Social Commerce</x:v>
      </x:c>
      <x:c r="H595" t="str">
        <x:v>US East</x:v>
      </x:c>
      <x:c r="I595" s="34" t="n">
        <x:v>61.44</x:v>
      </x:c>
      <x:c r="J595" s="38" t="n">
        <x:v>0.94887936</x:v>
      </x:c>
      <x:c r="K595" s="38" t="n">
        <x:v>0.11080605696</x:v>
      </x:c>
      <x:c r="L595" s="28" t="n">
        <x:v>0.11677570577570578</x:v>
      </x:c>
    </x:row>
    <x:row r="596">
      <x:c r="A596" s="32" t="n">
        <x:v>45870</x:v>
      </x:c>
      <x:c r="B596" t="str">
        <x:v>Aug 2025</x:v>
      </x:c>
      <x:c r="C596" t="str">
        <x:v>Actual</x:v>
      </x:c>
      <x:c r="D596" t="str">
        <x:v>DB-102</x:v>
      </x:c>
      <x:c r="E596" t="str">
        <x:v>GlowPatch Balm</x:v>
      </x:c>
      <x:c r="F596" t="str">
        <x:v>TikTok Shop</x:v>
      </x:c>
      <x:c r="G596" t="str">
        <x:v>Social Commerce</x:v>
      </x:c>
      <x:c r="H596" t="str">
        <x:v>Canada</x:v>
      </x:c>
      <x:c r="I596" s="34" t="n">
        <x:v>19.200000000000003</x:v>
      </x:c>
      <x:c r="J596" s="38" t="n">
        <x:v>0.2965248</x:v>
      </x:c>
      <x:c r="K596" s="38" t="n">
        <x:v>0.034626892799999996</x:v>
      </x:c>
      <x:c r="L596" s="28" t="n">
        <x:v>0.11677570577570577</x:v>
      </x:c>
    </x:row>
    <x:row r="597">
      <x:c r="A597" s="32" t="n">
        <x:v>45870</x:v>
      </x:c>
      <x:c r="B597" t="str">
        <x:v>Aug 2025</x:v>
      </x:c>
      <x:c r="C597" t="str">
        <x:v>Actual</x:v>
      </x:c>
      <x:c r="D597" t="str">
        <x:v>DB-103</x:v>
      </x:c>
      <x:c r="E597" t="str">
        <x:v>EmberTrail Camp Mug</x:v>
      </x:c>
      <x:c r="F597" t="str">
        <x:v>Shopify DTC</x:v>
      </x:c>
      <x:c r="G597" t="str">
        <x:v>Consumer</x:v>
      </x:c>
      <x:c r="H597" t="str">
        <x:v>US West</x:v>
      </x:c>
      <x:c r="I597" s="34" t="n">
        <x:v>146.20000000000002</x:v>
      </x:c>
      <x:c r="J597" s="38" t="n">
        <x:v>4.32161352</x:v>
      </x:c>
      <x:c r="K597" s="38" t="n">
        <x:v>1.3415855279199995</x:v>
      </x:c>
      <x:c r="L597" s="28" t="n">
        <x:v>0.3104362575948253</x:v>
      </x:c>
    </x:row>
    <x:row r="598">
      <x:c r="A598" s="32" t="n">
        <x:v>45870</x:v>
      </x:c>
      <x:c r="B598" t="str">
        <x:v>Aug 2025</x:v>
      </x:c>
      <x:c r="C598" t="str">
        <x:v>Actual</x:v>
      </x:c>
      <x:c r="D598" t="str">
        <x:v>DB-103</x:v>
      </x:c>
      <x:c r="E598" t="str">
        <x:v>EmberTrail Camp Mug</x:v>
      </x:c>
      <x:c r="F598" t="str">
        <x:v>Shopify DTC</x:v>
      </x:c>
      <x:c r="G598" t="str">
        <x:v>Consumer</x:v>
      </x:c>
      <x:c r="H598" t="str">
        <x:v>US Central</x:v>
      </x:c>
      <x:c r="I598" s="34" t="n">
        <x:v>103.2</x:v>
      </x:c>
      <x:c r="J598" s="38" t="n">
        <x:v>3.0505507199999995</x:v>
      </x:c>
      <x:c r="K598" s="38" t="n">
        <x:v>0.9470015491199996</x:v>
      </x:c>
      <x:c r="L598" s="28" t="n">
        <x:v>0.3104362575948253</x:v>
      </x:c>
    </x:row>
    <x:row r="599">
      <x:c r="A599" s="32" t="n">
        <x:v>45870</x:v>
      </x:c>
      <x:c r="B599" t="str">
        <x:v>Aug 2025</x:v>
      </x:c>
      <x:c r="C599" t="str">
        <x:v>Actual</x:v>
      </x:c>
      <x:c r="D599" t="str">
        <x:v>DB-103</x:v>
      </x:c>
      <x:c r="E599" t="str">
        <x:v>EmberTrail Camp Mug</x:v>
      </x:c>
      <x:c r="F599" t="str">
        <x:v>Shopify DTC</x:v>
      </x:c>
      <x:c r="G599" t="str">
        <x:v>Consumer</x:v>
      </x:c>
      <x:c r="H599" t="str">
        <x:v>US East</x:v>
      </x:c>
      <x:c r="I599" s="34" t="n">
        <x:v>137.6</x:v>
      </x:c>
      <x:c r="J599" s="38" t="n">
        <x:v>4.06740096</x:v>
      </x:c>
      <x:c r="K599" s="38" t="n">
        <x:v>1.2626687321599996</x:v>
      </x:c>
      <x:c r="L599" s="28" t="n">
        <x:v>0.3104362575948253</x:v>
      </x:c>
    </x:row>
    <x:row r="600">
      <x:c r="A600" s="32" t="n">
        <x:v>45870</x:v>
      </x:c>
      <x:c r="B600" t="str">
        <x:v>Aug 2025</x:v>
      </x:c>
      <x:c r="C600" t="str">
        <x:v>Actual</x:v>
      </x:c>
      <x:c r="D600" t="str">
        <x:v>DB-103</x:v>
      </x:c>
      <x:c r="E600" t="str">
        <x:v>EmberTrail Camp Mug</x:v>
      </x:c>
      <x:c r="F600" t="str">
        <x:v>Shopify DTC</x:v>
      </x:c>
      <x:c r="G600" t="str">
        <x:v>Consumer</x:v>
      </x:c>
      <x:c r="H600" t="str">
        <x:v>Canada</x:v>
      </x:c>
      <x:c r="I600" s="34" t="n">
        <x:v>43</x:v>
      </x:c>
      <x:c r="J600" s="38" t="n">
        <x:v>1.2710628</x:v>
      </x:c>
      <x:c r="K600" s="38" t="n">
        <x:v>0.39458397879999985</x:v>
      </x:c>
      <x:c r="L600" s="28" t="n">
        <x:v>0.31043625759482524</x:v>
      </x:c>
    </x:row>
    <x:row r="601">
      <x:c r="A601" s="32" t="n">
        <x:v>45870</x:v>
      </x:c>
      <x:c r="B601" t="str">
        <x:v>Aug 2025</x:v>
      </x:c>
      <x:c r="C601" t="str">
        <x:v>Actual</x:v>
      </x:c>
      <x:c r="D601" t="str">
        <x:v>DB-103</x:v>
      </x:c>
      <x:c r="E601" t="str">
        <x:v>EmberTrail Camp Mug</x:v>
      </x:c>
      <x:c r="F601" t="str">
        <x:v>Amazon Marketplace</x:v>
      </x:c>
      <x:c r="G601" t="str">
        <x:v>Marketplace Consumer</x:v>
      </x:c>
      <x:c r="H601" t="str">
        <x:v>US West</x:v>
      </x:c>
      <x:c r="I601" s="34" t="n">
        <x:v>86.36</x:v>
      </x:c>
      <x:c r="J601" s="38" t="n">
        <x:v>2.6360094600000004</x:v>
      </x:c>
      <x:c r="K601" s="38" t="n">
        <x:v>0.4204846810000001</x:v>
      </x:c>
      <x:c r="L601" s="28" t="n">
        <x:v>0.15951561911314235</x:v>
      </x:c>
    </x:row>
    <x:row r="602">
      <x:c r="A602" s="32" t="n">
        <x:v>45870</x:v>
      </x:c>
      <x:c r="B602" t="str">
        <x:v>Aug 2025</x:v>
      </x:c>
      <x:c r="C602" t="str">
        <x:v>Actual</x:v>
      </x:c>
      <x:c r="D602" t="str">
        <x:v>DB-103</x:v>
      </x:c>
      <x:c r="E602" t="str">
        <x:v>EmberTrail Camp Mug</x:v>
      </x:c>
      <x:c r="F602" t="str">
        <x:v>Amazon Marketplace</x:v>
      </x:c>
      <x:c r="G602" t="str">
        <x:v>Marketplace Consumer</x:v>
      </x:c>
      <x:c r="H602" t="str">
        <x:v>US Central</x:v>
      </x:c>
      <x:c r="I602" s="34" t="n">
        <x:v>60.96</x:v>
      </x:c>
      <x:c r="J602" s="38" t="n">
        <x:v>1.86071256</x:v>
      </x:c>
      <x:c r="K602" s="38" t="n">
        <x:v>0.29681271600000003</x:v>
      </x:c>
      <x:c r="L602" s="28" t="n">
        <x:v>0.15951561911314235</x:v>
      </x:c>
    </x:row>
    <x:row r="603">
      <x:c r="A603" s="32" t="n">
        <x:v>45870</x:v>
      </x:c>
      <x:c r="B603" t="str">
        <x:v>Aug 2025</x:v>
      </x:c>
      <x:c r="C603" t="str">
        <x:v>Actual</x:v>
      </x:c>
      <x:c r="D603" t="str">
        <x:v>DB-103</x:v>
      </x:c>
      <x:c r="E603" t="str">
        <x:v>EmberTrail Camp Mug</x:v>
      </x:c>
      <x:c r="F603" t="str">
        <x:v>Amazon Marketplace</x:v>
      </x:c>
      <x:c r="G603" t="str">
        <x:v>Marketplace Consumer</x:v>
      </x:c>
      <x:c r="H603" t="str">
        <x:v>US East</x:v>
      </x:c>
      <x:c r="I603" s="34" t="n">
        <x:v>81.28</x:v>
      </x:c>
      <x:c r="J603" s="38" t="n">
        <x:v>2.48095008</x:v>
      </x:c>
      <x:c r="K603" s="38" t="n">
        <x:v>0.39575028800000006</x:v>
      </x:c>
      <x:c r="L603" s="28" t="n">
        <x:v>0.15951561911314235</x:v>
      </x:c>
    </x:row>
    <x:row r="604">
      <x:c r="A604" s="32" t="n">
        <x:v>45870</x:v>
      </x:c>
      <x:c r="B604" t="str">
        <x:v>Aug 2025</x:v>
      </x:c>
      <x:c r="C604" t="str">
        <x:v>Actual</x:v>
      </x:c>
      <x:c r="D604" t="str">
        <x:v>DB-103</x:v>
      </x:c>
      <x:c r="E604" t="str">
        <x:v>EmberTrail Camp Mug</x:v>
      </x:c>
      <x:c r="F604" t="str">
        <x:v>Amazon Marketplace</x:v>
      </x:c>
      <x:c r="G604" t="str">
        <x:v>Marketplace Consumer</x:v>
      </x:c>
      <x:c r="H604" t="str">
        <x:v>Canada</x:v>
      </x:c>
      <x:c r="I604" s="34" t="n">
        <x:v>25.400000000000002</x:v>
      </x:c>
      <x:c r="J604" s="38" t="n">
        <x:v>0.7752969000000001</x:v>
      </x:c>
      <x:c r="K604" s="38" t="n">
        <x:v>0.12367196500000002</x:v>
      </x:c>
      <x:c r="L604" s="28" t="n">
        <x:v>0.15951561911314235</x:v>
      </x:c>
    </x:row>
    <x:row r="605">
      <x:c r="A605" s="32" t="n">
        <x:v>45870</x:v>
      </x:c>
      <x:c r="B605" t="str">
        <x:v>Aug 2025</x:v>
      </x:c>
      <x:c r="C605" t="str">
        <x:v>Actual</x:v>
      </x:c>
      <x:c r="D605" t="str">
        <x:v>DB-103</x:v>
      </x:c>
      <x:c r="E605" t="str">
        <x:v>EmberTrail Camp Mug</x:v>
      </x:c>
      <x:c r="F605" t="str">
        <x:v>Wholesale</x:v>
      </x:c>
      <x:c r="G605" t="str">
        <x:v>Retailer</x:v>
      </x:c>
      <x:c r="H605" t="str">
        <x:v>US West</x:v>
      </x:c>
      <x:c r="I605" s="34" t="n">
        <x:v>24.48</x:v>
      </x:c>
      <x:c r="J605" s="38" t="n">
        <x:v>0.5112525600000001</x:v>
      </x:c>
      <x:c r="K605" s="38" t="n">
        <x:v>0.09812808000000012</x:v>
      </x:c>
      <x:c r="L605" s="28" t="n">
        <x:v>0.19193660370130977</x:v>
      </x:c>
    </x:row>
    <x:row r="606">
      <x:c r="A606" s="32" t="n">
        <x:v>45870</x:v>
      </x:c>
      <x:c r="B606" t="str">
        <x:v>Aug 2025</x:v>
      </x:c>
      <x:c r="C606" t="str">
        <x:v>Actual</x:v>
      </x:c>
      <x:c r="D606" t="str">
        <x:v>DB-103</x:v>
      </x:c>
      <x:c r="E606" t="str">
        <x:v>EmberTrail Camp Mug</x:v>
      </x:c>
      <x:c r="F606" t="str">
        <x:v>Wholesale</x:v>
      </x:c>
      <x:c r="G606" t="str">
        <x:v>Retailer</x:v>
      </x:c>
      <x:c r="H606" t="str">
        <x:v>US Central</x:v>
      </x:c>
      <x:c r="I606" s="34" t="n">
        <x:v>17.28</x:v>
      </x:c>
      <x:c r="J606" s="38" t="n">
        <x:v>0.36088416000000006</x:v>
      </x:c>
      <x:c r="K606" s="38" t="n">
        <x:v>0.06926688000000007</x:v>
      </x:c>
      <x:c r="L606" s="28" t="n">
        <x:v>0.19193660370130974</x:v>
      </x:c>
    </x:row>
    <x:row r="607">
      <x:c r="A607" s="32" t="n">
        <x:v>45870</x:v>
      </x:c>
      <x:c r="B607" t="str">
        <x:v>Aug 2025</x:v>
      </x:c>
      <x:c r="C607" t="str">
        <x:v>Actual</x:v>
      </x:c>
      <x:c r="D607" t="str">
        <x:v>DB-103</x:v>
      </x:c>
      <x:c r="E607" t="str">
        <x:v>EmberTrail Camp Mug</x:v>
      </x:c>
      <x:c r="F607" t="str">
        <x:v>Wholesale</x:v>
      </x:c>
      <x:c r="G607" t="str">
        <x:v>Retailer</x:v>
      </x:c>
      <x:c r="H607" t="str">
        <x:v>US East</x:v>
      </x:c>
      <x:c r="I607" s="34" t="n">
        <x:v>23.04</x:v>
      </x:c>
      <x:c r="J607" s="38" t="n">
        <x:v>0.4811788800000001</x:v>
      </x:c>
      <x:c r="K607" s="38" t="n">
        <x:v>0.0923558400000001</x:v>
      </x:c>
      <x:c r="L607" s="28" t="n">
        <x:v>0.19193660370130977</x:v>
      </x:c>
    </x:row>
    <x:row r="608">
      <x:c r="A608" s="32" t="n">
        <x:v>45870</x:v>
      </x:c>
      <x:c r="B608" t="str">
        <x:v>Aug 2025</x:v>
      </x:c>
      <x:c r="C608" t="str">
        <x:v>Actual</x:v>
      </x:c>
      <x:c r="D608" t="str">
        <x:v>DB-103</x:v>
      </x:c>
      <x:c r="E608" t="str">
        <x:v>EmberTrail Camp Mug</x:v>
      </x:c>
      <x:c r="F608" t="str">
        <x:v>Wholesale</x:v>
      </x:c>
      <x:c r="G608" t="str">
        <x:v>Retailer</x:v>
      </x:c>
      <x:c r="H608" t="str">
        <x:v>Canada</x:v>
      </x:c>
      <x:c r="I608" s="34" t="n">
        <x:v>7.2</x:v>
      </x:c>
      <x:c r="J608" s="38" t="n">
        <x:v>0.15036840000000004</x:v>
      </x:c>
      <x:c r="K608" s="38" t="n">
        <x:v>0.02886120000000003</x:v>
      </x:c>
      <x:c r="L608" s="28" t="n">
        <x:v>0.19193660370130974</x:v>
      </x:c>
    </x:row>
    <x:row r="609">
      <x:c r="A609" s="32" t="n">
        <x:v>45870</x:v>
      </x:c>
      <x:c r="B609" t="str">
        <x:v>Aug 2025</x:v>
      </x:c>
      <x:c r="C609" t="str">
        <x:v>Actual</x:v>
      </x:c>
      <x:c r="D609" t="str">
        <x:v>DB-103</x:v>
      </x:c>
      <x:c r="E609" t="str">
        <x:v>EmberTrail Camp Mug</x:v>
      </x:c>
      <x:c r="F609" t="str">
        <x:v>TikTok Shop</x:v>
      </x:c>
      <x:c r="G609" t="str">
        <x:v>Social Commerce</x:v>
      </x:c>
      <x:c r="H609" t="str">
        <x:v>US West</x:v>
      </x:c>
      <x:c r="I609" s="34" t="n">
        <x:v>36.720000000000006</x:v>
      </x:c>
      <x:c r="J609" s="38" t="n">
        <x:v>1.0382359680000002</x:v>
      </x:c>
      <x:c r="K609" s="38" t="n">
        <x:v>0.19028224684800005</x:v>
      </x:c>
      <x:c r="L609" s="28" t="n">
        <x:v>0.18327456639221346</x:v>
      </x:c>
    </x:row>
    <x:row r="610">
      <x:c r="A610" s="32" t="n">
        <x:v>45870</x:v>
      </x:c>
      <x:c r="B610" t="str">
        <x:v>Aug 2025</x:v>
      </x:c>
      <x:c r="C610" t="str">
        <x:v>Actual</x:v>
      </x:c>
      <x:c r="D610" t="str">
        <x:v>DB-103</x:v>
      </x:c>
      <x:c r="E610" t="str">
        <x:v>EmberTrail Camp Mug</x:v>
      </x:c>
      <x:c r="F610" t="str">
        <x:v>TikTok Shop</x:v>
      </x:c>
      <x:c r="G610" t="str">
        <x:v>Social Commerce</x:v>
      </x:c>
      <x:c r="H610" t="str">
        <x:v>US Central</x:v>
      </x:c>
      <x:c r="I610" s="34" t="n">
        <x:v>25.919999999999998</x:v>
      </x:c>
      <x:c r="J610" s="38" t="n">
        <x:v>0.732872448</x:v>
      </x:c>
      <x:c r="K610" s="38" t="n">
        <x:v>0.13431688012800003</x:v>
      </x:c>
      <x:c r="L610" s="28" t="n">
        <x:v>0.1832745663922135</x:v>
      </x:c>
    </x:row>
    <x:row r="611">
      <x:c r="A611" s="32" t="n">
        <x:v>45870</x:v>
      </x:c>
      <x:c r="B611" t="str">
        <x:v>Aug 2025</x:v>
      </x:c>
      <x:c r="C611" t="str">
        <x:v>Actual</x:v>
      </x:c>
      <x:c r="D611" t="str">
        <x:v>DB-103</x:v>
      </x:c>
      <x:c r="E611" t="str">
        <x:v>EmberTrail Camp Mug</x:v>
      </x:c>
      <x:c r="F611" t="str">
        <x:v>TikTok Shop</x:v>
      </x:c>
      <x:c r="G611" t="str">
        <x:v>Social Commerce</x:v>
      </x:c>
      <x:c r="H611" t="str">
        <x:v>US East</x:v>
      </x:c>
      <x:c r="I611" s="34" t="n">
        <x:v>34.56</x:v>
      </x:c>
      <x:c r="J611" s="38" t="n">
        <x:v>0.977163264</x:v>
      </x:c>
      <x:c r="K611" s="38" t="n">
        <x:v>0.17908917350400003</x:v>
      </x:c>
      <x:c r="L611" s="28" t="n">
        <x:v>0.18327456639221348</x:v>
      </x:c>
    </x:row>
    <x:row r="612">
      <x:c r="A612" s="32" t="n">
        <x:v>45870</x:v>
      </x:c>
      <x:c r="B612" t="str">
        <x:v>Aug 2025</x:v>
      </x:c>
      <x:c r="C612" t="str">
        <x:v>Actual</x:v>
      </x:c>
      <x:c r="D612" t="str">
        <x:v>DB-103</x:v>
      </x:c>
      <x:c r="E612" t="str">
        <x:v>EmberTrail Camp Mug</x:v>
      </x:c>
      <x:c r="F612" t="str">
        <x:v>TikTok Shop</x:v>
      </x:c>
      <x:c r="G612" t="str">
        <x:v>Social Commerce</x:v>
      </x:c>
      <x:c r="H612" t="str">
        <x:v>Canada</x:v>
      </x:c>
      <x:c r="I612" s="34" t="n">
        <x:v>10.8</x:v>
      </x:c>
      <x:c r="J612" s="38" t="n">
        <x:v>0.30536352</x:v>
      </x:c>
      <x:c r="K612" s="38" t="n">
        <x:v>0.055965366720000014</x:v>
      </x:c>
      <x:c r="L612" s="28" t="n">
        <x:v>0.18327456639221348</x:v>
      </x:c>
    </x:row>
    <x:row r="613">
      <x:c r="A613" s="32" t="n">
        <x:v>45870</x:v>
      </x:c>
      <x:c r="B613" t="str">
        <x:v>Aug 2025</x:v>
      </x:c>
      <x:c r="C613" t="str">
        <x:v>Actual</x:v>
      </x:c>
      <x:c r="D613" t="str">
        <x:v>DB-104</x:v>
      </x:c>
      <x:c r="E613" t="str">
        <x:v>SunNest Cooling Towel</x:v>
      </x:c>
      <x:c r="F613" t="str">
        <x:v>Shopify DTC</x:v>
      </x:c>
      <x:c r="G613" t="str">
        <x:v>Consumer</x:v>
      </x:c>
      <x:c r="H613" t="str">
        <x:v>US West</x:v>
      </x:c>
      <x:c r="I613" s="34" t="n">
        <x:v>193.8</x:v>
      </x:c>
      <x:c r="J613" s="38" t="n">
        <x:v>7.1140104000000015</x:v>
      </x:c>
      <x:c r="K613" s="38" t="n">
        <x:v>2.8615476983999995</x:v>
      </x:c>
      <x:c r="L613" s="28" t="n">
        <x:v>0.402241146344121</x:v>
      </x:c>
    </x:row>
    <x:row r="614">
      <x:c r="A614" s="32" t="n">
        <x:v>45870</x:v>
      </x:c>
      <x:c r="B614" t="str">
        <x:v>Aug 2025</x:v>
      </x:c>
      <x:c r="C614" t="str">
        <x:v>Actual</x:v>
      </x:c>
      <x:c r="D614" t="str">
        <x:v>DB-104</x:v>
      </x:c>
      <x:c r="E614" t="str">
        <x:v>SunNest Cooling Towel</x:v>
      </x:c>
      <x:c r="F614" t="str">
        <x:v>Shopify DTC</x:v>
      </x:c>
      <x:c r="G614" t="str">
        <x:v>Consumer</x:v>
      </x:c>
      <x:c r="H614" t="str">
        <x:v>US Central</x:v>
      </x:c>
      <x:c r="I614" s="34" t="n">
        <x:v>136.79999999999998</x:v>
      </x:c>
      <x:c r="J614" s="38" t="n">
        <x:v>5.0216544</x:v>
      </x:c>
      <x:c r="K614" s="38" t="n">
        <x:v>2.0199160223999995</x:v>
      </x:c>
      <x:c r="L614" s="28" t="n">
        <x:v>0.40224114634412106</x:v>
      </x:c>
    </x:row>
    <x:row r="615">
      <x:c r="A615" s="32" t="n">
        <x:v>45870</x:v>
      </x:c>
      <x:c r="B615" t="str">
        <x:v>Aug 2025</x:v>
      </x:c>
      <x:c r="C615" t="str">
        <x:v>Actual</x:v>
      </x:c>
      <x:c r="D615" t="str">
        <x:v>DB-104</x:v>
      </x:c>
      <x:c r="E615" t="str">
        <x:v>SunNest Cooling Towel</x:v>
      </x:c>
      <x:c r="F615" t="str">
        <x:v>Shopify DTC</x:v>
      </x:c>
      <x:c r="G615" t="str">
        <x:v>Consumer</x:v>
      </x:c>
      <x:c r="H615" t="str">
        <x:v>US East</x:v>
      </x:c>
      <x:c r="I615" s="34" t="n">
        <x:v>182.4</x:v>
      </x:c>
      <x:c r="J615" s="38" t="n">
        <x:v>6.695539200000001</x:v>
      </x:c>
      <x:c r="K615" s="38" t="n">
        <x:v>2.6932213631999993</x:v>
      </x:c>
      <x:c r="L615" s="28" t="n">
        <x:v>0.402241146344121</x:v>
      </x:c>
    </x:row>
    <x:row r="616">
      <x:c r="A616" s="32" t="n">
        <x:v>45870</x:v>
      </x:c>
      <x:c r="B616" t="str">
        <x:v>Aug 2025</x:v>
      </x:c>
      <x:c r="C616" t="str">
        <x:v>Actual</x:v>
      </x:c>
      <x:c r="D616" t="str">
        <x:v>DB-104</x:v>
      </x:c>
      <x:c r="E616" t="str">
        <x:v>SunNest Cooling Towel</x:v>
      </x:c>
      <x:c r="F616" t="str">
        <x:v>Shopify DTC</x:v>
      </x:c>
      <x:c r="G616" t="str">
        <x:v>Consumer</x:v>
      </x:c>
      <x:c r="H616" t="str">
        <x:v>Canada</x:v>
      </x:c>
      <x:c r="I616" s="34" t="n">
        <x:v>57</x:v>
      </x:c>
      <x:c r="J616" s="38" t="n">
        <x:v>2.092356</x:v>
      </x:c>
      <x:c r="K616" s="38" t="n">
        <x:v>0.8416316759999998</x:v>
      </x:c>
      <x:c r="L616" s="28" t="n">
        <x:v>0.40224114634412106</x:v>
      </x:c>
    </x:row>
    <x:row r="617">
      <x:c r="A617" s="32" t="n">
        <x:v>45870</x:v>
      </x:c>
      <x:c r="B617" t="str">
        <x:v>Aug 2025</x:v>
      </x:c>
      <x:c r="C617" t="str">
        <x:v>Actual</x:v>
      </x:c>
      <x:c r="D617" t="str">
        <x:v>DB-104</x:v>
      </x:c>
      <x:c r="E617" t="str">
        <x:v>SunNest Cooling Towel</x:v>
      </x:c>
      <x:c r="F617" t="str">
        <x:v>Amazon Marketplace</x:v>
      </x:c>
      <x:c r="G617" t="str">
        <x:v>Marketplace Consumer</x:v>
      </x:c>
      <x:c r="H617" t="str">
        <x:v>US West</x:v>
      </x:c>
      <x:c r="I617" s="34" t="n">
        <x:v>114.58000000000001</x:v>
      </x:c>
      <x:c r="J617" s="38" t="n">
        <x:v>4.3431549</x:v>
      </x:c>
      <x:c r="K617" s="38" t="n">
        <x:v>1.1218814249999998</x:v>
      </x:c>
      <x:c r="L617" s="28" t="n">
        <x:v>0.25831024930747915</x:v>
      </x:c>
    </x:row>
    <x:row r="618">
      <x:c r="A618" s="32" t="n">
        <x:v>45870</x:v>
      </x:c>
      <x:c r="B618" t="str">
        <x:v>Aug 2025</x:v>
      </x:c>
      <x:c r="C618" t="str">
        <x:v>Actual</x:v>
      </x:c>
      <x:c r="D618" t="str">
        <x:v>DB-104</x:v>
      </x:c>
      <x:c r="E618" t="str">
        <x:v>SunNest Cooling Towel</x:v>
      </x:c>
      <x:c r="F618" t="str">
        <x:v>Amazon Marketplace</x:v>
      </x:c>
      <x:c r="G618" t="str">
        <x:v>Marketplace Consumer</x:v>
      </x:c>
      <x:c r="H618" t="str">
        <x:v>US Central</x:v>
      </x:c>
      <x:c r="I618" s="34" t="n">
        <x:v>80.88</x:v>
      </x:c>
      <x:c r="J618" s="38" t="n">
        <x:v>3.0657563999999997</x:v>
      </x:c>
      <x:c r="K618" s="38" t="n">
        <x:v>0.7919162999999998</x:v>
      </x:c>
      <x:c r="L618" s="28" t="n">
        <x:v>0.2583102493074792</x:v>
      </x:c>
    </x:row>
    <x:row r="619">
      <x:c r="A619" s="32" t="n">
        <x:v>45870</x:v>
      </x:c>
      <x:c r="B619" t="str">
        <x:v>Aug 2025</x:v>
      </x:c>
      <x:c r="C619" t="str">
        <x:v>Actual</x:v>
      </x:c>
      <x:c r="D619" t="str">
        <x:v>DB-104</x:v>
      </x:c>
      <x:c r="E619" t="str">
        <x:v>SunNest Cooling Towel</x:v>
      </x:c>
      <x:c r="F619" t="str">
        <x:v>Amazon Marketplace</x:v>
      </x:c>
      <x:c r="G619" t="str">
        <x:v>Marketplace Consumer</x:v>
      </x:c>
      <x:c r="H619" t="str">
        <x:v>US East</x:v>
      </x:c>
      <x:c r="I619" s="34" t="n">
        <x:v>107.84</x:v>
      </x:c>
      <x:c r="J619" s="38" t="n">
        <x:v>4.0876752</x:v>
      </x:c>
      <x:c r="K619" s="38" t="n">
        <x:v>1.0558883999999997</x:v>
      </x:c>
      <x:c r="L619" s="28" t="n">
        <x:v>0.2583102493074792</x:v>
      </x:c>
    </x:row>
    <x:row r="620">
      <x:c r="A620" s="32" t="n">
        <x:v>45870</x:v>
      </x:c>
      <x:c r="B620" t="str">
        <x:v>Aug 2025</x:v>
      </x:c>
      <x:c r="C620" t="str">
        <x:v>Actual</x:v>
      </x:c>
      <x:c r="D620" t="str">
        <x:v>DB-104</x:v>
      </x:c>
      <x:c r="E620" t="str">
        <x:v>SunNest Cooling Towel</x:v>
      </x:c>
      <x:c r="F620" t="str">
        <x:v>Amazon Marketplace</x:v>
      </x:c>
      <x:c r="G620" t="str">
        <x:v>Marketplace Consumer</x:v>
      </x:c>
      <x:c r="H620" t="str">
        <x:v>Canada</x:v>
      </x:c>
      <x:c r="I620" s="34" t="n">
        <x:v>33.7</x:v>
      </x:c>
      <x:c r="J620" s="38" t="n">
        <x:v>1.2773985</x:v>
      </x:c>
      <x:c r="K620" s="38" t="n">
        <x:v>0.32996512499999997</x:v>
      </x:c>
      <x:c r="L620" s="28" t="n">
        <x:v>0.2583102493074792</x:v>
      </x:c>
    </x:row>
    <x:row r="621">
      <x:c r="A621" s="32" t="n">
        <x:v>45870</x:v>
      </x:c>
      <x:c r="B621" t="str">
        <x:v>Aug 2025</x:v>
      </x:c>
      <x:c r="C621" t="str">
        <x:v>Actual</x:v>
      </x:c>
      <x:c r="D621" t="str">
        <x:v>DB-104</x:v>
      </x:c>
      <x:c r="E621" t="str">
        <x:v>SunNest Cooling Towel</x:v>
      </x:c>
      <x:c r="F621" t="str">
        <x:v>Wholesale</x:v>
      </x:c>
      <x:c r="G621" t="str">
        <x:v>Retailer</x:v>
      </x:c>
      <x:c r="H621" t="str">
        <x:v>US West</x:v>
      </x:c>
      <x:c r="I621" s="34" t="n">
        <x:v>31.96</x:v>
      </x:c>
      <x:c r="J621" s="38" t="n">
        <x:v>0.8288826000000001</x:v>
      </x:c>
      <x:c r="K621" s="38" t="n">
        <x:v>0.24631572000000004</x:v>
      </x:c>
      <x:c r="L621" s="28" t="n">
        <x:v>0.297165991902834</x:v>
      </x:c>
    </x:row>
    <x:row r="622">
      <x:c r="A622" s="32" t="n">
        <x:v>45870</x:v>
      </x:c>
      <x:c r="B622" t="str">
        <x:v>Aug 2025</x:v>
      </x:c>
      <x:c r="C622" t="str">
        <x:v>Actual</x:v>
      </x:c>
      <x:c r="D622" t="str">
        <x:v>DB-104</x:v>
      </x:c>
      <x:c r="E622" t="str">
        <x:v>SunNest Cooling Towel</x:v>
      </x:c>
      <x:c r="F622" t="str">
        <x:v>Wholesale</x:v>
      </x:c>
      <x:c r="G622" t="str">
        <x:v>Retailer</x:v>
      </x:c>
      <x:c r="H622" t="str">
        <x:v>US Central</x:v>
      </x:c>
      <x:c r="I622" s="34" t="n">
        <x:v>22.56</x:v>
      </x:c>
      <x:c r="J622" s="38" t="n">
        <x:v>0.5850936000000001</x:v>
      </x:c>
      <x:c r="K622" s="38" t="n">
        <x:v>0.17386992</x:v>
      </x:c>
      <x:c r="L622" s="28" t="n">
        <x:v>0.297165991902834</x:v>
      </x:c>
    </x:row>
    <x:row r="623">
      <x:c r="A623" s="32" t="n">
        <x:v>45870</x:v>
      </x:c>
      <x:c r="B623" t="str">
        <x:v>Aug 2025</x:v>
      </x:c>
      <x:c r="C623" t="str">
        <x:v>Actual</x:v>
      </x:c>
      <x:c r="D623" t="str">
        <x:v>DB-104</x:v>
      </x:c>
      <x:c r="E623" t="str">
        <x:v>SunNest Cooling Towel</x:v>
      </x:c>
      <x:c r="F623" t="str">
        <x:v>Wholesale</x:v>
      </x:c>
      <x:c r="G623" t="str">
        <x:v>Retailer</x:v>
      </x:c>
      <x:c r="H623" t="str">
        <x:v>US East</x:v>
      </x:c>
      <x:c r="I623" s="34" t="n">
        <x:v>30.080000000000002</x:v>
      </x:c>
      <x:c r="J623" s="38" t="n">
        <x:v>0.7801248000000002</x:v>
      </x:c>
      <x:c r="K623" s="38" t="n">
        <x:v>0.23182656000000001</x:v>
      </x:c>
      <x:c r="L623" s="28" t="n">
        <x:v>0.29716599190283394</x:v>
      </x:c>
    </x:row>
    <x:row r="624">
      <x:c r="A624" s="32" t="n">
        <x:v>45870</x:v>
      </x:c>
      <x:c r="B624" t="str">
        <x:v>Aug 2025</x:v>
      </x:c>
      <x:c r="C624" t="str">
        <x:v>Actual</x:v>
      </x:c>
      <x:c r="D624" t="str">
        <x:v>DB-104</x:v>
      </x:c>
      <x:c r="E624" t="str">
        <x:v>SunNest Cooling Towel</x:v>
      </x:c>
      <x:c r="F624" t="str">
        <x:v>Wholesale</x:v>
      </x:c>
      <x:c r="G624" t="str">
        <x:v>Retailer</x:v>
      </x:c>
      <x:c r="H624" t="str">
        <x:v>Canada</x:v>
      </x:c>
      <x:c r="I624" s="34" t="n">
        <x:v>9.4</x:v>
      </x:c>
      <x:c r="J624" s="38" t="n">
        <x:v>0.24378900000000003</x:v>
      </x:c>
      <x:c r="K624" s="38" t="n">
        <x:v>0.0724458</x:v>
      </x:c>
      <x:c r="L624" s="28" t="n">
        <x:v>0.297165991902834</x:v>
      </x:c>
    </x:row>
    <x:row r="625">
      <x:c r="A625" s="32" t="n">
        <x:v>45870</x:v>
      </x:c>
      <x:c r="B625" t="str">
        <x:v>Aug 2025</x:v>
      </x:c>
      <x:c r="C625" t="str">
        <x:v>Actual</x:v>
      </x:c>
      <x:c r="D625" t="str">
        <x:v>DB-104</x:v>
      </x:c>
      <x:c r="E625" t="str">
        <x:v>SunNest Cooling Towel</x:v>
      </x:c>
      <x:c r="F625" t="str">
        <x:v>TikTok Shop</x:v>
      </x:c>
      <x:c r="G625" t="str">
        <x:v>Social Commerce</x:v>
      </x:c>
      <x:c r="H625" t="str">
        <x:v>US West</x:v>
      </x:c>
      <x:c r="I625" s="34" t="n">
        <x:v>48.96</x:v>
      </x:c>
      <x:c r="J625" s="38" t="n">
        <x:v>1.71908352</x:v>
      </x:c>
      <x:c r="K625" s="38" t="n">
        <x:v>0.49249020672000005</x:v>
      </x:c>
      <x:c r="L625" s="28" t="n">
        <x:v>0.2864841649578492</x:v>
      </x:c>
    </x:row>
    <x:row r="626">
      <x:c r="A626" s="32" t="n">
        <x:v>45870</x:v>
      </x:c>
      <x:c r="B626" t="str">
        <x:v>Aug 2025</x:v>
      </x:c>
      <x:c r="C626" t="str">
        <x:v>Actual</x:v>
      </x:c>
      <x:c r="D626" t="str">
        <x:v>DB-104</x:v>
      </x:c>
      <x:c r="E626" t="str">
        <x:v>SunNest Cooling Towel</x:v>
      </x:c>
      <x:c r="F626" t="str">
        <x:v>TikTok Shop</x:v>
      </x:c>
      <x:c r="G626" t="str">
        <x:v>Social Commerce</x:v>
      </x:c>
      <x:c r="H626" t="str">
        <x:v>US Central</x:v>
      </x:c>
      <x:c r="I626" s="34" t="n">
        <x:v>34.56</x:v>
      </x:c>
      <x:c r="J626" s="38" t="n">
        <x:v>1.21347072</x:v>
      </x:c>
      <x:c r="K626" s="38" t="n">
        <x:v>0.34764014592</x:v>
      </x:c>
      <x:c r="L626" s="28" t="n">
        <x:v>0.2864841649578492</x:v>
      </x:c>
    </x:row>
    <x:row r="627">
      <x:c r="A627" s="32" t="n">
        <x:v>45870</x:v>
      </x:c>
      <x:c r="B627" t="str">
        <x:v>Aug 2025</x:v>
      </x:c>
      <x:c r="C627" t="str">
        <x:v>Actual</x:v>
      </x:c>
      <x:c r="D627" t="str">
        <x:v>DB-104</x:v>
      </x:c>
      <x:c r="E627" t="str">
        <x:v>SunNest Cooling Towel</x:v>
      </x:c>
      <x:c r="F627" t="str">
        <x:v>TikTok Shop</x:v>
      </x:c>
      <x:c r="G627" t="str">
        <x:v>Social Commerce</x:v>
      </x:c>
      <x:c r="H627" t="str">
        <x:v>US East</x:v>
      </x:c>
      <x:c r="I627" s="34" t="n">
        <x:v>46.08</x:v>
      </x:c>
      <x:c r="J627" s="38" t="n">
        <x:v>1.61796096</x:v>
      </x:c>
      <x:c r="K627" s="38" t="n">
        <x:v>0.46352019456000004</x:v>
      </x:c>
      <x:c r="L627" s="28" t="n">
        <x:v>0.2864841649578492</x:v>
      </x:c>
    </x:row>
    <x:row r="628">
      <x:c r="A628" s="32" t="n">
        <x:v>45870</x:v>
      </x:c>
      <x:c r="B628" t="str">
        <x:v>Aug 2025</x:v>
      </x:c>
      <x:c r="C628" t="str">
        <x:v>Actual</x:v>
      </x:c>
      <x:c r="D628" t="str">
        <x:v>DB-104</x:v>
      </x:c>
      <x:c r="E628" t="str">
        <x:v>SunNest Cooling Towel</x:v>
      </x:c>
      <x:c r="F628" t="str">
        <x:v>TikTok Shop</x:v>
      </x:c>
      <x:c r="G628" t="str">
        <x:v>Social Commerce</x:v>
      </x:c>
      <x:c r="H628" t="str">
        <x:v>Canada</x:v>
      </x:c>
      <x:c r="I628" s="34" t="n">
        <x:v>14.4</x:v>
      </x:c>
      <x:c r="J628" s="38" t="n">
        <x:v>0.5056128000000001</x:v>
      </x:c>
      <x:c r="K628" s="38" t="n">
        <x:v>0.1448500608</x:v>
      </x:c>
      <x:c r="L628" s="28" t="n">
        <x:v>0.2864841649578492</x:v>
      </x:c>
    </x:row>
    <x:row r="629">
      <x:c r="A629" s="32" t="n">
        <x:v>45870</x:v>
      </x:c>
      <x:c r="B629" t="str">
        <x:v>Aug 2025</x:v>
      </x:c>
      <x:c r="C629" t="str">
        <x:v>Actual</x:v>
      </x:c>
      <x:c r="D629" t="str">
        <x:v>DB-105</x:v>
      </x:c>
      <x:c r="E629" t="str">
        <x:v>DreamFuel Refill Pack</x:v>
      </x:c>
      <x:c r="F629" t="str">
        <x:v>Shopify DTC</x:v>
      </x:c>
      <x:c r="G629" t="str">
        <x:v>Consumer</x:v>
      </x:c>
      <x:c r="H629" t="str">
        <x:v>US West</x:v>
      </x:c>
      <x:c r="I629" s="34" t="n">
        <x:v>204.00000000000003</x:v>
      </x:c>
      <x:c r="J629" s="38" t="n">
        <x:v>10.2998784</x:v>
      </x:c>
      <x:c r="K629" s="38" t="n">
        <x:v>5.0187675264000005</x:v>
      </x:c>
      <x:c r="L629" s="28" t="n">
        <x:v>0.48726473570794776</x:v>
      </x:c>
    </x:row>
    <x:row r="630">
      <x:c r="A630" s="32" t="n">
        <x:v>45870</x:v>
      </x:c>
      <x:c r="B630" t="str">
        <x:v>Aug 2025</x:v>
      </x:c>
      <x:c r="C630" t="str">
        <x:v>Actual</x:v>
      </x:c>
      <x:c r="D630" t="str">
        <x:v>DB-105</x:v>
      </x:c>
      <x:c r="E630" t="str">
        <x:v>DreamFuel Refill Pack</x:v>
      </x:c>
      <x:c r="F630" t="str">
        <x:v>Shopify DTC</x:v>
      </x:c>
      <x:c r="G630" t="str">
        <x:v>Consumer</x:v>
      </x:c>
      <x:c r="H630" t="str">
        <x:v>US Central</x:v>
      </x:c>
      <x:c r="I630" s="34" t="n">
        <x:v>144</x:v>
      </x:c>
      <x:c r="J630" s="38" t="n">
        <x:v>7.270502400000001</x:v>
      </x:c>
      <x:c r="K630" s="38" t="n">
        <x:v>3.5426594304</x:v>
      </x:c>
      <x:c r="L630" s="28" t="n">
        <x:v>0.48726473570794776</x:v>
      </x:c>
    </x:row>
    <x:row r="631">
      <x:c r="A631" s="32" t="n">
        <x:v>45870</x:v>
      </x:c>
      <x:c r="B631" t="str">
        <x:v>Aug 2025</x:v>
      </x:c>
      <x:c r="C631" t="str">
        <x:v>Actual</x:v>
      </x:c>
      <x:c r="D631" t="str">
        <x:v>DB-105</x:v>
      </x:c>
      <x:c r="E631" t="str">
        <x:v>DreamFuel Refill Pack</x:v>
      </x:c>
      <x:c r="F631" t="str">
        <x:v>Shopify DTC</x:v>
      </x:c>
      <x:c r="G631" t="str">
        <x:v>Consumer</x:v>
      </x:c>
      <x:c r="H631" t="str">
        <x:v>US East</x:v>
      </x:c>
      <x:c r="I631" s="34" t="n">
        <x:v>192</x:v>
      </x:c>
      <x:c r="J631" s="38" t="n">
        <x:v>9.694003200000001</x:v>
      </x:c>
      <x:c r="K631" s="38" t="n">
        <x:v>4.7235459072</x:v>
      </x:c>
      <x:c r="L631" s="28" t="n">
        <x:v>0.48726473570794776</x:v>
      </x:c>
    </x:row>
    <x:row r="632">
      <x:c r="A632" s="32" t="n">
        <x:v>45870</x:v>
      </x:c>
      <x:c r="B632" t="str">
        <x:v>Aug 2025</x:v>
      </x:c>
      <x:c r="C632" t="str">
        <x:v>Actual</x:v>
      </x:c>
      <x:c r="D632" t="str">
        <x:v>DB-105</x:v>
      </x:c>
      <x:c r="E632" t="str">
        <x:v>DreamFuel Refill Pack</x:v>
      </x:c>
      <x:c r="F632" t="str">
        <x:v>Shopify DTC</x:v>
      </x:c>
      <x:c r="G632" t="str">
        <x:v>Consumer</x:v>
      </x:c>
      <x:c r="H632" t="str">
        <x:v>Canada</x:v>
      </x:c>
      <x:c r="I632" s="34" t="n">
        <x:v>60</x:v>
      </x:c>
      <x:c r="J632" s="38" t="n">
        <x:v>3.0293760000000005</x:v>
      </x:c>
      <x:c r="K632" s="38" t="n">
        <x:v>1.4761080960000001</x:v>
      </x:c>
      <x:c r="L632" s="28" t="n">
        <x:v>0.48726473570794776</x:v>
      </x:c>
    </x:row>
    <x:row r="633">
      <x:c r="A633" s="32" t="n">
        <x:v>45870</x:v>
      </x:c>
      <x:c r="B633" t="str">
        <x:v>Aug 2025</x:v>
      </x:c>
      <x:c r="C633" t="str">
        <x:v>Actual</x:v>
      </x:c>
      <x:c r="D633" t="str">
        <x:v>DB-105</x:v>
      </x:c>
      <x:c r="E633" t="str">
        <x:v>DreamFuel Refill Pack</x:v>
      </x:c>
      <x:c r="F633" t="str">
        <x:v>Amazon Marketplace</x:v>
      </x:c>
      <x:c r="G633" t="str">
        <x:v>Marketplace Consumer</x:v>
      </x:c>
      <x:c r="H633" t="str">
        <x:v>US West</x:v>
      </x:c>
      <x:c r="I633" s="34" t="n">
        <x:v>120.36000000000001</x:v>
      </x:c>
      <x:c r="J633" s="38" t="n">
        <x:v>6.27508896</x:v>
      </x:c>
      <x:c r="K633" s="38" t="n">
        <x:v>2.2076431199999993</x:v>
      </x:c>
      <x:c r="L633" s="28" t="n">
        <x:v>0.35181064907165865</x:v>
      </x:c>
    </x:row>
    <x:row r="634">
      <x:c r="A634" s="32" t="n">
        <x:v>45870</x:v>
      </x:c>
      <x:c r="B634" t="str">
        <x:v>Aug 2025</x:v>
      </x:c>
      <x:c r="C634" t="str">
        <x:v>Actual</x:v>
      </x:c>
      <x:c r="D634" t="str">
        <x:v>DB-105</x:v>
      </x:c>
      <x:c r="E634" t="str">
        <x:v>DreamFuel Refill Pack</x:v>
      </x:c>
      <x:c r="F634" t="str">
        <x:v>Amazon Marketplace</x:v>
      </x:c>
      <x:c r="G634" t="str">
        <x:v>Marketplace Consumer</x:v>
      </x:c>
      <x:c r="H634" t="str">
        <x:v>US Central</x:v>
      </x:c>
      <x:c r="I634" s="34" t="n">
        <x:v>84.96</x:v>
      </x:c>
      <x:c r="J634" s="38" t="n">
        <x:v>4.429474559999999</x:v>
      </x:c>
      <x:c r="K634" s="38" t="n">
        <x:v>1.5583363199999993</x:v>
      </x:c>
      <x:c r="L634" s="28" t="n">
        <x:v>0.35181064907165865</x:v>
      </x:c>
    </x:row>
    <x:row r="635">
      <x:c r="A635" s="32" t="n">
        <x:v>45870</x:v>
      </x:c>
      <x:c r="B635" t="str">
        <x:v>Aug 2025</x:v>
      </x:c>
      <x:c r="C635" t="str">
        <x:v>Actual</x:v>
      </x:c>
      <x:c r="D635" t="str">
        <x:v>DB-105</x:v>
      </x:c>
      <x:c r="E635" t="str">
        <x:v>DreamFuel Refill Pack</x:v>
      </x:c>
      <x:c r="F635" t="str">
        <x:v>Amazon Marketplace</x:v>
      </x:c>
      <x:c r="G635" t="str">
        <x:v>Marketplace Consumer</x:v>
      </x:c>
      <x:c r="H635" t="str">
        <x:v>US East</x:v>
      </x:c>
      <x:c r="I635" s="34" t="n">
        <x:v>113.28</x:v>
      </x:c>
      <x:c r="J635" s="38" t="n">
        <x:v>5.90596608</x:v>
      </x:c>
      <x:c r="K635" s="38" t="n">
        <x:v>2.0777817599999993</x:v>
      </x:c>
      <x:c r="L635" s="28" t="n">
        <x:v>0.3518106490716586</x:v>
      </x:c>
    </x:row>
    <x:row r="636">
      <x:c r="A636" s="32" t="n">
        <x:v>45870</x:v>
      </x:c>
      <x:c r="B636" t="str">
        <x:v>Aug 2025</x:v>
      </x:c>
      <x:c r="C636" t="str">
        <x:v>Actual</x:v>
      </x:c>
      <x:c r="D636" t="str">
        <x:v>DB-105</x:v>
      </x:c>
      <x:c r="E636" t="str">
        <x:v>DreamFuel Refill Pack</x:v>
      </x:c>
      <x:c r="F636" t="str">
        <x:v>Amazon Marketplace</x:v>
      </x:c>
      <x:c r="G636" t="str">
        <x:v>Marketplace Consumer</x:v>
      </x:c>
      <x:c r="H636" t="str">
        <x:v>Canada</x:v>
      </x:c>
      <x:c r="I636" s="34" t="n">
        <x:v>35.4</x:v>
      </x:c>
      <x:c r="J636" s="38" t="n">
        <x:v>1.8456143999999999</x:v>
      </x:c>
      <x:c r="K636" s="38" t="n">
        <x:v>0.6493067999999997</x:v>
      </x:c>
      <x:c r="L636" s="28" t="n">
        <x:v>0.3518106490716586</x:v>
      </x:c>
    </x:row>
    <x:row r="637">
      <x:c r="A637" s="32" t="n">
        <x:v>45870</x:v>
      </x:c>
      <x:c r="B637" t="str">
        <x:v>Aug 2025</x:v>
      </x:c>
      <x:c r="C637" t="str">
        <x:v>Actual</x:v>
      </x:c>
      <x:c r="D637" t="str">
        <x:v>DB-105</x:v>
      </x:c>
      <x:c r="E637" t="str">
        <x:v>DreamFuel Refill Pack</x:v>
      </x:c>
      <x:c r="F637" t="str">
        <x:v>Wholesale</x:v>
      </x:c>
      <x:c r="G637" t="str">
        <x:v>Retailer</x:v>
      </x:c>
      <x:c r="H637" t="str">
        <x:v>US West</x:v>
      </x:c>
      <x:c r="I637" s="34" t="n">
        <x:v>34</x:v>
      </x:c>
      <x:c r="J637" s="38" t="n">
        <x:v>1.212848</x:v>
      </x:c>
      <x:c r="K637" s="38" t="n">
        <x:v>0.47254559999999995</x:v>
      </x:c>
      <x:c r="L637" s="28" t="n">
        <x:v>0.38961650594303654</x:v>
      </x:c>
    </x:row>
    <x:row r="638">
      <x:c r="A638" s="32" t="n">
        <x:v>45870</x:v>
      </x:c>
      <x:c r="B638" t="str">
        <x:v>Aug 2025</x:v>
      </x:c>
      <x:c r="C638" t="str">
        <x:v>Actual</x:v>
      </x:c>
      <x:c r="D638" t="str">
        <x:v>DB-105</x:v>
      </x:c>
      <x:c r="E638" t="str">
        <x:v>DreamFuel Refill Pack</x:v>
      </x:c>
      <x:c r="F638" t="str">
        <x:v>Wholesale</x:v>
      </x:c>
      <x:c r="G638" t="str">
        <x:v>Retailer</x:v>
      </x:c>
      <x:c r="H638" t="str">
        <x:v>US Central</x:v>
      </x:c>
      <x:c r="I638" s="34" t="n">
        <x:v>24</x:v>
      </x:c>
      <x:c r="J638" s="38" t="n">
        <x:v>0.8561279999999999</x:v>
      </x:c>
      <x:c r="K638" s="38" t="n">
        <x:v>0.3335615999999999</x:v>
      </x:c>
      <x:c r="L638" s="28" t="n">
        <x:v>0.3896165059430365</x:v>
      </x:c>
    </x:row>
    <x:row r="639">
      <x:c r="A639" s="32" t="n">
        <x:v>45870</x:v>
      </x:c>
      <x:c r="B639" t="str">
        <x:v>Aug 2025</x:v>
      </x:c>
      <x:c r="C639" t="str">
        <x:v>Actual</x:v>
      </x:c>
      <x:c r="D639" t="str">
        <x:v>DB-105</x:v>
      </x:c>
      <x:c r="E639" t="str">
        <x:v>DreamFuel Refill Pack</x:v>
      </x:c>
      <x:c r="F639" t="str">
        <x:v>Wholesale</x:v>
      </x:c>
      <x:c r="G639" t="str">
        <x:v>Retailer</x:v>
      </x:c>
      <x:c r="H639" t="str">
        <x:v>US East</x:v>
      </x:c>
      <x:c r="I639" s="34" t="n">
        <x:v>32</x:v>
      </x:c>
      <x:c r="J639" s="38" t="n">
        <x:v>1.1415039999999999</x:v>
      </x:c>
      <x:c r="K639" s="38" t="n">
        <x:v>0.44474879999999994</x:v>
      </x:c>
      <x:c r="L639" s="28" t="n">
        <x:v>0.38961650594303654</x:v>
      </x:c>
    </x:row>
    <x:row r="640">
      <x:c r="A640" s="32" t="n">
        <x:v>45870</x:v>
      </x:c>
      <x:c r="B640" t="str">
        <x:v>Aug 2025</x:v>
      </x:c>
      <x:c r="C640" t="str">
        <x:v>Actual</x:v>
      </x:c>
      <x:c r="D640" t="str">
        <x:v>DB-105</x:v>
      </x:c>
      <x:c r="E640" t="str">
        <x:v>DreamFuel Refill Pack</x:v>
      </x:c>
      <x:c r="F640" t="str">
        <x:v>Wholesale</x:v>
      </x:c>
      <x:c r="G640" t="str">
        <x:v>Retailer</x:v>
      </x:c>
      <x:c r="H640" t="str">
        <x:v>Canada</x:v>
      </x:c>
      <x:c r="I640" s="34" t="n">
        <x:v>10</x:v>
      </x:c>
      <x:c r="J640" s="38" t="n">
        <x:v>0.35672</x:v>
      </x:c>
      <x:c r="K640" s="38" t="n">
        <x:v>0.13898399999999997</x:v>
      </x:c>
      <x:c r="L640" s="28" t="n">
        <x:v>0.3896165059430365</x:v>
      </x:c>
    </x:row>
    <x:row r="641">
      <x:c r="A641" s="32" t="n">
        <x:v>45870</x:v>
      </x:c>
      <x:c r="B641" t="str">
        <x:v>Aug 2025</x:v>
      </x:c>
      <x:c r="C641" t="str">
        <x:v>Actual</x:v>
      </x:c>
      <x:c r="D641" t="str">
        <x:v>DB-105</x:v>
      </x:c>
      <x:c r="E641" t="str">
        <x:v>DreamFuel Refill Pack</x:v>
      </x:c>
      <x:c r="F641" t="str">
        <x:v>TikTok Shop</x:v>
      </x:c>
      <x:c r="G641" t="str">
        <x:v>Social Commerce</x:v>
      </x:c>
      <x:c r="H641" t="str">
        <x:v>US West</x:v>
      </x:c>
      <x:c r="I641" s="34" t="n">
        <x:v>51.68000000000001</x:v>
      </x:c>
      <x:c r="J641" s="38" t="n">
        <x:v>2.495854592</x:v>
      </x:c>
      <x:c r="K641" s="38" t="n">
        <x:v>0.9572478853120002</x:v>
      </x:c>
      <x:c r="L641" s="28" t="n">
        <x:v>0.38353511794328127</x:v>
      </x:c>
    </x:row>
    <x:row r="642">
      <x:c r="A642" s="32" t="n">
        <x:v>45870</x:v>
      </x:c>
      <x:c r="B642" t="str">
        <x:v>Aug 2025</x:v>
      </x:c>
      <x:c r="C642" t="str">
        <x:v>Actual</x:v>
      </x:c>
      <x:c r="D642" t="str">
        <x:v>DB-105</x:v>
      </x:c>
      <x:c r="E642" t="str">
        <x:v>DreamFuel Refill Pack</x:v>
      </x:c>
      <x:c r="F642" t="str">
        <x:v>TikTok Shop</x:v>
      </x:c>
      <x:c r="G642" t="str">
        <x:v>Social Commerce</x:v>
      </x:c>
      <x:c r="H642" t="str">
        <x:v>US Central</x:v>
      </x:c>
      <x:c r="I642" s="34" t="n">
        <x:v>36.48</x:v>
      </x:c>
      <x:c r="J642" s="38" t="n">
        <x:v>1.761779712</x:v>
      </x:c>
      <x:c r="K642" s="38" t="n">
        <x:v>0.6757043896320001</x:v>
      </x:c>
      <x:c r="L642" s="28" t="n">
        <x:v>0.38353511794328127</x:v>
      </x:c>
    </x:row>
    <x:row r="643">
      <x:c r="A643" s="32" t="n">
        <x:v>45870</x:v>
      </x:c>
      <x:c r="B643" t="str">
        <x:v>Aug 2025</x:v>
      </x:c>
      <x:c r="C643" t="str">
        <x:v>Actual</x:v>
      </x:c>
      <x:c r="D643" t="str">
        <x:v>DB-105</x:v>
      </x:c>
      <x:c r="E643" t="str">
        <x:v>DreamFuel Refill Pack</x:v>
      </x:c>
      <x:c r="F643" t="str">
        <x:v>TikTok Shop</x:v>
      </x:c>
      <x:c r="G643" t="str">
        <x:v>Social Commerce</x:v>
      </x:c>
      <x:c r="H643" t="str">
        <x:v>US East</x:v>
      </x:c>
      <x:c r="I643" s="34" t="n">
        <x:v>48.64</x:v>
      </x:c>
      <x:c r="J643" s="38" t="n">
        <x:v>2.349039616</x:v>
      </x:c>
      <x:c r="K643" s="38" t="n">
        <x:v>0.9009391861760001</x:v>
      </x:c>
      <x:c r="L643" s="28" t="n">
        <x:v>0.3835351179432812</x:v>
      </x:c>
    </x:row>
    <x:row r="644">
      <x:c r="A644" s="32" t="n">
        <x:v>45870</x:v>
      </x:c>
      <x:c r="B644" t="str">
        <x:v>Aug 2025</x:v>
      </x:c>
      <x:c r="C644" t="str">
        <x:v>Actual</x:v>
      </x:c>
      <x:c r="D644" t="str">
        <x:v>DB-105</x:v>
      </x:c>
      <x:c r="E644" t="str">
        <x:v>DreamFuel Refill Pack</x:v>
      </x:c>
      <x:c r="F644" t="str">
        <x:v>TikTok Shop</x:v>
      </x:c>
      <x:c r="G644" t="str">
        <x:v>Social Commerce</x:v>
      </x:c>
      <x:c r="H644" t="str">
        <x:v>Canada</x:v>
      </x:c>
      <x:c r="I644" s="34" t="n">
        <x:v>15.200000000000001</x:v>
      </x:c>
      <x:c r="J644" s="38" t="n">
        <x:v>0.7340748800000001</x:v>
      </x:c>
      <x:c r="K644" s="38" t="n">
        <x:v>0.28154349568000003</x:v>
      </x:c>
      <x:c r="L644" s="28" t="n">
        <x:v>0.3835351179432812</x:v>
      </x:c>
    </x:row>
    <x:row r="645">
      <x:c r="A645" s="32" t="n">
        <x:v>45901</x:v>
      </x:c>
      <x:c r="B645" t="str">
        <x:v>Sep 2025</x:v>
      </x:c>
      <x:c r="C645" t="str">
        <x:v>Actual</x:v>
      </x:c>
      <x:c r="D645" t="str">
        <x:v>DB-101</x:v>
      </x:c>
      <x:c r="E645" t="str">
        <x:v>AeroSip Bottle</x:v>
      </x:c>
      <x:c r="F645" t="str">
        <x:v>Shopify DTC</x:v>
      </x:c>
      <x:c r="G645" t="str">
        <x:v>Consumer</x:v>
      </x:c>
      <x:c r="H645" t="str">
        <x:v>US West</x:v>
      </x:c>
      <x:c r="I645" s="34" t="n">
        <x:v>329.46000000000004</x:v>
      </x:c>
      <x:c r="J645" s="38" t="n">
        <x:v>8.394443124</x:v>
      </x:c>
      <x:c r="K645" s="38" t="n">
        <x:v>2.6701077134040005</x:v>
      </x:c>
      <x:c r="L645" s="28" t="n">
        <x:v>0.31808038650831655</x:v>
      </x:c>
    </x:row>
    <x:row r="646">
      <x:c r="A646" s="32" t="n">
        <x:v>45901</x:v>
      </x:c>
      <x:c r="B646" t="str">
        <x:v>Sep 2025</x:v>
      </x:c>
      <x:c r="C646" t="str">
        <x:v>Actual</x:v>
      </x:c>
      <x:c r="D646" t="str">
        <x:v>DB-101</x:v>
      </x:c>
      <x:c r="E646" t="str">
        <x:v>AeroSip Bottle</x:v>
      </x:c>
      <x:c r="F646" t="str">
        <x:v>Shopify DTC</x:v>
      </x:c>
      <x:c r="G646" t="str">
        <x:v>Consumer</x:v>
      </x:c>
      <x:c r="H646" t="str">
        <x:v>US Central</x:v>
      </x:c>
      <x:c r="I646" s="34" t="n">
        <x:v>232.56</x:v>
      </x:c>
      <x:c r="J646" s="38" t="n">
        <x:v>5.925489263999999</x:v>
      </x:c>
      <x:c r="K646" s="38" t="n">
        <x:v>1.884781915344</x:v>
      </x:c>
      <x:c r="L646" s="28" t="n">
        <x:v>0.31808038650831655</x:v>
      </x:c>
    </x:row>
    <x:row r="647">
      <x:c r="A647" s="32" t="n">
        <x:v>45901</x:v>
      </x:c>
      <x:c r="B647" t="str">
        <x:v>Sep 2025</x:v>
      </x:c>
      <x:c r="C647" t="str">
        <x:v>Actual</x:v>
      </x:c>
      <x:c r="D647" t="str">
        <x:v>DB-101</x:v>
      </x:c>
      <x:c r="E647" t="str">
        <x:v>AeroSip Bottle</x:v>
      </x:c>
      <x:c r="F647" t="str">
        <x:v>Shopify DTC</x:v>
      </x:c>
      <x:c r="G647" t="str">
        <x:v>Consumer</x:v>
      </x:c>
      <x:c r="H647" t="str">
        <x:v>US East</x:v>
      </x:c>
      <x:c r="I647" s="34" t="n">
        <x:v>310.08</x:v>
      </x:c>
      <x:c r="J647" s="38" t="n">
        <x:v>7.900652352</x:v>
      </x:c>
      <x:c r="K647" s="38" t="n">
        <x:v>2.5130425537920003</x:v>
      </x:c>
      <x:c r="L647" s="28" t="n">
        <x:v>0.31808038650831655</x:v>
      </x:c>
    </x:row>
    <x:row r="648">
      <x:c r="A648" s="32" t="n">
        <x:v>45901</x:v>
      </x:c>
      <x:c r="B648" t="str">
        <x:v>Sep 2025</x:v>
      </x:c>
      <x:c r="C648" t="str">
        <x:v>Actual</x:v>
      </x:c>
      <x:c r="D648" t="str">
        <x:v>DB-101</x:v>
      </x:c>
      <x:c r="E648" t="str">
        <x:v>AeroSip Bottle</x:v>
      </x:c>
      <x:c r="F648" t="str">
        <x:v>Shopify DTC</x:v>
      </x:c>
      <x:c r="G648" t="str">
        <x:v>Consumer</x:v>
      </x:c>
      <x:c r="H648" t="str">
        <x:v>Canada</x:v>
      </x:c>
      <x:c r="I648" s="34" t="n">
        <x:v>96.9</x:v>
      </x:c>
      <x:c r="J648" s="38" t="n">
        <x:v>2.46895386</x:v>
      </x:c>
      <x:c r="K648" s="38" t="n">
        <x:v>0.7853257980600001</x:v>
      </x:c>
      <x:c r="L648" s="28" t="n">
        <x:v>0.31808038650831655</x:v>
      </x:c>
    </x:row>
    <x:row r="649">
      <x:c r="A649" s="32" t="n">
        <x:v>45901</x:v>
      </x:c>
      <x:c r="B649" t="str">
        <x:v>Sep 2025</x:v>
      </x:c>
      <x:c r="C649" t="str">
        <x:v>Actual</x:v>
      </x:c>
      <x:c r="D649" t="str">
        <x:v>DB-101</x:v>
      </x:c>
      <x:c r="E649" t="str">
        <x:v>AeroSip Bottle</x:v>
      </x:c>
      <x:c r="F649" t="str">
        <x:v>Amazon Marketplace</x:v>
      </x:c>
      <x:c r="G649" t="str">
        <x:v>Marketplace Consumer</x:v>
      </x:c>
      <x:c r="H649" t="str">
        <x:v>US West</x:v>
      </x:c>
      <x:c r="I649" s="34" t="n">
        <x:v>194.48000000000002</x:v>
      </x:c>
      <x:c r="J649" s="38" t="n">
        <x:v>5.11681742</x:v>
      </x:c>
      <x:c r="K649" s="38" t="n">
        <x:v>0.8124815269999998</x:v>
      </x:c>
      <x:c r="L649" s="28" t="n">
        <x:v>0.15878649955815693</x:v>
      </x:c>
    </x:row>
    <x:row r="650">
      <x:c r="A650" s="32" t="n">
        <x:v>45901</x:v>
      </x:c>
      <x:c r="B650" t="str">
        <x:v>Sep 2025</x:v>
      </x:c>
      <x:c r="C650" t="str">
        <x:v>Actual</x:v>
      </x:c>
      <x:c r="D650" t="str">
        <x:v>DB-101</x:v>
      </x:c>
      <x:c r="E650" t="str">
        <x:v>AeroSip Bottle</x:v>
      </x:c>
      <x:c r="F650" t="str">
        <x:v>Amazon Marketplace</x:v>
      </x:c>
      <x:c r="G650" t="str">
        <x:v>Marketplace Consumer</x:v>
      </x:c>
      <x:c r="H650" t="str">
        <x:v>US Central</x:v>
      </x:c>
      <x:c r="I650" s="34" t="n">
        <x:v>137.28</x:v>
      </x:c>
      <x:c r="J650" s="38" t="n">
        <x:v>3.6118711199999995</x:v>
      </x:c>
      <x:c r="K650" s="38" t="n">
        <x:v>0.5735163719999997</x:v>
      </x:c>
      <x:c r="L650" s="28" t="n">
        <x:v>0.15878649955815693</x:v>
      </x:c>
    </x:row>
    <x:row r="651">
      <x:c r="A651" s="32" t="n">
        <x:v>45901</x:v>
      </x:c>
      <x:c r="B651" t="str">
        <x:v>Sep 2025</x:v>
      </x:c>
      <x:c r="C651" t="str">
        <x:v>Actual</x:v>
      </x:c>
      <x:c r="D651" t="str">
        <x:v>DB-101</x:v>
      </x:c>
      <x:c r="E651" t="str">
        <x:v>AeroSip Bottle</x:v>
      </x:c>
      <x:c r="F651" t="str">
        <x:v>Amazon Marketplace</x:v>
      </x:c>
      <x:c r="G651" t="str">
        <x:v>Marketplace Consumer</x:v>
      </x:c>
      <x:c r="H651" t="str">
        <x:v>US East</x:v>
      </x:c>
      <x:c r="I651" s="34" t="n">
        <x:v>183.04</x:v>
      </x:c>
      <x:c r="J651" s="38" t="n">
        <x:v>4.81582816</x:v>
      </x:c>
      <x:c r="K651" s="38" t="n">
        <x:v>0.7646884959999998</x:v>
      </x:c>
      <x:c r="L651" s="28" t="n">
        <x:v>0.15878649955815696</x:v>
      </x:c>
    </x:row>
    <x:row r="652">
      <x:c r="A652" s="32" t="n">
        <x:v>45901</x:v>
      </x:c>
      <x:c r="B652" t="str">
        <x:v>Sep 2025</x:v>
      </x:c>
      <x:c r="C652" t="str">
        <x:v>Actual</x:v>
      </x:c>
      <x:c r="D652" t="str">
        <x:v>DB-101</x:v>
      </x:c>
      <x:c r="E652" t="str">
        <x:v>AeroSip Bottle</x:v>
      </x:c>
      <x:c r="F652" t="str">
        <x:v>Amazon Marketplace</x:v>
      </x:c>
      <x:c r="G652" t="str">
        <x:v>Marketplace Consumer</x:v>
      </x:c>
      <x:c r="H652" t="str">
        <x:v>Canada</x:v>
      </x:c>
      <x:c r="I652" s="34" t="n">
        <x:v>57.2</x:v>
      </x:c>
      <x:c r="J652" s="38" t="n">
        <x:v>1.5049463</x:v>
      </x:c>
      <x:c r="K652" s="38" t="n">
        <x:v>0.23896515499999993</x:v>
      </x:c>
      <x:c r="L652" s="28" t="n">
        <x:v>0.15878649955815693</x:v>
      </x:c>
    </x:row>
    <x:row r="653">
      <x:c r="A653" s="32" t="n">
        <x:v>45901</x:v>
      </x:c>
      <x:c r="B653" t="str">
        <x:v>Sep 2025</x:v>
      </x:c>
      <x:c r="C653" t="str">
        <x:v>Actual</x:v>
      </x:c>
      <x:c r="D653" t="str">
        <x:v>DB-101</x:v>
      </x:c>
      <x:c r="E653" t="str">
        <x:v>AeroSip Bottle</x:v>
      </x:c>
      <x:c r="F653" t="str">
        <x:v>Wholesale</x:v>
      </x:c>
      <x:c r="G653" t="str">
        <x:v>Retailer</x:v>
      </x:c>
      <x:c r="H653" t="str">
        <x:v>US West</x:v>
      </x:c>
      <x:c r="I653" s="34" t="n">
        <x:v>54.400000000000006</x:v>
      </x:c>
      <x:c r="J653" s="38" t="n">
        <x:v>0.9792952000000004</x:v>
      </x:c>
      <x:c r="K653" s="38" t="n">
        <x:v>0.21845680000000023</x:v>
      </x:c>
      <x:c r="L653" s="28" t="n">
        <x:v>0.22307553432305208</x:v>
      </x:c>
    </x:row>
    <x:row r="654">
      <x:c r="A654" s="32" t="n">
        <x:v>45901</x:v>
      </x:c>
      <x:c r="B654" t="str">
        <x:v>Sep 2025</x:v>
      </x:c>
      <x:c r="C654" t="str">
        <x:v>Actual</x:v>
      </x:c>
      <x:c r="D654" t="str">
        <x:v>DB-101</x:v>
      </x:c>
      <x:c r="E654" t="str">
        <x:v>AeroSip Bottle</x:v>
      </x:c>
      <x:c r="F654" t="str">
        <x:v>Wholesale</x:v>
      </x:c>
      <x:c r="G654" t="str">
        <x:v>Retailer</x:v>
      </x:c>
      <x:c r="H654" t="str">
        <x:v>US Central</x:v>
      </x:c>
      <x:c r="I654" s="34" t="n">
        <x:v>38.4</x:v>
      </x:c>
      <x:c r="J654" s="38" t="n">
        <x:v>0.6912672000000002</x:v>
      </x:c>
      <x:c r="K654" s="38" t="n">
        <x:v>0.15420480000000014</x:v>
      </x:c>
      <x:c r="L654" s="28" t="n">
        <x:v>0.22307553432305208</x:v>
      </x:c>
    </x:row>
    <x:row r="655">
      <x:c r="A655" s="32" t="n">
        <x:v>45901</x:v>
      </x:c>
      <x:c r="B655" t="str">
        <x:v>Sep 2025</x:v>
      </x:c>
      <x:c r="C655" t="str">
        <x:v>Actual</x:v>
      </x:c>
      <x:c r="D655" t="str">
        <x:v>DB-101</x:v>
      </x:c>
      <x:c r="E655" t="str">
        <x:v>AeroSip Bottle</x:v>
      </x:c>
      <x:c r="F655" t="str">
        <x:v>Wholesale</x:v>
      </x:c>
      <x:c r="G655" t="str">
        <x:v>Retailer</x:v>
      </x:c>
      <x:c r="H655" t="str">
        <x:v>US East</x:v>
      </x:c>
      <x:c r="I655" s="34" t="n">
        <x:v>51.2</x:v>
      </x:c>
      <x:c r="J655" s="38" t="n">
        <x:v>0.9216896000000003</x:v>
      </x:c>
      <x:c r="K655" s="38" t="n">
        <x:v>0.20560640000000022</x:v>
      </x:c>
      <x:c r="L655" s="28" t="n">
        <x:v>0.22307553432305208</x:v>
      </x:c>
    </x:row>
    <x:row r="656">
      <x:c r="A656" s="32" t="n">
        <x:v>45901</x:v>
      </x:c>
      <x:c r="B656" t="str">
        <x:v>Sep 2025</x:v>
      </x:c>
      <x:c r="C656" t="str">
        <x:v>Actual</x:v>
      </x:c>
      <x:c r="D656" t="str">
        <x:v>DB-101</x:v>
      </x:c>
      <x:c r="E656" t="str">
        <x:v>AeroSip Bottle</x:v>
      </x:c>
      <x:c r="F656" t="str">
        <x:v>Wholesale</x:v>
      </x:c>
      <x:c r="G656" t="str">
        <x:v>Retailer</x:v>
      </x:c>
      <x:c r="H656" t="str">
        <x:v>Canada</x:v>
      </x:c>
      <x:c r="I656" s="34" t="n">
        <x:v>16</x:v>
      </x:c>
      <x:c r="J656" s="38" t="n">
        <x:v>0.2880280000000001</x:v>
      </x:c>
      <x:c r="K656" s="38" t="n">
        <x:v>0.06425200000000007</x:v>
      </x:c>
      <x:c r="L656" s="28" t="n">
        <x:v>0.22307553432305208</x:v>
      </x:c>
    </x:row>
    <x:row r="657">
      <x:c r="A657" s="32" t="n">
        <x:v>45901</x:v>
      </x:c>
      <x:c r="B657" t="str">
        <x:v>Sep 2025</x:v>
      </x:c>
      <x:c r="C657" t="str">
        <x:v>Actual</x:v>
      </x:c>
      <x:c r="D657" t="str">
        <x:v>DB-101</x:v>
      </x:c>
      <x:c r="E657" t="str">
        <x:v>AeroSip Bottle</x:v>
      </x:c>
      <x:c r="F657" t="str">
        <x:v>TikTok Shop</x:v>
      </x:c>
      <x:c r="G657" t="str">
        <x:v>Social Commerce</x:v>
      </x:c>
      <x:c r="H657" t="str">
        <x:v>US West</x:v>
      </x:c>
      <x:c r="I657" s="34" t="n">
        <x:v>83.30000000000001</x:v>
      </x:c>
      <x:c r="J657" s="38" t="n">
        <x:v>2.03015428</x:v>
      </x:c>
      <x:c r="K657" s="38" t="n">
        <x:v>0.37622674907999987</x:v>
      </x:c>
      <x:c r="L657" s="28" t="n">
        <x:v>0.18531928966501987</x:v>
      </x:c>
    </x:row>
    <x:row r="658">
      <x:c r="A658" s="32" t="n">
        <x:v>45901</x:v>
      </x:c>
      <x:c r="B658" t="str">
        <x:v>Sep 2025</x:v>
      </x:c>
      <x:c r="C658" t="str">
        <x:v>Actual</x:v>
      </x:c>
      <x:c r="D658" t="str">
        <x:v>DB-101</x:v>
      </x:c>
      <x:c r="E658" t="str">
        <x:v>AeroSip Bottle</x:v>
      </x:c>
      <x:c r="F658" t="str">
        <x:v>TikTok Shop</x:v>
      </x:c>
      <x:c r="G658" t="str">
        <x:v>Social Commerce</x:v>
      </x:c>
      <x:c r="H658" t="str">
        <x:v>US Central</x:v>
      </x:c>
      <x:c r="I658" s="34" t="n">
        <x:v>58.8</x:v>
      </x:c>
      <x:c r="J658" s="38" t="n">
        <x:v>1.43305008</x:v>
      </x:c>
      <x:c r="K658" s="38" t="n">
        <x:v>0.26557182287999986</x:v>
      </x:c>
      <x:c r="L658" s="28" t="n">
        <x:v>0.18531928966501987</x:v>
      </x:c>
    </x:row>
    <x:row r="659">
      <x:c r="A659" s="32" t="n">
        <x:v>45901</x:v>
      </x:c>
      <x:c r="B659" t="str">
        <x:v>Sep 2025</x:v>
      </x:c>
      <x:c r="C659" t="str">
        <x:v>Actual</x:v>
      </x:c>
      <x:c r="D659" t="str">
        <x:v>DB-101</x:v>
      </x:c>
      <x:c r="E659" t="str">
        <x:v>AeroSip Bottle</x:v>
      </x:c>
      <x:c r="F659" t="str">
        <x:v>TikTok Shop</x:v>
      </x:c>
      <x:c r="G659" t="str">
        <x:v>Social Commerce</x:v>
      </x:c>
      <x:c r="H659" t="str">
        <x:v>US East</x:v>
      </x:c>
      <x:c r="I659" s="34" t="n">
        <x:v>78.4</x:v>
      </x:c>
      <x:c r="J659" s="38" t="n">
        <x:v>1.91073344</x:v>
      </x:c>
      <x:c r="K659" s="38" t="n">
        <x:v>0.35409576383999986</x:v>
      </x:c>
      <x:c r="L659" s="28" t="n">
        <x:v>0.18531928966501987</x:v>
      </x:c>
    </x:row>
    <x:row r="660">
      <x:c r="A660" s="32" t="n">
        <x:v>45901</x:v>
      </x:c>
      <x:c r="B660" t="str">
        <x:v>Sep 2025</x:v>
      </x:c>
      <x:c r="C660" t="str">
        <x:v>Actual</x:v>
      </x:c>
      <x:c r="D660" t="str">
        <x:v>DB-101</x:v>
      </x:c>
      <x:c r="E660" t="str">
        <x:v>AeroSip Bottle</x:v>
      </x:c>
      <x:c r="F660" t="str">
        <x:v>TikTok Shop</x:v>
      </x:c>
      <x:c r="G660" t="str">
        <x:v>Social Commerce</x:v>
      </x:c>
      <x:c r="H660" t="str">
        <x:v>Canada</x:v>
      </x:c>
      <x:c r="I660" s="34" t="n">
        <x:v>24.5</x:v>
      </x:c>
      <x:c r="J660" s="38" t="n">
        <x:v>0.5971042</x:v>
      </x:c>
      <x:c r="K660" s="38" t="n">
        <x:v>0.11065492619999995</x:v>
      </x:c>
      <x:c r="L660" s="28" t="n">
        <x:v>0.18531928966501987</x:v>
      </x:c>
    </x:row>
    <x:row r="661">
      <x:c r="A661" s="32" t="n">
        <x:v>45901</x:v>
      </x:c>
      <x:c r="B661" t="str">
        <x:v>Sep 2025</x:v>
      </x:c>
      <x:c r="C661" t="str">
        <x:v>Actual</x:v>
      </x:c>
      <x:c r="D661" t="str">
        <x:v>DB-102</x:v>
      </x:c>
      <x:c r="E661" t="str">
        <x:v>GlowPatch Balm</x:v>
      </x:c>
      <x:c r="F661" t="str">
        <x:v>Shopify DTC</x:v>
      </x:c>
      <x:c r="G661" t="str">
        <x:v>Consumer</x:v>
      </x:c>
      <x:c r="H661" t="str">
        <x:v>US West</x:v>
      </x:c>
      <x:c r="I661" s="34" t="n">
        <x:v>330.82000000000005</x:v>
      </x:c>
      <x:c r="J661" s="38" t="n">
        <x:v>5.34141972</x:v>
      </x:c>
      <x:c r="K661" s="38" t="n">
        <x:v>1.4760414281200003</x:v>
      </x:c>
      <x:c r="L661" s="28" t="n">
        <x:v>0.2763387835996532</x:v>
      </x:c>
    </x:row>
    <x:row r="662">
      <x:c r="A662" s="32" t="n">
        <x:v>45901</x:v>
      </x:c>
      <x:c r="B662" t="str">
        <x:v>Sep 2025</x:v>
      </x:c>
      <x:c r="C662" t="str">
        <x:v>Actual</x:v>
      </x:c>
      <x:c r="D662" t="str">
        <x:v>DB-102</x:v>
      </x:c>
      <x:c r="E662" t="str">
        <x:v>GlowPatch Balm</x:v>
      </x:c>
      <x:c r="F662" t="str">
        <x:v>Shopify DTC</x:v>
      </x:c>
      <x:c r="G662" t="str">
        <x:v>Consumer</x:v>
      </x:c>
      <x:c r="H662" t="str">
        <x:v>US Central</x:v>
      </x:c>
      <x:c r="I662" s="34" t="n">
        <x:v>233.51999999999998</x:v>
      </x:c>
      <x:c r="J662" s="38" t="n">
        <x:v>3.7704139199999998</x:v>
      </x:c>
      <x:c r="K662" s="38" t="n">
        <x:v>1.04191159632</x:v>
      </x:c>
      <x:c r="L662" s="28" t="n">
        <x:v>0.2763387835996532</x:v>
      </x:c>
    </x:row>
    <x:row r="663">
      <x:c r="A663" s="32" t="n">
        <x:v>45901</x:v>
      </x:c>
      <x:c r="B663" t="str">
        <x:v>Sep 2025</x:v>
      </x:c>
      <x:c r="C663" t="str">
        <x:v>Actual</x:v>
      </x:c>
      <x:c r="D663" t="str">
        <x:v>DB-102</x:v>
      </x:c>
      <x:c r="E663" t="str">
        <x:v>GlowPatch Balm</x:v>
      </x:c>
      <x:c r="F663" t="str">
        <x:v>Shopify DTC</x:v>
      </x:c>
      <x:c r="G663" t="str">
        <x:v>Consumer</x:v>
      </x:c>
      <x:c r="H663" t="str">
        <x:v>US East</x:v>
      </x:c>
      <x:c r="I663" s="34" t="n">
        <x:v>311.36</x:v>
      </x:c>
      <x:c r="J663" s="38" t="n">
        <x:v>5.027218560000001</x:v>
      </x:c>
      <x:c r="K663" s="38" t="n">
        <x:v>1.3892154617600003</x:v>
      </x:c>
      <x:c r="L663" s="28" t="n">
        <x:v>0.2763387835996532</x:v>
      </x:c>
    </x:row>
    <x:row r="664">
      <x:c r="A664" s="32" t="n">
        <x:v>45901</x:v>
      </x:c>
      <x:c r="B664" t="str">
        <x:v>Sep 2025</x:v>
      </x:c>
      <x:c r="C664" t="str">
        <x:v>Actual</x:v>
      </x:c>
      <x:c r="D664" t="str">
        <x:v>DB-102</x:v>
      </x:c>
      <x:c r="E664" t="str">
        <x:v>GlowPatch Balm</x:v>
      </x:c>
      <x:c r="F664" t="str">
        <x:v>Shopify DTC</x:v>
      </x:c>
      <x:c r="G664" t="str">
        <x:v>Consumer</x:v>
      </x:c>
      <x:c r="H664" t="str">
        <x:v>Canada</x:v>
      </x:c>
      <x:c r="I664" s="34" t="n">
        <x:v>97.30000000000001</x:v>
      </x:c>
      <x:c r="J664" s="38" t="n">
        <x:v>1.5710058</x:v>
      </x:c>
      <x:c r="K664" s="38" t="n">
        <x:v>0.4341298318000001</x:v>
      </x:c>
      <x:c r="L664" s="28" t="n">
        <x:v>0.2763387835996532</x:v>
      </x:c>
    </x:row>
    <x:row r="665">
      <x:c r="A665" s="32" t="n">
        <x:v>45901</x:v>
      </x:c>
      <x:c r="B665" t="str">
        <x:v>Sep 2025</x:v>
      </x:c>
      <x:c r="C665" t="str">
        <x:v>Actual</x:v>
      </x:c>
      <x:c r="D665" t="str">
        <x:v>DB-102</x:v>
      </x:c>
      <x:c r="E665" t="str">
        <x:v>GlowPatch Balm</x:v>
      </x:c>
      <x:c r="F665" t="str">
        <x:v>Amazon Marketplace</x:v>
      </x:c>
      <x:c r="G665" t="str">
        <x:v>Marketplace Consumer</x:v>
      </x:c>
      <x:c r="H665" t="str">
        <x:v>US West</x:v>
      </x:c>
      <x:c r="I665" s="34" t="n">
        <x:v>195.16000000000003</x:v>
      </x:c>
      <x:c r="J665" s="38" t="n">
        <x:v>3.2538051000000006</x:v>
      </x:c>
      <x:c r="K665" s="38" t="n">
        <x:v>0.2743217749999999</x:v>
      </x:c>
      <x:c r="L665" s="28" t="n">
        <x:v>0.084307992202729</x:v>
      </x:c>
    </x:row>
    <x:row r="666">
      <x:c r="A666" s="32" t="n">
        <x:v>45901</x:v>
      </x:c>
      <x:c r="B666" t="str">
        <x:v>Sep 2025</x:v>
      </x:c>
      <x:c r="C666" t="str">
        <x:v>Actual</x:v>
      </x:c>
      <x:c r="D666" t="str">
        <x:v>DB-102</x:v>
      </x:c>
      <x:c r="E666" t="str">
        <x:v>GlowPatch Balm</x:v>
      </x:c>
      <x:c r="F666" t="str">
        <x:v>Amazon Marketplace</x:v>
      </x:c>
      <x:c r="G666" t="str">
        <x:v>Marketplace Consumer</x:v>
      </x:c>
      <x:c r="H666" t="str">
        <x:v>US Central</x:v>
      </x:c>
      <x:c r="I666" s="34" t="n">
        <x:v>137.76</x:v>
      </x:c>
      <x:c r="J666" s="38" t="n">
        <x:v>2.2968036</x:v>
      </x:c>
      <x:c r="K666" s="38" t="n">
        <x:v>0.1936388999999999</x:v>
      </x:c>
      <x:c r="L666" s="28" t="n">
        <x:v>0.084307992202729</x:v>
      </x:c>
    </x:row>
    <x:row r="667">
      <x:c r="A667" s="32" t="n">
        <x:v>45901</x:v>
      </x:c>
      <x:c r="B667" t="str">
        <x:v>Sep 2025</x:v>
      </x:c>
      <x:c r="C667" t="str">
        <x:v>Actual</x:v>
      </x:c>
      <x:c r="D667" t="str">
        <x:v>DB-102</x:v>
      </x:c>
      <x:c r="E667" t="str">
        <x:v>GlowPatch Balm</x:v>
      </x:c>
      <x:c r="F667" t="str">
        <x:v>Amazon Marketplace</x:v>
      </x:c>
      <x:c r="G667" t="str">
        <x:v>Marketplace Consumer</x:v>
      </x:c>
      <x:c r="H667" t="str">
        <x:v>US East</x:v>
      </x:c>
      <x:c r="I667" s="34" t="n">
        <x:v>183.68</x:v>
      </x:c>
      <x:c r="J667" s="38" t="n">
        <x:v>3.0624048000000004</x:v>
      </x:c>
      <x:c r="K667" s="38" t="n">
        <x:v>0.25818519999999984</x:v>
      </x:c>
      <x:c r="L667" s="28" t="n">
        <x:v>0.08430799220272898</x:v>
      </x:c>
    </x:row>
    <x:row r="668">
      <x:c r="A668" s="32" t="n">
        <x:v>45901</x:v>
      </x:c>
      <x:c r="B668" t="str">
        <x:v>Sep 2025</x:v>
      </x:c>
      <x:c r="C668" t="str">
        <x:v>Actual</x:v>
      </x:c>
      <x:c r="D668" t="str">
        <x:v>DB-102</x:v>
      </x:c>
      <x:c r="E668" t="str">
        <x:v>GlowPatch Balm</x:v>
      </x:c>
      <x:c r="F668" t="str">
        <x:v>Amazon Marketplace</x:v>
      </x:c>
      <x:c r="G668" t="str">
        <x:v>Marketplace Consumer</x:v>
      </x:c>
      <x:c r="H668" t="str">
        <x:v>Canada</x:v>
      </x:c>
      <x:c r="I668" s="34" t="n">
        <x:v>57.400000000000006</x:v>
      </x:c>
      <x:c r="J668" s="38" t="n">
        <x:v>0.9570015000000002</x:v>
      </x:c>
      <x:c r="K668" s="38" t="n">
        <x:v>0.08068287499999996</x:v>
      </x:c>
      <x:c r="L668" s="28" t="n">
        <x:v>0.08430799220272898</x:v>
      </x:c>
    </x:row>
    <x:row r="669">
      <x:c r="A669" s="32" t="n">
        <x:v>45901</x:v>
      </x:c>
      <x:c r="B669" t="str">
        <x:v>Sep 2025</x:v>
      </x:c>
      <x:c r="C669" t="str">
        <x:v>Actual</x:v>
      </x:c>
      <x:c r="D669" t="str">
        <x:v>DB-102</x:v>
      </x:c>
      <x:c r="E669" t="str">
        <x:v>GlowPatch Balm</x:v>
      </x:c>
      <x:c r="F669" t="str">
        <x:v>Wholesale</x:v>
      </x:c>
      <x:c r="G669" t="str">
        <x:v>Retailer</x:v>
      </x:c>
      <x:c r="H669" t="str">
        <x:v>US West</x:v>
      </x:c>
      <x:c r="I669" s="34" t="n">
        <x:v>54.400000000000006</x:v>
      </x:c>
      <x:c r="J669" s="38" t="n">
        <x:v>0.620568</x:v>
      </x:c>
      <x:c r="K669" s="38" t="n">
        <x:v>0.15457759999999998</x:v>
      </x:c>
      <x:c r="L669" s="28" t="n">
        <x:v>0.24909051062897214</x:v>
      </x:c>
    </x:row>
    <x:row r="670">
      <x:c r="A670" s="32" t="n">
        <x:v>45901</x:v>
      </x:c>
      <x:c r="B670" t="str">
        <x:v>Sep 2025</x:v>
      </x:c>
      <x:c r="C670" t="str">
        <x:v>Actual</x:v>
      </x:c>
      <x:c r="D670" t="str">
        <x:v>DB-102</x:v>
      </x:c>
      <x:c r="E670" t="str">
        <x:v>GlowPatch Balm</x:v>
      </x:c>
      <x:c r="F670" t="str">
        <x:v>Wholesale</x:v>
      </x:c>
      <x:c r="G670" t="str">
        <x:v>Retailer</x:v>
      </x:c>
      <x:c r="H670" t="str">
        <x:v>US Central</x:v>
      </x:c>
      <x:c r="I670" s="34" t="n">
        <x:v>38.4</x:v>
      </x:c>
      <x:c r="J670" s="38" t="n">
        <x:v>0.438048</x:v>
      </x:c>
      <x:c r="K670" s="38" t="n">
        <x:v>0.10911359999999998</x:v>
      </x:c>
      <x:c r="L670" s="28" t="n">
        <x:v>0.2490905106289721</x:v>
      </x:c>
    </x:row>
    <x:row r="671">
      <x:c r="A671" s="32" t="n">
        <x:v>45901</x:v>
      </x:c>
      <x:c r="B671" t="str">
        <x:v>Sep 2025</x:v>
      </x:c>
      <x:c r="C671" t="str">
        <x:v>Actual</x:v>
      </x:c>
      <x:c r="D671" t="str">
        <x:v>DB-102</x:v>
      </x:c>
      <x:c r="E671" t="str">
        <x:v>GlowPatch Balm</x:v>
      </x:c>
      <x:c r="F671" t="str">
        <x:v>Wholesale</x:v>
      </x:c>
      <x:c r="G671" t="str">
        <x:v>Retailer</x:v>
      </x:c>
      <x:c r="H671" t="str">
        <x:v>US East</x:v>
      </x:c>
      <x:c r="I671" s="34" t="n">
        <x:v>51.2</x:v>
      </x:c>
      <x:c r="J671" s="38" t="n">
        <x:v>0.584064</x:v>
      </x:c>
      <x:c r="K671" s="38" t="n">
        <x:v>0.14548479999999997</x:v>
      </x:c>
      <x:c r="L671" s="28" t="n">
        <x:v>0.2490905106289721</x:v>
      </x:c>
    </x:row>
    <x:row r="672">
      <x:c r="A672" s="32" t="n">
        <x:v>45901</x:v>
      </x:c>
      <x:c r="B672" t="str">
        <x:v>Sep 2025</x:v>
      </x:c>
      <x:c r="C672" t="str">
        <x:v>Actual</x:v>
      </x:c>
      <x:c r="D672" t="str">
        <x:v>DB-102</x:v>
      </x:c>
      <x:c r="E672" t="str">
        <x:v>GlowPatch Balm</x:v>
      </x:c>
      <x:c r="F672" t="str">
        <x:v>Wholesale</x:v>
      </x:c>
      <x:c r="G672" t="str">
        <x:v>Retailer</x:v>
      </x:c>
      <x:c r="H672" t="str">
        <x:v>Canada</x:v>
      </x:c>
      <x:c r="I672" s="34" t="n">
        <x:v>16</x:v>
      </x:c>
      <x:c r="J672" s="38" t="n">
        <x:v>0.18252000000000002</x:v>
      </x:c>
      <x:c r="K672" s="38" t="n">
        <x:v>0.045464</x:v>
      </x:c>
      <x:c r="L672" s="28" t="n">
        <x:v>0.24909051062897214</x:v>
      </x:c>
    </x:row>
    <x:row r="673">
      <x:c r="A673" s="32" t="n">
        <x:v>45901</x:v>
      </x:c>
      <x:c r="B673" t="str">
        <x:v>Sep 2025</x:v>
      </x:c>
      <x:c r="C673" t="str">
        <x:v>Actual</x:v>
      </x:c>
      <x:c r="D673" t="str">
        <x:v>DB-102</x:v>
      </x:c>
      <x:c r="E673" t="str">
        <x:v>GlowPatch Balm</x:v>
      </x:c>
      <x:c r="F673" t="str">
        <x:v>TikTok Shop</x:v>
      </x:c>
      <x:c r="G673" t="str">
        <x:v>Social Commerce</x:v>
      </x:c>
      <x:c r="H673" t="str">
        <x:v>US West</x:v>
      </x:c>
      <x:c r="I673" s="34" t="n">
        <x:v>83.30000000000001</x:v>
      </x:c>
      <x:c r="J673" s="38" t="n">
        <x:v>1.2864852000000002</x:v>
      </x:c>
      <x:c r="K673" s="38" t="n">
        <x:v>0.15023021719999988</x:v>
      </x:c>
      <x:c r="L673" s="28" t="n">
        <x:v>0.11677570577570566</x:v>
      </x:c>
    </x:row>
    <x:row r="674">
      <x:c r="A674" s="32" t="n">
        <x:v>45901</x:v>
      </x:c>
      <x:c r="B674" t="str">
        <x:v>Sep 2025</x:v>
      </x:c>
      <x:c r="C674" t="str">
        <x:v>Actual</x:v>
      </x:c>
      <x:c r="D674" t="str">
        <x:v>DB-102</x:v>
      </x:c>
      <x:c r="E674" t="str">
        <x:v>GlowPatch Balm</x:v>
      </x:c>
      <x:c r="F674" t="str">
        <x:v>TikTok Shop</x:v>
      </x:c>
      <x:c r="G674" t="str">
        <x:v>Social Commerce</x:v>
      </x:c>
      <x:c r="H674" t="str">
        <x:v>US Central</x:v>
      </x:c>
      <x:c r="I674" s="34" t="n">
        <x:v>58.8</x:v>
      </x:c>
      <x:c r="J674" s="38" t="n">
        <x:v>0.9081072</x:v>
      </x:c>
      <x:c r="K674" s="38" t="n">
        <x:v>0.10604485919999991</x:v>
      </x:c>
      <x:c r="L674" s="28" t="n">
        <x:v>0.11677570577570567</x:v>
      </x:c>
    </x:row>
    <x:row r="675">
      <x:c r="A675" s="32" t="n">
        <x:v>45901</x:v>
      </x:c>
      <x:c r="B675" t="str">
        <x:v>Sep 2025</x:v>
      </x:c>
      <x:c r="C675" t="str">
        <x:v>Actual</x:v>
      </x:c>
      <x:c r="D675" t="str">
        <x:v>DB-102</x:v>
      </x:c>
      <x:c r="E675" t="str">
        <x:v>GlowPatch Balm</x:v>
      </x:c>
      <x:c r="F675" t="str">
        <x:v>TikTok Shop</x:v>
      </x:c>
      <x:c r="G675" t="str">
        <x:v>Social Commerce</x:v>
      </x:c>
      <x:c r="H675" t="str">
        <x:v>US East</x:v>
      </x:c>
      <x:c r="I675" s="34" t="n">
        <x:v>78.4</x:v>
      </x:c>
      <x:c r="J675" s="38" t="n">
        <x:v>1.2108096000000002</x:v>
      </x:c>
      <x:c r="K675" s="38" t="n">
        <x:v>0.14139314559999988</x:v>
      </x:c>
      <x:c r="L675" s="28" t="n">
        <x:v>0.11677570577570566</x:v>
      </x:c>
    </x:row>
    <x:row r="676">
      <x:c r="A676" s="32" t="n">
        <x:v>45901</x:v>
      </x:c>
      <x:c r="B676" t="str">
        <x:v>Sep 2025</x:v>
      </x:c>
      <x:c r="C676" t="str">
        <x:v>Actual</x:v>
      </x:c>
      <x:c r="D676" t="str">
        <x:v>DB-102</x:v>
      </x:c>
      <x:c r="E676" t="str">
        <x:v>GlowPatch Balm</x:v>
      </x:c>
      <x:c r="F676" t="str">
        <x:v>TikTok Shop</x:v>
      </x:c>
      <x:c r="G676" t="str">
        <x:v>Social Commerce</x:v>
      </x:c>
      <x:c r="H676" t="str">
        <x:v>Canada</x:v>
      </x:c>
      <x:c r="I676" s="34" t="n">
        <x:v>24.5</x:v>
      </x:c>
      <x:c r="J676" s="38" t="n">
        <x:v>0.37837800000000005</x:v>
      </x:c>
      <x:c r="K676" s="38" t="n">
        <x:v>0.044185357999999966</x:v>
      </x:c>
      <x:c r="L676" s="28" t="n">
        <x:v>0.11677570577570567</x:v>
      </x:c>
    </x:row>
    <x:row r="677">
      <x:c r="A677" s="32" t="n">
        <x:v>45901</x:v>
      </x:c>
      <x:c r="B677" t="str">
        <x:v>Sep 2025</x:v>
      </x:c>
      <x:c r="C677" t="str">
        <x:v>Actual</x:v>
      </x:c>
      <x:c r="D677" t="str">
        <x:v>DB-103</x:v>
      </x:c>
      <x:c r="E677" t="str">
        <x:v>EmberTrail Camp Mug</x:v>
      </x:c>
      <x:c r="F677" t="str">
        <x:v>Shopify DTC</x:v>
      </x:c>
      <x:c r="G677" t="str">
        <x:v>Consumer</x:v>
      </x:c>
      <x:c r="H677" t="str">
        <x:v>US West</x:v>
      </x:c>
      <x:c r="I677" s="34" t="n">
        <x:v>212.16000000000003</x:v>
      </x:c>
      <x:c r="J677" s="38" t="n">
        <x:v>6.271364736000001</x:v>
      </x:c>
      <x:c r="K677" s="38" t="n">
        <x:v>1.9468589986560003</x:v>
      </x:c>
      <x:c r="L677" s="28" t="n">
        <x:v>0.3104362575948254</x:v>
      </x:c>
    </x:row>
    <x:row r="678">
      <x:c r="A678" s="32" t="n">
        <x:v>45901</x:v>
      </x:c>
      <x:c r="B678" t="str">
        <x:v>Sep 2025</x:v>
      </x:c>
      <x:c r="C678" t="str">
        <x:v>Actual</x:v>
      </x:c>
      <x:c r="D678" t="str">
        <x:v>DB-103</x:v>
      </x:c>
      <x:c r="E678" t="str">
        <x:v>EmberTrail Camp Mug</x:v>
      </x:c>
      <x:c r="F678" t="str">
        <x:v>Shopify DTC</x:v>
      </x:c>
      <x:c r="G678" t="str">
        <x:v>Consumer</x:v>
      </x:c>
      <x:c r="H678" t="str">
        <x:v>US Central</x:v>
      </x:c>
      <x:c r="I678" s="34" t="n">
        <x:v>149.76</x:v>
      </x:c>
      <x:c r="J678" s="38" t="n">
        <x:v>4.426845696</x:v>
      </x:c>
      <x:c r="K678" s="38" t="n">
        <x:v>1.374253410816</x:v>
      </x:c>
      <x:c r="L678" s="28" t="n">
        <x:v>0.3104362575948254</x:v>
      </x:c>
    </x:row>
    <x:row r="679">
      <x:c r="A679" s="32" t="n">
        <x:v>45901</x:v>
      </x:c>
      <x:c r="B679" t="str">
        <x:v>Sep 2025</x:v>
      </x:c>
      <x:c r="C679" t="str">
        <x:v>Actual</x:v>
      </x:c>
      <x:c r="D679" t="str">
        <x:v>DB-103</x:v>
      </x:c>
      <x:c r="E679" t="str">
        <x:v>EmberTrail Camp Mug</x:v>
      </x:c>
      <x:c r="F679" t="str">
        <x:v>Shopify DTC</x:v>
      </x:c>
      <x:c r="G679" t="str">
        <x:v>Consumer</x:v>
      </x:c>
      <x:c r="H679" t="str">
        <x:v>US East</x:v>
      </x:c>
      <x:c r="I679" s="34" t="n">
        <x:v>199.68</x:v>
      </x:c>
      <x:c r="J679" s="38" t="n">
        <x:v>5.902460928000001</x:v>
      </x:c>
      <x:c r="K679" s="38" t="n">
        <x:v>1.8323378810880002</x:v>
      </x:c>
      <x:c r="L679" s="28" t="n">
        <x:v>0.31043625759482535</x:v>
      </x:c>
    </x:row>
    <x:row r="680">
      <x:c r="A680" s="32" t="n">
        <x:v>45901</x:v>
      </x:c>
      <x:c r="B680" t="str">
        <x:v>Sep 2025</x:v>
      </x:c>
      <x:c r="C680" t="str">
        <x:v>Actual</x:v>
      </x:c>
      <x:c r="D680" t="str">
        <x:v>DB-103</x:v>
      </x:c>
      <x:c r="E680" t="str">
        <x:v>EmberTrail Camp Mug</x:v>
      </x:c>
      <x:c r="F680" t="str">
        <x:v>Shopify DTC</x:v>
      </x:c>
      <x:c r="G680" t="str">
        <x:v>Consumer</x:v>
      </x:c>
      <x:c r="H680" t="str">
        <x:v>Canada</x:v>
      </x:c>
      <x:c r="I680" s="34" t="n">
        <x:v>62.400000000000006</x:v>
      </x:c>
      <x:c r="J680" s="38" t="n">
        <x:v>1.8445190400000002</x:v>
      </x:c>
      <x:c r="K680" s="38" t="n">
        <x:v>0.57260558784</x:v>
      </x:c>
      <x:c r="L680" s="28" t="n">
        <x:v>0.31043625759482535</x:v>
      </x:c>
    </x:row>
    <x:row r="681">
      <x:c r="A681" s="32" t="n">
        <x:v>45901</x:v>
      </x:c>
      <x:c r="B681" t="str">
        <x:v>Sep 2025</x:v>
      </x:c>
      <x:c r="C681" t="str">
        <x:v>Actual</x:v>
      </x:c>
      <x:c r="D681" t="str">
        <x:v>DB-103</x:v>
      </x:c>
      <x:c r="E681" t="str">
        <x:v>EmberTrail Camp Mug</x:v>
      </x:c>
      <x:c r="F681" t="str">
        <x:v>Amazon Marketplace</x:v>
      </x:c>
      <x:c r="G681" t="str">
        <x:v>Marketplace Consumer</x:v>
      </x:c>
      <x:c r="H681" t="str">
        <x:v>US West</x:v>
      </x:c>
      <x:c r="I681" s="34" t="n">
        <x:v>125.12</x:v>
      </x:c>
      <x:c r="J681" s="38" t="n">
        <x:v>3.8191003200000004</x:v>
      </x:c>
      <x:c r="K681" s="38" t="n">
        <x:v>0.6092061520000002</x:v>
      </x:c>
      <x:c r="L681" s="28" t="n">
        <x:v>0.15951561911314235</x:v>
      </x:c>
    </x:row>
    <x:row r="682">
      <x:c r="A682" s="32" t="n">
        <x:v>45901</x:v>
      </x:c>
      <x:c r="B682" t="str">
        <x:v>Sep 2025</x:v>
      </x:c>
      <x:c r="C682" t="str">
        <x:v>Actual</x:v>
      </x:c>
      <x:c r="D682" t="str">
        <x:v>DB-103</x:v>
      </x:c>
      <x:c r="E682" t="str">
        <x:v>EmberTrail Camp Mug</x:v>
      </x:c>
      <x:c r="F682" t="str">
        <x:v>Amazon Marketplace</x:v>
      </x:c>
      <x:c r="G682" t="str">
        <x:v>Marketplace Consumer</x:v>
      </x:c>
      <x:c r="H682" t="str">
        <x:v>US Central</x:v>
      </x:c>
      <x:c r="I682" s="34" t="n">
        <x:v>88.32</x:v>
      </x:c>
      <x:c r="J682" s="38" t="n">
        <x:v>2.69583552</x:v>
      </x:c>
      <x:c r="K682" s="38" t="n">
        <x:v>0.4300278720000001</x:v>
      </x:c>
      <x:c r="L682" s="28" t="n">
        <x:v>0.15951561911314235</x:v>
      </x:c>
    </x:row>
    <x:row r="683">
      <x:c r="A683" s="32" t="n">
        <x:v>45901</x:v>
      </x:c>
      <x:c r="B683" t="str">
        <x:v>Sep 2025</x:v>
      </x:c>
      <x:c r="C683" t="str">
        <x:v>Actual</x:v>
      </x:c>
      <x:c r="D683" t="str">
        <x:v>DB-103</x:v>
      </x:c>
      <x:c r="E683" t="str">
        <x:v>EmberTrail Camp Mug</x:v>
      </x:c>
      <x:c r="F683" t="str">
        <x:v>Amazon Marketplace</x:v>
      </x:c>
      <x:c r="G683" t="str">
        <x:v>Marketplace Consumer</x:v>
      </x:c>
      <x:c r="H683" t="str">
        <x:v>US East</x:v>
      </x:c>
      <x:c r="I683" s="34" t="n">
        <x:v>117.76</x:v>
      </x:c>
      <x:c r="J683" s="38" t="n">
        <x:v>3.59444736</x:v>
      </x:c>
      <x:c r="K683" s="38" t="n">
        <x:v>0.5733704960000001</x:v>
      </x:c>
      <x:c r="L683" s="28" t="n">
        <x:v>0.15951561911314235</x:v>
      </x:c>
    </x:row>
    <x:row r="684">
      <x:c r="A684" s="32" t="n">
        <x:v>45901</x:v>
      </x:c>
      <x:c r="B684" t="str">
        <x:v>Sep 2025</x:v>
      </x:c>
      <x:c r="C684" t="str">
        <x:v>Actual</x:v>
      </x:c>
      <x:c r="D684" t="str">
        <x:v>DB-103</x:v>
      </x:c>
      <x:c r="E684" t="str">
        <x:v>EmberTrail Camp Mug</x:v>
      </x:c>
      <x:c r="F684" t="str">
        <x:v>Amazon Marketplace</x:v>
      </x:c>
      <x:c r="G684" t="str">
        <x:v>Marketplace Consumer</x:v>
      </x:c>
      <x:c r="H684" t="str">
        <x:v>Canada</x:v>
      </x:c>
      <x:c r="I684" s="34" t="n">
        <x:v>36.800000000000004</x:v>
      </x:c>
      <x:c r="J684" s="38" t="n">
        <x:v>1.1232648</x:v>
      </x:c>
      <x:c r="K684" s="38" t="n">
        <x:v>0.17917828000000005</x:v>
      </x:c>
      <x:c r="L684" s="28" t="n">
        <x:v>0.15951561911314238</x:v>
      </x:c>
    </x:row>
    <x:row r="685">
      <x:c r="A685" s="32" t="n">
        <x:v>45901</x:v>
      </x:c>
      <x:c r="B685" t="str">
        <x:v>Sep 2025</x:v>
      </x:c>
      <x:c r="C685" t="str">
        <x:v>Actual</x:v>
      </x:c>
      <x:c r="D685" t="str">
        <x:v>DB-103</x:v>
      </x:c>
      <x:c r="E685" t="str">
        <x:v>EmberTrail Camp Mug</x:v>
      </x:c>
      <x:c r="F685" t="str">
        <x:v>Wholesale</x:v>
      </x:c>
      <x:c r="G685" t="str">
        <x:v>Retailer</x:v>
      </x:c>
      <x:c r="H685" t="str">
        <x:v>US West</x:v>
      </x:c>
      <x:c r="I685" s="34" t="n">
        <x:v>35.02</x:v>
      </x:c>
      <x:c r="J685" s="38" t="n">
        <x:v>0.7313751900000001</x:v>
      </x:c>
      <x:c r="K685" s="38" t="n">
        <x:v>0.14037767000000007</x:v>
      </x:c>
      <x:c r="L685" s="28" t="n">
        <x:v>0.19193660370130966</x:v>
      </x:c>
    </x:row>
    <x:row r="686">
      <x:c r="A686" s="32" t="n">
        <x:v>45901</x:v>
      </x:c>
      <x:c r="B686" t="str">
        <x:v>Sep 2025</x:v>
      </x:c>
      <x:c r="C686" t="str">
        <x:v>Actual</x:v>
      </x:c>
      <x:c r="D686" t="str">
        <x:v>DB-103</x:v>
      </x:c>
      <x:c r="E686" t="str">
        <x:v>EmberTrail Camp Mug</x:v>
      </x:c>
      <x:c r="F686" t="str">
        <x:v>Wholesale</x:v>
      </x:c>
      <x:c r="G686" t="str">
        <x:v>Retailer</x:v>
      </x:c>
      <x:c r="H686" t="str">
        <x:v>US Central</x:v>
      </x:c>
      <x:c r="I686" s="34" t="n">
        <x:v>24.72</x:v>
      </x:c>
      <x:c r="J686" s="38" t="n">
        <x:v>0.51626484</x:v>
      </x:c>
      <x:c r="K686" s="38" t="n">
        <x:v>0.09909012000000003</x:v>
      </x:c>
      <x:c r="L686" s="28" t="n">
        <x:v>0.19193660370130966</x:v>
      </x:c>
    </x:row>
    <x:row r="687">
      <x:c r="A687" s="32" t="n">
        <x:v>45901</x:v>
      </x:c>
      <x:c r="B687" t="str">
        <x:v>Sep 2025</x:v>
      </x:c>
      <x:c r="C687" t="str">
        <x:v>Actual</x:v>
      </x:c>
      <x:c r="D687" t="str">
        <x:v>DB-103</x:v>
      </x:c>
      <x:c r="E687" t="str">
        <x:v>EmberTrail Camp Mug</x:v>
      </x:c>
      <x:c r="F687" t="str">
        <x:v>Wholesale</x:v>
      </x:c>
      <x:c r="G687" t="str">
        <x:v>Retailer</x:v>
      </x:c>
      <x:c r="H687" t="str">
        <x:v>US East</x:v>
      </x:c>
      <x:c r="I687" s="34" t="n">
        <x:v>32.96</x:v>
      </x:c>
      <x:c r="J687" s="38" t="n">
        <x:v>0.68835312</x:v>
      </x:c>
      <x:c r="K687" s="38" t="n">
        <x:v>0.13212016000000007</x:v>
      </x:c>
      <x:c r="L687" s="28" t="n">
        <x:v>0.19193660370130966</x:v>
      </x:c>
    </x:row>
    <x:row r="688">
      <x:c r="A688" s="32" t="n">
        <x:v>45901</x:v>
      </x:c>
      <x:c r="B688" t="str">
        <x:v>Sep 2025</x:v>
      </x:c>
      <x:c r="C688" t="str">
        <x:v>Actual</x:v>
      </x:c>
      <x:c r="D688" t="str">
        <x:v>DB-103</x:v>
      </x:c>
      <x:c r="E688" t="str">
        <x:v>EmberTrail Camp Mug</x:v>
      </x:c>
      <x:c r="F688" t="str">
        <x:v>Wholesale</x:v>
      </x:c>
      <x:c r="G688" t="str">
        <x:v>Retailer</x:v>
      </x:c>
      <x:c r="H688" t="str">
        <x:v>Canada</x:v>
      </x:c>
      <x:c r="I688" s="34" t="n">
        <x:v>10.3</x:v>
      </x:c>
      <x:c r="J688" s="38" t="n">
        <x:v>0.21511035</x:v>
      </x:c>
      <x:c r="K688" s="38" t="n">
        <x:v>0.04128755000000002</x:v>
      </x:c>
      <x:c r="L688" s="28" t="n">
        <x:v>0.19193660370130966</x:v>
      </x:c>
    </x:row>
    <x:row r="689">
      <x:c r="A689" s="32" t="n">
        <x:v>45901</x:v>
      </x:c>
      <x:c r="B689" t="str">
        <x:v>Sep 2025</x:v>
      </x:c>
      <x:c r="C689" t="str">
        <x:v>Actual</x:v>
      </x:c>
      <x:c r="D689" t="str">
        <x:v>DB-103</x:v>
      </x:c>
      <x:c r="E689" t="str">
        <x:v>EmberTrail Camp Mug</x:v>
      </x:c>
      <x:c r="F689" t="str">
        <x:v>TikTok Shop</x:v>
      </x:c>
      <x:c r="G689" t="str">
        <x:v>Social Commerce</x:v>
      </x:c>
      <x:c r="H689" t="str">
        <x:v>US West</x:v>
      </x:c>
      <x:c r="I689" s="34" t="n">
        <x:v>53.38</x:v>
      </x:c>
      <x:c r="J689" s="38" t="n">
        <x:v>1.5092874720000002</x:v>
      </x:c>
      <x:c r="K689" s="38" t="n">
        <x:v>0.27661400699200017</x:v>
      </x:c>
      <x:c r="L689" s="28" t="n">
        <x:v>0.18327456639221354</x:v>
      </x:c>
    </x:row>
    <x:row r="690">
      <x:c r="A690" s="32" t="n">
        <x:v>45901</x:v>
      </x:c>
      <x:c r="B690" t="str">
        <x:v>Sep 2025</x:v>
      </x:c>
      <x:c r="C690" t="str">
        <x:v>Actual</x:v>
      </x:c>
      <x:c r="D690" t="str">
        <x:v>DB-103</x:v>
      </x:c>
      <x:c r="E690" t="str">
        <x:v>EmberTrail Camp Mug</x:v>
      </x:c>
      <x:c r="F690" t="str">
        <x:v>TikTok Shop</x:v>
      </x:c>
      <x:c r="G690" t="str">
        <x:v>Social Commerce</x:v>
      </x:c>
      <x:c r="H690" t="str">
        <x:v>US Central</x:v>
      </x:c>
      <x:c r="I690" s="34" t="n">
        <x:v>37.68</x:v>
      </x:c>
      <x:c r="J690" s="38" t="n">
        <x:v>1.065379392</x:v>
      </x:c>
      <x:c r="K690" s="38" t="n">
        <x:v>0.1952569461120001</x:v>
      </x:c>
      <x:c r="L690" s="28" t="n">
        <x:v>0.1832745663922135</x:v>
      </x:c>
    </x:row>
    <x:row r="691">
      <x:c r="A691" s="32" t="n">
        <x:v>45901</x:v>
      </x:c>
      <x:c r="B691" t="str">
        <x:v>Sep 2025</x:v>
      </x:c>
      <x:c r="C691" t="str">
        <x:v>Actual</x:v>
      </x:c>
      <x:c r="D691" t="str">
        <x:v>DB-103</x:v>
      </x:c>
      <x:c r="E691" t="str">
        <x:v>EmberTrail Camp Mug</x:v>
      </x:c>
      <x:c r="F691" t="str">
        <x:v>TikTok Shop</x:v>
      </x:c>
      <x:c r="G691" t="str">
        <x:v>Social Commerce</x:v>
      </x:c>
      <x:c r="H691" t="str">
        <x:v>US East</x:v>
      </x:c>
      <x:c r="I691" s="34" t="n">
        <x:v>50.24</x:v>
      </x:c>
      <x:c r="J691" s="38" t="n">
        <x:v>1.4205058560000001</x:v>
      </x:c>
      <x:c r="K691" s="38" t="n">
        <x:v>0.26034259481600014</x:v>
      </x:c>
      <x:c r="L691" s="28" t="n">
        <x:v>0.18327456639221354</x:v>
      </x:c>
    </x:row>
    <x:row r="692">
      <x:c r="A692" s="32" t="n">
        <x:v>45901</x:v>
      </x:c>
      <x:c r="B692" t="str">
        <x:v>Sep 2025</x:v>
      </x:c>
      <x:c r="C692" t="str">
        <x:v>Actual</x:v>
      </x:c>
      <x:c r="D692" t="str">
        <x:v>DB-103</x:v>
      </x:c>
      <x:c r="E692" t="str">
        <x:v>EmberTrail Camp Mug</x:v>
      </x:c>
      <x:c r="F692" t="str">
        <x:v>TikTok Shop</x:v>
      </x:c>
      <x:c r="G692" t="str">
        <x:v>Social Commerce</x:v>
      </x:c>
      <x:c r="H692" t="str">
        <x:v>Canada</x:v>
      </x:c>
      <x:c r="I692" s="34" t="n">
        <x:v>15.700000000000001</x:v>
      </x:c>
      <x:c r="J692" s="38" t="n">
        <x:v>0.44390808000000004</x:v>
      </x:c>
      <x:c r="K692" s="38" t="n">
        <x:v>0.08135706088000005</x:v>
      </x:c>
      <x:c r="L692" s="28" t="n">
        <x:v>0.18327456639221357</x:v>
      </x:c>
    </x:row>
    <x:row r="693">
      <x:c r="A693" s="32" t="n">
        <x:v>45901</x:v>
      </x:c>
      <x:c r="B693" t="str">
        <x:v>Sep 2025</x:v>
      </x:c>
      <x:c r="C693" t="str">
        <x:v>Actual</x:v>
      </x:c>
      <x:c r="D693" t="str">
        <x:v>DB-104</x:v>
      </x:c>
      <x:c r="E693" t="str">
        <x:v>SunNest Cooling Towel</x:v>
      </x:c>
      <x:c r="F693" t="str">
        <x:v>Shopify DTC</x:v>
      </x:c>
      <x:c r="G693" t="str">
        <x:v>Consumer</x:v>
      </x:c>
      <x:c r="H693" t="str">
        <x:v>US West</x:v>
      </x:c>
      <x:c r="I693" s="34" t="n">
        <x:v>204.34</x:v>
      </x:c>
      <x:c r="J693" s="38" t="n">
        <x:v>7.5009127200000005</x:v>
      </x:c>
      <x:c r="K693" s="38" t="n">
        <x:v>3.01717573112</x:v>
      </x:c>
      <x:c r="L693" s="28" t="n">
        <x:v>0.40224114634412117</x:v>
      </x:c>
    </x:row>
    <x:row r="694">
      <x:c r="A694" s="32" t="n">
        <x:v>45901</x:v>
      </x:c>
      <x:c r="B694" t="str">
        <x:v>Sep 2025</x:v>
      </x:c>
      <x:c r="C694" t="str">
        <x:v>Actual</x:v>
      </x:c>
      <x:c r="D694" t="str">
        <x:v>DB-104</x:v>
      </x:c>
      <x:c r="E694" t="str">
        <x:v>SunNest Cooling Towel</x:v>
      </x:c>
      <x:c r="F694" t="str">
        <x:v>Shopify DTC</x:v>
      </x:c>
      <x:c r="G694" t="str">
        <x:v>Consumer</x:v>
      </x:c>
      <x:c r="H694" t="str">
        <x:v>US Central</x:v>
      </x:c>
      <x:c r="I694" s="34" t="n">
        <x:v>144.23999999999998</x:v>
      </x:c>
      <x:c r="J694" s="38" t="n">
        <x:v>5.29476192</x:v>
      </x:c>
      <x:c r="K694" s="38" t="n">
        <x:v>2.1297711043199996</x:v>
      </x:c>
      <x:c r="L694" s="28" t="n">
        <x:v>0.4022411463441211</x:v>
      </x:c>
    </x:row>
    <x:row r="695">
      <x:c r="A695" s="32" t="n">
        <x:v>45901</x:v>
      </x:c>
      <x:c r="B695" t="str">
        <x:v>Sep 2025</x:v>
      </x:c>
      <x:c r="C695" t="str">
        <x:v>Actual</x:v>
      </x:c>
      <x:c r="D695" t="str">
        <x:v>DB-104</x:v>
      </x:c>
      <x:c r="E695" t="str">
        <x:v>SunNest Cooling Towel</x:v>
      </x:c>
      <x:c r="F695" t="str">
        <x:v>Shopify DTC</x:v>
      </x:c>
      <x:c r="G695" t="str">
        <x:v>Consumer</x:v>
      </x:c>
      <x:c r="H695" t="str">
        <x:v>US East</x:v>
      </x:c>
      <x:c r="I695" s="34" t="n">
        <x:v>192.32</x:v>
      </x:c>
      <x:c r="J695" s="38" t="n">
        <x:v>7.05968256</x:v>
      </x:c>
      <x:c r="K695" s="38" t="n">
        <x:v>2.8396948057599998</x:v>
      </x:c>
      <x:c r="L695" s="28" t="n">
        <x:v>0.40224114634412117</x:v>
      </x:c>
    </x:row>
    <x:row r="696">
      <x:c r="A696" s="32" t="n">
        <x:v>45901</x:v>
      </x:c>
      <x:c r="B696" t="str">
        <x:v>Sep 2025</x:v>
      </x:c>
      <x:c r="C696" t="str">
        <x:v>Actual</x:v>
      </x:c>
      <x:c r="D696" t="str">
        <x:v>DB-104</x:v>
      </x:c>
      <x:c r="E696" t="str">
        <x:v>SunNest Cooling Towel</x:v>
      </x:c>
      <x:c r="F696" t="str">
        <x:v>Shopify DTC</x:v>
      </x:c>
      <x:c r="G696" t="str">
        <x:v>Consumer</x:v>
      </x:c>
      <x:c r="H696" t="str">
        <x:v>Canada</x:v>
      </x:c>
      <x:c r="I696" s="34" t="n">
        <x:v>60.1</x:v>
      </x:c>
      <x:c r="J696" s="38" t="n">
        <x:v>2.2061508</x:v>
      </x:c>
      <x:c r="K696" s="38" t="n">
        <x:v>0.8874046268</x:v>
      </x:c>
      <x:c r="L696" s="28" t="n">
        <x:v>0.40224114634412117</x:v>
      </x:c>
    </x:row>
    <x:row r="697">
      <x:c r="A697" s="32" t="n">
        <x:v>45901</x:v>
      </x:c>
      <x:c r="B697" t="str">
        <x:v>Sep 2025</x:v>
      </x:c>
      <x:c r="C697" t="str">
        <x:v>Actual</x:v>
      </x:c>
      <x:c r="D697" t="str">
        <x:v>DB-104</x:v>
      </x:c>
      <x:c r="E697" t="str">
        <x:v>SunNest Cooling Towel</x:v>
      </x:c>
      <x:c r="F697" t="str">
        <x:v>Amazon Marketplace</x:v>
      </x:c>
      <x:c r="G697" t="str">
        <x:v>Marketplace Consumer</x:v>
      </x:c>
      <x:c r="H697" t="str">
        <x:v>US West</x:v>
      </x:c>
      <x:c r="I697" s="34" t="n">
        <x:v>120.7</x:v>
      </x:c>
      <x:c r="J697" s="38" t="n">
        <x:v>4.575133500000001</x:v>
      </x:c>
      <x:c r="K697" s="38" t="n">
        <x:v>1.1818038750000006</x:v>
      </x:c>
      <x:c r="L697" s="28" t="n">
        <x:v>0.2583102493074793</x:v>
      </x:c>
    </x:row>
    <x:row r="698">
      <x:c r="A698" s="32" t="n">
        <x:v>45901</x:v>
      </x:c>
      <x:c r="B698" t="str">
        <x:v>Sep 2025</x:v>
      </x:c>
      <x:c r="C698" t="str">
        <x:v>Actual</x:v>
      </x:c>
      <x:c r="D698" t="str">
        <x:v>DB-104</x:v>
      </x:c>
      <x:c r="E698" t="str">
        <x:v>SunNest Cooling Towel</x:v>
      </x:c>
      <x:c r="F698" t="str">
        <x:v>Amazon Marketplace</x:v>
      </x:c>
      <x:c r="G698" t="str">
        <x:v>Marketplace Consumer</x:v>
      </x:c>
      <x:c r="H698" t="str">
        <x:v>US Central</x:v>
      </x:c>
      <x:c r="I698" s="34" t="n">
        <x:v>85.2</x:v>
      </x:c>
      <x:c r="J698" s="38" t="n">
        <x:v>3.229506</x:v>
      </x:c>
      <x:c r="K698" s="38" t="n">
        <x:v>0.8342145000000004</x:v>
      </x:c>
      <x:c r="L698" s="28" t="n">
        <x:v>0.2583102493074793</x:v>
      </x:c>
    </x:row>
    <x:row r="699">
      <x:c r="A699" s="32" t="n">
        <x:v>45901</x:v>
      </x:c>
      <x:c r="B699" t="str">
        <x:v>Sep 2025</x:v>
      </x:c>
      <x:c r="C699" t="str">
        <x:v>Actual</x:v>
      </x:c>
      <x:c r="D699" t="str">
        <x:v>DB-104</x:v>
      </x:c>
      <x:c r="E699" t="str">
        <x:v>SunNest Cooling Towel</x:v>
      </x:c>
      <x:c r="F699" t="str">
        <x:v>Amazon Marketplace</x:v>
      </x:c>
      <x:c r="G699" t="str">
        <x:v>Marketplace Consumer</x:v>
      </x:c>
      <x:c r="H699" t="str">
        <x:v>US East</x:v>
      </x:c>
      <x:c r="I699" s="34" t="n">
        <x:v>113.60000000000001</x:v>
      </x:c>
      <x:c r="J699" s="38" t="n">
        <x:v>4.306008</x:v>
      </x:c>
      <x:c r="K699" s="38" t="n">
        <x:v>1.1122860000000006</x:v>
      </x:c>
      <x:c r="L699" s="28" t="n">
        <x:v>0.2583102493074793</x:v>
      </x:c>
    </x:row>
    <x:row r="700">
      <x:c r="A700" s="32" t="n">
        <x:v>45901</x:v>
      </x:c>
      <x:c r="B700" t="str">
        <x:v>Sep 2025</x:v>
      </x:c>
      <x:c r="C700" t="str">
        <x:v>Actual</x:v>
      </x:c>
      <x:c r="D700" t="str">
        <x:v>DB-104</x:v>
      </x:c>
      <x:c r="E700" t="str">
        <x:v>SunNest Cooling Towel</x:v>
      </x:c>
      <x:c r="F700" t="str">
        <x:v>Amazon Marketplace</x:v>
      </x:c>
      <x:c r="G700" t="str">
        <x:v>Marketplace Consumer</x:v>
      </x:c>
      <x:c r="H700" t="str">
        <x:v>Canada</x:v>
      </x:c>
      <x:c r="I700" s="34" t="n">
        <x:v>35.5</x:v>
      </x:c>
      <x:c r="J700" s="38" t="n">
        <x:v>1.3456275000000002</x:v>
      </x:c>
      <x:c r="K700" s="38" t="n">
        <x:v>0.3475893750000002</x:v>
      </x:c>
      <x:c r="L700" s="28" t="n">
        <x:v>0.2583102493074793</x:v>
      </x:c>
    </x:row>
    <x:row r="701">
      <x:c r="A701" s="32" t="n">
        <x:v>45901</x:v>
      </x:c>
      <x:c r="B701" t="str">
        <x:v>Sep 2025</x:v>
      </x:c>
      <x:c r="C701" t="str">
        <x:v>Actual</x:v>
      </x:c>
      <x:c r="D701" t="str">
        <x:v>DB-104</x:v>
      </x:c>
      <x:c r="E701" t="str">
        <x:v>SunNest Cooling Towel</x:v>
      </x:c>
      <x:c r="F701" t="str">
        <x:v>Wholesale</x:v>
      </x:c>
      <x:c r="G701" t="str">
        <x:v>Retailer</x:v>
      </x:c>
      <x:c r="H701" t="str">
        <x:v>US West</x:v>
      </x:c>
      <x:c r="I701" s="34" t="n">
        <x:v>34</x:v>
      </x:c>
      <x:c r="J701" s="38" t="n">
        <x:v>0.8817900000000001</x:v>
      </x:c>
      <x:c r="K701" s="38" t="n">
        <x:v>0.2620380000000001</x:v>
      </x:c>
      <x:c r="L701" s="28" t="n">
        <x:v>0.2971659919028341</x:v>
      </x:c>
    </x:row>
    <x:row r="702">
      <x:c r="A702" s="32" t="n">
        <x:v>45901</x:v>
      </x:c>
      <x:c r="B702" t="str">
        <x:v>Sep 2025</x:v>
      </x:c>
      <x:c r="C702" t="str">
        <x:v>Actual</x:v>
      </x:c>
      <x:c r="D702" t="str">
        <x:v>DB-104</x:v>
      </x:c>
      <x:c r="E702" t="str">
        <x:v>SunNest Cooling Towel</x:v>
      </x:c>
      <x:c r="F702" t="str">
        <x:v>Wholesale</x:v>
      </x:c>
      <x:c r="G702" t="str">
        <x:v>Retailer</x:v>
      </x:c>
      <x:c r="H702" t="str">
        <x:v>US Central</x:v>
      </x:c>
      <x:c r="I702" s="34" t="n">
        <x:v>24</x:v>
      </x:c>
      <x:c r="J702" s="38" t="n">
        <x:v>0.62244</x:v>
      </x:c>
      <x:c r="K702" s="38" t="n">
        <x:v>0.18496800000000005</x:v>
      </x:c>
      <x:c r="L702" s="28" t="n">
        <x:v>0.2971659919028341</x:v>
      </x:c>
    </x:row>
    <x:row r="703">
      <x:c r="A703" s="32" t="n">
        <x:v>45901</x:v>
      </x:c>
      <x:c r="B703" t="str">
        <x:v>Sep 2025</x:v>
      </x:c>
      <x:c r="C703" t="str">
        <x:v>Actual</x:v>
      </x:c>
      <x:c r="D703" t="str">
        <x:v>DB-104</x:v>
      </x:c>
      <x:c r="E703" t="str">
        <x:v>SunNest Cooling Towel</x:v>
      </x:c>
      <x:c r="F703" t="str">
        <x:v>Wholesale</x:v>
      </x:c>
      <x:c r="G703" t="str">
        <x:v>Retailer</x:v>
      </x:c>
      <x:c r="H703" t="str">
        <x:v>US East</x:v>
      </x:c>
      <x:c r="I703" s="34" t="n">
        <x:v>32</x:v>
      </x:c>
      <x:c r="J703" s="38" t="n">
        <x:v>0.8299200000000001</x:v>
      </x:c>
      <x:c r="K703" s="38" t="n">
        <x:v>0.2466240000000001</x:v>
      </x:c>
      <x:c r="L703" s="28" t="n">
        <x:v>0.2971659919028341</x:v>
      </x:c>
    </x:row>
    <x:row r="704">
      <x:c r="A704" s="32" t="n">
        <x:v>45901</x:v>
      </x:c>
      <x:c r="B704" t="str">
        <x:v>Sep 2025</x:v>
      </x:c>
      <x:c r="C704" t="str">
        <x:v>Actual</x:v>
      </x:c>
      <x:c r="D704" t="str">
        <x:v>DB-104</x:v>
      </x:c>
      <x:c r="E704" t="str">
        <x:v>SunNest Cooling Towel</x:v>
      </x:c>
      <x:c r="F704" t="str">
        <x:v>Wholesale</x:v>
      </x:c>
      <x:c r="G704" t="str">
        <x:v>Retailer</x:v>
      </x:c>
      <x:c r="H704" t="str">
        <x:v>Canada</x:v>
      </x:c>
      <x:c r="I704" s="34" t="n">
        <x:v>10</x:v>
      </x:c>
      <x:c r="J704" s="38" t="n">
        <x:v>0.25935</x:v>
      </x:c>
      <x:c r="K704" s="38" t="n">
        <x:v>0.07707000000000003</x:v>
      </x:c>
      <x:c r="L704" s="28" t="n">
        <x:v>0.2971659919028341</x:v>
      </x:c>
    </x:row>
    <x:row r="705">
      <x:c r="A705" s="32" t="n">
        <x:v>45901</x:v>
      </x:c>
      <x:c r="B705" t="str">
        <x:v>Sep 2025</x:v>
      </x:c>
      <x:c r="C705" t="str">
        <x:v>Actual</x:v>
      </x:c>
      <x:c r="D705" t="str">
        <x:v>DB-104</x:v>
      </x:c>
      <x:c r="E705" t="str">
        <x:v>SunNest Cooling Towel</x:v>
      </x:c>
      <x:c r="F705" t="str">
        <x:v>TikTok Shop</x:v>
      </x:c>
      <x:c r="G705" t="str">
        <x:v>Social Commerce</x:v>
      </x:c>
      <x:c r="H705" t="str">
        <x:v>US West</x:v>
      </x:c>
      <x:c r="I705" s="34" t="n">
        <x:v>51.34</x:v>
      </x:c>
      <x:c r="J705" s="38" t="n">
        <x:v>1.8026500800000003</x:v>
      </x:c>
      <x:c r="K705" s="38" t="n">
        <x:v>0.5164307028800001</x:v>
      </x:c>
      <x:c r="L705" s="28" t="n">
        <x:v>0.28648416495784923</x:v>
      </x:c>
    </x:row>
    <x:row r="706">
      <x:c r="A706" s="32" t="n">
        <x:v>45901</x:v>
      </x:c>
      <x:c r="B706" t="str">
        <x:v>Sep 2025</x:v>
      </x:c>
      <x:c r="C706" t="str">
        <x:v>Actual</x:v>
      </x:c>
      <x:c r="D706" t="str">
        <x:v>DB-104</x:v>
      </x:c>
      <x:c r="E706" t="str">
        <x:v>SunNest Cooling Towel</x:v>
      </x:c>
      <x:c r="F706" t="str">
        <x:v>TikTok Shop</x:v>
      </x:c>
      <x:c r="G706" t="str">
        <x:v>Social Commerce</x:v>
      </x:c>
      <x:c r="H706" t="str">
        <x:v>US Central</x:v>
      </x:c>
      <x:c r="I706" s="34" t="n">
        <x:v>36.24</x:v>
      </x:c>
      <x:c r="J706" s="38" t="n">
        <x:v>1.27245888</x:v>
      </x:c>
      <x:c r="K706" s="38" t="n">
        <x:v>0.3645393196800001</x:v>
      </x:c>
      <x:c r="L706" s="28" t="n">
        <x:v>0.28648416495784923</x:v>
      </x:c>
    </x:row>
    <x:row r="707">
      <x:c r="A707" s="32" t="n">
        <x:v>45901</x:v>
      </x:c>
      <x:c r="B707" t="str">
        <x:v>Sep 2025</x:v>
      </x:c>
      <x:c r="C707" t="str">
        <x:v>Actual</x:v>
      </x:c>
      <x:c r="D707" t="str">
        <x:v>DB-104</x:v>
      </x:c>
      <x:c r="E707" t="str">
        <x:v>SunNest Cooling Towel</x:v>
      </x:c>
      <x:c r="F707" t="str">
        <x:v>TikTok Shop</x:v>
      </x:c>
      <x:c r="G707" t="str">
        <x:v>Social Commerce</x:v>
      </x:c>
      <x:c r="H707" t="str">
        <x:v>US East</x:v>
      </x:c>
      <x:c r="I707" s="34" t="n">
        <x:v>48.32</x:v>
      </x:c>
      <x:c r="J707" s="38" t="n">
        <x:v>1.6966118400000003</x:v>
      </x:c>
      <x:c r="K707" s="38" t="n">
        <x:v>0.48605242624000017</x:v>
      </x:c>
      <x:c r="L707" s="28" t="n">
        <x:v>0.28648416495784923</x:v>
      </x:c>
    </x:row>
    <x:row r="708">
      <x:c r="A708" s="32" t="n">
        <x:v>45901</x:v>
      </x:c>
      <x:c r="B708" t="str">
        <x:v>Sep 2025</x:v>
      </x:c>
      <x:c r="C708" t="str">
        <x:v>Actual</x:v>
      </x:c>
      <x:c r="D708" t="str">
        <x:v>DB-104</x:v>
      </x:c>
      <x:c r="E708" t="str">
        <x:v>SunNest Cooling Towel</x:v>
      </x:c>
      <x:c r="F708" t="str">
        <x:v>TikTok Shop</x:v>
      </x:c>
      <x:c r="G708" t="str">
        <x:v>Social Commerce</x:v>
      </x:c>
      <x:c r="H708" t="str">
        <x:v>Canada</x:v>
      </x:c>
      <x:c r="I708" s="34" t="n">
        <x:v>15.100000000000001</x:v>
      </x:c>
      <x:c r="J708" s="38" t="n">
        <x:v>0.5301912000000001</x:v>
      </x:c>
      <x:c r="K708" s="38" t="n">
        <x:v>0.15189138320000006</x:v>
      </x:c>
      <x:c r="L708" s="28" t="n">
        <x:v>0.28648416495784923</x:v>
      </x:c>
    </x:row>
    <x:row r="709">
      <x:c r="A709" s="32" t="n">
        <x:v>45901</x:v>
      </x:c>
      <x:c r="B709" t="str">
        <x:v>Sep 2025</x:v>
      </x:c>
      <x:c r="C709" t="str">
        <x:v>Actual</x:v>
      </x:c>
      <x:c r="D709" t="str">
        <x:v>DB-105</x:v>
      </x:c>
      <x:c r="E709" t="str">
        <x:v>DreamFuel Refill Pack</x:v>
      </x:c>
      <x:c r="F709" t="str">
        <x:v>Shopify DTC</x:v>
      </x:c>
      <x:c r="G709" t="str">
        <x:v>Consumer</x:v>
      </x:c>
      <x:c r="H709" t="str">
        <x:v>US West</x:v>
      </x:c>
      <x:c r="I709" s="34" t="n">
        <x:v>259.42</x:v>
      </x:c>
      <x:c r="J709" s="38" t="n">
        <x:v>13.098012032000002</x:v>
      </x:c>
      <x:c r="K709" s="38" t="n">
        <x:v>6.382199371072001</x:v>
      </x:c>
      <x:c r="L709" s="28" t="n">
        <x:v>0.48726473570794776</x:v>
      </x:c>
    </x:row>
    <x:row r="710">
      <x:c r="A710" s="32" t="n">
        <x:v>45901</x:v>
      </x:c>
      <x:c r="B710" t="str">
        <x:v>Sep 2025</x:v>
      </x:c>
      <x:c r="C710" t="str">
        <x:v>Actual</x:v>
      </x:c>
      <x:c r="D710" t="str">
        <x:v>DB-105</x:v>
      </x:c>
      <x:c r="E710" t="str">
        <x:v>DreamFuel Refill Pack</x:v>
      </x:c>
      <x:c r="F710" t="str">
        <x:v>Shopify DTC</x:v>
      </x:c>
      <x:c r="G710" t="str">
        <x:v>Consumer</x:v>
      </x:c>
      <x:c r="H710" t="str">
        <x:v>US Central</x:v>
      </x:c>
      <x:c r="I710" s="34" t="n">
        <x:v>183.12</x:v>
      </x:c>
      <x:c r="J710" s="38" t="n">
        <x:v>9.245655552</x:v>
      </x:c>
      <x:c r="K710" s="38" t="n">
        <x:v>4.505081908992</x:v>
      </x:c>
      <x:c r="L710" s="28" t="n">
        <x:v>0.4872647357079477</x:v>
      </x:c>
    </x:row>
    <x:row r="711">
      <x:c r="A711" s="32" t="n">
        <x:v>45901</x:v>
      </x:c>
      <x:c r="B711" t="str">
        <x:v>Sep 2025</x:v>
      </x:c>
      <x:c r="C711" t="str">
        <x:v>Actual</x:v>
      </x:c>
      <x:c r="D711" t="str">
        <x:v>DB-105</x:v>
      </x:c>
      <x:c r="E711" t="str">
        <x:v>DreamFuel Refill Pack</x:v>
      </x:c>
      <x:c r="F711" t="str">
        <x:v>Shopify DTC</x:v>
      </x:c>
      <x:c r="G711" t="str">
        <x:v>Consumer</x:v>
      </x:c>
      <x:c r="H711" t="str">
        <x:v>US East</x:v>
      </x:c>
      <x:c r="I711" s="34" t="n">
        <x:v>244.16</x:v>
      </x:c>
      <x:c r="J711" s="38" t="n">
        <x:v>12.327540736000001</x:v>
      </x:c>
      <x:c r="K711" s="38" t="n">
        <x:v>6.006775878656001</x:v>
      </x:c>
      <x:c r="L711" s="28" t="n">
        <x:v>0.48726473570794776</x:v>
      </x:c>
    </x:row>
    <x:row r="712">
      <x:c r="A712" s="32" t="n">
        <x:v>45901</x:v>
      </x:c>
      <x:c r="B712" t="str">
        <x:v>Sep 2025</x:v>
      </x:c>
      <x:c r="C712" t="str">
        <x:v>Actual</x:v>
      </x:c>
      <x:c r="D712" t="str">
        <x:v>DB-105</x:v>
      </x:c>
      <x:c r="E712" t="str">
        <x:v>DreamFuel Refill Pack</x:v>
      </x:c>
      <x:c r="F712" t="str">
        <x:v>Shopify DTC</x:v>
      </x:c>
      <x:c r="G712" t="str">
        <x:v>Consumer</x:v>
      </x:c>
      <x:c r="H712" t="str">
        <x:v>Canada</x:v>
      </x:c>
      <x:c r="I712" s="34" t="n">
        <x:v>76.3</x:v>
      </x:c>
      <x:c r="J712" s="38" t="n">
        <x:v>3.8523564800000005</x:v>
      </x:c>
      <x:c r="K712" s="38" t="n">
        <x:v>1.8771174620800002</x:v>
      </x:c>
      <x:c r="L712" s="28" t="n">
        <x:v>0.48726473570794776</x:v>
      </x:c>
    </x:row>
    <x:row r="713">
      <x:c r="A713" s="32" t="n">
        <x:v>45901</x:v>
      </x:c>
      <x:c r="B713" t="str">
        <x:v>Sep 2025</x:v>
      </x:c>
      <x:c r="C713" t="str">
        <x:v>Actual</x:v>
      </x:c>
      <x:c r="D713" t="str">
        <x:v>DB-105</x:v>
      </x:c>
      <x:c r="E713" t="str">
        <x:v>DreamFuel Refill Pack</x:v>
      </x:c>
      <x:c r="F713" t="str">
        <x:v>Amazon Marketplace</x:v>
      </x:c>
      <x:c r="G713" t="str">
        <x:v>Marketplace Consumer</x:v>
      </x:c>
      <x:c r="H713" t="str">
        <x:v>US West</x:v>
      </x:c>
      <x:c r="I713" s="34" t="n">
        <x:v>153</x:v>
      </x:c>
      <x:c r="J713" s="38" t="n">
        <x:v>7.976808</x:v>
      </x:c>
      <x:c r="K713" s="38" t="n">
        <x:v>2.8063260000000003</x:v>
      </x:c>
      <x:c r="L713" s="28" t="n">
        <x:v>0.35181064907165877</x:v>
      </x:c>
    </x:row>
    <x:row r="714">
      <x:c r="A714" s="32" t="n">
        <x:v>45901</x:v>
      </x:c>
      <x:c r="B714" t="str">
        <x:v>Sep 2025</x:v>
      </x:c>
      <x:c r="C714" t="str">
        <x:v>Actual</x:v>
      </x:c>
      <x:c r="D714" t="str">
        <x:v>DB-105</x:v>
      </x:c>
      <x:c r="E714" t="str">
        <x:v>DreamFuel Refill Pack</x:v>
      </x:c>
      <x:c r="F714" t="str">
        <x:v>Amazon Marketplace</x:v>
      </x:c>
      <x:c r="G714" t="str">
        <x:v>Marketplace Consumer</x:v>
      </x:c>
      <x:c r="H714" t="str">
        <x:v>US Central</x:v>
      </x:c>
      <x:c r="I714" s="34" t="n">
        <x:v>108</x:v>
      </x:c>
      <x:c r="J714" s="38" t="n">
        <x:v>5.630687999999999</x:v>
      </x:c>
      <x:c r="K714" s="38" t="n">
        <x:v>1.9809359999999998</x:v>
      </x:c>
      <x:c r="L714" s="28" t="n">
        <x:v>0.35181064907165877</x:v>
      </x:c>
    </x:row>
    <x:row r="715">
      <x:c r="A715" s="32" t="n">
        <x:v>45901</x:v>
      </x:c>
      <x:c r="B715" t="str">
        <x:v>Sep 2025</x:v>
      </x:c>
      <x:c r="C715" t="str">
        <x:v>Actual</x:v>
      </x:c>
      <x:c r="D715" t="str">
        <x:v>DB-105</x:v>
      </x:c>
      <x:c r="E715" t="str">
        <x:v>DreamFuel Refill Pack</x:v>
      </x:c>
      <x:c r="F715" t="str">
        <x:v>Amazon Marketplace</x:v>
      </x:c>
      <x:c r="G715" t="str">
        <x:v>Marketplace Consumer</x:v>
      </x:c>
      <x:c r="H715" t="str">
        <x:v>US East</x:v>
      </x:c>
      <x:c r="I715" s="34" t="n">
        <x:v>144</x:v>
      </x:c>
      <x:c r="J715" s="38" t="n">
        <x:v>7.507584</x:v>
      </x:c>
      <x:c r="K715" s="38" t="n">
        <x:v>2.641248</x:v>
      </x:c>
      <x:c r="L715" s="28" t="n">
        <x:v>0.35181064907165877</x:v>
      </x:c>
    </x:row>
    <x:row r="716">
      <x:c r="A716" s="32" t="n">
        <x:v>45901</x:v>
      </x:c>
      <x:c r="B716" t="str">
        <x:v>Sep 2025</x:v>
      </x:c>
      <x:c r="C716" t="str">
        <x:v>Actual</x:v>
      </x:c>
      <x:c r="D716" t="str">
        <x:v>DB-105</x:v>
      </x:c>
      <x:c r="E716" t="str">
        <x:v>DreamFuel Refill Pack</x:v>
      </x:c>
      <x:c r="F716" t="str">
        <x:v>Amazon Marketplace</x:v>
      </x:c>
      <x:c r="G716" t="str">
        <x:v>Marketplace Consumer</x:v>
      </x:c>
      <x:c r="H716" t="str">
        <x:v>Canada</x:v>
      </x:c>
      <x:c r="I716" s="34" t="n">
        <x:v>45</x:v>
      </x:c>
      <x:c r="J716" s="38" t="n">
        <x:v>2.34612</x:v>
      </x:c>
      <x:c r="K716" s="38" t="n">
        <x:v>0.8253900000000001</x:v>
      </x:c>
      <x:c r="L716" s="28" t="n">
        <x:v>0.35181064907165877</x:v>
      </x:c>
    </x:row>
    <x:row r="717">
      <x:c r="A717" s="32" t="n">
        <x:v>45901</x:v>
      </x:c>
      <x:c r="B717" t="str">
        <x:v>Sep 2025</x:v>
      </x:c>
      <x:c r="C717" t="str">
        <x:v>Actual</x:v>
      </x:c>
      <x:c r="D717" t="str">
        <x:v>DB-105</x:v>
      </x:c>
      <x:c r="E717" t="str">
        <x:v>DreamFuel Refill Pack</x:v>
      </x:c>
      <x:c r="F717" t="str">
        <x:v>Wholesale</x:v>
      </x:c>
      <x:c r="G717" t="str">
        <x:v>Retailer</x:v>
      </x:c>
      <x:c r="H717" t="str">
        <x:v>US West</x:v>
      </x:c>
      <x:c r="I717" s="34" t="n">
        <x:v>42.5</x:v>
      </x:c>
      <x:c r="J717" s="38" t="n">
        <x:v>1.51606</x:v>
      </x:c>
      <x:c r="K717" s="38" t="n">
        <x:v>0.5906819999999999</x:v>
      </x:c>
      <x:c r="L717" s="28" t="n">
        <x:v>0.38961650594303654</x:v>
      </x:c>
    </x:row>
    <x:row r="718">
      <x:c r="A718" s="32" t="n">
        <x:v>45901</x:v>
      </x:c>
      <x:c r="B718" t="str">
        <x:v>Sep 2025</x:v>
      </x:c>
      <x:c r="C718" t="str">
        <x:v>Actual</x:v>
      </x:c>
      <x:c r="D718" t="str">
        <x:v>DB-105</x:v>
      </x:c>
      <x:c r="E718" t="str">
        <x:v>DreamFuel Refill Pack</x:v>
      </x:c>
      <x:c r="F718" t="str">
        <x:v>Wholesale</x:v>
      </x:c>
      <x:c r="G718" t="str">
        <x:v>Retailer</x:v>
      </x:c>
      <x:c r="H718" t="str">
        <x:v>US Central</x:v>
      </x:c>
      <x:c r="I718" s="34" t="n">
        <x:v>30</x:v>
      </x:c>
      <x:c r="J718" s="38" t="n">
        <x:v>1.0701599999999998</x:v>
      </x:c>
      <x:c r="K718" s="38" t="n">
        <x:v>0.4169519999999999</x:v>
      </x:c>
      <x:c r="L718" s="28" t="n">
        <x:v>0.38961650594303654</x:v>
      </x:c>
    </x:row>
    <x:row r="719">
      <x:c r="A719" s="32" t="n">
        <x:v>45901</x:v>
      </x:c>
      <x:c r="B719" t="str">
        <x:v>Sep 2025</x:v>
      </x:c>
      <x:c r="C719" t="str">
        <x:v>Actual</x:v>
      </x:c>
      <x:c r="D719" t="str">
        <x:v>DB-105</x:v>
      </x:c>
      <x:c r="E719" t="str">
        <x:v>DreamFuel Refill Pack</x:v>
      </x:c>
      <x:c r="F719" t="str">
        <x:v>Wholesale</x:v>
      </x:c>
      <x:c r="G719" t="str">
        <x:v>Retailer</x:v>
      </x:c>
      <x:c r="H719" t="str">
        <x:v>US East</x:v>
      </x:c>
      <x:c r="I719" s="34" t="n">
        <x:v>40</x:v>
      </x:c>
      <x:c r="J719" s="38" t="n">
        <x:v>1.42688</x:v>
      </x:c>
      <x:c r="K719" s="38" t="n">
        <x:v>0.5559359999999999</x:v>
      </x:c>
      <x:c r="L719" s="28" t="n">
        <x:v>0.3896165059430365</x:v>
      </x:c>
    </x:row>
    <x:row r="720">
      <x:c r="A720" s="32" t="n">
        <x:v>45901</x:v>
      </x:c>
      <x:c r="B720" t="str">
        <x:v>Sep 2025</x:v>
      </x:c>
      <x:c r="C720" t="str">
        <x:v>Actual</x:v>
      </x:c>
      <x:c r="D720" t="str">
        <x:v>DB-105</x:v>
      </x:c>
      <x:c r="E720" t="str">
        <x:v>DreamFuel Refill Pack</x:v>
      </x:c>
      <x:c r="F720" t="str">
        <x:v>Wholesale</x:v>
      </x:c>
      <x:c r="G720" t="str">
        <x:v>Retailer</x:v>
      </x:c>
      <x:c r="H720" t="str">
        <x:v>Canada</x:v>
      </x:c>
      <x:c r="I720" s="34" t="n">
        <x:v>12.5</x:v>
      </x:c>
      <x:c r="J720" s="38" t="n">
        <x:v>0.44589999999999996</x:v>
      </x:c>
      <x:c r="K720" s="38" t="n">
        <x:v>0.17372999999999997</x:v>
      </x:c>
      <x:c r="L720" s="28" t="n">
        <x:v>0.38961650594303654</x:v>
      </x:c>
    </x:row>
    <x:row r="721">
      <x:c r="A721" s="32" t="n">
        <x:v>45901</x:v>
      </x:c>
      <x:c r="B721" t="str">
        <x:v>Sep 2025</x:v>
      </x:c>
      <x:c r="C721" t="str">
        <x:v>Actual</x:v>
      </x:c>
      <x:c r="D721" t="str">
        <x:v>DB-105</x:v>
      </x:c>
      <x:c r="E721" t="str">
        <x:v>DreamFuel Refill Pack</x:v>
      </x:c>
      <x:c r="F721" t="str">
        <x:v>TikTok Shop</x:v>
      </x:c>
      <x:c r="G721" t="str">
        <x:v>Social Commerce</x:v>
      </x:c>
      <x:c r="H721" t="str">
        <x:v>US West</x:v>
      </x:c>
      <x:c r="I721" s="34" t="n">
        <x:v>65.28</x:v>
      </x:c>
      <x:c r="J721" s="38" t="n">
        <x:v>3.152658432</x:v>
      </x:c>
      <x:c r="K721" s="38" t="n">
        <x:v>1.2091552235520002</x:v>
      </x:c>
      <x:c r="L721" s="28" t="n">
        <x:v>0.38353511794328127</x:v>
      </x:c>
    </x:row>
    <x:row r="722">
      <x:c r="A722" s="32" t="n">
        <x:v>45901</x:v>
      </x:c>
      <x:c r="B722" t="str">
        <x:v>Sep 2025</x:v>
      </x:c>
      <x:c r="C722" t="str">
        <x:v>Actual</x:v>
      </x:c>
      <x:c r="D722" t="str">
        <x:v>DB-105</x:v>
      </x:c>
      <x:c r="E722" t="str">
        <x:v>DreamFuel Refill Pack</x:v>
      </x:c>
      <x:c r="F722" t="str">
        <x:v>TikTok Shop</x:v>
      </x:c>
      <x:c r="G722" t="str">
        <x:v>Social Commerce</x:v>
      </x:c>
      <x:c r="H722" t="str">
        <x:v>US Central</x:v>
      </x:c>
      <x:c r="I722" s="34" t="n">
        <x:v>46.08</x:v>
      </x:c>
      <x:c r="J722" s="38" t="n">
        <x:v>2.2254059519999996</x:v>
      </x:c>
      <x:c r="K722" s="38" t="n">
        <x:v>0.853521334272</x:v>
      </x:c>
      <x:c r="L722" s="28" t="n">
        <x:v>0.3835351179432813</x:v>
      </x:c>
    </x:row>
    <x:row r="723">
      <x:c r="A723" s="32" t="n">
        <x:v>45901</x:v>
      </x:c>
      <x:c r="B723" t="str">
        <x:v>Sep 2025</x:v>
      </x:c>
      <x:c r="C723" t="str">
        <x:v>Actual</x:v>
      </x:c>
      <x:c r="D723" t="str">
        <x:v>DB-105</x:v>
      </x:c>
      <x:c r="E723" t="str">
        <x:v>DreamFuel Refill Pack</x:v>
      </x:c>
      <x:c r="F723" t="str">
        <x:v>TikTok Shop</x:v>
      </x:c>
      <x:c r="G723" t="str">
        <x:v>Social Commerce</x:v>
      </x:c>
      <x:c r="H723" t="str">
        <x:v>US East</x:v>
      </x:c>
      <x:c r="I723" s="34" t="n">
        <x:v>61.44</x:v>
      </x:c>
      <x:c r="J723" s="38" t="n">
        <x:v>2.967207936</x:v>
      </x:c>
      <x:c r="K723" s="38" t="n">
        <x:v>1.1380284456960001</x:v>
      </x:c>
      <x:c r="L723" s="28" t="n">
        <x:v>0.38353511794328127</x:v>
      </x:c>
    </x:row>
    <x:row r="724">
      <x:c r="A724" s="32" t="n">
        <x:v>45901</x:v>
      </x:c>
      <x:c r="B724" t="str">
        <x:v>Sep 2025</x:v>
      </x:c>
      <x:c r="C724" t="str">
        <x:v>Actual</x:v>
      </x:c>
      <x:c r="D724" t="str">
        <x:v>DB-105</x:v>
      </x:c>
      <x:c r="E724" t="str">
        <x:v>DreamFuel Refill Pack</x:v>
      </x:c>
      <x:c r="F724" t="str">
        <x:v>TikTok Shop</x:v>
      </x:c>
      <x:c r="G724" t="str">
        <x:v>Social Commerce</x:v>
      </x:c>
      <x:c r="H724" t="str">
        <x:v>Canada</x:v>
      </x:c>
      <x:c r="I724" s="34" t="n">
        <x:v>19.200000000000003</x:v>
      </x:c>
      <x:c r="J724" s="38" t="n">
        <x:v>0.9272524799999999</x:v>
      </x:c>
      <x:c r="K724" s="38" t="n">
        <x:v>0.35563388928000006</x:v>
      </x:c>
      <x:c r="L724" s="28" t="n">
        <x:v>0.3835351179432813</x:v>
      </x:c>
    </x:row>
    <x:row r="725">
      <x:c r="A725" s="32" t="n">
        <x:v>45931</x:v>
      </x:c>
      <x:c r="B725" t="str">
        <x:v>Oct 2025</x:v>
      </x:c>
      <x:c r="C725" t="str">
        <x:v>Actual</x:v>
      </x:c>
      <x:c r="D725" t="str">
        <x:v>DB-101</x:v>
      </x:c>
      <x:c r="E725" t="str">
        <x:v>AeroSip Bottle</x:v>
      </x:c>
      <x:c r="F725" t="str">
        <x:v>Shopify DTC</x:v>
      </x:c>
      <x:c r="G725" t="str">
        <x:v>Consumer</x:v>
      </x:c>
      <x:c r="H725" t="str">
        <x:v>US West</x:v>
      </x:c>
      <x:c r="I725" s="34" t="n">
        <x:v>267.92</x:v>
      </x:c>
      <x:c r="J725" s="38" t="n">
        <x:v>6.826440848000001</x:v>
      </x:c>
      <x:c r="K725" s="38" t="n">
        <x:v>2.171356943408</x:v>
      </x:c>
      <x:c r="L725" s="28" t="n">
        <x:v>0.3180803865083165</x:v>
      </x:c>
    </x:row>
    <x:row r="726">
      <x:c r="A726" s="32" t="n">
        <x:v>45931</x:v>
      </x:c>
      <x:c r="B726" t="str">
        <x:v>Oct 2025</x:v>
      </x:c>
      <x:c r="C726" t="str">
        <x:v>Actual</x:v>
      </x:c>
      <x:c r="D726" t="str">
        <x:v>DB-101</x:v>
      </x:c>
      <x:c r="E726" t="str">
        <x:v>AeroSip Bottle</x:v>
      </x:c>
      <x:c r="F726" t="str">
        <x:v>Shopify DTC</x:v>
      </x:c>
      <x:c r="G726" t="str">
        <x:v>Consumer</x:v>
      </x:c>
      <x:c r="H726" t="str">
        <x:v>US Central</x:v>
      </x:c>
      <x:c r="I726" s="34" t="n">
        <x:v>189.12</x:v>
      </x:c>
      <x:c r="J726" s="38" t="n">
        <x:v>4.818664128</x:v>
      </x:c>
      <x:c r="K726" s="38" t="n">
        <x:v>1.5327225482879998</x:v>
      </x:c>
      <x:c r="L726" s="28" t="n">
        <x:v>0.3180803865083165</x:v>
      </x:c>
    </x:row>
    <x:row r="727">
      <x:c r="A727" s="32" t="n">
        <x:v>45931</x:v>
      </x:c>
      <x:c r="B727" t="str">
        <x:v>Oct 2025</x:v>
      </x:c>
      <x:c r="C727" t="str">
        <x:v>Actual</x:v>
      </x:c>
      <x:c r="D727" t="str">
        <x:v>DB-101</x:v>
      </x:c>
      <x:c r="E727" t="str">
        <x:v>AeroSip Bottle</x:v>
      </x:c>
      <x:c r="F727" t="str">
        <x:v>Shopify DTC</x:v>
      </x:c>
      <x:c r="G727" t="str">
        <x:v>Consumer</x:v>
      </x:c>
      <x:c r="H727" t="str">
        <x:v>US East</x:v>
      </x:c>
      <x:c r="I727" s="34" t="n">
        <x:v>252.16</x:v>
      </x:c>
      <x:c r="J727" s="38" t="n">
        <x:v>6.424885504000001</x:v>
      </x:c>
      <x:c r="K727" s="38" t="n">
        <x:v>2.0436300643839997</x:v>
      </x:c>
      <x:c r="L727" s="28" t="n">
        <x:v>0.31808038650831644</x:v>
      </x:c>
    </x:row>
    <x:row r="728">
      <x:c r="A728" s="32" t="n">
        <x:v>45931</x:v>
      </x:c>
      <x:c r="B728" t="str">
        <x:v>Oct 2025</x:v>
      </x:c>
      <x:c r="C728" t="str">
        <x:v>Actual</x:v>
      </x:c>
      <x:c r="D728" t="str">
        <x:v>DB-101</x:v>
      </x:c>
      <x:c r="E728" t="str">
        <x:v>AeroSip Bottle</x:v>
      </x:c>
      <x:c r="F728" t="str">
        <x:v>Shopify DTC</x:v>
      </x:c>
      <x:c r="G728" t="str">
        <x:v>Consumer</x:v>
      </x:c>
      <x:c r="H728" t="str">
        <x:v>Canada</x:v>
      </x:c>
      <x:c r="I728" s="34" t="n">
        <x:v>78.80000000000001</x:v>
      </x:c>
      <x:c r="J728" s="38" t="n">
        <x:v>2.0077767200000003</x:v>
      </x:c>
      <x:c r="K728" s="38" t="n">
        <x:v>0.63863439512</x:v>
      </x:c>
      <x:c r="L728" s="28" t="n">
        <x:v>0.31808038650831644</x:v>
      </x:c>
    </x:row>
    <x:row r="729">
      <x:c r="A729" s="32" t="n">
        <x:v>45931</x:v>
      </x:c>
      <x:c r="B729" t="str">
        <x:v>Oct 2025</x:v>
      </x:c>
      <x:c r="C729" t="str">
        <x:v>Actual</x:v>
      </x:c>
      <x:c r="D729" t="str">
        <x:v>DB-101</x:v>
      </x:c>
      <x:c r="E729" t="str">
        <x:v>AeroSip Bottle</x:v>
      </x:c>
      <x:c r="F729" t="str">
        <x:v>Amazon Marketplace</x:v>
      </x:c>
      <x:c r="G729" t="str">
        <x:v>Marketplace Consumer</x:v>
      </x:c>
      <x:c r="H729" t="str">
        <x:v>US West</x:v>
      </x:c>
      <x:c r="I729" s="34" t="n">
        <x:v>158.44</x:v>
      </x:c>
      <x:c r="J729" s="38" t="n">
        <x:v>4.168596010000001</x:v>
      </x:c>
      <x:c r="K729" s="38" t="n">
        <x:v>0.6619167685</x:v>
      </x:c>
      <x:c r="L729" s="28" t="n">
        <x:v>0.15878649955815696</x:v>
      </x:c>
    </x:row>
    <x:row r="730">
      <x:c r="A730" s="32" t="n">
        <x:v>45931</x:v>
      </x:c>
      <x:c r="B730" t="str">
        <x:v>Oct 2025</x:v>
      </x:c>
      <x:c r="C730" t="str">
        <x:v>Actual</x:v>
      </x:c>
      <x:c r="D730" t="str">
        <x:v>DB-101</x:v>
      </x:c>
      <x:c r="E730" t="str">
        <x:v>AeroSip Bottle</x:v>
      </x:c>
      <x:c r="F730" t="str">
        <x:v>Amazon Marketplace</x:v>
      </x:c>
      <x:c r="G730" t="str">
        <x:v>Marketplace Consumer</x:v>
      </x:c>
      <x:c r="H730" t="str">
        <x:v>US Central</x:v>
      </x:c>
      <x:c r="I730" s="34" t="n">
        <x:v>111.83999999999999</x:v>
      </x:c>
      <x:c r="J730" s="38" t="n">
        <x:v>2.94253836</x:v>
      </x:c>
      <x:c r="K730" s="38" t="n">
        <x:v>0.46723536599999993</x:v>
      </x:c>
      <x:c r="L730" s="28" t="n">
        <x:v>0.15878649955815696</x:v>
      </x:c>
    </x:row>
    <x:row r="731">
      <x:c r="A731" s="32" t="n">
        <x:v>45931</x:v>
      </x:c>
      <x:c r="B731" t="str">
        <x:v>Oct 2025</x:v>
      </x:c>
      <x:c r="C731" t="str">
        <x:v>Actual</x:v>
      </x:c>
      <x:c r="D731" t="str">
        <x:v>DB-101</x:v>
      </x:c>
      <x:c r="E731" t="str">
        <x:v>AeroSip Bottle</x:v>
      </x:c>
      <x:c r="F731" t="str">
        <x:v>Amazon Marketplace</x:v>
      </x:c>
      <x:c r="G731" t="str">
        <x:v>Marketplace Consumer</x:v>
      </x:c>
      <x:c r="H731" t="str">
        <x:v>US East</x:v>
      </x:c>
      <x:c r="I731" s="34" t="n">
        <x:v>149.12</x:v>
      </x:c>
      <x:c r="J731" s="38" t="n">
        <x:v>3.92338448</x:v>
      </x:c>
      <x:c r="K731" s="38" t="n">
        <x:v>0.6229804879999999</x:v>
      </x:c>
      <x:c r="L731" s="28" t="n">
        <x:v>0.15878649955815696</x:v>
      </x:c>
    </x:row>
    <x:row r="732">
      <x:c r="A732" s="32" t="n">
        <x:v>45931</x:v>
      </x:c>
      <x:c r="B732" t="str">
        <x:v>Oct 2025</x:v>
      </x:c>
      <x:c r="C732" t="str">
        <x:v>Actual</x:v>
      </x:c>
      <x:c r="D732" t="str">
        <x:v>DB-101</x:v>
      </x:c>
      <x:c r="E732" t="str">
        <x:v>AeroSip Bottle</x:v>
      </x:c>
      <x:c r="F732" t="str">
        <x:v>Amazon Marketplace</x:v>
      </x:c>
      <x:c r="G732" t="str">
        <x:v>Marketplace Consumer</x:v>
      </x:c>
      <x:c r="H732" t="str">
        <x:v>Canada</x:v>
      </x:c>
      <x:c r="I732" s="34" t="n">
        <x:v>46.6</x:v>
      </x:c>
      <x:c r="J732" s="38" t="n">
        <x:v>1.2260576500000002</x:v>
      </x:c>
      <x:c r="K732" s="38" t="n">
        <x:v>0.1946814025</x:v>
      </x:c>
      <x:c r="L732" s="28" t="n">
        <x:v>0.15878649955815696</x:v>
      </x:c>
    </x:row>
    <x:row r="733">
      <x:c r="A733" s="32" t="n">
        <x:v>45931</x:v>
      </x:c>
      <x:c r="B733" t="str">
        <x:v>Oct 2025</x:v>
      </x:c>
      <x:c r="C733" t="str">
        <x:v>Actual</x:v>
      </x:c>
      <x:c r="D733" t="str">
        <x:v>DB-101</x:v>
      </x:c>
      <x:c r="E733" t="str">
        <x:v>AeroSip Bottle</x:v>
      </x:c>
      <x:c r="F733" t="str">
        <x:v>Wholesale</x:v>
      </x:c>
      <x:c r="G733" t="str">
        <x:v>Retailer</x:v>
      </x:c>
      <x:c r="H733" t="str">
        <x:v>US West</x:v>
      </x:c>
      <x:c r="I733" s="34" t="n">
        <x:v>44.2</x:v>
      </x:c>
      <x:c r="J733" s="38" t="n">
        <x:v>0.7956773500000001</x:v>
      </x:c>
      <x:c r="K733" s="38" t="n">
        <x:v>0.17749615000000005</x:v>
      </x:c>
      <x:c r="L733" s="28" t="n">
        <x:v>0.22307553432305197</x:v>
      </x:c>
    </x:row>
    <x:row r="734">
      <x:c r="A734" s="32" t="n">
        <x:v>45931</x:v>
      </x:c>
      <x:c r="B734" t="str">
        <x:v>Oct 2025</x:v>
      </x:c>
      <x:c r="C734" t="str">
        <x:v>Actual</x:v>
      </x:c>
      <x:c r="D734" t="str">
        <x:v>DB-101</x:v>
      </x:c>
      <x:c r="E734" t="str">
        <x:v>AeroSip Bottle</x:v>
      </x:c>
      <x:c r="F734" t="str">
        <x:v>Wholesale</x:v>
      </x:c>
      <x:c r="G734" t="str">
        <x:v>Retailer</x:v>
      </x:c>
      <x:c r="H734" t="str">
        <x:v>US Central</x:v>
      </x:c>
      <x:c r="I734" s="34" t="n">
        <x:v>31.2</x:v>
      </x:c>
      <x:c r="J734" s="38" t="n">
        <x:v>0.5616546</x:v>
      </x:c>
      <x:c r="K734" s="38" t="n">
        <x:v>0.12529140000000002</x:v>
      </x:c>
      <x:c r="L734" s="28" t="n">
        <x:v>0.22307553432305197</x:v>
      </x:c>
    </x:row>
    <x:row r="735">
      <x:c r="A735" s="32" t="n">
        <x:v>45931</x:v>
      </x:c>
      <x:c r="B735" t="str">
        <x:v>Oct 2025</x:v>
      </x:c>
      <x:c r="C735" t="str">
        <x:v>Actual</x:v>
      </x:c>
      <x:c r="D735" t="str">
        <x:v>DB-101</x:v>
      </x:c>
      <x:c r="E735" t="str">
        <x:v>AeroSip Bottle</x:v>
      </x:c>
      <x:c r="F735" t="str">
        <x:v>Wholesale</x:v>
      </x:c>
      <x:c r="G735" t="str">
        <x:v>Retailer</x:v>
      </x:c>
      <x:c r="H735" t="str">
        <x:v>US East</x:v>
      </x:c>
      <x:c r="I735" s="34" t="n">
        <x:v>41.6</x:v>
      </x:c>
      <x:c r="J735" s="38" t="n">
        <x:v>0.7488728</x:v>
      </x:c>
      <x:c r="K735" s="38" t="n">
        <x:v>0.16705520000000004</x:v>
      </x:c>
      <x:c r="L735" s="28" t="n">
        <x:v>0.223075534323052</x:v>
      </x:c>
    </x:row>
    <x:row r="736">
      <x:c r="A736" s="32" t="n">
        <x:v>45931</x:v>
      </x:c>
      <x:c r="B736" t="str">
        <x:v>Oct 2025</x:v>
      </x:c>
      <x:c r="C736" t="str">
        <x:v>Actual</x:v>
      </x:c>
      <x:c r="D736" t="str">
        <x:v>DB-101</x:v>
      </x:c>
      <x:c r="E736" t="str">
        <x:v>AeroSip Bottle</x:v>
      </x:c>
      <x:c r="F736" t="str">
        <x:v>Wholesale</x:v>
      </x:c>
      <x:c r="G736" t="str">
        <x:v>Retailer</x:v>
      </x:c>
      <x:c r="H736" t="str">
        <x:v>Canada</x:v>
      </x:c>
      <x:c r="I736" s="34" t="n">
        <x:v>13</x:v>
      </x:c>
      <x:c r="J736" s="38" t="n">
        <x:v>0.23402275000000003</x:v>
      </x:c>
      <x:c r="K736" s="38" t="n">
        <x:v>0.052204750000000015</x:v>
      </x:c>
      <x:c r="L736" s="28" t="n">
        <x:v>0.22307553432305197</x:v>
      </x:c>
    </x:row>
    <x:row r="737">
      <x:c r="A737" s="32" t="n">
        <x:v>45931</x:v>
      </x:c>
      <x:c r="B737" t="str">
        <x:v>Oct 2025</x:v>
      </x:c>
      <x:c r="C737" t="str">
        <x:v>Actual</x:v>
      </x:c>
      <x:c r="D737" t="str">
        <x:v>DB-101</x:v>
      </x:c>
      <x:c r="E737" t="str">
        <x:v>AeroSip Bottle</x:v>
      </x:c>
      <x:c r="F737" t="str">
        <x:v>TikTok Shop</x:v>
      </x:c>
      <x:c r="G737" t="str">
        <x:v>Social Commerce</x:v>
      </x:c>
      <x:c r="H737" t="str">
        <x:v>US West</x:v>
      </x:c>
      <x:c r="I737" s="34" t="n">
        <x:v>67.66000000000001</x:v>
      </x:c>
      <x:c r="J737" s="38" t="n">
        <x:v>1.6489824560000004</x:v>
      </x:c>
      <x:c r="K737" s="38" t="n">
        <x:v>0.305588257416</x:v>
      </x:c>
      <x:c r="L737" s="28" t="n">
        <x:v>0.1853192896650199</x:v>
      </x:c>
    </x:row>
    <x:row r="738">
      <x:c r="A738" s="32" t="n">
        <x:v>45931</x:v>
      </x:c>
      <x:c r="B738" t="str">
        <x:v>Oct 2025</x:v>
      </x:c>
      <x:c r="C738" t="str">
        <x:v>Actual</x:v>
      </x:c>
      <x:c r="D738" t="str">
        <x:v>DB-101</x:v>
      </x:c>
      <x:c r="E738" t="str">
        <x:v>AeroSip Bottle</x:v>
      </x:c>
      <x:c r="F738" t="str">
        <x:v>TikTok Shop</x:v>
      </x:c>
      <x:c r="G738" t="str">
        <x:v>Social Commerce</x:v>
      </x:c>
      <x:c r="H738" t="str">
        <x:v>US Central</x:v>
      </x:c>
      <x:c r="I738" s="34" t="n">
        <x:v>47.76</x:v>
      </x:c>
      <x:c r="J738" s="38" t="n">
        <x:v>1.163987616</x:v>
      </x:c>
      <x:c r="K738" s="38" t="n">
        <x:v>0.21570935817599995</x:v>
      </x:c>
      <x:c r="L738" s="28" t="n">
        <x:v>0.1853192896650199</x:v>
      </x:c>
    </x:row>
    <x:row r="739">
      <x:c r="A739" s="32" t="n">
        <x:v>45931</x:v>
      </x:c>
      <x:c r="B739" t="str">
        <x:v>Oct 2025</x:v>
      </x:c>
      <x:c r="C739" t="str">
        <x:v>Actual</x:v>
      </x:c>
      <x:c r="D739" t="str">
        <x:v>DB-101</x:v>
      </x:c>
      <x:c r="E739" t="str">
        <x:v>AeroSip Bottle</x:v>
      </x:c>
      <x:c r="F739" t="str">
        <x:v>TikTok Shop</x:v>
      </x:c>
      <x:c r="G739" t="str">
        <x:v>Social Commerce</x:v>
      </x:c>
      <x:c r="H739" t="str">
        <x:v>US East</x:v>
      </x:c>
      <x:c r="I739" s="34" t="n">
        <x:v>63.68</x:v>
      </x:c>
      <x:c r="J739" s="38" t="n">
        <x:v>1.5519834880000003</x:v>
      </x:c>
      <x:c r="K739" s="38" t="n">
        <x:v>0.28761247756799996</x:v>
      </x:c>
      <x:c r="L739" s="28" t="n">
        <x:v>0.18531928966501987</x:v>
      </x:c>
    </x:row>
    <x:row r="740">
      <x:c r="A740" s="32" t="n">
        <x:v>45931</x:v>
      </x:c>
      <x:c r="B740" t="str">
        <x:v>Oct 2025</x:v>
      </x:c>
      <x:c r="C740" t="str">
        <x:v>Actual</x:v>
      </x:c>
      <x:c r="D740" t="str">
        <x:v>DB-101</x:v>
      </x:c>
      <x:c r="E740" t="str">
        <x:v>AeroSip Bottle</x:v>
      </x:c>
      <x:c r="F740" t="str">
        <x:v>TikTok Shop</x:v>
      </x:c>
      <x:c r="G740" t="str">
        <x:v>Social Commerce</x:v>
      </x:c>
      <x:c r="H740" t="str">
        <x:v>Canada</x:v>
      </x:c>
      <x:c r="I740" s="34" t="n">
        <x:v>19.900000000000002</x:v>
      </x:c>
      <x:c r="J740" s="38" t="n">
        <x:v>0.4849948400000001</x:v>
      </x:c>
      <x:c r="K740" s="38" t="n">
        <x:v>0.08987889923999999</x:v>
      </x:c>
      <x:c r="L740" s="28" t="n">
        <x:v>0.1853192896650199</x:v>
      </x:c>
    </x:row>
    <x:row r="741">
      <x:c r="A741" s="32" t="n">
        <x:v>45931</x:v>
      </x:c>
      <x:c r="B741" t="str">
        <x:v>Oct 2025</x:v>
      </x:c>
      <x:c r="C741" t="str">
        <x:v>Actual</x:v>
      </x:c>
      <x:c r="D741" t="str">
        <x:v>DB-102</x:v>
      </x:c>
      <x:c r="E741" t="str">
        <x:v>GlowPatch Balm</x:v>
      </x:c>
      <x:c r="F741" t="str">
        <x:v>Shopify DTC</x:v>
      </x:c>
      <x:c r="G741" t="str">
        <x:v>Consumer</x:v>
      </x:c>
      <x:c r="H741" t="str">
        <x:v>US West</x:v>
      </x:c>
      <x:c r="I741" s="34" t="n">
        <x:v>268.94</x:v>
      </x:c>
      <x:c r="J741" s="38" t="n">
        <x:v>4.34230524</x:v>
      </x:c>
      <x:c r="K741" s="38" t="n">
        <x:v>1.19994734804</x:v>
      </x:c>
      <x:c r="L741" s="28" t="n">
        <x:v>0.2763387835996532</x:v>
      </x:c>
    </x:row>
    <x:row r="742">
      <x:c r="A742" s="32" t="n">
        <x:v>45931</x:v>
      </x:c>
      <x:c r="B742" t="str">
        <x:v>Oct 2025</x:v>
      </x:c>
      <x:c r="C742" t="str">
        <x:v>Actual</x:v>
      </x:c>
      <x:c r="D742" t="str">
        <x:v>DB-102</x:v>
      </x:c>
      <x:c r="E742" t="str">
        <x:v>GlowPatch Balm</x:v>
      </x:c>
      <x:c r="F742" t="str">
        <x:v>Shopify DTC</x:v>
      </x:c>
      <x:c r="G742" t="str">
        <x:v>Consumer</x:v>
      </x:c>
      <x:c r="H742" t="str">
        <x:v>US Central</x:v>
      </x:c>
      <x:c r="I742" s="34" t="n">
        <x:v>189.84</x:v>
      </x:c>
      <x:c r="J742" s="38" t="n">
        <x:v>3.0651566399999997</x:v>
      </x:c>
      <x:c r="K742" s="38" t="n">
        <x:v>0.84702165744</x:v>
      </x:c>
      <x:c r="L742" s="28" t="n">
        <x:v>0.2763387835996532</x:v>
      </x:c>
    </x:row>
    <x:row r="743">
      <x:c r="A743" s="32" t="n">
        <x:v>45931</x:v>
      </x:c>
      <x:c r="B743" t="str">
        <x:v>Oct 2025</x:v>
      </x:c>
      <x:c r="C743" t="str">
        <x:v>Actual</x:v>
      </x:c>
      <x:c r="D743" t="str">
        <x:v>DB-102</x:v>
      </x:c>
      <x:c r="E743" t="str">
        <x:v>GlowPatch Balm</x:v>
      </x:c>
      <x:c r="F743" t="str">
        <x:v>Shopify DTC</x:v>
      </x:c>
      <x:c r="G743" t="str">
        <x:v>Consumer</x:v>
      </x:c>
      <x:c r="H743" t="str">
        <x:v>US East</x:v>
      </x:c>
      <x:c r="I743" s="34" t="n">
        <x:v>253.12</x:v>
      </x:c>
      <x:c r="J743" s="38" t="n">
        <x:v>4.0868755199999995</x:v>
      </x:c>
      <x:c r="K743" s="38" t="n">
        <x:v>1.12936220992</x:v>
      </x:c>
      <x:c r="L743" s="28" t="n">
        <x:v>0.2763387835996532</x:v>
      </x:c>
    </x:row>
    <x:row r="744">
      <x:c r="A744" s="32" t="n">
        <x:v>45931</x:v>
      </x:c>
      <x:c r="B744" t="str">
        <x:v>Oct 2025</x:v>
      </x:c>
      <x:c r="C744" t="str">
        <x:v>Actual</x:v>
      </x:c>
      <x:c r="D744" t="str">
        <x:v>DB-102</x:v>
      </x:c>
      <x:c r="E744" t="str">
        <x:v>GlowPatch Balm</x:v>
      </x:c>
      <x:c r="F744" t="str">
        <x:v>Shopify DTC</x:v>
      </x:c>
      <x:c r="G744" t="str">
        <x:v>Consumer</x:v>
      </x:c>
      <x:c r="H744" t="str">
        <x:v>Canada</x:v>
      </x:c>
      <x:c r="I744" s="34" t="n">
        <x:v>79.10000000000001</x:v>
      </x:c>
      <x:c r="J744" s="38" t="n">
        <x:v>1.2771486</x:v>
      </x:c>
      <x:c r="K744" s="38" t="n">
        <x:v>0.3529256906</x:v>
      </x:c>
      <x:c r="L744" s="28" t="n">
        <x:v>0.27633878359965314</x:v>
      </x:c>
    </x:row>
    <x:row r="745">
      <x:c r="A745" s="32" t="n">
        <x:v>45931</x:v>
      </x:c>
      <x:c r="B745" t="str">
        <x:v>Oct 2025</x:v>
      </x:c>
      <x:c r="C745" t="str">
        <x:v>Actual</x:v>
      </x:c>
      <x:c r="D745" t="str">
        <x:v>DB-102</x:v>
      </x:c>
      <x:c r="E745" t="str">
        <x:v>GlowPatch Balm</x:v>
      </x:c>
      <x:c r="F745" t="str">
        <x:v>Amazon Marketplace</x:v>
      </x:c>
      <x:c r="G745" t="str">
        <x:v>Marketplace Consumer</x:v>
      </x:c>
      <x:c r="H745" t="str">
        <x:v>US West</x:v>
      </x:c>
      <x:c r="I745" s="34" t="n">
        <x:v>158.44</x:v>
      </x:c>
      <x:c r="J745" s="38" t="n">
        <x:v>2.6415909</x:v>
      </x:c>
      <x:c r="K745" s="38" t="n">
        <x:v>0.22270722499999968</x:v>
      </x:c>
      <x:c r="L745" s="28" t="n">
        <x:v>0.08430799220272892</x:v>
      </x:c>
    </x:row>
    <x:row r="746">
      <x:c r="A746" s="32" t="n">
        <x:v>45931</x:v>
      </x:c>
      <x:c r="B746" t="str">
        <x:v>Oct 2025</x:v>
      </x:c>
      <x:c r="C746" t="str">
        <x:v>Actual</x:v>
      </x:c>
      <x:c r="D746" t="str">
        <x:v>DB-102</x:v>
      </x:c>
      <x:c r="E746" t="str">
        <x:v>GlowPatch Balm</x:v>
      </x:c>
      <x:c r="F746" t="str">
        <x:v>Amazon Marketplace</x:v>
      </x:c>
      <x:c r="G746" t="str">
        <x:v>Marketplace Consumer</x:v>
      </x:c>
      <x:c r="H746" t="str">
        <x:v>US Central</x:v>
      </x:c>
      <x:c r="I746" s="34" t="n">
        <x:v>111.83999999999999</x:v>
      </x:c>
      <x:c r="J746" s="38" t="n">
        <x:v>1.8646523999999998</x:v>
      </x:c>
      <x:c r="K746" s="38" t="n">
        <x:v>0.15720509999999976</x:v>
      </x:c>
      <x:c r="L746" s="28" t="n">
        <x:v>0.08430799220272893</x:v>
      </x:c>
    </x:row>
    <x:row r="747">
      <x:c r="A747" s="32" t="n">
        <x:v>45931</x:v>
      </x:c>
      <x:c r="B747" t="str">
        <x:v>Oct 2025</x:v>
      </x:c>
      <x:c r="C747" t="str">
        <x:v>Actual</x:v>
      </x:c>
      <x:c r="D747" t="str">
        <x:v>DB-102</x:v>
      </x:c>
      <x:c r="E747" t="str">
        <x:v>GlowPatch Balm</x:v>
      </x:c>
      <x:c r="F747" t="str">
        <x:v>Amazon Marketplace</x:v>
      </x:c>
      <x:c r="G747" t="str">
        <x:v>Marketplace Consumer</x:v>
      </x:c>
      <x:c r="H747" t="str">
        <x:v>US East</x:v>
      </x:c>
      <x:c r="I747" s="34" t="n">
        <x:v>149.12</x:v>
      </x:c>
      <x:c r="J747" s="38" t="n">
        <x:v>2.4862032</x:v>
      </x:c>
      <x:c r="K747" s="38" t="n">
        <x:v>0.20960679999999968</x:v>
      </x:c>
      <x:c r="L747" s="28" t="n">
        <x:v>0.08430799220272892</x:v>
      </x:c>
    </x:row>
    <x:row r="748">
      <x:c r="A748" s="32" t="n">
        <x:v>45931</x:v>
      </x:c>
      <x:c r="B748" t="str">
        <x:v>Oct 2025</x:v>
      </x:c>
      <x:c r="C748" t="str">
        <x:v>Actual</x:v>
      </x:c>
      <x:c r="D748" t="str">
        <x:v>DB-102</x:v>
      </x:c>
      <x:c r="E748" t="str">
        <x:v>GlowPatch Balm</x:v>
      </x:c>
      <x:c r="F748" t="str">
        <x:v>Amazon Marketplace</x:v>
      </x:c>
      <x:c r="G748" t="str">
        <x:v>Marketplace Consumer</x:v>
      </x:c>
      <x:c r="H748" t="str">
        <x:v>Canada</x:v>
      </x:c>
      <x:c r="I748" s="34" t="n">
        <x:v>46.6</x:v>
      </x:c>
      <x:c r="J748" s="38" t="n">
        <x:v>0.7769385</x:v>
      </x:c>
      <x:c r="K748" s="38" t="n">
        <x:v>0.0655021249999999</x:v>
      </x:c>
      <x:c r="L748" s="28" t="n">
        <x:v>0.08430799220272892</x:v>
      </x:c>
    </x:row>
    <x:row r="749">
      <x:c r="A749" s="32" t="n">
        <x:v>45931</x:v>
      </x:c>
      <x:c r="B749" t="str">
        <x:v>Oct 2025</x:v>
      </x:c>
      <x:c r="C749" t="str">
        <x:v>Actual</x:v>
      </x:c>
      <x:c r="D749" t="str">
        <x:v>DB-102</x:v>
      </x:c>
      <x:c r="E749" t="str">
        <x:v>GlowPatch Balm</x:v>
      </x:c>
      <x:c r="F749" t="str">
        <x:v>Wholesale</x:v>
      </x:c>
      <x:c r="G749" t="str">
        <x:v>Retailer</x:v>
      </x:c>
      <x:c r="H749" t="str">
        <x:v>US West</x:v>
      </x:c>
      <x:c r="I749" s="34" t="n">
        <x:v>44.540000000000006</x:v>
      </x:c>
      <x:c r="J749" s="38" t="n">
        <x:v>0.5080900500000001</x:v>
      </x:c>
      <x:c r="K749" s="38" t="n">
        <x:v>0.12656041</x:v>
      </x:c>
      <x:c r="L749" s="28" t="n">
        <x:v>0.24909051062897217</x:v>
      </x:c>
    </x:row>
    <x:row r="750">
      <x:c r="A750" s="32" t="n">
        <x:v>45931</x:v>
      </x:c>
      <x:c r="B750" t="str">
        <x:v>Oct 2025</x:v>
      </x:c>
      <x:c r="C750" t="str">
        <x:v>Actual</x:v>
      </x:c>
      <x:c r="D750" t="str">
        <x:v>DB-102</x:v>
      </x:c>
      <x:c r="E750" t="str">
        <x:v>GlowPatch Balm</x:v>
      </x:c>
      <x:c r="F750" t="str">
        <x:v>Wholesale</x:v>
      </x:c>
      <x:c r="G750" t="str">
        <x:v>Retailer</x:v>
      </x:c>
      <x:c r="H750" t="str">
        <x:v>US Central</x:v>
      </x:c>
      <x:c r="I750" s="34" t="n">
        <x:v>31.439999999999998</x:v>
      </x:c>
      <x:c r="J750" s="38" t="n">
        <x:v>0.35865179999999997</x:v>
      </x:c>
      <x:c r="K750" s="38" t="n">
        <x:v>0.08933675999999999</x:v>
      </x:c>
      <x:c r="L750" s="28" t="n">
        <x:v>0.24909051062897217</x:v>
      </x:c>
    </x:row>
    <x:row r="751">
      <x:c r="A751" s="32" t="n">
        <x:v>45931</x:v>
      </x:c>
      <x:c r="B751" t="str">
        <x:v>Oct 2025</x:v>
      </x:c>
      <x:c r="C751" t="str">
        <x:v>Actual</x:v>
      </x:c>
      <x:c r="D751" t="str">
        <x:v>DB-102</x:v>
      </x:c>
      <x:c r="E751" t="str">
        <x:v>GlowPatch Balm</x:v>
      </x:c>
      <x:c r="F751" t="str">
        <x:v>Wholesale</x:v>
      </x:c>
      <x:c r="G751" t="str">
        <x:v>Retailer</x:v>
      </x:c>
      <x:c r="H751" t="str">
        <x:v>US East</x:v>
      </x:c>
      <x:c r="I751" s="34" t="n">
        <x:v>41.92</x:v>
      </x:c>
      <x:c r="J751" s="38" t="n">
        <x:v>0.47820239999999997</x:v>
      </x:c>
      <x:c r="K751" s="38" t="n">
        <x:v>0.11911567999999999</x:v>
      </x:c>
      <x:c r="L751" s="28" t="n">
        <x:v>0.24909051062897217</x:v>
      </x:c>
    </x:row>
    <x:row r="752">
      <x:c r="A752" s="32" t="n">
        <x:v>45931</x:v>
      </x:c>
      <x:c r="B752" t="str">
        <x:v>Oct 2025</x:v>
      </x:c>
      <x:c r="C752" t="str">
        <x:v>Actual</x:v>
      </x:c>
      <x:c r="D752" t="str">
        <x:v>DB-102</x:v>
      </x:c>
      <x:c r="E752" t="str">
        <x:v>GlowPatch Balm</x:v>
      </x:c>
      <x:c r="F752" t="str">
        <x:v>Wholesale</x:v>
      </x:c>
      <x:c r="G752" t="str">
        <x:v>Retailer</x:v>
      </x:c>
      <x:c r="H752" t="str">
        <x:v>Canada</x:v>
      </x:c>
      <x:c r="I752" s="34" t="n">
        <x:v>13.100000000000001</x:v>
      </x:c>
      <x:c r="J752" s="38" t="n">
        <x:v>0.14943825</x:v>
      </x:c>
      <x:c r="K752" s="38" t="n">
        <x:v>0.03722365</x:v>
      </x:c>
      <x:c r="L752" s="28" t="n">
        <x:v>0.24909051062897217</x:v>
      </x:c>
    </x:row>
    <x:row r="753">
      <x:c r="A753" s="32" t="n">
        <x:v>45931</x:v>
      </x:c>
      <x:c r="B753" t="str">
        <x:v>Oct 2025</x:v>
      </x:c>
      <x:c r="C753" t="str">
        <x:v>Actual</x:v>
      </x:c>
      <x:c r="D753" t="str">
        <x:v>DB-102</x:v>
      </x:c>
      <x:c r="E753" t="str">
        <x:v>GlowPatch Balm</x:v>
      </x:c>
      <x:c r="F753" t="str">
        <x:v>TikTok Shop</x:v>
      </x:c>
      <x:c r="G753" t="str">
        <x:v>Social Commerce</x:v>
      </x:c>
      <x:c r="H753" t="str">
        <x:v>US West</x:v>
      </x:c>
      <x:c r="I753" s="34" t="n">
        <x:v>68</x:v>
      </x:c>
      <x:c r="J753" s="38" t="n">
        <x:v>1.050192</x:v>
      </x:c>
      <x:c r="K753" s="38" t="n">
        <x:v>0.12263691200000014</x:v>
      </x:c>
      <x:c r="L753" s="28" t="n">
        <x:v>0.11677570577570591</x:v>
      </x:c>
    </x:row>
    <x:row r="754">
      <x:c r="A754" s="32" t="n">
        <x:v>45931</x:v>
      </x:c>
      <x:c r="B754" t="str">
        <x:v>Oct 2025</x:v>
      </x:c>
      <x:c r="C754" t="str">
        <x:v>Actual</x:v>
      </x:c>
      <x:c r="D754" t="str">
        <x:v>DB-102</x:v>
      </x:c>
      <x:c r="E754" t="str">
        <x:v>GlowPatch Balm</x:v>
      </x:c>
      <x:c r="F754" t="str">
        <x:v>TikTok Shop</x:v>
      </x:c>
      <x:c r="G754" t="str">
        <x:v>Social Commerce</x:v>
      </x:c>
      <x:c r="H754" t="str">
        <x:v>US Central</x:v>
      </x:c>
      <x:c r="I754" s="34" t="n">
        <x:v>48</x:v>
      </x:c>
      <x:c r="J754" s="38" t="n">
        <x:v>0.741312</x:v>
      </x:c>
      <x:c r="K754" s="38" t="n">
        <x:v>0.08656723200000009</x:v>
      </x:c>
      <x:c r="L754" s="28" t="n">
        <x:v>0.11677570577570591</x:v>
      </x:c>
    </x:row>
    <x:row r="755">
      <x:c r="A755" s="32" t="n">
        <x:v>45931</x:v>
      </x:c>
      <x:c r="B755" t="str">
        <x:v>Oct 2025</x:v>
      </x:c>
      <x:c r="C755" t="str">
        <x:v>Actual</x:v>
      </x:c>
      <x:c r="D755" t="str">
        <x:v>DB-102</x:v>
      </x:c>
      <x:c r="E755" t="str">
        <x:v>GlowPatch Balm</x:v>
      </x:c>
      <x:c r="F755" t="str">
        <x:v>TikTok Shop</x:v>
      </x:c>
      <x:c r="G755" t="str">
        <x:v>Social Commerce</x:v>
      </x:c>
      <x:c r="H755" t="str">
        <x:v>US East</x:v>
      </x:c>
      <x:c r="I755" s="34" t="n">
        <x:v>64</x:v>
      </x:c>
      <x:c r="J755" s="38" t="n">
        <x:v>0.9884160000000001</x:v>
      </x:c>
      <x:c r="K755" s="38" t="n">
        <x:v>0.11542297600000012</x:v>
      </x:c>
      <x:c r="L755" s="28" t="n">
        <x:v>0.1167757057757059</x:v>
      </x:c>
    </x:row>
    <x:row r="756">
      <x:c r="A756" s="32" t="n">
        <x:v>45931</x:v>
      </x:c>
      <x:c r="B756" t="str">
        <x:v>Oct 2025</x:v>
      </x:c>
      <x:c r="C756" t="str">
        <x:v>Actual</x:v>
      </x:c>
      <x:c r="D756" t="str">
        <x:v>DB-102</x:v>
      </x:c>
      <x:c r="E756" t="str">
        <x:v>GlowPatch Balm</x:v>
      </x:c>
      <x:c r="F756" t="str">
        <x:v>TikTok Shop</x:v>
      </x:c>
      <x:c r="G756" t="str">
        <x:v>Social Commerce</x:v>
      </x:c>
      <x:c r="H756" t="str">
        <x:v>Canada</x:v>
      </x:c>
      <x:c r="I756" s="34" t="n">
        <x:v>20</x:v>
      </x:c>
      <x:c r="J756" s="38" t="n">
        <x:v>0.30888000000000004</x:v>
      </x:c>
      <x:c r="K756" s="38" t="n">
        <x:v>0.03606968000000004</x:v>
      </x:c>
      <x:c r="L756" s="28" t="n">
        <x:v>0.1167757057757059</x:v>
      </x:c>
    </x:row>
    <x:row r="757">
      <x:c r="A757" s="32" t="n">
        <x:v>45931</x:v>
      </x:c>
      <x:c r="B757" t="str">
        <x:v>Oct 2025</x:v>
      </x:c>
      <x:c r="C757" t="str">
        <x:v>Actual</x:v>
      </x:c>
      <x:c r="D757" t="str">
        <x:v>DB-103</x:v>
      </x:c>
      <x:c r="E757" t="str">
        <x:v>EmberTrail Camp Mug</x:v>
      </x:c>
      <x:c r="F757" t="str">
        <x:v>Shopify DTC</x:v>
      </x:c>
      <x:c r="G757" t="str">
        <x:v>Consumer</x:v>
      </x:c>
      <x:c r="H757" t="str">
        <x:v>US West</x:v>
      </x:c>
      <x:c r="I757" s="34" t="n">
        <x:v>207.4</x:v>
      </x:c>
      <x:c r="J757" s="38" t="n">
        <x:v>6.13066104</x:v>
      </x:c>
      <x:c r="K757" s="38" t="n">
        <x:v>1.9031794698399995</x:v>
      </x:c>
      <x:c r="L757" s="28" t="n">
        <x:v>0.3104362575948253</x:v>
      </x:c>
    </x:row>
    <x:row r="758">
      <x:c r="A758" s="32" t="n">
        <x:v>45931</x:v>
      </x:c>
      <x:c r="B758" t="str">
        <x:v>Oct 2025</x:v>
      </x:c>
      <x:c r="C758" t="str">
        <x:v>Actual</x:v>
      </x:c>
      <x:c r="D758" t="str">
        <x:v>DB-103</x:v>
      </x:c>
      <x:c r="E758" t="str">
        <x:v>EmberTrail Camp Mug</x:v>
      </x:c>
      <x:c r="F758" t="str">
        <x:v>Shopify DTC</x:v>
      </x:c>
      <x:c r="G758" t="str">
        <x:v>Consumer</x:v>
      </x:c>
      <x:c r="H758" t="str">
        <x:v>US Central</x:v>
      </x:c>
      <x:c r="I758" s="34" t="n">
        <x:v>146.4</x:v>
      </x:c>
      <x:c r="J758" s="38" t="n">
        <x:v>4.32752544</x:v>
      </x:c>
      <x:c r="K758" s="38" t="n">
        <x:v>1.3434208022399994</x:v>
      </x:c>
      <x:c r="L758" s="28" t="n">
        <x:v>0.31043625759482524</x:v>
      </x:c>
    </x:row>
    <x:row r="759">
      <x:c r="A759" s="32" t="n">
        <x:v>45931</x:v>
      </x:c>
      <x:c r="B759" t="str">
        <x:v>Oct 2025</x:v>
      </x:c>
      <x:c r="C759" t="str">
        <x:v>Actual</x:v>
      </x:c>
      <x:c r="D759" t="str">
        <x:v>DB-103</x:v>
      </x:c>
      <x:c r="E759" t="str">
        <x:v>EmberTrail Camp Mug</x:v>
      </x:c>
      <x:c r="F759" t="str">
        <x:v>Shopify DTC</x:v>
      </x:c>
      <x:c r="G759" t="str">
        <x:v>Consumer</x:v>
      </x:c>
      <x:c r="H759" t="str">
        <x:v>US East</x:v>
      </x:c>
      <x:c r="I759" s="34" t="n">
        <x:v>195.20000000000002</x:v>
      </x:c>
      <x:c r="J759" s="38" t="n">
        <x:v>5.7700339199999995</x:v>
      </x:c>
      <x:c r="K759" s="38" t="n">
        <x:v>1.7912277363199993</x:v>
      </x:c>
      <x:c r="L759" s="28" t="n">
        <x:v>0.3104362575948253</x:v>
      </x:c>
    </x:row>
    <x:row r="760">
      <x:c r="A760" s="32" t="n">
        <x:v>45931</x:v>
      </x:c>
      <x:c r="B760" t="str">
        <x:v>Oct 2025</x:v>
      </x:c>
      <x:c r="C760" t="str">
        <x:v>Actual</x:v>
      </x:c>
      <x:c r="D760" t="str">
        <x:v>DB-103</x:v>
      </x:c>
      <x:c r="E760" t="str">
        <x:v>EmberTrail Camp Mug</x:v>
      </x:c>
      <x:c r="F760" t="str">
        <x:v>Shopify DTC</x:v>
      </x:c>
      <x:c r="G760" t="str">
        <x:v>Consumer</x:v>
      </x:c>
      <x:c r="H760" t="str">
        <x:v>Canada</x:v>
      </x:c>
      <x:c r="I760" s="34" t="n">
        <x:v>61</x:v>
      </x:c>
      <x:c r="J760" s="38" t="n">
        <x:v>1.8031356</x:v>
      </x:c>
      <x:c r="K760" s="38" t="n">
        <x:v>0.5597586675999998</x:v>
      </x:c>
      <x:c r="L760" s="28" t="n">
        <x:v>0.31043625759482524</x:v>
      </x:c>
    </x:row>
    <x:row r="761">
      <x:c r="A761" s="32" t="n">
        <x:v>45931</x:v>
      </x:c>
      <x:c r="B761" t="str">
        <x:v>Oct 2025</x:v>
      </x:c>
      <x:c r="C761" t="str">
        <x:v>Actual</x:v>
      </x:c>
      <x:c r="D761" t="str">
        <x:v>DB-103</x:v>
      </x:c>
      <x:c r="E761" t="str">
        <x:v>EmberTrail Camp Mug</x:v>
      </x:c>
      <x:c r="F761" t="str">
        <x:v>Amazon Marketplace</x:v>
      </x:c>
      <x:c r="G761" t="str">
        <x:v>Marketplace Consumer</x:v>
      </x:c>
      <x:c r="H761" t="str">
        <x:v>US West</x:v>
      </x:c>
      <x:c r="I761" s="34" t="n">
        <x:v>122.4</x:v>
      </x:c>
      <x:c r="J761" s="38" t="n">
        <x:v>3.7360764000000004</x:v>
      </x:c>
      <x:c r="K761" s="38" t="n">
        <x:v>0.5959625400000002</x:v>
      </x:c>
      <x:c r="L761" s="28" t="n">
        <x:v>0.15951561911314235</x:v>
      </x:c>
    </x:row>
    <x:row r="762">
      <x:c r="A762" s="32" t="n">
        <x:v>45931</x:v>
      </x:c>
      <x:c r="B762" t="str">
        <x:v>Oct 2025</x:v>
      </x:c>
      <x:c r="C762" t="str">
        <x:v>Actual</x:v>
      </x:c>
      <x:c r="D762" t="str">
        <x:v>DB-103</x:v>
      </x:c>
      <x:c r="E762" t="str">
        <x:v>EmberTrail Camp Mug</x:v>
      </x:c>
      <x:c r="F762" t="str">
        <x:v>Amazon Marketplace</x:v>
      </x:c>
      <x:c r="G762" t="str">
        <x:v>Marketplace Consumer</x:v>
      </x:c>
      <x:c r="H762" t="str">
        <x:v>US Central</x:v>
      </x:c>
      <x:c r="I762" s="34" t="n">
        <x:v>86.39999999999999</x:v>
      </x:c>
      <x:c r="J762" s="38" t="n">
        <x:v>2.6372304</x:v>
      </x:c>
      <x:c r="K762" s="38" t="n">
        <x:v>0.42067944000000007</x:v>
      </x:c>
      <x:c r="L762" s="28" t="n">
        <x:v>0.15951561911314235</x:v>
      </x:c>
    </x:row>
    <x:row r="763">
      <x:c r="A763" s="32" t="n">
        <x:v>45931</x:v>
      </x:c>
      <x:c r="B763" t="str">
        <x:v>Oct 2025</x:v>
      </x:c>
      <x:c r="C763" t="str">
        <x:v>Actual</x:v>
      </x:c>
      <x:c r="D763" t="str">
        <x:v>DB-103</x:v>
      </x:c>
      <x:c r="E763" t="str">
        <x:v>EmberTrail Camp Mug</x:v>
      </x:c>
      <x:c r="F763" t="str">
        <x:v>Amazon Marketplace</x:v>
      </x:c>
      <x:c r="G763" t="str">
        <x:v>Marketplace Consumer</x:v>
      </x:c>
      <x:c r="H763" t="str">
        <x:v>US East</x:v>
      </x:c>
      <x:c r="I763" s="34" t="n">
        <x:v>115.2</x:v>
      </x:c>
      <x:c r="J763" s="38" t="n">
        <x:v>3.5163072</x:v>
      </x:c>
      <x:c r="K763" s="38" t="n">
        <x:v>0.5609059200000001</x:v>
      </x:c>
      <x:c r="L763" s="28" t="n">
        <x:v>0.15951561911314235</x:v>
      </x:c>
    </x:row>
    <x:row r="764">
      <x:c r="A764" s="32" t="n">
        <x:v>45931</x:v>
      </x:c>
      <x:c r="B764" t="str">
        <x:v>Oct 2025</x:v>
      </x:c>
      <x:c r="C764" t="str">
        <x:v>Actual</x:v>
      </x:c>
      <x:c r="D764" t="str">
        <x:v>DB-103</x:v>
      </x:c>
      <x:c r="E764" t="str">
        <x:v>EmberTrail Camp Mug</x:v>
      </x:c>
      <x:c r="F764" t="str">
        <x:v>Amazon Marketplace</x:v>
      </x:c>
      <x:c r="G764" t="str">
        <x:v>Marketplace Consumer</x:v>
      </x:c>
      <x:c r="H764" t="str">
        <x:v>Canada</x:v>
      </x:c>
      <x:c r="I764" s="34" t="n">
        <x:v>36</x:v>
      </x:c>
      <x:c r="J764" s="38" t="n">
        <x:v>1.098846</x:v>
      </x:c>
      <x:c r="K764" s="38" t="n">
        <x:v>0.17528310000000002</x:v>
      </x:c>
      <x:c r="L764" s="28" t="n">
        <x:v>0.15951561911314235</x:v>
      </x:c>
    </x:row>
    <x:row r="765">
      <x:c r="A765" s="32" t="n">
        <x:v>45931</x:v>
      </x:c>
      <x:c r="B765" t="str">
        <x:v>Oct 2025</x:v>
      </x:c>
      <x:c r="C765" t="str">
        <x:v>Actual</x:v>
      </x:c>
      <x:c r="D765" t="str">
        <x:v>DB-103</x:v>
      </x:c>
      <x:c r="E765" t="str">
        <x:v>EmberTrail Camp Mug</x:v>
      </x:c>
      <x:c r="F765" t="str">
        <x:v>Wholesale</x:v>
      </x:c>
      <x:c r="G765" t="str">
        <x:v>Retailer</x:v>
      </x:c>
      <x:c r="H765" t="str">
        <x:v>US West</x:v>
      </x:c>
      <x:c r="I765" s="34" t="n">
        <x:v>34</x:v>
      </x:c>
      <x:c r="J765" s="38" t="n">
        <x:v>0.7100730000000001</x:v>
      </x:c>
      <x:c r="K765" s="38" t="n">
        <x:v>0.136289</x:v>
      </x:c>
      <x:c r="L765" s="28" t="n">
        <x:v>0.19193660370130955</x:v>
      </x:c>
    </x:row>
    <x:row r="766">
      <x:c r="A766" s="32" t="n">
        <x:v>45931</x:v>
      </x:c>
      <x:c r="B766" t="str">
        <x:v>Oct 2025</x:v>
      </x:c>
      <x:c r="C766" t="str">
        <x:v>Actual</x:v>
      </x:c>
      <x:c r="D766" t="str">
        <x:v>DB-103</x:v>
      </x:c>
      <x:c r="E766" t="str">
        <x:v>EmberTrail Camp Mug</x:v>
      </x:c>
      <x:c r="F766" t="str">
        <x:v>Wholesale</x:v>
      </x:c>
      <x:c r="G766" t="str">
        <x:v>Retailer</x:v>
      </x:c>
      <x:c r="H766" t="str">
        <x:v>US Central</x:v>
      </x:c>
      <x:c r="I766" s="34" t="n">
        <x:v>24</x:v>
      </x:c>
      <x:c r="J766" s="38" t="n">
        <x:v>0.501228</x:v>
      </x:c>
      <x:c r="K766" s="38" t="n">
        <x:v>0.09620399999999998</x:v>
      </x:c>
      <x:c r="L766" s="28" t="n">
        <x:v>0.19193660370130955</x:v>
      </x:c>
    </x:row>
    <x:row r="767">
      <x:c r="A767" s="32" t="n">
        <x:v>45931</x:v>
      </x:c>
      <x:c r="B767" t="str">
        <x:v>Oct 2025</x:v>
      </x:c>
      <x:c r="C767" t="str">
        <x:v>Actual</x:v>
      </x:c>
      <x:c r="D767" t="str">
        <x:v>DB-103</x:v>
      </x:c>
      <x:c r="E767" t="str">
        <x:v>EmberTrail Camp Mug</x:v>
      </x:c>
      <x:c r="F767" t="str">
        <x:v>Wholesale</x:v>
      </x:c>
      <x:c r="G767" t="str">
        <x:v>Retailer</x:v>
      </x:c>
      <x:c r="H767" t="str">
        <x:v>US East</x:v>
      </x:c>
      <x:c r="I767" s="34" t="n">
        <x:v>32</x:v>
      </x:c>
      <x:c r="J767" s="38" t="n">
        <x:v>0.668304</x:v>
      </x:c>
      <x:c r="K767" s="38" t="n">
        <x:v>0.12827199999999997</x:v>
      </x:c>
      <x:c r="L767" s="28" t="n">
        <x:v>0.19193660370130952</x:v>
      </x:c>
    </x:row>
    <x:row r="768">
      <x:c r="A768" s="32" t="n">
        <x:v>45931</x:v>
      </x:c>
      <x:c r="B768" t="str">
        <x:v>Oct 2025</x:v>
      </x:c>
      <x:c r="C768" t="str">
        <x:v>Actual</x:v>
      </x:c>
      <x:c r="D768" t="str">
        <x:v>DB-103</x:v>
      </x:c>
      <x:c r="E768" t="str">
        <x:v>EmberTrail Camp Mug</x:v>
      </x:c>
      <x:c r="F768" t="str">
        <x:v>Wholesale</x:v>
      </x:c>
      <x:c r="G768" t="str">
        <x:v>Retailer</x:v>
      </x:c>
      <x:c r="H768" t="str">
        <x:v>Canada</x:v>
      </x:c>
      <x:c r="I768" s="34" t="n">
        <x:v>10</x:v>
      </x:c>
      <x:c r="J768" s="38" t="n">
        <x:v>0.208845</x:v>
      </x:c>
      <x:c r="K768" s="38" t="n">
        <x:v>0.040084999999999996</x:v>
      </x:c>
      <x:c r="L768" s="28" t="n">
        <x:v>0.19193660370130955</x:v>
      </x:c>
    </x:row>
    <x:row r="769">
      <x:c r="A769" s="32" t="n">
        <x:v>45931</x:v>
      </x:c>
      <x:c r="B769" t="str">
        <x:v>Oct 2025</x:v>
      </x:c>
      <x:c r="C769" t="str">
        <x:v>Actual</x:v>
      </x:c>
      <x:c r="D769" t="str">
        <x:v>DB-103</x:v>
      </x:c>
      <x:c r="E769" t="str">
        <x:v>EmberTrail Camp Mug</x:v>
      </x:c>
      <x:c r="F769" t="str">
        <x:v>TikTok Shop</x:v>
      </x:c>
      <x:c r="G769" t="str">
        <x:v>Social Commerce</x:v>
      </x:c>
      <x:c r="H769" t="str">
        <x:v>US West</x:v>
      </x:c>
      <x:c r="I769" s="34" t="n">
        <x:v>52.02</x:v>
      </x:c>
      <x:c r="J769" s="38" t="n">
        <x:v>1.470834288</x:v>
      </x:c>
      <x:c r="K769" s="38" t="n">
        <x:v>0.269566516368</x:v>
      </x:c>
      <x:c r="L769" s="28" t="n">
        <x:v>0.18327456639221346</x:v>
      </x:c>
    </x:row>
    <x:row r="770">
      <x:c r="A770" s="32" t="n">
        <x:v>45931</x:v>
      </x:c>
      <x:c r="B770" t="str">
        <x:v>Oct 2025</x:v>
      </x:c>
      <x:c r="C770" t="str">
        <x:v>Actual</x:v>
      </x:c>
      <x:c r="D770" t="str">
        <x:v>DB-103</x:v>
      </x:c>
      <x:c r="E770" t="str">
        <x:v>EmberTrail Camp Mug</x:v>
      </x:c>
      <x:c r="F770" t="str">
        <x:v>TikTok Shop</x:v>
      </x:c>
      <x:c r="G770" t="str">
        <x:v>Social Commerce</x:v>
      </x:c>
      <x:c r="H770" t="str">
        <x:v>US Central</x:v>
      </x:c>
      <x:c r="I770" s="34" t="n">
        <x:v>36.72</x:v>
      </x:c>
      <x:c r="J770" s="38" t="n">
        <x:v>1.038235968</x:v>
      </x:c>
      <x:c r="K770" s="38" t="n">
        <x:v>0.190282246848</x:v>
      </x:c>
      <x:c r="L770" s="28" t="n">
        <x:v>0.18327456639221346</x:v>
      </x:c>
    </x:row>
    <x:row r="771">
      <x:c r="A771" s="32" t="n">
        <x:v>45931</x:v>
      </x:c>
      <x:c r="B771" t="str">
        <x:v>Oct 2025</x:v>
      </x:c>
      <x:c r="C771" t="str">
        <x:v>Actual</x:v>
      </x:c>
      <x:c r="D771" t="str">
        <x:v>DB-103</x:v>
      </x:c>
      <x:c r="E771" t="str">
        <x:v>EmberTrail Camp Mug</x:v>
      </x:c>
      <x:c r="F771" t="str">
        <x:v>TikTok Shop</x:v>
      </x:c>
      <x:c r="G771" t="str">
        <x:v>Social Commerce</x:v>
      </x:c>
      <x:c r="H771" t="str">
        <x:v>US East</x:v>
      </x:c>
      <x:c r="I771" s="34" t="n">
        <x:v>48.96</x:v>
      </x:c>
      <x:c r="J771" s="38" t="n">
        <x:v>1.384314624</x:v>
      </x:c>
      <x:c r="K771" s="38" t="n">
        <x:v>0.253709662464</x:v>
      </x:c>
      <x:c r="L771" s="28" t="n">
        <x:v>0.18327456639221346</x:v>
      </x:c>
    </x:row>
    <x:row r="772">
      <x:c r="A772" s="32" t="n">
        <x:v>45931</x:v>
      </x:c>
      <x:c r="B772" t="str">
        <x:v>Oct 2025</x:v>
      </x:c>
      <x:c r="C772" t="str">
        <x:v>Actual</x:v>
      </x:c>
      <x:c r="D772" t="str">
        <x:v>DB-103</x:v>
      </x:c>
      <x:c r="E772" t="str">
        <x:v>EmberTrail Camp Mug</x:v>
      </x:c>
      <x:c r="F772" t="str">
        <x:v>TikTok Shop</x:v>
      </x:c>
      <x:c r="G772" t="str">
        <x:v>Social Commerce</x:v>
      </x:c>
      <x:c r="H772" t="str">
        <x:v>Canada</x:v>
      </x:c>
      <x:c r="I772" s="34" t="n">
        <x:v>15.3</x:v>
      </x:c>
      <x:c r="J772" s="38" t="n">
        <x:v>0.43259832</x:v>
      </x:c>
      <x:c r="K772" s="38" t="n">
        <x:v>0.07928426952</x:v>
      </x:c>
      <x:c r="L772" s="28" t="n">
        <x:v>0.18327456639221348</x:v>
      </x:c>
    </x:row>
    <x:row r="773">
      <x:c r="A773" s="32" t="n">
        <x:v>45931</x:v>
      </x:c>
      <x:c r="B773" t="str">
        <x:v>Oct 2025</x:v>
      </x:c>
      <x:c r="C773" t="str">
        <x:v>Actual</x:v>
      </x:c>
      <x:c r="D773" t="str">
        <x:v>DB-104</x:v>
      </x:c>
      <x:c r="E773" t="str">
        <x:v>SunNest Cooling Towel</x:v>
      </x:c>
      <x:c r="F773" t="str">
        <x:v>Shopify DTC</x:v>
      </x:c>
      <x:c r="G773" t="str">
        <x:v>Consumer</x:v>
      </x:c>
      <x:c r="H773" t="str">
        <x:v>US West</x:v>
      </x:c>
      <x:c r="I773" s="34" t="n">
        <x:v>149.26000000000002</x:v>
      </x:c>
      <x:c r="J773" s="38" t="n">
        <x:v>5.479036080000002</x:v>
      </x:c>
      <x:c r="K773" s="38" t="n">
        <x:v>2.2038937536800005</x:v>
      </x:c>
      <x:c r="L773" s="28" t="n">
        <x:v>0.4022411463441211</x:v>
      </x:c>
    </x:row>
    <x:row r="774">
      <x:c r="A774" s="32" t="n">
        <x:v>45931</x:v>
      </x:c>
      <x:c r="B774" t="str">
        <x:v>Oct 2025</x:v>
      </x:c>
      <x:c r="C774" t="str">
        <x:v>Actual</x:v>
      </x:c>
      <x:c r="D774" t="str">
        <x:v>DB-104</x:v>
      </x:c>
      <x:c r="E774" t="str">
        <x:v>SunNest Cooling Towel</x:v>
      </x:c>
      <x:c r="F774" t="str">
        <x:v>Shopify DTC</x:v>
      </x:c>
      <x:c r="G774" t="str">
        <x:v>Consumer</x:v>
      </x:c>
      <x:c r="H774" t="str">
        <x:v>US Central</x:v>
      </x:c>
      <x:c r="I774" s="34" t="n">
        <x:v>105.36</x:v>
      </x:c>
      <x:c r="J774" s="38" t="n">
        <x:v>3.867554880000001</x:v>
      </x:c>
      <x:c r="K774" s="38" t="n">
        <x:v>1.5556897084800003</x:v>
      </x:c>
      <x:c r="L774" s="28" t="n">
        <x:v>0.40224114634412117</x:v>
      </x:c>
    </x:row>
    <x:row r="775">
      <x:c r="A775" s="32" t="n">
        <x:v>45931</x:v>
      </x:c>
      <x:c r="B775" t="str">
        <x:v>Oct 2025</x:v>
      </x:c>
      <x:c r="C775" t="str">
        <x:v>Actual</x:v>
      </x:c>
      <x:c r="D775" t="str">
        <x:v>DB-104</x:v>
      </x:c>
      <x:c r="E775" t="str">
        <x:v>SunNest Cooling Towel</x:v>
      </x:c>
      <x:c r="F775" t="str">
        <x:v>Shopify DTC</x:v>
      </x:c>
      <x:c r="G775" t="str">
        <x:v>Consumer</x:v>
      </x:c>
      <x:c r="H775" t="str">
        <x:v>US East</x:v>
      </x:c>
      <x:c r="I775" s="34" t="n">
        <x:v>140.48</x:v>
      </x:c>
      <x:c r="J775" s="38" t="n">
        <x:v>5.156739840000001</x:v>
      </x:c>
      <x:c r="K775" s="38" t="n">
        <x:v>2.0742529446400004</x:v>
      </x:c>
      <x:c r="L775" s="28" t="n">
        <x:v>0.40224114634412117</x:v>
      </x:c>
    </x:row>
    <x:row r="776">
      <x:c r="A776" s="32" t="n">
        <x:v>45931</x:v>
      </x:c>
      <x:c r="B776" t="str">
        <x:v>Oct 2025</x:v>
      </x:c>
      <x:c r="C776" t="str">
        <x:v>Actual</x:v>
      </x:c>
      <x:c r="D776" t="str">
        <x:v>DB-104</x:v>
      </x:c>
      <x:c r="E776" t="str">
        <x:v>SunNest Cooling Towel</x:v>
      </x:c>
      <x:c r="F776" t="str">
        <x:v>Shopify DTC</x:v>
      </x:c>
      <x:c r="G776" t="str">
        <x:v>Consumer</x:v>
      </x:c>
      <x:c r="H776" t="str">
        <x:v>Canada</x:v>
      </x:c>
      <x:c r="I776" s="34" t="n">
        <x:v>43.900000000000006</x:v>
      </x:c>
      <x:c r="J776" s="38" t="n">
        <x:v>1.6114812000000005</x:v>
      </x:c>
      <x:c r="K776" s="38" t="n">
        <x:v>0.6482040452000002</x:v>
      </x:c>
      <x:c r="L776" s="28" t="n">
        <x:v>0.40224114634412117</x:v>
      </x:c>
    </x:row>
    <x:row r="777">
      <x:c r="A777" s="32" t="n">
        <x:v>45931</x:v>
      </x:c>
      <x:c r="B777" t="str">
        <x:v>Oct 2025</x:v>
      </x:c>
      <x:c r="C777" t="str">
        <x:v>Actual</x:v>
      </x:c>
      <x:c r="D777" t="str">
        <x:v>DB-104</x:v>
      </x:c>
      <x:c r="E777" t="str">
        <x:v>SunNest Cooling Towel</x:v>
      </x:c>
      <x:c r="F777" t="str">
        <x:v>Amazon Marketplace</x:v>
      </x:c>
      <x:c r="G777" t="str">
        <x:v>Marketplace Consumer</x:v>
      </x:c>
      <x:c r="H777" t="str">
        <x:v>US West</x:v>
      </x:c>
      <x:c r="I777" s="34" t="n">
        <x:v>88.06</x:v>
      </x:c>
      <x:c r="J777" s="38" t="n">
        <x:v>3.3379143000000004</x:v>
      </x:c>
      <x:c r="K777" s="38" t="n">
        <x:v>0.862217475</x:v>
      </x:c>
      <x:c r="L777" s="28" t="n">
        <x:v>0.2583102493074792</x:v>
      </x:c>
    </x:row>
    <x:row r="778">
      <x:c r="A778" s="32" t="n">
        <x:v>45931</x:v>
      </x:c>
      <x:c r="B778" t="str">
        <x:v>Oct 2025</x:v>
      </x:c>
      <x:c r="C778" t="str">
        <x:v>Actual</x:v>
      </x:c>
      <x:c r="D778" t="str">
        <x:v>DB-104</x:v>
      </x:c>
      <x:c r="E778" t="str">
        <x:v>SunNest Cooling Towel</x:v>
      </x:c>
      <x:c r="F778" t="str">
        <x:v>Amazon Marketplace</x:v>
      </x:c>
      <x:c r="G778" t="str">
        <x:v>Marketplace Consumer</x:v>
      </x:c>
      <x:c r="H778" t="str">
        <x:v>US Central</x:v>
      </x:c>
      <x:c r="I778" s="34" t="n">
        <x:v>62.16</x:v>
      </x:c>
      <x:c r="J778" s="38" t="n">
        <x:v>2.3561748000000002</x:v>
      </x:c>
      <x:c r="K778" s="38" t="n">
        <x:v>0.6086241</x:v>
      </x:c>
      <x:c r="L778" s="28" t="n">
        <x:v>0.2583102493074792</x:v>
      </x:c>
    </x:row>
    <x:row r="779">
      <x:c r="A779" s="32" t="n">
        <x:v>45931</x:v>
      </x:c>
      <x:c r="B779" t="str">
        <x:v>Oct 2025</x:v>
      </x:c>
      <x:c r="C779" t="str">
        <x:v>Actual</x:v>
      </x:c>
      <x:c r="D779" t="str">
        <x:v>DB-104</x:v>
      </x:c>
      <x:c r="E779" t="str">
        <x:v>SunNest Cooling Towel</x:v>
      </x:c>
      <x:c r="F779" t="str">
        <x:v>Amazon Marketplace</x:v>
      </x:c>
      <x:c r="G779" t="str">
        <x:v>Marketplace Consumer</x:v>
      </x:c>
      <x:c r="H779" t="str">
        <x:v>US East</x:v>
      </x:c>
      <x:c r="I779" s="34" t="n">
        <x:v>82.88</x:v>
      </x:c>
      <x:c r="J779" s="38" t="n">
        <x:v>3.1415664000000003</x:v>
      </x:c>
      <x:c r="K779" s="38" t="n">
        <x:v>0.8114988</x:v>
      </x:c>
      <x:c r="L779" s="28" t="n">
        <x:v>0.2583102493074792</x:v>
      </x:c>
    </x:row>
    <x:row r="780">
      <x:c r="A780" s="32" t="n">
        <x:v>45931</x:v>
      </x:c>
      <x:c r="B780" t="str">
        <x:v>Oct 2025</x:v>
      </x:c>
      <x:c r="C780" t="str">
        <x:v>Actual</x:v>
      </x:c>
      <x:c r="D780" t="str">
        <x:v>DB-104</x:v>
      </x:c>
      <x:c r="E780" t="str">
        <x:v>SunNest Cooling Towel</x:v>
      </x:c>
      <x:c r="F780" t="str">
        <x:v>Amazon Marketplace</x:v>
      </x:c>
      <x:c r="G780" t="str">
        <x:v>Marketplace Consumer</x:v>
      </x:c>
      <x:c r="H780" t="str">
        <x:v>Canada</x:v>
      </x:c>
      <x:c r="I780" s="34" t="n">
        <x:v>25.900000000000002</x:v>
      </x:c>
      <x:c r="J780" s="38" t="n">
        <x:v>0.9817395000000002</x:v>
      </x:c>
      <x:c r="K780" s="38" t="n">
        <x:v>0.253593375</x:v>
      </x:c>
      <x:c r="L780" s="28" t="n">
        <x:v>0.2583102493074792</x:v>
      </x:c>
    </x:row>
    <x:row r="781">
      <x:c r="A781" s="32" t="n">
        <x:v>45931</x:v>
      </x:c>
      <x:c r="B781" t="str">
        <x:v>Oct 2025</x:v>
      </x:c>
      <x:c r="C781" t="str">
        <x:v>Actual</x:v>
      </x:c>
      <x:c r="D781" t="str">
        <x:v>DB-104</x:v>
      </x:c>
      <x:c r="E781" t="str">
        <x:v>SunNest Cooling Towel</x:v>
      </x:c>
      <x:c r="F781" t="str">
        <x:v>Wholesale</x:v>
      </x:c>
      <x:c r="G781" t="str">
        <x:v>Retailer</x:v>
      </x:c>
      <x:c r="H781" t="str">
        <x:v>US West</x:v>
      </x:c>
      <x:c r="I781" s="34" t="n">
        <x:v>24.48</x:v>
      </x:c>
      <x:c r="J781" s="38" t="n">
        <x:v>0.6348888</x:v>
      </x:c>
      <x:c r="K781" s="38" t="n">
        <x:v>0.18866736</x:v>
      </x:c>
      <x:c r="L781" s="28" t="n">
        <x:v>0.297165991902834</x:v>
      </x:c>
    </x:row>
    <x:row r="782">
      <x:c r="A782" s="32" t="n">
        <x:v>45931</x:v>
      </x:c>
      <x:c r="B782" t="str">
        <x:v>Oct 2025</x:v>
      </x:c>
      <x:c r="C782" t="str">
        <x:v>Actual</x:v>
      </x:c>
      <x:c r="D782" t="str">
        <x:v>DB-104</x:v>
      </x:c>
      <x:c r="E782" t="str">
        <x:v>SunNest Cooling Towel</x:v>
      </x:c>
      <x:c r="F782" t="str">
        <x:v>Wholesale</x:v>
      </x:c>
      <x:c r="G782" t="str">
        <x:v>Retailer</x:v>
      </x:c>
      <x:c r="H782" t="str">
        <x:v>US Central</x:v>
      </x:c>
      <x:c r="I782" s="34" t="n">
        <x:v>17.28</x:v>
      </x:c>
      <x:c r="J782" s="38" t="n">
        <x:v>0.4481568</x:v>
      </x:c>
      <x:c r="K782" s="38" t="n">
        <x:v>0.13317695999999998</x:v>
      </x:c>
      <x:c r="L782" s="28" t="n">
        <x:v>0.29716599190283394</x:v>
      </x:c>
    </x:row>
    <x:row r="783">
      <x:c r="A783" s="32" t="n">
        <x:v>45931</x:v>
      </x:c>
      <x:c r="B783" t="str">
        <x:v>Oct 2025</x:v>
      </x:c>
      <x:c r="C783" t="str">
        <x:v>Actual</x:v>
      </x:c>
      <x:c r="D783" t="str">
        <x:v>DB-104</x:v>
      </x:c>
      <x:c r="E783" t="str">
        <x:v>SunNest Cooling Towel</x:v>
      </x:c>
      <x:c r="F783" t="str">
        <x:v>Wholesale</x:v>
      </x:c>
      <x:c r="G783" t="str">
        <x:v>Retailer</x:v>
      </x:c>
      <x:c r="H783" t="str">
        <x:v>US East</x:v>
      </x:c>
      <x:c r="I783" s="34" t="n">
        <x:v>23.04</x:v>
      </x:c>
      <x:c r="J783" s="38" t="n">
        <x:v>0.5975424</x:v>
      </x:c>
      <x:c r="K783" s="38" t="n">
        <x:v>0.17756928</x:v>
      </x:c>
      <x:c r="L783" s="28" t="n">
        <x:v>0.297165991902834</x:v>
      </x:c>
    </x:row>
    <x:row r="784">
      <x:c r="A784" s="32" t="n">
        <x:v>45931</x:v>
      </x:c>
      <x:c r="B784" t="str">
        <x:v>Oct 2025</x:v>
      </x:c>
      <x:c r="C784" t="str">
        <x:v>Actual</x:v>
      </x:c>
      <x:c r="D784" t="str">
        <x:v>DB-104</x:v>
      </x:c>
      <x:c r="E784" t="str">
        <x:v>SunNest Cooling Towel</x:v>
      </x:c>
      <x:c r="F784" t="str">
        <x:v>Wholesale</x:v>
      </x:c>
      <x:c r="G784" t="str">
        <x:v>Retailer</x:v>
      </x:c>
      <x:c r="H784" t="str">
        <x:v>Canada</x:v>
      </x:c>
      <x:c r="I784" s="34" t="n">
        <x:v>7.2</x:v>
      </x:c>
      <x:c r="J784" s="38" t="n">
        <x:v>0.186732</x:v>
      </x:c>
      <x:c r="K784" s="38" t="n">
        <x:v>0.055490399999999995</x:v>
      </x:c>
      <x:c r="L784" s="28" t="n">
        <x:v>0.297165991902834</x:v>
      </x:c>
    </x:row>
    <x:row r="785">
      <x:c r="A785" s="32" t="n">
        <x:v>45931</x:v>
      </x:c>
      <x:c r="B785" t="str">
        <x:v>Oct 2025</x:v>
      </x:c>
      <x:c r="C785" t="str">
        <x:v>Actual</x:v>
      </x:c>
      <x:c r="D785" t="str">
        <x:v>DB-104</x:v>
      </x:c>
      <x:c r="E785" t="str">
        <x:v>SunNest Cooling Towel</x:v>
      </x:c>
      <x:c r="F785" t="str">
        <x:v>TikTok Shop</x:v>
      </x:c>
      <x:c r="G785" t="str">
        <x:v>Social Commerce</x:v>
      </x:c>
      <x:c r="H785" t="str">
        <x:v>US West</x:v>
      </x:c>
      <x:c r="I785" s="34" t="n">
        <x:v>38.080000000000005</x:v>
      </x:c>
      <x:c r="J785" s="38" t="n">
        <x:v>1.3370649600000002</x:v>
      </x:c>
      <x:c r="K785" s="38" t="n">
        <x:v>0.3830479385600001</x:v>
      </x:c>
      <x:c r="L785" s="28" t="n">
        <x:v>0.2864841649578492</x:v>
      </x:c>
    </x:row>
    <x:row r="786">
      <x:c r="A786" s="32" t="n">
        <x:v>45931</x:v>
      </x:c>
      <x:c r="B786" t="str">
        <x:v>Oct 2025</x:v>
      </x:c>
      <x:c r="C786" t="str">
        <x:v>Actual</x:v>
      </x:c>
      <x:c r="D786" t="str">
        <x:v>DB-104</x:v>
      </x:c>
      <x:c r="E786" t="str">
        <x:v>SunNest Cooling Towel</x:v>
      </x:c>
      <x:c r="F786" t="str">
        <x:v>TikTok Shop</x:v>
      </x:c>
      <x:c r="G786" t="str">
        <x:v>Social Commerce</x:v>
      </x:c>
      <x:c r="H786" t="str">
        <x:v>US Central</x:v>
      </x:c>
      <x:c r="I786" s="34" t="n">
        <x:v>26.88</x:v>
      </x:c>
      <x:c r="J786" s="38" t="n">
        <x:v>0.94381056</x:v>
      </x:c>
      <x:c r="K786" s="38" t="n">
        <x:v>0.27038678016</x:v>
      </x:c>
      <x:c r="L786" s="28" t="n">
        <x:v>0.2864841649578492</x:v>
      </x:c>
    </x:row>
    <x:row r="787">
      <x:c r="A787" s="32" t="n">
        <x:v>45931</x:v>
      </x:c>
      <x:c r="B787" t="str">
        <x:v>Oct 2025</x:v>
      </x:c>
      <x:c r="C787" t="str">
        <x:v>Actual</x:v>
      </x:c>
      <x:c r="D787" t="str">
        <x:v>DB-104</x:v>
      </x:c>
      <x:c r="E787" t="str">
        <x:v>SunNest Cooling Towel</x:v>
      </x:c>
      <x:c r="F787" t="str">
        <x:v>TikTok Shop</x:v>
      </x:c>
      <x:c r="G787" t="str">
        <x:v>Social Commerce</x:v>
      </x:c>
      <x:c r="H787" t="str">
        <x:v>US East</x:v>
      </x:c>
      <x:c r="I787" s="34" t="n">
        <x:v>35.84</x:v>
      </x:c>
      <x:c r="J787" s="38" t="n">
        <x:v>1.25841408</x:v>
      </x:c>
      <x:c r="K787" s="38" t="n">
        <x:v>0.36051570688000006</x:v>
      </x:c>
      <x:c r="L787" s="28" t="n">
        <x:v>0.2864841649578492</x:v>
      </x:c>
    </x:row>
    <x:row r="788">
      <x:c r="A788" s="32" t="n">
        <x:v>45931</x:v>
      </x:c>
      <x:c r="B788" t="str">
        <x:v>Oct 2025</x:v>
      </x:c>
      <x:c r="C788" t="str">
        <x:v>Actual</x:v>
      </x:c>
      <x:c r="D788" t="str">
        <x:v>DB-104</x:v>
      </x:c>
      <x:c r="E788" t="str">
        <x:v>SunNest Cooling Towel</x:v>
      </x:c>
      <x:c r="F788" t="str">
        <x:v>TikTok Shop</x:v>
      </x:c>
      <x:c r="G788" t="str">
        <x:v>Social Commerce</x:v>
      </x:c>
      <x:c r="H788" t="str">
        <x:v>Canada</x:v>
      </x:c>
      <x:c r="I788" s="34" t="n">
        <x:v>11.200000000000001</x:v>
      </x:c>
      <x:c r="J788" s="38" t="n">
        <x:v>0.3932544</x:v>
      </x:c>
      <x:c r="K788" s="38" t="n">
        <x:v>0.11266115840000002</x:v>
      </x:c>
      <x:c r="L788" s="28" t="n">
        <x:v>0.28648416495784923</x:v>
      </x:c>
    </x:row>
    <x:row r="789">
      <x:c r="A789" s="32" t="n">
        <x:v>45931</x:v>
      </x:c>
      <x:c r="B789" t="str">
        <x:v>Oct 2025</x:v>
      </x:c>
      <x:c r="C789" t="str">
        <x:v>Actual</x:v>
      </x:c>
      <x:c r="D789" t="str">
        <x:v>DB-105</x:v>
      </x:c>
      <x:c r="E789" t="str">
        <x:v>DreamFuel Refill Pack</x:v>
      </x:c>
      <x:c r="F789" t="str">
        <x:v>Shopify DTC</x:v>
      </x:c>
      <x:c r="G789" t="str">
        <x:v>Consumer</x:v>
      </x:c>
      <x:c r="H789" t="str">
        <x:v>US West</x:v>
      </x:c>
      <x:c r="I789" s="34" t="n">
        <x:v>210.8</x:v>
      </x:c>
      <x:c r="J789" s="38" t="n">
        <x:v>10.64320768</x:v>
      </x:c>
      <x:c r="K789" s="38" t="n">
        <x:v>5.18605977728</x:v>
      </x:c>
      <x:c r="L789" s="28" t="n">
        <x:v>0.48726473570794776</x:v>
      </x:c>
    </x:row>
    <x:row r="790">
      <x:c r="A790" s="32" t="n">
        <x:v>45931</x:v>
      </x:c>
      <x:c r="B790" t="str">
        <x:v>Oct 2025</x:v>
      </x:c>
      <x:c r="C790" t="str">
        <x:v>Actual</x:v>
      </x:c>
      <x:c r="D790" t="str">
        <x:v>DB-105</x:v>
      </x:c>
      <x:c r="E790" t="str">
        <x:v>DreamFuel Refill Pack</x:v>
      </x:c>
      <x:c r="F790" t="str">
        <x:v>Shopify DTC</x:v>
      </x:c>
      <x:c r="G790" t="str">
        <x:v>Consumer</x:v>
      </x:c>
      <x:c r="H790" t="str">
        <x:v>US Central</x:v>
      </x:c>
      <x:c r="I790" s="34" t="n">
        <x:v>148.79999999999998</x:v>
      </x:c>
      <x:c r="J790" s="38" t="n">
        <x:v>7.5128524799999985</x:v>
      </x:c>
      <x:c r="K790" s="38" t="n">
        <x:v>3.6607480780799997</x:v>
      </x:c>
      <x:c r="L790" s="28" t="n">
        <x:v>0.4872647357079478</x:v>
      </x:c>
    </x:row>
    <x:row r="791">
      <x:c r="A791" s="32" t="n">
        <x:v>45931</x:v>
      </x:c>
      <x:c r="B791" t="str">
        <x:v>Oct 2025</x:v>
      </x:c>
      <x:c r="C791" t="str">
        <x:v>Actual</x:v>
      </x:c>
      <x:c r="D791" t="str">
        <x:v>DB-105</x:v>
      </x:c>
      <x:c r="E791" t="str">
        <x:v>DreamFuel Refill Pack</x:v>
      </x:c>
      <x:c r="F791" t="str">
        <x:v>Shopify DTC</x:v>
      </x:c>
      <x:c r="G791" t="str">
        <x:v>Consumer</x:v>
      </x:c>
      <x:c r="H791" t="str">
        <x:v>US East</x:v>
      </x:c>
      <x:c r="I791" s="34" t="n">
        <x:v>198.4</x:v>
      </x:c>
      <x:c r="J791" s="38" t="n">
        <x:v>10.017136639999999</x:v>
      </x:c>
      <x:c r="K791" s="38" t="n">
        <x:v>4.88099743744</x:v>
      </x:c>
      <x:c r="L791" s="28" t="n">
        <x:v>0.4872647357079478</x:v>
      </x:c>
    </x:row>
    <x:row r="792">
      <x:c r="A792" s="32" t="n">
        <x:v>45931</x:v>
      </x:c>
      <x:c r="B792" t="str">
        <x:v>Oct 2025</x:v>
      </x:c>
      <x:c r="C792" t="str">
        <x:v>Actual</x:v>
      </x:c>
      <x:c r="D792" t="str">
        <x:v>DB-105</x:v>
      </x:c>
      <x:c r="E792" t="str">
        <x:v>DreamFuel Refill Pack</x:v>
      </x:c>
      <x:c r="F792" t="str">
        <x:v>Shopify DTC</x:v>
      </x:c>
      <x:c r="G792" t="str">
        <x:v>Consumer</x:v>
      </x:c>
      <x:c r="H792" t="str">
        <x:v>Canada</x:v>
      </x:c>
      <x:c r="I792" s="34" t="n">
        <x:v>62</x:v>
      </x:c>
      <x:c r="J792" s="38" t="n">
        <x:v>3.1303552</x:v>
      </x:c>
      <x:c r="K792" s="38" t="n">
        <x:v>1.5253116992</x:v>
      </x:c>
      <x:c r="L792" s="28" t="n">
        <x:v>0.48726473570794776</x:v>
      </x:c>
    </x:row>
    <x:row r="793">
      <x:c r="A793" s="32" t="n">
        <x:v>45931</x:v>
      </x:c>
      <x:c r="B793" t="str">
        <x:v>Oct 2025</x:v>
      </x:c>
      <x:c r="C793" t="str">
        <x:v>Actual</x:v>
      </x:c>
      <x:c r="D793" t="str">
        <x:v>DB-105</x:v>
      </x:c>
      <x:c r="E793" t="str">
        <x:v>DreamFuel Refill Pack</x:v>
      </x:c>
      <x:c r="F793" t="str">
        <x:v>Amazon Marketplace</x:v>
      </x:c>
      <x:c r="G793" t="str">
        <x:v>Marketplace Consumer</x:v>
      </x:c>
      <x:c r="H793" t="str">
        <x:v>US West</x:v>
      </x:c>
      <x:c r="I793" s="34" t="n">
        <x:v>124.44000000000001</x:v>
      </x:c>
      <x:c r="J793" s="38" t="n">
        <x:v>6.48780384</x:v>
      </x:c>
      <x:c r="K793" s="38" t="n">
        <x:v>2.2824784799999995</x:v>
      </x:c>
      <x:c r="L793" s="28" t="n">
        <x:v>0.35181064907165865</x:v>
      </x:c>
    </x:row>
    <x:row r="794">
      <x:c r="A794" s="32" t="n">
        <x:v>45931</x:v>
      </x:c>
      <x:c r="B794" t="str">
        <x:v>Oct 2025</x:v>
      </x:c>
      <x:c r="C794" t="str">
        <x:v>Actual</x:v>
      </x:c>
      <x:c r="D794" t="str">
        <x:v>DB-105</x:v>
      </x:c>
      <x:c r="E794" t="str">
        <x:v>DreamFuel Refill Pack</x:v>
      </x:c>
      <x:c r="F794" t="str">
        <x:v>Amazon Marketplace</x:v>
      </x:c>
      <x:c r="G794" t="str">
        <x:v>Marketplace Consumer</x:v>
      </x:c>
      <x:c r="H794" t="str">
        <x:v>US Central</x:v>
      </x:c>
      <x:c r="I794" s="34" t="n">
        <x:v>87.84</x:v>
      </x:c>
      <x:c r="J794" s="38" t="n">
        <x:v>4.57962624</x:v>
      </x:c>
      <x:c r="K794" s="38" t="n">
        <x:v>1.6111612799999995</x:v>
      </x:c>
      <x:c r="L794" s="28" t="n">
        <x:v>0.35181064907165865</x:v>
      </x:c>
    </x:row>
    <x:row r="795">
      <x:c r="A795" s="32" t="n">
        <x:v>45931</x:v>
      </x:c>
      <x:c r="B795" t="str">
        <x:v>Oct 2025</x:v>
      </x:c>
      <x:c r="C795" t="str">
        <x:v>Actual</x:v>
      </x:c>
      <x:c r="D795" t="str">
        <x:v>DB-105</x:v>
      </x:c>
      <x:c r="E795" t="str">
        <x:v>DreamFuel Refill Pack</x:v>
      </x:c>
      <x:c r="F795" t="str">
        <x:v>Amazon Marketplace</x:v>
      </x:c>
      <x:c r="G795" t="str">
        <x:v>Marketplace Consumer</x:v>
      </x:c>
      <x:c r="H795" t="str">
        <x:v>US East</x:v>
      </x:c>
      <x:c r="I795" s="34" t="n">
        <x:v>117.12</x:v>
      </x:c>
      <x:c r="J795" s="38" t="n">
        <x:v>6.106168319999999</x:v>
      </x:c>
      <x:c r="K795" s="38" t="n">
        <x:v>2.1482150399999997</x:v>
      </x:c>
      <x:c r="L795" s="28" t="n">
        <x:v>0.35181064907165877</x:v>
      </x:c>
    </x:row>
    <x:row r="796">
      <x:c r="A796" s="32" t="n">
        <x:v>45931</x:v>
      </x:c>
      <x:c r="B796" t="str">
        <x:v>Oct 2025</x:v>
      </x:c>
      <x:c r="C796" t="str">
        <x:v>Actual</x:v>
      </x:c>
      <x:c r="D796" t="str">
        <x:v>DB-105</x:v>
      </x:c>
      <x:c r="E796" t="str">
        <x:v>DreamFuel Refill Pack</x:v>
      </x:c>
      <x:c r="F796" t="str">
        <x:v>Amazon Marketplace</x:v>
      </x:c>
      <x:c r="G796" t="str">
        <x:v>Marketplace Consumer</x:v>
      </x:c>
      <x:c r="H796" t="str">
        <x:v>Canada</x:v>
      </x:c>
      <x:c r="I796" s="34" t="n">
        <x:v>36.6</x:v>
      </x:c>
      <x:c r="J796" s="38" t="n">
        <x:v>1.9081776</x:v>
      </x:c>
      <x:c r="K796" s="38" t="n">
        <x:v>0.6713171999999998</x:v>
      </x:c>
      <x:c r="L796" s="28" t="n">
        <x:v>0.35181064907165865</x:v>
      </x:c>
    </x:row>
    <x:row r="797">
      <x:c r="A797" s="32" t="n">
        <x:v>45931</x:v>
      </x:c>
      <x:c r="B797" t="str">
        <x:v>Oct 2025</x:v>
      </x:c>
      <x:c r="C797" t="str">
        <x:v>Actual</x:v>
      </x:c>
      <x:c r="D797" t="str">
        <x:v>DB-105</x:v>
      </x:c>
      <x:c r="E797" t="str">
        <x:v>DreamFuel Refill Pack</x:v>
      </x:c>
      <x:c r="F797" t="str">
        <x:v>Wholesale</x:v>
      </x:c>
      <x:c r="G797" t="str">
        <x:v>Retailer</x:v>
      </x:c>
      <x:c r="H797" t="str">
        <x:v>US West</x:v>
      </x:c>
      <x:c r="I797" s="34" t="n">
        <x:v>35.02</x:v>
      </x:c>
      <x:c r="J797" s="38" t="n">
        <x:v>1.2492334400000003</x:v>
      </x:c>
      <x:c r="K797" s="38" t="n">
        <x:v>0.48672196800000006</x:v>
      </x:c>
      <x:c r="L797" s="28" t="n">
        <x:v>0.38961650594303654</x:v>
      </x:c>
    </x:row>
    <x:row r="798">
      <x:c r="A798" s="32" t="n">
        <x:v>45931</x:v>
      </x:c>
      <x:c r="B798" t="str">
        <x:v>Oct 2025</x:v>
      </x:c>
      <x:c r="C798" t="str">
        <x:v>Actual</x:v>
      </x:c>
      <x:c r="D798" t="str">
        <x:v>DB-105</x:v>
      </x:c>
      <x:c r="E798" t="str">
        <x:v>DreamFuel Refill Pack</x:v>
      </x:c>
      <x:c r="F798" t="str">
        <x:v>Wholesale</x:v>
      </x:c>
      <x:c r="G798" t="str">
        <x:v>Retailer</x:v>
      </x:c>
      <x:c r="H798" t="str">
        <x:v>US Central</x:v>
      </x:c>
      <x:c r="I798" s="34" t="n">
        <x:v>24.72</x:v>
      </x:c>
      <x:c r="J798" s="38" t="n">
        <x:v>0.88181184</x:v>
      </x:c>
      <x:c r="K798" s="38" t="n">
        <x:v>0.343568448</x:v>
      </x:c>
      <x:c r="L798" s="28" t="n">
        <x:v>0.3896165059430366</x:v>
      </x:c>
    </x:row>
    <x:row r="799">
      <x:c r="A799" s="32" t="n">
        <x:v>45931</x:v>
      </x:c>
      <x:c r="B799" t="str">
        <x:v>Oct 2025</x:v>
      </x:c>
      <x:c r="C799" t="str">
        <x:v>Actual</x:v>
      </x:c>
      <x:c r="D799" t="str">
        <x:v>DB-105</x:v>
      </x:c>
      <x:c r="E799" t="str">
        <x:v>DreamFuel Refill Pack</x:v>
      </x:c>
      <x:c r="F799" t="str">
        <x:v>Wholesale</x:v>
      </x:c>
      <x:c r="G799" t="str">
        <x:v>Retailer</x:v>
      </x:c>
      <x:c r="H799" t="str">
        <x:v>US East</x:v>
      </x:c>
      <x:c r="I799" s="34" t="n">
        <x:v>32.96</x:v>
      </x:c>
      <x:c r="J799" s="38" t="n">
        <x:v>1.17574912</x:v>
      </x:c>
      <x:c r="K799" s="38" t="n">
        <x:v>0.45809126400000005</x:v>
      </x:c>
      <x:c r="L799" s="28" t="n">
        <x:v>0.3896165059430366</x:v>
      </x:c>
    </x:row>
    <x:row r="800">
      <x:c r="A800" s="32" t="n">
        <x:v>45931</x:v>
      </x:c>
      <x:c r="B800" t="str">
        <x:v>Oct 2025</x:v>
      </x:c>
      <x:c r="C800" t="str">
        <x:v>Actual</x:v>
      </x:c>
      <x:c r="D800" t="str">
        <x:v>DB-105</x:v>
      </x:c>
      <x:c r="E800" t="str">
        <x:v>DreamFuel Refill Pack</x:v>
      </x:c>
      <x:c r="F800" t="str">
        <x:v>Wholesale</x:v>
      </x:c>
      <x:c r="G800" t="str">
        <x:v>Retailer</x:v>
      </x:c>
      <x:c r="H800" t="str">
        <x:v>Canada</x:v>
      </x:c>
      <x:c r="I800" s="34" t="n">
        <x:v>10.3</x:v>
      </x:c>
      <x:c r="J800" s="38" t="n">
        <x:v>0.36742160000000007</x:v>
      </x:c>
      <x:c r="K800" s="38" t="n">
        <x:v>0.14315352</x:v>
      </x:c>
      <x:c r="L800" s="28" t="n">
        <x:v>0.3896165059430365</x:v>
      </x:c>
    </x:row>
    <x:row r="801">
      <x:c r="A801" s="32" t="n">
        <x:v>45931</x:v>
      </x:c>
      <x:c r="B801" t="str">
        <x:v>Oct 2025</x:v>
      </x:c>
      <x:c r="C801" t="str">
        <x:v>Actual</x:v>
      </x:c>
      <x:c r="D801" t="str">
        <x:v>DB-105</x:v>
      </x:c>
      <x:c r="E801" t="str">
        <x:v>DreamFuel Refill Pack</x:v>
      </x:c>
      <x:c r="F801" t="str">
        <x:v>TikTok Shop</x:v>
      </x:c>
      <x:c r="G801" t="str">
        <x:v>Social Commerce</x:v>
      </x:c>
      <x:c r="H801" t="str">
        <x:v>US West</x:v>
      </x:c>
      <x:c r="I801" s="34" t="n">
        <x:v>53.040000000000006</x:v>
      </x:c>
      <x:c r="J801" s="38" t="n">
        <x:v>2.5615349760000004</x:v>
      </x:c>
      <x:c r="K801" s="38" t="n">
        <x:v>0.9824386191360003</x:v>
      </x:c>
      <x:c r="L801" s="28" t="n">
        <x:v>0.38353511794328127</x:v>
      </x:c>
    </x:row>
    <x:row r="802">
      <x:c r="A802" s="32" t="n">
        <x:v>45931</x:v>
      </x:c>
      <x:c r="B802" t="str">
        <x:v>Oct 2025</x:v>
      </x:c>
      <x:c r="C802" t="str">
        <x:v>Actual</x:v>
      </x:c>
      <x:c r="D802" t="str">
        <x:v>DB-105</x:v>
      </x:c>
      <x:c r="E802" t="str">
        <x:v>DreamFuel Refill Pack</x:v>
      </x:c>
      <x:c r="F802" t="str">
        <x:v>TikTok Shop</x:v>
      </x:c>
      <x:c r="G802" t="str">
        <x:v>Social Commerce</x:v>
      </x:c>
      <x:c r="H802" t="str">
        <x:v>US Central</x:v>
      </x:c>
      <x:c r="I802" s="34" t="n">
        <x:v>37.44</x:v>
      </x:c>
      <x:c r="J802" s="38" t="n">
        <x:v>1.808142336</x:v>
      </x:c>
      <x:c r="K802" s="38" t="n">
        <x:v>0.6934860840960001</x:v>
      </x:c>
      <x:c r="L802" s="28" t="n">
        <x:v>0.38353511794328127</x:v>
      </x:c>
    </x:row>
    <x:row r="803">
      <x:c r="A803" s="32" t="n">
        <x:v>45931</x:v>
      </x:c>
      <x:c r="B803" t="str">
        <x:v>Oct 2025</x:v>
      </x:c>
      <x:c r="C803" t="str">
        <x:v>Actual</x:v>
      </x:c>
      <x:c r="D803" t="str">
        <x:v>DB-105</x:v>
      </x:c>
      <x:c r="E803" t="str">
        <x:v>DreamFuel Refill Pack</x:v>
      </x:c>
      <x:c r="F803" t="str">
        <x:v>TikTok Shop</x:v>
      </x:c>
      <x:c r="G803" t="str">
        <x:v>Social Commerce</x:v>
      </x:c>
      <x:c r="H803" t="str">
        <x:v>US East</x:v>
      </x:c>
      <x:c r="I803" s="34" t="n">
        <x:v>49.92</x:v>
      </x:c>
      <x:c r="J803" s="38" t="n">
        <x:v>2.410856448</x:v>
      </x:c>
      <x:c r="K803" s="38" t="n">
        <x:v>0.9246481121280001</x:v>
      </x:c>
      <x:c r="L803" s="28" t="n">
        <x:v>0.38353511794328127</x:v>
      </x:c>
    </x:row>
    <x:row r="804">
      <x:c r="A804" s="32" t="n">
        <x:v>45931</x:v>
      </x:c>
      <x:c r="B804" t="str">
        <x:v>Oct 2025</x:v>
      </x:c>
      <x:c r="C804" t="str">
        <x:v>Actual</x:v>
      </x:c>
      <x:c r="D804" t="str">
        <x:v>DB-105</x:v>
      </x:c>
      <x:c r="E804" t="str">
        <x:v>DreamFuel Refill Pack</x:v>
      </x:c>
      <x:c r="F804" t="str">
        <x:v>TikTok Shop</x:v>
      </x:c>
      <x:c r="G804" t="str">
        <x:v>Social Commerce</x:v>
      </x:c>
      <x:c r="H804" t="str">
        <x:v>Canada</x:v>
      </x:c>
      <x:c r="I804" s="34" t="n">
        <x:v>15.600000000000001</x:v>
      </x:c>
      <x:c r="J804" s="38" t="n">
        <x:v>0.7533926400000001</x:v>
      </x:c>
      <x:c r="K804" s="38" t="n">
        <x:v>0.28895253504000007</x:v>
      </x:c>
      <x:c r="L804" s="28" t="n">
        <x:v>0.38353511794328127</x:v>
      </x:c>
    </x:row>
    <x:row r="805">
      <x:c r="A805" s="32" t="n">
        <x:v>45962</x:v>
      </x:c>
      <x:c r="B805" t="str">
        <x:v>Nov 2025</x:v>
      </x:c>
      <x:c r="C805" t="str">
        <x:v>Actual</x:v>
      </x:c>
      <x:c r="D805" t="str">
        <x:v>DB-101</x:v>
      </x:c>
      <x:c r="E805" t="str">
        <x:v>AeroSip Bottle</x:v>
      </x:c>
      <x:c r="F805" t="str">
        <x:v>Shopify DTC</x:v>
      </x:c>
      <x:c r="G805" t="str">
        <x:v>Consumer</x:v>
      </x:c>
      <x:c r="H805" t="str">
        <x:v>US West</x:v>
      </x:c>
      <x:c r="I805" s="34" t="n">
        <x:v>272</x:v>
      </x:c>
      <x:c r="J805" s="38" t="n">
        <x:v>6.9303968000000005</x:v>
      </x:c>
      <x:c r="K805" s="38" t="n">
        <x:v>2.204423292799999</x:v>
      </x:c>
      <x:c r="L805" s="28" t="n">
        <x:v>0.3180803865083164</x:v>
      </x:c>
    </x:row>
    <x:row r="806">
      <x:c r="A806" s="32" t="n">
        <x:v>45962</x:v>
      </x:c>
      <x:c r="B806" t="str">
        <x:v>Nov 2025</x:v>
      </x:c>
      <x:c r="C806" t="str">
        <x:v>Actual</x:v>
      </x:c>
      <x:c r="D806" t="str">
        <x:v>DB-101</x:v>
      </x:c>
      <x:c r="E806" t="str">
        <x:v>AeroSip Bottle</x:v>
      </x:c>
      <x:c r="F806" t="str">
        <x:v>Shopify DTC</x:v>
      </x:c>
      <x:c r="G806" t="str">
        <x:v>Consumer</x:v>
      </x:c>
      <x:c r="H806" t="str">
        <x:v>US Central</x:v>
      </x:c>
      <x:c r="I806" s="34" t="n">
        <x:v>192</x:v>
      </x:c>
      <x:c r="J806" s="38" t="n">
        <x:v>4.8920448</x:v>
      </x:c>
      <x:c r="K806" s="38" t="n">
        <x:v>1.5560635007999994</x:v>
      </x:c>
      <x:c r="L806" s="28" t="n">
        <x:v>0.31808038650831644</x:v>
      </x:c>
    </x:row>
    <x:row r="807">
      <x:c r="A807" s="32" t="n">
        <x:v>45962</x:v>
      </x:c>
      <x:c r="B807" t="str">
        <x:v>Nov 2025</x:v>
      </x:c>
      <x:c r="C807" t="str">
        <x:v>Actual</x:v>
      </x:c>
      <x:c r="D807" t="str">
        <x:v>DB-101</x:v>
      </x:c>
      <x:c r="E807" t="str">
        <x:v>AeroSip Bottle</x:v>
      </x:c>
      <x:c r="F807" t="str">
        <x:v>Shopify DTC</x:v>
      </x:c>
      <x:c r="G807" t="str">
        <x:v>Consumer</x:v>
      </x:c>
      <x:c r="H807" t="str">
        <x:v>US East</x:v>
      </x:c>
      <x:c r="I807" s="34" t="n">
        <x:v>256</x:v>
      </x:c>
      <x:c r="J807" s="38" t="n">
        <x:v>6.522726400000001</x:v>
      </x:c>
      <x:c r="K807" s="38" t="n">
        <x:v>2.0747513343999993</x:v>
      </x:c>
      <x:c r="L807" s="28" t="n">
        <x:v>0.3180803865083164</x:v>
      </x:c>
    </x:row>
    <x:row r="808">
      <x:c r="A808" s="32" t="n">
        <x:v>45962</x:v>
      </x:c>
      <x:c r="B808" t="str">
        <x:v>Nov 2025</x:v>
      </x:c>
      <x:c r="C808" t="str">
        <x:v>Actual</x:v>
      </x:c>
      <x:c r="D808" t="str">
        <x:v>DB-101</x:v>
      </x:c>
      <x:c r="E808" t="str">
        <x:v>AeroSip Bottle</x:v>
      </x:c>
      <x:c r="F808" t="str">
        <x:v>Shopify DTC</x:v>
      </x:c>
      <x:c r="G808" t="str">
        <x:v>Consumer</x:v>
      </x:c>
      <x:c r="H808" t="str">
        <x:v>Canada</x:v>
      </x:c>
      <x:c r="I808" s="34" t="n">
        <x:v>80</x:v>
      </x:c>
      <x:c r="J808" s="38" t="n">
        <x:v>2.038352</x:v>
      </x:c>
      <x:c r="K808" s="38" t="n">
        <x:v>0.6483597919999998</x:v>
      </x:c>
      <x:c r="L808" s="28" t="n">
        <x:v>0.31808038650831644</x:v>
      </x:c>
    </x:row>
    <x:row r="809">
      <x:c r="A809" s="32" t="n">
        <x:v>45962</x:v>
      </x:c>
      <x:c r="B809" t="str">
        <x:v>Nov 2025</x:v>
      </x:c>
      <x:c r="C809" t="str">
        <x:v>Actual</x:v>
      </x:c>
      <x:c r="D809" t="str">
        <x:v>DB-101</x:v>
      </x:c>
      <x:c r="E809" t="str">
        <x:v>AeroSip Bottle</x:v>
      </x:c>
      <x:c r="F809" t="str">
        <x:v>Amazon Marketplace</x:v>
      </x:c>
      <x:c r="G809" t="str">
        <x:v>Marketplace Consumer</x:v>
      </x:c>
      <x:c r="H809" t="str">
        <x:v>US West</x:v>
      </x:c>
      <x:c r="I809" s="34" t="n">
        <x:v>160.48000000000002</x:v>
      </x:c>
      <x:c r="J809" s="38" t="n">
        <x:v>4.22226892</x:v>
      </x:c>
      <x:c r="K809" s="38" t="n">
        <x:v>0.670439302</x:v>
      </x:c>
      <x:c r="L809" s="28" t="n">
        <x:v>0.158786499558157</x:v>
      </x:c>
    </x:row>
    <x:row r="810">
      <x:c r="A810" s="32" t="n">
        <x:v>45962</x:v>
      </x:c>
      <x:c r="B810" t="str">
        <x:v>Nov 2025</x:v>
      </x:c>
      <x:c r="C810" t="str">
        <x:v>Actual</x:v>
      </x:c>
      <x:c r="D810" t="str">
        <x:v>DB-101</x:v>
      </x:c>
      <x:c r="E810" t="str">
        <x:v>AeroSip Bottle</x:v>
      </x:c>
      <x:c r="F810" t="str">
        <x:v>Amazon Marketplace</x:v>
      </x:c>
      <x:c r="G810" t="str">
        <x:v>Marketplace Consumer</x:v>
      </x:c>
      <x:c r="H810" t="str">
        <x:v>US Central</x:v>
      </x:c>
      <x:c r="I810" s="34" t="n">
        <x:v>113.28</x:v>
      </x:c>
      <x:c r="J810" s="38" t="n">
        <x:v>2.98042512</x:v>
      </x:c>
      <x:c r="K810" s="38" t="n">
        <x:v>0.47325127199999995</x:v>
      </x:c>
      <x:c r="L810" s="28" t="n">
        <x:v>0.15878649955815696</x:v>
      </x:c>
    </x:row>
    <x:row r="811">
      <x:c r="A811" s="32" t="n">
        <x:v>45962</x:v>
      </x:c>
      <x:c r="B811" t="str">
        <x:v>Nov 2025</x:v>
      </x:c>
      <x:c r="C811" t="str">
        <x:v>Actual</x:v>
      </x:c>
      <x:c r="D811" t="str">
        <x:v>DB-101</x:v>
      </x:c>
      <x:c r="E811" t="str">
        <x:v>AeroSip Bottle</x:v>
      </x:c>
      <x:c r="F811" t="str">
        <x:v>Amazon Marketplace</x:v>
      </x:c>
      <x:c r="G811" t="str">
        <x:v>Marketplace Consumer</x:v>
      </x:c>
      <x:c r="H811" t="str">
        <x:v>US East</x:v>
      </x:c>
      <x:c r="I811" s="34" t="n">
        <x:v>151.04</x:v>
      </x:c>
      <x:c r="J811" s="38" t="n">
        <x:v>3.97390016</x:v>
      </x:c>
      <x:c r="K811" s="38" t="n">
        <x:v>0.631001696</x:v>
      </x:c>
      <x:c r="L811" s="28" t="n">
        <x:v>0.158786499558157</x:v>
      </x:c>
    </x:row>
    <x:row r="812">
      <x:c r="A812" s="32" t="n">
        <x:v>45962</x:v>
      </x:c>
      <x:c r="B812" t="str">
        <x:v>Nov 2025</x:v>
      </x:c>
      <x:c r="C812" t="str">
        <x:v>Actual</x:v>
      </x:c>
      <x:c r="D812" t="str">
        <x:v>DB-101</x:v>
      </x:c>
      <x:c r="E812" t="str">
        <x:v>AeroSip Bottle</x:v>
      </x:c>
      <x:c r="F812" t="str">
        <x:v>Amazon Marketplace</x:v>
      </x:c>
      <x:c r="G812" t="str">
        <x:v>Marketplace Consumer</x:v>
      </x:c>
      <x:c r="H812" t="str">
        <x:v>Canada</x:v>
      </x:c>
      <x:c r="I812" s="34" t="n">
        <x:v>47.2</x:v>
      </x:c>
      <x:c r="J812" s="38" t="n">
        <x:v>1.2418438</x:v>
      </x:c>
      <x:c r="K812" s="38" t="n">
        <x:v>0.19718803</x:v>
      </x:c>
      <x:c r="L812" s="28" t="n">
        <x:v>0.15878649955815696</x:v>
      </x:c>
    </x:row>
    <x:row r="813">
      <x:c r="A813" s="32" t="n">
        <x:v>45962</x:v>
      </x:c>
      <x:c r="B813" t="str">
        <x:v>Nov 2025</x:v>
      </x:c>
      <x:c r="C813" t="str">
        <x:v>Actual</x:v>
      </x:c>
      <x:c r="D813" t="str">
        <x:v>DB-101</x:v>
      </x:c>
      <x:c r="E813" t="str">
        <x:v>AeroSip Bottle</x:v>
      </x:c>
      <x:c r="F813" t="str">
        <x:v>Wholesale</x:v>
      </x:c>
      <x:c r="G813" t="str">
        <x:v>Retailer</x:v>
      </x:c>
      <x:c r="H813" t="str">
        <x:v>US West</x:v>
      </x:c>
      <x:c r="I813" s="34" t="n">
        <x:v>44.88</x:v>
      </x:c>
      <x:c r="J813" s="38" t="n">
        <x:v>0.80791854</x:v>
      </x:c>
      <x:c r="K813" s="38" t="n">
        <x:v>0.18022685999999988</x:v>
      </x:c>
      <x:c r="L813" s="28" t="n">
        <x:v>0.22307553432305177</x:v>
      </x:c>
    </x:row>
    <x:row r="814">
      <x:c r="A814" s="32" t="n">
        <x:v>45962</x:v>
      </x:c>
      <x:c r="B814" t="str">
        <x:v>Nov 2025</x:v>
      </x:c>
      <x:c r="C814" t="str">
        <x:v>Actual</x:v>
      </x:c>
      <x:c r="D814" t="str">
        <x:v>DB-101</x:v>
      </x:c>
      <x:c r="E814" t="str">
        <x:v>AeroSip Bottle</x:v>
      </x:c>
      <x:c r="F814" t="str">
        <x:v>Wholesale</x:v>
      </x:c>
      <x:c r="G814" t="str">
        <x:v>Retailer</x:v>
      </x:c>
      <x:c r="H814" t="str">
        <x:v>US Central</x:v>
      </x:c>
      <x:c r="I814" s="34" t="n">
        <x:v>31.68</x:v>
      </x:c>
      <x:c r="J814" s="38" t="n">
        <x:v>0.5702954399999999</x:v>
      </x:c>
      <x:c r="K814" s="38" t="n">
        <x:v>0.1272189599999999</x:v>
      </x:c>
      <x:c r="L814" s="28" t="n">
        <x:v>0.22307553432305183</x:v>
      </x:c>
    </x:row>
    <x:row r="815">
      <x:c r="A815" s="32" t="n">
        <x:v>45962</x:v>
      </x:c>
      <x:c r="B815" t="str">
        <x:v>Nov 2025</x:v>
      </x:c>
      <x:c r="C815" t="str">
        <x:v>Actual</x:v>
      </x:c>
      <x:c r="D815" t="str">
        <x:v>DB-101</x:v>
      </x:c>
      <x:c r="E815" t="str">
        <x:v>AeroSip Bottle</x:v>
      </x:c>
      <x:c r="F815" t="str">
        <x:v>Wholesale</x:v>
      </x:c>
      <x:c r="G815" t="str">
        <x:v>Retailer</x:v>
      </x:c>
      <x:c r="H815" t="str">
        <x:v>US East</x:v>
      </x:c>
      <x:c r="I815" s="34" t="n">
        <x:v>42.24</x:v>
      </x:c>
      <x:c r="J815" s="38" t="n">
        <x:v>0.76039392</x:v>
      </x:c>
      <x:c r="K815" s="38" t="n">
        <x:v>0.16962527999999988</x:v>
      </x:c>
      <x:c r="L815" s="28" t="n">
        <x:v>0.22307553432305177</x:v>
      </x:c>
    </x:row>
    <x:row r="816">
      <x:c r="A816" s="32" t="n">
        <x:v>45962</x:v>
      </x:c>
      <x:c r="B816" t="str">
        <x:v>Nov 2025</x:v>
      </x:c>
      <x:c r="C816" t="str">
        <x:v>Actual</x:v>
      </x:c>
      <x:c r="D816" t="str">
        <x:v>DB-101</x:v>
      </x:c>
      <x:c r="E816" t="str">
        <x:v>AeroSip Bottle</x:v>
      </x:c>
      <x:c r="F816" t="str">
        <x:v>Wholesale</x:v>
      </x:c>
      <x:c r="G816" t="str">
        <x:v>Retailer</x:v>
      </x:c>
      <x:c r="H816" t="str">
        <x:v>Canada</x:v>
      </x:c>
      <x:c r="I816" s="34" t="n">
        <x:v>13.200000000000001</x:v>
      </x:c>
      <x:c r="J816" s="38" t="n">
        <x:v>0.23762309999999998</x:v>
      </x:c>
      <x:c r="K816" s="38" t="n">
        <x:v>0.05300789999999997</x:v>
      </x:c>
      <x:c r="L816" s="28" t="n">
        <x:v>0.22307553432305183</x:v>
      </x:c>
    </x:row>
    <x:row r="817">
      <x:c r="A817" s="32" t="n">
        <x:v>45962</x:v>
      </x:c>
      <x:c r="B817" t="str">
        <x:v>Nov 2025</x:v>
      </x:c>
      <x:c r="C817" t="str">
        <x:v>Actual</x:v>
      </x:c>
      <x:c r="D817" t="str">
        <x:v>DB-101</x:v>
      </x:c>
      <x:c r="E817" t="str">
        <x:v>AeroSip Bottle</x:v>
      </x:c>
      <x:c r="F817" t="str">
        <x:v>TikTok Shop</x:v>
      </x:c>
      <x:c r="G817" t="str">
        <x:v>Social Commerce</x:v>
      </x:c>
      <x:c r="H817" t="str">
        <x:v>US West</x:v>
      </x:c>
      <x:c r="I817" s="34" t="n">
        <x:v>68.34</x:v>
      </x:c>
      <x:c r="J817" s="38" t="n">
        <x:v>1.6655551439999998</x:v>
      </x:c>
      <x:c r="K817" s="38" t="n">
        <x:v>0.30865949618400007</x:v>
      </x:c>
      <x:c r="L817" s="28" t="n">
        <x:v>0.18531928966502</x:v>
      </x:c>
    </x:row>
    <x:row r="818">
      <x:c r="A818" s="32" t="n">
        <x:v>45962</x:v>
      </x:c>
      <x:c r="B818" t="str">
        <x:v>Nov 2025</x:v>
      </x:c>
      <x:c r="C818" t="str">
        <x:v>Actual</x:v>
      </x:c>
      <x:c r="D818" t="str">
        <x:v>DB-101</x:v>
      </x:c>
      <x:c r="E818" t="str">
        <x:v>AeroSip Bottle</x:v>
      </x:c>
      <x:c r="F818" t="str">
        <x:v>TikTok Shop</x:v>
      </x:c>
      <x:c r="G818" t="str">
        <x:v>Social Commerce</x:v>
      </x:c>
      <x:c r="H818" t="str">
        <x:v>US Central</x:v>
      </x:c>
      <x:c r="I818" s="34" t="n">
        <x:v>48.239999999999995</x:v>
      </x:c>
      <x:c r="J818" s="38" t="n">
        <x:v>1.1756859839999998</x:v>
      </x:c>
      <x:c r="K818" s="38" t="n">
        <x:v>0.217877291424</x:v>
      </x:c>
      <x:c r="L818" s="28" t="n">
        <x:v>0.18531928966501998</x:v>
      </x:c>
    </x:row>
    <x:row r="819">
      <x:c r="A819" s="32" t="n">
        <x:v>45962</x:v>
      </x:c>
      <x:c r="B819" t="str">
        <x:v>Nov 2025</x:v>
      </x:c>
      <x:c r="C819" t="str">
        <x:v>Actual</x:v>
      </x:c>
      <x:c r="D819" t="str">
        <x:v>DB-101</x:v>
      </x:c>
      <x:c r="E819" t="str">
        <x:v>AeroSip Bottle</x:v>
      </x:c>
      <x:c r="F819" t="str">
        <x:v>TikTok Shop</x:v>
      </x:c>
      <x:c r="G819" t="str">
        <x:v>Social Commerce</x:v>
      </x:c>
      <x:c r="H819" t="str">
        <x:v>US East</x:v>
      </x:c>
      <x:c r="I819" s="34" t="n">
        <x:v>64.32000000000001</x:v>
      </x:c>
      <x:c r="J819" s="38" t="n">
        <x:v>1.5675813119999997</x:v>
      </x:c>
      <x:c r="K819" s="38" t="n">
        <x:v>0.29050305523200004</x:v>
      </x:c>
      <x:c r="L819" s="28" t="n">
        <x:v>0.18531928966502</x:v>
      </x:c>
    </x:row>
    <x:row r="820">
      <x:c r="A820" s="32" t="n">
        <x:v>45962</x:v>
      </x:c>
      <x:c r="B820" t="str">
        <x:v>Nov 2025</x:v>
      </x:c>
      <x:c r="C820" t="str">
        <x:v>Actual</x:v>
      </x:c>
      <x:c r="D820" t="str">
        <x:v>DB-101</x:v>
      </x:c>
      <x:c r="E820" t="str">
        <x:v>AeroSip Bottle</x:v>
      </x:c>
      <x:c r="F820" t="str">
        <x:v>TikTok Shop</x:v>
      </x:c>
      <x:c r="G820" t="str">
        <x:v>Social Commerce</x:v>
      </x:c>
      <x:c r="H820" t="str">
        <x:v>Canada</x:v>
      </x:c>
      <x:c r="I820" s="34" t="n">
        <x:v>20.1</x:v>
      </x:c>
      <x:c r="J820" s="38" t="n">
        <x:v>0.48986915999999997</x:v>
      </x:c>
      <x:c r="K820" s="38" t="n">
        <x:v>0.09078220476000001</x:v>
      </x:c>
      <x:c r="L820" s="28" t="n">
        <x:v>0.18531928966501998</x:v>
      </x:c>
    </x:row>
    <x:row r="821">
      <x:c r="A821" s="32" t="n">
        <x:v>45962</x:v>
      </x:c>
      <x:c r="B821" t="str">
        <x:v>Nov 2025</x:v>
      </x:c>
      <x:c r="C821" t="str">
        <x:v>Actual</x:v>
      </x:c>
      <x:c r="D821" t="str">
        <x:v>DB-102</x:v>
      </x:c>
      <x:c r="E821" t="str">
        <x:v>GlowPatch Balm</x:v>
      </x:c>
      <x:c r="F821" t="str">
        <x:v>Shopify DTC</x:v>
      </x:c>
      <x:c r="G821" t="str">
        <x:v>Consumer</x:v>
      </x:c>
      <x:c r="H821" t="str">
        <x:v>US West</x:v>
      </x:c>
      <x:c r="I821" s="34" t="n">
        <x:v>272.68</x:v>
      </x:c>
      <x:c r="J821" s="38" t="n">
        <x:v>4.40269128</x:v>
      </x:c>
      <x:c r="K821" s="38" t="n">
        <x:v>1.2166343528799997</x:v>
      </x:c>
      <x:c r="L821" s="28" t="n">
        <x:v>0.2763387835996531</x:v>
      </x:c>
    </x:row>
    <x:row r="822">
      <x:c r="A822" s="32" t="n">
        <x:v>45962</x:v>
      </x:c>
      <x:c r="B822" t="str">
        <x:v>Nov 2025</x:v>
      </x:c>
      <x:c r="C822" t="str">
        <x:v>Actual</x:v>
      </x:c>
      <x:c r="D822" t="str">
        <x:v>DB-102</x:v>
      </x:c>
      <x:c r="E822" t="str">
        <x:v>GlowPatch Balm</x:v>
      </x:c>
      <x:c r="F822" t="str">
        <x:v>Shopify DTC</x:v>
      </x:c>
      <x:c r="G822" t="str">
        <x:v>Consumer</x:v>
      </x:c>
      <x:c r="H822" t="str">
        <x:v>US Central</x:v>
      </x:c>
      <x:c r="I822" s="34" t="n">
        <x:v>192.48</x:v>
      </x:c>
      <x:c r="J822" s="38" t="n">
        <x:v>3.10778208</x:v>
      </x:c>
      <x:c r="K822" s="38" t="n">
        <x:v>0.8588007196799997</x:v>
      </x:c>
      <x:c r="L822" s="28" t="n">
        <x:v>0.2763387835996531</x:v>
      </x:c>
    </x:row>
    <x:row r="823">
      <x:c r="A823" s="32" t="n">
        <x:v>45962</x:v>
      </x:c>
      <x:c r="B823" t="str">
        <x:v>Nov 2025</x:v>
      </x:c>
      <x:c r="C823" t="str">
        <x:v>Actual</x:v>
      </x:c>
      <x:c r="D823" t="str">
        <x:v>DB-102</x:v>
      </x:c>
      <x:c r="E823" t="str">
        <x:v>GlowPatch Balm</x:v>
      </x:c>
      <x:c r="F823" t="str">
        <x:v>Shopify DTC</x:v>
      </x:c>
      <x:c r="G823" t="str">
        <x:v>Consumer</x:v>
      </x:c>
      <x:c r="H823" t="str">
        <x:v>US East</x:v>
      </x:c>
      <x:c r="I823" s="34" t="n">
        <x:v>256.64</x:v>
      </x:c>
      <x:c r="J823" s="38" t="n">
        <x:v>4.14370944</x:v>
      </x:c>
      <x:c r="K823" s="38" t="n">
        <x:v>1.1450676262399997</x:v>
      </x:c>
      <x:c r="L823" s="28" t="n">
        <x:v>0.2763387835996531</x:v>
      </x:c>
    </x:row>
    <x:row r="824">
      <x:c r="A824" s="32" t="n">
        <x:v>45962</x:v>
      </x:c>
      <x:c r="B824" t="str">
        <x:v>Nov 2025</x:v>
      </x:c>
      <x:c r="C824" t="str">
        <x:v>Actual</x:v>
      </x:c>
      <x:c r="D824" t="str">
        <x:v>DB-102</x:v>
      </x:c>
      <x:c r="E824" t="str">
        <x:v>GlowPatch Balm</x:v>
      </x:c>
      <x:c r="F824" t="str">
        <x:v>Shopify DTC</x:v>
      </x:c>
      <x:c r="G824" t="str">
        <x:v>Consumer</x:v>
      </x:c>
      <x:c r="H824" t="str">
        <x:v>Canada</x:v>
      </x:c>
      <x:c r="I824" s="34" t="n">
        <x:v>80.2</x:v>
      </x:c>
      <x:c r="J824" s="38" t="n">
        <x:v>1.2949092000000002</x:v>
      </x:c>
      <x:c r="K824" s="38" t="n">
        <x:v>0.3578336331999999</x:v>
      </x:c>
      <x:c r="L824" s="28" t="n">
        <x:v>0.276338783599653</x:v>
      </x:c>
    </x:row>
    <x:row r="825">
      <x:c r="A825" s="32" t="n">
        <x:v>45962</x:v>
      </x:c>
      <x:c r="B825" t="str">
        <x:v>Nov 2025</x:v>
      </x:c>
      <x:c r="C825" t="str">
        <x:v>Actual</x:v>
      </x:c>
      <x:c r="D825" t="str">
        <x:v>DB-102</x:v>
      </x:c>
      <x:c r="E825" t="str">
        <x:v>GlowPatch Balm</x:v>
      </x:c>
      <x:c r="F825" t="str">
        <x:v>Amazon Marketplace</x:v>
      </x:c>
      <x:c r="G825" t="str">
        <x:v>Marketplace Consumer</x:v>
      </x:c>
      <x:c r="H825" t="str">
        <x:v>US West</x:v>
      </x:c>
      <x:c r="I825" s="34" t="n">
        <x:v>161.16000000000003</x:v>
      </x:c>
      <x:c r="J825" s="38" t="n">
        <x:v>2.6869401</x:v>
      </x:c>
      <x:c r="K825" s="38" t="n">
        <x:v>0.22653052500000012</x:v>
      </x:c>
      <x:c r="L825" s="28" t="n">
        <x:v>0.08430799220272908</x:v>
      </x:c>
    </x:row>
    <x:row r="826">
      <x:c r="A826" s="32" t="n">
        <x:v>45962</x:v>
      </x:c>
      <x:c r="B826" t="str">
        <x:v>Nov 2025</x:v>
      </x:c>
      <x:c r="C826" t="str">
        <x:v>Actual</x:v>
      </x:c>
      <x:c r="D826" t="str">
        <x:v>DB-102</x:v>
      </x:c>
      <x:c r="E826" t="str">
        <x:v>GlowPatch Balm</x:v>
      </x:c>
      <x:c r="F826" t="str">
        <x:v>Amazon Marketplace</x:v>
      </x:c>
      <x:c r="G826" t="str">
        <x:v>Marketplace Consumer</x:v>
      </x:c>
      <x:c r="H826" t="str">
        <x:v>US Central</x:v>
      </x:c>
      <x:c r="I826" s="34" t="n">
        <x:v>113.75999999999999</x:v>
      </x:c>
      <x:c r="J826" s="38" t="n">
        <x:v>1.8966636000000001</x:v>
      </x:c>
      <x:c r="K826" s="38" t="n">
        <x:v>0.15990390000000007</x:v>
      </x:c>
      <x:c r="L826" s="28" t="n">
        <x:v>0.08430799220272908</x:v>
      </x:c>
    </x:row>
    <x:row r="827">
      <x:c r="A827" s="32" t="n">
        <x:v>45962</x:v>
      </x:c>
      <x:c r="B827" t="str">
        <x:v>Nov 2025</x:v>
      </x:c>
      <x:c r="C827" t="str">
        <x:v>Actual</x:v>
      </x:c>
      <x:c r="D827" t="str">
        <x:v>DB-102</x:v>
      </x:c>
      <x:c r="E827" t="str">
        <x:v>GlowPatch Balm</x:v>
      </x:c>
      <x:c r="F827" t="str">
        <x:v>Amazon Marketplace</x:v>
      </x:c>
      <x:c r="G827" t="str">
        <x:v>Marketplace Consumer</x:v>
      </x:c>
      <x:c r="H827" t="str">
        <x:v>US East</x:v>
      </x:c>
      <x:c r="I827" s="34" t="n">
        <x:v>151.68</x:v>
      </x:c>
      <x:c r="J827" s="38" t="n">
        <x:v>2.5288848</x:v>
      </x:c>
      <x:c r="K827" s="38" t="n">
        <x:v>0.2132052000000001</x:v>
      </x:c>
      <x:c r="L827" s="28" t="n">
        <x:v>0.08430799220272908</x:v>
      </x:c>
    </x:row>
    <x:row r="828">
      <x:c r="A828" s="32" t="n">
        <x:v>45962</x:v>
      </x:c>
      <x:c r="B828" t="str">
        <x:v>Nov 2025</x:v>
      </x:c>
      <x:c r="C828" t="str">
        <x:v>Actual</x:v>
      </x:c>
      <x:c r="D828" t="str">
        <x:v>DB-102</x:v>
      </x:c>
      <x:c r="E828" t="str">
        <x:v>GlowPatch Balm</x:v>
      </x:c>
      <x:c r="F828" t="str">
        <x:v>Amazon Marketplace</x:v>
      </x:c>
      <x:c r="G828" t="str">
        <x:v>Marketplace Consumer</x:v>
      </x:c>
      <x:c r="H828" t="str">
        <x:v>Canada</x:v>
      </x:c>
      <x:c r="I828" s="34" t="n">
        <x:v>47.400000000000006</x:v>
      </x:c>
      <x:c r="J828" s="38" t="n">
        <x:v>0.7902765</x:v>
      </x:c>
      <x:c r="K828" s="38" t="n">
        <x:v>0.06662662500000004</x:v>
      </x:c>
      <x:c r="L828" s="28" t="n">
        <x:v>0.08430799220272908</x:v>
      </x:c>
    </x:row>
    <x:row r="829">
      <x:c r="A829" s="32" t="n">
        <x:v>45962</x:v>
      </x:c>
      <x:c r="B829" t="str">
        <x:v>Nov 2025</x:v>
      </x:c>
      <x:c r="C829" t="str">
        <x:v>Actual</x:v>
      </x:c>
      <x:c r="D829" t="str">
        <x:v>DB-102</x:v>
      </x:c>
      <x:c r="E829" t="str">
        <x:v>GlowPatch Balm</x:v>
      </x:c>
      <x:c r="F829" t="str">
        <x:v>Wholesale</x:v>
      </x:c>
      <x:c r="G829" t="str">
        <x:v>Retailer</x:v>
      </x:c>
      <x:c r="H829" t="str">
        <x:v>US West</x:v>
      </x:c>
      <x:c r="I829" s="34" t="n">
        <x:v>44.88</x:v>
      </x:c>
      <x:c r="J829" s="38" t="n">
        <x:v>0.5119686</x:v>
      </x:c>
      <x:c r="K829" s="38" t="n">
        <x:v>0.12752652</x:v>
      </x:c>
      <x:c r="L829" s="28" t="n">
        <x:v>0.24909051062897217</x:v>
      </x:c>
    </x:row>
    <x:row r="830">
      <x:c r="A830" s="32" t="n">
        <x:v>45962</x:v>
      </x:c>
      <x:c r="B830" t="str">
        <x:v>Nov 2025</x:v>
      </x:c>
      <x:c r="C830" t="str">
        <x:v>Actual</x:v>
      </x:c>
      <x:c r="D830" t="str">
        <x:v>DB-102</x:v>
      </x:c>
      <x:c r="E830" t="str">
        <x:v>GlowPatch Balm</x:v>
      </x:c>
      <x:c r="F830" t="str">
        <x:v>Wholesale</x:v>
      </x:c>
      <x:c r="G830" t="str">
        <x:v>Retailer</x:v>
      </x:c>
      <x:c r="H830" t="str">
        <x:v>US Central</x:v>
      </x:c>
      <x:c r="I830" s="34" t="n">
        <x:v>31.68</x:v>
      </x:c>
      <x:c r="J830" s="38" t="n">
        <x:v>0.3613896</x:v>
      </x:c>
      <x:c r="K830" s="38" t="n">
        <x:v>0.09001871999999998</x:v>
      </x:c>
      <x:c r="L830" s="28" t="n">
        <x:v>0.24909051062897214</x:v>
      </x:c>
    </x:row>
    <x:row r="831">
      <x:c r="A831" s="32" t="n">
        <x:v>45962</x:v>
      </x:c>
      <x:c r="B831" t="str">
        <x:v>Nov 2025</x:v>
      </x:c>
      <x:c r="C831" t="str">
        <x:v>Actual</x:v>
      </x:c>
      <x:c r="D831" t="str">
        <x:v>DB-102</x:v>
      </x:c>
      <x:c r="E831" t="str">
        <x:v>GlowPatch Balm</x:v>
      </x:c>
      <x:c r="F831" t="str">
        <x:v>Wholesale</x:v>
      </x:c>
      <x:c r="G831" t="str">
        <x:v>Retailer</x:v>
      </x:c>
      <x:c r="H831" t="str">
        <x:v>US East</x:v>
      </x:c>
      <x:c r="I831" s="34" t="n">
        <x:v>42.24</x:v>
      </x:c>
      <x:c r="J831" s="38" t="n">
        <x:v>0.4818528</x:v>
      </x:c>
      <x:c r="K831" s="38" t="n">
        <x:v>0.12002495999999999</x:v>
      </x:c>
      <x:c r="L831" s="28" t="n">
        <x:v>0.2490905106289721</x:v>
      </x:c>
    </x:row>
    <x:row r="832">
      <x:c r="A832" s="32" t="n">
        <x:v>45962</x:v>
      </x:c>
      <x:c r="B832" t="str">
        <x:v>Nov 2025</x:v>
      </x:c>
      <x:c r="C832" t="str">
        <x:v>Actual</x:v>
      </x:c>
      <x:c r="D832" t="str">
        <x:v>DB-102</x:v>
      </x:c>
      <x:c r="E832" t="str">
        <x:v>GlowPatch Balm</x:v>
      </x:c>
      <x:c r="F832" t="str">
        <x:v>Wholesale</x:v>
      </x:c>
      <x:c r="G832" t="str">
        <x:v>Retailer</x:v>
      </x:c>
      <x:c r="H832" t="str">
        <x:v>Canada</x:v>
      </x:c>
      <x:c r="I832" s="34" t="n">
        <x:v>13.200000000000001</x:v>
      </x:c>
      <x:c r="J832" s="38" t="n">
        <x:v>0.15057900000000002</x:v>
      </x:c>
      <x:c r="K832" s="38" t="n">
        <x:v>0.0375078</x:v>
      </x:c>
      <x:c r="L832" s="28" t="n">
        <x:v>0.24909051062897214</x:v>
      </x:c>
    </x:row>
    <x:row r="833">
      <x:c r="A833" s="32" t="n">
        <x:v>45962</x:v>
      </x:c>
      <x:c r="B833" t="str">
        <x:v>Nov 2025</x:v>
      </x:c>
      <x:c r="C833" t="str">
        <x:v>Actual</x:v>
      </x:c>
      <x:c r="D833" t="str">
        <x:v>DB-102</x:v>
      </x:c>
      <x:c r="E833" t="str">
        <x:v>GlowPatch Balm</x:v>
      </x:c>
      <x:c r="F833" t="str">
        <x:v>TikTok Shop</x:v>
      </x:c>
      <x:c r="G833" t="str">
        <x:v>Social Commerce</x:v>
      </x:c>
      <x:c r="H833" t="str">
        <x:v>US West</x:v>
      </x:c>
      <x:c r="I833" s="34" t="n">
        <x:v>68.68</x:v>
      </x:c>
      <x:c r="J833" s="38" t="n">
        <x:v>1.06069392</x:v>
      </x:c>
      <x:c r="K833" s="38" t="n">
        <x:v>0.12386328112000004</x:v>
      </x:c>
      <x:c r="L833" s="28" t="n">
        <x:v>0.11677570577570581</x:v>
      </x:c>
    </x:row>
    <x:row r="834">
      <x:c r="A834" s="32" t="n">
        <x:v>45962</x:v>
      </x:c>
      <x:c r="B834" t="str">
        <x:v>Nov 2025</x:v>
      </x:c>
      <x:c r="C834" t="str">
        <x:v>Actual</x:v>
      </x:c>
      <x:c r="D834" t="str">
        <x:v>DB-102</x:v>
      </x:c>
      <x:c r="E834" t="str">
        <x:v>GlowPatch Balm</x:v>
      </x:c>
      <x:c r="F834" t="str">
        <x:v>TikTok Shop</x:v>
      </x:c>
      <x:c r="G834" t="str">
        <x:v>Social Commerce</x:v>
      </x:c>
      <x:c r="H834" t="str">
        <x:v>US Central</x:v>
      </x:c>
      <x:c r="I834" s="34" t="n">
        <x:v>48.48</x:v>
      </x:c>
      <x:c r="J834" s="38" t="n">
        <x:v>0.74872512</x:v>
      </x:c>
      <x:c r="K834" s="38" t="n">
        <x:v>0.08743290432000002</x:v>
      </x:c>
      <x:c r="L834" s="28" t="n">
        <x:v>0.1167757057757058</x:v>
      </x:c>
    </x:row>
    <x:row r="835">
      <x:c r="A835" s="32" t="n">
        <x:v>45962</x:v>
      </x:c>
      <x:c r="B835" t="str">
        <x:v>Nov 2025</x:v>
      </x:c>
      <x:c r="C835" t="str">
        <x:v>Actual</x:v>
      </x:c>
      <x:c r="D835" t="str">
        <x:v>DB-102</x:v>
      </x:c>
      <x:c r="E835" t="str">
        <x:v>GlowPatch Balm</x:v>
      </x:c>
      <x:c r="F835" t="str">
        <x:v>TikTok Shop</x:v>
      </x:c>
      <x:c r="G835" t="str">
        <x:v>Social Commerce</x:v>
      </x:c>
      <x:c r="H835" t="str">
        <x:v>US East</x:v>
      </x:c>
      <x:c r="I835" s="34" t="n">
        <x:v>64.64</x:v>
      </x:c>
      <x:c r="J835" s="38" t="n">
        <x:v>0.99830016</x:v>
      </x:c>
      <x:c r="K835" s="38" t="n">
        <x:v>0.11657720576000002</x:v>
      </x:c>
      <x:c r="L835" s="28" t="n">
        <x:v>0.1167757057757058</x:v>
      </x:c>
    </x:row>
    <x:row r="836">
      <x:c r="A836" s="32" t="n">
        <x:v>45962</x:v>
      </x:c>
      <x:c r="B836" t="str">
        <x:v>Nov 2025</x:v>
      </x:c>
      <x:c r="C836" t="str">
        <x:v>Actual</x:v>
      </x:c>
      <x:c r="D836" t="str">
        <x:v>DB-102</x:v>
      </x:c>
      <x:c r="E836" t="str">
        <x:v>GlowPatch Balm</x:v>
      </x:c>
      <x:c r="F836" t="str">
        <x:v>TikTok Shop</x:v>
      </x:c>
      <x:c r="G836" t="str">
        <x:v>Social Commerce</x:v>
      </x:c>
      <x:c r="H836" t="str">
        <x:v>Canada</x:v>
      </x:c>
      <x:c r="I836" s="34" t="n">
        <x:v>20.200000000000003</x:v>
      </x:c>
      <x:c r="J836" s="38" t="n">
        <x:v>0.31196880000000005</x:v>
      </x:c>
      <x:c r="K836" s="38" t="n">
        <x:v>0.03643037680000001</x:v>
      </x:c>
      <x:c r="L836" s="28" t="n">
        <x:v>0.1167757057757058</x:v>
      </x:c>
    </x:row>
    <x:row r="837">
      <x:c r="A837" s="32" t="n">
        <x:v>45962</x:v>
      </x:c>
      <x:c r="B837" t="str">
        <x:v>Nov 2025</x:v>
      </x:c>
      <x:c r="C837" t="str">
        <x:v>Actual</x:v>
      </x:c>
      <x:c r="D837" t="str">
        <x:v>DB-103</x:v>
      </x:c>
      <x:c r="E837" t="str">
        <x:v>EmberTrail Camp Mug</x:v>
      </x:c>
      <x:c r="F837" t="str">
        <x:v>Shopify DTC</x:v>
      </x:c>
      <x:c r="G837" t="str">
        <x:v>Consumer</x:v>
      </x:c>
      <x:c r="H837" t="str">
        <x:v>US West</x:v>
      </x:c>
      <x:c r="I837" s="34" t="n">
        <x:v>253.3</x:v>
      </x:c>
      <x:c r="J837" s="38" t="n">
        <x:v>7.487446680000002</x:v>
      </x:c>
      <x:c r="K837" s="38" t="n">
        <x:v>2.3243749262800004</x:v>
      </x:c>
      <x:c r="L837" s="28" t="n">
        <x:v>0.31043625759482535</x:v>
      </x:c>
    </x:row>
    <x:row r="838">
      <x:c r="A838" s="32" t="n">
        <x:v>45962</x:v>
      </x:c>
      <x:c r="B838" t="str">
        <x:v>Nov 2025</x:v>
      </x:c>
      <x:c r="C838" t="str">
        <x:v>Actual</x:v>
      </x:c>
      <x:c r="D838" t="str">
        <x:v>DB-103</x:v>
      </x:c>
      <x:c r="E838" t="str">
        <x:v>EmberTrail Camp Mug</x:v>
      </x:c>
      <x:c r="F838" t="str">
        <x:v>Shopify DTC</x:v>
      </x:c>
      <x:c r="G838" t="str">
        <x:v>Consumer</x:v>
      </x:c>
      <x:c r="H838" t="str">
        <x:v>US Central</x:v>
      </x:c>
      <x:c r="I838" s="34" t="n">
        <x:v>178.79999999999998</x:v>
      </x:c>
      <x:c r="J838" s="38" t="n">
        <x:v>5.285256480000001</x:v>
      </x:c>
      <x:c r="K838" s="38" t="n">
        <x:v>1.64073524208</x:v>
      </x:c>
      <x:c r="L838" s="28" t="n">
        <x:v>0.31043625759482535</x:v>
      </x:c>
    </x:row>
    <x:row r="839">
      <x:c r="A839" s="32" t="n">
        <x:v>45962</x:v>
      </x:c>
      <x:c r="B839" t="str">
        <x:v>Nov 2025</x:v>
      </x:c>
      <x:c r="C839" t="str">
        <x:v>Actual</x:v>
      </x:c>
      <x:c r="D839" t="str">
        <x:v>DB-103</x:v>
      </x:c>
      <x:c r="E839" t="str">
        <x:v>EmberTrail Camp Mug</x:v>
      </x:c>
      <x:c r="F839" t="str">
        <x:v>Shopify DTC</x:v>
      </x:c>
      <x:c r="G839" t="str">
        <x:v>Consumer</x:v>
      </x:c>
      <x:c r="H839" t="str">
        <x:v>US East</x:v>
      </x:c>
      <x:c r="I839" s="34" t="n">
        <x:v>238.4</x:v>
      </x:c>
      <x:c r="J839" s="38" t="n">
        <x:v>7.047008640000001</x:v>
      </x:c>
      <x:c r="K839" s="38" t="n">
        <x:v>2.1876469894400006</x:v>
      </x:c>
      <x:c r="L839" s="28" t="n">
        <x:v>0.3104362575948254</x:v>
      </x:c>
    </x:row>
    <x:row r="840">
      <x:c r="A840" s="32" t="n">
        <x:v>45962</x:v>
      </x:c>
      <x:c r="B840" t="str">
        <x:v>Nov 2025</x:v>
      </x:c>
      <x:c r="C840" t="str">
        <x:v>Actual</x:v>
      </x:c>
      <x:c r="D840" t="str">
        <x:v>DB-103</x:v>
      </x:c>
      <x:c r="E840" t="str">
        <x:v>EmberTrail Camp Mug</x:v>
      </x:c>
      <x:c r="F840" t="str">
        <x:v>Shopify DTC</x:v>
      </x:c>
      <x:c r="G840" t="str">
        <x:v>Consumer</x:v>
      </x:c>
      <x:c r="H840" t="str">
        <x:v>Canada</x:v>
      </x:c>
      <x:c r="I840" s="34" t="n">
        <x:v>74.5</x:v>
      </x:c>
      <x:c r="J840" s="38" t="n">
        <x:v>2.2021902000000004</x:v>
      </x:c>
      <x:c r="K840" s="38" t="n">
        <x:v>0.6836396842000001</x:v>
      </x:c>
      <x:c r="L840" s="28" t="n">
        <x:v>0.31043625759482535</x:v>
      </x:c>
    </x:row>
    <x:row r="841">
      <x:c r="A841" s="32" t="n">
        <x:v>45962</x:v>
      </x:c>
      <x:c r="B841" t="str">
        <x:v>Nov 2025</x:v>
      </x:c>
      <x:c r="C841" t="str">
        <x:v>Actual</x:v>
      </x:c>
      <x:c r="D841" t="str">
        <x:v>DB-103</x:v>
      </x:c>
      <x:c r="E841" t="str">
        <x:v>EmberTrail Camp Mug</x:v>
      </x:c>
      <x:c r="F841" t="str">
        <x:v>Amazon Marketplace</x:v>
      </x:c>
      <x:c r="G841" t="str">
        <x:v>Marketplace Consumer</x:v>
      </x:c>
      <x:c r="H841" t="str">
        <x:v>US West</x:v>
      </x:c>
      <x:c r="I841" s="34" t="n">
        <x:v>149.26000000000002</x:v>
      </x:c>
      <x:c r="J841" s="38" t="n">
        <x:v>4.55593761</x:v>
      </x:c>
      <x:c r="K841" s="38" t="n">
        <x:v>0.7267432085000002</x:v>
      </x:c>
      <x:c r="L841" s="28" t="n">
        <x:v>0.15951561911314238</x:v>
      </x:c>
    </x:row>
    <x:row r="842">
      <x:c r="A842" s="32" t="n">
        <x:v>45962</x:v>
      </x:c>
      <x:c r="B842" t="str">
        <x:v>Nov 2025</x:v>
      </x:c>
      <x:c r="C842" t="str">
        <x:v>Actual</x:v>
      </x:c>
      <x:c r="D842" t="str">
        <x:v>DB-103</x:v>
      </x:c>
      <x:c r="E842" t="str">
        <x:v>EmberTrail Camp Mug</x:v>
      </x:c>
      <x:c r="F842" t="str">
        <x:v>Amazon Marketplace</x:v>
      </x:c>
      <x:c r="G842" t="str">
        <x:v>Marketplace Consumer</x:v>
      </x:c>
      <x:c r="H842" t="str">
        <x:v>US Central</x:v>
      </x:c>
      <x:c r="I842" s="34" t="n">
        <x:v>105.36</x:v>
      </x:c>
      <x:c r="J842" s="38" t="n">
        <x:v>3.21595596</x:v>
      </x:c>
      <x:c r="K842" s="38" t="n">
        <x:v>0.512995206</x:v>
      </x:c>
      <x:c r="L842" s="28" t="n">
        <x:v>0.15951561911314235</x:v>
      </x:c>
    </x:row>
    <x:row r="843">
      <x:c r="A843" s="32" t="n">
        <x:v>45962</x:v>
      </x:c>
      <x:c r="B843" t="str">
        <x:v>Nov 2025</x:v>
      </x:c>
      <x:c r="C843" t="str">
        <x:v>Actual</x:v>
      </x:c>
      <x:c r="D843" t="str">
        <x:v>DB-103</x:v>
      </x:c>
      <x:c r="E843" t="str">
        <x:v>EmberTrail Camp Mug</x:v>
      </x:c>
      <x:c r="F843" t="str">
        <x:v>Amazon Marketplace</x:v>
      </x:c>
      <x:c r="G843" t="str">
        <x:v>Marketplace Consumer</x:v>
      </x:c>
      <x:c r="H843" t="str">
        <x:v>US East</x:v>
      </x:c>
      <x:c r="I843" s="34" t="n">
        <x:v>140.48</x:v>
      </x:c>
      <x:c r="J843" s="38" t="n">
        <x:v>4.28794128</x:v>
      </x:c>
      <x:c r="K843" s="38" t="n">
        <x:v>0.6839936080000001</x:v>
      </x:c>
      <x:c r="L843" s="28" t="n">
        <x:v>0.15951561911314235</x:v>
      </x:c>
    </x:row>
    <x:row r="844">
      <x:c r="A844" s="32" t="n">
        <x:v>45962</x:v>
      </x:c>
      <x:c r="B844" t="str">
        <x:v>Nov 2025</x:v>
      </x:c>
      <x:c r="C844" t="str">
        <x:v>Actual</x:v>
      </x:c>
      <x:c r="D844" t="str">
        <x:v>DB-103</x:v>
      </x:c>
      <x:c r="E844" t="str">
        <x:v>EmberTrail Camp Mug</x:v>
      </x:c>
      <x:c r="F844" t="str">
        <x:v>Amazon Marketplace</x:v>
      </x:c>
      <x:c r="G844" t="str">
        <x:v>Marketplace Consumer</x:v>
      </x:c>
      <x:c r="H844" t="str">
        <x:v>Canada</x:v>
      </x:c>
      <x:c r="I844" s="34" t="n">
        <x:v>43.900000000000006</x:v>
      </x:c>
      <x:c r="J844" s="38" t="n">
        <x:v>1.3399816500000001</x:v>
      </x:c>
      <x:c r="K844" s="38" t="n">
        <x:v>0.21374800250000003</x:v>
      </x:c>
      <x:c r="L844" s="28" t="n">
        <x:v>0.15951561911314235</x:v>
      </x:c>
    </x:row>
    <x:row r="845">
      <x:c r="A845" s="32" t="n">
        <x:v>45962</x:v>
      </x:c>
      <x:c r="B845" t="str">
        <x:v>Nov 2025</x:v>
      </x:c>
      <x:c r="C845" t="str">
        <x:v>Actual</x:v>
      </x:c>
      <x:c r="D845" t="str">
        <x:v>DB-103</x:v>
      </x:c>
      <x:c r="E845" t="str">
        <x:v>EmberTrail Camp Mug</x:v>
      </x:c>
      <x:c r="F845" t="str">
        <x:v>Wholesale</x:v>
      </x:c>
      <x:c r="G845" t="str">
        <x:v>Retailer</x:v>
      </x:c>
      <x:c r="H845" t="str">
        <x:v>US West</x:v>
      </x:c>
      <x:c r="I845" s="34" t="n">
        <x:v>42.160000000000004</x:v>
      </x:c>
      <x:c r="J845" s="38" t="n">
        <x:v>0.8804905200000002</x:v>
      </x:c>
      <x:c r="K845" s="38" t="n">
        <x:v>0.16899836000000007</x:v>
      </x:c>
      <x:c r="L845" s="28" t="n">
        <x:v>0.19193660370130963</x:v>
      </x:c>
    </x:row>
    <x:row r="846">
      <x:c r="A846" s="32" t="n">
        <x:v>45962</x:v>
      </x:c>
      <x:c r="B846" t="str">
        <x:v>Nov 2025</x:v>
      </x:c>
      <x:c r="C846" t="str">
        <x:v>Actual</x:v>
      </x:c>
      <x:c r="D846" t="str">
        <x:v>DB-103</x:v>
      </x:c>
      <x:c r="E846" t="str">
        <x:v>EmberTrail Camp Mug</x:v>
      </x:c>
      <x:c r="F846" t="str">
        <x:v>Wholesale</x:v>
      </x:c>
      <x:c r="G846" t="str">
        <x:v>Retailer</x:v>
      </x:c>
      <x:c r="H846" t="str">
        <x:v>US Central</x:v>
      </x:c>
      <x:c r="I846" s="34" t="n">
        <x:v>29.759999999999998</x:v>
      </x:c>
      <x:c r="J846" s="38" t="n">
        <x:v>0.62152272</x:v>
      </x:c>
      <x:c r="K846" s="38" t="n">
        <x:v>0.11929296000000003</x:v>
      </x:c>
      <x:c r="L846" s="28" t="n">
        <x:v>0.19193660370130963</x:v>
      </x:c>
    </x:row>
    <x:row r="847">
      <x:c r="A847" s="32" t="n">
        <x:v>45962</x:v>
      </x:c>
      <x:c r="B847" t="str">
        <x:v>Nov 2025</x:v>
      </x:c>
      <x:c r="C847" t="str">
        <x:v>Actual</x:v>
      </x:c>
      <x:c r="D847" t="str">
        <x:v>DB-103</x:v>
      </x:c>
      <x:c r="E847" t="str">
        <x:v>EmberTrail Camp Mug</x:v>
      </x:c>
      <x:c r="F847" t="str">
        <x:v>Wholesale</x:v>
      </x:c>
      <x:c r="G847" t="str">
        <x:v>Retailer</x:v>
      </x:c>
      <x:c r="H847" t="str">
        <x:v>US East</x:v>
      </x:c>
      <x:c r="I847" s="34" t="n">
        <x:v>39.68</x:v>
      </x:c>
      <x:c r="J847" s="38" t="n">
        <x:v>0.82869696</x:v>
      </x:c>
      <x:c r="K847" s="38" t="n">
        <x:v>0.15905728000000005</x:v>
      </x:c>
      <x:c r="L847" s="28" t="n">
        <x:v>0.19193660370130963</x:v>
      </x:c>
    </x:row>
    <x:row r="848">
      <x:c r="A848" s="32" t="n">
        <x:v>45962</x:v>
      </x:c>
      <x:c r="B848" t="str">
        <x:v>Nov 2025</x:v>
      </x:c>
      <x:c r="C848" t="str">
        <x:v>Actual</x:v>
      </x:c>
      <x:c r="D848" t="str">
        <x:v>DB-103</x:v>
      </x:c>
      <x:c r="E848" t="str">
        <x:v>EmberTrail Camp Mug</x:v>
      </x:c>
      <x:c r="F848" t="str">
        <x:v>Wholesale</x:v>
      </x:c>
      <x:c r="G848" t="str">
        <x:v>Retailer</x:v>
      </x:c>
      <x:c r="H848" t="str">
        <x:v>Canada</x:v>
      </x:c>
      <x:c r="I848" s="34" t="n">
        <x:v>12.4</x:v>
      </x:c>
      <x:c r="J848" s="38" t="n">
        <x:v>0.2589678</x:v>
      </x:c>
      <x:c r="K848" s="38" t="n">
        <x:v>0.04970540000000002</x:v>
      </x:c>
      <x:c r="L848" s="28" t="n">
        <x:v>0.19193660370130963</x:v>
      </x:c>
    </x:row>
    <x:row r="849">
      <x:c r="A849" s="32" t="n">
        <x:v>45962</x:v>
      </x:c>
      <x:c r="B849" t="str">
        <x:v>Nov 2025</x:v>
      </x:c>
      <x:c r="C849" t="str">
        <x:v>Actual</x:v>
      </x:c>
      <x:c r="D849" t="str">
        <x:v>DB-103</x:v>
      </x:c>
      <x:c r="E849" t="str">
        <x:v>EmberTrail Camp Mug</x:v>
      </x:c>
      <x:c r="F849" t="str">
        <x:v>TikTok Shop</x:v>
      </x:c>
      <x:c r="G849" t="str">
        <x:v>Social Commerce</x:v>
      </x:c>
      <x:c r="H849" t="str">
        <x:v>US West</x:v>
      </x:c>
      <x:c r="I849" s="34" t="n">
        <x:v>63.92</x:v>
      </x:c>
      <x:c r="J849" s="38" t="n">
        <x:v>1.8072996480000003</x:v>
      </x:c>
      <x:c r="K849" s="38" t="n">
        <x:v>0.3312320593280002</x:v>
      </x:c>
      <x:c r="L849" s="28" t="n">
        <x:v>0.18327456639221354</x:v>
      </x:c>
    </x:row>
    <x:row r="850">
      <x:c r="A850" s="32" t="n">
        <x:v>45962</x:v>
      </x:c>
      <x:c r="B850" t="str">
        <x:v>Nov 2025</x:v>
      </x:c>
      <x:c r="C850" t="str">
        <x:v>Actual</x:v>
      </x:c>
      <x:c r="D850" t="str">
        <x:v>DB-103</x:v>
      </x:c>
      <x:c r="E850" t="str">
        <x:v>EmberTrail Camp Mug</x:v>
      </x:c>
      <x:c r="F850" t="str">
        <x:v>TikTok Shop</x:v>
      </x:c>
      <x:c r="G850" t="str">
        <x:v>Social Commerce</x:v>
      </x:c>
      <x:c r="H850" t="str">
        <x:v>US Central</x:v>
      </x:c>
      <x:c r="I850" s="34" t="n">
        <x:v>45.12</x:v>
      </x:c>
      <x:c r="J850" s="38" t="n">
        <x:v>1.275740928</x:v>
      </x:c>
      <x:c r="K850" s="38" t="n">
        <x:v>0.2338108654080001</x:v>
      </x:c>
      <x:c r="L850" s="28" t="n">
        <x:v>0.18327456639221354</x:v>
      </x:c>
    </x:row>
    <x:row r="851">
      <x:c r="A851" s="32" t="n">
        <x:v>45962</x:v>
      </x:c>
      <x:c r="B851" t="str">
        <x:v>Nov 2025</x:v>
      </x:c>
      <x:c r="C851" t="str">
        <x:v>Actual</x:v>
      </x:c>
      <x:c r="D851" t="str">
        <x:v>DB-103</x:v>
      </x:c>
      <x:c r="E851" t="str">
        <x:v>EmberTrail Camp Mug</x:v>
      </x:c>
      <x:c r="F851" t="str">
        <x:v>TikTok Shop</x:v>
      </x:c>
      <x:c r="G851" t="str">
        <x:v>Social Commerce</x:v>
      </x:c>
      <x:c r="H851" t="str">
        <x:v>US East</x:v>
      </x:c>
      <x:c r="I851" s="34" t="n">
        <x:v>60.160000000000004</x:v>
      </x:c>
      <x:c r="J851" s="38" t="n">
        <x:v>1.7009879040000002</x:v>
      </x:c>
      <x:c r="K851" s="38" t="n">
        <x:v>0.3117478205440002</x:v>
      </x:c>
      <x:c r="L851" s="28" t="n">
        <x:v>0.18327456639221354</x:v>
      </x:c>
    </x:row>
    <x:row r="852">
      <x:c r="A852" s="32" t="n">
        <x:v>45962</x:v>
      </x:c>
      <x:c r="B852" t="str">
        <x:v>Nov 2025</x:v>
      </x:c>
      <x:c r="C852" t="str">
        <x:v>Actual</x:v>
      </x:c>
      <x:c r="D852" t="str">
        <x:v>DB-103</x:v>
      </x:c>
      <x:c r="E852" t="str">
        <x:v>EmberTrail Camp Mug</x:v>
      </x:c>
      <x:c r="F852" t="str">
        <x:v>TikTok Shop</x:v>
      </x:c>
      <x:c r="G852" t="str">
        <x:v>Social Commerce</x:v>
      </x:c>
      <x:c r="H852" t="str">
        <x:v>Canada</x:v>
      </x:c>
      <x:c r="I852" s="34" t="n">
        <x:v>18.8</x:v>
      </x:c>
      <x:c r="J852" s="38" t="n">
        <x:v>0.53155872</x:v>
      </x:c>
      <x:c r="K852" s="38" t="n">
        <x:v>0.09742119392000005</x:v>
      </x:c>
      <x:c r="L852" s="28" t="n">
        <x:v>0.18327456639221354</x:v>
      </x:c>
    </x:row>
    <x:row r="853">
      <x:c r="A853" s="32" t="n">
        <x:v>45962</x:v>
      </x:c>
      <x:c r="B853" t="str">
        <x:v>Nov 2025</x:v>
      </x:c>
      <x:c r="C853" t="str">
        <x:v>Actual</x:v>
      </x:c>
      <x:c r="D853" t="str">
        <x:v>DB-104</x:v>
      </x:c>
      <x:c r="E853" t="str">
        <x:v>SunNest Cooling Towel</x:v>
      </x:c>
      <x:c r="F853" t="str">
        <x:v>Shopify DTC</x:v>
      </x:c>
      <x:c r="G853" t="str">
        <x:v>Consumer</x:v>
      </x:c>
      <x:c r="H853" t="str">
        <x:v>US West</x:v>
      </x:c>
      <x:c r="I853" s="34" t="n">
        <x:v>134.3</x:v>
      </x:c>
      <x:c r="J853" s="38" t="n">
        <x:v>4.9298844000000015</x:v>
      </x:c>
      <x:c r="K853" s="38" t="n">
        <x:v>1.9830023524000011</x:v>
      </x:c>
      <x:c r="L853" s="28" t="n">
        <x:v>0.4022411463441213</x:v>
      </x:c>
    </x:row>
    <x:row r="854">
      <x:c r="A854" s="32" t="n">
        <x:v>45962</x:v>
      </x:c>
      <x:c r="B854" t="str">
        <x:v>Nov 2025</x:v>
      </x:c>
      <x:c r="C854" t="str">
        <x:v>Actual</x:v>
      </x:c>
      <x:c r="D854" t="str">
        <x:v>DB-104</x:v>
      </x:c>
      <x:c r="E854" t="str">
        <x:v>SunNest Cooling Towel</x:v>
      </x:c>
      <x:c r="F854" t="str">
        <x:v>Shopify DTC</x:v>
      </x:c>
      <x:c r="G854" t="str">
        <x:v>Consumer</x:v>
      </x:c>
      <x:c r="H854" t="str">
        <x:v>US Central</x:v>
      </x:c>
      <x:c r="I854" s="34" t="n">
        <x:v>94.8</x:v>
      </x:c>
      <x:c r="J854" s="38" t="n">
        <x:v>3.4799184000000003</x:v>
      </x:c>
      <x:c r="K854" s="38" t="n">
        <x:v>1.3997663664000006</x:v>
      </x:c>
      <x:c r="L854" s="28" t="n">
        <x:v>0.40224114634412134</x:v>
      </x:c>
    </x:row>
    <x:row r="855">
      <x:c r="A855" s="32" t="n">
        <x:v>45962</x:v>
      </x:c>
      <x:c r="B855" t="str">
        <x:v>Nov 2025</x:v>
      </x:c>
      <x:c r="C855" t="str">
        <x:v>Actual</x:v>
      </x:c>
      <x:c r="D855" t="str">
        <x:v>DB-104</x:v>
      </x:c>
      <x:c r="E855" t="str">
        <x:v>SunNest Cooling Towel</x:v>
      </x:c>
      <x:c r="F855" t="str">
        <x:v>Shopify DTC</x:v>
      </x:c>
      <x:c r="G855" t="str">
        <x:v>Consumer</x:v>
      </x:c>
      <x:c r="H855" t="str">
        <x:v>US East</x:v>
      </x:c>
      <x:c r="I855" s="34" t="n">
        <x:v>126.4</x:v>
      </x:c>
      <x:c r="J855" s="38" t="n">
        <x:v>4.639891200000001</x:v>
      </x:c>
      <x:c r="K855" s="38" t="n">
        <x:v>1.866355155200001</x:v>
      </x:c>
      <x:c r="L855" s="28" t="n">
        <x:v>0.40224114634412134</x:v>
      </x:c>
    </x:row>
    <x:row r="856">
      <x:c r="A856" s="32" t="n">
        <x:v>45962</x:v>
      </x:c>
      <x:c r="B856" t="str">
        <x:v>Nov 2025</x:v>
      </x:c>
      <x:c r="C856" t="str">
        <x:v>Actual</x:v>
      </x:c>
      <x:c r="D856" t="str">
        <x:v>DB-104</x:v>
      </x:c>
      <x:c r="E856" t="str">
        <x:v>SunNest Cooling Towel</x:v>
      </x:c>
      <x:c r="F856" t="str">
        <x:v>Shopify DTC</x:v>
      </x:c>
      <x:c r="G856" t="str">
        <x:v>Consumer</x:v>
      </x:c>
      <x:c r="H856" t="str">
        <x:v>Canada</x:v>
      </x:c>
      <x:c r="I856" s="34" t="n">
        <x:v>39.5</x:v>
      </x:c>
      <x:c r="J856" s="38" t="n">
        <x:v>1.4499660000000003</x:v>
      </x:c>
      <x:c r="K856" s="38" t="n">
        <x:v>0.5832359860000004</x:v>
      </x:c>
      <x:c r="L856" s="28" t="n">
        <x:v>0.40224114634412134</x:v>
      </x:c>
    </x:row>
    <x:row r="857">
      <x:c r="A857" s="32" t="n">
        <x:v>45962</x:v>
      </x:c>
      <x:c r="B857" t="str">
        <x:v>Nov 2025</x:v>
      </x:c>
      <x:c r="C857" t="str">
        <x:v>Actual</x:v>
      </x:c>
      <x:c r="D857" t="str">
        <x:v>DB-104</x:v>
      </x:c>
      <x:c r="E857" t="str">
        <x:v>SunNest Cooling Towel</x:v>
      </x:c>
      <x:c r="F857" t="str">
        <x:v>Amazon Marketplace</x:v>
      </x:c>
      <x:c r="G857" t="str">
        <x:v>Marketplace Consumer</x:v>
      </x:c>
      <x:c r="H857" t="str">
        <x:v>US West</x:v>
      </x:c>
      <x:c r="I857" s="34" t="n">
        <x:v>79.22</x:v>
      </x:c>
      <x:c r="J857" s="38" t="n">
        <x:v>3.0028341000000003</x:v>
      </x:c>
      <x:c r="K857" s="38" t="n">
        <x:v>0.7756628250000002</x:v>
      </x:c>
      <x:c r="L857" s="28" t="n">
        <x:v>0.25831024930747926</x:v>
      </x:c>
    </x:row>
    <x:row r="858">
      <x:c r="A858" s="32" t="n">
        <x:v>45962</x:v>
      </x:c>
      <x:c r="B858" t="str">
        <x:v>Nov 2025</x:v>
      </x:c>
      <x:c r="C858" t="str">
        <x:v>Actual</x:v>
      </x:c>
      <x:c r="D858" t="str">
        <x:v>DB-104</x:v>
      </x:c>
      <x:c r="E858" t="str">
        <x:v>SunNest Cooling Towel</x:v>
      </x:c>
      <x:c r="F858" t="str">
        <x:v>Amazon Marketplace</x:v>
      </x:c>
      <x:c r="G858" t="str">
        <x:v>Marketplace Consumer</x:v>
      </x:c>
      <x:c r="H858" t="str">
        <x:v>US Central</x:v>
      </x:c>
      <x:c r="I858" s="34" t="n">
        <x:v>55.919999999999995</x:v>
      </x:c>
      <x:c r="J858" s="38" t="n">
        <x:v>2.1196476</x:v>
      </x:c>
      <x:c r="K858" s="38" t="n">
        <x:v>0.5475267</x:v>
      </x:c>
      <x:c r="L858" s="28" t="n">
        <x:v>0.25831024930747926</x:v>
      </x:c>
    </x:row>
    <x:row r="859">
      <x:c r="A859" s="32" t="n">
        <x:v>45962</x:v>
      </x:c>
      <x:c r="B859" t="str">
        <x:v>Nov 2025</x:v>
      </x:c>
      <x:c r="C859" t="str">
        <x:v>Actual</x:v>
      </x:c>
      <x:c r="D859" t="str">
        <x:v>DB-104</x:v>
      </x:c>
      <x:c r="E859" t="str">
        <x:v>SunNest Cooling Towel</x:v>
      </x:c>
      <x:c r="F859" t="str">
        <x:v>Amazon Marketplace</x:v>
      </x:c>
      <x:c r="G859" t="str">
        <x:v>Marketplace Consumer</x:v>
      </x:c>
      <x:c r="H859" t="str">
        <x:v>US East</x:v>
      </x:c>
      <x:c r="I859" s="34" t="n">
        <x:v>74.56</x:v>
      </x:c>
      <x:c r="J859" s="38" t="n">
        <x:v>2.8261968000000004</x:v>
      </x:c>
      <x:c r="K859" s="38" t="n">
        <x:v>0.7300356000000001</x:v>
      </x:c>
      <x:c r="L859" s="28" t="n">
        <x:v>0.25831024930747926</x:v>
      </x:c>
    </x:row>
    <x:row r="860">
      <x:c r="A860" s="32" t="n">
        <x:v>45962</x:v>
      </x:c>
      <x:c r="B860" t="str">
        <x:v>Nov 2025</x:v>
      </x:c>
      <x:c r="C860" t="str">
        <x:v>Actual</x:v>
      </x:c>
      <x:c r="D860" t="str">
        <x:v>DB-104</x:v>
      </x:c>
      <x:c r="E860" t="str">
        <x:v>SunNest Cooling Towel</x:v>
      </x:c>
      <x:c r="F860" t="str">
        <x:v>Amazon Marketplace</x:v>
      </x:c>
      <x:c r="G860" t="str">
        <x:v>Marketplace Consumer</x:v>
      </x:c>
      <x:c r="H860" t="str">
        <x:v>Canada</x:v>
      </x:c>
      <x:c r="I860" s="34" t="n">
        <x:v>23.3</x:v>
      </x:c>
      <x:c r="J860" s="38" t="n">
        <x:v>0.8831865000000001</x:v>
      </x:c>
      <x:c r="K860" s="38" t="n">
        <x:v>0.22813612500000002</x:v>
      </x:c>
      <x:c r="L860" s="28" t="n">
        <x:v>0.2583102493074792</x:v>
      </x:c>
    </x:row>
    <x:row r="861">
      <x:c r="A861" s="32" t="n">
        <x:v>45962</x:v>
      </x:c>
      <x:c r="B861" t="str">
        <x:v>Nov 2025</x:v>
      </x:c>
      <x:c r="C861" t="str">
        <x:v>Actual</x:v>
      </x:c>
      <x:c r="D861" t="str">
        <x:v>DB-104</x:v>
      </x:c>
      <x:c r="E861" t="str">
        <x:v>SunNest Cooling Towel</x:v>
      </x:c>
      <x:c r="F861" t="str">
        <x:v>Wholesale</x:v>
      </x:c>
      <x:c r="G861" t="str">
        <x:v>Retailer</x:v>
      </x:c>
      <x:c r="H861" t="str">
        <x:v>US West</x:v>
      </x:c>
      <x:c r="I861" s="34" t="n">
        <x:v>21.76</x:v>
      </x:c>
      <x:c r="J861" s="38" t="n">
        <x:v>0.5643456000000001</x:v>
      </x:c>
      <x:c r="K861" s="38" t="n">
        <x:v>0.16770432000000005</x:v>
      </x:c>
      <x:c r="L861" s="28" t="n">
        <x:v>0.29716599190283405</x:v>
      </x:c>
    </x:row>
    <x:row r="862">
      <x:c r="A862" s="32" t="n">
        <x:v>45962</x:v>
      </x:c>
      <x:c r="B862" t="str">
        <x:v>Nov 2025</x:v>
      </x:c>
      <x:c r="C862" t="str">
        <x:v>Actual</x:v>
      </x:c>
      <x:c r="D862" t="str">
        <x:v>DB-104</x:v>
      </x:c>
      <x:c r="E862" t="str">
        <x:v>SunNest Cooling Towel</x:v>
      </x:c>
      <x:c r="F862" t="str">
        <x:v>Wholesale</x:v>
      </x:c>
      <x:c r="G862" t="str">
        <x:v>Retailer</x:v>
      </x:c>
      <x:c r="H862" t="str">
        <x:v>US Central</x:v>
      </x:c>
      <x:c r="I862" s="34" t="n">
        <x:v>15.36</x:v>
      </x:c>
      <x:c r="J862" s="38" t="n">
        <x:v>0.39836160000000004</x:v>
      </x:c>
      <x:c r="K862" s="38" t="n">
        <x:v>0.11837952000000003</x:v>
      </x:c>
      <x:c r="L862" s="28" t="n">
        <x:v>0.29716599190283405</x:v>
      </x:c>
    </x:row>
    <x:row r="863">
      <x:c r="A863" s="32" t="n">
        <x:v>45962</x:v>
      </x:c>
      <x:c r="B863" t="str">
        <x:v>Nov 2025</x:v>
      </x:c>
      <x:c r="C863" t="str">
        <x:v>Actual</x:v>
      </x:c>
      <x:c r="D863" t="str">
        <x:v>DB-104</x:v>
      </x:c>
      <x:c r="E863" t="str">
        <x:v>SunNest Cooling Towel</x:v>
      </x:c>
      <x:c r="F863" t="str">
        <x:v>Wholesale</x:v>
      </x:c>
      <x:c r="G863" t="str">
        <x:v>Retailer</x:v>
      </x:c>
      <x:c r="H863" t="str">
        <x:v>US East</x:v>
      </x:c>
      <x:c r="I863" s="34" t="n">
        <x:v>20.48</x:v>
      </x:c>
      <x:c r="J863" s="38" t="n">
        <x:v>0.5311488000000001</x:v>
      </x:c>
      <x:c r="K863" s="38" t="n">
        <x:v>0.15783936000000004</x:v>
      </x:c>
      <x:c r="L863" s="28" t="n">
        <x:v>0.29716599190283405</x:v>
      </x:c>
    </x:row>
    <x:row r="864">
      <x:c r="A864" s="32" t="n">
        <x:v>45962</x:v>
      </x:c>
      <x:c r="B864" t="str">
        <x:v>Nov 2025</x:v>
      </x:c>
      <x:c r="C864" t="str">
        <x:v>Actual</x:v>
      </x:c>
      <x:c r="D864" t="str">
        <x:v>DB-104</x:v>
      </x:c>
      <x:c r="E864" t="str">
        <x:v>SunNest Cooling Towel</x:v>
      </x:c>
      <x:c r="F864" t="str">
        <x:v>Wholesale</x:v>
      </x:c>
      <x:c r="G864" t="str">
        <x:v>Retailer</x:v>
      </x:c>
      <x:c r="H864" t="str">
        <x:v>Canada</x:v>
      </x:c>
      <x:c r="I864" s="34" t="n">
        <x:v>6.4</x:v>
      </x:c>
      <x:c r="J864" s="38" t="n">
        <x:v>0.16598400000000002</x:v>
      </x:c>
      <x:c r="K864" s="38" t="n">
        <x:v>0.049324800000000016</x:v>
      </x:c>
      <x:c r="L864" s="28" t="n">
        <x:v>0.29716599190283405</x:v>
      </x:c>
    </x:row>
    <x:row r="865">
      <x:c r="A865" s="32" t="n">
        <x:v>45962</x:v>
      </x:c>
      <x:c r="B865" t="str">
        <x:v>Nov 2025</x:v>
      </x:c>
      <x:c r="C865" t="str">
        <x:v>Actual</x:v>
      </x:c>
      <x:c r="D865" t="str">
        <x:v>DB-104</x:v>
      </x:c>
      <x:c r="E865" t="str">
        <x:v>SunNest Cooling Towel</x:v>
      </x:c>
      <x:c r="F865" t="str">
        <x:v>TikTok Shop</x:v>
      </x:c>
      <x:c r="G865" t="str">
        <x:v>Social Commerce</x:v>
      </x:c>
      <x:c r="H865" t="str">
        <x:v>US West</x:v>
      </x:c>
      <x:c r="I865" s="34" t="n">
        <x:v>34</x:v>
      </x:c>
      <x:c r="J865" s="38" t="n">
        <x:v>1.1938080000000002</x:v>
      </x:c>
      <x:c r="K865" s="38" t="n">
        <x:v>0.34200708800000024</x:v>
      </x:c>
      <x:c r="L865" s="28" t="n">
        <x:v>0.28648416495784934</x:v>
      </x:c>
    </x:row>
    <x:row r="866">
      <x:c r="A866" s="32" t="n">
        <x:v>45962</x:v>
      </x:c>
      <x:c r="B866" t="str">
        <x:v>Nov 2025</x:v>
      </x:c>
      <x:c r="C866" t="str">
        <x:v>Actual</x:v>
      </x:c>
      <x:c r="D866" t="str">
        <x:v>DB-104</x:v>
      </x:c>
      <x:c r="E866" t="str">
        <x:v>SunNest Cooling Towel</x:v>
      </x:c>
      <x:c r="F866" t="str">
        <x:v>TikTok Shop</x:v>
      </x:c>
      <x:c r="G866" t="str">
        <x:v>Social Commerce</x:v>
      </x:c>
      <x:c r="H866" t="str">
        <x:v>US Central</x:v>
      </x:c>
      <x:c r="I866" s="34" t="n">
        <x:v>24</x:v>
      </x:c>
      <x:c r="J866" s="38" t="n">
        <x:v>0.842688</x:v>
      </x:c>
      <x:c r="K866" s="38" t="n">
        <x:v>0.24141676800000011</x:v>
      </x:c>
      <x:c r="L866" s="28" t="n">
        <x:v>0.2864841649578493</x:v>
      </x:c>
    </x:row>
    <x:row r="867">
      <x:c r="A867" s="32" t="n">
        <x:v>45962</x:v>
      </x:c>
      <x:c r="B867" t="str">
        <x:v>Nov 2025</x:v>
      </x:c>
      <x:c r="C867" t="str">
        <x:v>Actual</x:v>
      </x:c>
      <x:c r="D867" t="str">
        <x:v>DB-104</x:v>
      </x:c>
      <x:c r="E867" t="str">
        <x:v>SunNest Cooling Towel</x:v>
      </x:c>
      <x:c r="F867" t="str">
        <x:v>TikTok Shop</x:v>
      </x:c>
      <x:c r="G867" t="str">
        <x:v>Social Commerce</x:v>
      </x:c>
      <x:c r="H867" t="str">
        <x:v>US East</x:v>
      </x:c>
      <x:c r="I867" s="34" t="n">
        <x:v>32</x:v>
      </x:c>
      <x:c r="J867" s="38" t="n">
        <x:v>1.1235840000000001</x:v>
      </x:c>
      <x:c r="K867" s="38" t="n">
        <x:v>0.3218890240000002</x:v>
      </x:c>
      <x:c r="L867" s="28" t="n">
        <x:v>0.2864841649578493</x:v>
      </x:c>
    </x:row>
    <x:row r="868">
      <x:c r="A868" s="32" t="n">
        <x:v>45962</x:v>
      </x:c>
      <x:c r="B868" t="str">
        <x:v>Nov 2025</x:v>
      </x:c>
      <x:c r="C868" t="str">
        <x:v>Actual</x:v>
      </x:c>
      <x:c r="D868" t="str">
        <x:v>DB-104</x:v>
      </x:c>
      <x:c r="E868" t="str">
        <x:v>SunNest Cooling Towel</x:v>
      </x:c>
      <x:c r="F868" t="str">
        <x:v>TikTok Shop</x:v>
      </x:c>
      <x:c r="G868" t="str">
        <x:v>Social Commerce</x:v>
      </x:c>
      <x:c r="H868" t="str">
        <x:v>Canada</x:v>
      </x:c>
      <x:c r="I868" s="34" t="n">
        <x:v>10</x:v>
      </x:c>
      <x:c r="J868" s="38" t="n">
        <x:v>0.35112000000000004</x:v>
      </x:c>
      <x:c r="K868" s="38" t="n">
        <x:v>0.10059032000000007</x:v>
      </x:c>
      <x:c r="L868" s="28" t="n">
        <x:v>0.28648416495784934</x:v>
      </x:c>
    </x:row>
    <x:row r="869">
      <x:c r="A869" s="32" t="n">
        <x:v>45962</x:v>
      </x:c>
      <x:c r="B869" t="str">
        <x:v>Nov 2025</x:v>
      </x:c>
      <x:c r="C869" t="str">
        <x:v>Actual</x:v>
      </x:c>
      <x:c r="D869" t="str">
        <x:v>DB-105</x:v>
      </x:c>
      <x:c r="E869" t="str">
        <x:v>DreamFuel Refill Pack</x:v>
      </x:c>
      <x:c r="F869" t="str">
        <x:v>Shopify DTC</x:v>
      </x:c>
      <x:c r="G869" t="str">
        <x:v>Consumer</x:v>
      </x:c>
      <x:c r="H869" t="str">
        <x:v>US West</x:v>
      </x:c>
      <x:c r="I869" s="34" t="n">
        <x:v>213.86</x:v>
      </x:c>
      <x:c r="J869" s="38" t="n">
        <x:v>10.797705856000002</x:v>
      </x:c>
      <x:c r="K869" s="38" t="n">
        <x:v>5.261341290176</x:v>
      </x:c>
      <x:c r="L869" s="28" t="n">
        <x:v>0.4872647357079477</x:v>
      </x:c>
    </x:row>
    <x:row r="870">
      <x:c r="A870" s="32" t="n">
        <x:v>45962</x:v>
      </x:c>
      <x:c r="B870" t="str">
        <x:v>Nov 2025</x:v>
      </x:c>
      <x:c r="C870" t="str">
        <x:v>Actual</x:v>
      </x:c>
      <x:c r="D870" t="str">
        <x:v>DB-105</x:v>
      </x:c>
      <x:c r="E870" t="str">
        <x:v>DreamFuel Refill Pack</x:v>
      </x:c>
      <x:c r="F870" t="str">
        <x:v>Shopify DTC</x:v>
      </x:c>
      <x:c r="G870" t="str">
        <x:v>Consumer</x:v>
      </x:c>
      <x:c r="H870" t="str">
        <x:v>US Central</x:v>
      </x:c>
      <x:c r="I870" s="34" t="n">
        <x:v>150.96</x:v>
      </x:c>
      <x:c r="J870" s="38" t="n">
        <x:v>7.621910016</x:v>
      </x:c>
      <x:c r="K870" s="38" t="n">
        <x:v>3.713887969536</x:v>
      </x:c>
      <x:c r="L870" s="28" t="n">
        <x:v>0.48726473570794776</x:v>
      </x:c>
    </x:row>
    <x:row r="871">
      <x:c r="A871" s="32" t="n">
        <x:v>45962</x:v>
      </x:c>
      <x:c r="B871" t="str">
        <x:v>Nov 2025</x:v>
      </x:c>
      <x:c r="C871" t="str">
        <x:v>Actual</x:v>
      </x:c>
      <x:c r="D871" t="str">
        <x:v>DB-105</x:v>
      </x:c>
      <x:c r="E871" t="str">
        <x:v>DreamFuel Refill Pack</x:v>
      </x:c>
      <x:c r="F871" t="str">
        <x:v>Shopify DTC</x:v>
      </x:c>
      <x:c r="G871" t="str">
        <x:v>Consumer</x:v>
      </x:c>
      <x:c r="H871" t="str">
        <x:v>US East</x:v>
      </x:c>
      <x:c r="I871" s="34" t="n">
        <x:v>201.28</x:v>
      </x:c>
      <x:c r="J871" s="38" t="n">
        <x:v>10.162546688</x:v>
      </x:c>
      <x:c r="K871" s="38" t="n">
        <x:v>4.951850626048</x:v>
      </x:c>
      <x:c r="L871" s="28" t="n">
        <x:v>0.48726473570794776</x:v>
      </x:c>
    </x:row>
    <x:row r="872">
      <x:c r="A872" s="32" t="n">
        <x:v>45962</x:v>
      </x:c>
      <x:c r="B872" t="str">
        <x:v>Nov 2025</x:v>
      </x:c>
      <x:c r="C872" t="str">
        <x:v>Actual</x:v>
      </x:c>
      <x:c r="D872" t="str">
        <x:v>DB-105</x:v>
      </x:c>
      <x:c r="E872" t="str">
        <x:v>DreamFuel Refill Pack</x:v>
      </x:c>
      <x:c r="F872" t="str">
        <x:v>Shopify DTC</x:v>
      </x:c>
      <x:c r="G872" t="str">
        <x:v>Consumer</x:v>
      </x:c>
      <x:c r="H872" t="str">
        <x:v>Canada</x:v>
      </x:c>
      <x:c r="I872" s="34" t="n">
        <x:v>62.900000000000006</x:v>
      </x:c>
      <x:c r="J872" s="38" t="n">
        <x:v>3.1757958400000006</x:v>
      </x:c>
      <x:c r="K872" s="38" t="n">
        <x:v>1.54745332064</x:v>
      </x:c>
      <x:c r="L872" s="28" t="n">
        <x:v>0.4872647357079477</x:v>
      </x:c>
    </x:row>
    <x:row r="873">
      <x:c r="A873" s="32" t="n">
        <x:v>45962</x:v>
      </x:c>
      <x:c r="B873" t="str">
        <x:v>Nov 2025</x:v>
      </x:c>
      <x:c r="C873" t="str">
        <x:v>Actual</x:v>
      </x:c>
      <x:c r="D873" t="str">
        <x:v>DB-105</x:v>
      </x:c>
      <x:c r="E873" t="str">
        <x:v>DreamFuel Refill Pack</x:v>
      </x:c>
      <x:c r="F873" t="str">
        <x:v>Amazon Marketplace</x:v>
      </x:c>
      <x:c r="G873" t="str">
        <x:v>Marketplace Consumer</x:v>
      </x:c>
      <x:c r="H873" t="str">
        <x:v>US West</x:v>
      </x:c>
      <x:c r="I873" s="34" t="n">
        <x:v>126.14000000000001</x:v>
      </x:c>
      <x:c r="J873" s="38" t="n">
        <x:v>6.576435040000002</x:v>
      </x:c>
      <x:c r="K873" s="38" t="n">
        <x:v>2.313659880000001</x:v>
      </x:c>
      <x:c r="L873" s="28" t="n">
        <x:v>0.35181064907165877</x:v>
      </x:c>
    </x:row>
    <x:row r="874">
      <x:c r="A874" s="32" t="n">
        <x:v>45962</x:v>
      </x:c>
      <x:c r="B874" t="str">
        <x:v>Nov 2025</x:v>
      </x:c>
      <x:c r="C874" t="str">
        <x:v>Actual</x:v>
      </x:c>
      <x:c r="D874" t="str">
        <x:v>DB-105</x:v>
      </x:c>
      <x:c r="E874" t="str">
        <x:v>DreamFuel Refill Pack</x:v>
      </x:c>
      <x:c r="F874" t="str">
        <x:v>Amazon Marketplace</x:v>
      </x:c>
      <x:c r="G874" t="str">
        <x:v>Marketplace Consumer</x:v>
      </x:c>
      <x:c r="H874" t="str">
        <x:v>US Central</x:v>
      </x:c>
      <x:c r="I874" s="34" t="n">
        <x:v>89.03999999999999</x:v>
      </x:c>
      <x:c r="J874" s="38" t="n">
        <x:v>4.64218944</x:v>
      </x:c>
      <x:c r="K874" s="38" t="n">
        <x:v>1.6331716800000005</x:v>
      </x:c>
      <x:c r="L874" s="28" t="n">
        <x:v>0.3518106490716588</x:v>
      </x:c>
    </x:row>
    <x:row r="875">
      <x:c r="A875" s="32" t="n">
        <x:v>45962</x:v>
      </x:c>
      <x:c r="B875" t="str">
        <x:v>Nov 2025</x:v>
      </x:c>
      <x:c r="C875" t="str">
        <x:v>Actual</x:v>
      </x:c>
      <x:c r="D875" t="str">
        <x:v>DB-105</x:v>
      </x:c>
      <x:c r="E875" t="str">
        <x:v>DreamFuel Refill Pack</x:v>
      </x:c>
      <x:c r="F875" t="str">
        <x:v>Amazon Marketplace</x:v>
      </x:c>
      <x:c r="G875" t="str">
        <x:v>Marketplace Consumer</x:v>
      </x:c>
      <x:c r="H875" t="str">
        <x:v>US East</x:v>
      </x:c>
      <x:c r="I875" s="34" t="n">
        <x:v>118.72</x:v>
      </x:c>
      <x:c r="J875" s="38" t="n">
        <x:v>6.189585920000001</x:v>
      </x:c>
      <x:c r="K875" s="38" t="n">
        <x:v>2.1775622400000008</x:v>
      </x:c>
      <x:c r="L875" s="28" t="n">
        <x:v>0.3518106490716588</x:v>
      </x:c>
    </x:row>
    <x:row r="876">
      <x:c r="A876" s="32" t="n">
        <x:v>45962</x:v>
      </x:c>
      <x:c r="B876" t="str">
        <x:v>Nov 2025</x:v>
      </x:c>
      <x:c r="C876" t="str">
        <x:v>Actual</x:v>
      </x:c>
      <x:c r="D876" t="str">
        <x:v>DB-105</x:v>
      </x:c>
      <x:c r="E876" t="str">
        <x:v>DreamFuel Refill Pack</x:v>
      </x:c>
      <x:c r="F876" t="str">
        <x:v>Amazon Marketplace</x:v>
      </x:c>
      <x:c r="G876" t="str">
        <x:v>Marketplace Consumer</x:v>
      </x:c>
      <x:c r="H876" t="str">
        <x:v>Canada</x:v>
      </x:c>
      <x:c r="I876" s="34" t="n">
        <x:v>37.1</x:v>
      </x:c>
      <x:c r="J876" s="38" t="n">
        <x:v>1.9342456000000003</x:v>
      </x:c>
      <x:c r="K876" s="38" t="n">
        <x:v>0.6804882000000002</x:v>
      </x:c>
      <x:c r="L876" s="28" t="n">
        <x:v>0.35181064907165877</x:v>
      </x:c>
    </x:row>
    <x:row r="877">
      <x:c r="A877" s="32" t="n">
        <x:v>45962</x:v>
      </x:c>
      <x:c r="B877" t="str">
        <x:v>Nov 2025</x:v>
      </x:c>
      <x:c r="C877" t="str">
        <x:v>Actual</x:v>
      </x:c>
      <x:c r="D877" t="str">
        <x:v>DB-105</x:v>
      </x:c>
      <x:c r="E877" t="str">
        <x:v>DreamFuel Refill Pack</x:v>
      </x:c>
      <x:c r="F877" t="str">
        <x:v>Wholesale</x:v>
      </x:c>
      <x:c r="G877" t="str">
        <x:v>Retailer</x:v>
      </x:c>
      <x:c r="H877" t="str">
        <x:v>US West</x:v>
      </x:c>
      <x:c r="I877" s="34" t="n">
        <x:v>35.36</x:v>
      </x:c>
      <x:c r="J877" s="38" t="n">
        <x:v>1.2613619200000001</x:v>
      </x:c>
      <x:c r="K877" s="38" t="n">
        <x:v>0.4914474240000001</x:v>
      </x:c>
      <x:c r="L877" s="28" t="n">
        <x:v>0.3896165059430366</x:v>
      </x:c>
    </x:row>
    <x:row r="878">
      <x:c r="A878" s="32" t="n">
        <x:v>45962</x:v>
      </x:c>
      <x:c r="B878" t="str">
        <x:v>Nov 2025</x:v>
      </x:c>
      <x:c r="C878" t="str">
        <x:v>Actual</x:v>
      </x:c>
      <x:c r="D878" t="str">
        <x:v>DB-105</x:v>
      </x:c>
      <x:c r="E878" t="str">
        <x:v>DreamFuel Refill Pack</x:v>
      </x:c>
      <x:c r="F878" t="str">
        <x:v>Wholesale</x:v>
      </x:c>
      <x:c r="G878" t="str">
        <x:v>Retailer</x:v>
      </x:c>
      <x:c r="H878" t="str">
        <x:v>US Central</x:v>
      </x:c>
      <x:c r="I878" s="34" t="n">
        <x:v>24.96</x:v>
      </x:c>
      <x:c r="J878" s="38" t="n">
        <x:v>0.89037312</x:v>
      </x:c>
      <x:c r="K878" s="38" t="n">
        <x:v>0.346904064</x:v>
      </x:c>
      <x:c r="L878" s="28" t="n">
        <x:v>0.38961650594303654</x:v>
      </x:c>
    </x:row>
    <x:row r="879">
      <x:c r="A879" s="32" t="n">
        <x:v>45962</x:v>
      </x:c>
      <x:c r="B879" t="str">
        <x:v>Nov 2025</x:v>
      </x:c>
      <x:c r="C879" t="str">
        <x:v>Actual</x:v>
      </x:c>
      <x:c r="D879" t="str">
        <x:v>DB-105</x:v>
      </x:c>
      <x:c r="E879" t="str">
        <x:v>DreamFuel Refill Pack</x:v>
      </x:c>
      <x:c r="F879" t="str">
        <x:v>Wholesale</x:v>
      </x:c>
      <x:c r="G879" t="str">
        <x:v>Retailer</x:v>
      </x:c>
      <x:c r="H879" t="str">
        <x:v>US East</x:v>
      </x:c>
      <x:c r="I879" s="34" t="n">
        <x:v>33.28</x:v>
      </x:c>
      <x:c r="J879" s="38" t="n">
        <x:v>1.18716416</x:v>
      </x:c>
      <x:c r="K879" s="38" t="n">
        <x:v>0.46253875200000005</x:v>
      </x:c>
      <x:c r="L879" s="28" t="n">
        <x:v>0.3896165059430366</x:v>
      </x:c>
    </x:row>
    <x:row r="880">
      <x:c r="A880" s="32" t="n">
        <x:v>45962</x:v>
      </x:c>
      <x:c r="B880" t="str">
        <x:v>Nov 2025</x:v>
      </x:c>
      <x:c r="C880" t="str">
        <x:v>Actual</x:v>
      </x:c>
      <x:c r="D880" t="str">
        <x:v>DB-105</x:v>
      </x:c>
      <x:c r="E880" t="str">
        <x:v>DreamFuel Refill Pack</x:v>
      </x:c>
      <x:c r="F880" t="str">
        <x:v>Wholesale</x:v>
      </x:c>
      <x:c r="G880" t="str">
        <x:v>Retailer</x:v>
      </x:c>
      <x:c r="H880" t="str">
        <x:v>Canada</x:v>
      </x:c>
      <x:c r="I880" s="34" t="n">
        <x:v>10.4</x:v>
      </x:c>
      <x:c r="J880" s="38" t="n">
        <x:v>0.37098880000000006</x:v>
      </x:c>
      <x:c r="K880" s="38" t="n">
        <x:v>0.14454336</x:v>
      </x:c>
      <x:c r="L880" s="28" t="n">
        <x:v>0.38961650594303654</x:v>
      </x:c>
    </x:row>
    <x:row r="881">
      <x:c r="A881" s="32" t="n">
        <x:v>45962</x:v>
      </x:c>
      <x:c r="B881" t="str">
        <x:v>Nov 2025</x:v>
      </x:c>
      <x:c r="C881" t="str">
        <x:v>Actual</x:v>
      </x:c>
      <x:c r="D881" t="str">
        <x:v>DB-105</x:v>
      </x:c>
      <x:c r="E881" t="str">
        <x:v>DreamFuel Refill Pack</x:v>
      </x:c>
      <x:c r="F881" t="str">
        <x:v>TikTok Shop</x:v>
      </x:c>
      <x:c r="G881" t="str">
        <x:v>Social Commerce</x:v>
      </x:c>
      <x:c r="H881" t="str">
        <x:v>US West</x:v>
      </x:c>
      <x:c r="I881" s="34" t="n">
        <x:v>54.06</x:v>
      </x:c>
      <x:c r="J881" s="38" t="n">
        <x:v>2.610795264</x:v>
      </x:c>
      <x:c r="K881" s="38" t="n">
        <x:v>1.001331669504</x:v>
      </x:c>
      <x:c r="L881" s="28" t="n">
        <x:v>0.3835351179432812</x:v>
      </x:c>
    </x:row>
    <x:row r="882">
      <x:c r="A882" s="32" t="n">
        <x:v>45962</x:v>
      </x:c>
      <x:c r="B882" t="str">
        <x:v>Nov 2025</x:v>
      </x:c>
      <x:c r="C882" t="str">
        <x:v>Actual</x:v>
      </x:c>
      <x:c r="D882" t="str">
        <x:v>DB-105</x:v>
      </x:c>
      <x:c r="E882" t="str">
        <x:v>DreamFuel Refill Pack</x:v>
      </x:c>
      <x:c r="F882" t="str">
        <x:v>TikTok Shop</x:v>
      </x:c>
      <x:c r="G882" t="str">
        <x:v>Social Commerce</x:v>
      </x:c>
      <x:c r="H882" t="str">
        <x:v>US Central</x:v>
      </x:c>
      <x:c r="I882" s="34" t="n">
        <x:v>38.16</x:v>
      </x:c>
      <x:c r="J882" s="38" t="n">
        <x:v>1.842914304</x:v>
      </x:c>
      <x:c r="K882" s="38" t="n">
        <x:v>0.706822354944</x:v>
      </x:c>
      <x:c r="L882" s="28" t="n">
        <x:v>0.3835351179432812</x:v>
      </x:c>
    </x:row>
    <x:row r="883">
      <x:c r="A883" s="32" t="n">
        <x:v>45962</x:v>
      </x:c>
      <x:c r="B883" t="str">
        <x:v>Nov 2025</x:v>
      </x:c>
      <x:c r="C883" t="str">
        <x:v>Actual</x:v>
      </x:c>
      <x:c r="D883" t="str">
        <x:v>DB-105</x:v>
      </x:c>
      <x:c r="E883" t="str">
        <x:v>DreamFuel Refill Pack</x:v>
      </x:c>
      <x:c r="F883" t="str">
        <x:v>TikTok Shop</x:v>
      </x:c>
      <x:c r="G883" t="str">
        <x:v>Social Commerce</x:v>
      </x:c>
      <x:c r="H883" t="str">
        <x:v>US East</x:v>
      </x:c>
      <x:c r="I883" s="34" t="n">
        <x:v>50.88</x:v>
      </x:c>
      <x:c r="J883" s="38" t="n">
        <x:v>2.457219072</x:v>
      </x:c>
      <x:c r="K883" s="38" t="n">
        <x:v>0.942429806592</x:v>
      </x:c>
      <x:c r="L883" s="28" t="n">
        <x:v>0.3835351179432812</x:v>
      </x:c>
    </x:row>
    <x:row r="884">
      <x:c r="A884" s="32" t="n">
        <x:v>45962</x:v>
      </x:c>
      <x:c r="B884" t="str">
        <x:v>Nov 2025</x:v>
      </x:c>
      <x:c r="C884" t="str">
        <x:v>Actual</x:v>
      </x:c>
      <x:c r="D884" t="str">
        <x:v>DB-105</x:v>
      </x:c>
      <x:c r="E884" t="str">
        <x:v>DreamFuel Refill Pack</x:v>
      </x:c>
      <x:c r="F884" t="str">
        <x:v>TikTok Shop</x:v>
      </x:c>
      <x:c r="G884" t="str">
        <x:v>Social Commerce</x:v>
      </x:c>
      <x:c r="H884" t="str">
        <x:v>Canada</x:v>
      </x:c>
      <x:c r="I884" s="34" t="n">
        <x:v>15.9</x:v>
      </x:c>
      <x:c r="J884" s="38" t="n">
        <x:v>0.7678809600000001</x:v>
      </x:c>
      <x:c r="K884" s="38" t="n">
        <x:v>0.29450931456</x:v>
      </x:c>
      <x:c r="L884" s="28" t="n">
        <x:v>0.3835351179432812</x:v>
      </x:c>
    </x:row>
    <x:row r="885">
      <x:c r="A885" s="32" t="n">
        <x:v>45992</x:v>
      </x:c>
      <x:c r="B885" t="str">
        <x:v>Dec 2025</x:v>
      </x:c>
      <x:c r="C885" t="str">
        <x:v>Actual</x:v>
      </x:c>
      <x:c r="D885" t="str">
        <x:v>DB-101</x:v>
      </x:c>
      <x:c r="E885" t="str">
        <x:v>AeroSip Bottle</x:v>
      </x:c>
      <x:c r="F885" t="str">
        <x:v>Shopify DTC</x:v>
      </x:c>
      <x:c r="G885" t="str">
        <x:v>Consumer</x:v>
      </x:c>
      <x:c r="H885" t="str">
        <x:v>US West</x:v>
      </x:c>
      <x:c r="I885" s="34" t="n">
        <x:v>345.44</x:v>
      </x:c>
      <x:c r="J885" s="38" t="n">
        <x:v>8.801603936000001</x:v>
      </x:c>
      <x:c r="K885" s="38" t="n">
        <x:v>2.799617581856</x:v>
      </x:c>
      <x:c r="L885" s="28" t="n">
        <x:v>0.31808038650831644</x:v>
      </x:c>
    </x:row>
    <x:row r="886">
      <x:c r="A886" s="32" t="n">
        <x:v>45992</x:v>
      </x:c>
      <x:c r="B886" t="str">
        <x:v>Dec 2025</x:v>
      </x:c>
      <x:c r="C886" t="str">
        <x:v>Actual</x:v>
      </x:c>
      <x:c r="D886" t="str">
        <x:v>DB-101</x:v>
      </x:c>
      <x:c r="E886" t="str">
        <x:v>AeroSip Bottle</x:v>
      </x:c>
      <x:c r="F886" t="str">
        <x:v>Shopify DTC</x:v>
      </x:c>
      <x:c r="G886" t="str">
        <x:v>Consumer</x:v>
      </x:c>
      <x:c r="H886" t="str">
        <x:v>US Central</x:v>
      </x:c>
      <x:c r="I886" s="34" t="n">
        <x:v>243.84</x:v>
      </x:c>
      <x:c r="J886" s="38" t="n">
        <x:v>6.212896895999999</x:v>
      </x:c>
      <x:c r="K886" s="38" t="n">
        <x:v>1.9762006460159998</x:v>
      </x:c>
      <x:c r="L886" s="28" t="n">
        <x:v>0.31808038650831655</x:v>
      </x:c>
    </x:row>
    <x:row r="887">
      <x:c r="A887" s="32" t="n">
        <x:v>45992</x:v>
      </x:c>
      <x:c r="B887" t="str">
        <x:v>Dec 2025</x:v>
      </x:c>
      <x:c r="C887" t="str">
        <x:v>Actual</x:v>
      </x:c>
      <x:c r="D887" t="str">
        <x:v>DB-101</x:v>
      </x:c>
      <x:c r="E887" t="str">
        <x:v>AeroSip Bottle</x:v>
      </x:c>
      <x:c r="F887" t="str">
        <x:v>Shopify DTC</x:v>
      </x:c>
      <x:c r="G887" t="str">
        <x:v>Consumer</x:v>
      </x:c>
      <x:c r="H887" t="str">
        <x:v>US East</x:v>
      </x:c>
      <x:c r="I887" s="34" t="n">
        <x:v>325.12</x:v>
      </x:c>
      <x:c r="J887" s="38" t="n">
        <x:v>8.283862528</x:v>
      </x:c>
      <x:c r="K887" s="38" t="n">
        <x:v>2.634934194688</x:v>
      </x:c>
      <x:c r="L887" s="28" t="n">
        <x:v>0.3180803865083165</x:v>
      </x:c>
    </x:row>
    <x:row r="888">
      <x:c r="A888" s="32" t="n">
        <x:v>45992</x:v>
      </x:c>
      <x:c r="B888" t="str">
        <x:v>Dec 2025</x:v>
      </x:c>
      <x:c r="C888" t="str">
        <x:v>Actual</x:v>
      </x:c>
      <x:c r="D888" t="str">
        <x:v>DB-101</x:v>
      </x:c>
      <x:c r="E888" t="str">
        <x:v>AeroSip Bottle</x:v>
      </x:c>
      <x:c r="F888" t="str">
        <x:v>Shopify DTC</x:v>
      </x:c>
      <x:c r="G888" t="str">
        <x:v>Consumer</x:v>
      </x:c>
      <x:c r="H888" t="str">
        <x:v>Canada</x:v>
      </x:c>
      <x:c r="I888" s="34" t="n">
        <x:v>101.60000000000001</x:v>
      </x:c>
      <x:c r="J888" s="38" t="n">
        <x:v>2.58870704</x:v>
      </x:c>
      <x:c r="K888" s="38" t="n">
        <x:v>0.82341693584</x:v>
      </x:c>
      <x:c r="L888" s="28" t="n">
        <x:v>0.3180803865083165</x:v>
      </x:c>
    </x:row>
    <x:row r="889">
      <x:c r="A889" s="32" t="n">
        <x:v>45992</x:v>
      </x:c>
      <x:c r="B889" t="str">
        <x:v>Dec 2025</x:v>
      </x:c>
      <x:c r="C889" t="str">
        <x:v>Actual</x:v>
      </x:c>
      <x:c r="D889" t="str">
        <x:v>DB-101</x:v>
      </x:c>
      <x:c r="E889" t="str">
        <x:v>AeroSip Bottle</x:v>
      </x:c>
      <x:c r="F889" t="str">
        <x:v>Amazon Marketplace</x:v>
      </x:c>
      <x:c r="G889" t="str">
        <x:v>Marketplace Consumer</x:v>
      </x:c>
      <x:c r="H889" t="str">
        <x:v>US West</x:v>
      </x:c>
      <x:c r="I889" s="34" t="n">
        <x:v>203.66000000000003</x:v>
      </x:c>
      <x:c r="J889" s="38" t="n">
        <x:v>5.358345515</x:v>
      </x:c>
      <x:c r="K889" s="38" t="n">
        <x:v>0.8508329277499997</x:v>
      </x:c>
      <x:c r="L889" s="28" t="n">
        <x:v>0.15878649955815693</x:v>
      </x:c>
    </x:row>
    <x:row r="890">
      <x:c r="A890" s="32" t="n">
        <x:v>45992</x:v>
      </x:c>
      <x:c r="B890" t="str">
        <x:v>Dec 2025</x:v>
      </x:c>
      <x:c r="C890" t="str">
        <x:v>Actual</x:v>
      </x:c>
      <x:c r="D890" t="str">
        <x:v>DB-101</x:v>
      </x:c>
      <x:c r="E890" t="str">
        <x:v>AeroSip Bottle</x:v>
      </x:c>
      <x:c r="F890" t="str">
        <x:v>Amazon Marketplace</x:v>
      </x:c>
      <x:c r="G890" t="str">
        <x:v>Marketplace Consumer</x:v>
      </x:c>
      <x:c r="H890" t="str">
        <x:v>US Central</x:v>
      </x:c>
      <x:c r="I890" s="34" t="n">
        <x:v>143.76</x:v>
      </x:c>
      <x:c r="J890" s="38" t="n">
        <x:v>3.7823615399999997</x:v>
      </x:c>
      <x:c r="K890" s="38" t="n">
        <x:v>0.6005879489999997</x:v>
      </x:c>
      <x:c r="L890" s="28" t="n">
        <x:v>0.1587864995581569</x:v>
      </x:c>
    </x:row>
    <x:row r="891">
      <x:c r="A891" s="32" t="n">
        <x:v>45992</x:v>
      </x:c>
      <x:c r="B891" t="str">
        <x:v>Dec 2025</x:v>
      </x:c>
      <x:c r="C891" t="str">
        <x:v>Actual</x:v>
      </x:c>
      <x:c r="D891" t="str">
        <x:v>DB-101</x:v>
      </x:c>
      <x:c r="E891" t="str">
        <x:v>AeroSip Bottle</x:v>
      </x:c>
      <x:c r="F891" t="str">
        <x:v>Amazon Marketplace</x:v>
      </x:c>
      <x:c r="G891" t="str">
        <x:v>Marketplace Consumer</x:v>
      </x:c>
      <x:c r="H891" t="str">
        <x:v>US East</x:v>
      </x:c>
      <x:c r="I891" s="34" t="n">
        <x:v>191.68</x:v>
      </x:c>
      <x:c r="J891" s="38" t="n">
        <x:v>5.04314872</x:v>
      </x:c>
      <x:c r="K891" s="38" t="n">
        <x:v>0.8007839319999996</x:v>
      </x:c>
      <x:c r="L891" s="28" t="n">
        <x:v>0.15878649955815693</x:v>
      </x:c>
    </x:row>
    <x:row r="892">
      <x:c r="A892" s="32" t="n">
        <x:v>45992</x:v>
      </x:c>
      <x:c r="B892" t="str">
        <x:v>Dec 2025</x:v>
      </x:c>
      <x:c r="C892" t="str">
        <x:v>Actual</x:v>
      </x:c>
      <x:c r="D892" t="str">
        <x:v>DB-101</x:v>
      </x:c>
      <x:c r="E892" t="str">
        <x:v>AeroSip Bottle</x:v>
      </x:c>
      <x:c r="F892" t="str">
        <x:v>Amazon Marketplace</x:v>
      </x:c>
      <x:c r="G892" t="str">
        <x:v>Marketplace Consumer</x:v>
      </x:c>
      <x:c r="H892" t="str">
        <x:v>Canada</x:v>
      </x:c>
      <x:c r="I892" s="34" t="n">
        <x:v>59.900000000000006</x:v>
      </x:c>
      <x:c r="J892" s="38" t="n">
        <x:v>1.575983975</x:v>
      </x:c>
      <x:c r="K892" s="38" t="n">
        <x:v>0.2502449787499999</x:v>
      </x:c>
      <x:c r="L892" s="28" t="n">
        <x:v>0.15878649955815693</x:v>
      </x:c>
    </x:row>
    <x:row r="893">
      <x:c r="A893" s="32" t="n">
        <x:v>45992</x:v>
      </x:c>
      <x:c r="B893" t="str">
        <x:v>Dec 2025</x:v>
      </x:c>
      <x:c r="C893" t="str">
        <x:v>Actual</x:v>
      </x:c>
      <x:c r="D893" t="str">
        <x:v>DB-101</x:v>
      </x:c>
      <x:c r="E893" t="str">
        <x:v>AeroSip Bottle</x:v>
      </x:c>
      <x:c r="F893" t="str">
        <x:v>Wholesale</x:v>
      </x:c>
      <x:c r="G893" t="str">
        <x:v>Retailer</x:v>
      </x:c>
      <x:c r="H893" t="str">
        <x:v>US West</x:v>
      </x:c>
      <x:c r="I893" s="34" t="n">
        <x:v>57.120000000000005</x:v>
      </x:c>
      <x:c r="J893" s="38" t="n">
        <x:v>1.02825996</x:v>
      </x:c>
      <x:c r="K893" s="38" t="n">
        <x:v>0.22937963999999988</x:v>
      </x:c>
      <x:c r="L893" s="28" t="n">
        <x:v>0.22307553432305183</x:v>
      </x:c>
    </x:row>
    <x:row r="894">
      <x:c r="A894" s="32" t="n">
        <x:v>45992</x:v>
      </x:c>
      <x:c r="B894" t="str">
        <x:v>Dec 2025</x:v>
      </x:c>
      <x:c r="C894" t="str">
        <x:v>Actual</x:v>
      </x:c>
      <x:c r="D894" t="str">
        <x:v>DB-101</x:v>
      </x:c>
      <x:c r="E894" t="str">
        <x:v>AeroSip Bottle</x:v>
      </x:c>
      <x:c r="F894" t="str">
        <x:v>Wholesale</x:v>
      </x:c>
      <x:c r="G894" t="str">
        <x:v>Retailer</x:v>
      </x:c>
      <x:c r="H894" t="str">
        <x:v>US Central</x:v>
      </x:c>
      <x:c r="I894" s="34" t="n">
        <x:v>40.32</x:v>
      </x:c>
      <x:c r="J894" s="38" t="n">
        <x:v>0.7258305599999999</x:v>
      </x:c>
      <x:c r="K894" s="38" t="n">
        <x:v>0.1619150399999999</x:v>
      </x:c>
      <x:c r="L894" s="28" t="n">
        <x:v>0.22307553432305183</x:v>
      </x:c>
    </x:row>
    <x:row r="895">
      <x:c r="A895" s="32" t="n">
        <x:v>45992</x:v>
      </x:c>
      <x:c r="B895" t="str">
        <x:v>Dec 2025</x:v>
      </x:c>
      <x:c r="C895" t="str">
        <x:v>Actual</x:v>
      </x:c>
      <x:c r="D895" t="str">
        <x:v>DB-101</x:v>
      </x:c>
      <x:c r="E895" t="str">
        <x:v>AeroSip Bottle</x:v>
      </x:c>
      <x:c r="F895" t="str">
        <x:v>Wholesale</x:v>
      </x:c>
      <x:c r="G895" t="str">
        <x:v>Retailer</x:v>
      </x:c>
      <x:c r="H895" t="str">
        <x:v>US East</x:v>
      </x:c>
      <x:c r="I895" s="34" t="n">
        <x:v>53.76</x:v>
      </x:c>
      <x:c r="J895" s="38" t="n">
        <x:v>0.96777408</x:v>
      </x:c>
      <x:c r="K895" s="38" t="n">
        <x:v>0.2158867199999999</x:v>
      </x:c>
      <x:c r="L895" s="28" t="n">
        <x:v>0.22307553432305183</x:v>
      </x:c>
    </x:row>
    <x:row r="896">
      <x:c r="A896" s="32" t="n">
        <x:v>45992</x:v>
      </x:c>
      <x:c r="B896" t="str">
        <x:v>Dec 2025</x:v>
      </x:c>
      <x:c r="C896" t="str">
        <x:v>Actual</x:v>
      </x:c>
      <x:c r="D896" t="str">
        <x:v>DB-101</x:v>
      </x:c>
      <x:c r="E896" t="str">
        <x:v>AeroSip Bottle</x:v>
      </x:c>
      <x:c r="F896" t="str">
        <x:v>Wholesale</x:v>
      </x:c>
      <x:c r="G896" t="str">
        <x:v>Retailer</x:v>
      </x:c>
      <x:c r="H896" t="str">
        <x:v>Canada</x:v>
      </x:c>
      <x:c r="I896" s="34" t="n">
        <x:v>16.8</x:v>
      </x:c>
      <x:c r="J896" s="38" t="n">
        <x:v>0.3024294</x:v>
      </x:c>
      <x:c r="K896" s="38" t="n">
        <x:v>0.06746459999999997</x:v>
      </x:c>
      <x:c r="L896" s="28" t="n">
        <x:v>0.22307553432305183</x:v>
      </x:c>
    </x:row>
    <x:row r="897">
      <x:c r="A897" s="32" t="n">
        <x:v>45992</x:v>
      </x:c>
      <x:c r="B897" t="str">
        <x:v>Dec 2025</x:v>
      </x:c>
      <x:c r="C897" t="str">
        <x:v>Actual</x:v>
      </x:c>
      <x:c r="D897" t="str">
        <x:v>DB-101</x:v>
      </x:c>
      <x:c r="E897" t="str">
        <x:v>AeroSip Bottle</x:v>
      </x:c>
      <x:c r="F897" t="str">
        <x:v>TikTok Shop</x:v>
      </x:c>
      <x:c r="G897" t="str">
        <x:v>Social Commerce</x:v>
      </x:c>
      <x:c r="H897" t="str">
        <x:v>US West</x:v>
      </x:c>
      <x:c r="I897" s="34" t="n">
        <x:v>87.04</x:v>
      </x:c>
      <x:c r="J897" s="38" t="n">
        <x:v>2.1213040640000003</x:v>
      </x:c>
      <x:c r="K897" s="38" t="n">
        <x:v>0.39311856230400016</x:v>
      </x:c>
      <x:c r="L897" s="28" t="n">
        <x:v>0.18531928966501998</x:v>
      </x:c>
    </x:row>
    <x:row r="898">
      <x:c r="A898" s="32" t="n">
        <x:v>45992</x:v>
      </x:c>
      <x:c r="B898" t="str">
        <x:v>Dec 2025</x:v>
      </x:c>
      <x:c r="C898" t="str">
        <x:v>Actual</x:v>
      </x:c>
      <x:c r="D898" t="str">
        <x:v>DB-101</x:v>
      </x:c>
      <x:c r="E898" t="str">
        <x:v>AeroSip Bottle</x:v>
      </x:c>
      <x:c r="F898" t="str">
        <x:v>TikTok Shop</x:v>
      </x:c>
      <x:c r="G898" t="str">
        <x:v>Social Commerce</x:v>
      </x:c>
      <x:c r="H898" t="str">
        <x:v>US Central</x:v>
      </x:c>
      <x:c r="I898" s="34" t="n">
        <x:v>61.44</x:v>
      </x:c>
      <x:c r="J898" s="38" t="n">
        <x:v>1.4973911039999999</x:v>
      </x:c>
      <x:c r="K898" s="38" t="n">
        <x:v>0.2774954557440001</x:v>
      </x:c>
      <x:c r="L898" s="28" t="n">
        <x:v>0.18531928966502</x:v>
      </x:c>
    </x:row>
    <x:row r="899">
      <x:c r="A899" s="32" t="n">
        <x:v>45992</x:v>
      </x:c>
      <x:c r="B899" t="str">
        <x:v>Dec 2025</x:v>
      </x:c>
      <x:c r="C899" t="str">
        <x:v>Actual</x:v>
      </x:c>
      <x:c r="D899" t="str">
        <x:v>DB-101</x:v>
      </x:c>
      <x:c r="E899" t="str">
        <x:v>AeroSip Bottle</x:v>
      </x:c>
      <x:c r="F899" t="str">
        <x:v>TikTok Shop</x:v>
      </x:c>
      <x:c r="G899" t="str">
        <x:v>Social Commerce</x:v>
      </x:c>
      <x:c r="H899" t="str">
        <x:v>US East</x:v>
      </x:c>
      <x:c r="I899" s="34" t="n">
        <x:v>81.92</x:v>
      </x:c>
      <x:c r="J899" s="38" t="n">
        <x:v>1.996521472</x:v>
      </x:c>
      <x:c r="K899" s="38" t="n">
        <x:v>0.3699939409920001</x:v>
      </x:c>
      <x:c r="L899" s="28" t="n">
        <x:v>0.18531928966502</x:v>
      </x:c>
    </x:row>
    <x:row r="900">
      <x:c r="A900" s="32" t="n">
        <x:v>45992</x:v>
      </x:c>
      <x:c r="B900" t="str">
        <x:v>Dec 2025</x:v>
      </x:c>
      <x:c r="C900" t="str">
        <x:v>Actual</x:v>
      </x:c>
      <x:c r="D900" t="str">
        <x:v>DB-101</x:v>
      </x:c>
      <x:c r="E900" t="str">
        <x:v>AeroSip Bottle</x:v>
      </x:c>
      <x:c r="F900" t="str">
        <x:v>TikTok Shop</x:v>
      </x:c>
      <x:c r="G900" t="str">
        <x:v>Social Commerce</x:v>
      </x:c>
      <x:c r="H900" t="str">
        <x:v>Canada</x:v>
      </x:c>
      <x:c r="I900" s="34" t="n">
        <x:v>25.6</x:v>
      </x:c>
      <x:c r="J900" s="38" t="n">
        <x:v>0.6239129600000001</x:v>
      </x:c>
      <x:c r="K900" s="38" t="n">
        <x:v>0.11562310656000004</x:v>
      </x:c>
      <x:c r="L900" s="28" t="n">
        <x:v>0.18531928966501998</x:v>
      </x:c>
    </x:row>
    <x:row r="901">
      <x:c r="A901" s="32" t="n">
        <x:v>45992</x:v>
      </x:c>
      <x:c r="B901" t="str">
        <x:v>Dec 2025</x:v>
      </x:c>
      <x:c r="C901" t="str">
        <x:v>Actual</x:v>
      </x:c>
      <x:c r="D901" t="str">
        <x:v>DB-102</x:v>
      </x:c>
      <x:c r="E901" t="str">
        <x:v>GlowPatch Balm</x:v>
      </x:c>
      <x:c r="F901" t="str">
        <x:v>Shopify DTC</x:v>
      </x:c>
      <x:c r="G901" t="str">
        <x:v>Consumer</x:v>
      </x:c>
      <x:c r="H901" t="str">
        <x:v>US West</x:v>
      </x:c>
      <x:c r="I901" s="34" t="n">
        <x:v>346.12</x:v>
      </x:c>
      <x:c r="J901" s="38" t="n">
        <x:v>5.588453520000002</x:v>
      </x:c>
      <x:c r="K901" s="38" t="n">
        <x:v>1.5443064479200002</x:v>
      </x:c>
      <x:c r="L901" s="28" t="n">
        <x:v>0.27633878359965314</x:v>
      </x:c>
    </x:row>
    <x:row r="902">
      <x:c r="A902" s="32" t="n">
        <x:v>45992</x:v>
      </x:c>
      <x:c r="B902" t="str">
        <x:v>Dec 2025</x:v>
      </x:c>
      <x:c r="C902" t="str">
        <x:v>Actual</x:v>
      </x:c>
      <x:c r="D902" t="str">
        <x:v>DB-102</x:v>
      </x:c>
      <x:c r="E902" t="str">
        <x:v>GlowPatch Balm</x:v>
      </x:c>
      <x:c r="F902" t="str">
        <x:v>Shopify DTC</x:v>
      </x:c>
      <x:c r="G902" t="str">
        <x:v>Consumer</x:v>
      </x:c>
      <x:c r="H902" t="str">
        <x:v>US Central</x:v>
      </x:c>
      <x:c r="I902" s="34" t="n">
        <x:v>244.32</x:v>
      </x:c>
      <x:c r="J902" s="38" t="n">
        <x:v>3.9447907200000003</x:v>
      </x:c>
      <x:c r="K902" s="38" t="n">
        <x:v>1.09009866912</x:v>
      </x:c>
      <x:c r="L902" s="28" t="n">
        <x:v>0.2763387835996532</x:v>
      </x:c>
    </x:row>
    <x:row r="903">
      <x:c r="A903" s="32" t="n">
        <x:v>45992</x:v>
      </x:c>
      <x:c r="B903" t="str">
        <x:v>Dec 2025</x:v>
      </x:c>
      <x:c r="C903" t="str">
        <x:v>Actual</x:v>
      </x:c>
      <x:c r="D903" t="str">
        <x:v>DB-102</x:v>
      </x:c>
      <x:c r="E903" t="str">
        <x:v>GlowPatch Balm</x:v>
      </x:c>
      <x:c r="F903" t="str">
        <x:v>Shopify DTC</x:v>
      </x:c>
      <x:c r="G903" t="str">
        <x:v>Consumer</x:v>
      </x:c>
      <x:c r="H903" t="str">
        <x:v>US East</x:v>
      </x:c>
      <x:c r="I903" s="34" t="n">
        <x:v>325.76</x:v>
      </x:c>
      <x:c r="J903" s="38" t="n">
        <x:v>5.259720960000001</x:v>
      </x:c>
      <x:c r="K903" s="38" t="n">
        <x:v>1.4534648921600002</x:v>
      </x:c>
      <x:c r="L903" s="28" t="n">
        <x:v>0.27633878359965314</x:v>
      </x:c>
    </x:row>
    <x:row r="904">
      <x:c r="A904" s="32" t="n">
        <x:v>45992</x:v>
      </x:c>
      <x:c r="B904" t="str">
        <x:v>Dec 2025</x:v>
      </x:c>
      <x:c r="C904" t="str">
        <x:v>Actual</x:v>
      </x:c>
      <x:c r="D904" t="str">
        <x:v>DB-102</x:v>
      </x:c>
      <x:c r="E904" t="str">
        <x:v>GlowPatch Balm</x:v>
      </x:c>
      <x:c r="F904" t="str">
        <x:v>Shopify DTC</x:v>
      </x:c>
      <x:c r="G904" t="str">
        <x:v>Consumer</x:v>
      </x:c>
      <x:c r="H904" t="str">
        <x:v>Canada</x:v>
      </x:c>
      <x:c r="I904" s="34" t="n">
        <x:v>101.80000000000001</x:v>
      </x:c>
      <x:c r="J904" s="38" t="n">
        <x:v>1.6436628000000004</x:v>
      </x:c>
      <x:c r="K904" s="38" t="n">
        <x:v>0.4542077788000001</x:v>
      </x:c>
      <x:c r="L904" s="28" t="n">
        <x:v>0.27633878359965314</x:v>
      </x:c>
    </x:row>
    <x:row r="905">
      <x:c r="A905" s="32" t="n">
        <x:v>45992</x:v>
      </x:c>
      <x:c r="B905" t="str">
        <x:v>Dec 2025</x:v>
      </x:c>
      <x:c r="C905" t="str">
        <x:v>Actual</x:v>
      </x:c>
      <x:c r="D905" t="str">
        <x:v>DB-102</x:v>
      </x:c>
      <x:c r="E905" t="str">
        <x:v>GlowPatch Balm</x:v>
      </x:c>
      <x:c r="F905" t="str">
        <x:v>Amazon Marketplace</x:v>
      </x:c>
      <x:c r="G905" t="str">
        <x:v>Marketplace Consumer</x:v>
      </x:c>
      <x:c r="H905" t="str">
        <x:v>US West</x:v>
      </x:c>
      <x:c r="I905" s="34" t="n">
        <x:v>204.34</x:v>
      </x:c>
      <x:c r="J905" s="38" t="n">
        <x:v>3.4068586500000007</x:v>
      </x:c>
      <x:c r="K905" s="38" t="n">
        <x:v>0.28722541249999983</x:v>
      </x:c>
      <x:c r="L905" s="28" t="n">
        <x:v>0.08430799220272898</x:v>
      </x:c>
    </x:row>
    <x:row r="906">
      <x:c r="A906" s="32" t="n">
        <x:v>45992</x:v>
      </x:c>
      <x:c r="B906" t="str">
        <x:v>Dec 2025</x:v>
      </x:c>
      <x:c r="C906" t="str">
        <x:v>Actual</x:v>
      </x:c>
      <x:c r="D906" t="str">
        <x:v>DB-102</x:v>
      </x:c>
      <x:c r="E906" t="str">
        <x:v>GlowPatch Balm</x:v>
      </x:c>
      <x:c r="F906" t="str">
        <x:v>Amazon Marketplace</x:v>
      </x:c>
      <x:c r="G906" t="str">
        <x:v>Marketplace Consumer</x:v>
      </x:c>
      <x:c r="H906" t="str">
        <x:v>US Central</x:v>
      </x:c>
      <x:c r="I906" s="34" t="n">
        <x:v>144.23999999999998</x:v>
      </x:c>
      <x:c r="J906" s="38" t="n">
        <x:v>2.4048414</x:v>
      </x:c>
      <x:c r="K906" s="38" t="n">
        <x:v>0.20274734999999988</x:v>
      </x:c>
      <x:c r="L906" s="28" t="n">
        <x:v>0.084307992202729</x:v>
      </x:c>
    </x:row>
    <x:row r="907">
      <x:c r="A907" s="32" t="n">
        <x:v>45992</x:v>
      </x:c>
      <x:c r="B907" t="str">
        <x:v>Dec 2025</x:v>
      </x:c>
      <x:c r="C907" t="str">
        <x:v>Actual</x:v>
      </x:c>
      <x:c r="D907" t="str">
        <x:v>DB-102</x:v>
      </x:c>
      <x:c r="E907" t="str">
        <x:v>GlowPatch Balm</x:v>
      </x:c>
      <x:c r="F907" t="str">
        <x:v>Amazon Marketplace</x:v>
      </x:c>
      <x:c r="G907" t="str">
        <x:v>Marketplace Consumer</x:v>
      </x:c>
      <x:c r="H907" t="str">
        <x:v>US East</x:v>
      </x:c>
      <x:c r="I907" s="34" t="n">
        <x:v>192.32</x:v>
      </x:c>
      <x:c r="J907" s="38" t="n">
        <x:v>3.2064552000000006</x:v>
      </x:c>
      <x:c r="K907" s="38" t="n">
        <x:v>0.27032979999999984</x:v>
      </x:c>
      <x:c r="L907" s="28" t="n">
        <x:v>0.08430799220272898</x:v>
      </x:c>
    </x:row>
    <x:row r="908">
      <x:c r="A908" s="32" t="n">
        <x:v>45992</x:v>
      </x:c>
      <x:c r="B908" t="str">
        <x:v>Dec 2025</x:v>
      </x:c>
      <x:c r="C908" t="str">
        <x:v>Actual</x:v>
      </x:c>
      <x:c r="D908" t="str">
        <x:v>DB-102</x:v>
      </x:c>
      <x:c r="E908" t="str">
        <x:v>GlowPatch Balm</x:v>
      </x:c>
      <x:c r="F908" t="str">
        <x:v>Amazon Marketplace</x:v>
      </x:c>
      <x:c r="G908" t="str">
        <x:v>Marketplace Consumer</x:v>
      </x:c>
      <x:c r="H908" t="str">
        <x:v>Canada</x:v>
      </x:c>
      <x:c r="I908" s="34" t="n">
        <x:v>60.1</x:v>
      </x:c>
      <x:c r="J908" s="38" t="n">
        <x:v>1.0020172500000002</x:v>
      </x:c>
      <x:c r="K908" s="38" t="n">
        <x:v>0.08447806249999995</x:v>
      </x:c>
      <x:c r="L908" s="28" t="n">
        <x:v>0.08430799220272898</x:v>
      </x:c>
    </x:row>
    <x:row r="909">
      <x:c r="A909" s="32" t="n">
        <x:v>45992</x:v>
      </x:c>
      <x:c r="B909" t="str">
        <x:v>Dec 2025</x:v>
      </x:c>
      <x:c r="C909" t="str">
        <x:v>Actual</x:v>
      </x:c>
      <x:c r="D909" t="str">
        <x:v>DB-102</x:v>
      </x:c>
      <x:c r="E909" t="str">
        <x:v>GlowPatch Balm</x:v>
      </x:c>
      <x:c r="F909" t="str">
        <x:v>Wholesale</x:v>
      </x:c>
      <x:c r="G909" t="str">
        <x:v>Retailer</x:v>
      </x:c>
      <x:c r="H909" t="str">
        <x:v>US West</x:v>
      </x:c>
      <x:c r="I909" s="34" t="n">
        <x:v>57.46</x:v>
      </x:c>
      <x:c r="J909" s="38" t="n">
        <x:v>0.6554749500000001</x:v>
      </x:c>
      <x:c r="K909" s="38" t="n">
        <x:v>0.16327259000000016</x:v>
      </x:c>
      <x:c r="L909" s="28" t="n">
        <x:v>0.24909051062897236</x:v>
      </x:c>
    </x:row>
    <x:row r="910">
      <x:c r="A910" s="32" t="n">
        <x:v>45992</x:v>
      </x:c>
      <x:c r="B910" t="str">
        <x:v>Dec 2025</x:v>
      </x:c>
      <x:c r="C910" t="str">
        <x:v>Actual</x:v>
      </x:c>
      <x:c r="D910" t="str">
        <x:v>DB-102</x:v>
      </x:c>
      <x:c r="E910" t="str">
        <x:v>GlowPatch Balm</x:v>
      </x:c>
      <x:c r="F910" t="str">
        <x:v>Wholesale</x:v>
      </x:c>
      <x:c r="G910" t="str">
        <x:v>Retailer</x:v>
      </x:c>
      <x:c r="H910" t="str">
        <x:v>US Central</x:v>
      </x:c>
      <x:c r="I910" s="34" t="n">
        <x:v>40.559999999999995</x:v>
      </x:c>
      <x:c r="J910" s="38" t="n">
        <x:v>0.46268820000000005</x:v>
      </x:c>
      <x:c r="K910" s="38" t="n">
        <x:v>0.11525124000000009</x:v>
      </x:c>
      <x:c r="L910" s="28" t="n">
        <x:v>0.24909051062897233</x:v>
      </x:c>
    </x:row>
    <x:row r="911">
      <x:c r="A911" s="32" t="n">
        <x:v>45992</x:v>
      </x:c>
      <x:c r="B911" t="str">
        <x:v>Dec 2025</x:v>
      </x:c>
      <x:c r="C911" t="str">
        <x:v>Actual</x:v>
      </x:c>
      <x:c r="D911" t="str">
        <x:v>DB-102</x:v>
      </x:c>
      <x:c r="E911" t="str">
        <x:v>GlowPatch Balm</x:v>
      </x:c>
      <x:c r="F911" t="str">
        <x:v>Wholesale</x:v>
      </x:c>
      <x:c r="G911" t="str">
        <x:v>Retailer</x:v>
      </x:c>
      <x:c r="H911" t="str">
        <x:v>US East</x:v>
      </x:c>
      <x:c r="I911" s="34" t="n">
        <x:v>54.08</x:v>
      </x:c>
      <x:c r="J911" s="38" t="n">
        <x:v>0.6169176000000001</x:v>
      </x:c>
      <x:c r="K911" s="38" t="n">
        <x:v>0.15366832000000014</x:v>
      </x:c>
      <x:c r="L911" s="28" t="n">
        <x:v>0.24909051062897236</x:v>
      </x:c>
    </x:row>
    <x:row r="912">
      <x:c r="A912" s="32" t="n">
        <x:v>45992</x:v>
      </x:c>
      <x:c r="B912" t="str">
        <x:v>Dec 2025</x:v>
      </x:c>
      <x:c r="C912" t="str">
        <x:v>Actual</x:v>
      </x:c>
      <x:c r="D912" t="str">
        <x:v>DB-102</x:v>
      </x:c>
      <x:c r="E912" t="str">
        <x:v>GlowPatch Balm</x:v>
      </x:c>
      <x:c r="F912" t="str">
        <x:v>Wholesale</x:v>
      </x:c>
      <x:c r="G912" t="str">
        <x:v>Retailer</x:v>
      </x:c>
      <x:c r="H912" t="str">
        <x:v>Canada</x:v>
      </x:c>
      <x:c r="I912" s="34" t="n">
        <x:v>16.900000000000002</x:v>
      </x:c>
      <x:c r="J912" s="38" t="n">
        <x:v>0.19278675000000003</x:v>
      </x:c>
      <x:c r="K912" s="38" t="n">
        <x:v>0.048021350000000046</x:v>
      </x:c>
      <x:c r="L912" s="28" t="n">
        <x:v>0.24909051062897236</x:v>
      </x:c>
    </x:row>
    <x:row r="913">
      <x:c r="A913" s="32" t="n">
        <x:v>45992</x:v>
      </x:c>
      <x:c r="B913" t="str">
        <x:v>Dec 2025</x:v>
      </x:c>
      <x:c r="C913" t="str">
        <x:v>Actual</x:v>
      </x:c>
      <x:c r="D913" t="str">
        <x:v>DB-102</x:v>
      </x:c>
      <x:c r="E913" t="str">
        <x:v>GlowPatch Balm</x:v>
      </x:c>
      <x:c r="F913" t="str">
        <x:v>TikTok Shop</x:v>
      </x:c>
      <x:c r="G913" t="str">
        <x:v>Social Commerce</x:v>
      </x:c>
      <x:c r="H913" t="str">
        <x:v>US West</x:v>
      </x:c>
      <x:c r="I913" s="34" t="n">
        <x:v>87.38000000000001</x:v>
      </x:c>
      <x:c r="J913" s="38" t="n">
        <x:v>1.3494967199999999</x:v>
      </x:c>
      <x:c r="K913" s="38" t="n">
        <x:v>0.15758843192000002</x:v>
      </x:c>
      <x:c r="L913" s="28" t="n">
        <x:v>0.1167757057757058</x:v>
      </x:c>
    </x:row>
    <x:row r="914">
      <x:c r="A914" s="32" t="n">
        <x:v>45992</x:v>
      </x:c>
      <x:c r="B914" t="str">
        <x:v>Dec 2025</x:v>
      </x:c>
      <x:c r="C914" t="str">
        <x:v>Actual</x:v>
      </x:c>
      <x:c r="D914" t="str">
        <x:v>DB-102</x:v>
      </x:c>
      <x:c r="E914" t="str">
        <x:v>GlowPatch Balm</x:v>
      </x:c>
      <x:c r="F914" t="str">
        <x:v>TikTok Shop</x:v>
      </x:c>
      <x:c r="G914" t="str">
        <x:v>Social Commerce</x:v>
      </x:c>
      <x:c r="H914" t="str">
        <x:v>US Central</x:v>
      </x:c>
      <x:c r="I914" s="34" t="n">
        <x:v>61.68</x:v>
      </x:c>
      <x:c r="J914" s="38" t="n">
        <x:v>0.9525859199999999</x:v>
      </x:c>
      <x:c r="K914" s="38" t="n">
        <x:v>0.11123889312</x:v>
      </x:c>
      <x:c r="L914" s="28" t="n">
        <x:v>0.1167757057757058</x:v>
      </x:c>
    </x:row>
    <x:row r="915">
      <x:c r="A915" s="32" t="n">
        <x:v>45992</x:v>
      </x:c>
      <x:c r="B915" t="str">
        <x:v>Dec 2025</x:v>
      </x:c>
      <x:c r="C915" t="str">
        <x:v>Actual</x:v>
      </x:c>
      <x:c r="D915" t="str">
        <x:v>DB-102</x:v>
      </x:c>
      <x:c r="E915" t="str">
        <x:v>GlowPatch Balm</x:v>
      </x:c>
      <x:c r="F915" t="str">
        <x:v>TikTok Shop</x:v>
      </x:c>
      <x:c r="G915" t="str">
        <x:v>Social Commerce</x:v>
      </x:c>
      <x:c r="H915" t="str">
        <x:v>US East</x:v>
      </x:c>
      <x:c r="I915" s="34" t="n">
        <x:v>82.24</x:v>
      </x:c>
      <x:c r="J915" s="38" t="n">
        <x:v>1.27011456</x:v>
      </x:c>
      <x:c r="K915" s="38" t="n">
        <x:v>0.14831852416</x:v>
      </x:c>
      <x:c r="L915" s="28" t="n">
        <x:v>0.11677570577570578</x:v>
      </x:c>
    </x:row>
    <x:row r="916">
      <x:c r="A916" s="32" t="n">
        <x:v>45992</x:v>
      </x:c>
      <x:c r="B916" t="str">
        <x:v>Dec 2025</x:v>
      </x:c>
      <x:c r="C916" t="str">
        <x:v>Actual</x:v>
      </x:c>
      <x:c r="D916" t="str">
        <x:v>DB-102</x:v>
      </x:c>
      <x:c r="E916" t="str">
        <x:v>GlowPatch Balm</x:v>
      </x:c>
      <x:c r="F916" t="str">
        <x:v>TikTok Shop</x:v>
      </x:c>
      <x:c r="G916" t="str">
        <x:v>Social Commerce</x:v>
      </x:c>
      <x:c r="H916" t="str">
        <x:v>Canada</x:v>
      </x:c>
      <x:c r="I916" s="34" t="n">
        <x:v>25.700000000000003</x:v>
      </x:c>
      <x:c r="J916" s="38" t="n">
        <x:v>0.39691079999999995</x:v>
      </x:c>
      <x:c r="K916" s="38" t="n">
        <x:v>0.046349538800000006</x:v>
      </x:c>
      <x:c r="L916" s="28" t="n">
        <x:v>0.11677570577570581</x:v>
      </x:c>
    </x:row>
    <x:row r="917">
      <x:c r="A917" s="32" t="n">
        <x:v>45992</x:v>
      </x:c>
      <x:c r="B917" t="str">
        <x:v>Dec 2025</x:v>
      </x:c>
      <x:c r="C917" t="str">
        <x:v>Actual</x:v>
      </x:c>
      <x:c r="D917" t="str">
        <x:v>DB-103</x:v>
      </x:c>
      <x:c r="E917" t="str">
        <x:v>EmberTrail Camp Mug</x:v>
      </x:c>
      <x:c r="F917" t="str">
        <x:v>Shopify DTC</x:v>
      </x:c>
      <x:c r="G917" t="str">
        <x:v>Consumer</x:v>
      </x:c>
      <x:c r="H917" t="str">
        <x:v>US West</x:v>
      </x:c>
      <x:c r="I917" s="34" t="n">
        <x:v>350.88000000000005</x:v>
      </x:c>
      <x:c r="J917" s="38" t="n">
        <x:v>10.371872448000001</x:v>
      </x:c>
      <x:c r="K917" s="38" t="n">
        <x:v>3.219805267008</x:v>
      </x:c>
      <x:c r="L917" s="28" t="n">
        <x:v>0.31043625759482535</x:v>
      </x:c>
    </x:row>
    <x:row r="918">
      <x:c r="A918" s="32" t="n">
        <x:v>45992</x:v>
      </x:c>
      <x:c r="B918" t="str">
        <x:v>Dec 2025</x:v>
      </x:c>
      <x:c r="C918" t="str">
        <x:v>Actual</x:v>
      </x:c>
      <x:c r="D918" t="str">
        <x:v>DB-103</x:v>
      </x:c>
      <x:c r="E918" t="str">
        <x:v>EmberTrail Camp Mug</x:v>
      </x:c>
      <x:c r="F918" t="str">
        <x:v>Shopify DTC</x:v>
      </x:c>
      <x:c r="G918" t="str">
        <x:v>Consumer</x:v>
      </x:c>
      <x:c r="H918" t="str">
        <x:v>US Central</x:v>
      </x:c>
      <x:c r="I918" s="34" t="n">
        <x:v>247.67999999999998</x:v>
      </x:c>
      <x:c r="J918" s="38" t="n">
        <x:v>7.321321728</x:v>
      </x:c>
      <x:c r="K918" s="38" t="n">
        <x:v>2.272803717888</x:v>
      </x:c>
      <x:c r="L918" s="28" t="n">
        <x:v>0.31043625759482535</x:v>
      </x:c>
    </x:row>
    <x:row r="919">
      <x:c r="A919" s="32" t="n">
        <x:v>45992</x:v>
      </x:c>
      <x:c r="B919" t="str">
        <x:v>Dec 2025</x:v>
      </x:c>
      <x:c r="C919" t="str">
        <x:v>Actual</x:v>
      </x:c>
      <x:c r="D919" t="str">
        <x:v>DB-103</x:v>
      </x:c>
      <x:c r="E919" t="str">
        <x:v>EmberTrail Camp Mug</x:v>
      </x:c>
      <x:c r="F919" t="str">
        <x:v>Shopify DTC</x:v>
      </x:c>
      <x:c r="G919" t="str">
        <x:v>Consumer</x:v>
      </x:c>
      <x:c r="H919" t="str">
        <x:v>US East</x:v>
      </x:c>
      <x:c r="I919" s="34" t="n">
        <x:v>330.24</x:v>
      </x:c>
      <x:c r="J919" s="38" t="n">
        <x:v>9.761762304</x:v>
      </x:c>
      <x:c r="K919" s="38" t="n">
        <x:v>3.030404957184</x:v>
      </x:c>
      <x:c r="L919" s="28" t="n">
        <x:v>0.3104362575948254</x:v>
      </x:c>
    </x:row>
    <x:row r="920">
      <x:c r="A920" s="32" t="n">
        <x:v>45992</x:v>
      </x:c>
      <x:c r="B920" t="str">
        <x:v>Dec 2025</x:v>
      </x:c>
      <x:c r="C920" t="str">
        <x:v>Actual</x:v>
      </x:c>
      <x:c r="D920" t="str">
        <x:v>DB-103</x:v>
      </x:c>
      <x:c r="E920" t="str">
        <x:v>EmberTrail Camp Mug</x:v>
      </x:c>
      <x:c r="F920" t="str">
        <x:v>Shopify DTC</x:v>
      </x:c>
      <x:c r="G920" t="str">
        <x:v>Consumer</x:v>
      </x:c>
      <x:c r="H920" t="str">
        <x:v>Canada</x:v>
      </x:c>
      <x:c r="I920" s="34" t="n">
        <x:v>103.2</x:v>
      </x:c>
      <x:c r="J920" s="38" t="n">
        <x:v>3.0505507200000004</x:v>
      </x:c>
      <x:c r="K920" s="38" t="n">
        <x:v>0.94700154912</x:v>
      </x:c>
      <x:c r="L920" s="28" t="n">
        <x:v>0.31043625759482535</x:v>
      </x:c>
    </x:row>
    <x:row r="921">
      <x:c r="A921" s="32" t="n">
        <x:v>45992</x:v>
      </x:c>
      <x:c r="B921" t="str">
        <x:v>Dec 2025</x:v>
      </x:c>
      <x:c r="C921" t="str">
        <x:v>Actual</x:v>
      </x:c>
      <x:c r="D921" t="str">
        <x:v>DB-103</x:v>
      </x:c>
      <x:c r="E921" t="str">
        <x:v>EmberTrail Camp Mug</x:v>
      </x:c>
      <x:c r="F921" t="str">
        <x:v>Amazon Marketplace</x:v>
      </x:c>
      <x:c r="G921" t="str">
        <x:v>Marketplace Consumer</x:v>
      </x:c>
      <x:c r="H921" t="str">
        <x:v>US West</x:v>
      </x:c>
      <x:c r="I921" s="34" t="n">
        <x:v>207.06</x:v>
      </x:c>
      <x:c r="J921" s="38" t="n">
        <x:v>6.32019591</x:v>
      </x:c>
      <x:c r="K921" s="38" t="n">
        <x:v>1.0081699634999999</x:v>
      </x:c>
      <x:c r="L921" s="28" t="n">
        <x:v>0.15951561911314233</x:v>
      </x:c>
    </x:row>
    <x:row r="922">
      <x:c r="A922" s="32" t="n">
        <x:v>45992</x:v>
      </x:c>
      <x:c r="B922" t="str">
        <x:v>Dec 2025</x:v>
      </x:c>
      <x:c r="C922" t="str">
        <x:v>Actual</x:v>
      </x:c>
      <x:c r="D922" t="str">
        <x:v>DB-103</x:v>
      </x:c>
      <x:c r="E922" t="str">
        <x:v>EmberTrail Camp Mug</x:v>
      </x:c>
      <x:c r="F922" t="str">
        <x:v>Amazon Marketplace</x:v>
      </x:c>
      <x:c r="G922" t="str">
        <x:v>Marketplace Consumer</x:v>
      </x:c>
      <x:c r="H922" t="str">
        <x:v>US Central</x:v>
      </x:c>
      <x:c r="I922" s="34" t="n">
        <x:v>146.16</x:v>
      </x:c>
      <x:c r="J922" s="38" t="n">
        <x:v>4.46131476</x:v>
      </x:c>
      <x:c r="K922" s="38" t="n">
        <x:v>0.7116493859999998</x:v>
      </x:c>
      <x:c r="L922" s="28" t="n">
        <x:v>0.1595156191131423</x:v>
      </x:c>
    </x:row>
    <x:row r="923">
      <x:c r="A923" s="32" t="n">
        <x:v>45992</x:v>
      </x:c>
      <x:c r="B923" t="str">
        <x:v>Dec 2025</x:v>
      </x:c>
      <x:c r="C923" t="str">
        <x:v>Actual</x:v>
      </x:c>
      <x:c r="D923" t="str">
        <x:v>DB-103</x:v>
      </x:c>
      <x:c r="E923" t="str">
        <x:v>EmberTrail Camp Mug</x:v>
      </x:c>
      <x:c r="F923" t="str">
        <x:v>Amazon Marketplace</x:v>
      </x:c>
      <x:c r="G923" t="str">
        <x:v>Marketplace Consumer</x:v>
      </x:c>
      <x:c r="H923" t="str">
        <x:v>US East</x:v>
      </x:c>
      <x:c r="I923" s="34" t="n">
        <x:v>194.88</x:v>
      </x:c>
      <x:c r="J923" s="38" t="n">
        <x:v>5.94841968</x:v>
      </x:c>
      <x:c r="K923" s="38" t="n">
        <x:v>0.9488658479999998</x:v>
      </x:c>
      <x:c r="L923" s="28" t="n">
        <x:v>0.15951561911314233</x:v>
      </x:c>
    </x:row>
    <x:row r="924">
      <x:c r="A924" s="32" t="n">
        <x:v>45992</x:v>
      </x:c>
      <x:c r="B924" t="str">
        <x:v>Dec 2025</x:v>
      </x:c>
      <x:c r="C924" t="str">
        <x:v>Actual</x:v>
      </x:c>
      <x:c r="D924" t="str">
        <x:v>DB-103</x:v>
      </x:c>
      <x:c r="E924" t="str">
        <x:v>EmberTrail Camp Mug</x:v>
      </x:c>
      <x:c r="F924" t="str">
        <x:v>Amazon Marketplace</x:v>
      </x:c>
      <x:c r="G924" t="str">
        <x:v>Marketplace Consumer</x:v>
      </x:c>
      <x:c r="H924" t="str">
        <x:v>Canada</x:v>
      </x:c>
      <x:c r="I924" s="34" t="n">
        <x:v>60.900000000000006</x:v>
      </x:c>
      <x:c r="J924" s="38" t="n">
        <x:v>1.85888115</x:v>
      </x:c>
      <x:c r="K924" s="38" t="n">
        <x:v>0.29652057749999994</x:v>
      </x:c>
      <x:c r="L924" s="28" t="n">
        <x:v>0.1595156191131423</x:v>
      </x:c>
    </x:row>
    <x:row r="925">
      <x:c r="A925" s="32" t="n">
        <x:v>45992</x:v>
      </x:c>
      <x:c r="B925" t="str">
        <x:v>Dec 2025</x:v>
      </x:c>
      <x:c r="C925" t="str">
        <x:v>Actual</x:v>
      </x:c>
      <x:c r="D925" t="str">
        <x:v>DB-103</x:v>
      </x:c>
      <x:c r="E925" t="str">
        <x:v>EmberTrail Camp Mug</x:v>
      </x:c>
      <x:c r="F925" t="str">
        <x:v>Wholesale</x:v>
      </x:c>
      <x:c r="G925" t="str">
        <x:v>Retailer</x:v>
      </x:c>
      <x:c r="H925" t="str">
        <x:v>US West</x:v>
      </x:c>
      <x:c r="I925" s="34" t="n">
        <x:v>57.800000000000004</x:v>
      </x:c>
      <x:c r="J925" s="38" t="n">
        <x:v>1.2071241</x:v>
      </x:c>
      <x:c r="K925" s="38" t="n">
        <x:v>0.23169130000000002</x:v>
      </x:c>
      <x:c r="L925" s="28" t="n">
        <x:v>0.1919366037013096</x:v>
      </x:c>
    </x:row>
    <x:row r="926">
      <x:c r="A926" s="32" t="n">
        <x:v>45992</x:v>
      </x:c>
      <x:c r="B926" t="str">
        <x:v>Dec 2025</x:v>
      </x:c>
      <x:c r="C926" t="str">
        <x:v>Actual</x:v>
      </x:c>
      <x:c r="D926" t="str">
        <x:v>DB-103</x:v>
      </x:c>
      <x:c r="E926" t="str">
        <x:v>EmberTrail Camp Mug</x:v>
      </x:c>
      <x:c r="F926" t="str">
        <x:v>Wholesale</x:v>
      </x:c>
      <x:c r="G926" t="str">
        <x:v>Retailer</x:v>
      </x:c>
      <x:c r="H926" t="str">
        <x:v>US Central</x:v>
      </x:c>
      <x:c r="I926" s="34" t="n">
        <x:v>40.8</x:v>
      </x:c>
      <x:c r="J926" s="38" t="n">
        <x:v>0.8520876</x:v>
      </x:c>
      <x:c r="K926" s="38" t="n">
        <x:v>0.1635468</x:v>
      </x:c>
      <x:c r="L926" s="28" t="n">
        <x:v>0.19193660370130958</x:v>
      </x:c>
    </x:row>
    <x:row r="927">
      <x:c r="A927" s="32" t="n">
        <x:v>45992</x:v>
      </x:c>
      <x:c r="B927" t="str">
        <x:v>Dec 2025</x:v>
      </x:c>
      <x:c r="C927" t="str">
        <x:v>Actual</x:v>
      </x:c>
      <x:c r="D927" t="str">
        <x:v>DB-103</x:v>
      </x:c>
      <x:c r="E927" t="str">
        <x:v>EmberTrail Camp Mug</x:v>
      </x:c>
      <x:c r="F927" t="str">
        <x:v>Wholesale</x:v>
      </x:c>
      <x:c r="G927" t="str">
        <x:v>Retailer</x:v>
      </x:c>
      <x:c r="H927" t="str">
        <x:v>US East</x:v>
      </x:c>
      <x:c r="I927" s="34" t="n">
        <x:v>54.4</x:v>
      </x:c>
      <x:c r="J927" s="38" t="n">
        <x:v>1.1361168</x:v>
      </x:c>
      <x:c r="K927" s="38" t="n">
        <x:v>0.2180624</x:v>
      </x:c>
      <x:c r="L927" s="28" t="n">
        <x:v>0.19193660370130958</x:v>
      </x:c>
    </x:row>
    <x:row r="928">
      <x:c r="A928" s="32" t="n">
        <x:v>45992</x:v>
      </x:c>
      <x:c r="B928" t="str">
        <x:v>Dec 2025</x:v>
      </x:c>
      <x:c r="C928" t="str">
        <x:v>Actual</x:v>
      </x:c>
      <x:c r="D928" t="str">
        <x:v>DB-103</x:v>
      </x:c>
      <x:c r="E928" t="str">
        <x:v>EmberTrail Camp Mug</x:v>
      </x:c>
      <x:c r="F928" t="str">
        <x:v>Wholesale</x:v>
      </x:c>
      <x:c r="G928" t="str">
        <x:v>Retailer</x:v>
      </x:c>
      <x:c r="H928" t="str">
        <x:v>Canada</x:v>
      </x:c>
      <x:c r="I928" s="34" t="n">
        <x:v>17</x:v>
      </x:c>
      <x:c r="J928" s="38" t="n">
        <x:v>0.3550365</x:v>
      </x:c>
      <x:c r="K928" s="38" t="n">
        <x:v>0.0681445</x:v>
      </x:c>
      <x:c r="L928" s="28" t="n">
        <x:v>0.19193660370130958</x:v>
      </x:c>
    </x:row>
    <x:row r="929">
      <x:c r="A929" s="32" t="n">
        <x:v>45992</x:v>
      </x:c>
      <x:c r="B929" t="str">
        <x:v>Dec 2025</x:v>
      </x:c>
      <x:c r="C929" t="str">
        <x:v>Actual</x:v>
      </x:c>
      <x:c r="D929" t="str">
        <x:v>DB-103</x:v>
      </x:c>
      <x:c r="E929" t="str">
        <x:v>EmberTrail Camp Mug</x:v>
      </x:c>
      <x:c r="F929" t="str">
        <x:v>TikTok Shop</x:v>
      </x:c>
      <x:c r="G929" t="str">
        <x:v>Social Commerce</x:v>
      </x:c>
      <x:c r="H929" t="str">
        <x:v>US West</x:v>
      </x:c>
      <x:c r="I929" s="34" t="n">
        <x:v>88.4</x:v>
      </x:c>
      <x:c r="J929" s="38" t="n">
        <x:v>2.4994569600000007</x:v>
      </x:c>
      <x:c r="K929" s="38" t="n">
        <x:v>0.45808689056000024</x:v>
      </x:c>
      <x:c r="L929" s="28" t="n">
        <x:v>0.18327456639221348</x:v>
      </x:c>
    </x:row>
    <x:row r="930">
      <x:c r="A930" s="32" t="n">
        <x:v>45992</x:v>
      </x:c>
      <x:c r="B930" t="str">
        <x:v>Dec 2025</x:v>
      </x:c>
      <x:c r="C930" t="str">
        <x:v>Actual</x:v>
      </x:c>
      <x:c r="D930" t="str">
        <x:v>DB-103</x:v>
      </x:c>
      <x:c r="E930" t="str">
        <x:v>EmberTrail Camp Mug</x:v>
      </x:c>
      <x:c r="F930" t="str">
        <x:v>TikTok Shop</x:v>
      </x:c>
      <x:c r="G930" t="str">
        <x:v>Social Commerce</x:v>
      </x:c>
      <x:c r="H930" t="str">
        <x:v>US Central</x:v>
      </x:c>
      <x:c r="I930" s="34" t="n">
        <x:v>62.4</x:v>
      </x:c>
      <x:c r="J930" s="38" t="n">
        <x:v>1.76432256</x:v>
      </x:c>
      <x:c r="K930" s="38" t="n">
        <x:v>0.3233554521600001</x:v>
      </x:c>
      <x:c r="L930" s="28" t="n">
        <x:v>0.1832745663922135</x:v>
      </x:c>
    </x:row>
    <x:row r="931">
      <x:c r="A931" s="32" t="n">
        <x:v>45992</x:v>
      </x:c>
      <x:c r="B931" t="str">
        <x:v>Dec 2025</x:v>
      </x:c>
      <x:c r="C931" t="str">
        <x:v>Actual</x:v>
      </x:c>
      <x:c r="D931" t="str">
        <x:v>DB-103</x:v>
      </x:c>
      <x:c r="E931" t="str">
        <x:v>EmberTrail Camp Mug</x:v>
      </x:c>
      <x:c r="F931" t="str">
        <x:v>TikTok Shop</x:v>
      </x:c>
      <x:c r="G931" t="str">
        <x:v>Social Commerce</x:v>
      </x:c>
      <x:c r="H931" t="str">
        <x:v>US East</x:v>
      </x:c>
      <x:c r="I931" s="34" t="n">
        <x:v>83.2</x:v>
      </x:c>
      <x:c r="J931" s="38" t="n">
        <x:v>2.3524300800000004</x:v>
      </x:c>
      <x:c r="K931" s="38" t="n">
        <x:v>0.4311406028800002</x:v>
      </x:c>
      <x:c r="L931" s="28" t="n">
        <x:v>0.1832745663922135</x:v>
      </x:c>
    </x:row>
    <x:row r="932">
      <x:c r="A932" s="32" t="n">
        <x:v>45992</x:v>
      </x:c>
      <x:c r="B932" t="str">
        <x:v>Dec 2025</x:v>
      </x:c>
      <x:c r="C932" t="str">
        <x:v>Actual</x:v>
      </x:c>
      <x:c r="D932" t="str">
        <x:v>DB-103</x:v>
      </x:c>
      <x:c r="E932" t="str">
        <x:v>EmberTrail Camp Mug</x:v>
      </x:c>
      <x:c r="F932" t="str">
        <x:v>TikTok Shop</x:v>
      </x:c>
      <x:c r="G932" t="str">
        <x:v>Social Commerce</x:v>
      </x:c>
      <x:c r="H932" t="str">
        <x:v>Canada</x:v>
      </x:c>
      <x:c r="I932" s="34" t="n">
        <x:v>26</x:v>
      </x:c>
      <x:c r="J932" s="38" t="n">
        <x:v>0.7351344000000002</x:v>
      </x:c>
      <x:c r="K932" s="38" t="n">
        <x:v>0.13473143840000007</x:v>
      </x:c>
      <x:c r="L932" s="28" t="n">
        <x:v>0.1832745663922135</x:v>
      </x:c>
    </x:row>
    <x:row r="933">
      <x:c r="A933" s="32" t="n">
        <x:v>45992</x:v>
      </x:c>
      <x:c r="B933" t="str">
        <x:v>Dec 2025</x:v>
      </x:c>
      <x:c r="C933" t="str">
        <x:v>Actual</x:v>
      </x:c>
      <x:c r="D933" t="str">
        <x:v>DB-104</x:v>
      </x:c>
      <x:c r="E933" t="str">
        <x:v>SunNest Cooling Towel</x:v>
      </x:c>
      <x:c r="F933" t="str">
        <x:v>Shopify DTC</x:v>
      </x:c>
      <x:c r="G933" t="str">
        <x:v>Consumer</x:v>
      </x:c>
      <x:c r="H933" t="str">
        <x:v>US West</x:v>
      </x:c>
      <x:c r="I933" s="34" t="n">
        <x:v>157.42000000000002</x:v>
      </x:c>
      <x:c r="J933" s="38" t="n">
        <x:v>5.77857336</x:v>
      </x:c>
      <x:c r="K933" s="38" t="n">
        <x:v>2.3243799725599996</x:v>
      </x:c>
      <x:c r="L933" s="28" t="n">
        <x:v>0.4022411463441211</x:v>
      </x:c>
    </x:row>
    <x:row r="934">
      <x:c r="A934" s="32" t="n">
        <x:v>45992</x:v>
      </x:c>
      <x:c r="B934" t="str">
        <x:v>Dec 2025</x:v>
      </x:c>
      <x:c r="C934" t="str">
        <x:v>Actual</x:v>
      </x:c>
      <x:c r="D934" t="str">
        <x:v>DB-104</x:v>
      </x:c>
      <x:c r="E934" t="str">
        <x:v>SunNest Cooling Towel</x:v>
      </x:c>
      <x:c r="F934" t="str">
        <x:v>Shopify DTC</x:v>
      </x:c>
      <x:c r="G934" t="str">
        <x:v>Consumer</x:v>
      </x:c>
      <x:c r="H934" t="str">
        <x:v>US Central</x:v>
      </x:c>
      <x:c r="I934" s="34" t="n">
        <x:v>111.11999999999999</x:v>
      </x:c>
      <x:c r="J934" s="38" t="n">
        <x:v>4.07899296</x:v>
      </x:c>
      <x:c r="K934" s="38" t="n">
        <x:v>1.6407388041599997</x:v>
      </x:c>
      <x:c r="L934" s="28" t="n">
        <x:v>0.4022411463441211</x:v>
      </x:c>
    </x:row>
    <x:row r="935">
      <x:c r="A935" s="32" t="n">
        <x:v>45992</x:v>
      </x:c>
      <x:c r="B935" t="str">
        <x:v>Dec 2025</x:v>
      </x:c>
      <x:c r="C935" t="str">
        <x:v>Actual</x:v>
      </x:c>
      <x:c r="D935" t="str">
        <x:v>DB-104</x:v>
      </x:c>
      <x:c r="E935" t="str">
        <x:v>SunNest Cooling Towel</x:v>
      </x:c>
      <x:c r="F935" t="str">
        <x:v>Shopify DTC</x:v>
      </x:c>
      <x:c r="G935" t="str">
        <x:v>Consumer</x:v>
      </x:c>
      <x:c r="H935" t="str">
        <x:v>US East</x:v>
      </x:c>
      <x:c r="I935" s="34" t="n">
        <x:v>148.16</x:v>
      </x:c>
      <x:c r="J935" s="38" t="n">
        <x:v>5.43865728</x:v>
      </x:c>
      <x:c r="K935" s="38" t="n">
        <x:v>2.1876517388799996</x:v>
      </x:c>
      <x:c r="L935" s="28" t="n">
        <x:v>0.4022411463441211</x:v>
      </x:c>
    </x:row>
    <x:row r="936">
      <x:c r="A936" s="32" t="n">
        <x:v>45992</x:v>
      </x:c>
      <x:c r="B936" t="str">
        <x:v>Dec 2025</x:v>
      </x:c>
      <x:c r="C936" t="str">
        <x:v>Actual</x:v>
      </x:c>
      <x:c r="D936" t="str">
        <x:v>DB-104</x:v>
      </x:c>
      <x:c r="E936" t="str">
        <x:v>SunNest Cooling Towel</x:v>
      </x:c>
      <x:c r="F936" t="str">
        <x:v>Shopify DTC</x:v>
      </x:c>
      <x:c r="G936" t="str">
        <x:v>Consumer</x:v>
      </x:c>
      <x:c r="H936" t="str">
        <x:v>Canada</x:v>
      </x:c>
      <x:c r="I936" s="34" t="n">
        <x:v>46.300000000000004</x:v>
      </x:c>
      <x:c r="J936" s="38" t="n">
        <x:v>1.6995804</x:v>
      </x:c>
      <x:c r="K936" s="38" t="n">
        <x:v>0.6836411683999999</x:v>
      </x:c>
      <x:c r="L936" s="28" t="n">
        <x:v>0.40224114634412106</x:v>
      </x:c>
    </x:row>
    <x:row r="937">
      <x:c r="A937" s="32" t="n">
        <x:v>45992</x:v>
      </x:c>
      <x:c r="B937" t="str">
        <x:v>Dec 2025</x:v>
      </x:c>
      <x:c r="C937" t="str">
        <x:v>Actual</x:v>
      </x:c>
      <x:c r="D937" t="str">
        <x:v>DB-104</x:v>
      </x:c>
      <x:c r="E937" t="str">
        <x:v>SunNest Cooling Towel</x:v>
      </x:c>
      <x:c r="F937" t="str">
        <x:v>Amazon Marketplace</x:v>
      </x:c>
      <x:c r="G937" t="str">
        <x:v>Marketplace Consumer</x:v>
      </x:c>
      <x:c r="H937" t="str">
        <x:v>US West</x:v>
      </x:c>
      <x:c r="I937" s="34" t="n">
        <x:v>92.82000000000001</x:v>
      </x:c>
      <x:c r="J937" s="38" t="n">
        <x:v>3.5183421000000004</x:v>
      </x:c>
      <x:c r="K937" s="38" t="n">
        <x:v>0.9088238250000001</x:v>
      </x:c>
      <x:c r="L937" s="28" t="n">
        <x:v>0.25831024930747926</x:v>
      </x:c>
    </x:row>
    <x:row r="938">
      <x:c r="A938" s="32" t="n">
        <x:v>45992</x:v>
      </x:c>
      <x:c r="B938" t="str">
        <x:v>Dec 2025</x:v>
      </x:c>
      <x:c r="C938" t="str">
        <x:v>Actual</x:v>
      </x:c>
      <x:c r="D938" t="str">
        <x:v>DB-104</x:v>
      </x:c>
      <x:c r="E938" t="str">
        <x:v>SunNest Cooling Towel</x:v>
      </x:c>
      <x:c r="F938" t="str">
        <x:v>Amazon Marketplace</x:v>
      </x:c>
      <x:c r="G938" t="str">
        <x:v>Marketplace Consumer</x:v>
      </x:c>
      <x:c r="H938" t="str">
        <x:v>US Central</x:v>
      </x:c>
      <x:c r="I938" s="34" t="n">
        <x:v>65.52</x:v>
      </x:c>
      <x:c r="J938" s="38" t="n">
        <x:v>2.4835355999999997</x:v>
      </x:c>
      <x:c r="K938" s="38" t="n">
        <x:v>0.6415227</x:v>
      </x:c>
      <x:c r="L938" s="28" t="n">
        <x:v>0.25831024930747926</x:v>
      </x:c>
    </x:row>
    <x:row r="939">
      <x:c r="A939" s="32" t="n">
        <x:v>45992</x:v>
      </x:c>
      <x:c r="B939" t="str">
        <x:v>Dec 2025</x:v>
      </x:c>
      <x:c r="C939" t="str">
        <x:v>Actual</x:v>
      </x:c>
      <x:c r="D939" t="str">
        <x:v>DB-104</x:v>
      </x:c>
      <x:c r="E939" t="str">
        <x:v>SunNest Cooling Towel</x:v>
      </x:c>
      <x:c r="F939" t="str">
        <x:v>Amazon Marketplace</x:v>
      </x:c>
      <x:c r="G939" t="str">
        <x:v>Marketplace Consumer</x:v>
      </x:c>
      <x:c r="H939" t="str">
        <x:v>US East</x:v>
      </x:c>
      <x:c r="I939" s="34" t="n">
        <x:v>87.36</x:v>
      </x:c>
      <x:c r="J939" s="38" t="n">
        <x:v>3.3113808000000002</x:v>
      </x:c>
      <x:c r="K939" s="38" t="n">
        <x:v>0.8553636</x:v>
      </x:c>
      <x:c r="L939" s="28" t="n">
        <x:v>0.2583102493074792</x:v>
      </x:c>
    </x:row>
    <x:row r="940">
      <x:c r="A940" s="32" t="n">
        <x:v>45992</x:v>
      </x:c>
      <x:c r="B940" t="str">
        <x:v>Dec 2025</x:v>
      </x:c>
      <x:c r="C940" t="str">
        <x:v>Actual</x:v>
      </x:c>
      <x:c r="D940" t="str">
        <x:v>DB-104</x:v>
      </x:c>
      <x:c r="E940" t="str">
        <x:v>SunNest Cooling Towel</x:v>
      </x:c>
      <x:c r="F940" t="str">
        <x:v>Amazon Marketplace</x:v>
      </x:c>
      <x:c r="G940" t="str">
        <x:v>Marketplace Consumer</x:v>
      </x:c>
      <x:c r="H940" t="str">
        <x:v>Canada</x:v>
      </x:c>
      <x:c r="I940" s="34" t="n">
        <x:v>27.3</x:v>
      </x:c>
      <x:c r="J940" s="38" t="n">
        <x:v>1.0348065</x:v>
      </x:c>
      <x:c r="K940" s="38" t="n">
        <x:v>0.26730112500000003</x:v>
      </x:c>
      <x:c r="L940" s="28" t="n">
        <x:v>0.25831024930747926</x:v>
      </x:c>
    </x:row>
    <x:row r="941">
      <x:c r="A941" s="32" t="n">
        <x:v>45992</x:v>
      </x:c>
      <x:c r="B941" t="str">
        <x:v>Dec 2025</x:v>
      </x:c>
      <x:c r="C941" t="str">
        <x:v>Actual</x:v>
      </x:c>
      <x:c r="D941" t="str">
        <x:v>DB-104</x:v>
      </x:c>
      <x:c r="E941" t="str">
        <x:v>SunNest Cooling Towel</x:v>
      </x:c>
      <x:c r="F941" t="str">
        <x:v>Wholesale</x:v>
      </x:c>
      <x:c r="G941" t="str">
        <x:v>Retailer</x:v>
      </x:c>
      <x:c r="H941" t="str">
        <x:v>US West</x:v>
      </x:c>
      <x:c r="I941" s="34" t="n">
        <x:v>25.500000000000004</x:v>
      </x:c>
      <x:c r="J941" s="38" t="n">
        <x:v>0.6613425</x:v>
      </x:c>
      <x:c r="K941" s="38" t="n">
        <x:v>0.19652850000000002</x:v>
      </x:c>
      <x:c r="L941" s="28" t="n">
        <x:v>0.297165991902834</x:v>
      </x:c>
    </x:row>
    <x:row r="942">
      <x:c r="A942" s="32" t="n">
        <x:v>45992</x:v>
      </x:c>
      <x:c r="B942" t="str">
        <x:v>Dec 2025</x:v>
      </x:c>
      <x:c r="C942" t="str">
        <x:v>Actual</x:v>
      </x:c>
      <x:c r="D942" t="str">
        <x:v>DB-104</x:v>
      </x:c>
      <x:c r="E942" t="str">
        <x:v>SunNest Cooling Towel</x:v>
      </x:c>
      <x:c r="F942" t="str">
        <x:v>Wholesale</x:v>
      </x:c>
      <x:c r="G942" t="str">
        <x:v>Retailer</x:v>
      </x:c>
      <x:c r="H942" t="str">
        <x:v>US Central</x:v>
      </x:c>
      <x:c r="I942" s="34" t="n">
        <x:v>18</x:v>
      </x:c>
      <x:c r="J942" s="38" t="n">
        <x:v>0.46682999999999997</x:v>
      </x:c>
      <x:c r="K942" s="38" t="n">
        <x:v>0.138726</x:v>
      </x:c>
      <x:c r="L942" s="28" t="n">
        <x:v>0.297165991902834</x:v>
      </x:c>
    </x:row>
    <x:row r="943">
      <x:c r="A943" s="32" t="n">
        <x:v>45992</x:v>
      </x:c>
      <x:c r="B943" t="str">
        <x:v>Dec 2025</x:v>
      </x:c>
      <x:c r="C943" t="str">
        <x:v>Actual</x:v>
      </x:c>
      <x:c r="D943" t="str">
        <x:v>DB-104</x:v>
      </x:c>
      <x:c r="E943" t="str">
        <x:v>SunNest Cooling Towel</x:v>
      </x:c>
      <x:c r="F943" t="str">
        <x:v>Wholesale</x:v>
      </x:c>
      <x:c r="G943" t="str">
        <x:v>Retailer</x:v>
      </x:c>
      <x:c r="H943" t="str">
        <x:v>US East</x:v>
      </x:c>
      <x:c r="I943" s="34" t="n">
        <x:v>24</x:v>
      </x:c>
      <x:c r="J943" s="38" t="n">
        <x:v>0.62244</x:v>
      </x:c>
      <x:c r="K943" s="38" t="n">
        <x:v>0.184968</x:v>
      </x:c>
      <x:c r="L943" s="28" t="n">
        <x:v>0.297165991902834</x:v>
      </x:c>
    </x:row>
    <x:row r="944">
      <x:c r="A944" s="32" t="n">
        <x:v>45992</x:v>
      </x:c>
      <x:c r="B944" t="str">
        <x:v>Dec 2025</x:v>
      </x:c>
      <x:c r="C944" t="str">
        <x:v>Actual</x:v>
      </x:c>
      <x:c r="D944" t="str">
        <x:v>DB-104</x:v>
      </x:c>
      <x:c r="E944" t="str">
        <x:v>SunNest Cooling Towel</x:v>
      </x:c>
      <x:c r="F944" t="str">
        <x:v>Wholesale</x:v>
      </x:c>
      <x:c r="G944" t="str">
        <x:v>Retailer</x:v>
      </x:c>
      <x:c r="H944" t="str">
        <x:v>Canada</x:v>
      </x:c>
      <x:c r="I944" s="34" t="n">
        <x:v>7.5</x:v>
      </x:c>
      <x:c r="J944" s="38" t="n">
        <x:v>0.1945125</x:v>
      </x:c>
      <x:c r="K944" s="38" t="n">
        <x:v>0.05780250000000001</x:v>
      </x:c>
      <x:c r="L944" s="28" t="n">
        <x:v>0.29716599190283405</x:v>
      </x:c>
    </x:row>
    <x:row r="945">
      <x:c r="A945" s="32" t="n">
        <x:v>45992</x:v>
      </x:c>
      <x:c r="B945" t="str">
        <x:v>Dec 2025</x:v>
      </x:c>
      <x:c r="C945" t="str">
        <x:v>Actual</x:v>
      </x:c>
      <x:c r="D945" t="str">
        <x:v>DB-104</x:v>
      </x:c>
      <x:c r="E945" t="str">
        <x:v>SunNest Cooling Towel</x:v>
      </x:c>
      <x:c r="F945" t="str">
        <x:v>TikTok Shop</x:v>
      </x:c>
      <x:c r="G945" t="str">
        <x:v>Social Commerce</x:v>
      </x:c>
      <x:c r="H945" t="str">
        <x:v>US West</x:v>
      </x:c>
      <x:c r="I945" s="34" t="n">
        <x:v>39.1</x:v>
      </x:c>
      <x:c r="J945" s="38" t="n">
        <x:v>1.3728791999999999</x:v>
      </x:c>
      <x:c r="K945" s="38" t="n">
        <x:v>0.39330815119999996</x:v>
      </x:c>
      <x:c r="L945" s="28" t="n">
        <x:v>0.2864841649578492</x:v>
      </x:c>
    </x:row>
    <x:row r="946">
      <x:c r="A946" s="32" t="n">
        <x:v>45992</x:v>
      </x:c>
      <x:c r="B946" t="str">
        <x:v>Dec 2025</x:v>
      </x:c>
      <x:c r="C946" t="str">
        <x:v>Actual</x:v>
      </x:c>
      <x:c r="D946" t="str">
        <x:v>DB-104</x:v>
      </x:c>
      <x:c r="E946" t="str">
        <x:v>SunNest Cooling Towel</x:v>
      </x:c>
      <x:c r="F946" t="str">
        <x:v>TikTok Shop</x:v>
      </x:c>
      <x:c r="G946" t="str">
        <x:v>Social Commerce</x:v>
      </x:c>
      <x:c r="H946" t="str">
        <x:v>US Central</x:v>
      </x:c>
      <x:c r="I946" s="34" t="n">
        <x:v>27.599999999999998</x:v>
      </x:c>
      <x:c r="J946" s="38" t="n">
        <x:v>0.9690911999999998</x:v>
      </x:c>
      <x:c r="K946" s="38" t="n">
        <x:v>0.27762928319999997</x:v>
      </x:c>
      <x:c r="L946" s="28" t="n">
        <x:v>0.2864841649578492</x:v>
      </x:c>
    </x:row>
    <x:row r="947">
      <x:c r="A947" s="32" t="n">
        <x:v>45992</x:v>
      </x:c>
      <x:c r="B947" t="str">
        <x:v>Dec 2025</x:v>
      </x:c>
      <x:c r="C947" t="str">
        <x:v>Actual</x:v>
      </x:c>
      <x:c r="D947" t="str">
        <x:v>DB-104</x:v>
      </x:c>
      <x:c r="E947" t="str">
        <x:v>SunNest Cooling Towel</x:v>
      </x:c>
      <x:c r="F947" t="str">
        <x:v>TikTok Shop</x:v>
      </x:c>
      <x:c r="G947" t="str">
        <x:v>Social Commerce</x:v>
      </x:c>
      <x:c r="H947" t="str">
        <x:v>US East</x:v>
      </x:c>
      <x:c r="I947" s="34" t="n">
        <x:v>36.800000000000004</x:v>
      </x:c>
      <x:c r="J947" s="38" t="n">
        <x:v>1.2921215999999998</x:v>
      </x:c>
      <x:c r="K947" s="38" t="n">
        <x:v>0.37017237759999994</x:v>
      </x:c>
      <x:c r="L947" s="28" t="n">
        <x:v>0.2864841649578492</x:v>
      </x:c>
    </x:row>
    <x:row r="948">
      <x:c r="A948" s="32" t="n">
        <x:v>45992</x:v>
      </x:c>
      <x:c r="B948" t="str">
        <x:v>Dec 2025</x:v>
      </x:c>
      <x:c r="C948" t="str">
        <x:v>Actual</x:v>
      </x:c>
      <x:c r="D948" t="str">
        <x:v>DB-104</x:v>
      </x:c>
      <x:c r="E948" t="str">
        <x:v>SunNest Cooling Towel</x:v>
      </x:c>
      <x:c r="F948" t="str">
        <x:v>TikTok Shop</x:v>
      </x:c>
      <x:c r="G948" t="str">
        <x:v>Social Commerce</x:v>
      </x:c>
      <x:c r="H948" t="str">
        <x:v>Canada</x:v>
      </x:c>
      <x:c r="I948" s="34" t="n">
        <x:v>11.5</x:v>
      </x:c>
      <x:c r="J948" s="38" t="n">
        <x:v>0.403788</x:v>
      </x:c>
      <x:c r="K948" s="38" t="n">
        <x:v>0.11567886799999999</x:v>
      </x:c>
      <x:c r="L948" s="28" t="n">
        <x:v>0.2864841649578492</x:v>
      </x:c>
    </x:row>
    <x:row r="949">
      <x:c r="A949" s="32" t="n">
        <x:v>45992</x:v>
      </x:c>
      <x:c r="B949" t="str">
        <x:v>Dec 2025</x:v>
      </x:c>
      <x:c r="C949" t="str">
        <x:v>Actual</x:v>
      </x:c>
      <x:c r="D949" t="str">
        <x:v>DB-105</x:v>
      </x:c>
      <x:c r="E949" t="str">
        <x:v>DreamFuel Refill Pack</x:v>
      </x:c>
      <x:c r="F949" t="str">
        <x:v>Shopify DTC</x:v>
      </x:c>
      <x:c r="G949" t="str">
        <x:v>Consumer</x:v>
      </x:c>
      <x:c r="H949" t="str">
        <x:v>US West</x:v>
      </x:c>
      <x:c r="I949" s="34" t="n">
        <x:v>271.66</x:v>
      </x:c>
      <x:c r="J949" s="38" t="n">
        <x:v>13.716004736000002</x:v>
      </x:c>
      <x:c r="K949" s="38" t="n">
        <x:v>6.683325422656</x:v>
      </x:c>
      <x:c r="L949" s="28" t="n">
        <x:v>0.4872647357079477</x:v>
      </x:c>
    </x:row>
    <x:row r="950">
      <x:c r="A950" s="32" t="n">
        <x:v>45992</x:v>
      </x:c>
      <x:c r="B950" t="str">
        <x:v>Dec 2025</x:v>
      </x:c>
      <x:c r="C950" t="str">
        <x:v>Actual</x:v>
      </x:c>
      <x:c r="D950" t="str">
        <x:v>DB-105</x:v>
      </x:c>
      <x:c r="E950" t="str">
        <x:v>DreamFuel Refill Pack</x:v>
      </x:c>
      <x:c r="F950" t="str">
        <x:v>Shopify DTC</x:v>
      </x:c>
      <x:c r="G950" t="str">
        <x:v>Consumer</x:v>
      </x:c>
      <x:c r="H950" t="str">
        <x:v>US Central</x:v>
      </x:c>
      <x:c r="I950" s="34" t="n">
        <x:v>191.76</x:v>
      </x:c>
      <x:c r="J950" s="38" t="n">
        <x:v>9.681885696</x:v>
      </x:c>
      <x:c r="K950" s="38" t="n">
        <x:v>4.717641474815999</x:v>
      </x:c>
      <x:c r="L950" s="28" t="n">
        <x:v>0.4872647357079477</x:v>
      </x:c>
    </x:row>
    <x:row r="951">
      <x:c r="A951" s="32" t="n">
        <x:v>45992</x:v>
      </x:c>
      <x:c r="B951" t="str">
        <x:v>Dec 2025</x:v>
      </x:c>
      <x:c r="C951" t="str">
        <x:v>Actual</x:v>
      </x:c>
      <x:c r="D951" t="str">
        <x:v>DB-105</x:v>
      </x:c>
      <x:c r="E951" t="str">
        <x:v>DreamFuel Refill Pack</x:v>
      </x:c>
      <x:c r="F951" t="str">
        <x:v>Shopify DTC</x:v>
      </x:c>
      <x:c r="G951" t="str">
        <x:v>Consumer</x:v>
      </x:c>
      <x:c r="H951" t="str">
        <x:v>US East</x:v>
      </x:c>
      <x:c r="I951" s="34" t="n">
        <x:v>255.68</x:v>
      </x:c>
      <x:c r="J951" s="38" t="n">
        <x:v>12.909180928000001</x:v>
      </x:c>
      <x:c r="K951" s="38" t="n">
        <x:v>6.2901886330879995</x:v>
      </x:c>
      <x:c r="L951" s="28" t="n">
        <x:v>0.4872647357079477</x:v>
      </x:c>
    </x:row>
    <x:row r="952">
      <x:c r="A952" s="32" t="n">
        <x:v>45992</x:v>
      </x:c>
      <x:c r="B952" t="str">
        <x:v>Dec 2025</x:v>
      </x:c>
      <x:c r="C952" t="str">
        <x:v>Actual</x:v>
      </x:c>
      <x:c r="D952" t="str">
        <x:v>DB-105</x:v>
      </x:c>
      <x:c r="E952" t="str">
        <x:v>DreamFuel Refill Pack</x:v>
      </x:c>
      <x:c r="F952" t="str">
        <x:v>Shopify DTC</x:v>
      </x:c>
      <x:c r="G952" t="str">
        <x:v>Consumer</x:v>
      </x:c>
      <x:c r="H952" t="str">
        <x:v>Canada</x:v>
      </x:c>
      <x:c r="I952" s="34" t="n">
        <x:v>79.9</x:v>
      </x:c>
      <x:c r="J952" s="38" t="n">
        <x:v>4.03411904</x:v>
      </x:c>
      <x:c r="K952" s="38" t="n">
        <x:v>1.96568394784</x:v>
      </x:c>
      <x:c r="L952" s="28" t="n">
        <x:v>0.4872647357079477</x:v>
      </x:c>
    </x:row>
    <x:row r="953">
      <x:c r="A953" s="32" t="n">
        <x:v>45992</x:v>
      </x:c>
      <x:c r="B953" t="str">
        <x:v>Dec 2025</x:v>
      </x:c>
      <x:c r="C953" t="str">
        <x:v>Actual</x:v>
      </x:c>
      <x:c r="D953" t="str">
        <x:v>DB-105</x:v>
      </x:c>
      <x:c r="E953" t="str">
        <x:v>DreamFuel Refill Pack</x:v>
      </x:c>
      <x:c r="F953" t="str">
        <x:v>Amazon Marketplace</x:v>
      </x:c>
      <x:c r="G953" t="str">
        <x:v>Marketplace Consumer</x:v>
      </x:c>
      <x:c r="H953" t="str">
        <x:v>US West</x:v>
      </x:c>
      <x:c r="I953" s="34" t="n">
        <x:v>160.48000000000002</x:v>
      </x:c>
      <x:c r="J953" s="38" t="n">
        <x:v>8.366785280000002</x:v>
      </x:c>
      <x:c r="K953" s="38" t="n">
        <x:v>2.9435241600000004</x:v>
      </x:c>
      <x:c r="L953" s="28" t="n">
        <x:v>0.3518106490716587</x:v>
      </x:c>
    </x:row>
    <x:row r="954">
      <x:c r="A954" s="32" t="n">
        <x:v>45992</x:v>
      </x:c>
      <x:c r="B954" t="str">
        <x:v>Dec 2025</x:v>
      </x:c>
      <x:c r="C954" t="str">
        <x:v>Actual</x:v>
      </x:c>
      <x:c r="D954" t="str">
        <x:v>DB-105</x:v>
      </x:c>
      <x:c r="E954" t="str">
        <x:v>DreamFuel Refill Pack</x:v>
      </x:c>
      <x:c r="F954" t="str">
        <x:v>Amazon Marketplace</x:v>
      </x:c>
      <x:c r="G954" t="str">
        <x:v>Marketplace Consumer</x:v>
      </x:c>
      <x:c r="H954" t="str">
        <x:v>US Central</x:v>
      </x:c>
      <x:c r="I954" s="34" t="n">
        <x:v>113.28</x:v>
      </x:c>
      <x:c r="J954" s="38" t="n">
        <x:v>5.905966080000001</x:v>
      </x:c>
      <x:c r="K954" s="38" t="n">
        <x:v>2.07778176</x:v>
      </x:c>
      <x:c r="L954" s="28" t="n">
        <x:v>0.3518106490716587</x:v>
      </x:c>
    </x:row>
    <x:row r="955">
      <x:c r="A955" s="32" t="n">
        <x:v>45992</x:v>
      </x:c>
      <x:c r="B955" t="str">
        <x:v>Dec 2025</x:v>
      </x:c>
      <x:c r="C955" t="str">
        <x:v>Actual</x:v>
      </x:c>
      <x:c r="D955" t="str">
        <x:v>DB-105</x:v>
      </x:c>
      <x:c r="E955" t="str">
        <x:v>DreamFuel Refill Pack</x:v>
      </x:c>
      <x:c r="F955" t="str">
        <x:v>Amazon Marketplace</x:v>
      </x:c>
      <x:c r="G955" t="str">
        <x:v>Marketplace Consumer</x:v>
      </x:c>
      <x:c r="H955" t="str">
        <x:v>US East</x:v>
      </x:c>
      <x:c r="I955" s="34" t="n">
        <x:v>151.04</x:v>
      </x:c>
      <x:c r="J955" s="38" t="n">
        <x:v>7.874621440000001</x:v>
      </x:c>
      <x:c r="K955" s="38" t="n">
        <x:v>2.7703756800000003</x:v>
      </x:c>
      <x:c r="L955" s="28" t="n">
        <x:v>0.3518106490716587</x:v>
      </x:c>
    </x:row>
    <x:row r="956">
      <x:c r="A956" s="32" t="n">
        <x:v>45992</x:v>
      </x:c>
      <x:c r="B956" t="str">
        <x:v>Dec 2025</x:v>
      </x:c>
      <x:c r="C956" t="str">
        <x:v>Actual</x:v>
      </x:c>
      <x:c r="D956" t="str">
        <x:v>DB-105</x:v>
      </x:c>
      <x:c r="E956" t="str">
        <x:v>DreamFuel Refill Pack</x:v>
      </x:c>
      <x:c r="F956" t="str">
        <x:v>Amazon Marketplace</x:v>
      </x:c>
      <x:c r="G956" t="str">
        <x:v>Marketplace Consumer</x:v>
      </x:c>
      <x:c r="H956" t="str">
        <x:v>Canada</x:v>
      </x:c>
      <x:c r="I956" s="34" t="n">
        <x:v>47.2</x:v>
      </x:c>
      <x:c r="J956" s="38" t="n">
        <x:v>2.4608192000000004</x:v>
      </x:c>
      <x:c r="K956" s="38" t="n">
        <x:v>0.8657424000000001</x:v>
      </x:c>
      <x:c r="L956" s="28" t="n">
        <x:v>0.3518106490716587</x:v>
      </x:c>
    </x:row>
    <x:row r="957">
      <x:c r="A957" s="32" t="n">
        <x:v>45992</x:v>
      </x:c>
      <x:c r="B957" t="str">
        <x:v>Dec 2025</x:v>
      </x:c>
      <x:c r="C957" t="str">
        <x:v>Actual</x:v>
      </x:c>
      <x:c r="D957" t="str">
        <x:v>DB-105</x:v>
      </x:c>
      <x:c r="E957" t="str">
        <x:v>DreamFuel Refill Pack</x:v>
      </x:c>
      <x:c r="F957" t="str">
        <x:v>Wholesale</x:v>
      </x:c>
      <x:c r="G957" t="str">
        <x:v>Retailer</x:v>
      </x:c>
      <x:c r="H957" t="str">
        <x:v>US West</x:v>
      </x:c>
      <x:c r="I957" s="34" t="n">
        <x:v>44.540000000000006</x:v>
      </x:c>
      <x:c r="J957" s="38" t="n">
        <x:v>1.5888308800000002</x:v>
      </x:c>
      <x:c r="K957" s="38" t="n">
        <x:v>0.6190347360000001</x:v>
      </x:c>
      <x:c r="L957" s="28" t="n">
        <x:v>0.3896165059430366</x:v>
      </x:c>
    </x:row>
    <x:row r="958">
      <x:c r="A958" s="32" t="n">
        <x:v>45992</x:v>
      </x:c>
      <x:c r="B958" t="str">
        <x:v>Dec 2025</x:v>
      </x:c>
      <x:c r="C958" t="str">
        <x:v>Actual</x:v>
      </x:c>
      <x:c r="D958" t="str">
        <x:v>DB-105</x:v>
      </x:c>
      <x:c r="E958" t="str">
        <x:v>DreamFuel Refill Pack</x:v>
      </x:c>
      <x:c r="F958" t="str">
        <x:v>Wholesale</x:v>
      </x:c>
      <x:c r="G958" t="str">
        <x:v>Retailer</x:v>
      </x:c>
      <x:c r="H958" t="str">
        <x:v>US Central</x:v>
      </x:c>
      <x:c r="I958" s="34" t="n">
        <x:v>31.439999999999998</x:v>
      </x:c>
      <x:c r="J958" s="38" t="n">
        <x:v>1.12152768</x:v>
      </x:c>
      <x:c r="K958" s="38" t="n">
        <x:v>0.436965696</x:v>
      </x:c>
      <x:c r="L958" s="28" t="n">
        <x:v>0.38961650594303654</x:v>
      </x:c>
    </x:row>
    <x:row r="959">
      <x:c r="A959" s="32" t="n">
        <x:v>45992</x:v>
      </x:c>
      <x:c r="B959" t="str">
        <x:v>Dec 2025</x:v>
      </x:c>
      <x:c r="C959" t="str">
        <x:v>Actual</x:v>
      </x:c>
      <x:c r="D959" t="str">
        <x:v>DB-105</x:v>
      </x:c>
      <x:c r="E959" t="str">
        <x:v>DreamFuel Refill Pack</x:v>
      </x:c>
      <x:c r="F959" t="str">
        <x:v>Wholesale</x:v>
      </x:c>
      <x:c r="G959" t="str">
        <x:v>Retailer</x:v>
      </x:c>
      <x:c r="H959" t="str">
        <x:v>US East</x:v>
      </x:c>
      <x:c r="I959" s="34" t="n">
        <x:v>41.92</x:v>
      </x:c>
      <x:c r="J959" s="38" t="n">
        <x:v>1.49537024</x:v>
      </x:c>
      <x:c r="K959" s="38" t="n">
        <x:v>0.5826209280000001</x:v>
      </x:c>
      <x:c r="L959" s="28" t="n">
        <x:v>0.38961650594303665</x:v>
      </x:c>
    </x:row>
    <x:row r="960">
      <x:c r="A960" s="32" t="n">
        <x:v>45992</x:v>
      </x:c>
      <x:c r="B960" t="str">
        <x:v>Dec 2025</x:v>
      </x:c>
      <x:c r="C960" t="str">
        <x:v>Actual</x:v>
      </x:c>
      <x:c r="D960" t="str">
        <x:v>DB-105</x:v>
      </x:c>
      <x:c r="E960" t="str">
        <x:v>DreamFuel Refill Pack</x:v>
      </x:c>
      <x:c r="F960" t="str">
        <x:v>Wholesale</x:v>
      </x:c>
      <x:c r="G960" t="str">
        <x:v>Retailer</x:v>
      </x:c>
      <x:c r="H960" t="str">
        <x:v>Canada</x:v>
      </x:c>
      <x:c r="I960" s="34" t="n">
        <x:v>13.100000000000001</x:v>
      </x:c>
      <x:c r="J960" s="38" t="n">
        <x:v>0.46730320000000003</x:v>
      </x:c>
      <x:c r="K960" s="38" t="n">
        <x:v>0.18206904000000002</x:v>
      </x:c>
      <x:c r="L960" s="28" t="n">
        <x:v>0.38961650594303654</x:v>
      </x:c>
    </x:row>
    <x:row r="961">
      <x:c r="A961" s="32" t="n">
        <x:v>45992</x:v>
      </x:c>
      <x:c r="B961" t="str">
        <x:v>Dec 2025</x:v>
      </x:c>
      <x:c r="C961" t="str">
        <x:v>Actual</x:v>
      </x:c>
      <x:c r="D961" t="str">
        <x:v>DB-105</x:v>
      </x:c>
      <x:c r="E961" t="str">
        <x:v>DreamFuel Refill Pack</x:v>
      </x:c>
      <x:c r="F961" t="str">
        <x:v>TikTok Shop</x:v>
      </x:c>
      <x:c r="G961" t="str">
        <x:v>Social Commerce</x:v>
      </x:c>
      <x:c r="H961" t="str">
        <x:v>US West</x:v>
      </x:c>
      <x:c r="I961" s="34" t="n">
        <x:v>68.34</x:v>
      </x:c>
      <x:c r="J961" s="38" t="n">
        <x:v>3.300439296000001</x:v>
      </x:c>
      <x:c r="K961" s="38" t="n">
        <x:v>1.265834374656</x:v>
      </x:c>
      <x:c r="L961" s="28" t="n">
        <x:v>0.3835351179432811</x:v>
      </x:c>
    </x:row>
    <x:row r="962">
      <x:c r="A962" s="32" t="n">
        <x:v>45992</x:v>
      </x:c>
      <x:c r="B962" t="str">
        <x:v>Dec 2025</x:v>
      </x:c>
      <x:c r="C962" t="str">
        <x:v>Actual</x:v>
      </x:c>
      <x:c r="D962" t="str">
        <x:v>DB-105</x:v>
      </x:c>
      <x:c r="E962" t="str">
        <x:v>DreamFuel Refill Pack</x:v>
      </x:c>
      <x:c r="F962" t="str">
        <x:v>TikTok Shop</x:v>
      </x:c>
      <x:c r="G962" t="str">
        <x:v>Social Commerce</x:v>
      </x:c>
      <x:c r="H962" t="str">
        <x:v>US Central</x:v>
      </x:c>
      <x:c r="I962" s="34" t="n">
        <x:v>48.239999999999995</x:v>
      </x:c>
      <x:c r="J962" s="38" t="n">
        <x:v>2.3297218560000004</x:v>
      </x:c>
      <x:c r="K962" s="38" t="n">
        <x:v>0.8935301468159998</x:v>
      </x:c>
      <x:c r="L962" s="28" t="n">
        <x:v>0.3835351179432811</x:v>
      </x:c>
    </x:row>
    <x:row r="963">
      <x:c r="A963" s="32" t="n">
        <x:v>45992</x:v>
      </x:c>
      <x:c r="B963" t="str">
        <x:v>Dec 2025</x:v>
      </x:c>
      <x:c r="C963" t="str">
        <x:v>Actual</x:v>
      </x:c>
      <x:c r="D963" t="str">
        <x:v>DB-105</x:v>
      </x:c>
      <x:c r="E963" t="str">
        <x:v>DreamFuel Refill Pack</x:v>
      </x:c>
      <x:c r="F963" t="str">
        <x:v>TikTok Shop</x:v>
      </x:c>
      <x:c r="G963" t="str">
        <x:v>Social Commerce</x:v>
      </x:c>
      <x:c r="H963" t="str">
        <x:v>US East</x:v>
      </x:c>
      <x:c r="I963" s="34" t="n">
        <x:v>64.32000000000001</x:v>
      </x:c>
      <x:c r="J963" s="38" t="n">
        <x:v>3.1062958080000005</x:v>
      </x:c>
      <x:c r="K963" s="38" t="n">
        <x:v>1.1913735290879999</x:v>
      </x:c>
      <x:c r="L963" s="28" t="n">
        <x:v>0.3835351179432811</x:v>
      </x:c>
    </x:row>
    <x:row r="964">
      <x:c r="A964" s="32" t="n">
        <x:v>45992</x:v>
      </x:c>
      <x:c r="B964" t="str">
        <x:v>Dec 2025</x:v>
      </x:c>
      <x:c r="C964" t="str">
        <x:v>Actual</x:v>
      </x:c>
      <x:c r="D964" t="str">
        <x:v>DB-105</x:v>
      </x:c>
      <x:c r="E964" t="str">
        <x:v>DreamFuel Refill Pack</x:v>
      </x:c>
      <x:c r="F964" t="str">
        <x:v>TikTok Shop</x:v>
      </x:c>
      <x:c r="G964" t="str">
        <x:v>Social Commerce</x:v>
      </x:c>
      <x:c r="H964" t="str">
        <x:v>Canada</x:v>
      </x:c>
      <x:c r="I964" s="34" t="n">
        <x:v>20.1</x:v>
      </x:c>
      <x:c r="J964" s="38" t="n">
        <x:v>0.9707174400000002</x:v>
      </x:c>
      <x:c r="K964" s="38" t="n">
        <x:v>0.37230422783999995</x:v>
      </x:c>
      <x:c r="L964" s="28" t="n">
        <x:v>0.3835351179432811</x:v>
      </x:c>
    </x:row>
    <x:row r="965">
      <x:c r="A965" s="32" t="n">
        <x:v>46023</x:v>
      </x:c>
      <x:c r="B965" t="str">
        <x:v>Jan 2026</x:v>
      </x:c>
      <x:c r="C965" t="str">
        <x:v>Forecast</x:v>
      </x:c>
      <x:c r="D965" t="str">
        <x:v>DB-101</x:v>
      </x:c>
      <x:c r="E965" t="str">
        <x:v>AeroSip Bottle</x:v>
      </x:c>
      <x:c r="F965" t="str">
        <x:v>Shopify DTC</x:v>
      </x:c>
      <x:c r="G965" t="str">
        <x:v>Consumer</x:v>
      </x:c>
      <x:c r="H965" t="str">
        <x:v>US West</x:v>
      </x:c>
      <x:c r="I965" s="34" t="n">
        <x:v>340</x:v>
      </x:c>
      <x:c r="J965" s="38" t="n">
        <x:v>8.662996</x:v>
      </x:c>
      <x:c r="K965" s="38" t="n">
        <x:v>2.7555291159999995</x:v>
      </x:c>
      <x:c r="L965" s="28" t="n">
        <x:v>0.3180803865083165</x:v>
      </x:c>
    </x:row>
    <x:row r="966">
      <x:c r="A966" s="32" t="n">
        <x:v>46023</x:v>
      </x:c>
      <x:c r="B966" t="str">
        <x:v>Jan 2026</x:v>
      </x:c>
      <x:c r="C966" t="str">
        <x:v>Forecast</x:v>
      </x:c>
      <x:c r="D966" t="str">
        <x:v>DB-101</x:v>
      </x:c>
      <x:c r="E966" t="str">
        <x:v>AeroSip Bottle</x:v>
      </x:c>
      <x:c r="F966" t="str">
        <x:v>Shopify DTC</x:v>
      </x:c>
      <x:c r="G966" t="str">
        <x:v>Consumer</x:v>
      </x:c>
      <x:c r="H966" t="str">
        <x:v>US Central</x:v>
      </x:c>
      <x:c r="I966" s="34" t="n">
        <x:v>240</x:v>
      </x:c>
      <x:c r="J966" s="38" t="n">
        <x:v>6.115055999999999</x:v>
      </x:c>
      <x:c r="K966" s="38" t="n">
        <x:v>1.9450793759999994</x:v>
      </x:c>
      <x:c r="L966" s="28" t="n">
        <x:v>0.31808038650831644</x:v>
      </x:c>
    </x:row>
    <x:row r="967">
      <x:c r="A967" s="32" t="n">
        <x:v>46023</x:v>
      </x:c>
      <x:c r="B967" t="str">
        <x:v>Jan 2026</x:v>
      </x:c>
      <x:c r="C967" t="str">
        <x:v>Forecast</x:v>
      </x:c>
      <x:c r="D967" t="str">
        <x:v>DB-101</x:v>
      </x:c>
      <x:c r="E967" t="str">
        <x:v>AeroSip Bottle</x:v>
      </x:c>
      <x:c r="F967" t="str">
        <x:v>Shopify DTC</x:v>
      </x:c>
      <x:c r="G967" t="str">
        <x:v>Consumer</x:v>
      </x:c>
      <x:c r="H967" t="str">
        <x:v>US East</x:v>
      </x:c>
      <x:c r="I967" s="34" t="n">
        <x:v>320</x:v>
      </x:c>
      <x:c r="J967" s="38" t="n">
        <x:v>8.153407999999999</x:v>
      </x:c>
      <x:c r="K967" s="38" t="n">
        <x:v>2.5934391679999993</x:v>
      </x:c>
      <x:c r="L967" s="28" t="n">
        <x:v>0.3180803865083165</x:v>
      </x:c>
    </x:row>
    <x:row r="968">
      <x:c r="A968" s="32" t="n">
        <x:v>46023</x:v>
      </x:c>
      <x:c r="B968" t="str">
        <x:v>Jan 2026</x:v>
      </x:c>
      <x:c r="C968" t="str">
        <x:v>Forecast</x:v>
      </x:c>
      <x:c r="D968" t="str">
        <x:v>DB-101</x:v>
      </x:c>
      <x:c r="E968" t="str">
        <x:v>AeroSip Bottle</x:v>
      </x:c>
      <x:c r="F968" t="str">
        <x:v>Shopify DTC</x:v>
      </x:c>
      <x:c r="G968" t="str">
        <x:v>Consumer</x:v>
      </x:c>
      <x:c r="H968" t="str">
        <x:v>Canada</x:v>
      </x:c>
      <x:c r="I968" s="34" t="n">
        <x:v>100</x:v>
      </x:c>
      <x:c r="J968" s="38" t="n">
        <x:v>2.54794</x:v>
      </x:c>
      <x:c r="K968" s="38" t="n">
        <x:v>0.8104497399999998</x:v>
      </x:c>
      <x:c r="L968" s="28" t="n">
        <x:v>0.31808038650831644</x:v>
      </x:c>
    </x:row>
    <x:row r="969">
      <x:c r="A969" s="32" t="n">
        <x:v>46023</x:v>
      </x:c>
      <x:c r="B969" t="str">
        <x:v>Jan 2026</x:v>
      </x:c>
      <x:c r="C969" t="str">
        <x:v>Forecast</x:v>
      </x:c>
      <x:c r="D969" t="str">
        <x:v>DB-101</x:v>
      </x:c>
      <x:c r="E969" t="str">
        <x:v>AeroSip Bottle</x:v>
      </x:c>
      <x:c r="F969" t="str">
        <x:v>Amazon Marketplace</x:v>
      </x:c>
      <x:c r="G969" t="str">
        <x:v>Marketplace Consumer</x:v>
      </x:c>
      <x:c r="H969" t="str">
        <x:v>US West</x:v>
      </x:c>
      <x:c r="I969" s="34" t="n">
        <x:v>199.92000000000002</x:v>
      </x:c>
      <x:c r="J969" s="38" t="n">
        <x:v>5.259945180000001</x:v>
      </x:c>
      <x:c r="K969" s="38" t="n">
        <x:v>0.8352082830000004</x:v>
      </x:c>
      <x:c r="L969" s="28" t="n">
        <x:v>0.15878649955815705</x:v>
      </x:c>
    </x:row>
    <x:row r="970">
      <x:c r="A970" s="32" t="n">
        <x:v>46023</x:v>
      </x:c>
      <x:c r="B970" t="str">
        <x:v>Jan 2026</x:v>
      </x:c>
      <x:c r="C970" t="str">
        <x:v>Forecast</x:v>
      </x:c>
      <x:c r="D970" t="str">
        <x:v>DB-101</x:v>
      </x:c>
      <x:c r="E970" t="str">
        <x:v>AeroSip Bottle</x:v>
      </x:c>
      <x:c r="F970" t="str">
        <x:v>Amazon Marketplace</x:v>
      </x:c>
      <x:c r="G970" t="str">
        <x:v>Marketplace Consumer</x:v>
      </x:c>
      <x:c r="H970" t="str">
        <x:v>US Central</x:v>
      </x:c>
      <x:c r="I970" s="34" t="n">
        <x:v>141.12</x:v>
      </x:c>
      <x:c r="J970" s="38" t="n">
        <x:v>3.71290248</x:v>
      </x:c>
      <x:c r="K970" s="38" t="n">
        <x:v>0.5895587880000003</x:v>
      </x:c>
      <x:c r="L970" s="28" t="n">
        <x:v>0.15878649955815707</x:v>
      </x:c>
    </x:row>
    <x:row r="971">
      <x:c r="A971" s="32" t="n">
        <x:v>46023</x:v>
      </x:c>
      <x:c r="B971" t="str">
        <x:v>Jan 2026</x:v>
      </x:c>
      <x:c r="C971" t="str">
        <x:v>Forecast</x:v>
      </x:c>
      <x:c r="D971" t="str">
        <x:v>DB-101</x:v>
      </x:c>
      <x:c r="E971" t="str">
        <x:v>AeroSip Bottle</x:v>
      </x:c>
      <x:c r="F971" t="str">
        <x:v>Amazon Marketplace</x:v>
      </x:c>
      <x:c r="G971" t="str">
        <x:v>Marketplace Consumer</x:v>
      </x:c>
      <x:c r="H971" t="str">
        <x:v>US East</x:v>
      </x:c>
      <x:c r="I971" s="34" t="n">
        <x:v>188.16</x:v>
      </x:c>
      <x:c r="J971" s="38" t="n">
        <x:v>4.95053664</x:v>
      </x:c>
      <x:c r="K971" s="38" t="n">
        <x:v>0.7860783840000004</x:v>
      </x:c>
      <x:c r="L971" s="28" t="n">
        <x:v>0.15878649955815707</x:v>
      </x:c>
    </x:row>
    <x:row r="972">
      <x:c r="A972" s="32" t="n">
        <x:v>46023</x:v>
      </x:c>
      <x:c r="B972" t="str">
        <x:v>Jan 2026</x:v>
      </x:c>
      <x:c r="C972" t="str">
        <x:v>Forecast</x:v>
      </x:c>
      <x:c r="D972" t="str">
        <x:v>DB-101</x:v>
      </x:c>
      <x:c r="E972" t="str">
        <x:v>AeroSip Bottle</x:v>
      </x:c>
      <x:c r="F972" t="str">
        <x:v>Amazon Marketplace</x:v>
      </x:c>
      <x:c r="G972" t="str">
        <x:v>Marketplace Consumer</x:v>
      </x:c>
      <x:c r="H972" t="str">
        <x:v>Canada</x:v>
      </x:c>
      <x:c r="I972" s="34" t="n">
        <x:v>58.800000000000004</x:v>
      </x:c>
      <x:c r="J972" s="38" t="n">
        <x:v>1.5470427000000002</x:v>
      </x:c>
      <x:c r="K972" s="38" t="n">
        <x:v>0.2456494950000001</x:v>
      </x:c>
      <x:c r="L972" s="28" t="n">
        <x:v>0.15878649955815705</x:v>
      </x:c>
    </x:row>
    <x:row r="973">
      <x:c r="A973" s="32" t="n">
        <x:v>46023</x:v>
      </x:c>
      <x:c r="B973" t="str">
        <x:v>Jan 2026</x:v>
      </x:c>
      <x:c r="C973" t="str">
        <x:v>Forecast</x:v>
      </x:c>
      <x:c r="D973" t="str">
        <x:v>DB-101</x:v>
      </x:c>
      <x:c r="E973" t="str">
        <x:v>AeroSip Bottle</x:v>
      </x:c>
      <x:c r="F973" t="str">
        <x:v>Wholesale</x:v>
      </x:c>
      <x:c r="G973" t="str">
        <x:v>Retailer</x:v>
      </x:c>
      <x:c r="H973" t="str">
        <x:v>US West</x:v>
      </x:c>
      <x:c r="I973" s="34" t="n">
        <x:v>55.760000000000005</x:v>
      </x:c>
      <x:c r="J973" s="38" t="n">
        <x:v>1.0037775800000002</x:v>
      </x:c>
      <x:c r="K973" s="38" t="n">
        <x:v>0.22391822000000003</x:v>
      </x:c>
      <x:c r="L973" s="28" t="n">
        <x:v>0.2230755343230519</x:v>
      </x:c>
    </x:row>
    <x:row r="974">
      <x:c r="A974" s="32" t="n">
        <x:v>46023</x:v>
      </x:c>
      <x:c r="B974" t="str">
        <x:v>Jan 2026</x:v>
      </x:c>
      <x:c r="C974" t="str">
        <x:v>Forecast</x:v>
      </x:c>
      <x:c r="D974" t="str">
        <x:v>DB-101</x:v>
      </x:c>
      <x:c r="E974" t="str">
        <x:v>AeroSip Bottle</x:v>
      </x:c>
      <x:c r="F974" t="str">
        <x:v>Wholesale</x:v>
      </x:c>
      <x:c r="G974" t="str">
        <x:v>Retailer</x:v>
      </x:c>
      <x:c r="H974" t="str">
        <x:v>US Central</x:v>
      </x:c>
      <x:c r="I974" s="34" t="n">
        <x:v>39.36</x:v>
      </x:c>
      <x:c r="J974" s="38" t="n">
        <x:v>0.70854888</x:v>
      </x:c>
      <x:c r="K974" s="38" t="n">
        <x:v>0.15805992</x:v>
      </x:c>
      <x:c r="L974" s="28" t="n">
        <x:v>0.2230755343230519</x:v>
      </x:c>
    </x:row>
    <x:row r="975">
      <x:c r="A975" s="32" t="n">
        <x:v>46023</x:v>
      </x:c>
      <x:c r="B975" t="str">
        <x:v>Jan 2026</x:v>
      </x:c>
      <x:c r="C975" t="str">
        <x:v>Forecast</x:v>
      </x:c>
      <x:c r="D975" t="str">
        <x:v>DB-101</x:v>
      </x:c>
      <x:c r="E975" t="str">
        <x:v>AeroSip Bottle</x:v>
      </x:c>
      <x:c r="F975" t="str">
        <x:v>Wholesale</x:v>
      </x:c>
      <x:c r="G975" t="str">
        <x:v>Retailer</x:v>
      </x:c>
      <x:c r="H975" t="str">
        <x:v>US East</x:v>
      </x:c>
      <x:c r="I975" s="34" t="n">
        <x:v>52.480000000000004</x:v>
      </x:c>
      <x:c r="J975" s="38" t="n">
        <x:v>0.9447318400000001</x:v>
      </x:c>
      <x:c r="K975" s="38" t="n">
        <x:v>0.21074656000000003</x:v>
      </x:c>
      <x:c r="L975" s="28" t="n">
        <x:v>0.22307553432305194</x:v>
      </x:c>
    </x:row>
    <x:row r="976">
      <x:c r="A976" s="32" t="n">
        <x:v>46023</x:v>
      </x:c>
      <x:c r="B976" t="str">
        <x:v>Jan 2026</x:v>
      </x:c>
      <x:c r="C976" t="str">
        <x:v>Forecast</x:v>
      </x:c>
      <x:c r="D976" t="str">
        <x:v>DB-101</x:v>
      </x:c>
      <x:c r="E976" t="str">
        <x:v>AeroSip Bottle</x:v>
      </x:c>
      <x:c r="F976" t="str">
        <x:v>Wholesale</x:v>
      </x:c>
      <x:c r="G976" t="str">
        <x:v>Retailer</x:v>
      </x:c>
      <x:c r="H976" t="str">
        <x:v>Canada</x:v>
      </x:c>
      <x:c r="I976" s="34" t="n">
        <x:v>16.400000000000002</x:v>
      </x:c>
      <x:c r="J976" s="38" t="n">
        <x:v>0.2952287</x:v>
      </x:c>
      <x:c r="K976" s="38" t="n">
        <x:v>0.06585830000000001</x:v>
      </x:c>
      <x:c r="L976" s="28" t="n">
        <x:v>0.22307553432305194</x:v>
      </x:c>
    </x:row>
    <x:row r="977">
      <x:c r="A977" s="32" t="n">
        <x:v>46023</x:v>
      </x:c>
      <x:c r="B977" t="str">
        <x:v>Jan 2026</x:v>
      </x:c>
      <x:c r="C977" t="str">
        <x:v>Forecast</x:v>
      </x:c>
      <x:c r="D977" t="str">
        <x:v>DB-101</x:v>
      </x:c>
      <x:c r="E977" t="str">
        <x:v>AeroSip Bottle</x:v>
      </x:c>
      <x:c r="F977" t="str">
        <x:v>TikTok Shop</x:v>
      </x:c>
      <x:c r="G977" t="str">
        <x:v>Social Commerce</x:v>
      </x:c>
      <x:c r="H977" t="str">
        <x:v>US West</x:v>
      </x:c>
      <x:c r="I977" s="34" t="n">
        <x:v>85.68</x:v>
      </x:c>
      <x:c r="J977" s="38" t="n">
        <x:v>2.088158688</x:v>
      </x:c>
      <x:c r="K977" s="38" t="n">
        <x:v>0.3869760847679999</x:v>
      </x:c>
      <x:c r="L977" s="28" t="n">
        <x:v>0.18531928966501987</x:v>
      </x:c>
    </x:row>
    <x:row r="978">
      <x:c r="A978" s="32" t="n">
        <x:v>46023</x:v>
      </x:c>
      <x:c r="B978" t="str">
        <x:v>Jan 2026</x:v>
      </x:c>
      <x:c r="C978" t="str">
        <x:v>Forecast</x:v>
      </x:c>
      <x:c r="D978" t="str">
        <x:v>DB-101</x:v>
      </x:c>
      <x:c r="E978" t="str">
        <x:v>AeroSip Bottle</x:v>
      </x:c>
      <x:c r="F978" t="str">
        <x:v>TikTok Shop</x:v>
      </x:c>
      <x:c r="G978" t="str">
        <x:v>Social Commerce</x:v>
      </x:c>
      <x:c r="H978" t="str">
        <x:v>US Central</x:v>
      </x:c>
      <x:c r="I978" s="34" t="n">
        <x:v>60.48</x:v>
      </x:c>
      <x:c r="J978" s="38" t="n">
        <x:v>1.4739943679999998</x:v>
      </x:c>
      <x:c r="K978" s="38" t="n">
        <x:v>0.2731595892479999</x:v>
      </x:c>
      <x:c r="L978" s="28" t="n">
        <x:v>0.18531928966501987</x:v>
      </x:c>
    </x:row>
    <x:row r="979">
      <x:c r="A979" s="32" t="n">
        <x:v>46023</x:v>
      </x:c>
      <x:c r="B979" t="str">
        <x:v>Jan 2026</x:v>
      </x:c>
      <x:c r="C979" t="str">
        <x:v>Forecast</x:v>
      </x:c>
      <x:c r="D979" t="str">
        <x:v>DB-101</x:v>
      </x:c>
      <x:c r="E979" t="str">
        <x:v>AeroSip Bottle</x:v>
      </x:c>
      <x:c r="F979" t="str">
        <x:v>TikTok Shop</x:v>
      </x:c>
      <x:c r="G979" t="str">
        <x:v>Social Commerce</x:v>
      </x:c>
      <x:c r="H979" t="str">
        <x:v>US East</x:v>
      </x:c>
      <x:c r="I979" s="34" t="n">
        <x:v>80.64</x:v>
      </x:c>
      <x:c r="J979" s="38" t="n">
        <x:v>1.965325824</x:v>
      </x:c>
      <x:c r="K979" s="38" t="n">
        <x:v>0.36421278566399984</x:v>
      </x:c>
      <x:c r="L979" s="28" t="n">
        <x:v>0.18531928966501987</x:v>
      </x:c>
    </x:row>
    <x:row r="980">
      <x:c r="A980" s="32" t="n">
        <x:v>46023</x:v>
      </x:c>
      <x:c r="B980" t="str">
        <x:v>Jan 2026</x:v>
      </x:c>
      <x:c r="C980" t="str">
        <x:v>Forecast</x:v>
      </x:c>
      <x:c r="D980" t="str">
        <x:v>DB-101</x:v>
      </x:c>
      <x:c r="E980" t="str">
        <x:v>AeroSip Bottle</x:v>
      </x:c>
      <x:c r="F980" t="str">
        <x:v>TikTok Shop</x:v>
      </x:c>
      <x:c r="G980" t="str">
        <x:v>Social Commerce</x:v>
      </x:c>
      <x:c r="H980" t="str">
        <x:v>Canada</x:v>
      </x:c>
      <x:c r="I980" s="34" t="n">
        <x:v>25.200000000000003</x:v>
      </x:c>
      <x:c r="J980" s="38" t="n">
        <x:v>0.61416432</x:v>
      </x:c>
      <x:c r="K980" s="38" t="n">
        <x:v>0.11381649551999995</x:v>
      </x:c>
      <x:c r="L980" s="28" t="n">
        <x:v>0.18531928966501987</x:v>
      </x:c>
    </x:row>
    <x:row r="981">
      <x:c r="A981" s="32" t="n">
        <x:v>46023</x:v>
      </x:c>
      <x:c r="B981" t="str">
        <x:v>Jan 2026</x:v>
      </x:c>
      <x:c r="C981" t="str">
        <x:v>Forecast</x:v>
      </x:c>
      <x:c r="D981" t="str">
        <x:v>DB-102</x:v>
      </x:c>
      <x:c r="E981" t="str">
        <x:v>GlowPatch Balm</x:v>
      </x:c>
      <x:c r="F981" t="str">
        <x:v>Shopify DTC</x:v>
      </x:c>
      <x:c r="G981" t="str">
        <x:v>Consumer</x:v>
      </x:c>
      <x:c r="H981" t="str">
        <x:v>US West</x:v>
      </x:c>
      <x:c r="I981" s="34" t="n">
        <x:v>340</x:v>
      </x:c>
      <x:c r="J981" s="38" t="n">
        <x:v>5.48964</x:v>
      </x:c>
      <x:c r="K981" s="38" t="n">
        <x:v>1.5170004399999986</x:v>
      </x:c>
      <x:c r="L981" s="28" t="n">
        <x:v>0.2763387835996529</x:v>
      </x:c>
    </x:row>
    <x:row r="982">
      <x:c r="A982" s="32" t="n">
        <x:v>46023</x:v>
      </x:c>
      <x:c r="B982" t="str">
        <x:v>Jan 2026</x:v>
      </x:c>
      <x:c r="C982" t="str">
        <x:v>Forecast</x:v>
      </x:c>
      <x:c r="D982" t="str">
        <x:v>DB-102</x:v>
      </x:c>
      <x:c r="E982" t="str">
        <x:v>GlowPatch Balm</x:v>
      </x:c>
      <x:c r="F982" t="str">
        <x:v>Shopify DTC</x:v>
      </x:c>
      <x:c r="G982" t="str">
        <x:v>Consumer</x:v>
      </x:c>
      <x:c r="H982" t="str">
        <x:v>US Central</x:v>
      </x:c>
      <x:c r="I982" s="34" t="n">
        <x:v>240</x:v>
      </x:c>
      <x:c r="J982" s="38" t="n">
        <x:v>3.8750399999999994</x:v>
      </x:c>
      <x:c r="K982" s="38" t="n">
        <x:v>1.070823839999999</x:v>
      </x:c>
      <x:c r="L982" s="28" t="n">
        <x:v>0.27633878359965297</x:v>
      </x:c>
    </x:row>
    <x:row r="983">
      <x:c r="A983" s="32" t="n">
        <x:v>46023</x:v>
      </x:c>
      <x:c r="B983" t="str">
        <x:v>Jan 2026</x:v>
      </x:c>
      <x:c r="C983" t="str">
        <x:v>Forecast</x:v>
      </x:c>
      <x:c r="D983" t="str">
        <x:v>DB-102</x:v>
      </x:c>
      <x:c r="E983" t="str">
        <x:v>GlowPatch Balm</x:v>
      </x:c>
      <x:c r="F983" t="str">
        <x:v>Shopify DTC</x:v>
      </x:c>
      <x:c r="G983" t="str">
        <x:v>Consumer</x:v>
      </x:c>
      <x:c r="H983" t="str">
        <x:v>US East</x:v>
      </x:c>
      <x:c r="I983" s="34" t="n">
        <x:v>320</x:v>
      </x:c>
      <x:c r="J983" s="38" t="n">
        <x:v>5.166719999999999</x:v>
      </x:c>
      <x:c r="K983" s="38" t="n">
        <x:v>1.4277651199999986</x:v>
      </x:c>
      <x:c r="L983" s="28" t="n">
        <x:v>0.27633878359965297</x:v>
      </x:c>
    </x:row>
    <x:row r="984">
      <x:c r="A984" s="32" t="n">
        <x:v>46023</x:v>
      </x:c>
      <x:c r="B984" t="str">
        <x:v>Jan 2026</x:v>
      </x:c>
      <x:c r="C984" t="str">
        <x:v>Forecast</x:v>
      </x:c>
      <x:c r="D984" t="str">
        <x:v>DB-102</x:v>
      </x:c>
      <x:c r="E984" t="str">
        <x:v>GlowPatch Balm</x:v>
      </x:c>
      <x:c r="F984" t="str">
        <x:v>Shopify DTC</x:v>
      </x:c>
      <x:c r="G984" t="str">
        <x:v>Consumer</x:v>
      </x:c>
      <x:c r="H984" t="str">
        <x:v>Canada</x:v>
      </x:c>
      <x:c r="I984" s="34" t="n">
        <x:v>100</x:v>
      </x:c>
      <x:c r="J984" s="38" t="n">
        <x:v>1.6145999999999998</x:v>
      </x:c>
      <x:c r="K984" s="38" t="n">
        <x:v>0.4461765999999996</x:v>
      </x:c>
      <x:c r="L984" s="28" t="n">
        <x:v>0.27633878359965297</x:v>
      </x:c>
    </x:row>
    <x:row r="985">
      <x:c r="A985" s="32" t="n">
        <x:v>46023</x:v>
      </x:c>
      <x:c r="B985" t="str">
        <x:v>Jan 2026</x:v>
      </x:c>
      <x:c r="C985" t="str">
        <x:v>Forecast</x:v>
      </x:c>
      <x:c r="D985" t="str">
        <x:v>DB-102</x:v>
      </x:c>
      <x:c r="E985" t="str">
        <x:v>GlowPatch Balm</x:v>
      </x:c>
      <x:c r="F985" t="str">
        <x:v>Amazon Marketplace</x:v>
      </x:c>
      <x:c r="G985" t="str">
        <x:v>Marketplace Consumer</x:v>
      </x:c>
      <x:c r="H985" t="str">
        <x:v>US West</x:v>
      </x:c>
      <x:c r="I985" s="34" t="n">
        <x:v>201.28</x:v>
      </x:c>
      <x:c r="J985" s="38" t="n">
        <x:v>3.3558408</x:v>
      </x:c>
      <x:c r="K985" s="38" t="n">
        <x:v>0.2829241999999999</x:v>
      </x:c>
      <x:c r="L985" s="28" t="n">
        <x:v>0.08430799220272901</x:v>
      </x:c>
    </x:row>
    <x:row r="986">
      <x:c r="A986" s="32" t="n">
        <x:v>46023</x:v>
      </x:c>
      <x:c r="B986" t="str">
        <x:v>Jan 2026</x:v>
      </x:c>
      <x:c r="C986" t="str">
        <x:v>Forecast</x:v>
      </x:c>
      <x:c r="D986" t="str">
        <x:v>DB-102</x:v>
      </x:c>
      <x:c r="E986" t="str">
        <x:v>GlowPatch Balm</x:v>
      </x:c>
      <x:c r="F986" t="str">
        <x:v>Amazon Marketplace</x:v>
      </x:c>
      <x:c r="G986" t="str">
        <x:v>Marketplace Consumer</x:v>
      </x:c>
      <x:c r="H986" t="str">
        <x:v>US Central</x:v>
      </x:c>
      <x:c r="I986" s="34" t="n">
        <x:v>142.07999999999998</x:v>
      </x:c>
      <x:c r="J986" s="38" t="n">
        <x:v>2.3688287999999997</x:v>
      </x:c>
      <x:c r="K986" s="38" t="n">
        <x:v>0.1997111999999999</x:v>
      </x:c>
      <x:c r="L986" s="28" t="n">
        <x:v>0.08430799220272901</x:v>
      </x:c>
    </x:row>
    <x:row r="987">
      <x:c r="A987" s="32" t="n">
        <x:v>46023</x:v>
      </x:c>
      <x:c r="B987" t="str">
        <x:v>Jan 2026</x:v>
      </x:c>
      <x:c r="C987" t="str">
        <x:v>Forecast</x:v>
      </x:c>
      <x:c r="D987" t="str">
        <x:v>DB-102</x:v>
      </x:c>
      <x:c r="E987" t="str">
        <x:v>GlowPatch Balm</x:v>
      </x:c>
      <x:c r="F987" t="str">
        <x:v>Amazon Marketplace</x:v>
      </x:c>
      <x:c r="G987" t="str">
        <x:v>Marketplace Consumer</x:v>
      </x:c>
      <x:c r="H987" t="str">
        <x:v>US East</x:v>
      </x:c>
      <x:c r="I987" s="34" t="n">
        <x:v>189.44</x:v>
      </x:c>
      <x:c r="J987" s="38" t="n">
        <x:v>3.1584384</x:v>
      </x:c>
      <x:c r="K987" s="38" t="n">
        <x:v>0.2662815999999999</x:v>
      </x:c>
      <x:c r="L987" s="28" t="n">
        <x:v>0.08430799220272901</x:v>
      </x:c>
    </x:row>
    <x:row r="988">
      <x:c r="A988" s="32" t="n">
        <x:v>46023</x:v>
      </x:c>
      <x:c r="B988" t="str">
        <x:v>Jan 2026</x:v>
      </x:c>
      <x:c r="C988" t="str">
        <x:v>Forecast</x:v>
      </x:c>
      <x:c r="D988" t="str">
        <x:v>DB-102</x:v>
      </x:c>
      <x:c r="E988" t="str">
        <x:v>GlowPatch Balm</x:v>
      </x:c>
      <x:c r="F988" t="str">
        <x:v>Amazon Marketplace</x:v>
      </x:c>
      <x:c r="G988" t="str">
        <x:v>Marketplace Consumer</x:v>
      </x:c>
      <x:c r="H988" t="str">
        <x:v>Canada</x:v>
      </x:c>
      <x:c r="I988" s="34" t="n">
        <x:v>59.2</x:v>
      </x:c>
      <x:c r="J988" s="38" t="n">
        <x:v>0.987012</x:v>
      </x:c>
      <x:c r="K988" s="38" t="n">
        <x:v>0.08321299999999997</x:v>
      </x:c>
      <x:c r="L988" s="28" t="n">
        <x:v>0.08430799220272901</x:v>
      </x:c>
    </x:row>
    <x:row r="989">
      <x:c r="A989" s="32" t="n">
        <x:v>46023</x:v>
      </x:c>
      <x:c r="B989" t="str">
        <x:v>Jan 2026</x:v>
      </x:c>
      <x:c r="C989" t="str">
        <x:v>Forecast</x:v>
      </x:c>
      <x:c r="D989" t="str">
        <x:v>DB-102</x:v>
      </x:c>
      <x:c r="E989" t="str">
        <x:v>GlowPatch Balm</x:v>
      </x:c>
      <x:c r="F989" t="str">
        <x:v>Wholesale</x:v>
      </x:c>
      <x:c r="G989" t="str">
        <x:v>Retailer</x:v>
      </x:c>
      <x:c r="H989" t="str">
        <x:v>US West</x:v>
      </x:c>
      <x:c r="I989" s="34" t="n">
        <x:v>55.760000000000005</x:v>
      </x:c>
      <x:c r="J989" s="38" t="n">
        <x:v>0.6360822</x:v>
      </x:c>
      <x:c r="K989" s="38" t="n">
        <x:v>0.15844204000000003</x:v>
      </x:c>
      <x:c r="L989" s="28" t="n">
        <x:v>0.2490905106289722</x:v>
      </x:c>
    </x:row>
    <x:row r="990">
      <x:c r="A990" s="32" t="n">
        <x:v>46023</x:v>
      </x:c>
      <x:c r="B990" t="str">
        <x:v>Jan 2026</x:v>
      </x:c>
      <x:c r="C990" t="str">
        <x:v>Forecast</x:v>
      </x:c>
      <x:c r="D990" t="str">
        <x:v>DB-102</x:v>
      </x:c>
      <x:c r="E990" t="str">
        <x:v>GlowPatch Balm</x:v>
      </x:c>
      <x:c r="F990" t="str">
        <x:v>Wholesale</x:v>
      </x:c>
      <x:c r="G990" t="str">
        <x:v>Retailer</x:v>
      </x:c>
      <x:c r="H990" t="str">
        <x:v>US Central</x:v>
      </x:c>
      <x:c r="I990" s="34" t="n">
        <x:v>39.36</x:v>
      </x:c>
      <x:c r="J990" s="38" t="n">
        <x:v>0.4489992</x:v>
      </x:c>
      <x:c r="K990" s="38" t="n">
        <x:v>0.11184144</x:v>
      </x:c>
      <x:c r="L990" s="28" t="n">
        <x:v>0.24909051062897217</x:v>
      </x:c>
    </x:row>
    <x:row r="991">
      <x:c r="A991" s="32" t="n">
        <x:v>46023</x:v>
      </x:c>
      <x:c r="B991" t="str">
        <x:v>Jan 2026</x:v>
      </x:c>
      <x:c r="C991" t="str">
        <x:v>Forecast</x:v>
      </x:c>
      <x:c r="D991" t="str">
        <x:v>DB-102</x:v>
      </x:c>
      <x:c r="E991" t="str">
        <x:v>GlowPatch Balm</x:v>
      </x:c>
      <x:c r="F991" t="str">
        <x:v>Wholesale</x:v>
      </x:c>
      <x:c r="G991" t="str">
        <x:v>Retailer</x:v>
      </x:c>
      <x:c r="H991" t="str">
        <x:v>US East</x:v>
      </x:c>
      <x:c r="I991" s="34" t="n">
        <x:v>52.480000000000004</x:v>
      </x:c>
      <x:c r="J991" s="38" t="n">
        <x:v>0.5986656</x:v>
      </x:c>
      <x:c r="K991" s="38" t="n">
        <x:v>0.14912192000000002</x:v>
      </x:c>
      <x:c r="L991" s="28" t="n">
        <x:v>0.2490905106289722</x:v>
      </x:c>
    </x:row>
    <x:row r="992">
      <x:c r="A992" s="32" t="n">
        <x:v>46023</x:v>
      </x:c>
      <x:c r="B992" t="str">
        <x:v>Jan 2026</x:v>
      </x:c>
      <x:c r="C992" t="str">
        <x:v>Forecast</x:v>
      </x:c>
      <x:c r="D992" t="str">
        <x:v>DB-102</x:v>
      </x:c>
      <x:c r="E992" t="str">
        <x:v>GlowPatch Balm</x:v>
      </x:c>
      <x:c r="F992" t="str">
        <x:v>Wholesale</x:v>
      </x:c>
      <x:c r="G992" t="str">
        <x:v>Retailer</x:v>
      </x:c>
      <x:c r="H992" t="str">
        <x:v>Canada</x:v>
      </x:c>
      <x:c r="I992" s="34" t="n">
        <x:v>16.400000000000002</x:v>
      </x:c>
      <x:c r="J992" s="38" t="n">
        <x:v>0.187083</x:v>
      </x:c>
      <x:c r="K992" s="38" t="n">
        <x:v>0.046600600000000006</x:v>
      </x:c>
      <x:c r="L992" s="28" t="n">
        <x:v>0.2490905106289722</x:v>
      </x:c>
    </x:row>
    <x:row r="993">
      <x:c r="A993" s="32" t="n">
        <x:v>46023</x:v>
      </x:c>
      <x:c r="B993" t="str">
        <x:v>Jan 2026</x:v>
      </x:c>
      <x:c r="C993" t="str">
        <x:v>Forecast</x:v>
      </x:c>
      <x:c r="D993" t="str">
        <x:v>DB-102</x:v>
      </x:c>
      <x:c r="E993" t="str">
        <x:v>GlowPatch Balm</x:v>
      </x:c>
      <x:c r="F993" t="str">
        <x:v>TikTok Shop</x:v>
      </x:c>
      <x:c r="G993" t="str">
        <x:v>Social Commerce</x:v>
      </x:c>
      <x:c r="H993" t="str">
        <x:v>US West</x:v>
      </x:c>
      <x:c r="I993" s="34" t="n">
        <x:v>85.68</x:v>
      </x:c>
      <x:c r="J993" s="38" t="n">
        <x:v>1.32324192</x:v>
      </x:c>
      <x:c r="K993" s="38" t="n">
        <x:v>0.15452250911999998</x:v>
      </x:c>
      <x:c r="L993" s="28" t="n">
        <x:v>0.11677570577570576</x:v>
      </x:c>
    </x:row>
    <x:row r="994">
      <x:c r="A994" s="32" t="n">
        <x:v>46023</x:v>
      </x:c>
      <x:c r="B994" t="str">
        <x:v>Jan 2026</x:v>
      </x:c>
      <x:c r="C994" t="str">
        <x:v>Forecast</x:v>
      </x:c>
      <x:c r="D994" t="str">
        <x:v>DB-102</x:v>
      </x:c>
      <x:c r="E994" t="str">
        <x:v>GlowPatch Balm</x:v>
      </x:c>
      <x:c r="F994" t="str">
        <x:v>TikTok Shop</x:v>
      </x:c>
      <x:c r="G994" t="str">
        <x:v>Social Commerce</x:v>
      </x:c>
      <x:c r="H994" t="str">
        <x:v>US Central</x:v>
      </x:c>
      <x:c r="I994" s="34" t="n">
        <x:v>60.48</x:v>
      </x:c>
      <x:c r="J994" s="38" t="n">
        <x:v>0.93405312</x:v>
      </x:c>
      <x:c r="K994" s="38" t="n">
        <x:v>0.10907471231999999</x:v>
      </x:c>
      <x:c r="L994" s="28" t="n">
        <x:v>0.11677570577570577</x:v>
      </x:c>
    </x:row>
    <x:row r="995">
      <x:c r="A995" s="32" t="n">
        <x:v>46023</x:v>
      </x:c>
      <x:c r="B995" t="str">
        <x:v>Jan 2026</x:v>
      </x:c>
      <x:c r="C995" t="str">
        <x:v>Forecast</x:v>
      </x:c>
      <x:c r="D995" t="str">
        <x:v>DB-102</x:v>
      </x:c>
      <x:c r="E995" t="str">
        <x:v>GlowPatch Balm</x:v>
      </x:c>
      <x:c r="F995" t="str">
        <x:v>TikTok Shop</x:v>
      </x:c>
      <x:c r="G995" t="str">
        <x:v>Social Commerce</x:v>
      </x:c>
      <x:c r="H995" t="str">
        <x:v>US East</x:v>
      </x:c>
      <x:c r="I995" s="34" t="n">
        <x:v>80.64</x:v>
      </x:c>
      <x:c r="J995" s="38" t="n">
        <x:v>1.2454041599999999</x:v>
      </x:c>
      <x:c r="K995" s="38" t="n">
        <x:v>0.14543294975999999</x:v>
      </x:c>
      <x:c r="L995" s="28" t="n">
        <x:v>0.11677570577570577</x:v>
      </x:c>
    </x:row>
    <x:row r="996">
      <x:c r="A996" s="32" t="n">
        <x:v>46023</x:v>
      </x:c>
      <x:c r="B996" t="str">
        <x:v>Jan 2026</x:v>
      </x:c>
      <x:c r="C996" t="str">
        <x:v>Forecast</x:v>
      </x:c>
      <x:c r="D996" t="str">
        <x:v>DB-102</x:v>
      </x:c>
      <x:c r="E996" t="str">
        <x:v>GlowPatch Balm</x:v>
      </x:c>
      <x:c r="F996" t="str">
        <x:v>TikTok Shop</x:v>
      </x:c>
      <x:c r="G996" t="str">
        <x:v>Social Commerce</x:v>
      </x:c>
      <x:c r="H996" t="str">
        <x:v>Canada</x:v>
      </x:c>
      <x:c r="I996" s="34" t="n">
        <x:v>25.200000000000003</x:v>
      </x:c>
      <x:c r="J996" s="38" t="n">
        <x:v>0.3891888</x:v>
      </x:c>
      <x:c r="K996" s="38" t="n">
        <x:v>0.045447796799999995</x:v>
      </x:c>
      <x:c r="L996" s="28" t="n">
        <x:v>0.11677570577570576</x:v>
      </x:c>
    </x:row>
    <x:row r="997">
      <x:c r="A997" s="32" t="n">
        <x:v>46023</x:v>
      </x:c>
      <x:c r="B997" t="str">
        <x:v>Jan 2026</x:v>
      </x:c>
      <x:c r="C997" t="str">
        <x:v>Forecast</x:v>
      </x:c>
      <x:c r="D997" t="str">
        <x:v>DB-103</x:v>
      </x:c>
      <x:c r="E997" t="str">
        <x:v>EmberTrail Camp Mug</x:v>
      </x:c>
      <x:c r="F997" t="str">
        <x:v>Shopify DTC</x:v>
      </x:c>
      <x:c r="G997" t="str">
        <x:v>Consumer</x:v>
      </x:c>
      <x:c r="H997" t="str">
        <x:v>US West</x:v>
      </x:c>
      <x:c r="I997" s="34" t="n">
        <x:v>272</x:v>
      </x:c>
      <x:c r="J997" s="38" t="n">
        <x:v>8.040211200000002</x:v>
      </x:c>
      <x:c r="K997" s="38" t="n">
        <x:v>2.4959730752000002</x:v>
      </x:c>
      <x:c r="L997" s="28" t="n">
        <x:v>0.31043625759482535</x:v>
      </x:c>
    </x:row>
    <x:row r="998">
      <x:c r="A998" s="32" t="n">
        <x:v>46023</x:v>
      </x:c>
      <x:c r="B998" t="str">
        <x:v>Jan 2026</x:v>
      </x:c>
      <x:c r="C998" t="str">
        <x:v>Forecast</x:v>
      </x:c>
      <x:c r="D998" t="str">
        <x:v>DB-103</x:v>
      </x:c>
      <x:c r="E998" t="str">
        <x:v>EmberTrail Camp Mug</x:v>
      </x:c>
      <x:c r="F998" t="str">
        <x:v>Shopify DTC</x:v>
      </x:c>
      <x:c r="G998" t="str">
        <x:v>Consumer</x:v>
      </x:c>
      <x:c r="H998" t="str">
        <x:v>US Central</x:v>
      </x:c>
      <x:c r="I998" s="34" t="n">
        <x:v>192</x:v>
      </x:c>
      <x:c r="J998" s="38" t="n">
        <x:v>5.6754432</x:v>
      </x:c>
      <x:c r="K998" s="38" t="n">
        <x:v>1.7618633471999998</x:v>
      </x:c>
      <x:c r="L998" s="28" t="n">
        <x:v>0.31043625759482535</x:v>
      </x:c>
    </x:row>
    <x:row r="999">
      <x:c r="A999" s="32" t="n">
        <x:v>46023</x:v>
      </x:c>
      <x:c r="B999" t="str">
        <x:v>Jan 2026</x:v>
      </x:c>
      <x:c r="C999" t="str">
        <x:v>Forecast</x:v>
      </x:c>
      <x:c r="D999" t="str">
        <x:v>DB-103</x:v>
      </x:c>
      <x:c r="E999" t="str">
        <x:v>EmberTrail Camp Mug</x:v>
      </x:c>
      <x:c r="F999" t="str">
        <x:v>Shopify DTC</x:v>
      </x:c>
      <x:c r="G999" t="str">
        <x:v>Consumer</x:v>
      </x:c>
      <x:c r="H999" t="str">
        <x:v>US East</x:v>
      </x:c>
      <x:c r="I999" s="34" t="n">
        <x:v>256</x:v>
      </x:c>
      <x:c r="J999" s="38" t="n">
        <x:v>7.5672576000000005</x:v>
      </x:c>
      <x:c r="K999" s="38" t="n">
        <x:v>2.3491511296</x:v>
      </x:c>
      <x:c r="L999" s="28" t="n">
        <x:v>0.31043625759482535</x:v>
      </x:c>
    </x:row>
    <x:row r="1000">
      <x:c r="A1000" s="32" t="n">
        <x:v>46023</x:v>
      </x:c>
      <x:c r="B1000" t="str">
        <x:v>Jan 2026</x:v>
      </x:c>
      <x:c r="C1000" t="str">
        <x:v>Forecast</x:v>
      </x:c>
      <x:c r="D1000" t="str">
        <x:v>DB-103</x:v>
      </x:c>
      <x:c r="E1000" t="str">
        <x:v>EmberTrail Camp Mug</x:v>
      </x:c>
      <x:c r="F1000" t="str">
        <x:v>Shopify DTC</x:v>
      </x:c>
      <x:c r="G1000" t="str">
        <x:v>Consumer</x:v>
      </x:c>
      <x:c r="H1000" t="str">
        <x:v>Canada</x:v>
      </x:c>
      <x:c r="I1000" s="34" t="n">
        <x:v>80</x:v>
      </x:c>
      <x:c r="J1000" s="38" t="n">
        <x:v>2.364768</x:v>
      </x:c>
      <x:c r="K1000" s="38" t="n">
        <x:v>0.734109728</x:v>
      </x:c>
      <x:c r="L1000" s="28" t="n">
        <x:v>0.31043625759482535</x:v>
      </x:c>
    </x:row>
    <x:row r="1001">
      <x:c r="A1001" s="32" t="n">
        <x:v>46023</x:v>
      </x:c>
      <x:c r="B1001" t="str">
        <x:v>Jan 2026</x:v>
      </x:c>
      <x:c r="C1001" t="str">
        <x:v>Forecast</x:v>
      </x:c>
      <x:c r="D1001" t="str">
        <x:v>DB-103</x:v>
      </x:c>
      <x:c r="E1001" t="str">
        <x:v>EmberTrail Camp Mug</x:v>
      </x:c>
      <x:c r="F1001" t="str">
        <x:v>Amazon Marketplace</x:v>
      </x:c>
      <x:c r="G1001" t="str">
        <x:v>Marketplace Consumer</x:v>
      </x:c>
      <x:c r="H1001" t="str">
        <x:v>US West</x:v>
      </x:c>
      <x:c r="I1001" s="34" t="n">
        <x:v>160.48000000000002</x:v>
      </x:c>
      <x:c r="J1001" s="38" t="n">
        <x:v>4.8984112799999995</x:v>
      </x:c>
      <x:c r="K1001" s="38" t="n">
        <x:v>0.7813731080000001</x:v>
      </x:c>
      <x:c r="L1001" s="28" t="n">
        <x:v>0.15951561911314238</x:v>
      </x:c>
    </x:row>
    <x:row r="1002">
      <x:c r="A1002" s="32" t="n">
        <x:v>46023</x:v>
      </x:c>
      <x:c r="B1002" t="str">
        <x:v>Jan 2026</x:v>
      </x:c>
      <x:c r="C1002" t="str">
        <x:v>Forecast</x:v>
      </x:c>
      <x:c r="D1002" t="str">
        <x:v>DB-103</x:v>
      </x:c>
      <x:c r="E1002" t="str">
        <x:v>EmberTrail Camp Mug</x:v>
      </x:c>
      <x:c r="F1002" t="str">
        <x:v>Amazon Marketplace</x:v>
      </x:c>
      <x:c r="G1002" t="str">
        <x:v>Marketplace Consumer</x:v>
      </x:c>
      <x:c r="H1002" t="str">
        <x:v>US Central</x:v>
      </x:c>
      <x:c r="I1002" s="34" t="n">
        <x:v>113.28</x:v>
      </x:c>
      <x:c r="J1002" s="38" t="n">
        <x:v>3.4577020799999993</x:v>
      </x:c>
      <x:c r="K1002" s="38" t="n">
        <x:v>0.551557488</x:v>
      </x:c>
      <x:c r="L1002" s="28" t="n">
        <x:v>0.15951561911314238</x:v>
      </x:c>
    </x:row>
    <x:row r="1003">
      <x:c r="A1003" s="32" t="n">
        <x:v>46023</x:v>
      </x:c>
      <x:c r="B1003" t="str">
        <x:v>Jan 2026</x:v>
      </x:c>
      <x:c r="C1003" t="str">
        <x:v>Forecast</x:v>
      </x:c>
      <x:c r="D1003" t="str">
        <x:v>DB-103</x:v>
      </x:c>
      <x:c r="E1003" t="str">
        <x:v>EmberTrail Camp Mug</x:v>
      </x:c>
      <x:c r="F1003" t="str">
        <x:v>Amazon Marketplace</x:v>
      </x:c>
      <x:c r="G1003" t="str">
        <x:v>Marketplace Consumer</x:v>
      </x:c>
      <x:c r="H1003" t="str">
        <x:v>US East</x:v>
      </x:c>
      <x:c r="I1003" s="34" t="n">
        <x:v>151.04</x:v>
      </x:c>
      <x:c r="J1003" s="38" t="n">
        <x:v>4.61026944</x:v>
      </x:c>
      <x:c r="K1003" s="38" t="n">
        <x:v>0.7354099840000001</x:v>
      </x:c>
      <x:c r="L1003" s="28" t="n">
        <x:v>0.15951561911314238</x:v>
      </x:c>
    </x:row>
    <x:row r="1004">
      <x:c r="A1004" s="32" t="n">
        <x:v>46023</x:v>
      </x:c>
      <x:c r="B1004" t="str">
        <x:v>Jan 2026</x:v>
      </x:c>
      <x:c r="C1004" t="str">
        <x:v>Forecast</x:v>
      </x:c>
      <x:c r="D1004" t="str">
        <x:v>DB-103</x:v>
      </x:c>
      <x:c r="E1004" t="str">
        <x:v>EmberTrail Camp Mug</x:v>
      </x:c>
      <x:c r="F1004" t="str">
        <x:v>Amazon Marketplace</x:v>
      </x:c>
      <x:c r="G1004" t="str">
        <x:v>Marketplace Consumer</x:v>
      </x:c>
      <x:c r="H1004" t="str">
        <x:v>Canada</x:v>
      </x:c>
      <x:c r="I1004" s="34" t="n">
        <x:v>47.2</x:v>
      </x:c>
      <x:c r="J1004" s="38" t="n">
        <x:v>1.4407092</x:v>
      </x:c>
      <x:c r="K1004" s="38" t="n">
        <x:v>0.22981562000000003</x:v>
      </x:c>
      <x:c r="L1004" s="28" t="n">
        <x:v>0.15951561911314235</x:v>
      </x:c>
    </x:row>
    <x:row r="1005">
      <x:c r="A1005" s="32" t="n">
        <x:v>46023</x:v>
      </x:c>
      <x:c r="B1005" t="str">
        <x:v>Jan 2026</x:v>
      </x:c>
      <x:c r="C1005" t="str">
        <x:v>Forecast</x:v>
      </x:c>
      <x:c r="D1005" t="str">
        <x:v>DB-103</x:v>
      </x:c>
      <x:c r="E1005" t="str">
        <x:v>EmberTrail Camp Mug</x:v>
      </x:c>
      <x:c r="F1005" t="str">
        <x:v>Wholesale</x:v>
      </x:c>
      <x:c r="G1005" t="str">
        <x:v>Retailer</x:v>
      </x:c>
      <x:c r="H1005" t="str">
        <x:v>US West</x:v>
      </x:c>
      <x:c r="I1005" s="34" t="n">
        <x:v>44.88</x:v>
      </x:c>
      <x:c r="J1005" s="38" t="n">
        <x:v>0.9372963600000002</x:v>
      </x:c>
      <x:c r="K1005" s="38" t="n">
        <x:v>0.17990148000000017</x:v>
      </x:c>
      <x:c r="L1005" s="28" t="n">
        <x:v>0.19193660370130974</x:v>
      </x:c>
    </x:row>
    <x:row r="1006">
      <x:c r="A1006" s="32" t="n">
        <x:v>46023</x:v>
      </x:c>
      <x:c r="B1006" t="str">
        <x:v>Jan 2026</x:v>
      </x:c>
      <x:c r="C1006" t="str">
        <x:v>Forecast</x:v>
      </x:c>
      <x:c r="D1006" t="str">
        <x:v>DB-103</x:v>
      </x:c>
      <x:c r="E1006" t="str">
        <x:v>EmberTrail Camp Mug</x:v>
      </x:c>
      <x:c r="F1006" t="str">
        <x:v>Wholesale</x:v>
      </x:c>
      <x:c r="G1006" t="str">
        <x:v>Retailer</x:v>
      </x:c>
      <x:c r="H1006" t="str">
        <x:v>US Central</x:v>
      </x:c>
      <x:c r="I1006" s="34" t="n">
        <x:v>31.68</x:v>
      </x:c>
      <x:c r="J1006" s="38" t="n">
        <x:v>0.66162096</x:v>
      </x:c>
      <x:c r="K1006" s="38" t="n">
        <x:v>0.1269892800000001</x:v>
      </x:c>
      <x:c r="L1006" s="28" t="n">
        <x:v>0.19193660370130972</x:v>
      </x:c>
    </x:row>
    <x:row r="1007">
      <x:c r="A1007" s="32" t="n">
        <x:v>46023</x:v>
      </x:c>
      <x:c r="B1007" t="str">
        <x:v>Jan 2026</x:v>
      </x:c>
      <x:c r="C1007" t="str">
        <x:v>Forecast</x:v>
      </x:c>
      <x:c r="D1007" t="str">
        <x:v>DB-103</x:v>
      </x:c>
      <x:c r="E1007" t="str">
        <x:v>EmberTrail Camp Mug</x:v>
      </x:c>
      <x:c r="F1007" t="str">
        <x:v>Wholesale</x:v>
      </x:c>
      <x:c r="G1007" t="str">
        <x:v>Retailer</x:v>
      </x:c>
      <x:c r="H1007" t="str">
        <x:v>US East</x:v>
      </x:c>
      <x:c r="I1007" s="34" t="n">
        <x:v>42.24</x:v>
      </x:c>
      <x:c r="J1007" s="38" t="n">
        <x:v>0.8821612800000002</x:v>
      </x:c>
      <x:c r="K1007" s="38" t="n">
        <x:v>0.16931904000000014</x:v>
      </x:c>
      <x:c r="L1007" s="28" t="n">
        <x:v>0.19193660370130972</x:v>
      </x:c>
    </x:row>
    <x:row r="1008">
      <x:c r="A1008" s="32" t="n">
        <x:v>46023</x:v>
      </x:c>
      <x:c r="B1008" t="str">
        <x:v>Jan 2026</x:v>
      </x:c>
      <x:c r="C1008" t="str">
        <x:v>Forecast</x:v>
      </x:c>
      <x:c r="D1008" t="str">
        <x:v>DB-103</x:v>
      </x:c>
      <x:c r="E1008" t="str">
        <x:v>EmberTrail Camp Mug</x:v>
      </x:c>
      <x:c r="F1008" t="str">
        <x:v>Wholesale</x:v>
      </x:c>
      <x:c r="G1008" t="str">
        <x:v>Retailer</x:v>
      </x:c>
      <x:c r="H1008" t="str">
        <x:v>Canada</x:v>
      </x:c>
      <x:c r="I1008" s="34" t="n">
        <x:v>13.200000000000001</x:v>
      </x:c>
      <x:c r="J1008" s="38" t="n">
        <x:v>0.27567540000000007</x:v>
      </x:c>
      <x:c r="K1008" s="38" t="n">
        <x:v>0.05291220000000005</x:v>
      </x:c>
      <x:c r="L1008" s="28" t="n">
        <x:v>0.19193660370130972</x:v>
      </x:c>
    </x:row>
    <x:row r="1009">
      <x:c r="A1009" s="32" t="n">
        <x:v>46023</x:v>
      </x:c>
      <x:c r="B1009" t="str">
        <x:v>Jan 2026</x:v>
      </x:c>
      <x:c r="C1009" t="str">
        <x:v>Forecast</x:v>
      </x:c>
      <x:c r="D1009" t="str">
        <x:v>DB-103</x:v>
      </x:c>
      <x:c r="E1009" t="str">
        <x:v>EmberTrail Camp Mug</x:v>
      </x:c>
      <x:c r="F1009" t="str">
        <x:v>TikTok Shop</x:v>
      </x:c>
      <x:c r="G1009" t="str">
        <x:v>Social Commerce</x:v>
      </x:c>
      <x:c r="H1009" t="str">
        <x:v>US West</x:v>
      </x:c>
      <x:c r="I1009" s="34" t="n">
        <x:v>68</x:v>
      </x:c>
      <x:c r="J1009" s="38" t="n">
        <x:v>1.9226592000000002</x:v>
      </x:c>
      <x:c r="K1009" s="38" t="n">
        <x:v>0.3523745312000002</x:v>
      </x:c>
      <x:c r="L1009" s="28" t="n">
        <x:v>0.1832745663922135</x:v>
      </x:c>
    </x:row>
    <x:row r="1010">
      <x:c r="A1010" s="32" t="n">
        <x:v>46023</x:v>
      </x:c>
      <x:c r="B1010" t="str">
        <x:v>Jan 2026</x:v>
      </x:c>
      <x:c r="C1010" t="str">
        <x:v>Forecast</x:v>
      </x:c>
      <x:c r="D1010" t="str">
        <x:v>DB-103</x:v>
      </x:c>
      <x:c r="E1010" t="str">
        <x:v>EmberTrail Camp Mug</x:v>
      </x:c>
      <x:c r="F1010" t="str">
        <x:v>TikTok Shop</x:v>
      </x:c>
      <x:c r="G1010" t="str">
        <x:v>Social Commerce</x:v>
      </x:c>
      <x:c r="H1010" t="str">
        <x:v>US Central</x:v>
      </x:c>
      <x:c r="I1010" s="34" t="n">
        <x:v>48</x:v>
      </x:c>
      <x:c r="J1010" s="38" t="n">
        <x:v>1.3571712</x:v>
      </x:c>
      <x:c r="K1010" s="38" t="n">
        <x:v>0.2487349632000001</x:v>
      </x:c>
      <x:c r="L1010" s="28" t="n">
        <x:v>0.1832745663922135</x:v>
      </x:c>
    </x:row>
    <x:row r="1011">
      <x:c r="A1011" s="32" t="n">
        <x:v>46023</x:v>
      </x:c>
      <x:c r="B1011" t="str">
        <x:v>Jan 2026</x:v>
      </x:c>
      <x:c r="C1011" t="str">
        <x:v>Forecast</x:v>
      </x:c>
      <x:c r="D1011" t="str">
        <x:v>DB-103</x:v>
      </x:c>
      <x:c r="E1011" t="str">
        <x:v>EmberTrail Camp Mug</x:v>
      </x:c>
      <x:c r="F1011" t="str">
        <x:v>TikTok Shop</x:v>
      </x:c>
      <x:c r="G1011" t="str">
        <x:v>Social Commerce</x:v>
      </x:c>
      <x:c r="H1011" t="str">
        <x:v>US East</x:v>
      </x:c>
      <x:c r="I1011" s="34" t="n">
        <x:v>64</x:v>
      </x:c>
      <x:c r="J1011" s="38" t="n">
        <x:v>1.8095616</x:v>
      </x:c>
      <x:c r="K1011" s="38" t="n">
        <x:v>0.33164661760000014</x:v>
      </x:c>
      <x:c r="L1011" s="28" t="n">
        <x:v>0.1832745663922135</x:v>
      </x:c>
    </x:row>
    <x:row r="1012">
      <x:c r="A1012" s="32" t="n">
        <x:v>46023</x:v>
      </x:c>
      <x:c r="B1012" t="str">
        <x:v>Jan 2026</x:v>
      </x:c>
      <x:c r="C1012" t="str">
        <x:v>Forecast</x:v>
      </x:c>
      <x:c r="D1012" t="str">
        <x:v>DB-103</x:v>
      </x:c>
      <x:c r="E1012" t="str">
        <x:v>EmberTrail Camp Mug</x:v>
      </x:c>
      <x:c r="F1012" t="str">
        <x:v>TikTok Shop</x:v>
      </x:c>
      <x:c r="G1012" t="str">
        <x:v>Social Commerce</x:v>
      </x:c>
      <x:c r="H1012" t="str">
        <x:v>Canada</x:v>
      </x:c>
      <x:c r="I1012" s="34" t="n">
        <x:v>20</x:v>
      </x:c>
      <x:c r="J1012" s="38" t="n">
        <x:v>0.5654880000000001</x:v>
      </x:c>
      <x:c r="K1012" s="38" t="n">
        <x:v>0.10363956800000006</x:v>
      </x:c>
      <x:c r="L1012" s="28" t="n">
        <x:v>0.1832745663922135</x:v>
      </x:c>
    </x:row>
    <x:row r="1013">
      <x:c r="A1013" s="32" t="n">
        <x:v>46023</x:v>
      </x:c>
      <x:c r="B1013" t="str">
        <x:v>Jan 2026</x:v>
      </x:c>
      <x:c r="C1013" t="str">
        <x:v>Forecast</x:v>
      </x:c>
      <x:c r="D1013" t="str">
        <x:v>DB-104</x:v>
      </x:c>
      <x:c r="E1013" t="str">
        <x:v>SunNest Cooling Towel</x:v>
      </x:c>
      <x:c r="F1013" t="str">
        <x:v>Shopify DTC</x:v>
      </x:c>
      <x:c r="G1013" t="str">
        <x:v>Consumer</x:v>
      </x:c>
      <x:c r="H1013" t="str">
        <x:v>US West</x:v>
      </x:c>
      <x:c r="I1013" s="34" t="n">
        <x:v>161.84</x:v>
      </x:c>
      <x:c r="J1013" s="38" t="n">
        <x:v>5.940822720000001</x:v>
      </x:c>
      <x:c r="K1013" s="38" t="n">
        <x:v>2.38964334112</x:v>
      </x:c>
      <x:c r="L1013" s="28" t="n">
        <x:v>0.40224114634412117</x:v>
      </x:c>
    </x:row>
    <x:row r="1014">
      <x:c r="A1014" s="32" t="n">
        <x:v>46023</x:v>
      </x:c>
      <x:c r="B1014" t="str">
        <x:v>Jan 2026</x:v>
      </x:c>
      <x:c r="C1014" t="str">
        <x:v>Forecast</x:v>
      </x:c>
      <x:c r="D1014" t="str">
        <x:v>DB-104</x:v>
      </x:c>
      <x:c r="E1014" t="str">
        <x:v>SunNest Cooling Towel</x:v>
      </x:c>
      <x:c r="F1014" t="str">
        <x:v>Shopify DTC</x:v>
      </x:c>
      <x:c r="G1014" t="str">
        <x:v>Consumer</x:v>
      </x:c>
      <x:c r="H1014" t="str">
        <x:v>US Central</x:v>
      </x:c>
      <x:c r="I1014" s="34" t="n">
        <x:v>114.24</x:v>
      </x:c>
      <x:c r="J1014" s="38" t="n">
        <x:v>4.19352192</x:v>
      </x:c>
      <x:c r="K1014" s="38" t="n">
        <x:v>1.68680706432</x:v>
      </x:c>
      <x:c r="L1014" s="28" t="n">
        <x:v>0.4022411463441211</x:v>
      </x:c>
    </x:row>
    <x:row r="1015">
      <x:c r="A1015" s="32" t="n">
        <x:v>46023</x:v>
      </x:c>
      <x:c r="B1015" t="str">
        <x:v>Jan 2026</x:v>
      </x:c>
      <x:c r="C1015" t="str">
        <x:v>Forecast</x:v>
      </x:c>
      <x:c r="D1015" t="str">
        <x:v>DB-104</x:v>
      </x:c>
      <x:c r="E1015" t="str">
        <x:v>SunNest Cooling Towel</x:v>
      </x:c>
      <x:c r="F1015" t="str">
        <x:v>Shopify DTC</x:v>
      </x:c>
      <x:c r="G1015" t="str">
        <x:v>Consumer</x:v>
      </x:c>
      <x:c r="H1015" t="str">
        <x:v>US East</x:v>
      </x:c>
      <x:c r="I1015" s="34" t="n">
        <x:v>152.32</x:v>
      </x:c>
      <x:c r="J1015" s="38" t="n">
        <x:v>5.59136256</x:v>
      </x:c>
      <x:c r="K1015" s="38" t="n">
        <x:v>2.24907608576</x:v>
      </x:c>
      <x:c r="L1015" s="28" t="n">
        <x:v>0.40224114634412117</x:v>
      </x:c>
    </x:row>
    <x:row r="1016">
      <x:c r="A1016" s="32" t="n">
        <x:v>46023</x:v>
      </x:c>
      <x:c r="B1016" t="str">
        <x:v>Jan 2026</x:v>
      </x:c>
      <x:c r="C1016" t="str">
        <x:v>Forecast</x:v>
      </x:c>
      <x:c r="D1016" t="str">
        <x:v>DB-104</x:v>
      </x:c>
      <x:c r="E1016" t="str">
        <x:v>SunNest Cooling Towel</x:v>
      </x:c>
      <x:c r="F1016" t="str">
        <x:v>Shopify DTC</x:v>
      </x:c>
      <x:c r="G1016" t="str">
        <x:v>Consumer</x:v>
      </x:c>
      <x:c r="H1016" t="str">
        <x:v>Canada</x:v>
      </x:c>
      <x:c r="I1016" s="34" t="n">
        <x:v>47.6</x:v>
      </x:c>
      <x:c r="J1016" s="38" t="n">
        <x:v>1.7473008</x:v>
      </x:c>
      <x:c r="K1016" s="38" t="n">
        <x:v>0.7028362768</x:v>
      </x:c>
      <x:c r="L1016" s="28" t="n">
        <x:v>0.40224114634412117</x:v>
      </x:c>
    </x:row>
    <x:row r="1017">
      <x:c r="A1017" s="32" t="n">
        <x:v>46023</x:v>
      </x:c>
      <x:c r="B1017" t="str">
        <x:v>Jan 2026</x:v>
      </x:c>
      <x:c r="C1017" t="str">
        <x:v>Forecast</x:v>
      </x:c>
      <x:c r="D1017" t="str">
        <x:v>DB-104</x:v>
      </x:c>
      <x:c r="E1017" t="str">
        <x:v>SunNest Cooling Towel</x:v>
      </x:c>
      <x:c r="F1017" t="str">
        <x:v>Amazon Marketplace</x:v>
      </x:c>
      <x:c r="G1017" t="str">
        <x:v>Marketplace Consumer</x:v>
      </x:c>
      <x:c r="H1017" t="str">
        <x:v>US West</x:v>
      </x:c>
      <x:c r="I1017" s="34" t="n">
        <x:v>95.2</x:v>
      </x:c>
      <x:c r="J1017" s="38" t="n">
        <x:v>3.6085560000000005</x:v>
      </x:c>
      <x:c r="K1017" s="38" t="n">
        <x:v>0.9321270000000001</x:v>
      </x:c>
      <x:c r="L1017" s="28" t="n">
        <x:v>0.2583102493074792</x:v>
      </x:c>
    </x:row>
    <x:row r="1018">
      <x:c r="A1018" s="32" t="n">
        <x:v>46023</x:v>
      </x:c>
      <x:c r="B1018" t="str">
        <x:v>Jan 2026</x:v>
      </x:c>
      <x:c r="C1018" t="str">
        <x:v>Forecast</x:v>
      </x:c>
      <x:c r="D1018" t="str">
        <x:v>DB-104</x:v>
      </x:c>
      <x:c r="E1018" t="str">
        <x:v>SunNest Cooling Towel</x:v>
      </x:c>
      <x:c r="F1018" t="str">
        <x:v>Amazon Marketplace</x:v>
      </x:c>
      <x:c r="G1018" t="str">
        <x:v>Marketplace Consumer</x:v>
      </x:c>
      <x:c r="H1018" t="str">
        <x:v>US Central</x:v>
      </x:c>
      <x:c r="I1018" s="34" t="n">
        <x:v>67.2</x:v>
      </x:c>
      <x:c r="J1018" s="38" t="n">
        <x:v>2.547216</x:v>
      </x:c>
      <x:c r="K1018" s="38" t="n">
        <x:v>0.657972</x:v>
      </x:c>
      <x:c r="L1018" s="28" t="n">
        <x:v>0.2583102493074792</x:v>
      </x:c>
    </x:row>
    <x:row r="1019">
      <x:c r="A1019" s="32" t="n">
        <x:v>46023</x:v>
      </x:c>
      <x:c r="B1019" t="str">
        <x:v>Jan 2026</x:v>
      </x:c>
      <x:c r="C1019" t="str">
        <x:v>Forecast</x:v>
      </x:c>
      <x:c r="D1019" t="str">
        <x:v>DB-104</x:v>
      </x:c>
      <x:c r="E1019" t="str">
        <x:v>SunNest Cooling Towel</x:v>
      </x:c>
      <x:c r="F1019" t="str">
        <x:v>Amazon Marketplace</x:v>
      </x:c>
      <x:c r="G1019" t="str">
        <x:v>Marketplace Consumer</x:v>
      </x:c>
      <x:c r="H1019" t="str">
        <x:v>US East</x:v>
      </x:c>
      <x:c r="I1019" s="34" t="n">
        <x:v>89.60000000000001</x:v>
      </x:c>
      <x:c r="J1019" s="38" t="n">
        <x:v>3.396288</x:v>
      </x:c>
      <x:c r="K1019" s="38" t="n">
        <x:v>0.8772960000000001</x:v>
      </x:c>
      <x:c r="L1019" s="28" t="n">
        <x:v>0.25831024930747926</x:v>
      </x:c>
    </x:row>
    <x:row r="1020">
      <x:c r="A1020" s="32" t="n">
        <x:v>46023</x:v>
      </x:c>
      <x:c r="B1020" t="str">
        <x:v>Jan 2026</x:v>
      </x:c>
      <x:c r="C1020" t="str">
        <x:v>Forecast</x:v>
      </x:c>
      <x:c r="D1020" t="str">
        <x:v>DB-104</x:v>
      </x:c>
      <x:c r="E1020" t="str">
        <x:v>SunNest Cooling Towel</x:v>
      </x:c>
      <x:c r="F1020" t="str">
        <x:v>Amazon Marketplace</x:v>
      </x:c>
      <x:c r="G1020" t="str">
        <x:v>Marketplace Consumer</x:v>
      </x:c>
      <x:c r="H1020" t="str">
        <x:v>Canada</x:v>
      </x:c>
      <x:c r="I1020" s="34" t="n">
        <x:v>28</x:v>
      </x:c>
      <x:c r="J1020" s="38" t="n">
        <x:v>1.0613400000000002</x:v>
      </x:c>
      <x:c r="K1020" s="38" t="n">
        <x:v>0.27415500000000004</x:v>
      </x:c>
      <x:c r="L1020" s="28" t="n">
        <x:v>0.2583102493074792</x:v>
      </x:c>
    </x:row>
    <x:row r="1021">
      <x:c r="A1021" s="32" t="n">
        <x:v>46023</x:v>
      </x:c>
      <x:c r="B1021" t="str">
        <x:v>Jan 2026</x:v>
      </x:c>
      <x:c r="C1021" t="str">
        <x:v>Forecast</x:v>
      </x:c>
      <x:c r="D1021" t="str">
        <x:v>DB-104</x:v>
      </x:c>
      <x:c r="E1021" t="str">
        <x:v>SunNest Cooling Towel</x:v>
      </x:c>
      <x:c r="F1021" t="str">
        <x:v>Wholesale</x:v>
      </x:c>
      <x:c r="G1021" t="str">
        <x:v>Retailer</x:v>
      </x:c>
      <x:c r="H1021" t="str">
        <x:v>US West</x:v>
      </x:c>
      <x:c r="I1021" s="34" t="n">
        <x:v>27.200000000000003</x:v>
      </x:c>
      <x:c r="J1021" s="38" t="n">
        <x:v>0.7054320000000002</x:v>
      </x:c>
      <x:c r="K1021" s="38" t="n">
        <x:v>0.20963040000000008</x:v>
      </x:c>
      <x:c r="L1021" s="28" t="n">
        <x:v>0.29716599190283405</x:v>
      </x:c>
    </x:row>
    <x:row r="1022">
      <x:c r="A1022" s="32" t="n">
        <x:v>46023</x:v>
      </x:c>
      <x:c r="B1022" t="str">
        <x:v>Jan 2026</x:v>
      </x:c>
      <x:c r="C1022" t="str">
        <x:v>Forecast</x:v>
      </x:c>
      <x:c r="D1022" t="str">
        <x:v>DB-104</x:v>
      </x:c>
      <x:c r="E1022" t="str">
        <x:v>SunNest Cooling Towel</x:v>
      </x:c>
      <x:c r="F1022" t="str">
        <x:v>Wholesale</x:v>
      </x:c>
      <x:c r="G1022" t="str">
        <x:v>Retailer</x:v>
      </x:c>
      <x:c r="H1022" t="str">
        <x:v>US Central</x:v>
      </x:c>
      <x:c r="I1022" s="34" t="n">
        <x:v>19.2</x:v>
      </x:c>
      <x:c r="J1022" s="38" t="n">
        <x:v>0.497952</x:v>
      </x:c>
      <x:c r="K1022" s="38" t="n">
        <x:v>0.14797440000000003</x:v>
      </x:c>
      <x:c r="L1022" s="28" t="n">
        <x:v>0.29716599190283405</x:v>
      </x:c>
    </x:row>
    <x:row r="1023">
      <x:c r="A1023" s="32" t="n">
        <x:v>46023</x:v>
      </x:c>
      <x:c r="B1023" t="str">
        <x:v>Jan 2026</x:v>
      </x:c>
      <x:c r="C1023" t="str">
        <x:v>Forecast</x:v>
      </x:c>
      <x:c r="D1023" t="str">
        <x:v>DB-104</x:v>
      </x:c>
      <x:c r="E1023" t="str">
        <x:v>SunNest Cooling Towel</x:v>
      </x:c>
      <x:c r="F1023" t="str">
        <x:v>Wholesale</x:v>
      </x:c>
      <x:c r="G1023" t="str">
        <x:v>Retailer</x:v>
      </x:c>
      <x:c r="H1023" t="str">
        <x:v>US East</x:v>
      </x:c>
      <x:c r="I1023" s="34" t="n">
        <x:v>25.6</x:v>
      </x:c>
      <x:c r="J1023" s="38" t="n">
        <x:v>0.6639360000000001</x:v>
      </x:c>
      <x:c r="K1023" s="38" t="n">
        <x:v>0.19729920000000006</x:v>
      </x:c>
      <x:c r="L1023" s="28" t="n">
        <x:v>0.29716599190283405</x:v>
      </x:c>
    </x:row>
    <x:row r="1024">
      <x:c r="A1024" s="32" t="n">
        <x:v>46023</x:v>
      </x:c>
      <x:c r="B1024" t="str">
        <x:v>Jan 2026</x:v>
      </x:c>
      <x:c r="C1024" t="str">
        <x:v>Forecast</x:v>
      </x:c>
      <x:c r="D1024" t="str">
        <x:v>DB-104</x:v>
      </x:c>
      <x:c r="E1024" t="str">
        <x:v>SunNest Cooling Towel</x:v>
      </x:c>
      <x:c r="F1024" t="str">
        <x:v>Wholesale</x:v>
      </x:c>
      <x:c r="G1024" t="str">
        <x:v>Retailer</x:v>
      </x:c>
      <x:c r="H1024" t="str">
        <x:v>Canada</x:v>
      </x:c>
      <x:c r="I1024" s="34" t="n">
        <x:v>8</x:v>
      </x:c>
      <x:c r="J1024" s="38" t="n">
        <x:v>0.20748000000000003</x:v>
      </x:c>
      <x:c r="K1024" s="38" t="n">
        <x:v>0.06165600000000002</x:v>
      </x:c>
      <x:c r="L1024" s="28" t="n">
        <x:v>0.2971659919028341</x:v>
      </x:c>
    </x:row>
    <x:row r="1025">
      <x:c r="A1025" s="32" t="n">
        <x:v>46023</x:v>
      </x:c>
      <x:c r="B1025" t="str">
        <x:v>Jan 2026</x:v>
      </x:c>
      <x:c r="C1025" t="str">
        <x:v>Forecast</x:v>
      </x:c>
      <x:c r="D1025" t="str">
        <x:v>DB-104</x:v>
      </x:c>
      <x:c r="E1025" t="str">
        <x:v>SunNest Cooling Towel</x:v>
      </x:c>
      <x:c r="F1025" t="str">
        <x:v>TikTok Shop</x:v>
      </x:c>
      <x:c r="G1025" t="str">
        <x:v>Social Commerce</x:v>
      </x:c>
      <x:c r="H1025" t="str">
        <x:v>US West</x:v>
      </x:c>
      <x:c r="I1025" s="34" t="n">
        <x:v>40.800000000000004</x:v>
      </x:c>
      <x:c r="J1025" s="38" t="n">
        <x:v>1.4325696</x:v>
      </x:c>
      <x:c r="K1025" s="38" t="n">
        <x:v>0.41040850560000014</x:v>
      </x:c>
      <x:c r="L1025" s="28" t="n">
        <x:v>0.28648416495784923</x:v>
      </x:c>
    </x:row>
    <x:row r="1026">
      <x:c r="A1026" s="32" t="n">
        <x:v>46023</x:v>
      </x:c>
      <x:c r="B1026" t="str">
        <x:v>Jan 2026</x:v>
      </x:c>
      <x:c r="C1026" t="str">
        <x:v>Forecast</x:v>
      </x:c>
      <x:c r="D1026" t="str">
        <x:v>DB-104</x:v>
      </x:c>
      <x:c r="E1026" t="str">
        <x:v>SunNest Cooling Towel</x:v>
      </x:c>
      <x:c r="F1026" t="str">
        <x:v>TikTok Shop</x:v>
      </x:c>
      <x:c r="G1026" t="str">
        <x:v>Social Commerce</x:v>
      </x:c>
      <x:c r="H1026" t="str">
        <x:v>US Central</x:v>
      </x:c>
      <x:c r="I1026" s="34" t="n">
        <x:v>28.799999999999997</x:v>
      </x:c>
      <x:c r="J1026" s="38" t="n">
        <x:v>1.0112256</x:v>
      </x:c>
      <x:c r="K1026" s="38" t="n">
        <x:v>0.2897001216000001</x:v>
      </x:c>
      <x:c r="L1026" s="28" t="n">
        <x:v>0.2864841649578493</x:v>
      </x:c>
    </x:row>
    <x:row r="1027">
      <x:c r="A1027" s="32" t="n">
        <x:v>46023</x:v>
      </x:c>
      <x:c r="B1027" t="str">
        <x:v>Jan 2026</x:v>
      </x:c>
      <x:c r="C1027" t="str">
        <x:v>Forecast</x:v>
      </x:c>
      <x:c r="D1027" t="str">
        <x:v>DB-104</x:v>
      </x:c>
      <x:c r="E1027" t="str">
        <x:v>SunNest Cooling Towel</x:v>
      </x:c>
      <x:c r="F1027" t="str">
        <x:v>TikTok Shop</x:v>
      </x:c>
      <x:c r="G1027" t="str">
        <x:v>Social Commerce</x:v>
      </x:c>
      <x:c r="H1027" t="str">
        <x:v>US East</x:v>
      </x:c>
      <x:c r="I1027" s="34" t="n">
        <x:v>38.4</x:v>
      </x:c>
      <x:c r="J1027" s="38" t="n">
        <x:v>1.3483008</x:v>
      </x:c>
      <x:c r="K1027" s="38" t="n">
        <x:v>0.38626682880000013</x:v>
      </x:c>
      <x:c r="L1027" s="28" t="n">
        <x:v>0.28648416495784923</x:v>
      </x:c>
    </x:row>
    <x:row r="1028">
      <x:c r="A1028" s="32" t="n">
        <x:v>46023</x:v>
      </x:c>
      <x:c r="B1028" t="str">
        <x:v>Jan 2026</x:v>
      </x:c>
      <x:c r="C1028" t="str">
        <x:v>Forecast</x:v>
      </x:c>
      <x:c r="D1028" t="str">
        <x:v>DB-104</x:v>
      </x:c>
      <x:c r="E1028" t="str">
        <x:v>SunNest Cooling Towel</x:v>
      </x:c>
      <x:c r="F1028" t="str">
        <x:v>TikTok Shop</x:v>
      </x:c>
      <x:c r="G1028" t="str">
        <x:v>Social Commerce</x:v>
      </x:c>
      <x:c r="H1028" t="str">
        <x:v>Canada</x:v>
      </x:c>
      <x:c r="I1028" s="34" t="n">
        <x:v>12</x:v>
      </x:c>
      <x:c r="J1028" s="38" t="n">
        <x:v>0.42134400000000005</x:v>
      </x:c>
      <x:c r="K1028" s="38" t="n">
        <x:v>0.12070838400000004</x:v>
      </x:c>
      <x:c r="L1028" s="28" t="n">
        <x:v>0.28648416495784923</x:v>
      </x:c>
    </x:row>
    <x:row r="1029">
      <x:c r="A1029" s="32" t="n">
        <x:v>46023</x:v>
      </x:c>
      <x:c r="B1029" t="str">
        <x:v>Jan 2026</x:v>
      </x:c>
      <x:c r="C1029" t="str">
        <x:v>Forecast</x:v>
      </x:c>
      <x:c r="D1029" t="str">
        <x:v>DB-105</x:v>
      </x:c>
      <x:c r="E1029" t="str">
        <x:v>DreamFuel Refill Pack</x:v>
      </x:c>
      <x:c r="F1029" t="str">
        <x:v>Shopify DTC</x:v>
      </x:c>
      <x:c r="G1029" t="str">
        <x:v>Consumer</x:v>
      </x:c>
      <x:c r="H1029" t="str">
        <x:v>US West</x:v>
      </x:c>
      <x:c r="I1029" s="34" t="n">
        <x:v>266.56</x:v>
      </x:c>
      <x:c r="J1029" s="38" t="n">
        <x:v>13.458507776000001</x:v>
      </x:c>
      <x:c r="K1029" s="38" t="n">
        <x:v>6.5578562344960005</x:v>
      </x:c>
      <x:c r="L1029" s="28" t="n">
        <x:v>0.48726473570794776</x:v>
      </x:c>
    </x:row>
    <x:row r="1030">
      <x:c r="A1030" s="32" t="n">
        <x:v>46023</x:v>
      </x:c>
      <x:c r="B1030" t="str">
        <x:v>Jan 2026</x:v>
      </x:c>
      <x:c r="C1030" t="str">
        <x:v>Forecast</x:v>
      </x:c>
      <x:c r="D1030" t="str">
        <x:v>DB-105</x:v>
      </x:c>
      <x:c r="E1030" t="str">
        <x:v>DreamFuel Refill Pack</x:v>
      </x:c>
      <x:c r="F1030" t="str">
        <x:v>Shopify DTC</x:v>
      </x:c>
      <x:c r="G1030" t="str">
        <x:v>Consumer</x:v>
      </x:c>
      <x:c r="H1030" t="str">
        <x:v>US Central</x:v>
      </x:c>
      <x:c r="I1030" s="34" t="n">
        <x:v>188.16</x:v>
      </x:c>
      <x:c r="J1030" s="38" t="n">
        <x:v>9.500123136</x:v>
      </x:c>
      <x:c r="K1030" s="38" t="n">
        <x:v>4.629074989056</x:v>
      </x:c>
      <x:c r="L1030" s="28" t="n">
        <x:v>0.4872647357079478</x:v>
      </x:c>
    </x:row>
    <x:row r="1031">
      <x:c r="A1031" s="32" t="n">
        <x:v>46023</x:v>
      </x:c>
      <x:c r="B1031" t="str">
        <x:v>Jan 2026</x:v>
      </x:c>
      <x:c r="C1031" t="str">
        <x:v>Forecast</x:v>
      </x:c>
      <x:c r="D1031" t="str">
        <x:v>DB-105</x:v>
      </x:c>
      <x:c r="E1031" t="str">
        <x:v>DreamFuel Refill Pack</x:v>
      </x:c>
      <x:c r="F1031" t="str">
        <x:v>Shopify DTC</x:v>
      </x:c>
      <x:c r="G1031" t="str">
        <x:v>Consumer</x:v>
      </x:c>
      <x:c r="H1031" t="str">
        <x:v>US East</x:v>
      </x:c>
      <x:c r="I1031" s="34" t="n">
        <x:v>250.88</x:v>
      </x:c>
      <x:c r="J1031" s="38" t="n">
        <x:v>12.666830848</x:v>
      </x:c>
      <x:c r="K1031" s="38" t="n">
        <x:v>6.172099985408001</x:v>
      </x:c>
      <x:c r="L1031" s="28" t="n">
        <x:v>0.4872647357079478</x:v>
      </x:c>
    </x:row>
    <x:row r="1032">
      <x:c r="A1032" s="32" t="n">
        <x:v>46023</x:v>
      </x:c>
      <x:c r="B1032" t="str">
        <x:v>Jan 2026</x:v>
      </x:c>
      <x:c r="C1032" t="str">
        <x:v>Forecast</x:v>
      </x:c>
      <x:c r="D1032" t="str">
        <x:v>DB-105</x:v>
      </x:c>
      <x:c r="E1032" t="str">
        <x:v>DreamFuel Refill Pack</x:v>
      </x:c>
      <x:c r="F1032" t="str">
        <x:v>Shopify DTC</x:v>
      </x:c>
      <x:c r="G1032" t="str">
        <x:v>Consumer</x:v>
      </x:c>
      <x:c r="H1032" t="str">
        <x:v>Canada</x:v>
      </x:c>
      <x:c r="I1032" s="34" t="n">
        <x:v>78.4</x:v>
      </x:c>
      <x:c r="J1032" s="38" t="n">
        <x:v>3.9583846400000002</x:v>
      </x:c>
      <x:c r="K1032" s="38" t="n">
        <x:v>1.9287812454400002</x:v>
      </x:c>
      <x:c r="L1032" s="28" t="n">
        <x:v>0.4872647357079478</x:v>
      </x:c>
    </x:row>
    <x:row r="1033">
      <x:c r="A1033" s="32" t="n">
        <x:v>46023</x:v>
      </x:c>
      <x:c r="B1033" t="str">
        <x:v>Jan 2026</x:v>
      </x:c>
      <x:c r="C1033" t="str">
        <x:v>Forecast</x:v>
      </x:c>
      <x:c r="D1033" t="str">
        <x:v>DB-105</x:v>
      </x:c>
      <x:c r="E1033" t="str">
        <x:v>DreamFuel Refill Pack</x:v>
      </x:c>
      <x:c r="F1033" t="str">
        <x:v>Amazon Marketplace</x:v>
      </x:c>
      <x:c r="G1033" t="str">
        <x:v>Marketplace Consumer</x:v>
      </x:c>
      <x:c r="H1033" t="str">
        <x:v>US West</x:v>
      </x:c>
      <x:c r="I1033" s="34" t="n">
        <x:v>157.76000000000002</x:v>
      </x:c>
      <x:c r="J1033" s="38" t="n">
        <x:v>8.224975360000002</x:v>
      </x:c>
      <x:c r="K1033" s="38" t="n">
        <x:v>2.893633920000001</x:v>
      </x:c>
      <x:c r="L1033" s="28" t="n">
        <x:v>0.35181064907165877</x:v>
      </x:c>
    </x:row>
    <x:row r="1034">
      <x:c r="A1034" s="32" t="n">
        <x:v>46023</x:v>
      </x:c>
      <x:c r="B1034" t="str">
        <x:v>Jan 2026</x:v>
      </x:c>
      <x:c r="C1034" t="str">
        <x:v>Forecast</x:v>
      </x:c>
      <x:c r="D1034" t="str">
        <x:v>DB-105</x:v>
      </x:c>
      <x:c r="E1034" t="str">
        <x:v>DreamFuel Refill Pack</x:v>
      </x:c>
      <x:c r="F1034" t="str">
        <x:v>Amazon Marketplace</x:v>
      </x:c>
      <x:c r="G1034" t="str">
        <x:v>Marketplace Consumer</x:v>
      </x:c>
      <x:c r="H1034" t="str">
        <x:v>US Central</x:v>
      </x:c>
      <x:c r="I1034" s="34" t="n">
        <x:v>111.36</x:v>
      </x:c>
      <x:c r="J1034" s="38" t="n">
        <x:v>5.80586496</x:v>
      </x:c>
      <x:c r="K1034" s="38" t="n">
        <x:v>2.0425651200000003</x:v>
      </x:c>
      <x:c r="L1034" s="28" t="n">
        <x:v>0.3518106490716588</x:v>
      </x:c>
    </x:row>
    <x:row r="1035">
      <x:c r="A1035" s="32" t="n">
        <x:v>46023</x:v>
      </x:c>
      <x:c r="B1035" t="str">
        <x:v>Jan 2026</x:v>
      </x:c>
      <x:c r="C1035" t="str">
        <x:v>Forecast</x:v>
      </x:c>
      <x:c r="D1035" t="str">
        <x:v>DB-105</x:v>
      </x:c>
      <x:c r="E1035" t="str">
        <x:v>DreamFuel Refill Pack</x:v>
      </x:c>
      <x:c r="F1035" t="str">
        <x:v>Amazon Marketplace</x:v>
      </x:c>
      <x:c r="G1035" t="str">
        <x:v>Marketplace Consumer</x:v>
      </x:c>
      <x:c r="H1035" t="str">
        <x:v>US East</x:v>
      </x:c>
      <x:c r="I1035" s="34" t="n">
        <x:v>148.48</x:v>
      </x:c>
      <x:c r="J1035" s="38" t="n">
        <x:v>7.741153280000001</x:v>
      </x:c>
      <x:c r="K1035" s="38" t="n">
        <x:v>2.7234201600000008</x:v>
      </x:c>
      <x:c r="L1035" s="28" t="n">
        <x:v>0.3518106490716588</x:v>
      </x:c>
    </x:row>
    <x:row r="1036">
      <x:c r="A1036" s="32" t="n">
        <x:v>46023</x:v>
      </x:c>
      <x:c r="B1036" t="str">
        <x:v>Jan 2026</x:v>
      </x:c>
      <x:c r="C1036" t="str">
        <x:v>Forecast</x:v>
      </x:c>
      <x:c r="D1036" t="str">
        <x:v>DB-105</x:v>
      </x:c>
      <x:c r="E1036" t="str">
        <x:v>DreamFuel Refill Pack</x:v>
      </x:c>
      <x:c r="F1036" t="str">
        <x:v>Amazon Marketplace</x:v>
      </x:c>
      <x:c r="G1036" t="str">
        <x:v>Marketplace Consumer</x:v>
      </x:c>
      <x:c r="H1036" t="str">
        <x:v>Canada</x:v>
      </x:c>
      <x:c r="I1036" s="34" t="n">
        <x:v>46.400000000000006</x:v>
      </x:c>
      <x:c r="J1036" s="38" t="n">
        <x:v>2.4191104000000005</x:v>
      </x:c>
      <x:c r="K1036" s="38" t="n">
        <x:v>0.8510688000000002</x:v>
      </x:c>
      <x:c r="L1036" s="28" t="n">
        <x:v>0.3518106490716587</x:v>
      </x:c>
    </x:row>
    <x:row r="1037">
      <x:c r="A1037" s="32" t="n">
        <x:v>46023</x:v>
      </x:c>
      <x:c r="B1037" t="str">
        <x:v>Jan 2026</x:v>
      </x:c>
      <x:c r="C1037" t="str">
        <x:v>Forecast</x:v>
      </x:c>
      <x:c r="D1037" t="str">
        <x:v>DB-105</x:v>
      </x:c>
      <x:c r="E1037" t="str">
        <x:v>DreamFuel Refill Pack</x:v>
      </x:c>
      <x:c r="F1037" t="str">
        <x:v>Wholesale</x:v>
      </x:c>
      <x:c r="G1037" t="str">
        <x:v>Retailer</x:v>
      </x:c>
      <x:c r="H1037" t="str">
        <x:v>US West</x:v>
      </x:c>
      <x:c r="I1037" s="34" t="n">
        <x:v>43.52</x:v>
      </x:c>
      <x:c r="J1037" s="38" t="n">
        <x:v>1.5524454400000003</x:v>
      </x:c>
      <x:c r="K1037" s="38" t="n">
        <x:v>0.6048583680000001</x:v>
      </x:c>
      <x:c r="L1037" s="28" t="n">
        <x:v>0.3896165059430366</x:v>
      </x:c>
    </x:row>
    <x:row r="1038">
      <x:c r="A1038" s="32" t="n">
        <x:v>46023</x:v>
      </x:c>
      <x:c r="B1038" t="str">
        <x:v>Jan 2026</x:v>
      </x:c>
      <x:c r="C1038" t="str">
        <x:v>Forecast</x:v>
      </x:c>
      <x:c r="D1038" t="str">
        <x:v>DB-105</x:v>
      </x:c>
      <x:c r="E1038" t="str">
        <x:v>DreamFuel Refill Pack</x:v>
      </x:c>
      <x:c r="F1038" t="str">
        <x:v>Wholesale</x:v>
      </x:c>
      <x:c r="G1038" t="str">
        <x:v>Retailer</x:v>
      </x:c>
      <x:c r="H1038" t="str">
        <x:v>US Central</x:v>
      </x:c>
      <x:c r="I1038" s="34" t="n">
        <x:v>30.72</x:v>
      </x:c>
      <x:c r="J1038" s="38" t="n">
        <x:v>1.0958438400000001</x:v>
      </x:c>
      <x:c r="K1038" s="38" t="n">
        <x:v>0.42695884800000006</x:v>
      </x:c>
      <x:c r="L1038" s="28" t="n">
        <x:v>0.38961650594303654</x:v>
      </x:c>
    </x:row>
    <x:row r="1039">
      <x:c r="A1039" s="32" t="n">
        <x:v>46023</x:v>
      </x:c>
      <x:c r="B1039" t="str">
        <x:v>Jan 2026</x:v>
      </x:c>
      <x:c r="C1039" t="str">
        <x:v>Forecast</x:v>
      </x:c>
      <x:c r="D1039" t="str">
        <x:v>DB-105</x:v>
      </x:c>
      <x:c r="E1039" t="str">
        <x:v>DreamFuel Refill Pack</x:v>
      </x:c>
      <x:c r="F1039" t="str">
        <x:v>Wholesale</x:v>
      </x:c>
      <x:c r="G1039" t="str">
        <x:v>Retailer</x:v>
      </x:c>
      <x:c r="H1039" t="str">
        <x:v>US East</x:v>
      </x:c>
      <x:c r="I1039" s="34" t="n">
        <x:v>40.96</x:v>
      </x:c>
      <x:c r="J1039" s="38" t="n">
        <x:v>1.4611251200000002</x:v>
      </x:c>
      <x:c r="K1039" s="38" t="n">
        <x:v>0.569278464</x:v>
      </x:c>
      <x:c r="L1039" s="28" t="n">
        <x:v>0.38961650594303654</x:v>
      </x:c>
    </x:row>
    <x:row r="1040">
      <x:c r="A1040" s="32" t="n">
        <x:v>46023</x:v>
      </x:c>
      <x:c r="B1040" t="str">
        <x:v>Jan 2026</x:v>
      </x:c>
      <x:c r="C1040" t="str">
        <x:v>Forecast</x:v>
      </x:c>
      <x:c r="D1040" t="str">
        <x:v>DB-105</x:v>
      </x:c>
      <x:c r="E1040" t="str">
        <x:v>DreamFuel Refill Pack</x:v>
      </x:c>
      <x:c r="F1040" t="str">
        <x:v>Wholesale</x:v>
      </x:c>
      <x:c r="G1040" t="str">
        <x:v>Retailer</x:v>
      </x:c>
      <x:c r="H1040" t="str">
        <x:v>Canada</x:v>
      </x:c>
      <x:c r="I1040" s="34" t="n">
        <x:v>12.8</x:v>
      </x:c>
      <x:c r="J1040" s="38" t="n">
        <x:v>0.45660160000000005</x:v>
      </x:c>
      <x:c r="K1040" s="38" t="n">
        <x:v>0.17789952000000003</x:v>
      </x:c>
      <x:c r="L1040" s="28" t="n">
        <x:v>0.3896165059430366</x:v>
      </x:c>
    </x:row>
    <x:row r="1041">
      <x:c r="A1041" s="32" t="n">
        <x:v>46023</x:v>
      </x:c>
      <x:c r="B1041" t="str">
        <x:v>Jan 2026</x:v>
      </x:c>
      <x:c r="C1041" t="str">
        <x:v>Forecast</x:v>
      </x:c>
      <x:c r="D1041" t="str">
        <x:v>DB-105</x:v>
      </x:c>
      <x:c r="E1041" t="str">
        <x:v>DreamFuel Refill Pack</x:v>
      </x:c>
      <x:c r="F1041" t="str">
        <x:v>TikTok Shop</x:v>
      </x:c>
      <x:c r="G1041" t="str">
        <x:v>Social Commerce</x:v>
      </x:c>
      <x:c r="H1041" t="str">
        <x:v>US West</x:v>
      </x:c>
      <x:c r="I1041" s="34" t="n">
        <x:v>66.64</x:v>
      </x:c>
      <x:c r="J1041" s="38" t="n">
        <x:v>3.218338816</x:v>
      </x:c>
      <x:c r="K1041" s="38" t="n">
        <x:v>1.234345957376</x:v>
      </x:c>
      <x:c r="L1041" s="28" t="n">
        <x:v>0.3835351179432812</x:v>
      </x:c>
    </x:row>
    <x:row r="1042">
      <x:c r="A1042" s="32" t="n">
        <x:v>46023</x:v>
      </x:c>
      <x:c r="B1042" t="str">
        <x:v>Jan 2026</x:v>
      </x:c>
      <x:c r="C1042" t="str">
        <x:v>Forecast</x:v>
      </x:c>
      <x:c r="D1042" t="str">
        <x:v>DB-105</x:v>
      </x:c>
      <x:c r="E1042" t="str">
        <x:v>DreamFuel Refill Pack</x:v>
      </x:c>
      <x:c r="F1042" t="str">
        <x:v>TikTok Shop</x:v>
      </x:c>
      <x:c r="G1042" t="str">
        <x:v>Social Commerce</x:v>
      </x:c>
      <x:c r="H1042" t="str">
        <x:v>US Central</x:v>
      </x:c>
      <x:c r="I1042" s="34" t="n">
        <x:v>47.04</x:v>
      </x:c>
      <x:c r="J1042" s="38" t="n">
        <x:v>2.271768576</x:v>
      </x:c>
      <x:c r="K1042" s="38" t="n">
        <x:v>0.871303028736</x:v>
      </x:c>
      <x:c r="L1042" s="28" t="n">
        <x:v>0.3835351179432812</x:v>
      </x:c>
    </x:row>
    <x:row r="1043">
      <x:c r="A1043" s="32" t="n">
        <x:v>46023</x:v>
      </x:c>
      <x:c r="B1043" t="str">
        <x:v>Jan 2026</x:v>
      </x:c>
      <x:c r="C1043" t="str">
        <x:v>Forecast</x:v>
      </x:c>
      <x:c r="D1043" t="str">
        <x:v>DB-105</x:v>
      </x:c>
      <x:c r="E1043" t="str">
        <x:v>DreamFuel Refill Pack</x:v>
      </x:c>
      <x:c r="F1043" t="str">
        <x:v>TikTok Shop</x:v>
      </x:c>
      <x:c r="G1043" t="str">
        <x:v>Social Commerce</x:v>
      </x:c>
      <x:c r="H1043" t="str">
        <x:v>US East</x:v>
      </x:c>
      <x:c r="I1043" s="34" t="n">
        <x:v>62.72</x:v>
      </x:c>
      <x:c r="J1043" s="38" t="n">
        <x:v>3.0290247679999998</x:v>
      </x:c>
      <x:c r="K1043" s="38" t="n">
        <x:v>1.161737371648</x:v>
      </x:c>
      <x:c r="L1043" s="28" t="n">
        <x:v>0.3835351179432812</x:v>
      </x:c>
    </x:row>
    <x:row r="1044">
      <x:c r="A1044" s="32" t="n">
        <x:v>46023</x:v>
      </x:c>
      <x:c r="B1044" t="str">
        <x:v>Jan 2026</x:v>
      </x:c>
      <x:c r="C1044" t="str">
        <x:v>Forecast</x:v>
      </x:c>
      <x:c r="D1044" t="str">
        <x:v>DB-105</x:v>
      </x:c>
      <x:c r="E1044" t="str">
        <x:v>DreamFuel Refill Pack</x:v>
      </x:c>
      <x:c r="F1044" t="str">
        <x:v>TikTok Shop</x:v>
      </x:c>
      <x:c r="G1044" t="str">
        <x:v>Social Commerce</x:v>
      </x:c>
      <x:c r="H1044" t="str">
        <x:v>Canada</x:v>
      </x:c>
      <x:c r="I1044" s="34" t="n">
        <x:v>19.6</x:v>
      </x:c>
      <x:c r="J1044" s="38" t="n">
        <x:v>0.94657024</x:v>
      </x:c>
      <x:c r="K1044" s="38" t="n">
        <x:v>0.36304292864000004</x:v>
      </x:c>
      <x:c r="L1044" s="28" t="n">
        <x:v>0.38353511794328127</x:v>
      </x:c>
    </x:row>
    <x:row r="1045">
      <x:c r="A1045" s="32" t="n">
        <x:v>46054</x:v>
      </x:c>
      <x:c r="B1045" t="str">
        <x:v>Feb 2026</x:v>
      </x:c>
      <x:c r="C1045" t="str">
        <x:v>Forecast</x:v>
      </x:c>
      <x:c r="D1045" t="str">
        <x:v>DB-101</x:v>
      </x:c>
      <x:c r="E1045" t="str">
        <x:v>AeroSip Bottle</x:v>
      </x:c>
      <x:c r="F1045" t="str">
        <x:v>Shopify DTC</x:v>
      </x:c>
      <x:c r="G1045" t="str">
        <x:v>Consumer</x:v>
      </x:c>
      <x:c r="H1045" t="str">
        <x:v>US West</x:v>
      </x:c>
      <x:c r="I1045" s="34" t="n">
        <x:v>340</x:v>
      </x:c>
      <x:c r="J1045" s="38" t="n">
        <x:v>8.662996</x:v>
      </x:c>
      <x:c r="K1045" s="38" t="n">
        <x:v>2.7555291159999995</x:v>
      </x:c>
      <x:c r="L1045" s="28" t="n">
        <x:v>0.3180803865083165</x:v>
      </x:c>
    </x:row>
    <x:row r="1046">
      <x:c r="A1046" s="32" t="n">
        <x:v>46054</x:v>
      </x:c>
      <x:c r="B1046" t="str">
        <x:v>Feb 2026</x:v>
      </x:c>
      <x:c r="C1046" t="str">
        <x:v>Forecast</x:v>
      </x:c>
      <x:c r="D1046" t="str">
        <x:v>DB-101</x:v>
      </x:c>
      <x:c r="E1046" t="str">
        <x:v>AeroSip Bottle</x:v>
      </x:c>
      <x:c r="F1046" t="str">
        <x:v>Shopify DTC</x:v>
      </x:c>
      <x:c r="G1046" t="str">
        <x:v>Consumer</x:v>
      </x:c>
      <x:c r="H1046" t="str">
        <x:v>US Central</x:v>
      </x:c>
      <x:c r="I1046" s="34" t="n">
        <x:v>240</x:v>
      </x:c>
      <x:c r="J1046" s="38" t="n">
        <x:v>6.115055999999999</x:v>
      </x:c>
      <x:c r="K1046" s="38" t="n">
        <x:v>1.9450793759999994</x:v>
      </x:c>
      <x:c r="L1046" s="28" t="n">
        <x:v>0.31808038650831644</x:v>
      </x:c>
    </x:row>
    <x:row r="1047">
      <x:c r="A1047" s="32" t="n">
        <x:v>46054</x:v>
      </x:c>
      <x:c r="B1047" t="str">
        <x:v>Feb 2026</x:v>
      </x:c>
      <x:c r="C1047" t="str">
        <x:v>Forecast</x:v>
      </x:c>
      <x:c r="D1047" t="str">
        <x:v>DB-101</x:v>
      </x:c>
      <x:c r="E1047" t="str">
        <x:v>AeroSip Bottle</x:v>
      </x:c>
      <x:c r="F1047" t="str">
        <x:v>Shopify DTC</x:v>
      </x:c>
      <x:c r="G1047" t="str">
        <x:v>Consumer</x:v>
      </x:c>
      <x:c r="H1047" t="str">
        <x:v>US East</x:v>
      </x:c>
      <x:c r="I1047" s="34" t="n">
        <x:v>320</x:v>
      </x:c>
      <x:c r="J1047" s="38" t="n">
        <x:v>8.153407999999999</x:v>
      </x:c>
      <x:c r="K1047" s="38" t="n">
        <x:v>2.5934391679999993</x:v>
      </x:c>
      <x:c r="L1047" s="28" t="n">
        <x:v>0.3180803865083165</x:v>
      </x:c>
    </x:row>
    <x:row r="1048">
      <x:c r="A1048" s="32" t="n">
        <x:v>46054</x:v>
      </x:c>
      <x:c r="B1048" t="str">
        <x:v>Feb 2026</x:v>
      </x:c>
      <x:c r="C1048" t="str">
        <x:v>Forecast</x:v>
      </x:c>
      <x:c r="D1048" t="str">
        <x:v>DB-101</x:v>
      </x:c>
      <x:c r="E1048" t="str">
        <x:v>AeroSip Bottle</x:v>
      </x:c>
      <x:c r="F1048" t="str">
        <x:v>Shopify DTC</x:v>
      </x:c>
      <x:c r="G1048" t="str">
        <x:v>Consumer</x:v>
      </x:c>
      <x:c r="H1048" t="str">
        <x:v>Canada</x:v>
      </x:c>
      <x:c r="I1048" s="34" t="n">
        <x:v>100</x:v>
      </x:c>
      <x:c r="J1048" s="38" t="n">
        <x:v>2.54794</x:v>
      </x:c>
      <x:c r="K1048" s="38" t="n">
        <x:v>0.8104497399999998</x:v>
      </x:c>
      <x:c r="L1048" s="28" t="n">
        <x:v>0.31808038650831644</x:v>
      </x:c>
    </x:row>
    <x:row r="1049">
      <x:c r="A1049" s="32" t="n">
        <x:v>46054</x:v>
      </x:c>
      <x:c r="B1049" t="str">
        <x:v>Feb 2026</x:v>
      </x:c>
      <x:c r="C1049" t="str">
        <x:v>Forecast</x:v>
      </x:c>
      <x:c r="D1049" t="str">
        <x:v>DB-101</x:v>
      </x:c>
      <x:c r="E1049" t="str">
        <x:v>AeroSip Bottle</x:v>
      </x:c>
      <x:c r="F1049" t="str">
        <x:v>Amazon Marketplace</x:v>
      </x:c>
      <x:c r="G1049" t="str">
        <x:v>Marketplace Consumer</x:v>
      </x:c>
      <x:c r="H1049" t="str">
        <x:v>US West</x:v>
      </x:c>
      <x:c r="I1049" s="34" t="n">
        <x:v>199.92000000000002</x:v>
      </x:c>
      <x:c r="J1049" s="38" t="n">
        <x:v>5.259945180000001</x:v>
      </x:c>
      <x:c r="K1049" s="38" t="n">
        <x:v>0.8352082830000004</x:v>
      </x:c>
      <x:c r="L1049" s="28" t="n">
        <x:v>0.15878649955815705</x:v>
      </x:c>
    </x:row>
    <x:row r="1050">
      <x:c r="A1050" s="32" t="n">
        <x:v>46054</x:v>
      </x:c>
      <x:c r="B1050" t="str">
        <x:v>Feb 2026</x:v>
      </x:c>
      <x:c r="C1050" t="str">
        <x:v>Forecast</x:v>
      </x:c>
      <x:c r="D1050" t="str">
        <x:v>DB-101</x:v>
      </x:c>
      <x:c r="E1050" t="str">
        <x:v>AeroSip Bottle</x:v>
      </x:c>
      <x:c r="F1050" t="str">
        <x:v>Amazon Marketplace</x:v>
      </x:c>
      <x:c r="G1050" t="str">
        <x:v>Marketplace Consumer</x:v>
      </x:c>
      <x:c r="H1050" t="str">
        <x:v>US Central</x:v>
      </x:c>
      <x:c r="I1050" s="34" t="n">
        <x:v>141.12</x:v>
      </x:c>
      <x:c r="J1050" s="38" t="n">
        <x:v>3.71290248</x:v>
      </x:c>
      <x:c r="K1050" s="38" t="n">
        <x:v>0.5895587880000003</x:v>
      </x:c>
      <x:c r="L1050" s="28" t="n">
        <x:v>0.15878649955815707</x:v>
      </x:c>
    </x:row>
    <x:row r="1051">
      <x:c r="A1051" s="32" t="n">
        <x:v>46054</x:v>
      </x:c>
      <x:c r="B1051" t="str">
        <x:v>Feb 2026</x:v>
      </x:c>
      <x:c r="C1051" t="str">
        <x:v>Forecast</x:v>
      </x:c>
      <x:c r="D1051" t="str">
        <x:v>DB-101</x:v>
      </x:c>
      <x:c r="E1051" t="str">
        <x:v>AeroSip Bottle</x:v>
      </x:c>
      <x:c r="F1051" t="str">
        <x:v>Amazon Marketplace</x:v>
      </x:c>
      <x:c r="G1051" t="str">
        <x:v>Marketplace Consumer</x:v>
      </x:c>
      <x:c r="H1051" t="str">
        <x:v>US East</x:v>
      </x:c>
      <x:c r="I1051" s="34" t="n">
        <x:v>188.16</x:v>
      </x:c>
      <x:c r="J1051" s="38" t="n">
        <x:v>4.95053664</x:v>
      </x:c>
      <x:c r="K1051" s="38" t="n">
        <x:v>0.7860783840000004</x:v>
      </x:c>
      <x:c r="L1051" s="28" t="n">
        <x:v>0.15878649955815707</x:v>
      </x:c>
    </x:row>
    <x:row r="1052">
      <x:c r="A1052" s="32" t="n">
        <x:v>46054</x:v>
      </x:c>
      <x:c r="B1052" t="str">
        <x:v>Feb 2026</x:v>
      </x:c>
      <x:c r="C1052" t="str">
        <x:v>Forecast</x:v>
      </x:c>
      <x:c r="D1052" t="str">
        <x:v>DB-101</x:v>
      </x:c>
      <x:c r="E1052" t="str">
        <x:v>AeroSip Bottle</x:v>
      </x:c>
      <x:c r="F1052" t="str">
        <x:v>Amazon Marketplace</x:v>
      </x:c>
      <x:c r="G1052" t="str">
        <x:v>Marketplace Consumer</x:v>
      </x:c>
      <x:c r="H1052" t="str">
        <x:v>Canada</x:v>
      </x:c>
      <x:c r="I1052" s="34" t="n">
        <x:v>58.800000000000004</x:v>
      </x:c>
      <x:c r="J1052" s="38" t="n">
        <x:v>1.5470427000000002</x:v>
      </x:c>
      <x:c r="K1052" s="38" t="n">
        <x:v>0.2456494950000001</x:v>
      </x:c>
      <x:c r="L1052" s="28" t="n">
        <x:v>0.15878649955815705</x:v>
      </x:c>
    </x:row>
    <x:row r="1053">
      <x:c r="A1053" s="32" t="n">
        <x:v>46054</x:v>
      </x:c>
      <x:c r="B1053" t="str">
        <x:v>Feb 2026</x:v>
      </x:c>
      <x:c r="C1053" t="str">
        <x:v>Forecast</x:v>
      </x:c>
      <x:c r="D1053" t="str">
        <x:v>DB-101</x:v>
      </x:c>
      <x:c r="E1053" t="str">
        <x:v>AeroSip Bottle</x:v>
      </x:c>
      <x:c r="F1053" t="str">
        <x:v>Wholesale</x:v>
      </x:c>
      <x:c r="G1053" t="str">
        <x:v>Retailer</x:v>
      </x:c>
      <x:c r="H1053" t="str">
        <x:v>US West</x:v>
      </x:c>
      <x:c r="I1053" s="34" t="n">
        <x:v>55.760000000000005</x:v>
      </x:c>
      <x:c r="J1053" s="38" t="n">
        <x:v>1.0037775800000002</x:v>
      </x:c>
      <x:c r="K1053" s="38" t="n">
        <x:v>0.22391822000000003</x:v>
      </x:c>
      <x:c r="L1053" s="28" t="n">
        <x:v>0.2230755343230519</x:v>
      </x:c>
    </x:row>
    <x:row r="1054">
      <x:c r="A1054" s="32" t="n">
        <x:v>46054</x:v>
      </x:c>
      <x:c r="B1054" t="str">
        <x:v>Feb 2026</x:v>
      </x:c>
      <x:c r="C1054" t="str">
        <x:v>Forecast</x:v>
      </x:c>
      <x:c r="D1054" t="str">
        <x:v>DB-101</x:v>
      </x:c>
      <x:c r="E1054" t="str">
        <x:v>AeroSip Bottle</x:v>
      </x:c>
      <x:c r="F1054" t="str">
        <x:v>Wholesale</x:v>
      </x:c>
      <x:c r="G1054" t="str">
        <x:v>Retailer</x:v>
      </x:c>
      <x:c r="H1054" t="str">
        <x:v>US Central</x:v>
      </x:c>
      <x:c r="I1054" s="34" t="n">
        <x:v>39.36</x:v>
      </x:c>
      <x:c r="J1054" s="38" t="n">
        <x:v>0.70854888</x:v>
      </x:c>
      <x:c r="K1054" s="38" t="n">
        <x:v>0.15805992</x:v>
      </x:c>
      <x:c r="L1054" s="28" t="n">
        <x:v>0.2230755343230519</x:v>
      </x:c>
    </x:row>
    <x:row r="1055">
      <x:c r="A1055" s="32" t="n">
        <x:v>46054</x:v>
      </x:c>
      <x:c r="B1055" t="str">
        <x:v>Feb 2026</x:v>
      </x:c>
      <x:c r="C1055" t="str">
        <x:v>Forecast</x:v>
      </x:c>
      <x:c r="D1055" t="str">
        <x:v>DB-101</x:v>
      </x:c>
      <x:c r="E1055" t="str">
        <x:v>AeroSip Bottle</x:v>
      </x:c>
      <x:c r="F1055" t="str">
        <x:v>Wholesale</x:v>
      </x:c>
      <x:c r="G1055" t="str">
        <x:v>Retailer</x:v>
      </x:c>
      <x:c r="H1055" t="str">
        <x:v>US East</x:v>
      </x:c>
      <x:c r="I1055" s="34" t="n">
        <x:v>52.480000000000004</x:v>
      </x:c>
      <x:c r="J1055" s="38" t="n">
        <x:v>0.9447318400000001</x:v>
      </x:c>
      <x:c r="K1055" s="38" t="n">
        <x:v>0.21074656000000003</x:v>
      </x:c>
      <x:c r="L1055" s="28" t="n">
        <x:v>0.22307553432305194</x:v>
      </x:c>
    </x:row>
    <x:row r="1056">
      <x:c r="A1056" s="32" t="n">
        <x:v>46054</x:v>
      </x:c>
      <x:c r="B1056" t="str">
        <x:v>Feb 2026</x:v>
      </x:c>
      <x:c r="C1056" t="str">
        <x:v>Forecast</x:v>
      </x:c>
      <x:c r="D1056" t="str">
        <x:v>DB-101</x:v>
      </x:c>
      <x:c r="E1056" t="str">
        <x:v>AeroSip Bottle</x:v>
      </x:c>
      <x:c r="F1056" t="str">
        <x:v>Wholesale</x:v>
      </x:c>
      <x:c r="G1056" t="str">
        <x:v>Retailer</x:v>
      </x:c>
      <x:c r="H1056" t="str">
        <x:v>Canada</x:v>
      </x:c>
      <x:c r="I1056" s="34" t="n">
        <x:v>16.400000000000002</x:v>
      </x:c>
      <x:c r="J1056" s="38" t="n">
        <x:v>0.2952287</x:v>
      </x:c>
      <x:c r="K1056" s="38" t="n">
        <x:v>0.06585830000000001</x:v>
      </x:c>
      <x:c r="L1056" s="28" t="n">
        <x:v>0.22307553432305194</x:v>
      </x:c>
    </x:row>
    <x:row r="1057">
      <x:c r="A1057" s="32" t="n">
        <x:v>46054</x:v>
      </x:c>
      <x:c r="B1057" t="str">
        <x:v>Feb 2026</x:v>
      </x:c>
      <x:c r="C1057" t="str">
        <x:v>Forecast</x:v>
      </x:c>
      <x:c r="D1057" t="str">
        <x:v>DB-101</x:v>
      </x:c>
      <x:c r="E1057" t="str">
        <x:v>AeroSip Bottle</x:v>
      </x:c>
      <x:c r="F1057" t="str">
        <x:v>TikTok Shop</x:v>
      </x:c>
      <x:c r="G1057" t="str">
        <x:v>Social Commerce</x:v>
      </x:c>
      <x:c r="H1057" t="str">
        <x:v>US West</x:v>
      </x:c>
      <x:c r="I1057" s="34" t="n">
        <x:v>85.68</x:v>
      </x:c>
      <x:c r="J1057" s="38" t="n">
        <x:v>2.088158688</x:v>
      </x:c>
      <x:c r="K1057" s="38" t="n">
        <x:v>0.3869760847679999</x:v>
      </x:c>
      <x:c r="L1057" s="28" t="n">
        <x:v>0.18531928966501987</x:v>
      </x:c>
    </x:row>
    <x:row r="1058">
      <x:c r="A1058" s="32" t="n">
        <x:v>46054</x:v>
      </x:c>
      <x:c r="B1058" t="str">
        <x:v>Feb 2026</x:v>
      </x:c>
      <x:c r="C1058" t="str">
        <x:v>Forecast</x:v>
      </x:c>
      <x:c r="D1058" t="str">
        <x:v>DB-101</x:v>
      </x:c>
      <x:c r="E1058" t="str">
        <x:v>AeroSip Bottle</x:v>
      </x:c>
      <x:c r="F1058" t="str">
        <x:v>TikTok Shop</x:v>
      </x:c>
      <x:c r="G1058" t="str">
        <x:v>Social Commerce</x:v>
      </x:c>
      <x:c r="H1058" t="str">
        <x:v>US Central</x:v>
      </x:c>
      <x:c r="I1058" s="34" t="n">
        <x:v>60.48</x:v>
      </x:c>
      <x:c r="J1058" s="38" t="n">
        <x:v>1.4739943679999998</x:v>
      </x:c>
      <x:c r="K1058" s="38" t="n">
        <x:v>0.2731595892479999</x:v>
      </x:c>
      <x:c r="L1058" s="28" t="n">
        <x:v>0.18531928966501987</x:v>
      </x:c>
    </x:row>
    <x:row r="1059">
      <x:c r="A1059" s="32" t="n">
        <x:v>46054</x:v>
      </x:c>
      <x:c r="B1059" t="str">
        <x:v>Feb 2026</x:v>
      </x:c>
      <x:c r="C1059" t="str">
        <x:v>Forecast</x:v>
      </x:c>
      <x:c r="D1059" t="str">
        <x:v>DB-101</x:v>
      </x:c>
      <x:c r="E1059" t="str">
        <x:v>AeroSip Bottle</x:v>
      </x:c>
      <x:c r="F1059" t="str">
        <x:v>TikTok Shop</x:v>
      </x:c>
      <x:c r="G1059" t="str">
        <x:v>Social Commerce</x:v>
      </x:c>
      <x:c r="H1059" t="str">
        <x:v>US East</x:v>
      </x:c>
      <x:c r="I1059" s="34" t="n">
        <x:v>80.64</x:v>
      </x:c>
      <x:c r="J1059" s="38" t="n">
        <x:v>1.965325824</x:v>
      </x:c>
      <x:c r="K1059" s="38" t="n">
        <x:v>0.36421278566399984</x:v>
      </x:c>
      <x:c r="L1059" s="28" t="n">
        <x:v>0.18531928966501987</x:v>
      </x:c>
    </x:row>
    <x:row r="1060">
      <x:c r="A1060" s="32" t="n">
        <x:v>46054</x:v>
      </x:c>
      <x:c r="B1060" t="str">
        <x:v>Feb 2026</x:v>
      </x:c>
      <x:c r="C1060" t="str">
        <x:v>Forecast</x:v>
      </x:c>
      <x:c r="D1060" t="str">
        <x:v>DB-101</x:v>
      </x:c>
      <x:c r="E1060" t="str">
        <x:v>AeroSip Bottle</x:v>
      </x:c>
      <x:c r="F1060" t="str">
        <x:v>TikTok Shop</x:v>
      </x:c>
      <x:c r="G1060" t="str">
        <x:v>Social Commerce</x:v>
      </x:c>
      <x:c r="H1060" t="str">
        <x:v>Canada</x:v>
      </x:c>
      <x:c r="I1060" s="34" t="n">
        <x:v>25.200000000000003</x:v>
      </x:c>
      <x:c r="J1060" s="38" t="n">
        <x:v>0.61416432</x:v>
      </x:c>
      <x:c r="K1060" s="38" t="n">
        <x:v>0.11381649551999995</x:v>
      </x:c>
      <x:c r="L1060" s="28" t="n">
        <x:v>0.18531928966501987</x:v>
      </x:c>
    </x:row>
    <x:row r="1061">
      <x:c r="A1061" s="32" t="n">
        <x:v>46054</x:v>
      </x:c>
      <x:c r="B1061" t="str">
        <x:v>Feb 2026</x:v>
      </x:c>
      <x:c r="C1061" t="str">
        <x:v>Forecast</x:v>
      </x:c>
      <x:c r="D1061" t="str">
        <x:v>DB-102</x:v>
      </x:c>
      <x:c r="E1061" t="str">
        <x:v>GlowPatch Balm</x:v>
      </x:c>
      <x:c r="F1061" t="str">
        <x:v>Shopify DTC</x:v>
      </x:c>
      <x:c r="G1061" t="str">
        <x:v>Consumer</x:v>
      </x:c>
      <x:c r="H1061" t="str">
        <x:v>US West</x:v>
      </x:c>
      <x:c r="I1061" s="34" t="n">
        <x:v>340</x:v>
      </x:c>
      <x:c r="J1061" s="38" t="n">
        <x:v>5.48964</x:v>
      </x:c>
      <x:c r="K1061" s="38" t="n">
        <x:v>1.5170004399999986</x:v>
      </x:c>
      <x:c r="L1061" s="28" t="n">
        <x:v>0.2763387835996529</x:v>
      </x:c>
    </x:row>
    <x:row r="1062">
      <x:c r="A1062" s="32" t="n">
        <x:v>46054</x:v>
      </x:c>
      <x:c r="B1062" t="str">
        <x:v>Feb 2026</x:v>
      </x:c>
      <x:c r="C1062" t="str">
        <x:v>Forecast</x:v>
      </x:c>
      <x:c r="D1062" t="str">
        <x:v>DB-102</x:v>
      </x:c>
      <x:c r="E1062" t="str">
        <x:v>GlowPatch Balm</x:v>
      </x:c>
      <x:c r="F1062" t="str">
        <x:v>Shopify DTC</x:v>
      </x:c>
      <x:c r="G1062" t="str">
        <x:v>Consumer</x:v>
      </x:c>
      <x:c r="H1062" t="str">
        <x:v>US Central</x:v>
      </x:c>
      <x:c r="I1062" s="34" t="n">
        <x:v>240</x:v>
      </x:c>
      <x:c r="J1062" s="38" t="n">
        <x:v>3.8750399999999994</x:v>
      </x:c>
      <x:c r="K1062" s="38" t="n">
        <x:v>1.070823839999999</x:v>
      </x:c>
      <x:c r="L1062" s="28" t="n">
        <x:v>0.27633878359965297</x:v>
      </x:c>
    </x:row>
    <x:row r="1063">
      <x:c r="A1063" s="32" t="n">
        <x:v>46054</x:v>
      </x:c>
      <x:c r="B1063" t="str">
        <x:v>Feb 2026</x:v>
      </x:c>
      <x:c r="C1063" t="str">
        <x:v>Forecast</x:v>
      </x:c>
      <x:c r="D1063" t="str">
        <x:v>DB-102</x:v>
      </x:c>
      <x:c r="E1063" t="str">
        <x:v>GlowPatch Balm</x:v>
      </x:c>
      <x:c r="F1063" t="str">
        <x:v>Shopify DTC</x:v>
      </x:c>
      <x:c r="G1063" t="str">
        <x:v>Consumer</x:v>
      </x:c>
      <x:c r="H1063" t="str">
        <x:v>US East</x:v>
      </x:c>
      <x:c r="I1063" s="34" t="n">
        <x:v>320</x:v>
      </x:c>
      <x:c r="J1063" s="38" t="n">
        <x:v>5.166719999999999</x:v>
      </x:c>
      <x:c r="K1063" s="38" t="n">
        <x:v>1.4277651199999986</x:v>
      </x:c>
      <x:c r="L1063" s="28" t="n">
        <x:v>0.27633878359965297</x:v>
      </x:c>
    </x:row>
    <x:row r="1064">
      <x:c r="A1064" s="32" t="n">
        <x:v>46054</x:v>
      </x:c>
      <x:c r="B1064" t="str">
        <x:v>Feb 2026</x:v>
      </x:c>
      <x:c r="C1064" t="str">
        <x:v>Forecast</x:v>
      </x:c>
      <x:c r="D1064" t="str">
        <x:v>DB-102</x:v>
      </x:c>
      <x:c r="E1064" t="str">
        <x:v>GlowPatch Balm</x:v>
      </x:c>
      <x:c r="F1064" t="str">
        <x:v>Shopify DTC</x:v>
      </x:c>
      <x:c r="G1064" t="str">
        <x:v>Consumer</x:v>
      </x:c>
      <x:c r="H1064" t="str">
        <x:v>Canada</x:v>
      </x:c>
      <x:c r="I1064" s="34" t="n">
        <x:v>100</x:v>
      </x:c>
      <x:c r="J1064" s="38" t="n">
        <x:v>1.6145999999999998</x:v>
      </x:c>
      <x:c r="K1064" s="38" t="n">
        <x:v>0.4461765999999996</x:v>
      </x:c>
      <x:c r="L1064" s="28" t="n">
        <x:v>0.27633878359965297</x:v>
      </x:c>
    </x:row>
    <x:row r="1065">
      <x:c r="A1065" s="32" t="n">
        <x:v>46054</x:v>
      </x:c>
      <x:c r="B1065" t="str">
        <x:v>Feb 2026</x:v>
      </x:c>
      <x:c r="C1065" t="str">
        <x:v>Forecast</x:v>
      </x:c>
      <x:c r="D1065" t="str">
        <x:v>DB-102</x:v>
      </x:c>
      <x:c r="E1065" t="str">
        <x:v>GlowPatch Balm</x:v>
      </x:c>
      <x:c r="F1065" t="str">
        <x:v>Amazon Marketplace</x:v>
      </x:c>
      <x:c r="G1065" t="str">
        <x:v>Marketplace Consumer</x:v>
      </x:c>
      <x:c r="H1065" t="str">
        <x:v>US West</x:v>
      </x:c>
      <x:c r="I1065" s="34" t="n">
        <x:v>201.28</x:v>
      </x:c>
      <x:c r="J1065" s="38" t="n">
        <x:v>3.3558408</x:v>
      </x:c>
      <x:c r="K1065" s="38" t="n">
        <x:v>0.2829241999999999</x:v>
      </x:c>
      <x:c r="L1065" s="28" t="n">
        <x:v>0.08430799220272901</x:v>
      </x:c>
    </x:row>
    <x:row r="1066">
      <x:c r="A1066" s="32" t="n">
        <x:v>46054</x:v>
      </x:c>
      <x:c r="B1066" t="str">
        <x:v>Feb 2026</x:v>
      </x:c>
      <x:c r="C1066" t="str">
        <x:v>Forecast</x:v>
      </x:c>
      <x:c r="D1066" t="str">
        <x:v>DB-102</x:v>
      </x:c>
      <x:c r="E1066" t="str">
        <x:v>GlowPatch Balm</x:v>
      </x:c>
      <x:c r="F1066" t="str">
        <x:v>Amazon Marketplace</x:v>
      </x:c>
      <x:c r="G1066" t="str">
        <x:v>Marketplace Consumer</x:v>
      </x:c>
      <x:c r="H1066" t="str">
        <x:v>US Central</x:v>
      </x:c>
      <x:c r="I1066" s="34" t="n">
        <x:v>142.07999999999998</x:v>
      </x:c>
      <x:c r="J1066" s="38" t="n">
        <x:v>2.3688287999999997</x:v>
      </x:c>
      <x:c r="K1066" s="38" t="n">
        <x:v>0.1997111999999999</x:v>
      </x:c>
      <x:c r="L1066" s="28" t="n">
        <x:v>0.08430799220272901</x:v>
      </x:c>
    </x:row>
    <x:row r="1067">
      <x:c r="A1067" s="32" t="n">
        <x:v>46054</x:v>
      </x:c>
      <x:c r="B1067" t="str">
        <x:v>Feb 2026</x:v>
      </x:c>
      <x:c r="C1067" t="str">
        <x:v>Forecast</x:v>
      </x:c>
      <x:c r="D1067" t="str">
        <x:v>DB-102</x:v>
      </x:c>
      <x:c r="E1067" t="str">
        <x:v>GlowPatch Balm</x:v>
      </x:c>
      <x:c r="F1067" t="str">
        <x:v>Amazon Marketplace</x:v>
      </x:c>
      <x:c r="G1067" t="str">
        <x:v>Marketplace Consumer</x:v>
      </x:c>
      <x:c r="H1067" t="str">
        <x:v>US East</x:v>
      </x:c>
      <x:c r="I1067" s="34" t="n">
        <x:v>189.44</x:v>
      </x:c>
      <x:c r="J1067" s="38" t="n">
        <x:v>3.1584384</x:v>
      </x:c>
      <x:c r="K1067" s="38" t="n">
        <x:v>0.2662815999999999</x:v>
      </x:c>
      <x:c r="L1067" s="28" t="n">
        <x:v>0.08430799220272901</x:v>
      </x:c>
    </x:row>
    <x:row r="1068">
      <x:c r="A1068" s="32" t="n">
        <x:v>46054</x:v>
      </x:c>
      <x:c r="B1068" t="str">
        <x:v>Feb 2026</x:v>
      </x:c>
      <x:c r="C1068" t="str">
        <x:v>Forecast</x:v>
      </x:c>
      <x:c r="D1068" t="str">
        <x:v>DB-102</x:v>
      </x:c>
      <x:c r="E1068" t="str">
        <x:v>GlowPatch Balm</x:v>
      </x:c>
      <x:c r="F1068" t="str">
        <x:v>Amazon Marketplace</x:v>
      </x:c>
      <x:c r="G1068" t="str">
        <x:v>Marketplace Consumer</x:v>
      </x:c>
      <x:c r="H1068" t="str">
        <x:v>Canada</x:v>
      </x:c>
      <x:c r="I1068" s="34" t="n">
        <x:v>59.2</x:v>
      </x:c>
      <x:c r="J1068" s="38" t="n">
        <x:v>0.987012</x:v>
      </x:c>
      <x:c r="K1068" s="38" t="n">
        <x:v>0.08321299999999997</x:v>
      </x:c>
      <x:c r="L1068" s="28" t="n">
        <x:v>0.08430799220272901</x:v>
      </x:c>
    </x:row>
    <x:row r="1069">
      <x:c r="A1069" s="32" t="n">
        <x:v>46054</x:v>
      </x:c>
      <x:c r="B1069" t="str">
        <x:v>Feb 2026</x:v>
      </x:c>
      <x:c r="C1069" t="str">
        <x:v>Forecast</x:v>
      </x:c>
      <x:c r="D1069" t="str">
        <x:v>DB-102</x:v>
      </x:c>
      <x:c r="E1069" t="str">
        <x:v>GlowPatch Balm</x:v>
      </x:c>
      <x:c r="F1069" t="str">
        <x:v>Wholesale</x:v>
      </x:c>
      <x:c r="G1069" t="str">
        <x:v>Retailer</x:v>
      </x:c>
      <x:c r="H1069" t="str">
        <x:v>US West</x:v>
      </x:c>
      <x:c r="I1069" s="34" t="n">
        <x:v>55.760000000000005</x:v>
      </x:c>
      <x:c r="J1069" s="38" t="n">
        <x:v>0.6360822</x:v>
      </x:c>
      <x:c r="K1069" s="38" t="n">
        <x:v>0.15844204000000003</x:v>
      </x:c>
      <x:c r="L1069" s="28" t="n">
        <x:v>0.2490905106289722</x:v>
      </x:c>
    </x:row>
    <x:row r="1070">
      <x:c r="A1070" s="32" t="n">
        <x:v>46054</x:v>
      </x:c>
      <x:c r="B1070" t="str">
        <x:v>Feb 2026</x:v>
      </x:c>
      <x:c r="C1070" t="str">
        <x:v>Forecast</x:v>
      </x:c>
      <x:c r="D1070" t="str">
        <x:v>DB-102</x:v>
      </x:c>
      <x:c r="E1070" t="str">
        <x:v>GlowPatch Balm</x:v>
      </x:c>
      <x:c r="F1070" t="str">
        <x:v>Wholesale</x:v>
      </x:c>
      <x:c r="G1070" t="str">
        <x:v>Retailer</x:v>
      </x:c>
      <x:c r="H1070" t="str">
        <x:v>US Central</x:v>
      </x:c>
      <x:c r="I1070" s="34" t="n">
        <x:v>39.36</x:v>
      </x:c>
      <x:c r="J1070" s="38" t="n">
        <x:v>0.4489992</x:v>
      </x:c>
      <x:c r="K1070" s="38" t="n">
        <x:v>0.11184144</x:v>
      </x:c>
      <x:c r="L1070" s="28" t="n">
        <x:v>0.24909051062897217</x:v>
      </x:c>
    </x:row>
    <x:row r="1071">
      <x:c r="A1071" s="32" t="n">
        <x:v>46054</x:v>
      </x:c>
      <x:c r="B1071" t="str">
        <x:v>Feb 2026</x:v>
      </x:c>
      <x:c r="C1071" t="str">
        <x:v>Forecast</x:v>
      </x:c>
      <x:c r="D1071" t="str">
        <x:v>DB-102</x:v>
      </x:c>
      <x:c r="E1071" t="str">
        <x:v>GlowPatch Balm</x:v>
      </x:c>
      <x:c r="F1071" t="str">
        <x:v>Wholesale</x:v>
      </x:c>
      <x:c r="G1071" t="str">
        <x:v>Retailer</x:v>
      </x:c>
      <x:c r="H1071" t="str">
        <x:v>US East</x:v>
      </x:c>
      <x:c r="I1071" s="34" t="n">
        <x:v>52.480000000000004</x:v>
      </x:c>
      <x:c r="J1071" s="38" t="n">
        <x:v>0.5986656</x:v>
      </x:c>
      <x:c r="K1071" s="38" t="n">
        <x:v>0.14912192000000002</x:v>
      </x:c>
      <x:c r="L1071" s="28" t="n">
        <x:v>0.2490905106289722</x:v>
      </x:c>
    </x:row>
    <x:row r="1072">
      <x:c r="A1072" s="32" t="n">
        <x:v>46054</x:v>
      </x:c>
      <x:c r="B1072" t="str">
        <x:v>Feb 2026</x:v>
      </x:c>
      <x:c r="C1072" t="str">
        <x:v>Forecast</x:v>
      </x:c>
      <x:c r="D1072" t="str">
        <x:v>DB-102</x:v>
      </x:c>
      <x:c r="E1072" t="str">
        <x:v>GlowPatch Balm</x:v>
      </x:c>
      <x:c r="F1072" t="str">
        <x:v>Wholesale</x:v>
      </x:c>
      <x:c r="G1072" t="str">
        <x:v>Retailer</x:v>
      </x:c>
      <x:c r="H1072" t="str">
        <x:v>Canada</x:v>
      </x:c>
      <x:c r="I1072" s="34" t="n">
        <x:v>16.400000000000002</x:v>
      </x:c>
      <x:c r="J1072" s="38" t="n">
        <x:v>0.187083</x:v>
      </x:c>
      <x:c r="K1072" s="38" t="n">
        <x:v>0.046600600000000006</x:v>
      </x:c>
      <x:c r="L1072" s="28" t="n">
        <x:v>0.2490905106289722</x:v>
      </x:c>
    </x:row>
    <x:row r="1073">
      <x:c r="A1073" s="32" t="n">
        <x:v>46054</x:v>
      </x:c>
      <x:c r="B1073" t="str">
        <x:v>Feb 2026</x:v>
      </x:c>
      <x:c r="C1073" t="str">
        <x:v>Forecast</x:v>
      </x:c>
      <x:c r="D1073" t="str">
        <x:v>DB-102</x:v>
      </x:c>
      <x:c r="E1073" t="str">
        <x:v>GlowPatch Balm</x:v>
      </x:c>
      <x:c r="F1073" t="str">
        <x:v>TikTok Shop</x:v>
      </x:c>
      <x:c r="G1073" t="str">
        <x:v>Social Commerce</x:v>
      </x:c>
      <x:c r="H1073" t="str">
        <x:v>US West</x:v>
      </x:c>
      <x:c r="I1073" s="34" t="n">
        <x:v>85.68</x:v>
      </x:c>
      <x:c r="J1073" s="38" t="n">
        <x:v>1.32324192</x:v>
      </x:c>
      <x:c r="K1073" s="38" t="n">
        <x:v>0.15452250911999998</x:v>
      </x:c>
      <x:c r="L1073" s="28" t="n">
        <x:v>0.11677570577570576</x:v>
      </x:c>
    </x:row>
    <x:row r="1074">
      <x:c r="A1074" s="32" t="n">
        <x:v>46054</x:v>
      </x:c>
      <x:c r="B1074" t="str">
        <x:v>Feb 2026</x:v>
      </x:c>
      <x:c r="C1074" t="str">
        <x:v>Forecast</x:v>
      </x:c>
      <x:c r="D1074" t="str">
        <x:v>DB-102</x:v>
      </x:c>
      <x:c r="E1074" t="str">
        <x:v>GlowPatch Balm</x:v>
      </x:c>
      <x:c r="F1074" t="str">
        <x:v>TikTok Shop</x:v>
      </x:c>
      <x:c r="G1074" t="str">
        <x:v>Social Commerce</x:v>
      </x:c>
      <x:c r="H1074" t="str">
        <x:v>US Central</x:v>
      </x:c>
      <x:c r="I1074" s="34" t="n">
        <x:v>60.48</x:v>
      </x:c>
      <x:c r="J1074" s="38" t="n">
        <x:v>0.93405312</x:v>
      </x:c>
      <x:c r="K1074" s="38" t="n">
        <x:v>0.10907471231999999</x:v>
      </x:c>
      <x:c r="L1074" s="28" t="n">
        <x:v>0.11677570577570577</x:v>
      </x:c>
    </x:row>
    <x:row r="1075">
      <x:c r="A1075" s="32" t="n">
        <x:v>46054</x:v>
      </x:c>
      <x:c r="B1075" t="str">
        <x:v>Feb 2026</x:v>
      </x:c>
      <x:c r="C1075" t="str">
        <x:v>Forecast</x:v>
      </x:c>
      <x:c r="D1075" t="str">
        <x:v>DB-102</x:v>
      </x:c>
      <x:c r="E1075" t="str">
        <x:v>GlowPatch Balm</x:v>
      </x:c>
      <x:c r="F1075" t="str">
        <x:v>TikTok Shop</x:v>
      </x:c>
      <x:c r="G1075" t="str">
        <x:v>Social Commerce</x:v>
      </x:c>
      <x:c r="H1075" t="str">
        <x:v>US East</x:v>
      </x:c>
      <x:c r="I1075" s="34" t="n">
        <x:v>80.64</x:v>
      </x:c>
      <x:c r="J1075" s="38" t="n">
        <x:v>1.2454041599999999</x:v>
      </x:c>
      <x:c r="K1075" s="38" t="n">
        <x:v>0.14543294975999999</x:v>
      </x:c>
      <x:c r="L1075" s="28" t="n">
        <x:v>0.11677570577570577</x:v>
      </x:c>
    </x:row>
    <x:row r="1076">
      <x:c r="A1076" s="32" t="n">
        <x:v>46054</x:v>
      </x:c>
      <x:c r="B1076" t="str">
        <x:v>Feb 2026</x:v>
      </x:c>
      <x:c r="C1076" t="str">
        <x:v>Forecast</x:v>
      </x:c>
      <x:c r="D1076" t="str">
        <x:v>DB-102</x:v>
      </x:c>
      <x:c r="E1076" t="str">
        <x:v>GlowPatch Balm</x:v>
      </x:c>
      <x:c r="F1076" t="str">
        <x:v>TikTok Shop</x:v>
      </x:c>
      <x:c r="G1076" t="str">
        <x:v>Social Commerce</x:v>
      </x:c>
      <x:c r="H1076" t="str">
        <x:v>Canada</x:v>
      </x:c>
      <x:c r="I1076" s="34" t="n">
        <x:v>25.200000000000003</x:v>
      </x:c>
      <x:c r="J1076" s="38" t="n">
        <x:v>0.3891888</x:v>
      </x:c>
      <x:c r="K1076" s="38" t="n">
        <x:v>0.045447796799999995</x:v>
      </x:c>
      <x:c r="L1076" s="28" t="n">
        <x:v>0.11677570577570576</x:v>
      </x:c>
    </x:row>
    <x:row r="1077">
      <x:c r="A1077" s="32" t="n">
        <x:v>46054</x:v>
      </x:c>
      <x:c r="B1077" t="str">
        <x:v>Feb 2026</x:v>
      </x:c>
      <x:c r="C1077" t="str">
        <x:v>Forecast</x:v>
      </x:c>
      <x:c r="D1077" t="str">
        <x:v>DB-103</x:v>
      </x:c>
      <x:c r="E1077" t="str">
        <x:v>EmberTrail Camp Mug</x:v>
      </x:c>
      <x:c r="F1077" t="str">
        <x:v>Shopify DTC</x:v>
      </x:c>
      <x:c r="G1077" t="str">
        <x:v>Consumer</x:v>
      </x:c>
      <x:c r="H1077" t="str">
        <x:v>US West</x:v>
      </x:c>
      <x:c r="I1077" s="34" t="n">
        <x:v>240.72000000000003</x:v>
      </x:c>
      <x:c r="J1077" s="38" t="n">
        <x:v>7.115586912</x:v>
      </x:c>
      <x:c r="K1077" s="38" t="n">
        <x:v>2.2089361715519993</x:v>
      </x:c>
      <x:c r="L1077" s="28" t="n">
        <x:v>0.31043625759482524</x:v>
      </x:c>
    </x:row>
    <x:row r="1078">
      <x:c r="A1078" s="32" t="n">
        <x:v>46054</x:v>
      </x:c>
      <x:c r="B1078" t="str">
        <x:v>Feb 2026</x:v>
      </x:c>
      <x:c r="C1078" t="str">
        <x:v>Forecast</x:v>
      </x:c>
      <x:c r="D1078" t="str">
        <x:v>DB-103</x:v>
      </x:c>
      <x:c r="E1078" t="str">
        <x:v>EmberTrail Camp Mug</x:v>
      </x:c>
      <x:c r="F1078" t="str">
        <x:v>Shopify DTC</x:v>
      </x:c>
      <x:c r="G1078" t="str">
        <x:v>Consumer</x:v>
      </x:c>
      <x:c r="H1078" t="str">
        <x:v>US Central</x:v>
      </x:c>
      <x:c r="I1078" s="34" t="n">
        <x:v>169.92</x:v>
      </x:c>
      <x:c r="J1078" s="38" t="n">
        <x:v>5.022767232</x:v>
      </x:c>
      <x:c r="K1078" s="38" t="n">
        <x:v>1.5592490622719994</x:v>
      </x:c>
      <x:c r="L1078" s="28" t="n">
        <x:v>0.3104362575948253</x:v>
      </x:c>
    </x:row>
    <x:row r="1079">
      <x:c r="A1079" s="32" t="n">
        <x:v>46054</x:v>
      </x:c>
      <x:c r="B1079" t="str">
        <x:v>Feb 2026</x:v>
      </x:c>
      <x:c r="C1079" t="str">
        <x:v>Forecast</x:v>
      </x:c>
      <x:c r="D1079" t="str">
        <x:v>DB-103</x:v>
      </x:c>
      <x:c r="E1079" t="str">
        <x:v>EmberTrail Camp Mug</x:v>
      </x:c>
      <x:c r="F1079" t="str">
        <x:v>Shopify DTC</x:v>
      </x:c>
      <x:c r="G1079" t="str">
        <x:v>Consumer</x:v>
      </x:c>
      <x:c r="H1079" t="str">
        <x:v>US East</x:v>
      </x:c>
      <x:c r="I1079" s="34" t="n">
        <x:v>226.56</x:v>
      </x:c>
      <x:c r="J1079" s="38" t="n">
        <x:v>6.6970229759999995</x:v>
      </x:c>
      <x:c r="K1079" s="38" t="n">
        <x:v>2.0789987496959994</x:v>
      </x:c>
      <x:c r="L1079" s="28" t="n">
        <x:v>0.3104362575948253</x:v>
      </x:c>
    </x:row>
    <x:row r="1080">
      <x:c r="A1080" s="32" t="n">
        <x:v>46054</x:v>
      </x:c>
      <x:c r="B1080" t="str">
        <x:v>Feb 2026</x:v>
      </x:c>
      <x:c r="C1080" t="str">
        <x:v>Forecast</x:v>
      </x:c>
      <x:c r="D1080" t="str">
        <x:v>DB-103</x:v>
      </x:c>
      <x:c r="E1080" t="str">
        <x:v>EmberTrail Camp Mug</x:v>
      </x:c>
      <x:c r="F1080" t="str">
        <x:v>Shopify DTC</x:v>
      </x:c>
      <x:c r="G1080" t="str">
        <x:v>Consumer</x:v>
      </x:c>
      <x:c r="H1080" t="str">
        <x:v>Canada</x:v>
      </x:c>
      <x:c r="I1080" s="34" t="n">
        <x:v>70.8</x:v>
      </x:c>
      <x:c r="J1080" s="38" t="n">
        <x:v>2.09281968</x:v>
      </x:c>
      <x:c r="K1080" s="38" t="n">
        <x:v>0.6496871092799998</x:v>
      </x:c>
      <x:c r="L1080" s="28" t="n">
        <x:v>0.3104362575948253</x:v>
      </x:c>
    </x:row>
    <x:row r="1081">
      <x:c r="A1081" s="32" t="n">
        <x:v>46054</x:v>
      </x:c>
      <x:c r="B1081" t="str">
        <x:v>Feb 2026</x:v>
      </x:c>
      <x:c r="C1081" t="str">
        <x:v>Forecast</x:v>
      </x:c>
      <x:c r="D1081" t="str">
        <x:v>DB-103</x:v>
      </x:c>
      <x:c r="E1081" t="str">
        <x:v>EmberTrail Camp Mug</x:v>
      </x:c>
      <x:c r="F1081" t="str">
        <x:v>Amazon Marketplace</x:v>
      </x:c>
      <x:c r="G1081" t="str">
        <x:v>Marketplace Consumer</x:v>
      </x:c>
      <x:c r="H1081" t="str">
        <x:v>US West</x:v>
      </x:c>
      <x:c r="I1081" s="34" t="n">
        <x:v>141.44</x:v>
      </x:c>
      <x:c r="J1081" s="38" t="n">
        <x:v>4.31724384</x:v>
      </x:c>
      <x:c r="K1081" s="38" t="n">
        <x:v>0.6886678239999996</x:v>
      </x:c>
      <x:c r="L1081" s="28" t="n">
        <x:v>0.15951561911314224</x:v>
      </x:c>
    </x:row>
    <x:row r="1082">
      <x:c r="A1082" s="32" t="n">
        <x:v>46054</x:v>
      </x:c>
      <x:c r="B1082" t="str">
        <x:v>Feb 2026</x:v>
      </x:c>
      <x:c r="C1082" t="str">
        <x:v>Forecast</x:v>
      </x:c>
      <x:c r="D1082" t="str">
        <x:v>DB-103</x:v>
      </x:c>
      <x:c r="E1082" t="str">
        <x:v>EmberTrail Camp Mug</x:v>
      </x:c>
      <x:c r="F1082" t="str">
        <x:v>Amazon Marketplace</x:v>
      </x:c>
      <x:c r="G1082" t="str">
        <x:v>Marketplace Consumer</x:v>
      </x:c>
      <x:c r="H1082" t="str">
        <x:v>US Central</x:v>
      </x:c>
      <x:c r="I1082" s="34" t="n">
        <x:v>99.84</x:v>
      </x:c>
      <x:c r="J1082" s="38" t="n">
        <x:v>3.04746624</x:v>
      </x:c>
      <x:c r="K1082" s="38" t="n">
        <x:v>0.48611846399999964</x:v>
      </x:c>
      <x:c r="L1082" s="28" t="n">
        <x:v>0.15951561911314222</x:v>
      </x:c>
    </x:row>
    <x:row r="1083">
      <x:c r="A1083" s="32" t="n">
        <x:v>46054</x:v>
      </x:c>
      <x:c r="B1083" t="str">
        <x:v>Feb 2026</x:v>
      </x:c>
      <x:c r="C1083" t="str">
        <x:v>Forecast</x:v>
      </x:c>
      <x:c r="D1083" t="str">
        <x:v>DB-103</x:v>
      </x:c>
      <x:c r="E1083" t="str">
        <x:v>EmberTrail Camp Mug</x:v>
      </x:c>
      <x:c r="F1083" t="str">
        <x:v>Amazon Marketplace</x:v>
      </x:c>
      <x:c r="G1083" t="str">
        <x:v>Marketplace Consumer</x:v>
      </x:c>
      <x:c r="H1083" t="str">
        <x:v>US East</x:v>
      </x:c>
      <x:c r="I1083" s="34" t="n">
        <x:v>133.12</x:v>
      </x:c>
      <x:c r="J1083" s="38" t="n">
        <x:v>4.06328832</x:v>
      </x:c>
      <x:c r="K1083" s="38" t="n">
        <x:v>0.6481579519999996</x:v>
      </x:c>
      <x:c r="L1083" s="28" t="n">
        <x:v>0.15951561911314224</x:v>
      </x:c>
    </x:row>
    <x:row r="1084">
      <x:c r="A1084" s="32" t="n">
        <x:v>46054</x:v>
      </x:c>
      <x:c r="B1084" t="str">
        <x:v>Feb 2026</x:v>
      </x:c>
      <x:c r="C1084" t="str">
        <x:v>Forecast</x:v>
      </x:c>
      <x:c r="D1084" t="str">
        <x:v>DB-103</x:v>
      </x:c>
      <x:c r="E1084" t="str">
        <x:v>EmberTrail Camp Mug</x:v>
      </x:c>
      <x:c r="F1084" t="str">
        <x:v>Amazon Marketplace</x:v>
      </x:c>
      <x:c r="G1084" t="str">
        <x:v>Marketplace Consumer</x:v>
      </x:c>
      <x:c r="H1084" t="str">
        <x:v>Canada</x:v>
      </x:c>
      <x:c r="I1084" s="34" t="n">
        <x:v>41.6</x:v>
      </x:c>
      <x:c r="J1084" s="38" t="n">
        <x:v>1.2697776</x:v>
      </x:c>
      <x:c r="K1084" s="38" t="n">
        <x:v>0.20254935999999987</x:v>
      </x:c>
      <x:c r="L1084" s="28" t="n">
        <x:v>0.15951561911314222</x:v>
      </x:c>
    </x:row>
    <x:row r="1085">
      <x:c r="A1085" s="32" t="n">
        <x:v>46054</x:v>
      </x:c>
      <x:c r="B1085" t="str">
        <x:v>Feb 2026</x:v>
      </x:c>
      <x:c r="C1085" t="str">
        <x:v>Forecast</x:v>
      </x:c>
      <x:c r="D1085" t="str">
        <x:v>DB-103</x:v>
      </x:c>
      <x:c r="E1085" t="str">
        <x:v>EmberTrail Camp Mug</x:v>
      </x:c>
      <x:c r="F1085" t="str">
        <x:v>Wholesale</x:v>
      </x:c>
      <x:c r="G1085" t="str">
        <x:v>Retailer</x:v>
      </x:c>
      <x:c r="H1085" t="str">
        <x:v>US West</x:v>
      </x:c>
      <x:c r="I1085" s="34" t="n">
        <x:v>39.440000000000005</x:v>
      </x:c>
      <x:c r="J1085" s="38" t="n">
        <x:v>0.8236846800000001</x:v>
      </x:c>
      <x:c r="K1085" s="38" t="n">
        <x:v>0.15809524</x:v>
      </x:c>
      <x:c r="L1085" s="28" t="n">
        <x:v>0.19193660370130958</x:v>
      </x:c>
    </x:row>
    <x:row r="1086">
      <x:c r="A1086" s="32" t="n">
        <x:v>46054</x:v>
      </x:c>
      <x:c r="B1086" t="str">
        <x:v>Feb 2026</x:v>
      </x:c>
      <x:c r="C1086" t="str">
        <x:v>Forecast</x:v>
      </x:c>
      <x:c r="D1086" t="str">
        <x:v>DB-103</x:v>
      </x:c>
      <x:c r="E1086" t="str">
        <x:v>EmberTrail Camp Mug</x:v>
      </x:c>
      <x:c r="F1086" t="str">
        <x:v>Wholesale</x:v>
      </x:c>
      <x:c r="G1086" t="str">
        <x:v>Retailer</x:v>
      </x:c>
      <x:c r="H1086" t="str">
        <x:v>US Central</x:v>
      </x:c>
      <x:c r="I1086" s="34" t="n">
        <x:v>27.84</x:v>
      </x:c>
      <x:c r="J1086" s="38" t="n">
        <x:v>0.5814244799999999</x:v>
      </x:c>
      <x:c r="K1086" s="38" t="n">
        <x:v>0.11159663999999998</x:v>
      </x:c>
      <x:c r="L1086" s="28" t="n">
        <x:v>0.19193660370130958</x:v>
      </x:c>
    </x:row>
    <x:row r="1087">
      <x:c r="A1087" s="32" t="n">
        <x:v>46054</x:v>
      </x:c>
      <x:c r="B1087" t="str">
        <x:v>Feb 2026</x:v>
      </x:c>
      <x:c r="C1087" t="str">
        <x:v>Forecast</x:v>
      </x:c>
      <x:c r="D1087" t="str">
        <x:v>DB-103</x:v>
      </x:c>
      <x:c r="E1087" t="str">
        <x:v>EmberTrail Camp Mug</x:v>
      </x:c>
      <x:c r="F1087" t="str">
        <x:v>Wholesale</x:v>
      </x:c>
      <x:c r="G1087" t="str">
        <x:v>Retailer</x:v>
      </x:c>
      <x:c r="H1087" t="str">
        <x:v>US East</x:v>
      </x:c>
      <x:c r="I1087" s="34" t="n">
        <x:v>37.12</x:v>
      </x:c>
      <x:c r="J1087" s="38" t="n">
        <x:v>0.77523264</x:v>
      </x:c>
      <x:c r="K1087" s="38" t="n">
        <x:v>0.14879552</x:v>
      </x:c>
      <x:c r="L1087" s="28" t="n">
        <x:v>0.19193660370130955</x:v>
      </x:c>
    </x:row>
    <x:row r="1088">
      <x:c r="A1088" s="32" t="n">
        <x:v>46054</x:v>
      </x:c>
      <x:c r="B1088" t="str">
        <x:v>Feb 2026</x:v>
      </x:c>
      <x:c r="C1088" t="str">
        <x:v>Forecast</x:v>
      </x:c>
      <x:c r="D1088" t="str">
        <x:v>DB-103</x:v>
      </x:c>
      <x:c r="E1088" t="str">
        <x:v>EmberTrail Camp Mug</x:v>
      </x:c>
      <x:c r="F1088" t="str">
        <x:v>Wholesale</x:v>
      </x:c>
      <x:c r="G1088" t="str">
        <x:v>Retailer</x:v>
      </x:c>
      <x:c r="H1088" t="str">
        <x:v>Canada</x:v>
      </x:c>
      <x:c r="I1088" s="34" t="n">
        <x:v>11.600000000000001</x:v>
      </x:c>
      <x:c r="J1088" s="38" t="n">
        <x:v>0.2422602</x:v>
      </x:c>
      <x:c r="K1088" s="38" t="n">
        <x:v>0.0464986</x:v>
      </x:c>
      <x:c r="L1088" s="28" t="n">
        <x:v>0.19193660370130958</x:v>
      </x:c>
    </x:row>
    <x:row r="1089">
      <x:c r="A1089" s="32" t="n">
        <x:v>46054</x:v>
      </x:c>
      <x:c r="B1089" t="str">
        <x:v>Feb 2026</x:v>
      </x:c>
      <x:c r="C1089" t="str">
        <x:v>Forecast</x:v>
      </x:c>
      <x:c r="D1089" t="str">
        <x:v>DB-103</x:v>
      </x:c>
      <x:c r="E1089" t="str">
        <x:v>EmberTrail Camp Mug</x:v>
      </x:c>
      <x:c r="F1089" t="str">
        <x:v>TikTok Shop</x:v>
      </x:c>
      <x:c r="G1089" t="str">
        <x:v>Social Commerce</x:v>
      </x:c>
      <x:c r="H1089" t="str">
        <x:v>US West</x:v>
      </x:c>
      <x:c r="I1089" s="34" t="n">
        <x:v>61.2</x:v>
      </x:c>
      <x:c r="J1089" s="38" t="n">
        <x:v>1.7303932800000001</x:v>
      </x:c>
      <x:c r="K1089" s="38" t="n">
        <x:v>0.31713707808</x:v>
      </x:c>
      <x:c r="L1089" s="28" t="n">
        <x:v>0.18327456639221346</x:v>
      </x:c>
    </x:row>
    <x:row r="1090">
      <x:c r="A1090" s="32" t="n">
        <x:v>46054</x:v>
      </x:c>
      <x:c r="B1090" t="str">
        <x:v>Feb 2026</x:v>
      </x:c>
      <x:c r="C1090" t="str">
        <x:v>Forecast</x:v>
      </x:c>
      <x:c r="D1090" t="str">
        <x:v>DB-103</x:v>
      </x:c>
      <x:c r="E1090" t="str">
        <x:v>EmberTrail Camp Mug</x:v>
      </x:c>
      <x:c r="F1090" t="str">
        <x:v>TikTok Shop</x:v>
      </x:c>
      <x:c r="G1090" t="str">
        <x:v>Social Commerce</x:v>
      </x:c>
      <x:c r="H1090" t="str">
        <x:v>US Central</x:v>
      </x:c>
      <x:c r="I1090" s="34" t="n">
        <x:v>43.199999999999996</x:v>
      </x:c>
      <x:c r="J1090" s="38" t="n">
        <x:v>1.22145408</x:v>
      </x:c>
      <x:c r="K1090" s="38" t="n">
        <x:v>0.22386146688</x:v>
      </x:c>
      <x:c r="L1090" s="28" t="n">
        <x:v>0.18327456639221346</x:v>
      </x:c>
    </x:row>
    <x:row r="1091">
      <x:c r="A1091" s="32" t="n">
        <x:v>46054</x:v>
      </x:c>
      <x:c r="B1091" t="str">
        <x:v>Feb 2026</x:v>
      </x:c>
      <x:c r="C1091" t="str">
        <x:v>Forecast</x:v>
      </x:c>
      <x:c r="D1091" t="str">
        <x:v>DB-103</x:v>
      </x:c>
      <x:c r="E1091" t="str">
        <x:v>EmberTrail Camp Mug</x:v>
      </x:c>
      <x:c r="F1091" t="str">
        <x:v>TikTok Shop</x:v>
      </x:c>
      <x:c r="G1091" t="str">
        <x:v>Social Commerce</x:v>
      </x:c>
      <x:c r="H1091" t="str">
        <x:v>US East</x:v>
      </x:c>
      <x:c r="I1091" s="34" t="n">
        <x:v>57.6</x:v>
      </x:c>
      <x:c r="J1091" s="38" t="n">
        <x:v>1.62860544</x:v>
      </x:c>
      <x:c r="K1091" s="38" t="n">
        <x:v>0.29848195584</x:v>
      </x:c>
      <x:c r="L1091" s="28" t="n">
        <x:v>0.18327456639221343</x:v>
      </x:c>
    </x:row>
    <x:row r="1092">
      <x:c r="A1092" s="32" t="n">
        <x:v>46054</x:v>
      </x:c>
      <x:c r="B1092" t="str">
        <x:v>Feb 2026</x:v>
      </x:c>
      <x:c r="C1092" t="str">
        <x:v>Forecast</x:v>
      </x:c>
      <x:c r="D1092" t="str">
        <x:v>DB-103</x:v>
      </x:c>
      <x:c r="E1092" t="str">
        <x:v>EmberTrail Camp Mug</x:v>
      </x:c>
      <x:c r="F1092" t="str">
        <x:v>TikTok Shop</x:v>
      </x:c>
      <x:c r="G1092" t="str">
        <x:v>Social Commerce</x:v>
      </x:c>
      <x:c r="H1092" t="str">
        <x:v>Canada</x:v>
      </x:c>
      <x:c r="I1092" s="34" t="n">
        <x:v>18</x:v>
      </x:c>
      <x:c r="J1092" s="38" t="n">
        <x:v>0.5089392</x:v>
      </x:c>
      <x:c r="K1092" s="38" t="n">
        <x:v>0.0932756112</x:v>
      </x:c>
      <x:c r="L1092" s="28" t="n">
        <x:v>0.18327456639221343</x:v>
      </x:c>
    </x:row>
    <x:row r="1093">
      <x:c r="A1093" s="32" t="n">
        <x:v>46054</x:v>
      </x:c>
      <x:c r="B1093" t="str">
        <x:v>Feb 2026</x:v>
      </x:c>
      <x:c r="C1093" t="str">
        <x:v>Forecast</x:v>
      </x:c>
      <x:c r="D1093" t="str">
        <x:v>DB-104</x:v>
      </x:c>
      <x:c r="E1093" t="str">
        <x:v>SunNest Cooling Towel</x:v>
      </x:c>
      <x:c r="F1093" t="str">
        <x:v>Shopify DTC</x:v>
      </x:c>
      <x:c r="G1093" t="str">
        <x:v>Consumer</x:v>
      </x:c>
      <x:c r="H1093" t="str">
        <x:v>US West</x:v>
      </x:c>
      <x:c r="I1093" s="34" t="n">
        <x:v>167.28</x:v>
      </x:c>
      <x:c r="J1093" s="38" t="n">
        <x:v>6.14051424</x:v>
      </x:c>
      <x:c r="K1093" s="38" t="n">
        <x:v>2.46996748704</x:v>
      </x:c>
      <x:c r="L1093" s="28" t="n">
        <x:v>0.40224114634412117</x:v>
      </x:c>
    </x:row>
    <x:row r="1094">
      <x:c r="A1094" s="32" t="n">
        <x:v>46054</x:v>
      </x:c>
      <x:c r="B1094" t="str">
        <x:v>Feb 2026</x:v>
      </x:c>
      <x:c r="C1094" t="str">
        <x:v>Forecast</x:v>
      </x:c>
      <x:c r="D1094" t="str">
        <x:v>DB-104</x:v>
      </x:c>
      <x:c r="E1094" t="str">
        <x:v>SunNest Cooling Towel</x:v>
      </x:c>
      <x:c r="F1094" t="str">
        <x:v>Shopify DTC</x:v>
      </x:c>
      <x:c r="G1094" t="str">
        <x:v>Consumer</x:v>
      </x:c>
      <x:c r="H1094" t="str">
        <x:v>US Central</x:v>
      </x:c>
      <x:c r="I1094" s="34" t="n">
        <x:v>118.08</x:v>
      </x:c>
      <x:c r="J1094" s="38" t="n">
        <x:v>4.33448064</x:v>
      </x:c>
      <x:c r="K1094" s="38" t="n">
        <x:v>1.7435064614399998</x:v>
      </x:c>
      <x:c r="L1094" s="28" t="n">
        <x:v>0.4022411463441211</x:v>
      </x:c>
    </x:row>
    <x:row r="1095">
      <x:c r="A1095" s="32" t="n">
        <x:v>46054</x:v>
      </x:c>
      <x:c r="B1095" t="str">
        <x:v>Feb 2026</x:v>
      </x:c>
      <x:c r="C1095" t="str">
        <x:v>Forecast</x:v>
      </x:c>
      <x:c r="D1095" t="str">
        <x:v>DB-104</x:v>
      </x:c>
      <x:c r="E1095" t="str">
        <x:v>SunNest Cooling Towel</x:v>
      </x:c>
      <x:c r="F1095" t="str">
        <x:v>Shopify DTC</x:v>
      </x:c>
      <x:c r="G1095" t="str">
        <x:v>Consumer</x:v>
      </x:c>
      <x:c r="H1095" t="str">
        <x:v>US East</x:v>
      </x:c>
      <x:c r="I1095" s="34" t="n">
        <x:v>157.44</x:v>
      </x:c>
      <x:c r="J1095" s="38" t="n">
        <x:v>5.77930752</x:v>
      </x:c>
      <x:c r="K1095" s="38" t="n">
        <x:v>2.32467528192</x:v>
      </x:c>
      <x:c r="L1095" s="28" t="n">
        <x:v>0.40224114634412117</x:v>
      </x:c>
    </x:row>
    <x:row r="1096">
      <x:c r="A1096" s="32" t="n">
        <x:v>46054</x:v>
      </x:c>
      <x:c r="B1096" t="str">
        <x:v>Feb 2026</x:v>
      </x:c>
      <x:c r="C1096" t="str">
        <x:v>Forecast</x:v>
      </x:c>
      <x:c r="D1096" t="str">
        <x:v>DB-104</x:v>
      </x:c>
      <x:c r="E1096" t="str">
        <x:v>SunNest Cooling Towel</x:v>
      </x:c>
      <x:c r="F1096" t="str">
        <x:v>Shopify DTC</x:v>
      </x:c>
      <x:c r="G1096" t="str">
        <x:v>Consumer</x:v>
      </x:c>
      <x:c r="H1096" t="str">
        <x:v>Canada</x:v>
      </x:c>
      <x:c r="I1096" s="34" t="n">
        <x:v>49.2</x:v>
      </x:c>
      <x:c r="J1096" s="38" t="n">
        <x:v>1.8060336000000001</x:v>
      </x:c>
      <x:c r="K1096" s="38" t="n">
        <x:v>0.7264610255999999</x:v>
      </x:c>
      <x:c r="L1096" s="28" t="n">
        <x:v>0.4022411463441211</x:v>
      </x:c>
    </x:row>
    <x:row r="1097">
      <x:c r="A1097" s="32" t="n">
        <x:v>46054</x:v>
      </x:c>
      <x:c r="B1097" t="str">
        <x:v>Feb 2026</x:v>
      </x:c>
      <x:c r="C1097" t="str">
        <x:v>Forecast</x:v>
      </x:c>
      <x:c r="D1097" t="str">
        <x:v>DB-104</x:v>
      </x:c>
      <x:c r="E1097" t="str">
        <x:v>SunNest Cooling Towel</x:v>
      </x:c>
      <x:c r="F1097" t="str">
        <x:v>Amazon Marketplace</x:v>
      </x:c>
      <x:c r="G1097" t="str">
        <x:v>Marketplace Consumer</x:v>
      </x:c>
      <x:c r="H1097" t="str">
        <x:v>US West</x:v>
      </x:c>
      <x:c r="I1097" s="34" t="n">
        <x:v>99.28</x:v>
      </x:c>
      <x:c r="J1097" s="38" t="n">
        <x:v>3.7632084000000003</x:v>
      </x:c>
      <x:c r="K1097" s="38" t="n">
        <x:v>0.9720753</x:v>
      </x:c>
      <x:c r="L1097" s="28" t="n">
        <x:v>0.2583102493074792</x:v>
      </x:c>
    </x:row>
    <x:row r="1098">
      <x:c r="A1098" s="32" t="n">
        <x:v>46054</x:v>
      </x:c>
      <x:c r="B1098" t="str">
        <x:v>Feb 2026</x:v>
      </x:c>
      <x:c r="C1098" t="str">
        <x:v>Forecast</x:v>
      </x:c>
      <x:c r="D1098" t="str">
        <x:v>DB-104</x:v>
      </x:c>
      <x:c r="E1098" t="str">
        <x:v>SunNest Cooling Towel</x:v>
      </x:c>
      <x:c r="F1098" t="str">
        <x:v>Amazon Marketplace</x:v>
      </x:c>
      <x:c r="G1098" t="str">
        <x:v>Marketplace Consumer</x:v>
      </x:c>
      <x:c r="H1098" t="str">
        <x:v>US Central</x:v>
      </x:c>
      <x:c r="I1098" s="34" t="n">
        <x:v>70.08</x:v>
      </x:c>
      <x:c r="J1098" s="38" t="n">
        <x:v>2.6563824</x:v>
      </x:c>
      <x:c r="K1098" s="38" t="n">
        <x:v>0.6861707999999999</x:v>
      </x:c>
      <x:c r="L1098" s="28" t="n">
        <x:v>0.25831024930747915</x:v>
      </x:c>
    </x:row>
    <x:row r="1099">
      <x:c r="A1099" s="32" t="n">
        <x:v>46054</x:v>
      </x:c>
      <x:c r="B1099" t="str">
        <x:v>Feb 2026</x:v>
      </x:c>
      <x:c r="C1099" t="str">
        <x:v>Forecast</x:v>
      </x:c>
      <x:c r="D1099" t="str">
        <x:v>DB-104</x:v>
      </x:c>
      <x:c r="E1099" t="str">
        <x:v>SunNest Cooling Towel</x:v>
      </x:c>
      <x:c r="F1099" t="str">
        <x:v>Amazon Marketplace</x:v>
      </x:c>
      <x:c r="G1099" t="str">
        <x:v>Marketplace Consumer</x:v>
      </x:c>
      <x:c r="H1099" t="str">
        <x:v>US East</x:v>
      </x:c>
      <x:c r="I1099" s="34" t="n">
        <x:v>93.44</x:v>
      </x:c>
      <x:c r="J1099" s="38" t="n">
        <x:v>3.5418432</x:v>
      </x:c>
      <x:c r="K1099" s="38" t="n">
        <x:v>0.9148943999999999</x:v>
      </x:c>
      <x:c r="L1099" s="28" t="n">
        <x:v>0.2583102493074792</x:v>
      </x:c>
    </x:row>
    <x:row r="1100">
      <x:c r="A1100" s="32" t="n">
        <x:v>46054</x:v>
      </x:c>
      <x:c r="B1100" t="str">
        <x:v>Feb 2026</x:v>
      </x:c>
      <x:c r="C1100" t="str">
        <x:v>Forecast</x:v>
      </x:c>
      <x:c r="D1100" t="str">
        <x:v>DB-104</x:v>
      </x:c>
      <x:c r="E1100" t="str">
        <x:v>SunNest Cooling Towel</x:v>
      </x:c>
      <x:c r="F1100" t="str">
        <x:v>Amazon Marketplace</x:v>
      </x:c>
      <x:c r="G1100" t="str">
        <x:v>Marketplace Consumer</x:v>
      </x:c>
      <x:c r="H1100" t="str">
        <x:v>Canada</x:v>
      </x:c>
      <x:c r="I1100" s="34" t="n">
        <x:v>29.200000000000003</x:v>
      </x:c>
      <x:c r="J1100" s="38" t="n">
        <x:v>1.106826</x:v>
      </x:c>
      <x:c r="K1100" s="38" t="n">
        <x:v>0.28590449999999995</x:v>
      </x:c>
      <x:c r="L1100" s="28" t="n">
        <x:v>0.25831024930747915</x:v>
      </x:c>
    </x:row>
    <x:row r="1101">
      <x:c r="A1101" s="32" t="n">
        <x:v>46054</x:v>
      </x:c>
      <x:c r="B1101" t="str">
        <x:v>Feb 2026</x:v>
      </x:c>
      <x:c r="C1101" t="str">
        <x:v>Forecast</x:v>
      </x:c>
      <x:c r="D1101" t="str">
        <x:v>DB-104</x:v>
      </x:c>
      <x:c r="E1101" t="str">
        <x:v>SunNest Cooling Towel</x:v>
      </x:c>
      <x:c r="F1101" t="str">
        <x:v>Wholesale</x:v>
      </x:c>
      <x:c r="G1101" t="str">
        <x:v>Retailer</x:v>
      </x:c>
      <x:c r="H1101" t="str">
        <x:v>US West</x:v>
      </x:c>
      <x:c r="I1101" s="34" t="n">
        <x:v>27.200000000000003</x:v>
      </x:c>
      <x:c r="J1101" s="38" t="n">
        <x:v>0.7054320000000002</x:v>
      </x:c>
      <x:c r="K1101" s="38" t="n">
        <x:v>0.20963040000000008</x:v>
      </x:c>
      <x:c r="L1101" s="28" t="n">
        <x:v>0.29716599190283405</x:v>
      </x:c>
    </x:row>
    <x:row r="1102">
      <x:c r="A1102" s="32" t="n">
        <x:v>46054</x:v>
      </x:c>
      <x:c r="B1102" t="str">
        <x:v>Feb 2026</x:v>
      </x:c>
      <x:c r="C1102" t="str">
        <x:v>Forecast</x:v>
      </x:c>
      <x:c r="D1102" t="str">
        <x:v>DB-104</x:v>
      </x:c>
      <x:c r="E1102" t="str">
        <x:v>SunNest Cooling Towel</x:v>
      </x:c>
      <x:c r="F1102" t="str">
        <x:v>Wholesale</x:v>
      </x:c>
      <x:c r="G1102" t="str">
        <x:v>Retailer</x:v>
      </x:c>
      <x:c r="H1102" t="str">
        <x:v>US Central</x:v>
      </x:c>
      <x:c r="I1102" s="34" t="n">
        <x:v>19.2</x:v>
      </x:c>
      <x:c r="J1102" s="38" t="n">
        <x:v>0.497952</x:v>
      </x:c>
      <x:c r="K1102" s="38" t="n">
        <x:v>0.14797440000000003</x:v>
      </x:c>
      <x:c r="L1102" s="28" t="n">
        <x:v>0.29716599190283405</x:v>
      </x:c>
    </x:row>
    <x:row r="1103">
      <x:c r="A1103" s="32" t="n">
        <x:v>46054</x:v>
      </x:c>
      <x:c r="B1103" t="str">
        <x:v>Feb 2026</x:v>
      </x:c>
      <x:c r="C1103" t="str">
        <x:v>Forecast</x:v>
      </x:c>
      <x:c r="D1103" t="str">
        <x:v>DB-104</x:v>
      </x:c>
      <x:c r="E1103" t="str">
        <x:v>SunNest Cooling Towel</x:v>
      </x:c>
      <x:c r="F1103" t="str">
        <x:v>Wholesale</x:v>
      </x:c>
      <x:c r="G1103" t="str">
        <x:v>Retailer</x:v>
      </x:c>
      <x:c r="H1103" t="str">
        <x:v>US East</x:v>
      </x:c>
      <x:c r="I1103" s="34" t="n">
        <x:v>25.6</x:v>
      </x:c>
      <x:c r="J1103" s="38" t="n">
        <x:v>0.6639360000000001</x:v>
      </x:c>
      <x:c r="K1103" s="38" t="n">
        <x:v>0.19729920000000006</x:v>
      </x:c>
      <x:c r="L1103" s="28" t="n">
        <x:v>0.29716599190283405</x:v>
      </x:c>
    </x:row>
    <x:row r="1104">
      <x:c r="A1104" s="32" t="n">
        <x:v>46054</x:v>
      </x:c>
      <x:c r="B1104" t="str">
        <x:v>Feb 2026</x:v>
      </x:c>
      <x:c r="C1104" t="str">
        <x:v>Forecast</x:v>
      </x:c>
      <x:c r="D1104" t="str">
        <x:v>DB-104</x:v>
      </x:c>
      <x:c r="E1104" t="str">
        <x:v>SunNest Cooling Towel</x:v>
      </x:c>
      <x:c r="F1104" t="str">
        <x:v>Wholesale</x:v>
      </x:c>
      <x:c r="G1104" t="str">
        <x:v>Retailer</x:v>
      </x:c>
      <x:c r="H1104" t="str">
        <x:v>Canada</x:v>
      </x:c>
      <x:c r="I1104" s="34" t="n">
        <x:v>8</x:v>
      </x:c>
      <x:c r="J1104" s="38" t="n">
        <x:v>0.20748000000000003</x:v>
      </x:c>
      <x:c r="K1104" s="38" t="n">
        <x:v>0.06165600000000002</x:v>
      </x:c>
      <x:c r="L1104" s="28" t="n">
        <x:v>0.2971659919028341</x:v>
      </x:c>
    </x:row>
    <x:row r="1105">
      <x:c r="A1105" s="32" t="n">
        <x:v>46054</x:v>
      </x:c>
      <x:c r="B1105" t="str">
        <x:v>Feb 2026</x:v>
      </x:c>
      <x:c r="C1105" t="str">
        <x:v>Forecast</x:v>
      </x:c>
      <x:c r="D1105" t="str">
        <x:v>DB-104</x:v>
      </x:c>
      <x:c r="E1105" t="str">
        <x:v>SunNest Cooling Towel</x:v>
      </x:c>
      <x:c r="F1105" t="str">
        <x:v>TikTok Shop</x:v>
      </x:c>
      <x:c r="G1105" t="str">
        <x:v>Social Commerce</x:v>
      </x:c>
      <x:c r="H1105" t="str">
        <x:v>US West</x:v>
      </x:c>
      <x:c r="I1105" s="34" t="n">
        <x:v>42.160000000000004</x:v>
      </x:c>
      <x:c r="J1105" s="38" t="n">
        <x:v>1.4803219200000002</x:v>
      </x:c>
      <x:c r="K1105" s="38" t="n">
        <x:v>0.4240887891200001</x:v>
      </x:c>
      <x:c r="L1105" s="28" t="n">
        <x:v>0.2864841649578492</x:v>
      </x:c>
    </x:row>
    <x:row r="1106">
      <x:c r="A1106" s="32" t="n">
        <x:v>46054</x:v>
      </x:c>
      <x:c r="B1106" t="str">
        <x:v>Feb 2026</x:v>
      </x:c>
      <x:c r="C1106" t="str">
        <x:v>Forecast</x:v>
      </x:c>
      <x:c r="D1106" t="str">
        <x:v>DB-104</x:v>
      </x:c>
      <x:c r="E1106" t="str">
        <x:v>SunNest Cooling Towel</x:v>
      </x:c>
      <x:c r="F1106" t="str">
        <x:v>TikTok Shop</x:v>
      </x:c>
      <x:c r="G1106" t="str">
        <x:v>Social Commerce</x:v>
      </x:c>
      <x:c r="H1106" t="str">
        <x:v>US Central</x:v>
      </x:c>
      <x:c r="I1106" s="34" t="n">
        <x:v>29.759999999999998</x:v>
      </x:c>
      <x:c r="J1106" s="38" t="n">
        <x:v>1.04493312</x:v>
      </x:c>
      <x:c r="K1106" s="38" t="n">
        <x:v>0.29935679232000006</x:v>
      </x:c>
      <x:c r="L1106" s="28" t="n">
        <x:v>0.28648416495784923</x:v>
      </x:c>
    </x:row>
    <x:row r="1107">
      <x:c r="A1107" s="32" t="n">
        <x:v>46054</x:v>
      </x:c>
      <x:c r="B1107" t="str">
        <x:v>Feb 2026</x:v>
      </x:c>
      <x:c r="C1107" t="str">
        <x:v>Forecast</x:v>
      </x:c>
      <x:c r="D1107" t="str">
        <x:v>DB-104</x:v>
      </x:c>
      <x:c r="E1107" t="str">
        <x:v>SunNest Cooling Towel</x:v>
      </x:c>
      <x:c r="F1107" t="str">
        <x:v>TikTok Shop</x:v>
      </x:c>
      <x:c r="G1107" t="str">
        <x:v>Social Commerce</x:v>
      </x:c>
      <x:c r="H1107" t="str">
        <x:v>US East</x:v>
      </x:c>
      <x:c r="I1107" s="34" t="n">
        <x:v>39.68</x:v>
      </x:c>
      <x:c r="J1107" s="38" t="n">
        <x:v>1.39324416</x:v>
      </x:c>
      <x:c r="K1107" s="38" t="n">
        <x:v>0.3991423897600001</x:v>
      </x:c>
      <x:c r="L1107" s="28" t="n">
        <x:v>0.28648416495784923</x:v>
      </x:c>
    </x:row>
    <x:row r="1108">
      <x:c r="A1108" s="32" t="n">
        <x:v>46054</x:v>
      </x:c>
      <x:c r="B1108" t="str">
        <x:v>Feb 2026</x:v>
      </x:c>
      <x:c r="C1108" t="str">
        <x:v>Forecast</x:v>
      </x:c>
      <x:c r="D1108" t="str">
        <x:v>DB-104</x:v>
      </x:c>
      <x:c r="E1108" t="str">
        <x:v>SunNest Cooling Towel</x:v>
      </x:c>
      <x:c r="F1108" t="str">
        <x:v>TikTok Shop</x:v>
      </x:c>
      <x:c r="G1108" t="str">
        <x:v>Social Commerce</x:v>
      </x:c>
      <x:c r="H1108" t="str">
        <x:v>Canada</x:v>
      </x:c>
      <x:c r="I1108" s="34" t="n">
        <x:v>12.4</x:v>
      </x:c>
      <x:c r="J1108" s="38" t="n">
        <x:v>0.4353888000000001</x:v>
      </x:c>
      <x:c r="K1108" s="38" t="n">
        <x:v>0.12473199680000002</x:v>
      </x:c>
      <x:c r="L1108" s="28" t="n">
        <x:v>0.2864841649578492</x:v>
      </x:c>
    </x:row>
    <x:row r="1109">
      <x:c r="A1109" s="32" t="n">
        <x:v>46054</x:v>
      </x:c>
      <x:c r="B1109" t="str">
        <x:v>Feb 2026</x:v>
      </x:c>
      <x:c r="C1109" t="str">
        <x:v>Forecast</x:v>
      </x:c>
      <x:c r="D1109" t="str">
        <x:v>DB-105</x:v>
      </x:c>
      <x:c r="E1109" t="str">
        <x:v>DreamFuel Refill Pack</x:v>
      </x:c>
      <x:c r="F1109" t="str">
        <x:v>Shopify DTC</x:v>
      </x:c>
      <x:c r="G1109" t="str">
        <x:v>Consumer</x:v>
      </x:c>
      <x:c r="H1109" t="str">
        <x:v>US West</x:v>
      </x:c>
      <x:c r="I1109" s="34" t="n">
        <x:v>266.56</x:v>
      </x:c>
      <x:c r="J1109" s="38" t="n">
        <x:v>13.458507776000001</x:v>
      </x:c>
      <x:c r="K1109" s="38" t="n">
        <x:v>6.5578562344960005</x:v>
      </x:c>
      <x:c r="L1109" s="28" t="n">
        <x:v>0.48726473570794776</x:v>
      </x:c>
    </x:row>
    <x:row r="1110">
      <x:c r="A1110" s="32" t="n">
        <x:v>46054</x:v>
      </x:c>
      <x:c r="B1110" t="str">
        <x:v>Feb 2026</x:v>
      </x:c>
      <x:c r="C1110" t="str">
        <x:v>Forecast</x:v>
      </x:c>
      <x:c r="D1110" t="str">
        <x:v>DB-105</x:v>
      </x:c>
      <x:c r="E1110" t="str">
        <x:v>DreamFuel Refill Pack</x:v>
      </x:c>
      <x:c r="F1110" t="str">
        <x:v>Shopify DTC</x:v>
      </x:c>
      <x:c r="G1110" t="str">
        <x:v>Consumer</x:v>
      </x:c>
      <x:c r="H1110" t="str">
        <x:v>US Central</x:v>
      </x:c>
      <x:c r="I1110" s="34" t="n">
        <x:v>188.16</x:v>
      </x:c>
      <x:c r="J1110" s="38" t="n">
        <x:v>9.500123136</x:v>
      </x:c>
      <x:c r="K1110" s="38" t="n">
        <x:v>4.629074989056</x:v>
      </x:c>
      <x:c r="L1110" s="28" t="n">
        <x:v>0.4872647357079478</x:v>
      </x:c>
    </x:row>
    <x:row r="1111">
      <x:c r="A1111" s="32" t="n">
        <x:v>46054</x:v>
      </x:c>
      <x:c r="B1111" t="str">
        <x:v>Feb 2026</x:v>
      </x:c>
      <x:c r="C1111" t="str">
        <x:v>Forecast</x:v>
      </x:c>
      <x:c r="D1111" t="str">
        <x:v>DB-105</x:v>
      </x:c>
      <x:c r="E1111" t="str">
        <x:v>DreamFuel Refill Pack</x:v>
      </x:c>
      <x:c r="F1111" t="str">
        <x:v>Shopify DTC</x:v>
      </x:c>
      <x:c r="G1111" t="str">
        <x:v>Consumer</x:v>
      </x:c>
      <x:c r="H1111" t="str">
        <x:v>US East</x:v>
      </x:c>
      <x:c r="I1111" s="34" t="n">
        <x:v>250.88</x:v>
      </x:c>
      <x:c r="J1111" s="38" t="n">
        <x:v>12.666830848</x:v>
      </x:c>
      <x:c r="K1111" s="38" t="n">
        <x:v>6.172099985408001</x:v>
      </x:c>
      <x:c r="L1111" s="28" t="n">
        <x:v>0.4872647357079478</x:v>
      </x:c>
    </x:row>
    <x:row r="1112">
      <x:c r="A1112" s="32" t="n">
        <x:v>46054</x:v>
      </x:c>
      <x:c r="B1112" t="str">
        <x:v>Feb 2026</x:v>
      </x:c>
      <x:c r="C1112" t="str">
        <x:v>Forecast</x:v>
      </x:c>
      <x:c r="D1112" t="str">
        <x:v>DB-105</x:v>
      </x:c>
      <x:c r="E1112" t="str">
        <x:v>DreamFuel Refill Pack</x:v>
      </x:c>
      <x:c r="F1112" t="str">
        <x:v>Shopify DTC</x:v>
      </x:c>
      <x:c r="G1112" t="str">
        <x:v>Consumer</x:v>
      </x:c>
      <x:c r="H1112" t="str">
        <x:v>Canada</x:v>
      </x:c>
      <x:c r="I1112" s="34" t="n">
        <x:v>78.4</x:v>
      </x:c>
      <x:c r="J1112" s="38" t="n">
        <x:v>3.9583846400000002</x:v>
      </x:c>
      <x:c r="K1112" s="38" t="n">
        <x:v>1.9287812454400002</x:v>
      </x:c>
      <x:c r="L1112" s="28" t="n">
        <x:v>0.4872647357079478</x:v>
      </x:c>
    </x:row>
    <x:row r="1113">
      <x:c r="A1113" s="32" t="n">
        <x:v>46054</x:v>
      </x:c>
      <x:c r="B1113" t="str">
        <x:v>Feb 2026</x:v>
      </x:c>
      <x:c r="C1113" t="str">
        <x:v>Forecast</x:v>
      </x:c>
      <x:c r="D1113" t="str">
        <x:v>DB-105</x:v>
      </x:c>
      <x:c r="E1113" t="str">
        <x:v>DreamFuel Refill Pack</x:v>
      </x:c>
      <x:c r="F1113" t="str">
        <x:v>Amazon Marketplace</x:v>
      </x:c>
      <x:c r="G1113" t="str">
        <x:v>Marketplace Consumer</x:v>
      </x:c>
      <x:c r="H1113" t="str">
        <x:v>US West</x:v>
      </x:c>
      <x:c r="I1113" s="34" t="n">
        <x:v>157.76000000000002</x:v>
      </x:c>
      <x:c r="J1113" s="38" t="n">
        <x:v>8.224975360000002</x:v>
      </x:c>
      <x:c r="K1113" s="38" t="n">
        <x:v>2.893633920000001</x:v>
      </x:c>
      <x:c r="L1113" s="28" t="n">
        <x:v>0.35181064907165877</x:v>
      </x:c>
    </x:row>
    <x:row r="1114">
      <x:c r="A1114" s="32" t="n">
        <x:v>46054</x:v>
      </x:c>
      <x:c r="B1114" t="str">
        <x:v>Feb 2026</x:v>
      </x:c>
      <x:c r="C1114" t="str">
        <x:v>Forecast</x:v>
      </x:c>
      <x:c r="D1114" t="str">
        <x:v>DB-105</x:v>
      </x:c>
      <x:c r="E1114" t="str">
        <x:v>DreamFuel Refill Pack</x:v>
      </x:c>
      <x:c r="F1114" t="str">
        <x:v>Amazon Marketplace</x:v>
      </x:c>
      <x:c r="G1114" t="str">
        <x:v>Marketplace Consumer</x:v>
      </x:c>
      <x:c r="H1114" t="str">
        <x:v>US Central</x:v>
      </x:c>
      <x:c r="I1114" s="34" t="n">
        <x:v>111.36</x:v>
      </x:c>
      <x:c r="J1114" s="38" t="n">
        <x:v>5.80586496</x:v>
      </x:c>
      <x:c r="K1114" s="38" t="n">
        <x:v>2.0425651200000003</x:v>
      </x:c>
      <x:c r="L1114" s="28" t="n">
        <x:v>0.3518106490716588</x:v>
      </x:c>
    </x:row>
    <x:row r="1115">
      <x:c r="A1115" s="32" t="n">
        <x:v>46054</x:v>
      </x:c>
      <x:c r="B1115" t="str">
        <x:v>Feb 2026</x:v>
      </x:c>
      <x:c r="C1115" t="str">
        <x:v>Forecast</x:v>
      </x:c>
      <x:c r="D1115" t="str">
        <x:v>DB-105</x:v>
      </x:c>
      <x:c r="E1115" t="str">
        <x:v>DreamFuel Refill Pack</x:v>
      </x:c>
      <x:c r="F1115" t="str">
        <x:v>Amazon Marketplace</x:v>
      </x:c>
      <x:c r="G1115" t="str">
        <x:v>Marketplace Consumer</x:v>
      </x:c>
      <x:c r="H1115" t="str">
        <x:v>US East</x:v>
      </x:c>
      <x:c r="I1115" s="34" t="n">
        <x:v>148.48</x:v>
      </x:c>
      <x:c r="J1115" s="38" t="n">
        <x:v>7.741153280000001</x:v>
      </x:c>
      <x:c r="K1115" s="38" t="n">
        <x:v>2.7234201600000008</x:v>
      </x:c>
      <x:c r="L1115" s="28" t="n">
        <x:v>0.3518106490716588</x:v>
      </x:c>
    </x:row>
    <x:row r="1116">
      <x:c r="A1116" s="32" t="n">
        <x:v>46054</x:v>
      </x:c>
      <x:c r="B1116" t="str">
        <x:v>Feb 2026</x:v>
      </x:c>
      <x:c r="C1116" t="str">
        <x:v>Forecast</x:v>
      </x:c>
      <x:c r="D1116" t="str">
        <x:v>DB-105</x:v>
      </x:c>
      <x:c r="E1116" t="str">
        <x:v>DreamFuel Refill Pack</x:v>
      </x:c>
      <x:c r="F1116" t="str">
        <x:v>Amazon Marketplace</x:v>
      </x:c>
      <x:c r="G1116" t="str">
        <x:v>Marketplace Consumer</x:v>
      </x:c>
      <x:c r="H1116" t="str">
        <x:v>Canada</x:v>
      </x:c>
      <x:c r="I1116" s="34" t="n">
        <x:v>46.400000000000006</x:v>
      </x:c>
      <x:c r="J1116" s="38" t="n">
        <x:v>2.4191104000000005</x:v>
      </x:c>
      <x:c r="K1116" s="38" t="n">
        <x:v>0.8510688000000002</x:v>
      </x:c>
      <x:c r="L1116" s="28" t="n">
        <x:v>0.3518106490716587</x:v>
      </x:c>
    </x:row>
    <x:row r="1117">
      <x:c r="A1117" s="32" t="n">
        <x:v>46054</x:v>
      </x:c>
      <x:c r="B1117" t="str">
        <x:v>Feb 2026</x:v>
      </x:c>
      <x:c r="C1117" t="str">
        <x:v>Forecast</x:v>
      </x:c>
      <x:c r="D1117" t="str">
        <x:v>DB-105</x:v>
      </x:c>
      <x:c r="E1117" t="str">
        <x:v>DreamFuel Refill Pack</x:v>
      </x:c>
      <x:c r="F1117" t="str">
        <x:v>Wholesale</x:v>
      </x:c>
      <x:c r="G1117" t="str">
        <x:v>Retailer</x:v>
      </x:c>
      <x:c r="H1117" t="str">
        <x:v>US West</x:v>
      </x:c>
      <x:c r="I1117" s="34" t="n">
        <x:v>43.52</x:v>
      </x:c>
      <x:c r="J1117" s="38" t="n">
        <x:v>1.5524454400000003</x:v>
      </x:c>
      <x:c r="K1117" s="38" t="n">
        <x:v>0.6048583680000001</x:v>
      </x:c>
      <x:c r="L1117" s="28" t="n">
        <x:v>0.3896165059430366</x:v>
      </x:c>
    </x:row>
    <x:row r="1118">
      <x:c r="A1118" s="32" t="n">
        <x:v>46054</x:v>
      </x:c>
      <x:c r="B1118" t="str">
        <x:v>Feb 2026</x:v>
      </x:c>
      <x:c r="C1118" t="str">
        <x:v>Forecast</x:v>
      </x:c>
      <x:c r="D1118" t="str">
        <x:v>DB-105</x:v>
      </x:c>
      <x:c r="E1118" t="str">
        <x:v>DreamFuel Refill Pack</x:v>
      </x:c>
      <x:c r="F1118" t="str">
        <x:v>Wholesale</x:v>
      </x:c>
      <x:c r="G1118" t="str">
        <x:v>Retailer</x:v>
      </x:c>
      <x:c r="H1118" t="str">
        <x:v>US Central</x:v>
      </x:c>
      <x:c r="I1118" s="34" t="n">
        <x:v>30.72</x:v>
      </x:c>
      <x:c r="J1118" s="38" t="n">
        <x:v>1.0958438400000001</x:v>
      </x:c>
      <x:c r="K1118" s="38" t="n">
        <x:v>0.42695884800000006</x:v>
      </x:c>
      <x:c r="L1118" s="28" t="n">
        <x:v>0.38961650594303654</x:v>
      </x:c>
    </x:row>
    <x:row r="1119">
      <x:c r="A1119" s="32" t="n">
        <x:v>46054</x:v>
      </x:c>
      <x:c r="B1119" t="str">
        <x:v>Feb 2026</x:v>
      </x:c>
      <x:c r="C1119" t="str">
        <x:v>Forecast</x:v>
      </x:c>
      <x:c r="D1119" t="str">
        <x:v>DB-105</x:v>
      </x:c>
      <x:c r="E1119" t="str">
        <x:v>DreamFuel Refill Pack</x:v>
      </x:c>
      <x:c r="F1119" t="str">
        <x:v>Wholesale</x:v>
      </x:c>
      <x:c r="G1119" t="str">
        <x:v>Retailer</x:v>
      </x:c>
      <x:c r="H1119" t="str">
        <x:v>US East</x:v>
      </x:c>
      <x:c r="I1119" s="34" t="n">
        <x:v>40.96</x:v>
      </x:c>
      <x:c r="J1119" s="38" t="n">
        <x:v>1.4611251200000002</x:v>
      </x:c>
      <x:c r="K1119" s="38" t="n">
        <x:v>0.569278464</x:v>
      </x:c>
      <x:c r="L1119" s="28" t="n">
        <x:v>0.38961650594303654</x:v>
      </x:c>
    </x:row>
    <x:row r="1120">
      <x:c r="A1120" s="32" t="n">
        <x:v>46054</x:v>
      </x:c>
      <x:c r="B1120" t="str">
        <x:v>Feb 2026</x:v>
      </x:c>
      <x:c r="C1120" t="str">
        <x:v>Forecast</x:v>
      </x:c>
      <x:c r="D1120" t="str">
        <x:v>DB-105</x:v>
      </x:c>
      <x:c r="E1120" t="str">
        <x:v>DreamFuel Refill Pack</x:v>
      </x:c>
      <x:c r="F1120" t="str">
        <x:v>Wholesale</x:v>
      </x:c>
      <x:c r="G1120" t="str">
        <x:v>Retailer</x:v>
      </x:c>
      <x:c r="H1120" t="str">
        <x:v>Canada</x:v>
      </x:c>
      <x:c r="I1120" s="34" t="n">
        <x:v>12.8</x:v>
      </x:c>
      <x:c r="J1120" s="38" t="n">
        <x:v>0.45660160000000005</x:v>
      </x:c>
      <x:c r="K1120" s="38" t="n">
        <x:v>0.17789952000000003</x:v>
      </x:c>
      <x:c r="L1120" s="28" t="n">
        <x:v>0.3896165059430366</x:v>
      </x:c>
    </x:row>
    <x:row r="1121">
      <x:c r="A1121" s="32" t="n">
        <x:v>46054</x:v>
      </x:c>
      <x:c r="B1121" t="str">
        <x:v>Feb 2026</x:v>
      </x:c>
      <x:c r="C1121" t="str">
        <x:v>Forecast</x:v>
      </x:c>
      <x:c r="D1121" t="str">
        <x:v>DB-105</x:v>
      </x:c>
      <x:c r="E1121" t="str">
        <x:v>DreamFuel Refill Pack</x:v>
      </x:c>
      <x:c r="F1121" t="str">
        <x:v>TikTok Shop</x:v>
      </x:c>
      <x:c r="G1121" t="str">
        <x:v>Social Commerce</x:v>
      </x:c>
      <x:c r="H1121" t="str">
        <x:v>US West</x:v>
      </x:c>
      <x:c r="I1121" s="34" t="n">
        <x:v>66.64</x:v>
      </x:c>
      <x:c r="J1121" s="38" t="n">
        <x:v>3.218338816</x:v>
      </x:c>
      <x:c r="K1121" s="38" t="n">
        <x:v>1.234345957376</x:v>
      </x:c>
      <x:c r="L1121" s="28" t="n">
        <x:v>0.3835351179432812</x:v>
      </x:c>
    </x:row>
    <x:row r="1122">
      <x:c r="A1122" s="32" t="n">
        <x:v>46054</x:v>
      </x:c>
      <x:c r="B1122" t="str">
        <x:v>Feb 2026</x:v>
      </x:c>
      <x:c r="C1122" t="str">
        <x:v>Forecast</x:v>
      </x:c>
      <x:c r="D1122" t="str">
        <x:v>DB-105</x:v>
      </x:c>
      <x:c r="E1122" t="str">
        <x:v>DreamFuel Refill Pack</x:v>
      </x:c>
      <x:c r="F1122" t="str">
        <x:v>TikTok Shop</x:v>
      </x:c>
      <x:c r="G1122" t="str">
        <x:v>Social Commerce</x:v>
      </x:c>
      <x:c r="H1122" t="str">
        <x:v>US Central</x:v>
      </x:c>
      <x:c r="I1122" s="34" t="n">
        <x:v>47.04</x:v>
      </x:c>
      <x:c r="J1122" s="38" t="n">
        <x:v>2.271768576</x:v>
      </x:c>
      <x:c r="K1122" s="38" t="n">
        <x:v>0.871303028736</x:v>
      </x:c>
      <x:c r="L1122" s="28" t="n">
        <x:v>0.3835351179432812</x:v>
      </x:c>
    </x:row>
    <x:row r="1123">
      <x:c r="A1123" s="32" t="n">
        <x:v>46054</x:v>
      </x:c>
      <x:c r="B1123" t="str">
        <x:v>Feb 2026</x:v>
      </x:c>
      <x:c r="C1123" t="str">
        <x:v>Forecast</x:v>
      </x:c>
      <x:c r="D1123" t="str">
        <x:v>DB-105</x:v>
      </x:c>
      <x:c r="E1123" t="str">
        <x:v>DreamFuel Refill Pack</x:v>
      </x:c>
      <x:c r="F1123" t="str">
        <x:v>TikTok Shop</x:v>
      </x:c>
      <x:c r="G1123" t="str">
        <x:v>Social Commerce</x:v>
      </x:c>
      <x:c r="H1123" t="str">
        <x:v>US East</x:v>
      </x:c>
      <x:c r="I1123" s="34" t="n">
        <x:v>62.72</x:v>
      </x:c>
      <x:c r="J1123" s="38" t="n">
        <x:v>3.0290247679999998</x:v>
      </x:c>
      <x:c r="K1123" s="38" t="n">
        <x:v>1.161737371648</x:v>
      </x:c>
      <x:c r="L1123" s="28" t="n">
        <x:v>0.3835351179432812</x:v>
      </x:c>
    </x:row>
    <x:row r="1124">
      <x:c r="A1124" s="32" t="n">
        <x:v>46054</x:v>
      </x:c>
      <x:c r="B1124" t="str">
        <x:v>Feb 2026</x:v>
      </x:c>
      <x:c r="C1124" t="str">
        <x:v>Forecast</x:v>
      </x:c>
      <x:c r="D1124" t="str">
        <x:v>DB-105</x:v>
      </x:c>
      <x:c r="E1124" t="str">
        <x:v>DreamFuel Refill Pack</x:v>
      </x:c>
      <x:c r="F1124" t="str">
        <x:v>TikTok Shop</x:v>
      </x:c>
      <x:c r="G1124" t="str">
        <x:v>Social Commerce</x:v>
      </x:c>
      <x:c r="H1124" t="str">
        <x:v>Canada</x:v>
      </x:c>
      <x:c r="I1124" s="34" t="n">
        <x:v>19.6</x:v>
      </x:c>
      <x:c r="J1124" s="38" t="n">
        <x:v>0.94657024</x:v>
      </x:c>
      <x:c r="K1124" s="38" t="n">
        <x:v>0.36304292864000004</x:v>
      </x:c>
      <x:c r="L1124" s="28" t="n">
        <x:v>0.38353511794328127</x:v>
      </x:c>
    </x:row>
    <x:row r="1125">
      <x:c r="A1125" s="32" t="n">
        <x:v>46082</x:v>
      </x:c>
      <x:c r="B1125" t="str">
        <x:v>Mar 2026</x:v>
      </x:c>
      <x:c r="C1125" t="str">
        <x:v>Forecast</x:v>
      </x:c>
      <x:c r="D1125" t="str">
        <x:v>DB-101</x:v>
      </x:c>
      <x:c r="E1125" t="str">
        <x:v>AeroSip Bottle</x:v>
      </x:c>
      <x:c r="F1125" t="str">
        <x:v>Shopify DTC</x:v>
      </x:c>
      <x:c r="G1125" t="str">
        <x:v>Consumer</x:v>
      </x:c>
      <x:c r="H1125" t="str">
        <x:v>US West</x:v>
      </x:c>
      <x:c r="I1125" s="34" t="n">
        <x:v>425.00000000000006</x:v>
      </x:c>
      <x:c r="J1125" s="38" t="n">
        <x:v>10.828745</x:v>
      </x:c>
      <x:c r="K1125" s="38" t="n">
        <x:v>3.4444113949999995</x:v>
      </x:c>
      <x:c r="L1125" s="28" t="n">
        <x:v>0.3180803865083165</x:v>
      </x:c>
    </x:row>
    <x:row r="1126">
      <x:c r="A1126" s="32" t="n">
        <x:v>46082</x:v>
      </x:c>
      <x:c r="B1126" t="str">
        <x:v>Mar 2026</x:v>
      </x:c>
      <x:c r="C1126" t="str">
        <x:v>Forecast</x:v>
      </x:c>
      <x:c r="D1126" t="str">
        <x:v>DB-101</x:v>
      </x:c>
      <x:c r="E1126" t="str">
        <x:v>AeroSip Bottle</x:v>
      </x:c>
      <x:c r="F1126" t="str">
        <x:v>Shopify DTC</x:v>
      </x:c>
      <x:c r="G1126" t="str">
        <x:v>Consumer</x:v>
      </x:c>
      <x:c r="H1126" t="str">
        <x:v>US Central</x:v>
      </x:c>
      <x:c r="I1126" s="34" t="n">
        <x:v>300</x:v>
      </x:c>
      <x:c r="J1126" s="38" t="n">
        <x:v>7.643819999999999</x:v>
      </x:c>
      <x:c r="K1126" s="38" t="n">
        <x:v>2.4313492199999995</x:v>
      </x:c>
      <x:c r="L1126" s="28" t="n">
        <x:v>0.3180803865083165</x:v>
      </x:c>
    </x:row>
    <x:row r="1127">
      <x:c r="A1127" s="32" t="n">
        <x:v>46082</x:v>
      </x:c>
      <x:c r="B1127" t="str">
        <x:v>Mar 2026</x:v>
      </x:c>
      <x:c r="C1127" t="str">
        <x:v>Forecast</x:v>
      </x:c>
      <x:c r="D1127" t="str">
        <x:v>DB-101</x:v>
      </x:c>
      <x:c r="E1127" t="str">
        <x:v>AeroSip Bottle</x:v>
      </x:c>
      <x:c r="F1127" t="str">
        <x:v>Shopify DTC</x:v>
      </x:c>
      <x:c r="G1127" t="str">
        <x:v>Consumer</x:v>
      </x:c>
      <x:c r="H1127" t="str">
        <x:v>US East</x:v>
      </x:c>
      <x:c r="I1127" s="34" t="n">
        <x:v>400</x:v>
      </x:c>
      <x:c r="J1127" s="38" t="n">
        <x:v>10.19176</x:v>
      </x:c>
      <x:c r="K1127" s="38" t="n">
        <x:v>3.2417989599999992</x:v>
      </x:c>
      <x:c r="L1127" s="28" t="n">
        <x:v>0.31808038650831644</x:v>
      </x:c>
    </x:row>
    <x:row r="1128">
      <x:c r="A1128" s="32" t="n">
        <x:v>46082</x:v>
      </x:c>
      <x:c r="B1128" t="str">
        <x:v>Mar 2026</x:v>
      </x:c>
      <x:c r="C1128" t="str">
        <x:v>Forecast</x:v>
      </x:c>
      <x:c r="D1128" t="str">
        <x:v>DB-101</x:v>
      </x:c>
      <x:c r="E1128" t="str">
        <x:v>AeroSip Bottle</x:v>
      </x:c>
      <x:c r="F1128" t="str">
        <x:v>Shopify DTC</x:v>
      </x:c>
      <x:c r="G1128" t="str">
        <x:v>Consumer</x:v>
      </x:c>
      <x:c r="H1128" t="str">
        <x:v>Canada</x:v>
      </x:c>
      <x:c r="I1128" s="34" t="n">
        <x:v>125</x:v>
      </x:c>
      <x:c r="J1128" s="38" t="n">
        <x:v>3.184925</x:v>
      </x:c>
      <x:c r="K1128" s="38" t="n">
        <x:v>1.0130621749999997</x:v>
      </x:c>
      <x:c r="L1128" s="28" t="n">
        <x:v>0.31808038650831644</x:v>
      </x:c>
    </x:row>
    <x:row r="1129">
      <x:c r="A1129" s="32" t="n">
        <x:v>46082</x:v>
      </x:c>
      <x:c r="B1129" t="str">
        <x:v>Mar 2026</x:v>
      </x:c>
      <x:c r="C1129" t="str">
        <x:v>Forecast</x:v>
      </x:c>
      <x:c r="D1129" t="str">
        <x:v>DB-101</x:v>
      </x:c>
      <x:c r="E1129" t="str">
        <x:v>AeroSip Bottle</x:v>
      </x:c>
      <x:c r="F1129" t="str">
        <x:v>Amazon Marketplace</x:v>
      </x:c>
      <x:c r="G1129" t="str">
        <x:v>Marketplace Consumer</x:v>
      </x:c>
      <x:c r="H1129" t="str">
        <x:v>US West</x:v>
      </x:c>
      <x:c r="I1129" s="34" t="n">
        <x:v>249.9</x:v>
      </x:c>
      <x:c r="J1129" s="38" t="n">
        <x:v>6.5749314750000005</x:v>
      </x:c>
      <x:c r="K1129" s="38" t="n">
        <x:v>1.0440103537500005</x:v>
      </x:c>
      <x:c r="L1129" s="28" t="n">
        <x:v>0.15878649955815705</x:v>
      </x:c>
    </x:row>
    <x:row r="1130">
      <x:c r="A1130" s="32" t="n">
        <x:v>46082</x:v>
      </x:c>
      <x:c r="B1130" t="str">
        <x:v>Mar 2026</x:v>
      </x:c>
      <x:c r="C1130" t="str">
        <x:v>Forecast</x:v>
      </x:c>
      <x:c r="D1130" t="str">
        <x:v>DB-101</x:v>
      </x:c>
      <x:c r="E1130" t="str">
        <x:v>AeroSip Bottle</x:v>
      </x:c>
      <x:c r="F1130" t="str">
        <x:v>Amazon Marketplace</x:v>
      </x:c>
      <x:c r="G1130" t="str">
        <x:v>Marketplace Consumer</x:v>
      </x:c>
      <x:c r="H1130" t="str">
        <x:v>US Central</x:v>
      </x:c>
      <x:c r="I1130" s="34" t="n">
        <x:v>176.4</x:v>
      </x:c>
      <x:c r="J1130" s="38" t="n">
        <x:v>4.6411281</x:v>
      </x:c>
      <x:c r="K1130" s="38" t="n">
        <x:v>0.7369484850000003</x:v>
      </x:c>
      <x:c r="L1130" s="28" t="n">
        <x:v>0.15878649955815705</x:v>
      </x:c>
    </x:row>
    <x:row r="1131">
      <x:c r="A1131" s="32" t="n">
        <x:v>46082</x:v>
      </x:c>
      <x:c r="B1131" t="str">
        <x:v>Mar 2026</x:v>
      </x:c>
      <x:c r="C1131" t="str">
        <x:v>Forecast</x:v>
      </x:c>
      <x:c r="D1131" t="str">
        <x:v>DB-101</x:v>
      </x:c>
      <x:c r="E1131" t="str">
        <x:v>AeroSip Bottle</x:v>
      </x:c>
      <x:c r="F1131" t="str">
        <x:v>Amazon Marketplace</x:v>
      </x:c>
      <x:c r="G1131" t="str">
        <x:v>Marketplace Consumer</x:v>
      </x:c>
      <x:c r="H1131" t="str">
        <x:v>US East</x:v>
      </x:c>
      <x:c r="I1131" s="34" t="n">
        <x:v>235.20000000000002</x:v>
      </x:c>
      <x:c r="J1131" s="38" t="n">
        <x:v>6.188170800000001</x:v>
      </x:c>
      <x:c r="K1131" s="38" t="n">
        <x:v>0.9825979800000005</x:v>
      </x:c>
      <x:c r="L1131" s="28" t="n">
        <x:v>0.15878649955815705</x:v>
      </x:c>
    </x:row>
    <x:row r="1132">
      <x:c r="A1132" s="32" t="n">
        <x:v>46082</x:v>
      </x:c>
      <x:c r="B1132" t="str">
        <x:v>Mar 2026</x:v>
      </x:c>
      <x:c r="C1132" t="str">
        <x:v>Forecast</x:v>
      </x:c>
      <x:c r="D1132" t="str">
        <x:v>DB-101</x:v>
      </x:c>
      <x:c r="E1132" t="str">
        <x:v>AeroSip Bottle</x:v>
      </x:c>
      <x:c r="F1132" t="str">
        <x:v>Amazon Marketplace</x:v>
      </x:c>
      <x:c r="G1132" t="str">
        <x:v>Marketplace Consumer</x:v>
      </x:c>
      <x:c r="H1132" t="str">
        <x:v>Canada</x:v>
      </x:c>
      <x:c r="I1132" s="34" t="n">
        <x:v>73.5</x:v>
      </x:c>
      <x:c r="J1132" s="38" t="n">
        <x:v>1.933803375</x:v>
      </x:c>
      <x:c r="K1132" s="38" t="n">
        <x:v>0.3070618687500002</x:v>
      </x:c>
      <x:c r="L1132" s="28" t="n">
        <x:v>0.15878649955815707</x:v>
      </x:c>
    </x:row>
    <x:row r="1133">
      <x:c r="A1133" s="32" t="n">
        <x:v>46082</x:v>
      </x:c>
      <x:c r="B1133" t="str">
        <x:v>Mar 2026</x:v>
      </x:c>
      <x:c r="C1133" t="str">
        <x:v>Forecast</x:v>
      </x:c>
      <x:c r="D1133" t="str">
        <x:v>DB-101</x:v>
      </x:c>
      <x:c r="E1133" t="str">
        <x:v>AeroSip Bottle</x:v>
      </x:c>
      <x:c r="F1133" t="str">
        <x:v>Wholesale</x:v>
      </x:c>
      <x:c r="G1133" t="str">
        <x:v>Retailer</x:v>
      </x:c>
      <x:c r="H1133" t="str">
        <x:v>US West</x:v>
      </x:c>
      <x:c r="I1133" s="34" t="n">
        <x:v>69.7</x:v>
      </x:c>
      <x:c r="J1133" s="38" t="n">
        <x:v>1.254721975</x:v>
      </x:c>
      <x:c r="K1133" s="38" t="n">
        <x:v>0.279897775</x:v>
      </x:c>
      <x:c r="L1133" s="28" t="n">
        <x:v>0.22307553432305194</x:v>
      </x:c>
    </x:row>
    <x:row r="1134">
      <x:c r="A1134" s="32" t="n">
        <x:v>46082</x:v>
      </x:c>
      <x:c r="B1134" t="str">
        <x:v>Mar 2026</x:v>
      </x:c>
      <x:c r="C1134" t="str">
        <x:v>Forecast</x:v>
      </x:c>
      <x:c r="D1134" t="str">
        <x:v>DB-101</x:v>
      </x:c>
      <x:c r="E1134" t="str">
        <x:v>AeroSip Bottle</x:v>
      </x:c>
      <x:c r="F1134" t="str">
        <x:v>Wholesale</x:v>
      </x:c>
      <x:c r="G1134" t="str">
        <x:v>Retailer</x:v>
      </x:c>
      <x:c r="H1134" t="str">
        <x:v>US Central</x:v>
      </x:c>
      <x:c r="I1134" s="34" t="n">
        <x:v>49.199999999999996</x:v>
      </x:c>
      <x:c r="J1134" s="38" t="n">
        <x:v>0.8856861</x:v>
      </x:c>
      <x:c r="K1134" s="38" t="n">
        <x:v>0.1975749</x:v>
      </x:c>
      <x:c r="L1134" s="28" t="n">
        <x:v>0.2230755343230519</x:v>
      </x:c>
    </x:row>
    <x:row r="1135">
      <x:c r="A1135" s="32" t="n">
        <x:v>46082</x:v>
      </x:c>
      <x:c r="B1135" t="str">
        <x:v>Mar 2026</x:v>
      </x:c>
      <x:c r="C1135" t="str">
        <x:v>Forecast</x:v>
      </x:c>
      <x:c r="D1135" t="str">
        <x:v>DB-101</x:v>
      </x:c>
      <x:c r="E1135" t="str">
        <x:v>AeroSip Bottle</x:v>
      </x:c>
      <x:c r="F1135" t="str">
        <x:v>Wholesale</x:v>
      </x:c>
      <x:c r="G1135" t="str">
        <x:v>Retailer</x:v>
      </x:c>
      <x:c r="H1135" t="str">
        <x:v>US East</x:v>
      </x:c>
      <x:c r="I1135" s="34" t="n">
        <x:v>65.6</x:v>
      </x:c>
      <x:c r="J1135" s="38" t="n">
        <x:v>1.1809148</x:v>
      </x:c>
      <x:c r="K1135" s="38" t="n">
        <x:v>0.26343320000000003</x:v>
      </x:c>
      <x:c r="L1135" s="28" t="n">
        <x:v>0.22307553432305194</x:v>
      </x:c>
    </x:row>
    <x:row r="1136">
      <x:c r="A1136" s="32" t="n">
        <x:v>46082</x:v>
      </x:c>
      <x:c r="B1136" t="str">
        <x:v>Mar 2026</x:v>
      </x:c>
      <x:c r="C1136" t="str">
        <x:v>Forecast</x:v>
      </x:c>
      <x:c r="D1136" t="str">
        <x:v>DB-101</x:v>
      </x:c>
      <x:c r="E1136" t="str">
        <x:v>AeroSip Bottle</x:v>
      </x:c>
      <x:c r="F1136" t="str">
        <x:v>Wholesale</x:v>
      </x:c>
      <x:c r="G1136" t="str">
        <x:v>Retailer</x:v>
      </x:c>
      <x:c r="H1136" t="str">
        <x:v>Canada</x:v>
      </x:c>
      <x:c r="I1136" s="34" t="n">
        <x:v>20.5</x:v>
      </x:c>
      <x:c r="J1136" s="38" t="n">
        <x:v>0.369035875</x:v>
      </x:c>
      <x:c r="K1136" s="38" t="n">
        <x:v>0.08232287500000002</x:v>
      </x:c>
      <x:c r="L1136" s="28" t="n">
        <x:v>0.22307553432305197</x:v>
      </x:c>
    </x:row>
    <x:row r="1137">
      <x:c r="A1137" s="32" t="n">
        <x:v>46082</x:v>
      </x:c>
      <x:c r="B1137" t="str">
        <x:v>Mar 2026</x:v>
      </x:c>
      <x:c r="C1137" t="str">
        <x:v>Forecast</x:v>
      </x:c>
      <x:c r="D1137" t="str">
        <x:v>DB-101</x:v>
      </x:c>
      <x:c r="E1137" t="str">
        <x:v>AeroSip Bottle</x:v>
      </x:c>
      <x:c r="F1137" t="str">
        <x:v>TikTok Shop</x:v>
      </x:c>
      <x:c r="G1137" t="str">
        <x:v>Social Commerce</x:v>
      </x:c>
      <x:c r="H1137" t="str">
        <x:v>US West</x:v>
      </x:c>
      <x:c r="I1137" s="34" t="n">
        <x:v>107.10000000000001</x:v>
      </x:c>
      <x:c r="J1137" s="38" t="n">
        <x:v>2.61019836</x:v>
      </x:c>
      <x:c r="K1137" s="38" t="n">
        <x:v>0.4837201059599998</x:v>
      </x:c>
      <x:c r="L1137" s="28" t="n">
        <x:v>0.18531928966501987</x:v>
      </x:c>
    </x:row>
    <x:row r="1138">
      <x:c r="A1138" s="32" t="n">
        <x:v>46082</x:v>
      </x:c>
      <x:c r="B1138" t="str">
        <x:v>Mar 2026</x:v>
      </x:c>
      <x:c r="C1138" t="str">
        <x:v>Forecast</x:v>
      </x:c>
      <x:c r="D1138" t="str">
        <x:v>DB-101</x:v>
      </x:c>
      <x:c r="E1138" t="str">
        <x:v>AeroSip Bottle</x:v>
      </x:c>
      <x:c r="F1138" t="str">
        <x:v>TikTok Shop</x:v>
      </x:c>
      <x:c r="G1138" t="str">
        <x:v>Social Commerce</x:v>
      </x:c>
      <x:c r="H1138" t="str">
        <x:v>US Central</x:v>
      </x:c>
      <x:c r="I1138" s="34" t="n">
        <x:v>75.6</x:v>
      </x:c>
      <x:c r="J1138" s="38" t="n">
        <x:v>1.84249296</x:v>
      </x:c>
      <x:c r="K1138" s="38" t="n">
        <x:v>0.34144948655999985</x:v>
      </x:c>
      <x:c r="L1138" s="28" t="n">
        <x:v>0.18531928966501987</x:v>
      </x:c>
    </x:row>
    <x:row r="1139">
      <x:c r="A1139" s="32" t="n">
        <x:v>46082</x:v>
      </x:c>
      <x:c r="B1139" t="str">
        <x:v>Mar 2026</x:v>
      </x:c>
      <x:c r="C1139" t="str">
        <x:v>Forecast</x:v>
      </x:c>
      <x:c r="D1139" t="str">
        <x:v>DB-101</x:v>
      </x:c>
      <x:c r="E1139" t="str">
        <x:v>AeroSip Bottle</x:v>
      </x:c>
      <x:c r="F1139" t="str">
        <x:v>TikTok Shop</x:v>
      </x:c>
      <x:c r="G1139" t="str">
        <x:v>Social Commerce</x:v>
      </x:c>
      <x:c r="H1139" t="str">
        <x:v>US East</x:v>
      </x:c>
      <x:c r="I1139" s="34" t="n">
        <x:v>100.8</x:v>
      </x:c>
      <x:c r="J1139" s="38" t="n">
        <x:v>2.45665728</x:v>
      </x:c>
      <x:c r="K1139" s="38" t="n">
        <x:v>0.4552659820799998</x:v>
      </x:c>
      <x:c r="L1139" s="28" t="n">
        <x:v>0.18531928966501987</x:v>
      </x:c>
    </x:row>
    <x:row r="1140">
      <x:c r="A1140" s="32" t="n">
        <x:v>46082</x:v>
      </x:c>
      <x:c r="B1140" t="str">
        <x:v>Mar 2026</x:v>
      </x:c>
      <x:c r="C1140" t="str">
        <x:v>Forecast</x:v>
      </x:c>
      <x:c r="D1140" t="str">
        <x:v>DB-101</x:v>
      </x:c>
      <x:c r="E1140" t="str">
        <x:v>AeroSip Bottle</x:v>
      </x:c>
      <x:c r="F1140" t="str">
        <x:v>TikTok Shop</x:v>
      </x:c>
      <x:c r="G1140" t="str">
        <x:v>Social Commerce</x:v>
      </x:c>
      <x:c r="H1140" t="str">
        <x:v>Canada</x:v>
      </x:c>
      <x:c r="I1140" s="34" t="n">
        <x:v>31.5</x:v>
      </x:c>
      <x:c r="J1140" s="38" t="n">
        <x:v>0.7677054000000001</x:v>
      </x:c>
      <x:c r="K1140" s="38" t="n">
        <x:v>0.14227061939999994</x:v>
      </x:c>
      <x:c r="L1140" s="28" t="n">
        <x:v>0.18531928966501984</x:v>
      </x:c>
    </x:row>
    <x:row r="1141">
      <x:c r="A1141" s="32" t="n">
        <x:v>46082</x:v>
      </x:c>
      <x:c r="B1141" t="str">
        <x:v>Mar 2026</x:v>
      </x:c>
      <x:c r="C1141" t="str">
        <x:v>Forecast</x:v>
      </x:c>
      <x:c r="D1141" t="str">
        <x:v>DB-102</x:v>
      </x:c>
      <x:c r="E1141" t="str">
        <x:v>GlowPatch Balm</x:v>
      </x:c>
      <x:c r="F1141" t="str">
        <x:v>Shopify DTC</x:v>
      </x:c>
      <x:c r="G1141" t="str">
        <x:v>Consumer</x:v>
      </x:c>
      <x:c r="H1141" t="str">
        <x:v>US West</x:v>
      </x:c>
      <x:c r="I1141" s="34" t="n">
        <x:v>425.00000000000006</x:v>
      </x:c>
      <x:c r="J1141" s="38" t="n">
        <x:v>6.86205</x:v>
      </x:c>
      <x:c r="K1141" s="38" t="n">
        <x:v>1.8962505499999984</x:v>
      </x:c>
      <x:c r="L1141" s="28" t="n">
        <x:v>0.2763387835996529</x:v>
      </x:c>
    </x:row>
    <x:row r="1142">
      <x:c r="A1142" s="32" t="n">
        <x:v>46082</x:v>
      </x:c>
      <x:c r="B1142" t="str">
        <x:v>Mar 2026</x:v>
      </x:c>
      <x:c r="C1142" t="str">
        <x:v>Forecast</x:v>
      </x:c>
      <x:c r="D1142" t="str">
        <x:v>DB-102</x:v>
      </x:c>
      <x:c r="E1142" t="str">
        <x:v>GlowPatch Balm</x:v>
      </x:c>
      <x:c r="F1142" t="str">
        <x:v>Shopify DTC</x:v>
      </x:c>
      <x:c r="G1142" t="str">
        <x:v>Consumer</x:v>
      </x:c>
      <x:c r="H1142" t="str">
        <x:v>US Central</x:v>
      </x:c>
      <x:c r="I1142" s="34" t="n">
        <x:v>300</x:v>
      </x:c>
      <x:c r="J1142" s="38" t="n">
        <x:v>4.843799999999999</x:v>
      </x:c>
      <x:c r="K1142" s="38" t="n">
        <x:v>1.3385297999999988</x:v>
      </x:c>
      <x:c r="L1142" s="28" t="n">
        <x:v>0.27633878359965297</x:v>
      </x:c>
    </x:row>
    <x:row r="1143">
      <x:c r="A1143" s="32" t="n">
        <x:v>46082</x:v>
      </x:c>
      <x:c r="B1143" t="str">
        <x:v>Mar 2026</x:v>
      </x:c>
      <x:c r="C1143" t="str">
        <x:v>Forecast</x:v>
      </x:c>
      <x:c r="D1143" t="str">
        <x:v>DB-102</x:v>
      </x:c>
      <x:c r="E1143" t="str">
        <x:v>GlowPatch Balm</x:v>
      </x:c>
      <x:c r="F1143" t="str">
        <x:v>Shopify DTC</x:v>
      </x:c>
      <x:c r="G1143" t="str">
        <x:v>Consumer</x:v>
      </x:c>
      <x:c r="H1143" t="str">
        <x:v>US East</x:v>
      </x:c>
      <x:c r="I1143" s="34" t="n">
        <x:v>400</x:v>
      </x:c>
      <x:c r="J1143" s="38" t="n">
        <x:v>6.458399999999999</x:v>
      </x:c>
      <x:c r="K1143" s="38" t="n">
        <x:v>1.7847063999999984</x:v>
      </x:c>
      <x:c r="L1143" s="28" t="n">
        <x:v>0.27633878359965297</x:v>
      </x:c>
    </x:row>
    <x:row r="1144">
      <x:c r="A1144" s="32" t="n">
        <x:v>46082</x:v>
      </x:c>
      <x:c r="B1144" t="str">
        <x:v>Mar 2026</x:v>
      </x:c>
      <x:c r="C1144" t="str">
        <x:v>Forecast</x:v>
      </x:c>
      <x:c r="D1144" t="str">
        <x:v>DB-102</x:v>
      </x:c>
      <x:c r="E1144" t="str">
        <x:v>GlowPatch Balm</x:v>
      </x:c>
      <x:c r="F1144" t="str">
        <x:v>Shopify DTC</x:v>
      </x:c>
      <x:c r="G1144" t="str">
        <x:v>Consumer</x:v>
      </x:c>
      <x:c r="H1144" t="str">
        <x:v>Canada</x:v>
      </x:c>
      <x:c r="I1144" s="34" t="n">
        <x:v>125</x:v>
      </x:c>
      <x:c r="J1144" s="38" t="n">
        <x:v>2.0182499999999997</x:v>
      </x:c>
      <x:c r="K1144" s="38" t="n">
        <x:v>0.5577207499999995</x:v>
      </x:c>
      <x:c r="L1144" s="28" t="n">
        <x:v>0.27633878359965297</x:v>
      </x:c>
    </x:row>
    <x:row r="1145">
      <x:c r="A1145" s="32" t="n">
        <x:v>46082</x:v>
      </x:c>
      <x:c r="B1145" t="str">
        <x:v>Mar 2026</x:v>
      </x:c>
      <x:c r="C1145" t="str">
        <x:v>Forecast</x:v>
      </x:c>
      <x:c r="D1145" t="str">
        <x:v>DB-102</x:v>
      </x:c>
      <x:c r="E1145" t="str">
        <x:v>GlowPatch Balm</x:v>
      </x:c>
      <x:c r="F1145" t="str">
        <x:v>Amazon Marketplace</x:v>
      </x:c>
      <x:c r="G1145" t="str">
        <x:v>Marketplace Consumer</x:v>
      </x:c>
      <x:c r="H1145" t="str">
        <x:v>US West</x:v>
      </x:c>
      <x:c r="I1145" s="34" t="n">
        <x:v>251.60000000000002</x:v>
      </x:c>
      <x:c r="J1145" s="38" t="n">
        <x:v>4.194801</x:v>
      </x:c>
      <x:c r="K1145" s="38" t="n">
        <x:v>0.3536552499999998</x:v>
      </x:c>
      <x:c r="L1145" s="28" t="n">
        <x:v>0.084307992202729</x:v>
      </x:c>
    </x:row>
    <x:row r="1146">
      <x:c r="A1146" s="32" t="n">
        <x:v>46082</x:v>
      </x:c>
      <x:c r="B1146" t="str">
        <x:v>Mar 2026</x:v>
      </x:c>
      <x:c r="C1146" t="str">
        <x:v>Forecast</x:v>
      </x:c>
      <x:c r="D1146" t="str">
        <x:v>DB-102</x:v>
      </x:c>
      <x:c r="E1146" t="str">
        <x:v>GlowPatch Balm</x:v>
      </x:c>
      <x:c r="F1146" t="str">
        <x:v>Amazon Marketplace</x:v>
      </x:c>
      <x:c r="G1146" t="str">
        <x:v>Marketplace Consumer</x:v>
      </x:c>
      <x:c r="H1146" t="str">
        <x:v>US Central</x:v>
      </x:c>
      <x:c r="I1146" s="34" t="n">
        <x:v>177.6</x:v>
      </x:c>
      <x:c r="J1146" s="38" t="n">
        <x:v>2.961036</x:v>
      </x:c>
      <x:c r="K1146" s="38" t="n">
        <x:v>0.24963899999999986</x:v>
      </x:c>
      <x:c r="L1146" s="28" t="n">
        <x:v>0.084307992202729</x:v>
      </x:c>
    </x:row>
    <x:row r="1147">
      <x:c r="A1147" s="32" t="n">
        <x:v>46082</x:v>
      </x:c>
      <x:c r="B1147" t="str">
        <x:v>Mar 2026</x:v>
      </x:c>
      <x:c r="C1147" t="str">
        <x:v>Forecast</x:v>
      </x:c>
      <x:c r="D1147" t="str">
        <x:v>DB-102</x:v>
      </x:c>
      <x:c r="E1147" t="str">
        <x:v>GlowPatch Balm</x:v>
      </x:c>
      <x:c r="F1147" t="str">
        <x:v>Amazon Marketplace</x:v>
      </x:c>
      <x:c r="G1147" t="str">
        <x:v>Marketplace Consumer</x:v>
      </x:c>
      <x:c r="H1147" t="str">
        <x:v>US East</x:v>
      </x:c>
      <x:c r="I1147" s="34" t="n">
        <x:v>236.8</x:v>
      </x:c>
      <x:c r="J1147" s="38" t="n">
        <x:v>3.948048</x:v>
      </x:c>
      <x:c r="K1147" s="38" t="n">
        <x:v>0.3328519999999998</x:v>
      </x:c>
      <x:c r="L1147" s="28" t="n">
        <x:v>0.084307992202729</x:v>
      </x:c>
    </x:row>
    <x:row r="1148">
      <x:c r="A1148" s="32" t="n">
        <x:v>46082</x:v>
      </x:c>
      <x:c r="B1148" t="str">
        <x:v>Mar 2026</x:v>
      </x:c>
      <x:c r="C1148" t="str">
        <x:v>Forecast</x:v>
      </x:c>
      <x:c r="D1148" t="str">
        <x:v>DB-102</x:v>
      </x:c>
      <x:c r="E1148" t="str">
        <x:v>GlowPatch Balm</x:v>
      </x:c>
      <x:c r="F1148" t="str">
        <x:v>Amazon Marketplace</x:v>
      </x:c>
      <x:c r="G1148" t="str">
        <x:v>Marketplace Consumer</x:v>
      </x:c>
      <x:c r="H1148" t="str">
        <x:v>Canada</x:v>
      </x:c>
      <x:c r="I1148" s="34" t="n">
        <x:v>74</x:v>
      </x:c>
      <x:c r="J1148" s="38" t="n">
        <x:v>1.233765</x:v>
      </x:c>
      <x:c r="K1148" s="38" t="n">
        <x:v>0.10401624999999995</x:v>
      </x:c>
      <x:c r="L1148" s="28" t="n">
        <x:v>0.084307992202729</x:v>
      </x:c>
    </x:row>
    <x:row r="1149">
      <x:c r="A1149" s="32" t="n">
        <x:v>46082</x:v>
      </x:c>
      <x:c r="B1149" t="str">
        <x:v>Mar 2026</x:v>
      </x:c>
      <x:c r="C1149" t="str">
        <x:v>Forecast</x:v>
      </x:c>
      <x:c r="D1149" t="str">
        <x:v>DB-102</x:v>
      </x:c>
      <x:c r="E1149" t="str">
        <x:v>GlowPatch Balm</x:v>
      </x:c>
      <x:c r="F1149" t="str">
        <x:v>Wholesale</x:v>
      </x:c>
      <x:c r="G1149" t="str">
        <x:v>Retailer</x:v>
      </x:c>
      <x:c r="H1149" t="str">
        <x:v>US West</x:v>
      </x:c>
      <x:c r="I1149" s="34" t="n">
        <x:v>69.7</x:v>
      </x:c>
      <x:c r="J1149" s="38" t="n">
        <x:v>0.7951027500000001</x:v>
      </x:c>
      <x:c r="K1149" s="38" t="n">
        <x:v>0.19805255000000005</x:v>
      </x:c>
      <x:c r="L1149" s="28" t="n">
        <x:v>0.2490905106289722</x:v>
      </x:c>
    </x:row>
    <x:row r="1150">
      <x:c r="A1150" s="32" t="n">
        <x:v>46082</x:v>
      </x:c>
      <x:c r="B1150" t="str">
        <x:v>Mar 2026</x:v>
      </x:c>
      <x:c r="C1150" t="str">
        <x:v>Forecast</x:v>
      </x:c>
      <x:c r="D1150" t="str">
        <x:v>DB-102</x:v>
      </x:c>
      <x:c r="E1150" t="str">
        <x:v>GlowPatch Balm</x:v>
      </x:c>
      <x:c r="F1150" t="str">
        <x:v>Wholesale</x:v>
      </x:c>
      <x:c r="G1150" t="str">
        <x:v>Retailer</x:v>
      </x:c>
      <x:c r="H1150" t="str">
        <x:v>US Central</x:v>
      </x:c>
      <x:c r="I1150" s="34" t="n">
        <x:v>49.199999999999996</x:v>
      </x:c>
      <x:c r="J1150" s="38" t="n">
        <x:v>0.561249</x:v>
      </x:c>
      <x:c r="K1150" s="38" t="n">
        <x:v>0.1398018</x:v>
      </x:c>
      <x:c r="L1150" s="28" t="n">
        <x:v>0.24909051062897217</x:v>
      </x:c>
    </x:row>
    <x:row r="1151">
      <x:c r="A1151" s="32" t="n">
        <x:v>46082</x:v>
      </x:c>
      <x:c r="B1151" t="str">
        <x:v>Mar 2026</x:v>
      </x:c>
      <x:c r="C1151" t="str">
        <x:v>Forecast</x:v>
      </x:c>
      <x:c r="D1151" t="str">
        <x:v>DB-102</x:v>
      </x:c>
      <x:c r="E1151" t="str">
        <x:v>GlowPatch Balm</x:v>
      </x:c>
      <x:c r="F1151" t="str">
        <x:v>Wholesale</x:v>
      </x:c>
      <x:c r="G1151" t="str">
        <x:v>Retailer</x:v>
      </x:c>
      <x:c r="H1151" t="str">
        <x:v>US East</x:v>
      </x:c>
      <x:c r="I1151" s="34" t="n">
        <x:v>65.6</x:v>
      </x:c>
      <x:c r="J1151" s="38" t="n">
        <x:v>0.7483320000000001</x:v>
      </x:c>
      <x:c r="K1151" s="38" t="n">
        <x:v>0.18640240000000002</x:v>
      </x:c>
      <x:c r="L1151" s="28" t="n">
        <x:v>0.24909051062897217</x:v>
      </x:c>
    </x:row>
    <x:row r="1152">
      <x:c r="A1152" s="32" t="n">
        <x:v>46082</x:v>
      </x:c>
      <x:c r="B1152" t="str">
        <x:v>Mar 2026</x:v>
      </x:c>
      <x:c r="C1152" t="str">
        <x:v>Forecast</x:v>
      </x:c>
      <x:c r="D1152" t="str">
        <x:v>DB-102</x:v>
      </x:c>
      <x:c r="E1152" t="str">
        <x:v>GlowPatch Balm</x:v>
      </x:c>
      <x:c r="F1152" t="str">
        <x:v>Wholesale</x:v>
      </x:c>
      <x:c r="G1152" t="str">
        <x:v>Retailer</x:v>
      </x:c>
      <x:c r="H1152" t="str">
        <x:v>Canada</x:v>
      </x:c>
      <x:c r="I1152" s="34" t="n">
        <x:v>20.5</x:v>
      </x:c>
      <x:c r="J1152" s="38" t="n">
        <x:v>0.23385375000000003</x:v>
      </x:c>
      <x:c r="K1152" s="38" t="n">
        <x:v>0.05825075000000001</x:v>
      </x:c>
      <x:c r="L1152" s="28" t="n">
        <x:v>0.2490905106289722</x:v>
      </x:c>
    </x:row>
    <x:row r="1153">
      <x:c r="A1153" s="32" t="n">
        <x:v>46082</x:v>
      </x:c>
      <x:c r="B1153" t="str">
        <x:v>Mar 2026</x:v>
      </x:c>
      <x:c r="C1153" t="str">
        <x:v>Forecast</x:v>
      </x:c>
      <x:c r="D1153" t="str">
        <x:v>DB-102</x:v>
      </x:c>
      <x:c r="E1153" t="str">
        <x:v>GlowPatch Balm</x:v>
      </x:c>
      <x:c r="F1153" t="str">
        <x:v>TikTok Shop</x:v>
      </x:c>
      <x:c r="G1153" t="str">
        <x:v>Social Commerce</x:v>
      </x:c>
      <x:c r="H1153" t="str">
        <x:v>US West</x:v>
      </x:c>
      <x:c r="I1153" s="34" t="n">
        <x:v>107.10000000000001</x:v>
      </x:c>
      <x:c r="J1153" s="38" t="n">
        <x:v>1.6540524</x:v>
      </x:c>
      <x:c r="K1153" s="38" t="n">
        <x:v>0.19315313639999998</x:v>
      </x:c>
      <x:c r="L1153" s="28" t="n">
        <x:v>0.11677570577570576</x:v>
      </x:c>
    </x:row>
    <x:row r="1154">
      <x:c r="A1154" s="32" t="n">
        <x:v>46082</x:v>
      </x:c>
      <x:c r="B1154" t="str">
        <x:v>Mar 2026</x:v>
      </x:c>
      <x:c r="C1154" t="str">
        <x:v>Forecast</x:v>
      </x:c>
      <x:c r="D1154" t="str">
        <x:v>DB-102</x:v>
      </x:c>
      <x:c r="E1154" t="str">
        <x:v>GlowPatch Balm</x:v>
      </x:c>
      <x:c r="F1154" t="str">
        <x:v>TikTok Shop</x:v>
      </x:c>
      <x:c r="G1154" t="str">
        <x:v>Social Commerce</x:v>
      </x:c>
      <x:c r="H1154" t="str">
        <x:v>US Central</x:v>
      </x:c>
      <x:c r="I1154" s="34" t="n">
        <x:v>75.6</x:v>
      </x:c>
      <x:c r="J1154" s="38" t="n">
        <x:v>1.1675664</x:v>
      </x:c>
      <x:c r="K1154" s="38" t="n">
        <x:v>0.1363433904</x:v>
      </x:c>
      <x:c r="L1154" s="28" t="n">
        <x:v>0.11677570577570577</x:v>
      </x:c>
    </x:row>
    <x:row r="1155">
      <x:c r="A1155" s="32" t="n">
        <x:v>46082</x:v>
      </x:c>
      <x:c r="B1155" t="str">
        <x:v>Mar 2026</x:v>
      </x:c>
      <x:c r="C1155" t="str">
        <x:v>Forecast</x:v>
      </x:c>
      <x:c r="D1155" t="str">
        <x:v>DB-102</x:v>
      </x:c>
      <x:c r="E1155" t="str">
        <x:v>GlowPatch Balm</x:v>
      </x:c>
      <x:c r="F1155" t="str">
        <x:v>TikTok Shop</x:v>
      </x:c>
      <x:c r="G1155" t="str">
        <x:v>Social Commerce</x:v>
      </x:c>
      <x:c r="H1155" t="str">
        <x:v>US East</x:v>
      </x:c>
      <x:c r="I1155" s="34" t="n">
        <x:v>100.8</x:v>
      </x:c>
      <x:c r="J1155" s="38" t="n">
        <x:v>1.5567552</x:v>
      </x:c>
      <x:c r="K1155" s="38" t="n">
        <x:v>0.18179118719999998</x:v>
      </x:c>
      <x:c r="L1155" s="28" t="n">
        <x:v>0.11677570577570576</x:v>
      </x:c>
    </x:row>
    <x:row r="1156">
      <x:c r="A1156" s="32" t="n">
        <x:v>46082</x:v>
      </x:c>
      <x:c r="B1156" t="str">
        <x:v>Mar 2026</x:v>
      </x:c>
      <x:c r="C1156" t="str">
        <x:v>Forecast</x:v>
      </x:c>
      <x:c r="D1156" t="str">
        <x:v>DB-102</x:v>
      </x:c>
      <x:c r="E1156" t="str">
        <x:v>GlowPatch Balm</x:v>
      </x:c>
      <x:c r="F1156" t="str">
        <x:v>TikTok Shop</x:v>
      </x:c>
      <x:c r="G1156" t="str">
        <x:v>Social Commerce</x:v>
      </x:c>
      <x:c r="H1156" t="str">
        <x:v>Canada</x:v>
      </x:c>
      <x:c r="I1156" s="34" t="n">
        <x:v>31.5</x:v>
      </x:c>
      <x:c r="J1156" s="38" t="n">
        <x:v>0.48648600000000003</x:v>
      </x:c>
      <x:c r="K1156" s="38" t="n">
        <x:v>0.056809745999999994</x:v>
      </x:c>
      <x:c r="L1156" s="28" t="n">
        <x:v>0.11677570577570576</x:v>
      </x:c>
    </x:row>
    <x:row r="1157">
      <x:c r="A1157" s="32" t="n">
        <x:v>46082</x:v>
      </x:c>
      <x:c r="B1157" t="str">
        <x:v>Mar 2026</x:v>
      </x:c>
      <x:c r="C1157" t="str">
        <x:v>Forecast</x:v>
      </x:c>
      <x:c r="D1157" t="str">
        <x:v>DB-103</x:v>
      </x:c>
      <x:c r="E1157" t="str">
        <x:v>EmberTrail Camp Mug</x:v>
      </x:c>
      <x:c r="F1157" t="str">
        <x:v>Shopify DTC</x:v>
      </x:c>
      <x:c r="G1157" t="str">
        <x:v>Consumer</x:v>
      </x:c>
      <x:c r="H1157" t="str">
        <x:v>US West</x:v>
      </x:c>
      <x:c r="I1157" s="34" t="n">
        <x:v>256.70000000000005</x:v>
      </x:c>
      <x:c r="J1157" s="38" t="n">
        <x:v>7.58794932</x:v>
      </x:c>
      <x:c r="K1157" s="38" t="n">
        <x:v>2.355574589719999</x:v>
      </x:c>
      <x:c r="L1157" s="28" t="n">
        <x:v>0.31043625759482524</x:v>
      </x:c>
    </x:row>
    <x:row r="1158">
      <x:c r="A1158" s="32" t="n">
        <x:v>46082</x:v>
      </x:c>
      <x:c r="B1158" t="str">
        <x:v>Mar 2026</x:v>
      </x:c>
      <x:c r="C1158" t="str">
        <x:v>Forecast</x:v>
      </x:c>
      <x:c r="D1158" t="str">
        <x:v>DB-103</x:v>
      </x:c>
      <x:c r="E1158" t="str">
        <x:v>EmberTrail Camp Mug</x:v>
      </x:c>
      <x:c r="F1158" t="str">
        <x:v>Shopify DTC</x:v>
      </x:c>
      <x:c r="G1158" t="str">
        <x:v>Consumer</x:v>
      </x:c>
      <x:c r="H1158" t="str">
        <x:v>US Central</x:v>
      </x:c>
      <x:c r="I1158" s="34" t="n">
        <x:v>181.2</x:v>
      </x:c>
      <x:c r="J1158" s="38" t="n">
        <x:v>5.356199519999999</x:v>
      </x:c>
      <x:c r="K1158" s="38" t="n">
        <x:v>1.662758533919999</x:v>
      </x:c>
      <x:c r="L1158" s="28" t="n">
        <x:v>0.31043625759482524</x:v>
      </x:c>
    </x:row>
    <x:row r="1159">
      <x:c r="A1159" s="32" t="n">
        <x:v>46082</x:v>
      </x:c>
      <x:c r="B1159" t="str">
        <x:v>Mar 2026</x:v>
      </x:c>
      <x:c r="C1159" t="str">
        <x:v>Forecast</x:v>
      </x:c>
      <x:c r="D1159" t="str">
        <x:v>DB-103</x:v>
      </x:c>
      <x:c r="E1159" t="str">
        <x:v>EmberTrail Camp Mug</x:v>
      </x:c>
      <x:c r="F1159" t="str">
        <x:v>Shopify DTC</x:v>
      </x:c>
      <x:c r="G1159" t="str">
        <x:v>Consumer</x:v>
      </x:c>
      <x:c r="H1159" t="str">
        <x:v>US East</x:v>
      </x:c>
      <x:c r="I1159" s="34" t="n">
        <x:v>241.6</x:v>
      </x:c>
      <x:c r="J1159" s="38" t="n">
        <x:v>7.141599359999999</x:v>
      </x:c>
      <x:c r="K1159" s="38" t="n">
        <x:v>2.2170113785599987</x:v>
      </x:c>
      <x:c r="L1159" s="28" t="n">
        <x:v>0.31043625759482524</x:v>
      </x:c>
    </x:row>
    <x:row r="1160">
      <x:c r="A1160" s="32" t="n">
        <x:v>46082</x:v>
      </x:c>
      <x:c r="B1160" t="str">
        <x:v>Mar 2026</x:v>
      </x:c>
      <x:c r="C1160" t="str">
        <x:v>Forecast</x:v>
      </x:c>
      <x:c r="D1160" t="str">
        <x:v>DB-103</x:v>
      </x:c>
      <x:c r="E1160" t="str">
        <x:v>EmberTrail Camp Mug</x:v>
      </x:c>
      <x:c r="F1160" t="str">
        <x:v>Shopify DTC</x:v>
      </x:c>
      <x:c r="G1160" t="str">
        <x:v>Consumer</x:v>
      </x:c>
      <x:c r="H1160" t="str">
        <x:v>Canada</x:v>
      </x:c>
      <x:c r="I1160" s="34" t="n">
        <x:v>75.5</x:v>
      </x:c>
      <x:c r="J1160" s="38" t="n">
        <x:v>2.2317498</x:v>
      </x:c>
      <x:c r="K1160" s="38" t="n">
        <x:v>0.6928160557999997</x:v>
      </x:c>
      <x:c r="L1160" s="28" t="n">
        <x:v>0.3104362575948253</x:v>
      </x:c>
    </x:row>
    <x:row r="1161">
      <x:c r="A1161" s="32" t="n">
        <x:v>46082</x:v>
      </x:c>
      <x:c r="B1161" t="str">
        <x:v>Mar 2026</x:v>
      </x:c>
      <x:c r="C1161" t="str">
        <x:v>Forecast</x:v>
      </x:c>
      <x:c r="D1161" t="str">
        <x:v>DB-103</x:v>
      </x:c>
      <x:c r="E1161" t="str">
        <x:v>EmberTrail Camp Mug</x:v>
      </x:c>
      <x:c r="F1161" t="str">
        <x:v>Amazon Marketplace</x:v>
      </x:c>
      <x:c r="G1161" t="str">
        <x:v>Marketplace Consumer</x:v>
      </x:c>
      <x:c r="H1161" t="str">
        <x:v>US West</x:v>
      </x:c>
      <x:c r="I1161" s="34" t="n">
        <x:v>151.3</x:v>
      </x:c>
      <x:c r="J1161" s="38" t="n">
        <x:v>4.61820555</x:v>
      </x:c>
      <x:c r="K1161" s="38" t="n">
        <x:v>0.7366759175000002</x:v>
      </x:c>
      <x:c r="L1161" s="28" t="n">
        <x:v>0.15951561911314238</x:v>
      </x:c>
    </x:row>
    <x:row r="1162">
      <x:c r="A1162" s="32" t="n">
        <x:v>46082</x:v>
      </x:c>
      <x:c r="B1162" t="str">
        <x:v>Mar 2026</x:v>
      </x:c>
      <x:c r="C1162" t="str">
        <x:v>Forecast</x:v>
      </x:c>
      <x:c r="D1162" t="str">
        <x:v>DB-103</x:v>
      </x:c>
      <x:c r="E1162" t="str">
        <x:v>EmberTrail Camp Mug</x:v>
      </x:c>
      <x:c r="F1162" t="str">
        <x:v>Amazon Marketplace</x:v>
      </x:c>
      <x:c r="G1162" t="str">
        <x:v>Marketplace Consumer</x:v>
      </x:c>
      <x:c r="H1162" t="str">
        <x:v>US Central</x:v>
      </x:c>
      <x:c r="I1162" s="34" t="n">
        <x:v>106.8</x:v>
      </x:c>
      <x:c r="J1162" s="38" t="n">
        <x:v>3.2599097999999995</x:v>
      </x:c>
      <x:c r="K1162" s="38" t="n">
        <x:v>0.5200065300000001</x:v>
      </x:c>
      <x:c r="L1162" s="28" t="n">
        <x:v>0.15951561911314238</x:v>
      </x:c>
    </x:row>
    <x:row r="1163">
      <x:c r="A1163" s="32" t="n">
        <x:v>46082</x:v>
      </x:c>
      <x:c r="B1163" t="str">
        <x:v>Mar 2026</x:v>
      </x:c>
      <x:c r="C1163" t="str">
        <x:v>Forecast</x:v>
      </x:c>
      <x:c r="D1163" t="str">
        <x:v>DB-103</x:v>
      </x:c>
      <x:c r="E1163" t="str">
        <x:v>EmberTrail Camp Mug</x:v>
      </x:c>
      <x:c r="F1163" t="str">
        <x:v>Amazon Marketplace</x:v>
      </x:c>
      <x:c r="G1163" t="str">
        <x:v>Marketplace Consumer</x:v>
      </x:c>
      <x:c r="H1163" t="str">
        <x:v>US East</x:v>
      </x:c>
      <x:c r="I1163" s="34" t="n">
        <x:v>142.4</x:v>
      </x:c>
      <x:c r="J1163" s="38" t="n">
        <x:v>4.3465464</x:v>
      </x:c>
      <x:c r="K1163" s="38" t="n">
        <x:v>0.6933420400000001</x:v>
      </x:c>
      <x:c r="L1163" s="28" t="n">
        <x:v>0.15951561911314235</x:v>
      </x:c>
    </x:row>
    <x:row r="1164">
      <x:c r="A1164" s="32" t="n">
        <x:v>46082</x:v>
      </x:c>
      <x:c r="B1164" t="str">
        <x:v>Mar 2026</x:v>
      </x:c>
      <x:c r="C1164" t="str">
        <x:v>Forecast</x:v>
      </x:c>
      <x:c r="D1164" t="str">
        <x:v>DB-103</x:v>
      </x:c>
      <x:c r="E1164" t="str">
        <x:v>EmberTrail Camp Mug</x:v>
      </x:c>
      <x:c r="F1164" t="str">
        <x:v>Amazon Marketplace</x:v>
      </x:c>
      <x:c r="G1164" t="str">
        <x:v>Marketplace Consumer</x:v>
      </x:c>
      <x:c r="H1164" t="str">
        <x:v>Canada</x:v>
      </x:c>
      <x:c r="I1164" s="34" t="n">
        <x:v>44.5</x:v>
      </x:c>
      <x:c r="J1164" s="38" t="n">
        <x:v>1.35829575</x:v>
      </x:c>
      <x:c r="K1164" s="38" t="n">
        <x:v>0.21666938750000006</x:v>
      </x:c>
      <x:c r="L1164" s="28" t="n">
        <x:v>0.15951561911314238</x:v>
      </x:c>
    </x:row>
    <x:row r="1165">
      <x:c r="A1165" s="32" t="n">
        <x:v>46082</x:v>
      </x:c>
      <x:c r="B1165" t="str">
        <x:v>Mar 2026</x:v>
      </x:c>
      <x:c r="C1165" t="str">
        <x:v>Forecast</x:v>
      </x:c>
      <x:c r="D1165" t="str">
        <x:v>DB-103</x:v>
      </x:c>
      <x:c r="E1165" t="str">
        <x:v>EmberTrail Camp Mug</x:v>
      </x:c>
      <x:c r="F1165" t="str">
        <x:v>Wholesale</x:v>
      </x:c>
      <x:c r="G1165" t="str">
        <x:v>Retailer</x:v>
      </x:c>
      <x:c r="H1165" t="str">
        <x:v>US West</x:v>
      </x:c>
      <x:c r="I1165" s="34" t="n">
        <x:v>42.5</x:v>
      </x:c>
      <x:c r="J1165" s="38" t="n">
        <x:v>0.88759125</x:v>
      </x:c>
      <x:c r="K1165" s="38" t="n">
        <x:v>0.17036125</x:v>
      </x:c>
      <x:c r="L1165" s="28" t="n">
        <x:v>0.19193660370130955</x:v>
      </x:c>
    </x:row>
    <x:row r="1166">
      <x:c r="A1166" s="32" t="n">
        <x:v>46082</x:v>
      </x:c>
      <x:c r="B1166" t="str">
        <x:v>Mar 2026</x:v>
      </x:c>
      <x:c r="C1166" t="str">
        <x:v>Forecast</x:v>
      </x:c>
      <x:c r="D1166" t="str">
        <x:v>DB-103</x:v>
      </x:c>
      <x:c r="E1166" t="str">
        <x:v>EmberTrail Camp Mug</x:v>
      </x:c>
      <x:c r="F1166" t="str">
        <x:v>Wholesale</x:v>
      </x:c>
      <x:c r="G1166" t="str">
        <x:v>Retailer</x:v>
      </x:c>
      <x:c r="H1166" t="str">
        <x:v>US Central</x:v>
      </x:c>
      <x:c r="I1166" s="34" t="n">
        <x:v>30</x:v>
      </x:c>
      <x:c r="J1166" s="38" t="n">
        <x:v>0.626535</x:v>
      </x:c>
      <x:c r="K1166" s="38" t="n">
        <x:v>0.12025499999999999</x:v>
      </x:c>
      <x:c r="L1166" s="28" t="n">
        <x:v>0.19193660370130958</x:v>
      </x:c>
    </x:row>
    <x:row r="1167">
      <x:c r="A1167" s="32" t="n">
        <x:v>46082</x:v>
      </x:c>
      <x:c r="B1167" t="str">
        <x:v>Mar 2026</x:v>
      </x:c>
      <x:c r="C1167" t="str">
        <x:v>Forecast</x:v>
      </x:c>
      <x:c r="D1167" t="str">
        <x:v>DB-103</x:v>
      </x:c>
      <x:c r="E1167" t="str">
        <x:v>EmberTrail Camp Mug</x:v>
      </x:c>
      <x:c r="F1167" t="str">
        <x:v>Wholesale</x:v>
      </x:c>
      <x:c r="G1167" t="str">
        <x:v>Retailer</x:v>
      </x:c>
      <x:c r="H1167" t="str">
        <x:v>US East</x:v>
      </x:c>
      <x:c r="I1167" s="34" t="n">
        <x:v>40</x:v>
      </x:c>
      <x:c r="J1167" s="38" t="n">
        <x:v>0.83538</x:v>
      </x:c>
      <x:c r="K1167" s="38" t="n">
        <x:v>0.16033999999999998</x:v>
      </x:c>
      <x:c r="L1167" s="28" t="n">
        <x:v>0.19193660370130955</x:v>
      </x:c>
    </x:row>
    <x:row r="1168">
      <x:c r="A1168" s="32" t="n">
        <x:v>46082</x:v>
      </x:c>
      <x:c r="B1168" t="str">
        <x:v>Mar 2026</x:v>
      </x:c>
      <x:c r="C1168" t="str">
        <x:v>Forecast</x:v>
      </x:c>
      <x:c r="D1168" t="str">
        <x:v>DB-103</x:v>
      </x:c>
      <x:c r="E1168" t="str">
        <x:v>EmberTrail Camp Mug</x:v>
      </x:c>
      <x:c r="F1168" t="str">
        <x:v>Wholesale</x:v>
      </x:c>
      <x:c r="G1168" t="str">
        <x:v>Retailer</x:v>
      </x:c>
      <x:c r="H1168" t="str">
        <x:v>Canada</x:v>
      </x:c>
      <x:c r="I1168" s="34" t="n">
        <x:v>12.5</x:v>
      </x:c>
      <x:c r="J1168" s="38" t="n">
        <x:v>0.26105625</x:v>
      </x:c>
      <x:c r="K1168" s="38" t="n">
        <x:v>0.05010625</x:v>
      </x:c>
      <x:c r="L1168" s="28" t="n">
        <x:v>0.19193660370130958</x:v>
      </x:c>
    </x:row>
    <x:row r="1169">
      <x:c r="A1169" s="32" t="n">
        <x:v>46082</x:v>
      </x:c>
      <x:c r="B1169" t="str">
        <x:v>Mar 2026</x:v>
      </x:c>
      <x:c r="C1169" t="str">
        <x:v>Forecast</x:v>
      </x:c>
      <x:c r="D1169" t="str">
        <x:v>DB-103</x:v>
      </x:c>
      <x:c r="E1169" t="str">
        <x:v>EmberTrail Camp Mug</x:v>
      </x:c>
      <x:c r="F1169" t="str">
        <x:v>TikTok Shop</x:v>
      </x:c>
      <x:c r="G1169" t="str">
        <x:v>Social Commerce</x:v>
      </x:c>
      <x:c r="H1169" t="str">
        <x:v>US West</x:v>
      </x:c>
      <x:c r="I1169" s="34" t="n">
        <x:v>64.60000000000001</x:v>
      </x:c>
      <x:c r="J1169" s="38" t="n">
        <x:v>1.82652624</x:v>
      </x:c>
      <x:c r="K1169" s="38" t="n">
        <x:v>0.3347558046399999</x:v>
      </x:c>
      <x:c r="L1169" s="28" t="n">
        <x:v>0.1832745663922134</x:v>
      </x:c>
    </x:row>
    <x:row r="1170">
      <x:c r="A1170" s="32" t="n">
        <x:v>46082</x:v>
      </x:c>
      <x:c r="B1170" t="str">
        <x:v>Mar 2026</x:v>
      </x:c>
      <x:c r="C1170" t="str">
        <x:v>Forecast</x:v>
      </x:c>
      <x:c r="D1170" t="str">
        <x:v>DB-103</x:v>
      </x:c>
      <x:c r="E1170" t="str">
        <x:v>EmberTrail Camp Mug</x:v>
      </x:c>
      <x:c r="F1170" t="str">
        <x:v>TikTok Shop</x:v>
      </x:c>
      <x:c r="G1170" t="str">
        <x:v>Social Commerce</x:v>
      </x:c>
      <x:c r="H1170" t="str">
        <x:v>US Central</x:v>
      </x:c>
      <x:c r="I1170" s="34" t="n">
        <x:v>45.6</x:v>
      </x:c>
      <x:c r="J1170" s="38" t="n">
        <x:v>1.28931264</x:v>
      </x:c>
      <x:c r="K1170" s="38" t="n">
        <x:v>0.2362982150399999</x:v>
      </x:c>
      <x:c r="L1170" s="28" t="n">
        <x:v>0.18327456639221337</x:v>
      </x:c>
    </x:row>
    <x:row r="1171">
      <x:c r="A1171" s="32" t="n">
        <x:v>46082</x:v>
      </x:c>
      <x:c r="B1171" t="str">
        <x:v>Mar 2026</x:v>
      </x:c>
      <x:c r="C1171" t="str">
        <x:v>Forecast</x:v>
      </x:c>
      <x:c r="D1171" t="str">
        <x:v>DB-103</x:v>
      </x:c>
      <x:c r="E1171" t="str">
        <x:v>EmberTrail Camp Mug</x:v>
      </x:c>
      <x:c r="F1171" t="str">
        <x:v>TikTok Shop</x:v>
      </x:c>
      <x:c r="G1171" t="str">
        <x:v>Social Commerce</x:v>
      </x:c>
      <x:c r="H1171" t="str">
        <x:v>US East</x:v>
      </x:c>
      <x:c r="I1171" s="34" t="n">
        <x:v>60.800000000000004</x:v>
      </x:c>
      <x:c r="J1171" s="38" t="n">
        <x:v>1.7190835199999999</x:v>
      </x:c>
      <x:c r="K1171" s="38" t="n">
        <x:v>0.31506428671999986</x:v>
      </x:c>
      <x:c r="L1171" s="28" t="n">
        <x:v>0.18327456639221337</x:v>
      </x:c>
    </x:row>
    <x:row r="1172">
      <x:c r="A1172" s="32" t="n">
        <x:v>46082</x:v>
      </x:c>
      <x:c r="B1172" t="str">
        <x:v>Mar 2026</x:v>
      </x:c>
      <x:c r="C1172" t="str">
        <x:v>Forecast</x:v>
      </x:c>
      <x:c r="D1172" t="str">
        <x:v>DB-103</x:v>
      </x:c>
      <x:c r="E1172" t="str">
        <x:v>EmberTrail Camp Mug</x:v>
      </x:c>
      <x:c r="F1172" t="str">
        <x:v>TikTok Shop</x:v>
      </x:c>
      <x:c r="G1172" t="str">
        <x:v>Social Commerce</x:v>
      </x:c>
      <x:c r="H1172" t="str">
        <x:v>Canada</x:v>
      </x:c>
      <x:c r="I1172" s="34" t="n">
        <x:v>19</x:v>
      </x:c>
      <x:c r="J1172" s="38" t="n">
        <x:v>0.5372136</x:v>
      </x:c>
      <x:c r="K1172" s="38" t="n">
        <x:v>0.09845758959999996</x:v>
      </x:c>
      <x:c r="L1172" s="28" t="n">
        <x:v>0.1832745663922134</x:v>
      </x:c>
    </x:row>
    <x:row r="1173">
      <x:c r="A1173" s="32" t="n">
        <x:v>46082</x:v>
      </x:c>
      <x:c r="B1173" t="str">
        <x:v>Mar 2026</x:v>
      </x:c>
      <x:c r="C1173" t="str">
        <x:v>Forecast</x:v>
      </x:c>
      <x:c r="D1173" t="str">
        <x:v>DB-104</x:v>
      </x:c>
      <x:c r="E1173" t="str">
        <x:v>SunNest Cooling Towel</x:v>
      </x:c>
      <x:c r="F1173" t="str">
        <x:v>Shopify DTC</x:v>
      </x:c>
      <x:c r="G1173" t="str">
        <x:v>Consumer</x:v>
      </x:c>
      <x:c r="H1173" t="str">
        <x:v>US West</x:v>
      </x:c>
      <x:c r="I1173" s="34" t="n">
        <x:v>236.3</x:v>
      </x:c>
      <x:c r="J1173" s="38" t="n">
        <x:v>8.6741004</x:v>
      </x:c>
      <x:c r="K1173" s="38" t="n">
        <x:v>3.4890800883999997</x:v>
      </x:c>
      <x:c r="L1173" s="28" t="n">
        <x:v>0.4022411463441211</x:v>
      </x:c>
    </x:row>
    <x:row r="1174">
      <x:c r="A1174" s="32" t="n">
        <x:v>46082</x:v>
      </x:c>
      <x:c r="B1174" t="str">
        <x:v>Mar 2026</x:v>
      </x:c>
      <x:c r="C1174" t="str">
        <x:v>Forecast</x:v>
      </x:c>
      <x:c r="D1174" t="str">
        <x:v>DB-104</x:v>
      </x:c>
      <x:c r="E1174" t="str">
        <x:v>SunNest Cooling Towel</x:v>
      </x:c>
      <x:c r="F1174" t="str">
        <x:v>Shopify DTC</x:v>
      </x:c>
      <x:c r="G1174" t="str">
        <x:v>Consumer</x:v>
      </x:c>
      <x:c r="H1174" t="str">
        <x:v>US Central</x:v>
      </x:c>
      <x:c r="I1174" s="34" t="n">
        <x:v>166.79999999999998</x:v>
      </x:c>
      <x:c r="J1174" s="38" t="n">
        <x:v>6.1228944</x:v>
      </x:c>
      <x:c r="K1174" s="38" t="n">
        <x:v>2.4628800623999996</x:v>
      </x:c>
      <x:c r="L1174" s="28" t="n">
        <x:v>0.4022411463441211</x:v>
      </x:c>
    </x:row>
    <x:row r="1175">
      <x:c r="A1175" s="32" t="n">
        <x:v>46082</x:v>
      </x:c>
      <x:c r="B1175" t="str">
        <x:v>Mar 2026</x:v>
      </x:c>
      <x:c r="C1175" t="str">
        <x:v>Forecast</x:v>
      </x:c>
      <x:c r="D1175" t="str">
        <x:v>DB-104</x:v>
      </x:c>
      <x:c r="E1175" t="str">
        <x:v>SunNest Cooling Towel</x:v>
      </x:c>
      <x:c r="F1175" t="str">
        <x:v>Shopify DTC</x:v>
      </x:c>
      <x:c r="G1175" t="str">
        <x:v>Consumer</x:v>
      </x:c>
      <x:c r="H1175" t="str">
        <x:v>US East</x:v>
      </x:c>
      <x:c r="I1175" s="34" t="n">
        <x:v>222.4</x:v>
      </x:c>
      <x:c r="J1175" s="38" t="n">
        <x:v>8.163859200000001</x:v>
      </x:c>
      <x:c r="K1175" s="38" t="n">
        <x:v>3.2838400832</x:v>
      </x:c>
      <x:c r="L1175" s="28" t="n">
        <x:v>0.4022411463441211</x:v>
      </x:c>
    </x:row>
    <x:row r="1176">
      <x:c r="A1176" s="32" t="n">
        <x:v>46082</x:v>
      </x:c>
      <x:c r="B1176" t="str">
        <x:v>Mar 2026</x:v>
      </x:c>
      <x:c r="C1176" t="str">
        <x:v>Forecast</x:v>
      </x:c>
      <x:c r="D1176" t="str">
        <x:v>DB-104</x:v>
      </x:c>
      <x:c r="E1176" t="str">
        <x:v>SunNest Cooling Towel</x:v>
      </x:c>
      <x:c r="F1176" t="str">
        <x:v>Shopify DTC</x:v>
      </x:c>
      <x:c r="G1176" t="str">
        <x:v>Consumer</x:v>
      </x:c>
      <x:c r="H1176" t="str">
        <x:v>Canada</x:v>
      </x:c>
      <x:c r="I1176" s="34" t="n">
        <x:v>69.5</x:v>
      </x:c>
      <x:c r="J1176" s="38" t="n">
        <x:v>2.5512060000000005</x:v>
      </x:c>
      <x:c r="K1176" s="38" t="n">
        <x:v>1.026200026</x:v>
      </x:c>
      <x:c r="L1176" s="28" t="n">
        <x:v>0.40224114634412106</x:v>
      </x:c>
    </x:row>
    <x:row r="1177">
      <x:c r="A1177" s="32" t="n">
        <x:v>46082</x:v>
      </x:c>
      <x:c r="B1177" t="str">
        <x:v>Mar 2026</x:v>
      </x:c>
      <x:c r="C1177" t="str">
        <x:v>Forecast</x:v>
      </x:c>
      <x:c r="D1177" t="str">
        <x:v>DB-104</x:v>
      </x:c>
      <x:c r="E1177" t="str">
        <x:v>SunNest Cooling Towel</x:v>
      </x:c>
      <x:c r="F1177" t="str">
        <x:v>Amazon Marketplace</x:v>
      </x:c>
      <x:c r="G1177" t="str">
        <x:v>Marketplace Consumer</x:v>
      </x:c>
      <x:c r="H1177" t="str">
        <x:v>US West</x:v>
      </x:c>
      <x:c r="I1177" s="34" t="n">
        <x:v>139.4</x:v>
      </x:c>
      <x:c r="J1177" s="38" t="n">
        <x:v>5.283957</x:v>
      </x:c>
      <x:c r="K1177" s="38" t="n">
        <x:v>1.3649002499999991</x:v>
      </x:c>
      <x:c r="L1177" s="28" t="n">
        <x:v>0.2583102493074791</x:v>
      </x:c>
    </x:row>
    <x:row r="1178">
      <x:c r="A1178" s="32" t="n">
        <x:v>46082</x:v>
      </x:c>
      <x:c r="B1178" t="str">
        <x:v>Mar 2026</x:v>
      </x:c>
      <x:c r="C1178" t="str">
        <x:v>Forecast</x:v>
      </x:c>
      <x:c r="D1178" t="str">
        <x:v>DB-104</x:v>
      </x:c>
      <x:c r="E1178" t="str">
        <x:v>SunNest Cooling Towel</x:v>
      </x:c>
      <x:c r="F1178" t="str">
        <x:v>Amazon Marketplace</x:v>
      </x:c>
      <x:c r="G1178" t="str">
        <x:v>Marketplace Consumer</x:v>
      </x:c>
      <x:c r="H1178" t="str">
        <x:v>US Central</x:v>
      </x:c>
      <x:c r="I1178" s="34" t="n">
        <x:v>98.39999999999999</x:v>
      </x:c>
      <x:c r="J1178" s="38" t="n">
        <x:v>3.7298519999999993</x:v>
      </x:c>
      <x:c r="K1178" s="38" t="n">
        <x:v>0.9634589999999993</x:v>
      </x:c>
      <x:c r="L1178" s="28" t="n">
        <x:v>0.2583102493074791</x:v>
      </x:c>
    </x:row>
    <x:row r="1179">
      <x:c r="A1179" s="32" t="n">
        <x:v>46082</x:v>
      </x:c>
      <x:c r="B1179" t="str">
        <x:v>Mar 2026</x:v>
      </x:c>
      <x:c r="C1179" t="str">
        <x:v>Forecast</x:v>
      </x:c>
      <x:c r="D1179" t="str">
        <x:v>DB-104</x:v>
      </x:c>
      <x:c r="E1179" t="str">
        <x:v>SunNest Cooling Towel</x:v>
      </x:c>
      <x:c r="F1179" t="str">
        <x:v>Amazon Marketplace</x:v>
      </x:c>
      <x:c r="G1179" t="str">
        <x:v>Marketplace Consumer</x:v>
      </x:c>
      <x:c r="H1179" t="str">
        <x:v>US East</x:v>
      </x:c>
      <x:c r="I1179" s="34" t="n">
        <x:v>131.2</x:v>
      </x:c>
      <x:c r="J1179" s="38" t="n">
        <x:v>4.973135999999999</x:v>
      </x:c>
      <x:c r="K1179" s="38" t="n">
        <x:v>1.284611999999999</x:v>
      </x:c>
      <x:c r="L1179" s="28" t="n">
        <x:v>0.25831024930747903</x:v>
      </x:c>
    </x:row>
    <x:row r="1180">
      <x:c r="A1180" s="32" t="n">
        <x:v>46082</x:v>
      </x:c>
      <x:c r="B1180" t="str">
        <x:v>Mar 2026</x:v>
      </x:c>
      <x:c r="C1180" t="str">
        <x:v>Forecast</x:v>
      </x:c>
      <x:c r="D1180" t="str">
        <x:v>DB-104</x:v>
      </x:c>
      <x:c r="E1180" t="str">
        <x:v>SunNest Cooling Towel</x:v>
      </x:c>
      <x:c r="F1180" t="str">
        <x:v>Amazon Marketplace</x:v>
      </x:c>
      <x:c r="G1180" t="str">
        <x:v>Marketplace Consumer</x:v>
      </x:c>
      <x:c r="H1180" t="str">
        <x:v>Canada</x:v>
      </x:c>
      <x:c r="I1180" s="34" t="n">
        <x:v>41</x:v>
      </x:c>
      <x:c r="J1180" s="38" t="n">
        <x:v>1.5541049999999998</x:v>
      </x:c>
      <x:c r="K1180" s="38" t="n">
        <x:v>0.40144124999999975</x:v>
      </x:c>
      <x:c r="L1180" s="28" t="n">
        <x:v>0.2583102493074791</x:v>
      </x:c>
    </x:row>
    <x:row r="1181">
      <x:c r="A1181" s="32" t="n">
        <x:v>46082</x:v>
      </x:c>
      <x:c r="B1181" t="str">
        <x:v>Mar 2026</x:v>
      </x:c>
      <x:c r="C1181" t="str">
        <x:v>Forecast</x:v>
      </x:c>
      <x:c r="D1181" t="str">
        <x:v>DB-104</x:v>
      </x:c>
      <x:c r="E1181" t="str">
        <x:v>SunNest Cooling Towel</x:v>
      </x:c>
      <x:c r="F1181" t="str">
        <x:v>Wholesale</x:v>
      </x:c>
      <x:c r="G1181" t="str">
        <x:v>Retailer</x:v>
      </x:c>
      <x:c r="H1181" t="str">
        <x:v>US West</x:v>
      </x:c>
      <x:c r="I1181" s="34" t="n">
        <x:v>39.1</x:v>
      </x:c>
      <x:c r="J1181" s="38" t="n">
        <x:v>1.0140585000000002</x:v>
      </x:c>
      <x:c r="K1181" s="38" t="n">
        <x:v>0.30134370000000005</x:v>
      </x:c>
      <x:c r="L1181" s="28" t="n">
        <x:v>0.297165991902834</x:v>
      </x:c>
    </x:row>
    <x:row r="1182">
      <x:c r="A1182" s="32" t="n">
        <x:v>46082</x:v>
      </x:c>
      <x:c r="B1182" t="str">
        <x:v>Mar 2026</x:v>
      </x:c>
      <x:c r="C1182" t="str">
        <x:v>Forecast</x:v>
      </x:c>
      <x:c r="D1182" t="str">
        <x:v>DB-104</x:v>
      </x:c>
      <x:c r="E1182" t="str">
        <x:v>SunNest Cooling Towel</x:v>
      </x:c>
      <x:c r="F1182" t="str">
        <x:v>Wholesale</x:v>
      </x:c>
      <x:c r="G1182" t="str">
        <x:v>Retailer</x:v>
      </x:c>
      <x:c r="H1182" t="str">
        <x:v>US Central</x:v>
      </x:c>
      <x:c r="I1182" s="34" t="n">
        <x:v>27.599999999999998</x:v>
      </x:c>
      <x:c r="J1182" s="38" t="n">
        <x:v>0.715806</x:v>
      </x:c>
      <x:c r="K1182" s="38" t="n">
        <x:v>0.21271320000000002</x:v>
      </x:c>
      <x:c r="L1182" s="28" t="n">
        <x:v>0.297165991902834</x:v>
      </x:c>
    </x:row>
    <x:row r="1183">
      <x:c r="A1183" s="32" t="n">
        <x:v>46082</x:v>
      </x:c>
      <x:c r="B1183" t="str">
        <x:v>Mar 2026</x:v>
      </x:c>
      <x:c r="C1183" t="str">
        <x:v>Forecast</x:v>
      </x:c>
      <x:c r="D1183" t="str">
        <x:v>DB-104</x:v>
      </x:c>
      <x:c r="E1183" t="str">
        <x:v>SunNest Cooling Towel</x:v>
      </x:c>
      <x:c r="F1183" t="str">
        <x:v>Wholesale</x:v>
      </x:c>
      <x:c r="G1183" t="str">
        <x:v>Retailer</x:v>
      </x:c>
      <x:c r="H1183" t="str">
        <x:v>US East</x:v>
      </x:c>
      <x:c r="I1183" s="34" t="n">
        <x:v>36.800000000000004</x:v>
      </x:c>
      <x:c r="J1183" s="38" t="n">
        <x:v>0.9544080000000001</x:v>
      </x:c>
      <x:c r="K1183" s="38" t="n">
        <x:v>0.2836176</x:v>
      </x:c>
      <x:c r="L1183" s="28" t="n">
        <x:v>0.297165991902834</x:v>
      </x:c>
    </x:row>
    <x:row r="1184">
      <x:c r="A1184" s="32" t="n">
        <x:v>46082</x:v>
      </x:c>
      <x:c r="B1184" t="str">
        <x:v>Mar 2026</x:v>
      </x:c>
      <x:c r="C1184" t="str">
        <x:v>Forecast</x:v>
      </x:c>
      <x:c r="D1184" t="str">
        <x:v>DB-104</x:v>
      </x:c>
      <x:c r="E1184" t="str">
        <x:v>SunNest Cooling Towel</x:v>
      </x:c>
      <x:c r="F1184" t="str">
        <x:v>Wholesale</x:v>
      </x:c>
      <x:c r="G1184" t="str">
        <x:v>Retailer</x:v>
      </x:c>
      <x:c r="H1184" t="str">
        <x:v>Canada</x:v>
      </x:c>
      <x:c r="I1184" s="34" t="n">
        <x:v>11.5</x:v>
      </x:c>
      <x:c r="J1184" s="38" t="n">
        <x:v>0.29825250000000003</x:v>
      </x:c>
      <x:c r="K1184" s="38" t="n">
        <x:v>0.08863050000000001</x:v>
      </x:c>
      <x:c r="L1184" s="28" t="n">
        <x:v>0.29716599190283405</x:v>
      </x:c>
    </x:row>
    <x:row r="1185">
      <x:c r="A1185" s="32" t="n">
        <x:v>46082</x:v>
      </x:c>
      <x:c r="B1185" t="str">
        <x:v>Mar 2026</x:v>
      </x:c>
      <x:c r="C1185" t="str">
        <x:v>Forecast</x:v>
      </x:c>
      <x:c r="D1185" t="str">
        <x:v>DB-104</x:v>
      </x:c>
      <x:c r="E1185" t="str">
        <x:v>SunNest Cooling Towel</x:v>
      </x:c>
      <x:c r="F1185" t="str">
        <x:v>TikTok Shop</x:v>
      </x:c>
      <x:c r="G1185" t="str">
        <x:v>Social Commerce</x:v>
      </x:c>
      <x:c r="H1185" t="str">
        <x:v>US West</x:v>
      </x:c>
      <x:c r="I1185" s="34" t="n">
        <x:v>59.50000000000001</x:v>
      </x:c>
      <x:c r="J1185" s="38" t="n">
        <x:v>2.0891640000000002</x:v>
      </x:c>
      <x:c r="K1185" s="38" t="n">
        <x:v>0.5985124039999999</x:v>
      </x:c>
      <x:c r="L1185" s="28" t="n">
        <x:v>0.2864841649578491</x:v>
      </x:c>
    </x:row>
    <x:row r="1186">
      <x:c r="A1186" s="32" t="n">
        <x:v>46082</x:v>
      </x:c>
      <x:c r="B1186" t="str">
        <x:v>Mar 2026</x:v>
      </x:c>
      <x:c r="C1186" t="str">
        <x:v>Forecast</x:v>
      </x:c>
      <x:c r="D1186" t="str">
        <x:v>DB-104</x:v>
      </x:c>
      <x:c r="E1186" t="str">
        <x:v>SunNest Cooling Towel</x:v>
      </x:c>
      <x:c r="F1186" t="str">
        <x:v>TikTok Shop</x:v>
      </x:c>
      <x:c r="G1186" t="str">
        <x:v>Social Commerce</x:v>
      </x:c>
      <x:c r="H1186" t="str">
        <x:v>US Central</x:v>
      </x:c>
      <x:c r="I1186" s="34" t="n">
        <x:v>42</x:v>
      </x:c>
      <x:c r="J1186" s="38" t="n">
        <x:v>1.474704</x:v>
      </x:c>
      <x:c r="K1186" s="38" t="n">
        <x:v>0.4224793439999999</x:v>
      </x:c>
      <x:c r="L1186" s="28" t="n">
        <x:v>0.2864841649578491</x:v>
      </x:c>
    </x:row>
    <x:row r="1187">
      <x:c r="A1187" s="32" t="n">
        <x:v>46082</x:v>
      </x:c>
      <x:c r="B1187" t="str">
        <x:v>Mar 2026</x:v>
      </x:c>
      <x:c r="C1187" t="str">
        <x:v>Forecast</x:v>
      </x:c>
      <x:c r="D1187" t="str">
        <x:v>DB-104</x:v>
      </x:c>
      <x:c r="E1187" t="str">
        <x:v>SunNest Cooling Towel</x:v>
      </x:c>
      <x:c r="F1187" t="str">
        <x:v>TikTok Shop</x:v>
      </x:c>
      <x:c r="G1187" t="str">
        <x:v>Social Commerce</x:v>
      </x:c>
      <x:c r="H1187" t="str">
        <x:v>US East</x:v>
      </x:c>
      <x:c r="I1187" s="34" t="n">
        <x:v>56</x:v>
      </x:c>
      <x:c r="J1187" s="38" t="n">
        <x:v>1.9662720000000002</x:v>
      </x:c>
      <x:c r="K1187" s="38" t="n">
        <x:v>0.5633057919999999</x:v>
      </x:c>
      <x:c r="L1187" s="28" t="n">
        <x:v>0.28648416495784906</x:v>
      </x:c>
    </x:row>
    <x:row r="1188">
      <x:c r="A1188" s="32" t="n">
        <x:v>46082</x:v>
      </x:c>
      <x:c r="B1188" t="str">
        <x:v>Mar 2026</x:v>
      </x:c>
      <x:c r="C1188" t="str">
        <x:v>Forecast</x:v>
      </x:c>
      <x:c r="D1188" t="str">
        <x:v>DB-104</x:v>
      </x:c>
      <x:c r="E1188" t="str">
        <x:v>SunNest Cooling Towel</x:v>
      </x:c>
      <x:c r="F1188" t="str">
        <x:v>TikTok Shop</x:v>
      </x:c>
      <x:c r="G1188" t="str">
        <x:v>Social Commerce</x:v>
      </x:c>
      <x:c r="H1188" t="str">
        <x:v>Canada</x:v>
      </x:c>
      <x:c r="I1188" s="34" t="n">
        <x:v>17.5</x:v>
      </x:c>
      <x:c r="J1188" s="38" t="n">
        <x:v>0.6144600000000001</x:v>
      </x:c>
      <x:c r="K1188" s="38" t="n">
        <x:v>0.17603305999999996</x:v>
      </x:c>
      <x:c r="L1188" s="28" t="n">
        <x:v>0.28648416495784906</x:v>
      </x:c>
    </x:row>
    <x:row r="1189">
      <x:c r="A1189" s="32" t="n">
        <x:v>46082</x:v>
      </x:c>
      <x:c r="B1189" t="str">
        <x:v>Mar 2026</x:v>
      </x:c>
      <x:c r="C1189" t="str">
        <x:v>Forecast</x:v>
      </x:c>
      <x:c r="D1189" t="str">
        <x:v>DB-105</x:v>
      </x:c>
      <x:c r="E1189" t="str">
        <x:v>DreamFuel Refill Pack</x:v>
      </x:c>
      <x:c r="F1189" t="str">
        <x:v>Shopify DTC</x:v>
      </x:c>
      <x:c r="G1189" t="str">
        <x:v>Consumer</x:v>
      </x:c>
      <x:c r="H1189" t="str">
        <x:v>US West</x:v>
      </x:c>
      <x:c r="I1189" s="34" t="n">
        <x:v>333.20000000000005</x:v>
      </x:c>
      <x:c r="J1189" s="38" t="n">
        <x:v>16.823134720000002</x:v>
      </x:c>
      <x:c r="K1189" s="38" t="n">
        <x:v>8.19732029312</x:v>
      </x:c>
      <x:c r="L1189" s="28" t="n">
        <x:v>0.48726473570794776</x:v>
      </x:c>
    </x:row>
    <x:row r="1190">
      <x:c r="A1190" s="32" t="n">
        <x:v>46082</x:v>
      </x:c>
      <x:c r="B1190" t="str">
        <x:v>Mar 2026</x:v>
      </x:c>
      <x:c r="C1190" t="str">
        <x:v>Forecast</x:v>
      </x:c>
      <x:c r="D1190" t="str">
        <x:v>DB-105</x:v>
      </x:c>
      <x:c r="E1190" t="str">
        <x:v>DreamFuel Refill Pack</x:v>
      </x:c>
      <x:c r="F1190" t="str">
        <x:v>Shopify DTC</x:v>
      </x:c>
      <x:c r="G1190" t="str">
        <x:v>Consumer</x:v>
      </x:c>
      <x:c r="H1190" t="str">
        <x:v>US Central</x:v>
      </x:c>
      <x:c r="I1190" s="34" t="n">
        <x:v>235.2</x:v>
      </x:c>
      <x:c r="J1190" s="38" t="n">
        <x:v>11.875153919999999</x:v>
      </x:c>
      <x:c r="K1190" s="38" t="n">
        <x:v>5.78634373632</x:v>
      </x:c>
      <x:c r="L1190" s="28" t="n">
        <x:v>0.4872647357079478</x:v>
      </x:c>
    </x:row>
    <x:row r="1191">
      <x:c r="A1191" s="32" t="n">
        <x:v>46082</x:v>
      </x:c>
      <x:c r="B1191" t="str">
        <x:v>Mar 2026</x:v>
      </x:c>
      <x:c r="C1191" t="str">
        <x:v>Forecast</x:v>
      </x:c>
      <x:c r="D1191" t="str">
        <x:v>DB-105</x:v>
      </x:c>
      <x:c r="E1191" t="str">
        <x:v>DreamFuel Refill Pack</x:v>
      </x:c>
      <x:c r="F1191" t="str">
        <x:v>Shopify DTC</x:v>
      </x:c>
      <x:c r="G1191" t="str">
        <x:v>Consumer</x:v>
      </x:c>
      <x:c r="H1191" t="str">
        <x:v>US East</x:v>
      </x:c>
      <x:c r="I1191" s="34" t="n">
        <x:v>313.6</x:v>
      </x:c>
      <x:c r="J1191" s="38" t="n">
        <x:v>15.83353856</x:v>
      </x:c>
      <x:c r="K1191" s="38" t="n">
        <x:v>7.71512498176</x:v>
      </x:c>
      <x:c r="L1191" s="28" t="n">
        <x:v>0.4872647357079478</x:v>
      </x:c>
    </x:row>
    <x:row r="1192">
      <x:c r="A1192" s="32" t="n">
        <x:v>46082</x:v>
      </x:c>
      <x:c r="B1192" t="str">
        <x:v>Mar 2026</x:v>
      </x:c>
      <x:c r="C1192" t="str">
        <x:v>Forecast</x:v>
      </x:c>
      <x:c r="D1192" t="str">
        <x:v>DB-105</x:v>
      </x:c>
      <x:c r="E1192" t="str">
        <x:v>DreamFuel Refill Pack</x:v>
      </x:c>
      <x:c r="F1192" t="str">
        <x:v>Shopify DTC</x:v>
      </x:c>
      <x:c r="G1192" t="str">
        <x:v>Consumer</x:v>
      </x:c>
      <x:c r="H1192" t="str">
        <x:v>Canada</x:v>
      </x:c>
      <x:c r="I1192" s="34" t="n">
        <x:v>98</x:v>
      </x:c>
      <x:c r="J1192" s="38" t="n">
        <x:v>4.9479808</x:v>
      </x:c>
      <x:c r="K1192" s="38" t="n">
        <x:v>2.4109765568</x:v>
      </x:c>
      <x:c r="L1192" s="28" t="n">
        <x:v>0.4872647357079478</x:v>
      </x:c>
    </x:row>
    <x:row r="1193">
      <x:c r="A1193" s="32" t="n">
        <x:v>46082</x:v>
      </x:c>
      <x:c r="B1193" t="str">
        <x:v>Mar 2026</x:v>
      </x:c>
      <x:c r="C1193" t="str">
        <x:v>Forecast</x:v>
      </x:c>
      <x:c r="D1193" t="str">
        <x:v>DB-105</x:v>
      </x:c>
      <x:c r="E1193" t="str">
        <x:v>DreamFuel Refill Pack</x:v>
      </x:c>
      <x:c r="F1193" t="str">
        <x:v>Amazon Marketplace</x:v>
      </x:c>
      <x:c r="G1193" t="str">
        <x:v>Marketplace Consumer</x:v>
      </x:c>
      <x:c r="H1193" t="str">
        <x:v>US West</x:v>
      </x:c>
      <x:c r="I1193" s="34" t="n">
        <x:v>197.20000000000002</x:v>
      </x:c>
      <x:c r="J1193" s="38" t="n">
        <x:v>10.2812192</x:v>
      </x:c>
      <x:c r="K1193" s="38" t="n">
        <x:v>3.617042400000001</x:v>
      </x:c>
      <x:c r="L1193" s="28" t="n">
        <x:v>0.3518106490716588</x:v>
      </x:c>
    </x:row>
    <x:row r="1194">
      <x:c r="A1194" s="32" t="n">
        <x:v>46082</x:v>
      </x:c>
      <x:c r="B1194" t="str">
        <x:v>Mar 2026</x:v>
      </x:c>
      <x:c r="C1194" t="str">
        <x:v>Forecast</x:v>
      </x:c>
      <x:c r="D1194" t="str">
        <x:v>DB-105</x:v>
      </x:c>
      <x:c r="E1194" t="str">
        <x:v>DreamFuel Refill Pack</x:v>
      </x:c>
      <x:c r="F1194" t="str">
        <x:v>Amazon Marketplace</x:v>
      </x:c>
      <x:c r="G1194" t="str">
        <x:v>Marketplace Consumer</x:v>
      </x:c>
      <x:c r="H1194" t="str">
        <x:v>US Central</x:v>
      </x:c>
      <x:c r="I1194" s="34" t="n">
        <x:v>139.2</x:v>
      </x:c>
      <x:c r="J1194" s="38" t="n">
        <x:v>7.2573312</x:v>
      </x:c>
      <x:c r="K1194" s="38" t="n">
        <x:v>2.5532064000000005</x:v>
      </x:c>
      <x:c r="L1194" s="28" t="n">
        <x:v>0.3518106490716588</x:v>
      </x:c>
    </x:row>
    <x:row r="1195">
      <x:c r="A1195" s="32" t="n">
        <x:v>46082</x:v>
      </x:c>
      <x:c r="B1195" t="str">
        <x:v>Mar 2026</x:v>
      </x:c>
      <x:c r="C1195" t="str">
        <x:v>Forecast</x:v>
      </x:c>
      <x:c r="D1195" t="str">
        <x:v>DB-105</x:v>
      </x:c>
      <x:c r="E1195" t="str">
        <x:v>DreamFuel Refill Pack</x:v>
      </x:c>
      <x:c r="F1195" t="str">
        <x:v>Amazon Marketplace</x:v>
      </x:c>
      <x:c r="G1195" t="str">
        <x:v>Marketplace Consumer</x:v>
      </x:c>
      <x:c r="H1195" t="str">
        <x:v>US East</x:v>
      </x:c>
      <x:c r="I1195" s="34" t="n">
        <x:v>185.6</x:v>
      </x:c>
      <x:c r="J1195" s="38" t="n">
        <x:v>9.6764416</x:v>
      </x:c>
      <x:c r="K1195" s="38" t="n">
        <x:v>3.4042752000000007</x:v>
      </x:c>
      <x:c r="L1195" s="28" t="n">
        <x:v>0.3518106490716588</x:v>
      </x:c>
    </x:row>
    <x:row r="1196">
      <x:c r="A1196" s="32" t="n">
        <x:v>46082</x:v>
      </x:c>
      <x:c r="B1196" t="str">
        <x:v>Mar 2026</x:v>
      </x:c>
      <x:c r="C1196" t="str">
        <x:v>Forecast</x:v>
      </x:c>
      <x:c r="D1196" t="str">
        <x:v>DB-105</x:v>
      </x:c>
      <x:c r="E1196" t="str">
        <x:v>DreamFuel Refill Pack</x:v>
      </x:c>
      <x:c r="F1196" t="str">
        <x:v>Amazon Marketplace</x:v>
      </x:c>
      <x:c r="G1196" t="str">
        <x:v>Marketplace Consumer</x:v>
      </x:c>
      <x:c r="H1196" t="str">
        <x:v>Canada</x:v>
      </x:c>
      <x:c r="I1196" s="34" t="n">
        <x:v>58</x:v>
      </x:c>
      <x:c r="J1196" s="38" t="n">
        <x:v>3.0238880000000004</x:v>
      </x:c>
      <x:c r="K1196" s="38" t="n">
        <x:v>1.0638360000000002</x:v>
      </x:c>
      <x:c r="L1196" s="28" t="n">
        <x:v>0.35181064907165877</x:v>
      </x:c>
    </x:row>
    <x:row r="1197">
      <x:c r="A1197" s="32" t="n">
        <x:v>46082</x:v>
      </x:c>
      <x:c r="B1197" t="str">
        <x:v>Mar 2026</x:v>
      </x:c>
      <x:c r="C1197" t="str">
        <x:v>Forecast</x:v>
      </x:c>
      <x:c r="D1197" t="str">
        <x:v>DB-105</x:v>
      </x:c>
      <x:c r="E1197" t="str">
        <x:v>DreamFuel Refill Pack</x:v>
      </x:c>
      <x:c r="F1197" t="str">
        <x:v>Wholesale</x:v>
      </x:c>
      <x:c r="G1197" t="str">
        <x:v>Retailer</x:v>
      </x:c>
      <x:c r="H1197" t="str">
        <x:v>US West</x:v>
      </x:c>
      <x:c r="I1197" s="34" t="n">
        <x:v>54.400000000000006</x:v>
      </x:c>
      <x:c r="J1197" s="38" t="n">
        <x:v>1.9405568000000004</x:v>
      </x:c>
      <x:c r="K1197" s="38" t="n">
        <x:v>0.7560729600000002</x:v>
      </x:c>
      <x:c r="L1197" s="28" t="n">
        <x:v>0.3896165059430366</x:v>
      </x:c>
    </x:row>
    <x:row r="1198">
      <x:c r="A1198" s="32" t="n">
        <x:v>46082</x:v>
      </x:c>
      <x:c r="B1198" t="str">
        <x:v>Mar 2026</x:v>
      </x:c>
      <x:c r="C1198" t="str">
        <x:v>Forecast</x:v>
      </x:c>
      <x:c r="D1198" t="str">
        <x:v>DB-105</x:v>
      </x:c>
      <x:c r="E1198" t="str">
        <x:v>DreamFuel Refill Pack</x:v>
      </x:c>
      <x:c r="F1198" t="str">
        <x:v>Wholesale</x:v>
      </x:c>
      <x:c r="G1198" t="str">
        <x:v>Retailer</x:v>
      </x:c>
      <x:c r="H1198" t="str">
        <x:v>US Central</x:v>
      </x:c>
      <x:c r="I1198" s="34" t="n">
        <x:v>38.4</x:v>
      </x:c>
      <x:c r="J1198" s="38" t="n">
        <x:v>1.3698048</x:v>
      </x:c>
      <x:c r="K1198" s="38" t="n">
        <x:v>0.53369856</x:v>
      </x:c>
      <x:c r="L1198" s="28" t="n">
        <x:v>0.3896165059430366</x:v>
      </x:c>
    </x:row>
    <x:row r="1199">
      <x:c r="A1199" s="32" t="n">
        <x:v>46082</x:v>
      </x:c>
      <x:c r="B1199" t="str">
        <x:v>Mar 2026</x:v>
      </x:c>
      <x:c r="C1199" t="str">
        <x:v>Forecast</x:v>
      </x:c>
      <x:c r="D1199" t="str">
        <x:v>DB-105</x:v>
      </x:c>
      <x:c r="E1199" t="str">
        <x:v>DreamFuel Refill Pack</x:v>
      </x:c>
      <x:c r="F1199" t="str">
        <x:v>Wholesale</x:v>
      </x:c>
      <x:c r="G1199" t="str">
        <x:v>Retailer</x:v>
      </x:c>
      <x:c r="H1199" t="str">
        <x:v>US East</x:v>
      </x:c>
      <x:c r="I1199" s="34" t="n">
        <x:v>51.2</x:v>
      </x:c>
      <x:c r="J1199" s="38" t="n">
        <x:v>1.8264064000000002</x:v>
      </x:c>
      <x:c r="K1199" s="38" t="n">
        <x:v>0.7115980800000001</x:v>
      </x:c>
      <x:c r="L1199" s="28" t="n">
        <x:v>0.3896165059430366</x:v>
      </x:c>
    </x:row>
    <x:row r="1200">
      <x:c r="A1200" s="32" t="n">
        <x:v>46082</x:v>
      </x:c>
      <x:c r="B1200" t="str">
        <x:v>Mar 2026</x:v>
      </x:c>
      <x:c r="C1200" t="str">
        <x:v>Forecast</x:v>
      </x:c>
      <x:c r="D1200" t="str">
        <x:v>DB-105</x:v>
      </x:c>
      <x:c r="E1200" t="str">
        <x:v>DreamFuel Refill Pack</x:v>
      </x:c>
      <x:c r="F1200" t="str">
        <x:v>Wholesale</x:v>
      </x:c>
      <x:c r="G1200" t="str">
        <x:v>Retailer</x:v>
      </x:c>
      <x:c r="H1200" t="str">
        <x:v>Canada</x:v>
      </x:c>
      <x:c r="I1200" s="34" t="n">
        <x:v>16</x:v>
      </x:c>
      <x:c r="J1200" s="38" t="n">
        <x:v>0.570752</x:v>
      </x:c>
      <x:c r="K1200" s="38" t="n">
        <x:v>0.22237440000000006</x:v>
      </x:c>
      <x:c r="L1200" s="28" t="n">
        <x:v>0.38961650594303665</x:v>
      </x:c>
    </x:row>
    <x:row r="1201">
      <x:c r="A1201" s="32" t="n">
        <x:v>46082</x:v>
      </x:c>
      <x:c r="B1201" t="str">
        <x:v>Mar 2026</x:v>
      </x:c>
      <x:c r="C1201" t="str">
        <x:v>Forecast</x:v>
      </x:c>
      <x:c r="D1201" t="str">
        <x:v>DB-105</x:v>
      </x:c>
      <x:c r="E1201" t="str">
        <x:v>DreamFuel Refill Pack</x:v>
      </x:c>
      <x:c r="F1201" t="str">
        <x:v>TikTok Shop</x:v>
      </x:c>
      <x:c r="G1201" t="str">
        <x:v>Social Commerce</x:v>
      </x:c>
      <x:c r="H1201" t="str">
        <x:v>US West</x:v>
      </x:c>
      <x:c r="I1201" s="34" t="n">
        <x:v>83.30000000000001</x:v>
      </x:c>
      <x:c r="J1201" s="38" t="n">
        <x:v>4.02292352</x:v>
      </x:c>
      <x:c r="K1201" s="38" t="n">
        <x:v>1.5429324467200003</x:v>
      </x:c>
      <x:c r="L1201" s="28" t="n">
        <x:v>0.38353511794328127</x:v>
      </x:c>
    </x:row>
    <x:row r="1202">
      <x:c r="A1202" s="32" t="n">
        <x:v>46082</x:v>
      </x:c>
      <x:c r="B1202" t="str">
        <x:v>Mar 2026</x:v>
      </x:c>
      <x:c r="C1202" t="str">
        <x:v>Forecast</x:v>
      </x:c>
      <x:c r="D1202" t="str">
        <x:v>DB-105</x:v>
      </x:c>
      <x:c r="E1202" t="str">
        <x:v>DreamFuel Refill Pack</x:v>
      </x:c>
      <x:c r="F1202" t="str">
        <x:v>TikTok Shop</x:v>
      </x:c>
      <x:c r="G1202" t="str">
        <x:v>Social Commerce</x:v>
      </x:c>
      <x:c r="H1202" t="str">
        <x:v>US Central</x:v>
      </x:c>
      <x:c r="I1202" s="34" t="n">
        <x:v>58.8</x:v>
      </x:c>
      <x:c r="J1202" s="38" t="n">
        <x:v>2.83971072</x:v>
      </x:c>
      <x:c r="K1202" s="38" t="n">
        <x:v>1.08912878592</x:v>
      </x:c>
      <x:c r="L1202" s="28" t="n">
        <x:v>0.38353511794328127</x:v>
      </x:c>
    </x:row>
    <x:row r="1203">
      <x:c r="A1203" s="32" t="n">
        <x:v>46082</x:v>
      </x:c>
      <x:c r="B1203" t="str">
        <x:v>Mar 2026</x:v>
      </x:c>
      <x:c r="C1203" t="str">
        <x:v>Forecast</x:v>
      </x:c>
      <x:c r="D1203" t="str">
        <x:v>DB-105</x:v>
      </x:c>
      <x:c r="E1203" t="str">
        <x:v>DreamFuel Refill Pack</x:v>
      </x:c>
      <x:c r="F1203" t="str">
        <x:v>TikTok Shop</x:v>
      </x:c>
      <x:c r="G1203" t="str">
        <x:v>Social Commerce</x:v>
      </x:c>
      <x:c r="H1203" t="str">
        <x:v>US East</x:v>
      </x:c>
      <x:c r="I1203" s="34" t="n">
        <x:v>78.4</x:v>
      </x:c>
      <x:c r="J1203" s="38" t="n">
        <x:v>3.7862809599999996</x:v>
      </x:c>
      <x:c r="K1203" s="38" t="n">
        <x:v>1.4521717145600002</x:v>
      </x:c>
      <x:c r="L1203" s="28" t="n">
        <x:v>0.38353511794328127</x:v>
      </x:c>
    </x:row>
    <x:row r="1204">
      <x:c r="A1204" s="32" t="n">
        <x:v>46082</x:v>
      </x:c>
      <x:c r="B1204" t="str">
        <x:v>Mar 2026</x:v>
      </x:c>
      <x:c r="C1204" t="str">
        <x:v>Forecast</x:v>
      </x:c>
      <x:c r="D1204" t="str">
        <x:v>DB-105</x:v>
      </x:c>
      <x:c r="E1204" t="str">
        <x:v>DreamFuel Refill Pack</x:v>
      </x:c>
      <x:c r="F1204" t="str">
        <x:v>TikTok Shop</x:v>
      </x:c>
      <x:c r="G1204" t="str">
        <x:v>Social Commerce</x:v>
      </x:c>
      <x:c r="H1204" t="str">
        <x:v>Canada</x:v>
      </x:c>
      <x:c r="I1204" s="34" t="n">
        <x:v>24.5</x:v>
      </x:c>
      <x:c r="J1204" s="38" t="n">
        <x:v>1.1832128</x:v>
      </x:c>
      <x:c r="K1204" s="38" t="n">
        <x:v>0.45380366080000006</x:v>
      </x:c>
      <x:c r="L1204" s="28" t="n">
        <x:v>0.38353511794328127</x:v>
      </x:c>
    </x:row>
    <x:row r="1205">
      <x:c r="A1205" s="32" t="n">
        <x:v>46113</x:v>
      </x:c>
      <x:c r="B1205" t="str">
        <x:v>Apr 2026</x:v>
      </x:c>
      <x:c r="C1205" t="str">
        <x:v>Forecast</x:v>
      </x:c>
      <x:c r="D1205" t="str">
        <x:v>DB-101</x:v>
      </x:c>
      <x:c r="E1205" t="str">
        <x:v>AeroSip Bottle</x:v>
      </x:c>
      <x:c r="F1205" t="str">
        <x:v>Shopify DTC</x:v>
      </x:c>
      <x:c r="G1205" t="str">
        <x:v>Consumer</x:v>
      </x:c>
      <x:c r="H1205" t="str">
        <x:v>US West</x:v>
      </x:c>
      <x:c r="I1205" s="34" t="n">
        <x:v>340</x:v>
      </x:c>
      <x:c r="J1205" s="38" t="n">
        <x:v>8.662996</x:v>
      </x:c>
      <x:c r="K1205" s="38" t="n">
        <x:v>2.7555291159999995</x:v>
      </x:c>
      <x:c r="L1205" s="28" t="n">
        <x:v>0.3180803865083165</x:v>
      </x:c>
    </x:row>
    <x:row r="1206">
      <x:c r="A1206" s="32" t="n">
        <x:v>46113</x:v>
      </x:c>
      <x:c r="B1206" t="str">
        <x:v>Apr 2026</x:v>
      </x:c>
      <x:c r="C1206" t="str">
        <x:v>Forecast</x:v>
      </x:c>
      <x:c r="D1206" t="str">
        <x:v>DB-101</x:v>
      </x:c>
      <x:c r="E1206" t="str">
        <x:v>AeroSip Bottle</x:v>
      </x:c>
      <x:c r="F1206" t="str">
        <x:v>Shopify DTC</x:v>
      </x:c>
      <x:c r="G1206" t="str">
        <x:v>Consumer</x:v>
      </x:c>
      <x:c r="H1206" t="str">
        <x:v>US Central</x:v>
      </x:c>
      <x:c r="I1206" s="34" t="n">
        <x:v>240</x:v>
      </x:c>
      <x:c r="J1206" s="38" t="n">
        <x:v>6.115055999999999</x:v>
      </x:c>
      <x:c r="K1206" s="38" t="n">
        <x:v>1.9450793759999994</x:v>
      </x:c>
      <x:c r="L1206" s="28" t="n">
        <x:v>0.31808038650831644</x:v>
      </x:c>
    </x:row>
    <x:row r="1207">
      <x:c r="A1207" s="32" t="n">
        <x:v>46113</x:v>
      </x:c>
      <x:c r="B1207" t="str">
        <x:v>Apr 2026</x:v>
      </x:c>
      <x:c r="C1207" t="str">
        <x:v>Forecast</x:v>
      </x:c>
      <x:c r="D1207" t="str">
        <x:v>DB-101</x:v>
      </x:c>
      <x:c r="E1207" t="str">
        <x:v>AeroSip Bottle</x:v>
      </x:c>
      <x:c r="F1207" t="str">
        <x:v>Shopify DTC</x:v>
      </x:c>
      <x:c r="G1207" t="str">
        <x:v>Consumer</x:v>
      </x:c>
      <x:c r="H1207" t="str">
        <x:v>US East</x:v>
      </x:c>
      <x:c r="I1207" s="34" t="n">
        <x:v>320</x:v>
      </x:c>
      <x:c r="J1207" s="38" t="n">
        <x:v>8.153407999999999</x:v>
      </x:c>
      <x:c r="K1207" s="38" t="n">
        <x:v>2.5934391679999993</x:v>
      </x:c>
      <x:c r="L1207" s="28" t="n">
        <x:v>0.3180803865083165</x:v>
      </x:c>
    </x:row>
    <x:row r="1208">
      <x:c r="A1208" s="32" t="n">
        <x:v>46113</x:v>
      </x:c>
      <x:c r="B1208" t="str">
        <x:v>Apr 2026</x:v>
      </x:c>
      <x:c r="C1208" t="str">
        <x:v>Forecast</x:v>
      </x:c>
      <x:c r="D1208" t="str">
        <x:v>DB-101</x:v>
      </x:c>
      <x:c r="E1208" t="str">
        <x:v>AeroSip Bottle</x:v>
      </x:c>
      <x:c r="F1208" t="str">
        <x:v>Shopify DTC</x:v>
      </x:c>
      <x:c r="G1208" t="str">
        <x:v>Consumer</x:v>
      </x:c>
      <x:c r="H1208" t="str">
        <x:v>Canada</x:v>
      </x:c>
      <x:c r="I1208" s="34" t="n">
        <x:v>100</x:v>
      </x:c>
      <x:c r="J1208" s="38" t="n">
        <x:v>2.54794</x:v>
      </x:c>
      <x:c r="K1208" s="38" t="n">
        <x:v>0.8104497399999998</x:v>
      </x:c>
      <x:c r="L1208" s="28" t="n">
        <x:v>0.31808038650831644</x:v>
      </x:c>
    </x:row>
    <x:row r="1209">
      <x:c r="A1209" s="32" t="n">
        <x:v>46113</x:v>
      </x:c>
      <x:c r="B1209" t="str">
        <x:v>Apr 2026</x:v>
      </x:c>
      <x:c r="C1209" t="str">
        <x:v>Forecast</x:v>
      </x:c>
      <x:c r="D1209" t="str">
        <x:v>DB-101</x:v>
      </x:c>
      <x:c r="E1209" t="str">
        <x:v>AeroSip Bottle</x:v>
      </x:c>
      <x:c r="F1209" t="str">
        <x:v>Amazon Marketplace</x:v>
      </x:c>
      <x:c r="G1209" t="str">
        <x:v>Marketplace Consumer</x:v>
      </x:c>
      <x:c r="H1209" t="str">
        <x:v>US West</x:v>
      </x:c>
      <x:c r="I1209" s="34" t="n">
        <x:v>199.92000000000002</x:v>
      </x:c>
      <x:c r="J1209" s="38" t="n">
        <x:v>5.259945180000001</x:v>
      </x:c>
      <x:c r="K1209" s="38" t="n">
        <x:v>0.8352082830000004</x:v>
      </x:c>
      <x:c r="L1209" s="28" t="n">
        <x:v>0.15878649955815705</x:v>
      </x:c>
    </x:row>
    <x:row r="1210">
      <x:c r="A1210" s="32" t="n">
        <x:v>46113</x:v>
      </x:c>
      <x:c r="B1210" t="str">
        <x:v>Apr 2026</x:v>
      </x:c>
      <x:c r="C1210" t="str">
        <x:v>Forecast</x:v>
      </x:c>
      <x:c r="D1210" t="str">
        <x:v>DB-101</x:v>
      </x:c>
      <x:c r="E1210" t="str">
        <x:v>AeroSip Bottle</x:v>
      </x:c>
      <x:c r="F1210" t="str">
        <x:v>Amazon Marketplace</x:v>
      </x:c>
      <x:c r="G1210" t="str">
        <x:v>Marketplace Consumer</x:v>
      </x:c>
      <x:c r="H1210" t="str">
        <x:v>US Central</x:v>
      </x:c>
      <x:c r="I1210" s="34" t="n">
        <x:v>141.12</x:v>
      </x:c>
      <x:c r="J1210" s="38" t="n">
        <x:v>3.71290248</x:v>
      </x:c>
      <x:c r="K1210" s="38" t="n">
        <x:v>0.5895587880000003</x:v>
      </x:c>
      <x:c r="L1210" s="28" t="n">
        <x:v>0.15878649955815707</x:v>
      </x:c>
    </x:row>
    <x:row r="1211">
      <x:c r="A1211" s="32" t="n">
        <x:v>46113</x:v>
      </x:c>
      <x:c r="B1211" t="str">
        <x:v>Apr 2026</x:v>
      </x:c>
      <x:c r="C1211" t="str">
        <x:v>Forecast</x:v>
      </x:c>
      <x:c r="D1211" t="str">
        <x:v>DB-101</x:v>
      </x:c>
      <x:c r="E1211" t="str">
        <x:v>AeroSip Bottle</x:v>
      </x:c>
      <x:c r="F1211" t="str">
        <x:v>Amazon Marketplace</x:v>
      </x:c>
      <x:c r="G1211" t="str">
        <x:v>Marketplace Consumer</x:v>
      </x:c>
      <x:c r="H1211" t="str">
        <x:v>US East</x:v>
      </x:c>
      <x:c r="I1211" s="34" t="n">
        <x:v>188.16</x:v>
      </x:c>
      <x:c r="J1211" s="38" t="n">
        <x:v>4.95053664</x:v>
      </x:c>
      <x:c r="K1211" s="38" t="n">
        <x:v>0.7860783840000004</x:v>
      </x:c>
      <x:c r="L1211" s="28" t="n">
        <x:v>0.15878649955815707</x:v>
      </x:c>
    </x:row>
    <x:row r="1212">
      <x:c r="A1212" s="32" t="n">
        <x:v>46113</x:v>
      </x:c>
      <x:c r="B1212" t="str">
        <x:v>Apr 2026</x:v>
      </x:c>
      <x:c r="C1212" t="str">
        <x:v>Forecast</x:v>
      </x:c>
      <x:c r="D1212" t="str">
        <x:v>DB-101</x:v>
      </x:c>
      <x:c r="E1212" t="str">
        <x:v>AeroSip Bottle</x:v>
      </x:c>
      <x:c r="F1212" t="str">
        <x:v>Amazon Marketplace</x:v>
      </x:c>
      <x:c r="G1212" t="str">
        <x:v>Marketplace Consumer</x:v>
      </x:c>
      <x:c r="H1212" t="str">
        <x:v>Canada</x:v>
      </x:c>
      <x:c r="I1212" s="34" t="n">
        <x:v>58.800000000000004</x:v>
      </x:c>
      <x:c r="J1212" s="38" t="n">
        <x:v>1.5470427000000002</x:v>
      </x:c>
      <x:c r="K1212" s="38" t="n">
        <x:v>0.2456494950000001</x:v>
      </x:c>
      <x:c r="L1212" s="28" t="n">
        <x:v>0.15878649955815705</x:v>
      </x:c>
    </x:row>
    <x:row r="1213">
      <x:c r="A1213" s="32" t="n">
        <x:v>46113</x:v>
      </x:c>
      <x:c r="B1213" t="str">
        <x:v>Apr 2026</x:v>
      </x:c>
      <x:c r="C1213" t="str">
        <x:v>Forecast</x:v>
      </x:c>
      <x:c r="D1213" t="str">
        <x:v>DB-101</x:v>
      </x:c>
      <x:c r="E1213" t="str">
        <x:v>AeroSip Bottle</x:v>
      </x:c>
      <x:c r="F1213" t="str">
        <x:v>Wholesale</x:v>
      </x:c>
      <x:c r="G1213" t="str">
        <x:v>Retailer</x:v>
      </x:c>
      <x:c r="H1213" t="str">
        <x:v>US West</x:v>
      </x:c>
      <x:c r="I1213" s="34" t="n">
        <x:v>55.760000000000005</x:v>
      </x:c>
      <x:c r="J1213" s="38" t="n">
        <x:v>1.0037775800000002</x:v>
      </x:c>
      <x:c r="K1213" s="38" t="n">
        <x:v>0.22391822000000003</x:v>
      </x:c>
      <x:c r="L1213" s="28" t="n">
        <x:v>0.2230755343230519</x:v>
      </x:c>
    </x:row>
    <x:row r="1214">
      <x:c r="A1214" s="32" t="n">
        <x:v>46113</x:v>
      </x:c>
      <x:c r="B1214" t="str">
        <x:v>Apr 2026</x:v>
      </x:c>
      <x:c r="C1214" t="str">
        <x:v>Forecast</x:v>
      </x:c>
      <x:c r="D1214" t="str">
        <x:v>DB-101</x:v>
      </x:c>
      <x:c r="E1214" t="str">
        <x:v>AeroSip Bottle</x:v>
      </x:c>
      <x:c r="F1214" t="str">
        <x:v>Wholesale</x:v>
      </x:c>
      <x:c r="G1214" t="str">
        <x:v>Retailer</x:v>
      </x:c>
      <x:c r="H1214" t="str">
        <x:v>US Central</x:v>
      </x:c>
      <x:c r="I1214" s="34" t="n">
        <x:v>39.36</x:v>
      </x:c>
      <x:c r="J1214" s="38" t="n">
        <x:v>0.70854888</x:v>
      </x:c>
      <x:c r="K1214" s="38" t="n">
        <x:v>0.15805992</x:v>
      </x:c>
      <x:c r="L1214" s="28" t="n">
        <x:v>0.2230755343230519</x:v>
      </x:c>
    </x:row>
    <x:row r="1215">
      <x:c r="A1215" s="32" t="n">
        <x:v>46113</x:v>
      </x:c>
      <x:c r="B1215" t="str">
        <x:v>Apr 2026</x:v>
      </x:c>
      <x:c r="C1215" t="str">
        <x:v>Forecast</x:v>
      </x:c>
      <x:c r="D1215" t="str">
        <x:v>DB-101</x:v>
      </x:c>
      <x:c r="E1215" t="str">
        <x:v>AeroSip Bottle</x:v>
      </x:c>
      <x:c r="F1215" t="str">
        <x:v>Wholesale</x:v>
      </x:c>
      <x:c r="G1215" t="str">
        <x:v>Retailer</x:v>
      </x:c>
      <x:c r="H1215" t="str">
        <x:v>US East</x:v>
      </x:c>
      <x:c r="I1215" s="34" t="n">
        <x:v>52.480000000000004</x:v>
      </x:c>
      <x:c r="J1215" s="38" t="n">
        <x:v>0.9447318400000001</x:v>
      </x:c>
      <x:c r="K1215" s="38" t="n">
        <x:v>0.21074656000000003</x:v>
      </x:c>
      <x:c r="L1215" s="28" t="n">
        <x:v>0.22307553432305194</x:v>
      </x:c>
    </x:row>
    <x:row r="1216">
      <x:c r="A1216" s="32" t="n">
        <x:v>46113</x:v>
      </x:c>
      <x:c r="B1216" t="str">
        <x:v>Apr 2026</x:v>
      </x:c>
      <x:c r="C1216" t="str">
        <x:v>Forecast</x:v>
      </x:c>
      <x:c r="D1216" t="str">
        <x:v>DB-101</x:v>
      </x:c>
      <x:c r="E1216" t="str">
        <x:v>AeroSip Bottle</x:v>
      </x:c>
      <x:c r="F1216" t="str">
        <x:v>Wholesale</x:v>
      </x:c>
      <x:c r="G1216" t="str">
        <x:v>Retailer</x:v>
      </x:c>
      <x:c r="H1216" t="str">
        <x:v>Canada</x:v>
      </x:c>
      <x:c r="I1216" s="34" t="n">
        <x:v>16.400000000000002</x:v>
      </x:c>
      <x:c r="J1216" s="38" t="n">
        <x:v>0.2952287</x:v>
      </x:c>
      <x:c r="K1216" s="38" t="n">
        <x:v>0.06585830000000001</x:v>
      </x:c>
      <x:c r="L1216" s="28" t="n">
        <x:v>0.22307553432305194</x:v>
      </x:c>
    </x:row>
    <x:row r="1217">
      <x:c r="A1217" s="32" t="n">
        <x:v>46113</x:v>
      </x:c>
      <x:c r="B1217" t="str">
        <x:v>Apr 2026</x:v>
      </x:c>
      <x:c r="C1217" t="str">
        <x:v>Forecast</x:v>
      </x:c>
      <x:c r="D1217" t="str">
        <x:v>DB-101</x:v>
      </x:c>
      <x:c r="E1217" t="str">
        <x:v>AeroSip Bottle</x:v>
      </x:c>
      <x:c r="F1217" t="str">
        <x:v>TikTok Shop</x:v>
      </x:c>
      <x:c r="G1217" t="str">
        <x:v>Social Commerce</x:v>
      </x:c>
      <x:c r="H1217" t="str">
        <x:v>US West</x:v>
      </x:c>
      <x:c r="I1217" s="34" t="n">
        <x:v>85.68</x:v>
      </x:c>
      <x:c r="J1217" s="38" t="n">
        <x:v>2.088158688</x:v>
      </x:c>
      <x:c r="K1217" s="38" t="n">
        <x:v>0.3869760847679999</x:v>
      </x:c>
      <x:c r="L1217" s="28" t="n">
        <x:v>0.18531928966501987</x:v>
      </x:c>
    </x:row>
    <x:row r="1218">
      <x:c r="A1218" s="32" t="n">
        <x:v>46113</x:v>
      </x:c>
      <x:c r="B1218" t="str">
        <x:v>Apr 2026</x:v>
      </x:c>
      <x:c r="C1218" t="str">
        <x:v>Forecast</x:v>
      </x:c>
      <x:c r="D1218" t="str">
        <x:v>DB-101</x:v>
      </x:c>
      <x:c r="E1218" t="str">
        <x:v>AeroSip Bottle</x:v>
      </x:c>
      <x:c r="F1218" t="str">
        <x:v>TikTok Shop</x:v>
      </x:c>
      <x:c r="G1218" t="str">
        <x:v>Social Commerce</x:v>
      </x:c>
      <x:c r="H1218" t="str">
        <x:v>US Central</x:v>
      </x:c>
      <x:c r="I1218" s="34" t="n">
        <x:v>60.48</x:v>
      </x:c>
      <x:c r="J1218" s="38" t="n">
        <x:v>1.4739943679999998</x:v>
      </x:c>
      <x:c r="K1218" s="38" t="n">
        <x:v>0.2731595892479999</x:v>
      </x:c>
      <x:c r="L1218" s="28" t="n">
        <x:v>0.18531928966501987</x:v>
      </x:c>
    </x:row>
    <x:row r="1219">
      <x:c r="A1219" s="32" t="n">
        <x:v>46113</x:v>
      </x:c>
      <x:c r="B1219" t="str">
        <x:v>Apr 2026</x:v>
      </x:c>
      <x:c r="C1219" t="str">
        <x:v>Forecast</x:v>
      </x:c>
      <x:c r="D1219" t="str">
        <x:v>DB-101</x:v>
      </x:c>
      <x:c r="E1219" t="str">
        <x:v>AeroSip Bottle</x:v>
      </x:c>
      <x:c r="F1219" t="str">
        <x:v>TikTok Shop</x:v>
      </x:c>
      <x:c r="G1219" t="str">
        <x:v>Social Commerce</x:v>
      </x:c>
      <x:c r="H1219" t="str">
        <x:v>US East</x:v>
      </x:c>
      <x:c r="I1219" s="34" t="n">
        <x:v>80.64</x:v>
      </x:c>
      <x:c r="J1219" s="38" t="n">
        <x:v>1.965325824</x:v>
      </x:c>
      <x:c r="K1219" s="38" t="n">
        <x:v>0.36421278566399984</x:v>
      </x:c>
      <x:c r="L1219" s="28" t="n">
        <x:v>0.18531928966501987</x:v>
      </x:c>
    </x:row>
    <x:row r="1220">
      <x:c r="A1220" s="32" t="n">
        <x:v>46113</x:v>
      </x:c>
      <x:c r="B1220" t="str">
        <x:v>Apr 2026</x:v>
      </x:c>
      <x:c r="C1220" t="str">
        <x:v>Forecast</x:v>
      </x:c>
      <x:c r="D1220" t="str">
        <x:v>DB-101</x:v>
      </x:c>
      <x:c r="E1220" t="str">
        <x:v>AeroSip Bottle</x:v>
      </x:c>
      <x:c r="F1220" t="str">
        <x:v>TikTok Shop</x:v>
      </x:c>
      <x:c r="G1220" t="str">
        <x:v>Social Commerce</x:v>
      </x:c>
      <x:c r="H1220" t="str">
        <x:v>Canada</x:v>
      </x:c>
      <x:c r="I1220" s="34" t="n">
        <x:v>25.200000000000003</x:v>
      </x:c>
      <x:c r="J1220" s="38" t="n">
        <x:v>0.61416432</x:v>
      </x:c>
      <x:c r="K1220" s="38" t="n">
        <x:v>0.11381649551999995</x:v>
      </x:c>
      <x:c r="L1220" s="28" t="n">
        <x:v>0.18531928966501987</x:v>
      </x:c>
    </x:row>
    <x:row r="1221">
      <x:c r="A1221" s="32" t="n">
        <x:v>46113</x:v>
      </x:c>
      <x:c r="B1221" t="str">
        <x:v>Apr 2026</x:v>
      </x:c>
      <x:c r="C1221" t="str">
        <x:v>Forecast</x:v>
      </x:c>
      <x:c r="D1221" t="str">
        <x:v>DB-102</x:v>
      </x:c>
      <x:c r="E1221" t="str">
        <x:v>GlowPatch Balm</x:v>
      </x:c>
      <x:c r="F1221" t="str">
        <x:v>Shopify DTC</x:v>
      </x:c>
      <x:c r="G1221" t="str">
        <x:v>Consumer</x:v>
      </x:c>
      <x:c r="H1221" t="str">
        <x:v>US West</x:v>
      </x:c>
      <x:c r="I1221" s="34" t="n">
        <x:v>340</x:v>
      </x:c>
      <x:c r="J1221" s="38" t="n">
        <x:v>5.48964</x:v>
      </x:c>
      <x:c r="K1221" s="38" t="n">
        <x:v>1.5170004399999986</x:v>
      </x:c>
      <x:c r="L1221" s="28" t="n">
        <x:v>0.2763387835996529</x:v>
      </x:c>
    </x:row>
    <x:row r="1222">
      <x:c r="A1222" s="32" t="n">
        <x:v>46113</x:v>
      </x:c>
      <x:c r="B1222" t="str">
        <x:v>Apr 2026</x:v>
      </x:c>
      <x:c r="C1222" t="str">
        <x:v>Forecast</x:v>
      </x:c>
      <x:c r="D1222" t="str">
        <x:v>DB-102</x:v>
      </x:c>
      <x:c r="E1222" t="str">
        <x:v>GlowPatch Balm</x:v>
      </x:c>
      <x:c r="F1222" t="str">
        <x:v>Shopify DTC</x:v>
      </x:c>
      <x:c r="G1222" t="str">
        <x:v>Consumer</x:v>
      </x:c>
      <x:c r="H1222" t="str">
        <x:v>US Central</x:v>
      </x:c>
      <x:c r="I1222" s="34" t="n">
        <x:v>240</x:v>
      </x:c>
      <x:c r="J1222" s="38" t="n">
        <x:v>3.8750399999999994</x:v>
      </x:c>
      <x:c r="K1222" s="38" t="n">
        <x:v>1.070823839999999</x:v>
      </x:c>
      <x:c r="L1222" s="28" t="n">
        <x:v>0.27633878359965297</x:v>
      </x:c>
    </x:row>
    <x:row r="1223">
      <x:c r="A1223" s="32" t="n">
        <x:v>46113</x:v>
      </x:c>
      <x:c r="B1223" t="str">
        <x:v>Apr 2026</x:v>
      </x:c>
      <x:c r="C1223" t="str">
        <x:v>Forecast</x:v>
      </x:c>
      <x:c r="D1223" t="str">
        <x:v>DB-102</x:v>
      </x:c>
      <x:c r="E1223" t="str">
        <x:v>GlowPatch Balm</x:v>
      </x:c>
      <x:c r="F1223" t="str">
        <x:v>Shopify DTC</x:v>
      </x:c>
      <x:c r="G1223" t="str">
        <x:v>Consumer</x:v>
      </x:c>
      <x:c r="H1223" t="str">
        <x:v>US East</x:v>
      </x:c>
      <x:c r="I1223" s="34" t="n">
        <x:v>320</x:v>
      </x:c>
      <x:c r="J1223" s="38" t="n">
        <x:v>5.166719999999999</x:v>
      </x:c>
      <x:c r="K1223" s="38" t="n">
        <x:v>1.4277651199999986</x:v>
      </x:c>
      <x:c r="L1223" s="28" t="n">
        <x:v>0.27633878359965297</x:v>
      </x:c>
    </x:row>
    <x:row r="1224">
      <x:c r="A1224" s="32" t="n">
        <x:v>46113</x:v>
      </x:c>
      <x:c r="B1224" t="str">
        <x:v>Apr 2026</x:v>
      </x:c>
      <x:c r="C1224" t="str">
        <x:v>Forecast</x:v>
      </x:c>
      <x:c r="D1224" t="str">
        <x:v>DB-102</x:v>
      </x:c>
      <x:c r="E1224" t="str">
        <x:v>GlowPatch Balm</x:v>
      </x:c>
      <x:c r="F1224" t="str">
        <x:v>Shopify DTC</x:v>
      </x:c>
      <x:c r="G1224" t="str">
        <x:v>Consumer</x:v>
      </x:c>
      <x:c r="H1224" t="str">
        <x:v>Canada</x:v>
      </x:c>
      <x:c r="I1224" s="34" t="n">
        <x:v>100</x:v>
      </x:c>
      <x:c r="J1224" s="38" t="n">
        <x:v>1.6145999999999998</x:v>
      </x:c>
      <x:c r="K1224" s="38" t="n">
        <x:v>0.4461765999999996</x:v>
      </x:c>
      <x:c r="L1224" s="28" t="n">
        <x:v>0.27633878359965297</x:v>
      </x:c>
    </x:row>
    <x:row r="1225">
      <x:c r="A1225" s="32" t="n">
        <x:v>46113</x:v>
      </x:c>
      <x:c r="B1225" t="str">
        <x:v>Apr 2026</x:v>
      </x:c>
      <x:c r="C1225" t="str">
        <x:v>Forecast</x:v>
      </x:c>
      <x:c r="D1225" t="str">
        <x:v>DB-102</x:v>
      </x:c>
      <x:c r="E1225" t="str">
        <x:v>GlowPatch Balm</x:v>
      </x:c>
      <x:c r="F1225" t="str">
        <x:v>Amazon Marketplace</x:v>
      </x:c>
      <x:c r="G1225" t="str">
        <x:v>Marketplace Consumer</x:v>
      </x:c>
      <x:c r="H1225" t="str">
        <x:v>US West</x:v>
      </x:c>
      <x:c r="I1225" s="34" t="n">
        <x:v>201.28</x:v>
      </x:c>
      <x:c r="J1225" s="38" t="n">
        <x:v>3.3558408</x:v>
      </x:c>
      <x:c r="K1225" s="38" t="n">
        <x:v>0.2829241999999999</x:v>
      </x:c>
      <x:c r="L1225" s="28" t="n">
        <x:v>0.08430799220272901</x:v>
      </x:c>
    </x:row>
    <x:row r="1226">
      <x:c r="A1226" s="32" t="n">
        <x:v>46113</x:v>
      </x:c>
      <x:c r="B1226" t="str">
        <x:v>Apr 2026</x:v>
      </x:c>
      <x:c r="C1226" t="str">
        <x:v>Forecast</x:v>
      </x:c>
      <x:c r="D1226" t="str">
        <x:v>DB-102</x:v>
      </x:c>
      <x:c r="E1226" t="str">
        <x:v>GlowPatch Balm</x:v>
      </x:c>
      <x:c r="F1226" t="str">
        <x:v>Amazon Marketplace</x:v>
      </x:c>
      <x:c r="G1226" t="str">
        <x:v>Marketplace Consumer</x:v>
      </x:c>
      <x:c r="H1226" t="str">
        <x:v>US Central</x:v>
      </x:c>
      <x:c r="I1226" s="34" t="n">
        <x:v>142.07999999999998</x:v>
      </x:c>
      <x:c r="J1226" s="38" t="n">
        <x:v>2.3688287999999997</x:v>
      </x:c>
      <x:c r="K1226" s="38" t="n">
        <x:v>0.1997111999999999</x:v>
      </x:c>
      <x:c r="L1226" s="28" t="n">
        <x:v>0.08430799220272901</x:v>
      </x:c>
    </x:row>
    <x:row r="1227">
      <x:c r="A1227" s="32" t="n">
        <x:v>46113</x:v>
      </x:c>
      <x:c r="B1227" t="str">
        <x:v>Apr 2026</x:v>
      </x:c>
      <x:c r="C1227" t="str">
        <x:v>Forecast</x:v>
      </x:c>
      <x:c r="D1227" t="str">
        <x:v>DB-102</x:v>
      </x:c>
      <x:c r="E1227" t="str">
        <x:v>GlowPatch Balm</x:v>
      </x:c>
      <x:c r="F1227" t="str">
        <x:v>Amazon Marketplace</x:v>
      </x:c>
      <x:c r="G1227" t="str">
        <x:v>Marketplace Consumer</x:v>
      </x:c>
      <x:c r="H1227" t="str">
        <x:v>US East</x:v>
      </x:c>
      <x:c r="I1227" s="34" t="n">
        <x:v>189.44</x:v>
      </x:c>
      <x:c r="J1227" s="38" t="n">
        <x:v>3.1584384</x:v>
      </x:c>
      <x:c r="K1227" s="38" t="n">
        <x:v>0.2662815999999999</x:v>
      </x:c>
      <x:c r="L1227" s="28" t="n">
        <x:v>0.08430799220272901</x:v>
      </x:c>
    </x:row>
    <x:row r="1228">
      <x:c r="A1228" s="32" t="n">
        <x:v>46113</x:v>
      </x:c>
      <x:c r="B1228" t="str">
        <x:v>Apr 2026</x:v>
      </x:c>
      <x:c r="C1228" t="str">
        <x:v>Forecast</x:v>
      </x:c>
      <x:c r="D1228" t="str">
        <x:v>DB-102</x:v>
      </x:c>
      <x:c r="E1228" t="str">
        <x:v>GlowPatch Balm</x:v>
      </x:c>
      <x:c r="F1228" t="str">
        <x:v>Amazon Marketplace</x:v>
      </x:c>
      <x:c r="G1228" t="str">
        <x:v>Marketplace Consumer</x:v>
      </x:c>
      <x:c r="H1228" t="str">
        <x:v>Canada</x:v>
      </x:c>
      <x:c r="I1228" s="34" t="n">
        <x:v>59.2</x:v>
      </x:c>
      <x:c r="J1228" s="38" t="n">
        <x:v>0.987012</x:v>
      </x:c>
      <x:c r="K1228" s="38" t="n">
        <x:v>0.08321299999999997</x:v>
      </x:c>
      <x:c r="L1228" s="28" t="n">
        <x:v>0.08430799220272901</x:v>
      </x:c>
    </x:row>
    <x:row r="1229">
      <x:c r="A1229" s="32" t="n">
        <x:v>46113</x:v>
      </x:c>
      <x:c r="B1229" t="str">
        <x:v>Apr 2026</x:v>
      </x:c>
      <x:c r="C1229" t="str">
        <x:v>Forecast</x:v>
      </x:c>
      <x:c r="D1229" t="str">
        <x:v>DB-102</x:v>
      </x:c>
      <x:c r="E1229" t="str">
        <x:v>GlowPatch Balm</x:v>
      </x:c>
      <x:c r="F1229" t="str">
        <x:v>Wholesale</x:v>
      </x:c>
      <x:c r="G1229" t="str">
        <x:v>Retailer</x:v>
      </x:c>
      <x:c r="H1229" t="str">
        <x:v>US West</x:v>
      </x:c>
      <x:c r="I1229" s="34" t="n">
        <x:v>55.760000000000005</x:v>
      </x:c>
      <x:c r="J1229" s="38" t="n">
        <x:v>0.6360822</x:v>
      </x:c>
      <x:c r="K1229" s="38" t="n">
        <x:v>0.15844204000000003</x:v>
      </x:c>
      <x:c r="L1229" s="28" t="n">
        <x:v>0.2490905106289722</x:v>
      </x:c>
    </x:row>
    <x:row r="1230">
      <x:c r="A1230" s="32" t="n">
        <x:v>46113</x:v>
      </x:c>
      <x:c r="B1230" t="str">
        <x:v>Apr 2026</x:v>
      </x:c>
      <x:c r="C1230" t="str">
        <x:v>Forecast</x:v>
      </x:c>
      <x:c r="D1230" t="str">
        <x:v>DB-102</x:v>
      </x:c>
      <x:c r="E1230" t="str">
        <x:v>GlowPatch Balm</x:v>
      </x:c>
      <x:c r="F1230" t="str">
        <x:v>Wholesale</x:v>
      </x:c>
      <x:c r="G1230" t="str">
        <x:v>Retailer</x:v>
      </x:c>
      <x:c r="H1230" t="str">
        <x:v>US Central</x:v>
      </x:c>
      <x:c r="I1230" s="34" t="n">
        <x:v>39.36</x:v>
      </x:c>
      <x:c r="J1230" s="38" t="n">
        <x:v>0.4489992</x:v>
      </x:c>
      <x:c r="K1230" s="38" t="n">
        <x:v>0.11184144</x:v>
      </x:c>
      <x:c r="L1230" s="28" t="n">
        <x:v>0.24909051062897217</x:v>
      </x:c>
    </x:row>
    <x:row r="1231">
      <x:c r="A1231" s="32" t="n">
        <x:v>46113</x:v>
      </x:c>
      <x:c r="B1231" t="str">
        <x:v>Apr 2026</x:v>
      </x:c>
      <x:c r="C1231" t="str">
        <x:v>Forecast</x:v>
      </x:c>
      <x:c r="D1231" t="str">
        <x:v>DB-102</x:v>
      </x:c>
      <x:c r="E1231" t="str">
        <x:v>GlowPatch Balm</x:v>
      </x:c>
      <x:c r="F1231" t="str">
        <x:v>Wholesale</x:v>
      </x:c>
      <x:c r="G1231" t="str">
        <x:v>Retailer</x:v>
      </x:c>
      <x:c r="H1231" t="str">
        <x:v>US East</x:v>
      </x:c>
      <x:c r="I1231" s="34" t="n">
        <x:v>52.480000000000004</x:v>
      </x:c>
      <x:c r="J1231" s="38" t="n">
        <x:v>0.5986656</x:v>
      </x:c>
      <x:c r="K1231" s="38" t="n">
        <x:v>0.14912192000000002</x:v>
      </x:c>
      <x:c r="L1231" s="28" t="n">
        <x:v>0.2490905106289722</x:v>
      </x:c>
    </x:row>
    <x:row r="1232">
      <x:c r="A1232" s="32" t="n">
        <x:v>46113</x:v>
      </x:c>
      <x:c r="B1232" t="str">
        <x:v>Apr 2026</x:v>
      </x:c>
      <x:c r="C1232" t="str">
        <x:v>Forecast</x:v>
      </x:c>
      <x:c r="D1232" t="str">
        <x:v>DB-102</x:v>
      </x:c>
      <x:c r="E1232" t="str">
        <x:v>GlowPatch Balm</x:v>
      </x:c>
      <x:c r="F1232" t="str">
        <x:v>Wholesale</x:v>
      </x:c>
      <x:c r="G1232" t="str">
        <x:v>Retailer</x:v>
      </x:c>
      <x:c r="H1232" t="str">
        <x:v>Canada</x:v>
      </x:c>
      <x:c r="I1232" s="34" t="n">
        <x:v>16.400000000000002</x:v>
      </x:c>
      <x:c r="J1232" s="38" t="n">
        <x:v>0.187083</x:v>
      </x:c>
      <x:c r="K1232" s="38" t="n">
        <x:v>0.046600600000000006</x:v>
      </x:c>
      <x:c r="L1232" s="28" t="n">
        <x:v>0.2490905106289722</x:v>
      </x:c>
    </x:row>
    <x:row r="1233">
      <x:c r="A1233" s="32" t="n">
        <x:v>46113</x:v>
      </x:c>
      <x:c r="B1233" t="str">
        <x:v>Apr 2026</x:v>
      </x:c>
      <x:c r="C1233" t="str">
        <x:v>Forecast</x:v>
      </x:c>
      <x:c r="D1233" t="str">
        <x:v>DB-102</x:v>
      </x:c>
      <x:c r="E1233" t="str">
        <x:v>GlowPatch Balm</x:v>
      </x:c>
      <x:c r="F1233" t="str">
        <x:v>TikTok Shop</x:v>
      </x:c>
      <x:c r="G1233" t="str">
        <x:v>Social Commerce</x:v>
      </x:c>
      <x:c r="H1233" t="str">
        <x:v>US West</x:v>
      </x:c>
      <x:c r="I1233" s="34" t="n">
        <x:v>85.68</x:v>
      </x:c>
      <x:c r="J1233" s="38" t="n">
        <x:v>1.32324192</x:v>
      </x:c>
      <x:c r="K1233" s="38" t="n">
        <x:v>0.15452250911999998</x:v>
      </x:c>
      <x:c r="L1233" s="28" t="n">
        <x:v>0.11677570577570576</x:v>
      </x:c>
    </x:row>
    <x:row r="1234">
      <x:c r="A1234" s="32" t="n">
        <x:v>46113</x:v>
      </x:c>
      <x:c r="B1234" t="str">
        <x:v>Apr 2026</x:v>
      </x:c>
      <x:c r="C1234" t="str">
        <x:v>Forecast</x:v>
      </x:c>
      <x:c r="D1234" t="str">
        <x:v>DB-102</x:v>
      </x:c>
      <x:c r="E1234" t="str">
        <x:v>GlowPatch Balm</x:v>
      </x:c>
      <x:c r="F1234" t="str">
        <x:v>TikTok Shop</x:v>
      </x:c>
      <x:c r="G1234" t="str">
        <x:v>Social Commerce</x:v>
      </x:c>
      <x:c r="H1234" t="str">
        <x:v>US Central</x:v>
      </x:c>
      <x:c r="I1234" s="34" t="n">
        <x:v>60.48</x:v>
      </x:c>
      <x:c r="J1234" s="38" t="n">
        <x:v>0.93405312</x:v>
      </x:c>
      <x:c r="K1234" s="38" t="n">
        <x:v>0.10907471231999999</x:v>
      </x:c>
      <x:c r="L1234" s="28" t="n">
        <x:v>0.11677570577570577</x:v>
      </x:c>
    </x:row>
    <x:row r="1235">
      <x:c r="A1235" s="32" t="n">
        <x:v>46113</x:v>
      </x:c>
      <x:c r="B1235" t="str">
        <x:v>Apr 2026</x:v>
      </x:c>
      <x:c r="C1235" t="str">
        <x:v>Forecast</x:v>
      </x:c>
      <x:c r="D1235" t="str">
        <x:v>DB-102</x:v>
      </x:c>
      <x:c r="E1235" t="str">
        <x:v>GlowPatch Balm</x:v>
      </x:c>
      <x:c r="F1235" t="str">
        <x:v>TikTok Shop</x:v>
      </x:c>
      <x:c r="G1235" t="str">
        <x:v>Social Commerce</x:v>
      </x:c>
      <x:c r="H1235" t="str">
        <x:v>US East</x:v>
      </x:c>
      <x:c r="I1235" s="34" t="n">
        <x:v>80.64</x:v>
      </x:c>
      <x:c r="J1235" s="38" t="n">
        <x:v>1.2454041599999999</x:v>
      </x:c>
      <x:c r="K1235" s="38" t="n">
        <x:v>0.14543294975999999</x:v>
      </x:c>
      <x:c r="L1235" s="28" t="n">
        <x:v>0.11677570577570577</x:v>
      </x:c>
    </x:row>
    <x:row r="1236">
      <x:c r="A1236" s="32" t="n">
        <x:v>46113</x:v>
      </x:c>
      <x:c r="B1236" t="str">
        <x:v>Apr 2026</x:v>
      </x:c>
      <x:c r="C1236" t="str">
        <x:v>Forecast</x:v>
      </x:c>
      <x:c r="D1236" t="str">
        <x:v>DB-102</x:v>
      </x:c>
      <x:c r="E1236" t="str">
        <x:v>GlowPatch Balm</x:v>
      </x:c>
      <x:c r="F1236" t="str">
        <x:v>TikTok Shop</x:v>
      </x:c>
      <x:c r="G1236" t="str">
        <x:v>Social Commerce</x:v>
      </x:c>
      <x:c r="H1236" t="str">
        <x:v>Canada</x:v>
      </x:c>
      <x:c r="I1236" s="34" t="n">
        <x:v>25.200000000000003</x:v>
      </x:c>
      <x:c r="J1236" s="38" t="n">
        <x:v>0.3891888</x:v>
      </x:c>
      <x:c r="K1236" s="38" t="n">
        <x:v>0.045447796799999995</x:v>
      </x:c>
      <x:c r="L1236" s="28" t="n">
        <x:v>0.11677570577570576</x:v>
      </x:c>
    </x:row>
    <x:row r="1237">
      <x:c r="A1237" s="32" t="n">
        <x:v>46113</x:v>
      </x:c>
      <x:c r="B1237" t="str">
        <x:v>Apr 2026</x:v>
      </x:c>
      <x:c r="C1237" t="str">
        <x:v>Forecast</x:v>
      </x:c>
      <x:c r="D1237" t="str">
        <x:v>DB-103</x:v>
      </x:c>
      <x:c r="E1237" t="str">
        <x:v>EmberTrail Camp Mug</x:v>
      </x:c>
      <x:c r="F1237" t="str">
        <x:v>Shopify DTC</x:v>
      </x:c>
      <x:c r="G1237" t="str">
        <x:v>Consumer</x:v>
      </x:c>
      <x:c r="H1237" t="str">
        <x:v>US West</x:v>
      </x:c>
      <x:c r="I1237" s="34" t="n">
        <x:v>182.24</x:v>
      </x:c>
      <x:c r="J1237" s="38" t="n">
        <x:v>5.386941504</x:v>
      </x:c>
      <x:c r="K1237" s="38" t="n">
        <x:v>1.6723019603840004</x:v>
      </x:c>
      <x:c r="L1237" s="28" t="n">
        <x:v>0.3104362575948254</x:v>
      </x:c>
    </x:row>
    <x:row r="1238">
      <x:c r="A1238" s="32" t="n">
        <x:v>46113</x:v>
      </x:c>
      <x:c r="B1238" t="str">
        <x:v>Apr 2026</x:v>
      </x:c>
      <x:c r="C1238" t="str">
        <x:v>Forecast</x:v>
      </x:c>
      <x:c r="D1238" t="str">
        <x:v>DB-103</x:v>
      </x:c>
      <x:c r="E1238" t="str">
        <x:v>EmberTrail Camp Mug</x:v>
      </x:c>
      <x:c r="F1238" t="str">
        <x:v>Shopify DTC</x:v>
      </x:c>
      <x:c r="G1238" t="str">
        <x:v>Consumer</x:v>
      </x:c>
      <x:c r="H1238" t="str">
        <x:v>US Central</x:v>
      </x:c>
      <x:c r="I1238" s="34" t="n">
        <x:v>128.64</x:v>
      </x:c>
      <x:c r="J1238" s="38" t="n">
        <x:v>3.802546944</x:v>
      </x:c>
      <x:c r="K1238" s="38" t="n">
        <x:v>1.180448442624</x:v>
      </x:c>
      <x:c r="L1238" s="28" t="n">
        <x:v>0.3104362575948254</x:v>
      </x:c>
    </x:row>
    <x:row r="1239">
      <x:c r="A1239" s="32" t="n">
        <x:v>46113</x:v>
      </x:c>
      <x:c r="B1239" t="str">
        <x:v>Apr 2026</x:v>
      </x:c>
      <x:c r="C1239" t="str">
        <x:v>Forecast</x:v>
      </x:c>
      <x:c r="D1239" t="str">
        <x:v>DB-103</x:v>
      </x:c>
      <x:c r="E1239" t="str">
        <x:v>EmberTrail Camp Mug</x:v>
      </x:c>
      <x:c r="F1239" t="str">
        <x:v>Shopify DTC</x:v>
      </x:c>
      <x:c r="G1239" t="str">
        <x:v>Consumer</x:v>
      </x:c>
      <x:c r="H1239" t="str">
        <x:v>US East</x:v>
      </x:c>
      <x:c r="I1239" s="34" t="n">
        <x:v>171.52</x:v>
      </x:c>
      <x:c r="J1239" s="38" t="n">
        <x:v>5.070062592</x:v>
      </x:c>
      <x:c r="K1239" s="38" t="n">
        <x:v>1.5739312568320003</x:v>
      </x:c>
      <x:c r="L1239" s="28" t="n">
        <x:v>0.3104362575948254</x:v>
      </x:c>
    </x:row>
    <x:row r="1240">
      <x:c r="A1240" s="32" t="n">
        <x:v>46113</x:v>
      </x:c>
      <x:c r="B1240" t="str">
        <x:v>Apr 2026</x:v>
      </x:c>
      <x:c r="C1240" t="str">
        <x:v>Forecast</x:v>
      </x:c>
      <x:c r="D1240" t="str">
        <x:v>DB-103</x:v>
      </x:c>
      <x:c r="E1240" t="str">
        <x:v>EmberTrail Camp Mug</x:v>
      </x:c>
      <x:c r="F1240" t="str">
        <x:v>Shopify DTC</x:v>
      </x:c>
      <x:c r="G1240" t="str">
        <x:v>Consumer</x:v>
      </x:c>
      <x:c r="H1240" t="str">
        <x:v>Canada</x:v>
      </x:c>
      <x:c r="I1240" s="34" t="n">
        <x:v>53.6</x:v>
      </x:c>
      <x:c r="J1240" s="38" t="n">
        <x:v>1.58439456</x:v>
      </x:c>
      <x:c r="K1240" s="38" t="n">
        <x:v>0.4918535177600001</x:v>
      </x:c>
      <x:c r="L1240" s="28" t="n">
        <x:v>0.3104362575948254</x:v>
      </x:c>
    </x:row>
    <x:row r="1241">
      <x:c r="A1241" s="32" t="n">
        <x:v>46113</x:v>
      </x:c>
      <x:c r="B1241" t="str">
        <x:v>Apr 2026</x:v>
      </x:c>
      <x:c r="C1241" t="str">
        <x:v>Forecast</x:v>
      </x:c>
      <x:c r="D1241" t="str">
        <x:v>DB-103</x:v>
      </x:c>
      <x:c r="E1241" t="str">
        <x:v>EmberTrail Camp Mug</x:v>
      </x:c>
      <x:c r="F1241" t="str">
        <x:v>Amazon Marketplace</x:v>
      </x:c>
      <x:c r="G1241" t="str">
        <x:v>Marketplace Consumer</x:v>
      </x:c>
      <x:c r="H1241" t="str">
        <x:v>US West</x:v>
      </x:c>
      <x:c r="I1241" s="34" t="n">
        <x:v>107.44000000000001</x:v>
      </x:c>
      <x:c r="J1241" s="38" t="n">
        <x:v>3.2794448399999996</x:v>
      </x:c>
      <x:c r="K1241" s="38" t="n">
        <x:v>0.5231226739999997</x:v>
      </x:c>
      <x:c r="L1241" s="28" t="n">
        <x:v>0.15951561911314224</x:v>
      </x:c>
    </x:row>
    <x:row r="1242">
      <x:c r="A1242" s="32" t="n">
        <x:v>46113</x:v>
      </x:c>
      <x:c r="B1242" t="str">
        <x:v>Apr 2026</x:v>
      </x:c>
      <x:c r="C1242" t="str">
        <x:v>Forecast</x:v>
      </x:c>
      <x:c r="D1242" t="str">
        <x:v>DB-103</x:v>
      </x:c>
      <x:c r="E1242" t="str">
        <x:v>EmberTrail Camp Mug</x:v>
      </x:c>
      <x:c r="F1242" t="str">
        <x:v>Amazon Marketplace</x:v>
      </x:c>
      <x:c r="G1242" t="str">
        <x:v>Marketplace Consumer</x:v>
      </x:c>
      <x:c r="H1242" t="str">
        <x:v>US Central</x:v>
      </x:c>
      <x:c r="I1242" s="34" t="n">
        <x:v>75.84</x:v>
      </x:c>
      <x:c r="J1242" s="38" t="n">
        <x:v>2.3149022399999994</x:v>
      </x:c>
      <x:c r="K1242" s="38" t="n">
        <x:v>0.3692630639999997</x:v>
      </x:c>
      <x:c r="L1242" s="28" t="n">
        <x:v>0.15951561911314224</x:v>
      </x:c>
    </x:row>
    <x:row r="1243">
      <x:c r="A1243" s="32" t="n">
        <x:v>46113</x:v>
      </x:c>
      <x:c r="B1243" t="str">
        <x:v>Apr 2026</x:v>
      </x:c>
      <x:c r="C1243" t="str">
        <x:v>Forecast</x:v>
      </x:c>
      <x:c r="D1243" t="str">
        <x:v>DB-103</x:v>
      </x:c>
      <x:c r="E1243" t="str">
        <x:v>EmberTrail Camp Mug</x:v>
      </x:c>
      <x:c r="F1243" t="str">
        <x:v>Amazon Marketplace</x:v>
      </x:c>
      <x:c r="G1243" t="str">
        <x:v>Marketplace Consumer</x:v>
      </x:c>
      <x:c r="H1243" t="str">
        <x:v>US East</x:v>
      </x:c>
      <x:c r="I1243" s="34" t="n">
        <x:v>101.12</x:v>
      </x:c>
      <x:c r="J1243" s="38" t="n">
        <x:v>3.0865363199999996</x:v>
      </x:c>
      <x:c r="K1243" s="38" t="n">
        <x:v>0.4923507519999996</x:v>
      </x:c>
      <x:c r="L1243" s="28" t="n">
        <x:v>0.15951561911314224</x:v>
      </x:c>
    </x:row>
    <x:row r="1244">
      <x:c r="A1244" s="32" t="n">
        <x:v>46113</x:v>
      </x:c>
      <x:c r="B1244" t="str">
        <x:v>Apr 2026</x:v>
      </x:c>
      <x:c r="C1244" t="str">
        <x:v>Forecast</x:v>
      </x:c>
      <x:c r="D1244" t="str">
        <x:v>DB-103</x:v>
      </x:c>
      <x:c r="E1244" t="str">
        <x:v>EmberTrail Camp Mug</x:v>
      </x:c>
      <x:c r="F1244" t="str">
        <x:v>Amazon Marketplace</x:v>
      </x:c>
      <x:c r="G1244" t="str">
        <x:v>Marketplace Consumer</x:v>
      </x:c>
      <x:c r="H1244" t="str">
        <x:v>Canada</x:v>
      </x:c>
      <x:c r="I1244" s="34" t="n">
        <x:v>31.6</x:v>
      </x:c>
      <x:c r="J1244" s="38" t="n">
        <x:v>0.9645425999999999</x:v>
      </x:c>
      <x:c r="K1244" s="38" t="n">
        <x:v>0.1538596099999999</x:v>
      </x:c>
      <x:c r="L1244" s="28" t="n">
        <x:v>0.15951561911314224</x:v>
      </x:c>
    </x:row>
    <x:row r="1245">
      <x:c r="A1245" s="32" t="n">
        <x:v>46113</x:v>
      </x:c>
      <x:c r="B1245" t="str">
        <x:v>Apr 2026</x:v>
      </x:c>
      <x:c r="C1245" t="str">
        <x:v>Forecast</x:v>
      </x:c>
      <x:c r="D1245" t="str">
        <x:v>DB-103</x:v>
      </x:c>
      <x:c r="E1245" t="str">
        <x:v>EmberTrail Camp Mug</x:v>
      </x:c>
      <x:c r="F1245" t="str">
        <x:v>Wholesale</x:v>
      </x:c>
      <x:c r="G1245" t="str">
        <x:v>Retailer</x:v>
      </x:c>
      <x:c r="H1245" t="str">
        <x:v>US West</x:v>
      </x:c>
      <x:c r="I1245" s="34" t="n">
        <x:v>29.92</x:v>
      </x:c>
      <x:c r="J1245" s="38" t="n">
        <x:v>0.6248642400000001</x:v>
      </x:c>
      <x:c r="K1245" s="38" t="n">
        <x:v>0.11993432000000002</x:v>
      </x:c>
      <x:c r="L1245" s="28" t="n">
        <x:v>0.1919366037013096</x:v>
      </x:c>
    </x:row>
    <x:row r="1246">
      <x:c r="A1246" s="32" t="n">
        <x:v>46113</x:v>
      </x:c>
      <x:c r="B1246" t="str">
        <x:v>Apr 2026</x:v>
      </x:c>
      <x:c r="C1246" t="str">
        <x:v>Forecast</x:v>
      </x:c>
      <x:c r="D1246" t="str">
        <x:v>DB-103</x:v>
      </x:c>
      <x:c r="E1246" t="str">
        <x:v>EmberTrail Camp Mug</x:v>
      </x:c>
      <x:c r="F1246" t="str">
        <x:v>Wholesale</x:v>
      </x:c>
      <x:c r="G1246" t="str">
        <x:v>Retailer</x:v>
      </x:c>
      <x:c r="H1246" t="str">
        <x:v>US Central</x:v>
      </x:c>
      <x:c r="I1246" s="34" t="n">
        <x:v>21.119999999999997</x:v>
      </x:c>
      <x:c r="J1246" s="38" t="n">
        <x:v>0.44108063999999997</x:v>
      </x:c>
      <x:c r="K1246" s="38" t="n">
        <x:v>0.08465952000000002</x:v>
      </x:c>
      <x:c r="L1246" s="28" t="n">
        <x:v>0.19193660370130963</x:v>
      </x:c>
    </x:row>
    <x:row r="1247">
      <x:c r="A1247" s="32" t="n">
        <x:v>46113</x:v>
      </x:c>
      <x:c r="B1247" t="str">
        <x:v>Apr 2026</x:v>
      </x:c>
      <x:c r="C1247" t="str">
        <x:v>Forecast</x:v>
      </x:c>
      <x:c r="D1247" t="str">
        <x:v>DB-103</x:v>
      </x:c>
      <x:c r="E1247" t="str">
        <x:v>EmberTrail Camp Mug</x:v>
      </x:c>
      <x:c r="F1247" t="str">
        <x:v>Wholesale</x:v>
      </x:c>
      <x:c r="G1247" t="str">
        <x:v>Retailer</x:v>
      </x:c>
      <x:c r="H1247" t="str">
        <x:v>US East</x:v>
      </x:c>
      <x:c r="I1247" s="34" t="n">
        <x:v>28.16</x:v>
      </x:c>
      <x:c r="J1247" s="38" t="n">
        <x:v>0.58810752</x:v>
      </x:c>
      <x:c r="K1247" s="38" t="n">
        <x:v>0.11287936000000003</x:v>
      </x:c>
      <x:c r="L1247" s="28" t="n">
        <x:v>0.19193660370130963</x:v>
      </x:c>
    </x:row>
    <x:row r="1248">
      <x:c r="A1248" s="32" t="n">
        <x:v>46113</x:v>
      </x:c>
      <x:c r="B1248" t="str">
        <x:v>Apr 2026</x:v>
      </x:c>
      <x:c r="C1248" t="str">
        <x:v>Forecast</x:v>
      </x:c>
      <x:c r="D1248" t="str">
        <x:v>DB-103</x:v>
      </x:c>
      <x:c r="E1248" t="str">
        <x:v>EmberTrail Camp Mug</x:v>
      </x:c>
      <x:c r="F1248" t="str">
        <x:v>Wholesale</x:v>
      </x:c>
      <x:c r="G1248" t="str">
        <x:v>Retailer</x:v>
      </x:c>
      <x:c r="H1248" t="str">
        <x:v>Canada</x:v>
      </x:c>
      <x:c r="I1248" s="34" t="n">
        <x:v>8.8</x:v>
      </x:c>
      <x:c r="J1248" s="38" t="n">
        <x:v>0.18378360000000002</x:v>
      </x:c>
      <x:c r="K1248" s="38" t="n">
        <x:v>0.03527480000000001</x:v>
      </x:c>
      <x:c r="L1248" s="28" t="n">
        <x:v>0.1919366037013096</x:v>
      </x:c>
    </x:row>
    <x:row r="1249">
      <x:c r="A1249" s="32" t="n">
        <x:v>46113</x:v>
      </x:c>
      <x:c r="B1249" t="str">
        <x:v>Apr 2026</x:v>
      </x:c>
      <x:c r="C1249" t="str">
        <x:v>Forecast</x:v>
      </x:c>
      <x:c r="D1249" t="str">
        <x:v>DB-103</x:v>
      </x:c>
      <x:c r="E1249" t="str">
        <x:v>EmberTrail Camp Mug</x:v>
      </x:c>
      <x:c r="F1249" t="str">
        <x:v>TikTok Shop</x:v>
      </x:c>
      <x:c r="G1249" t="str">
        <x:v>Social Commerce</x:v>
      </x:c>
      <x:c r="H1249" t="str">
        <x:v>US West</x:v>
      </x:c>
      <x:c r="I1249" s="34" t="n">
        <x:v>46.24</x:v>
      </x:c>
      <x:c r="J1249" s="38" t="n">
        <x:v>1.3074082560000002</x:v>
      </x:c>
      <x:c r="K1249" s="38" t="n">
        <x:v>0.23961468121600013</x:v>
      </x:c>
      <x:c r="L1249" s="28" t="n">
        <x:v>0.1832745663922135</x:v>
      </x:c>
    </x:row>
    <x:row r="1250">
      <x:c r="A1250" s="32" t="n">
        <x:v>46113</x:v>
      </x:c>
      <x:c r="B1250" t="str">
        <x:v>Apr 2026</x:v>
      </x:c>
      <x:c r="C1250" t="str">
        <x:v>Forecast</x:v>
      </x:c>
      <x:c r="D1250" t="str">
        <x:v>DB-103</x:v>
      </x:c>
      <x:c r="E1250" t="str">
        <x:v>EmberTrail Camp Mug</x:v>
      </x:c>
      <x:c r="F1250" t="str">
        <x:v>TikTok Shop</x:v>
      </x:c>
      <x:c r="G1250" t="str">
        <x:v>Social Commerce</x:v>
      </x:c>
      <x:c r="H1250" t="str">
        <x:v>US Central</x:v>
      </x:c>
      <x:c r="I1250" s="34" t="n">
        <x:v>32.64</x:v>
      </x:c>
      <x:c r="J1250" s="38" t="n">
        <x:v>0.9228764159999999</x:v>
      </x:c>
      <x:c r="K1250" s="38" t="n">
        <x:v>0.16913977497600008</x:v>
      </x:c>
      <x:c r="L1250" s="28" t="n">
        <x:v>0.18327456639221354</x:v>
      </x:c>
    </x:row>
    <x:row r="1251">
      <x:c r="A1251" s="32" t="n">
        <x:v>46113</x:v>
      </x:c>
      <x:c r="B1251" t="str">
        <x:v>Apr 2026</x:v>
      </x:c>
      <x:c r="C1251" t="str">
        <x:v>Forecast</x:v>
      </x:c>
      <x:c r="D1251" t="str">
        <x:v>DB-103</x:v>
      </x:c>
      <x:c r="E1251" t="str">
        <x:v>EmberTrail Camp Mug</x:v>
      </x:c>
      <x:c r="F1251" t="str">
        <x:v>TikTok Shop</x:v>
      </x:c>
      <x:c r="G1251" t="str">
        <x:v>Social Commerce</x:v>
      </x:c>
      <x:c r="H1251" t="str">
        <x:v>US East</x:v>
      </x:c>
      <x:c r="I1251" s="34" t="n">
        <x:v>43.52</x:v>
      </x:c>
      <x:c r="J1251" s="38" t="n">
        <x:v>1.230501888</x:v>
      </x:c>
      <x:c r="K1251" s="38" t="n">
        <x:v>0.22551969996800011</x:v>
      </x:c>
      <x:c r="L1251" s="28" t="n">
        <x:v>0.18327456639221354</x:v>
      </x:c>
    </x:row>
    <x:row r="1252">
      <x:c r="A1252" s="32" t="n">
        <x:v>46113</x:v>
      </x:c>
      <x:c r="B1252" t="str">
        <x:v>Apr 2026</x:v>
      </x:c>
      <x:c r="C1252" t="str">
        <x:v>Forecast</x:v>
      </x:c>
      <x:c r="D1252" t="str">
        <x:v>DB-103</x:v>
      </x:c>
      <x:c r="E1252" t="str">
        <x:v>EmberTrail Camp Mug</x:v>
      </x:c>
      <x:c r="F1252" t="str">
        <x:v>TikTok Shop</x:v>
      </x:c>
      <x:c r="G1252" t="str">
        <x:v>Social Commerce</x:v>
      </x:c>
      <x:c r="H1252" t="str">
        <x:v>Canada</x:v>
      </x:c>
      <x:c r="I1252" s="34" t="n">
        <x:v>13.600000000000001</x:v>
      </x:c>
      <x:c r="J1252" s="38" t="n">
        <x:v>0.38453184</x:v>
      </x:c>
      <x:c r="K1252" s="38" t="n">
        <x:v>0.07047490624000004</x:v>
      </x:c>
      <x:c r="L1252" s="28" t="n">
        <x:v>0.18327456639221354</x:v>
      </x:c>
    </x:row>
    <x:row r="1253">
      <x:c r="A1253" s="32" t="n">
        <x:v>46113</x:v>
      </x:c>
      <x:c r="B1253" t="str">
        <x:v>Apr 2026</x:v>
      </x:c>
      <x:c r="C1253" t="str">
        <x:v>Forecast</x:v>
      </x:c>
      <x:c r="D1253" t="str">
        <x:v>DB-104</x:v>
      </x:c>
      <x:c r="E1253" t="str">
        <x:v>SunNest Cooling Towel</x:v>
      </x:c>
      <x:c r="F1253" t="str">
        <x:v>Shopify DTC</x:v>
      </x:c>
      <x:c r="G1253" t="str">
        <x:v>Consumer</x:v>
      </x:c>
      <x:c r="H1253" t="str">
        <x:v>US West</x:v>
      </x:c>
      <x:c r="I1253" s="34" t="n">
        <x:v>225.76000000000002</x:v>
      </x:c>
      <x:c r="J1253" s="38" t="n">
        <x:v>8.287198080000001</x:v>
      </x:c>
      <x:c r="K1253" s="38" t="n">
        <x:v>3.3334520556800005</x:v>
      </x:c>
      <x:c r="L1253" s="28" t="n">
        <x:v>0.40224114634412117</x:v>
      </x:c>
    </x:row>
    <x:row r="1254">
      <x:c r="A1254" s="32" t="n">
        <x:v>46113</x:v>
      </x:c>
      <x:c r="B1254" t="str">
        <x:v>Apr 2026</x:v>
      </x:c>
      <x:c r="C1254" t="str">
        <x:v>Forecast</x:v>
      </x:c>
      <x:c r="D1254" t="str">
        <x:v>DB-104</x:v>
      </x:c>
      <x:c r="E1254" t="str">
        <x:v>SunNest Cooling Towel</x:v>
      </x:c>
      <x:c r="F1254" t="str">
        <x:v>Shopify DTC</x:v>
      </x:c>
      <x:c r="G1254" t="str">
        <x:v>Consumer</x:v>
      </x:c>
      <x:c r="H1254" t="str">
        <x:v>US Central</x:v>
      </x:c>
      <x:c r="I1254" s="34" t="n">
        <x:v>159.35999999999999</x:v>
      </x:c>
      <x:c r="J1254" s="38" t="n">
        <x:v>5.84978688</x:v>
      </x:c>
      <x:c r="K1254" s="38" t="n">
        <x:v>2.3530249804800003</x:v>
      </x:c>
      <x:c r="L1254" s="28" t="n">
        <x:v>0.4022411463441212</x:v>
      </x:c>
    </x:row>
    <x:row r="1255">
      <x:c r="A1255" s="32" t="n">
        <x:v>46113</x:v>
      </x:c>
      <x:c r="B1255" t="str">
        <x:v>Apr 2026</x:v>
      </x:c>
      <x:c r="C1255" t="str">
        <x:v>Forecast</x:v>
      </x:c>
      <x:c r="D1255" t="str">
        <x:v>DB-104</x:v>
      </x:c>
      <x:c r="E1255" t="str">
        <x:v>SunNest Cooling Towel</x:v>
      </x:c>
      <x:c r="F1255" t="str">
        <x:v>Shopify DTC</x:v>
      </x:c>
      <x:c r="G1255" t="str">
        <x:v>Consumer</x:v>
      </x:c>
      <x:c r="H1255" t="str">
        <x:v>US East</x:v>
      </x:c>
      <x:c r="I1255" s="34" t="n">
        <x:v>212.48000000000002</x:v>
      </x:c>
      <x:c r="J1255" s="38" t="n">
        <x:v>7.79971584</x:v>
      </x:c>
      <x:c r="K1255" s="38" t="n">
        <x:v>3.1373666406400003</x:v>
      </x:c>
      <x:c r="L1255" s="28" t="n">
        <x:v>0.40224114634412117</x:v>
      </x:c>
    </x:row>
    <x:row r="1256">
      <x:c r="A1256" s="32" t="n">
        <x:v>46113</x:v>
      </x:c>
      <x:c r="B1256" t="str">
        <x:v>Apr 2026</x:v>
      </x:c>
      <x:c r="C1256" t="str">
        <x:v>Forecast</x:v>
      </x:c>
      <x:c r="D1256" t="str">
        <x:v>DB-104</x:v>
      </x:c>
      <x:c r="E1256" t="str">
        <x:v>SunNest Cooling Towel</x:v>
      </x:c>
      <x:c r="F1256" t="str">
        <x:v>Shopify DTC</x:v>
      </x:c>
      <x:c r="G1256" t="str">
        <x:v>Consumer</x:v>
      </x:c>
      <x:c r="H1256" t="str">
        <x:v>Canada</x:v>
      </x:c>
      <x:c r="I1256" s="34" t="n">
        <x:v>66.4</x:v>
      </x:c>
      <x:c r="J1256" s="38" t="n">
        <x:v>2.4374112</x:v>
      </x:c>
      <x:c r="K1256" s="38" t="n">
        <x:v>0.9804270752000002</x:v>
      </x:c>
      <x:c r="L1256" s="28" t="n">
        <x:v>0.4022411463441212</x:v>
      </x:c>
    </x:row>
    <x:row r="1257">
      <x:c r="A1257" s="32" t="n">
        <x:v>46113</x:v>
      </x:c>
      <x:c r="B1257" t="str">
        <x:v>Apr 2026</x:v>
      </x:c>
      <x:c r="C1257" t="str">
        <x:v>Forecast</x:v>
      </x:c>
      <x:c r="D1257" t="str">
        <x:v>DB-104</x:v>
      </x:c>
      <x:c r="E1257" t="str">
        <x:v>SunNest Cooling Towel</x:v>
      </x:c>
      <x:c r="F1257" t="str">
        <x:v>Amazon Marketplace</x:v>
      </x:c>
      <x:c r="G1257" t="str">
        <x:v>Marketplace Consumer</x:v>
      </x:c>
      <x:c r="H1257" t="str">
        <x:v>US West</x:v>
      </x:c>
      <x:c r="I1257" s="34" t="n">
        <x:v>133.28</x:v>
      </x:c>
      <x:c r="J1257" s="38" t="n">
        <x:v>5.051978399999999</x:v>
      </x:c>
      <x:c r="K1257" s="38" t="n">
        <x:v>1.3049777999999992</x:v>
      </x:c>
      <x:c r="L1257" s="28" t="n">
        <x:v>0.2583102493074791</x:v>
      </x:c>
    </x:row>
    <x:row r="1258">
      <x:c r="A1258" s="32" t="n">
        <x:v>46113</x:v>
      </x:c>
      <x:c r="B1258" t="str">
        <x:v>Apr 2026</x:v>
      </x:c>
      <x:c r="C1258" t="str">
        <x:v>Forecast</x:v>
      </x:c>
      <x:c r="D1258" t="str">
        <x:v>DB-104</x:v>
      </x:c>
      <x:c r="E1258" t="str">
        <x:v>SunNest Cooling Towel</x:v>
      </x:c>
      <x:c r="F1258" t="str">
        <x:v>Amazon Marketplace</x:v>
      </x:c>
      <x:c r="G1258" t="str">
        <x:v>Marketplace Consumer</x:v>
      </x:c>
      <x:c r="H1258" t="str">
        <x:v>US Central</x:v>
      </x:c>
      <x:c r="I1258" s="34" t="n">
        <x:v>94.08</x:v>
      </x:c>
      <x:c r="J1258" s="38" t="n">
        <x:v>3.5661023999999997</x:v>
      </x:c>
      <x:c r="K1258" s="38" t="n">
        <x:v>0.9211607999999993</x:v>
      </x:c>
      <x:c r="L1258" s="28" t="n">
        <x:v>0.2583102493074791</x:v>
      </x:c>
    </x:row>
    <x:row r="1259">
      <x:c r="A1259" s="32" t="n">
        <x:v>46113</x:v>
      </x:c>
      <x:c r="B1259" t="str">
        <x:v>Apr 2026</x:v>
      </x:c>
      <x:c r="C1259" t="str">
        <x:v>Forecast</x:v>
      </x:c>
      <x:c r="D1259" t="str">
        <x:v>DB-104</x:v>
      </x:c>
      <x:c r="E1259" t="str">
        <x:v>SunNest Cooling Towel</x:v>
      </x:c>
      <x:c r="F1259" t="str">
        <x:v>Amazon Marketplace</x:v>
      </x:c>
      <x:c r="G1259" t="str">
        <x:v>Marketplace Consumer</x:v>
      </x:c>
      <x:c r="H1259" t="str">
        <x:v>US East</x:v>
      </x:c>
      <x:c r="I1259" s="34" t="n">
        <x:v>125.44</x:v>
      </x:c>
      <x:c r="J1259" s="38" t="n">
        <x:v>4.7548032</x:v>
      </x:c>
      <x:c r="K1259" s="38" t="n">
        <x:v>1.228214399999999</x:v>
      </x:c>
      <x:c r="L1259" s="28" t="n">
        <x:v>0.25831024930747903</x:v>
      </x:c>
    </x:row>
    <x:row r="1260">
      <x:c r="A1260" s="32" t="n">
        <x:v>46113</x:v>
      </x:c>
      <x:c r="B1260" t="str">
        <x:v>Apr 2026</x:v>
      </x:c>
      <x:c r="C1260" t="str">
        <x:v>Forecast</x:v>
      </x:c>
      <x:c r="D1260" t="str">
        <x:v>DB-104</x:v>
      </x:c>
      <x:c r="E1260" t="str">
        <x:v>SunNest Cooling Towel</x:v>
      </x:c>
      <x:c r="F1260" t="str">
        <x:v>Amazon Marketplace</x:v>
      </x:c>
      <x:c r="G1260" t="str">
        <x:v>Marketplace Consumer</x:v>
      </x:c>
      <x:c r="H1260" t="str">
        <x:v>Canada</x:v>
      </x:c>
      <x:c r="I1260" s="34" t="n">
        <x:v>39.2</x:v>
      </x:c>
      <x:c r="J1260" s="38" t="n">
        <x:v>1.485876</x:v>
      </x:c>
      <x:c r="K1260" s="38" t="n">
        <x:v>0.38381699999999974</x:v>
      </x:c>
      <x:c r="L1260" s="28" t="n">
        <x:v>0.25831024930747903</x:v>
      </x:c>
    </x:row>
    <x:row r="1261">
      <x:c r="A1261" s="32" t="n">
        <x:v>46113</x:v>
      </x:c>
      <x:c r="B1261" t="str">
        <x:v>Apr 2026</x:v>
      </x:c>
      <x:c r="C1261" t="str">
        <x:v>Forecast</x:v>
      </x:c>
      <x:c r="D1261" t="str">
        <x:v>DB-104</x:v>
      </x:c>
      <x:c r="E1261" t="str">
        <x:v>SunNest Cooling Towel</x:v>
      </x:c>
      <x:c r="F1261" t="str">
        <x:v>Wholesale</x:v>
      </x:c>
      <x:c r="G1261" t="str">
        <x:v>Retailer</x:v>
      </x:c>
      <x:c r="H1261" t="str">
        <x:v>US West</x:v>
      </x:c>
      <x:c r="I1261" s="34" t="n">
        <x:v>36.720000000000006</x:v>
      </x:c>
      <x:c r="J1261" s="38" t="n">
        <x:v>0.9523332000000001</x:v>
      </x:c>
      <x:c r="K1261" s="38" t="n">
        <x:v>0.28300104</x:v>
      </x:c>
      <x:c r="L1261" s="28" t="n">
        <x:v>0.29716599190283394</x:v>
      </x:c>
    </x:row>
    <x:row r="1262">
      <x:c r="A1262" s="32" t="n">
        <x:v>46113</x:v>
      </x:c>
      <x:c r="B1262" t="str">
        <x:v>Apr 2026</x:v>
      </x:c>
      <x:c r="C1262" t="str">
        <x:v>Forecast</x:v>
      </x:c>
      <x:c r="D1262" t="str">
        <x:v>DB-104</x:v>
      </x:c>
      <x:c r="E1262" t="str">
        <x:v>SunNest Cooling Towel</x:v>
      </x:c>
      <x:c r="F1262" t="str">
        <x:v>Wholesale</x:v>
      </x:c>
      <x:c r="G1262" t="str">
        <x:v>Retailer</x:v>
      </x:c>
      <x:c r="H1262" t="str">
        <x:v>US Central</x:v>
      </x:c>
      <x:c r="I1262" s="34" t="n">
        <x:v>25.919999999999998</x:v>
      </x:c>
      <x:c r="J1262" s="38" t="n">
        <x:v>0.6722352</x:v>
      </x:c>
      <x:c r="K1262" s="38" t="n">
        <x:v>0.19976543999999996</x:v>
      </x:c>
      <x:c r="L1262" s="28" t="n">
        <x:v>0.29716599190283394</x:v>
      </x:c>
    </x:row>
    <x:row r="1263">
      <x:c r="A1263" s="32" t="n">
        <x:v>46113</x:v>
      </x:c>
      <x:c r="B1263" t="str">
        <x:v>Apr 2026</x:v>
      </x:c>
      <x:c r="C1263" t="str">
        <x:v>Forecast</x:v>
      </x:c>
      <x:c r="D1263" t="str">
        <x:v>DB-104</x:v>
      </x:c>
      <x:c r="E1263" t="str">
        <x:v>SunNest Cooling Towel</x:v>
      </x:c>
      <x:c r="F1263" t="str">
        <x:v>Wholesale</x:v>
      </x:c>
      <x:c r="G1263" t="str">
        <x:v>Retailer</x:v>
      </x:c>
      <x:c r="H1263" t="str">
        <x:v>US East</x:v>
      </x:c>
      <x:c r="I1263" s="34" t="n">
        <x:v>34.56</x:v>
      </x:c>
      <x:c r="J1263" s="38" t="n">
        <x:v>0.8963136</x:v>
      </x:c>
      <x:c r="K1263" s="38" t="n">
        <x:v>0.26635391999999997</x:v>
      </x:c>
      <x:c r="L1263" s="28" t="n">
        <x:v>0.29716599190283394</x:v>
      </x:c>
    </x:row>
    <x:row r="1264">
      <x:c r="A1264" s="32" t="n">
        <x:v>46113</x:v>
      </x:c>
      <x:c r="B1264" t="str">
        <x:v>Apr 2026</x:v>
      </x:c>
      <x:c r="C1264" t="str">
        <x:v>Forecast</x:v>
      </x:c>
      <x:c r="D1264" t="str">
        <x:v>DB-104</x:v>
      </x:c>
      <x:c r="E1264" t="str">
        <x:v>SunNest Cooling Towel</x:v>
      </x:c>
      <x:c r="F1264" t="str">
        <x:v>Wholesale</x:v>
      </x:c>
      <x:c r="G1264" t="str">
        <x:v>Retailer</x:v>
      </x:c>
      <x:c r="H1264" t="str">
        <x:v>Canada</x:v>
      </x:c>
      <x:c r="I1264" s="34" t="n">
        <x:v>10.8</x:v>
      </x:c>
      <x:c r="J1264" s="38" t="n">
        <x:v>0.280098</x:v>
      </x:c>
      <x:c r="K1264" s="38" t="n">
        <x:v>0.08323559999999999</x:v>
      </x:c>
      <x:c r="L1264" s="28" t="n">
        <x:v>0.297165991902834</x:v>
      </x:c>
    </x:row>
    <x:row r="1265">
      <x:c r="A1265" s="32" t="n">
        <x:v>46113</x:v>
      </x:c>
      <x:c r="B1265" t="str">
        <x:v>Apr 2026</x:v>
      </x:c>
      <x:c r="C1265" t="str">
        <x:v>Forecast</x:v>
      </x:c>
      <x:c r="D1265" t="str">
        <x:v>DB-104</x:v>
      </x:c>
      <x:c r="E1265" t="str">
        <x:v>SunNest Cooling Towel</x:v>
      </x:c>
      <x:c r="F1265" t="str">
        <x:v>TikTok Shop</x:v>
      </x:c>
      <x:c r="G1265" t="str">
        <x:v>Social Commerce</x:v>
      </x:c>
      <x:c r="H1265" t="str">
        <x:v>US West</x:v>
      </x:c>
      <x:c r="I1265" s="34" t="n">
        <x:v>57.120000000000005</x:v>
      </x:c>
      <x:c r="J1265" s="38" t="n">
        <x:v>2.0055974400000003</x:v>
      </x:c>
      <x:c r="K1265" s="38" t="n">
        <x:v>0.57457190784</x:v>
      </x:c>
      <x:c r="L1265" s="28" t="n">
        <x:v>0.2864841649578491</x:v>
      </x:c>
    </x:row>
    <x:row r="1266">
      <x:c r="A1266" s="32" t="n">
        <x:v>46113</x:v>
      </x:c>
      <x:c r="B1266" t="str">
        <x:v>Apr 2026</x:v>
      </x:c>
      <x:c r="C1266" t="str">
        <x:v>Forecast</x:v>
      </x:c>
      <x:c r="D1266" t="str">
        <x:v>DB-104</x:v>
      </x:c>
      <x:c r="E1266" t="str">
        <x:v>SunNest Cooling Towel</x:v>
      </x:c>
      <x:c r="F1266" t="str">
        <x:v>TikTok Shop</x:v>
      </x:c>
      <x:c r="G1266" t="str">
        <x:v>Social Commerce</x:v>
      </x:c>
      <x:c r="H1266" t="str">
        <x:v>US Central</x:v>
      </x:c>
      <x:c r="I1266" s="34" t="n">
        <x:v>40.32</x:v>
      </x:c>
      <x:c r="J1266" s="38" t="n">
        <x:v>1.41571584</x:v>
      </x:c>
      <x:c r="K1266" s="38" t="n">
        <x:v>0.40558017024</x:v>
      </x:c>
      <x:c r="L1266" s="28" t="n">
        <x:v>0.2864841649578491</x:v>
      </x:c>
    </x:row>
    <x:row r="1267">
      <x:c r="A1267" s="32" t="n">
        <x:v>46113</x:v>
      </x:c>
      <x:c r="B1267" t="str">
        <x:v>Apr 2026</x:v>
      </x:c>
      <x:c r="C1267" t="str">
        <x:v>Forecast</x:v>
      </x:c>
      <x:c r="D1267" t="str">
        <x:v>DB-104</x:v>
      </x:c>
      <x:c r="E1267" t="str">
        <x:v>SunNest Cooling Towel</x:v>
      </x:c>
      <x:c r="F1267" t="str">
        <x:v>TikTok Shop</x:v>
      </x:c>
      <x:c r="G1267" t="str">
        <x:v>Social Commerce</x:v>
      </x:c>
      <x:c r="H1267" t="str">
        <x:v>US East</x:v>
      </x:c>
      <x:c r="I1267" s="34" t="n">
        <x:v>53.76</x:v>
      </x:c>
      <x:c r="J1267" s="38" t="n">
        <x:v>1.8876211200000002</x:v>
      </x:c>
      <x:c r="K1267" s="38" t="n">
        <x:v>0.54077356032</x:v>
      </x:c>
      <x:c r="L1267" s="28" t="n">
        <x:v>0.2864841649578492</x:v>
      </x:c>
    </x:row>
    <x:row r="1268">
      <x:c r="A1268" s="32" t="n">
        <x:v>46113</x:v>
      </x:c>
      <x:c r="B1268" t="str">
        <x:v>Apr 2026</x:v>
      </x:c>
      <x:c r="C1268" t="str">
        <x:v>Forecast</x:v>
      </x:c>
      <x:c r="D1268" t="str">
        <x:v>DB-104</x:v>
      </x:c>
      <x:c r="E1268" t="str">
        <x:v>SunNest Cooling Towel</x:v>
      </x:c>
      <x:c r="F1268" t="str">
        <x:v>TikTok Shop</x:v>
      </x:c>
      <x:c r="G1268" t="str">
        <x:v>Social Commerce</x:v>
      </x:c>
      <x:c r="H1268" t="str">
        <x:v>Canada</x:v>
      </x:c>
      <x:c r="I1268" s="34" t="n">
        <x:v>16.8</x:v>
      </x:c>
      <x:c r="J1268" s="38" t="n">
        <x:v>0.5898816</x:v>
      </x:c>
      <x:c r="K1268" s="38" t="n">
        <x:v>0.1689917376</x:v>
      </x:c>
      <x:c r="L1268" s="28" t="n">
        <x:v>0.2864841649578492</x:v>
      </x:c>
    </x:row>
    <x:row r="1269">
      <x:c r="A1269" s="32" t="n">
        <x:v>46113</x:v>
      </x:c>
      <x:c r="B1269" t="str">
        <x:v>Apr 2026</x:v>
      </x:c>
      <x:c r="C1269" t="str">
        <x:v>Forecast</x:v>
      </x:c>
      <x:c r="D1269" t="str">
        <x:v>DB-105</x:v>
      </x:c>
      <x:c r="E1269" t="str">
        <x:v>DreamFuel Refill Pack</x:v>
      </x:c>
      <x:c r="F1269" t="str">
        <x:v>Shopify DTC</x:v>
      </x:c>
      <x:c r="G1269" t="str">
        <x:v>Consumer</x:v>
      </x:c>
      <x:c r="H1269" t="str">
        <x:v>US West</x:v>
      </x:c>
      <x:c r="I1269" s="34" t="n">
        <x:v>266.56</x:v>
      </x:c>
      <x:c r="J1269" s="38" t="n">
        <x:v>13.458507776000001</x:v>
      </x:c>
      <x:c r="K1269" s="38" t="n">
        <x:v>6.5578562344960005</x:v>
      </x:c>
      <x:c r="L1269" s="28" t="n">
        <x:v>0.48726473570794776</x:v>
      </x:c>
    </x:row>
    <x:row r="1270">
      <x:c r="A1270" s="32" t="n">
        <x:v>46113</x:v>
      </x:c>
      <x:c r="B1270" t="str">
        <x:v>Apr 2026</x:v>
      </x:c>
      <x:c r="C1270" t="str">
        <x:v>Forecast</x:v>
      </x:c>
      <x:c r="D1270" t="str">
        <x:v>DB-105</x:v>
      </x:c>
      <x:c r="E1270" t="str">
        <x:v>DreamFuel Refill Pack</x:v>
      </x:c>
      <x:c r="F1270" t="str">
        <x:v>Shopify DTC</x:v>
      </x:c>
      <x:c r="G1270" t="str">
        <x:v>Consumer</x:v>
      </x:c>
      <x:c r="H1270" t="str">
        <x:v>US Central</x:v>
      </x:c>
      <x:c r="I1270" s="34" t="n">
        <x:v>188.16</x:v>
      </x:c>
      <x:c r="J1270" s="38" t="n">
        <x:v>9.500123136</x:v>
      </x:c>
      <x:c r="K1270" s="38" t="n">
        <x:v>4.629074989056</x:v>
      </x:c>
      <x:c r="L1270" s="28" t="n">
        <x:v>0.4872647357079478</x:v>
      </x:c>
    </x:row>
    <x:row r="1271">
      <x:c r="A1271" s="32" t="n">
        <x:v>46113</x:v>
      </x:c>
      <x:c r="B1271" t="str">
        <x:v>Apr 2026</x:v>
      </x:c>
      <x:c r="C1271" t="str">
        <x:v>Forecast</x:v>
      </x:c>
      <x:c r="D1271" t="str">
        <x:v>DB-105</x:v>
      </x:c>
      <x:c r="E1271" t="str">
        <x:v>DreamFuel Refill Pack</x:v>
      </x:c>
      <x:c r="F1271" t="str">
        <x:v>Shopify DTC</x:v>
      </x:c>
      <x:c r="G1271" t="str">
        <x:v>Consumer</x:v>
      </x:c>
      <x:c r="H1271" t="str">
        <x:v>US East</x:v>
      </x:c>
      <x:c r="I1271" s="34" t="n">
        <x:v>250.88</x:v>
      </x:c>
      <x:c r="J1271" s="38" t="n">
        <x:v>12.666830848</x:v>
      </x:c>
      <x:c r="K1271" s="38" t="n">
        <x:v>6.172099985408001</x:v>
      </x:c>
      <x:c r="L1271" s="28" t="n">
        <x:v>0.4872647357079478</x:v>
      </x:c>
    </x:row>
    <x:row r="1272">
      <x:c r="A1272" s="32" t="n">
        <x:v>46113</x:v>
      </x:c>
      <x:c r="B1272" t="str">
        <x:v>Apr 2026</x:v>
      </x:c>
      <x:c r="C1272" t="str">
        <x:v>Forecast</x:v>
      </x:c>
      <x:c r="D1272" t="str">
        <x:v>DB-105</x:v>
      </x:c>
      <x:c r="E1272" t="str">
        <x:v>DreamFuel Refill Pack</x:v>
      </x:c>
      <x:c r="F1272" t="str">
        <x:v>Shopify DTC</x:v>
      </x:c>
      <x:c r="G1272" t="str">
        <x:v>Consumer</x:v>
      </x:c>
      <x:c r="H1272" t="str">
        <x:v>Canada</x:v>
      </x:c>
      <x:c r="I1272" s="34" t="n">
        <x:v>78.4</x:v>
      </x:c>
      <x:c r="J1272" s="38" t="n">
        <x:v>3.9583846400000002</x:v>
      </x:c>
      <x:c r="K1272" s="38" t="n">
        <x:v>1.9287812454400002</x:v>
      </x:c>
      <x:c r="L1272" s="28" t="n">
        <x:v>0.4872647357079478</x:v>
      </x:c>
    </x:row>
    <x:row r="1273">
      <x:c r="A1273" s="32" t="n">
        <x:v>46113</x:v>
      </x:c>
      <x:c r="B1273" t="str">
        <x:v>Apr 2026</x:v>
      </x:c>
      <x:c r="C1273" t="str">
        <x:v>Forecast</x:v>
      </x:c>
      <x:c r="D1273" t="str">
        <x:v>DB-105</x:v>
      </x:c>
      <x:c r="E1273" t="str">
        <x:v>DreamFuel Refill Pack</x:v>
      </x:c>
      <x:c r="F1273" t="str">
        <x:v>Amazon Marketplace</x:v>
      </x:c>
      <x:c r="G1273" t="str">
        <x:v>Marketplace Consumer</x:v>
      </x:c>
      <x:c r="H1273" t="str">
        <x:v>US West</x:v>
      </x:c>
      <x:c r="I1273" s="34" t="n">
        <x:v>157.76000000000002</x:v>
      </x:c>
      <x:c r="J1273" s="38" t="n">
        <x:v>8.224975360000002</x:v>
      </x:c>
      <x:c r="K1273" s="38" t="n">
        <x:v>2.893633920000001</x:v>
      </x:c>
      <x:c r="L1273" s="28" t="n">
        <x:v>0.35181064907165877</x:v>
      </x:c>
    </x:row>
    <x:row r="1274">
      <x:c r="A1274" s="32" t="n">
        <x:v>46113</x:v>
      </x:c>
      <x:c r="B1274" t="str">
        <x:v>Apr 2026</x:v>
      </x:c>
      <x:c r="C1274" t="str">
        <x:v>Forecast</x:v>
      </x:c>
      <x:c r="D1274" t="str">
        <x:v>DB-105</x:v>
      </x:c>
      <x:c r="E1274" t="str">
        <x:v>DreamFuel Refill Pack</x:v>
      </x:c>
      <x:c r="F1274" t="str">
        <x:v>Amazon Marketplace</x:v>
      </x:c>
      <x:c r="G1274" t="str">
        <x:v>Marketplace Consumer</x:v>
      </x:c>
      <x:c r="H1274" t="str">
        <x:v>US Central</x:v>
      </x:c>
      <x:c r="I1274" s="34" t="n">
        <x:v>111.36</x:v>
      </x:c>
      <x:c r="J1274" s="38" t="n">
        <x:v>5.80586496</x:v>
      </x:c>
      <x:c r="K1274" s="38" t="n">
        <x:v>2.0425651200000003</x:v>
      </x:c>
      <x:c r="L1274" s="28" t="n">
        <x:v>0.3518106490716588</x:v>
      </x:c>
    </x:row>
    <x:row r="1275">
      <x:c r="A1275" s="32" t="n">
        <x:v>46113</x:v>
      </x:c>
      <x:c r="B1275" t="str">
        <x:v>Apr 2026</x:v>
      </x:c>
      <x:c r="C1275" t="str">
        <x:v>Forecast</x:v>
      </x:c>
      <x:c r="D1275" t="str">
        <x:v>DB-105</x:v>
      </x:c>
      <x:c r="E1275" t="str">
        <x:v>DreamFuel Refill Pack</x:v>
      </x:c>
      <x:c r="F1275" t="str">
        <x:v>Amazon Marketplace</x:v>
      </x:c>
      <x:c r="G1275" t="str">
        <x:v>Marketplace Consumer</x:v>
      </x:c>
      <x:c r="H1275" t="str">
        <x:v>US East</x:v>
      </x:c>
      <x:c r="I1275" s="34" t="n">
        <x:v>148.48</x:v>
      </x:c>
      <x:c r="J1275" s="38" t="n">
        <x:v>7.741153280000001</x:v>
      </x:c>
      <x:c r="K1275" s="38" t="n">
        <x:v>2.7234201600000008</x:v>
      </x:c>
      <x:c r="L1275" s="28" t="n">
        <x:v>0.3518106490716588</x:v>
      </x:c>
    </x:row>
    <x:row r="1276">
      <x:c r="A1276" s="32" t="n">
        <x:v>46113</x:v>
      </x:c>
      <x:c r="B1276" t="str">
        <x:v>Apr 2026</x:v>
      </x:c>
      <x:c r="C1276" t="str">
        <x:v>Forecast</x:v>
      </x:c>
      <x:c r="D1276" t="str">
        <x:v>DB-105</x:v>
      </x:c>
      <x:c r="E1276" t="str">
        <x:v>DreamFuel Refill Pack</x:v>
      </x:c>
      <x:c r="F1276" t="str">
        <x:v>Amazon Marketplace</x:v>
      </x:c>
      <x:c r="G1276" t="str">
        <x:v>Marketplace Consumer</x:v>
      </x:c>
      <x:c r="H1276" t="str">
        <x:v>Canada</x:v>
      </x:c>
      <x:c r="I1276" s="34" t="n">
        <x:v>46.400000000000006</x:v>
      </x:c>
      <x:c r="J1276" s="38" t="n">
        <x:v>2.4191104000000005</x:v>
      </x:c>
      <x:c r="K1276" s="38" t="n">
        <x:v>0.8510688000000002</x:v>
      </x:c>
      <x:c r="L1276" s="28" t="n">
        <x:v>0.3518106490716587</x:v>
      </x:c>
    </x:row>
    <x:row r="1277">
      <x:c r="A1277" s="32" t="n">
        <x:v>46113</x:v>
      </x:c>
      <x:c r="B1277" t="str">
        <x:v>Apr 2026</x:v>
      </x:c>
      <x:c r="C1277" t="str">
        <x:v>Forecast</x:v>
      </x:c>
      <x:c r="D1277" t="str">
        <x:v>DB-105</x:v>
      </x:c>
      <x:c r="E1277" t="str">
        <x:v>DreamFuel Refill Pack</x:v>
      </x:c>
      <x:c r="F1277" t="str">
        <x:v>Wholesale</x:v>
      </x:c>
      <x:c r="G1277" t="str">
        <x:v>Retailer</x:v>
      </x:c>
      <x:c r="H1277" t="str">
        <x:v>US West</x:v>
      </x:c>
      <x:c r="I1277" s="34" t="n">
        <x:v>43.52</x:v>
      </x:c>
      <x:c r="J1277" s="38" t="n">
        <x:v>1.5524454400000003</x:v>
      </x:c>
      <x:c r="K1277" s="38" t="n">
        <x:v>0.6048583680000001</x:v>
      </x:c>
      <x:c r="L1277" s="28" t="n">
        <x:v>0.3896165059430366</x:v>
      </x:c>
    </x:row>
    <x:row r="1278">
      <x:c r="A1278" s="32" t="n">
        <x:v>46113</x:v>
      </x:c>
      <x:c r="B1278" t="str">
        <x:v>Apr 2026</x:v>
      </x:c>
      <x:c r="C1278" t="str">
        <x:v>Forecast</x:v>
      </x:c>
      <x:c r="D1278" t="str">
        <x:v>DB-105</x:v>
      </x:c>
      <x:c r="E1278" t="str">
        <x:v>DreamFuel Refill Pack</x:v>
      </x:c>
      <x:c r="F1278" t="str">
        <x:v>Wholesale</x:v>
      </x:c>
      <x:c r="G1278" t="str">
        <x:v>Retailer</x:v>
      </x:c>
      <x:c r="H1278" t="str">
        <x:v>US Central</x:v>
      </x:c>
      <x:c r="I1278" s="34" t="n">
        <x:v>30.72</x:v>
      </x:c>
      <x:c r="J1278" s="38" t="n">
        <x:v>1.0958438400000001</x:v>
      </x:c>
      <x:c r="K1278" s="38" t="n">
        <x:v>0.42695884800000006</x:v>
      </x:c>
      <x:c r="L1278" s="28" t="n">
        <x:v>0.38961650594303654</x:v>
      </x:c>
    </x:row>
    <x:row r="1279">
      <x:c r="A1279" s="32" t="n">
        <x:v>46113</x:v>
      </x:c>
      <x:c r="B1279" t="str">
        <x:v>Apr 2026</x:v>
      </x:c>
      <x:c r="C1279" t="str">
        <x:v>Forecast</x:v>
      </x:c>
      <x:c r="D1279" t="str">
        <x:v>DB-105</x:v>
      </x:c>
      <x:c r="E1279" t="str">
        <x:v>DreamFuel Refill Pack</x:v>
      </x:c>
      <x:c r="F1279" t="str">
        <x:v>Wholesale</x:v>
      </x:c>
      <x:c r="G1279" t="str">
        <x:v>Retailer</x:v>
      </x:c>
      <x:c r="H1279" t="str">
        <x:v>US East</x:v>
      </x:c>
      <x:c r="I1279" s="34" t="n">
        <x:v>40.96</x:v>
      </x:c>
      <x:c r="J1279" s="38" t="n">
        <x:v>1.4611251200000002</x:v>
      </x:c>
      <x:c r="K1279" s="38" t="n">
        <x:v>0.569278464</x:v>
      </x:c>
      <x:c r="L1279" s="28" t="n">
        <x:v>0.38961650594303654</x:v>
      </x:c>
    </x:row>
    <x:row r="1280">
      <x:c r="A1280" s="32" t="n">
        <x:v>46113</x:v>
      </x:c>
      <x:c r="B1280" t="str">
        <x:v>Apr 2026</x:v>
      </x:c>
      <x:c r="C1280" t="str">
        <x:v>Forecast</x:v>
      </x:c>
      <x:c r="D1280" t="str">
        <x:v>DB-105</x:v>
      </x:c>
      <x:c r="E1280" t="str">
        <x:v>DreamFuel Refill Pack</x:v>
      </x:c>
      <x:c r="F1280" t="str">
        <x:v>Wholesale</x:v>
      </x:c>
      <x:c r="G1280" t="str">
        <x:v>Retailer</x:v>
      </x:c>
      <x:c r="H1280" t="str">
        <x:v>Canada</x:v>
      </x:c>
      <x:c r="I1280" s="34" t="n">
        <x:v>12.8</x:v>
      </x:c>
      <x:c r="J1280" s="38" t="n">
        <x:v>0.45660160000000005</x:v>
      </x:c>
      <x:c r="K1280" s="38" t="n">
        <x:v>0.17789952000000003</x:v>
      </x:c>
      <x:c r="L1280" s="28" t="n">
        <x:v>0.3896165059430366</x:v>
      </x:c>
    </x:row>
    <x:row r="1281">
      <x:c r="A1281" s="32" t="n">
        <x:v>46113</x:v>
      </x:c>
      <x:c r="B1281" t="str">
        <x:v>Apr 2026</x:v>
      </x:c>
      <x:c r="C1281" t="str">
        <x:v>Forecast</x:v>
      </x:c>
      <x:c r="D1281" t="str">
        <x:v>DB-105</x:v>
      </x:c>
      <x:c r="E1281" t="str">
        <x:v>DreamFuel Refill Pack</x:v>
      </x:c>
      <x:c r="F1281" t="str">
        <x:v>TikTok Shop</x:v>
      </x:c>
      <x:c r="G1281" t="str">
        <x:v>Social Commerce</x:v>
      </x:c>
      <x:c r="H1281" t="str">
        <x:v>US West</x:v>
      </x:c>
      <x:c r="I1281" s="34" t="n">
        <x:v>66.64</x:v>
      </x:c>
      <x:c r="J1281" s="38" t="n">
        <x:v>3.218338816</x:v>
      </x:c>
      <x:c r="K1281" s="38" t="n">
        <x:v>1.234345957376</x:v>
      </x:c>
      <x:c r="L1281" s="28" t="n">
        <x:v>0.3835351179432812</x:v>
      </x:c>
    </x:row>
    <x:row r="1282">
      <x:c r="A1282" s="32" t="n">
        <x:v>46113</x:v>
      </x:c>
      <x:c r="B1282" t="str">
        <x:v>Apr 2026</x:v>
      </x:c>
      <x:c r="C1282" t="str">
        <x:v>Forecast</x:v>
      </x:c>
      <x:c r="D1282" t="str">
        <x:v>DB-105</x:v>
      </x:c>
      <x:c r="E1282" t="str">
        <x:v>DreamFuel Refill Pack</x:v>
      </x:c>
      <x:c r="F1282" t="str">
        <x:v>TikTok Shop</x:v>
      </x:c>
      <x:c r="G1282" t="str">
        <x:v>Social Commerce</x:v>
      </x:c>
      <x:c r="H1282" t="str">
        <x:v>US Central</x:v>
      </x:c>
      <x:c r="I1282" s="34" t="n">
        <x:v>47.04</x:v>
      </x:c>
      <x:c r="J1282" s="38" t="n">
        <x:v>2.271768576</x:v>
      </x:c>
      <x:c r="K1282" s="38" t="n">
        <x:v>0.871303028736</x:v>
      </x:c>
      <x:c r="L1282" s="28" t="n">
        <x:v>0.3835351179432812</x:v>
      </x:c>
    </x:row>
    <x:row r="1283">
      <x:c r="A1283" s="32" t="n">
        <x:v>46113</x:v>
      </x:c>
      <x:c r="B1283" t="str">
        <x:v>Apr 2026</x:v>
      </x:c>
      <x:c r="C1283" t="str">
        <x:v>Forecast</x:v>
      </x:c>
      <x:c r="D1283" t="str">
        <x:v>DB-105</x:v>
      </x:c>
      <x:c r="E1283" t="str">
        <x:v>DreamFuel Refill Pack</x:v>
      </x:c>
      <x:c r="F1283" t="str">
        <x:v>TikTok Shop</x:v>
      </x:c>
      <x:c r="G1283" t="str">
        <x:v>Social Commerce</x:v>
      </x:c>
      <x:c r="H1283" t="str">
        <x:v>US East</x:v>
      </x:c>
      <x:c r="I1283" s="34" t="n">
        <x:v>62.72</x:v>
      </x:c>
      <x:c r="J1283" s="38" t="n">
        <x:v>3.0290247679999998</x:v>
      </x:c>
      <x:c r="K1283" s="38" t="n">
        <x:v>1.161737371648</x:v>
      </x:c>
      <x:c r="L1283" s="28" t="n">
        <x:v>0.3835351179432812</x:v>
      </x:c>
    </x:row>
    <x:row r="1284">
      <x:c r="A1284" s="32" t="n">
        <x:v>46113</x:v>
      </x:c>
      <x:c r="B1284" t="str">
        <x:v>Apr 2026</x:v>
      </x:c>
      <x:c r="C1284" t="str">
        <x:v>Forecast</x:v>
      </x:c>
      <x:c r="D1284" t="str">
        <x:v>DB-105</x:v>
      </x:c>
      <x:c r="E1284" t="str">
        <x:v>DreamFuel Refill Pack</x:v>
      </x:c>
      <x:c r="F1284" t="str">
        <x:v>TikTok Shop</x:v>
      </x:c>
      <x:c r="G1284" t="str">
        <x:v>Social Commerce</x:v>
      </x:c>
      <x:c r="H1284" t="str">
        <x:v>Canada</x:v>
      </x:c>
      <x:c r="I1284" s="34" t="n">
        <x:v>19.6</x:v>
      </x:c>
      <x:c r="J1284" s="38" t="n">
        <x:v>0.94657024</x:v>
      </x:c>
      <x:c r="K1284" s="38" t="n">
        <x:v>0.36304292864000004</x:v>
      </x:c>
      <x:c r="L1284" s="28" t="n">
        <x:v>0.38353511794328127</x:v>
      </x:c>
    </x:row>
    <x:row r="1285">
      <x:c r="A1285" s="32" t="n">
        <x:v>46143</x:v>
      </x:c>
      <x:c r="B1285" t="str">
        <x:v>May 2026</x:v>
      </x:c>
      <x:c r="C1285" t="str">
        <x:v>Forecast</x:v>
      </x:c>
      <x:c r="D1285" t="str">
        <x:v>DB-101</x:v>
      </x:c>
      <x:c r="E1285" t="str">
        <x:v>AeroSip Bottle</x:v>
      </x:c>
      <x:c r="F1285" t="str">
        <x:v>Shopify DTC</x:v>
      </x:c>
      <x:c r="G1285" t="str">
        <x:v>Consumer</x:v>
      </x:c>
      <x:c r="H1285" t="str">
        <x:v>US West</x:v>
      </x:c>
      <x:c r="I1285" s="34" t="n">
        <x:v>340</x:v>
      </x:c>
      <x:c r="J1285" s="38" t="n">
        <x:v>8.662996</x:v>
      </x:c>
      <x:c r="K1285" s="38" t="n">
        <x:v>2.7555291159999995</x:v>
      </x:c>
      <x:c r="L1285" s="28" t="n">
        <x:v>0.3180803865083165</x:v>
      </x:c>
    </x:row>
    <x:row r="1286">
      <x:c r="A1286" s="32" t="n">
        <x:v>46143</x:v>
      </x:c>
      <x:c r="B1286" t="str">
        <x:v>May 2026</x:v>
      </x:c>
      <x:c r="C1286" t="str">
        <x:v>Forecast</x:v>
      </x:c>
      <x:c r="D1286" t="str">
        <x:v>DB-101</x:v>
      </x:c>
      <x:c r="E1286" t="str">
        <x:v>AeroSip Bottle</x:v>
      </x:c>
      <x:c r="F1286" t="str">
        <x:v>Shopify DTC</x:v>
      </x:c>
      <x:c r="G1286" t="str">
        <x:v>Consumer</x:v>
      </x:c>
      <x:c r="H1286" t="str">
        <x:v>US Central</x:v>
      </x:c>
      <x:c r="I1286" s="34" t="n">
        <x:v>240</x:v>
      </x:c>
      <x:c r="J1286" s="38" t="n">
        <x:v>6.115055999999999</x:v>
      </x:c>
      <x:c r="K1286" s="38" t="n">
        <x:v>1.9450793759999994</x:v>
      </x:c>
      <x:c r="L1286" s="28" t="n">
        <x:v>0.31808038650831644</x:v>
      </x:c>
    </x:row>
    <x:row r="1287">
      <x:c r="A1287" s="32" t="n">
        <x:v>46143</x:v>
      </x:c>
      <x:c r="B1287" t="str">
        <x:v>May 2026</x:v>
      </x:c>
      <x:c r="C1287" t="str">
        <x:v>Forecast</x:v>
      </x:c>
      <x:c r="D1287" t="str">
        <x:v>DB-101</x:v>
      </x:c>
      <x:c r="E1287" t="str">
        <x:v>AeroSip Bottle</x:v>
      </x:c>
      <x:c r="F1287" t="str">
        <x:v>Shopify DTC</x:v>
      </x:c>
      <x:c r="G1287" t="str">
        <x:v>Consumer</x:v>
      </x:c>
      <x:c r="H1287" t="str">
        <x:v>US East</x:v>
      </x:c>
      <x:c r="I1287" s="34" t="n">
        <x:v>320</x:v>
      </x:c>
      <x:c r="J1287" s="38" t="n">
        <x:v>8.153407999999999</x:v>
      </x:c>
      <x:c r="K1287" s="38" t="n">
        <x:v>2.5934391679999993</x:v>
      </x:c>
      <x:c r="L1287" s="28" t="n">
        <x:v>0.3180803865083165</x:v>
      </x:c>
    </x:row>
    <x:row r="1288">
      <x:c r="A1288" s="32" t="n">
        <x:v>46143</x:v>
      </x:c>
      <x:c r="B1288" t="str">
        <x:v>May 2026</x:v>
      </x:c>
      <x:c r="C1288" t="str">
        <x:v>Forecast</x:v>
      </x:c>
      <x:c r="D1288" t="str">
        <x:v>DB-101</x:v>
      </x:c>
      <x:c r="E1288" t="str">
        <x:v>AeroSip Bottle</x:v>
      </x:c>
      <x:c r="F1288" t="str">
        <x:v>Shopify DTC</x:v>
      </x:c>
      <x:c r="G1288" t="str">
        <x:v>Consumer</x:v>
      </x:c>
      <x:c r="H1288" t="str">
        <x:v>Canada</x:v>
      </x:c>
      <x:c r="I1288" s="34" t="n">
        <x:v>100</x:v>
      </x:c>
      <x:c r="J1288" s="38" t="n">
        <x:v>2.54794</x:v>
      </x:c>
      <x:c r="K1288" s="38" t="n">
        <x:v>0.8104497399999998</x:v>
      </x:c>
      <x:c r="L1288" s="28" t="n">
        <x:v>0.31808038650831644</x:v>
      </x:c>
    </x:row>
    <x:row r="1289">
      <x:c r="A1289" s="32" t="n">
        <x:v>46143</x:v>
      </x:c>
      <x:c r="B1289" t="str">
        <x:v>May 2026</x:v>
      </x:c>
      <x:c r="C1289" t="str">
        <x:v>Forecast</x:v>
      </x:c>
      <x:c r="D1289" t="str">
        <x:v>DB-101</x:v>
      </x:c>
      <x:c r="E1289" t="str">
        <x:v>AeroSip Bottle</x:v>
      </x:c>
      <x:c r="F1289" t="str">
        <x:v>Amazon Marketplace</x:v>
      </x:c>
      <x:c r="G1289" t="str">
        <x:v>Marketplace Consumer</x:v>
      </x:c>
      <x:c r="H1289" t="str">
        <x:v>US West</x:v>
      </x:c>
      <x:c r="I1289" s="34" t="n">
        <x:v>199.92000000000002</x:v>
      </x:c>
      <x:c r="J1289" s="38" t="n">
        <x:v>5.259945180000001</x:v>
      </x:c>
      <x:c r="K1289" s="38" t="n">
        <x:v>0.8352082830000004</x:v>
      </x:c>
      <x:c r="L1289" s="28" t="n">
        <x:v>0.15878649955815705</x:v>
      </x:c>
    </x:row>
    <x:row r="1290">
      <x:c r="A1290" s="32" t="n">
        <x:v>46143</x:v>
      </x:c>
      <x:c r="B1290" t="str">
        <x:v>May 2026</x:v>
      </x:c>
      <x:c r="C1290" t="str">
        <x:v>Forecast</x:v>
      </x:c>
      <x:c r="D1290" t="str">
        <x:v>DB-101</x:v>
      </x:c>
      <x:c r="E1290" t="str">
        <x:v>AeroSip Bottle</x:v>
      </x:c>
      <x:c r="F1290" t="str">
        <x:v>Amazon Marketplace</x:v>
      </x:c>
      <x:c r="G1290" t="str">
        <x:v>Marketplace Consumer</x:v>
      </x:c>
      <x:c r="H1290" t="str">
        <x:v>US Central</x:v>
      </x:c>
      <x:c r="I1290" s="34" t="n">
        <x:v>141.12</x:v>
      </x:c>
      <x:c r="J1290" s="38" t="n">
        <x:v>3.71290248</x:v>
      </x:c>
      <x:c r="K1290" s="38" t="n">
        <x:v>0.5895587880000003</x:v>
      </x:c>
      <x:c r="L1290" s="28" t="n">
        <x:v>0.15878649955815707</x:v>
      </x:c>
    </x:row>
    <x:row r="1291">
      <x:c r="A1291" s="32" t="n">
        <x:v>46143</x:v>
      </x:c>
      <x:c r="B1291" t="str">
        <x:v>May 2026</x:v>
      </x:c>
      <x:c r="C1291" t="str">
        <x:v>Forecast</x:v>
      </x:c>
      <x:c r="D1291" t="str">
        <x:v>DB-101</x:v>
      </x:c>
      <x:c r="E1291" t="str">
        <x:v>AeroSip Bottle</x:v>
      </x:c>
      <x:c r="F1291" t="str">
        <x:v>Amazon Marketplace</x:v>
      </x:c>
      <x:c r="G1291" t="str">
        <x:v>Marketplace Consumer</x:v>
      </x:c>
      <x:c r="H1291" t="str">
        <x:v>US East</x:v>
      </x:c>
      <x:c r="I1291" s="34" t="n">
        <x:v>188.16</x:v>
      </x:c>
      <x:c r="J1291" s="38" t="n">
        <x:v>4.95053664</x:v>
      </x:c>
      <x:c r="K1291" s="38" t="n">
        <x:v>0.7860783840000004</x:v>
      </x:c>
      <x:c r="L1291" s="28" t="n">
        <x:v>0.15878649955815707</x:v>
      </x:c>
    </x:row>
    <x:row r="1292">
      <x:c r="A1292" s="32" t="n">
        <x:v>46143</x:v>
      </x:c>
      <x:c r="B1292" t="str">
        <x:v>May 2026</x:v>
      </x:c>
      <x:c r="C1292" t="str">
        <x:v>Forecast</x:v>
      </x:c>
      <x:c r="D1292" t="str">
        <x:v>DB-101</x:v>
      </x:c>
      <x:c r="E1292" t="str">
        <x:v>AeroSip Bottle</x:v>
      </x:c>
      <x:c r="F1292" t="str">
        <x:v>Amazon Marketplace</x:v>
      </x:c>
      <x:c r="G1292" t="str">
        <x:v>Marketplace Consumer</x:v>
      </x:c>
      <x:c r="H1292" t="str">
        <x:v>Canada</x:v>
      </x:c>
      <x:c r="I1292" s="34" t="n">
        <x:v>58.800000000000004</x:v>
      </x:c>
      <x:c r="J1292" s="38" t="n">
        <x:v>1.5470427000000002</x:v>
      </x:c>
      <x:c r="K1292" s="38" t="n">
        <x:v>0.2456494950000001</x:v>
      </x:c>
      <x:c r="L1292" s="28" t="n">
        <x:v>0.15878649955815705</x:v>
      </x:c>
    </x:row>
    <x:row r="1293">
      <x:c r="A1293" s="32" t="n">
        <x:v>46143</x:v>
      </x:c>
      <x:c r="B1293" t="str">
        <x:v>May 2026</x:v>
      </x:c>
      <x:c r="C1293" t="str">
        <x:v>Forecast</x:v>
      </x:c>
      <x:c r="D1293" t="str">
        <x:v>DB-101</x:v>
      </x:c>
      <x:c r="E1293" t="str">
        <x:v>AeroSip Bottle</x:v>
      </x:c>
      <x:c r="F1293" t="str">
        <x:v>Wholesale</x:v>
      </x:c>
      <x:c r="G1293" t="str">
        <x:v>Retailer</x:v>
      </x:c>
      <x:c r="H1293" t="str">
        <x:v>US West</x:v>
      </x:c>
      <x:c r="I1293" s="34" t="n">
        <x:v>55.760000000000005</x:v>
      </x:c>
      <x:c r="J1293" s="38" t="n">
        <x:v>1.0037775800000002</x:v>
      </x:c>
      <x:c r="K1293" s="38" t="n">
        <x:v>0.22391822000000003</x:v>
      </x:c>
      <x:c r="L1293" s="28" t="n">
        <x:v>0.2230755343230519</x:v>
      </x:c>
    </x:row>
    <x:row r="1294">
      <x:c r="A1294" s="32" t="n">
        <x:v>46143</x:v>
      </x:c>
      <x:c r="B1294" t="str">
        <x:v>May 2026</x:v>
      </x:c>
      <x:c r="C1294" t="str">
        <x:v>Forecast</x:v>
      </x:c>
      <x:c r="D1294" t="str">
        <x:v>DB-101</x:v>
      </x:c>
      <x:c r="E1294" t="str">
        <x:v>AeroSip Bottle</x:v>
      </x:c>
      <x:c r="F1294" t="str">
        <x:v>Wholesale</x:v>
      </x:c>
      <x:c r="G1294" t="str">
        <x:v>Retailer</x:v>
      </x:c>
      <x:c r="H1294" t="str">
        <x:v>US Central</x:v>
      </x:c>
      <x:c r="I1294" s="34" t="n">
        <x:v>39.36</x:v>
      </x:c>
      <x:c r="J1294" s="38" t="n">
        <x:v>0.70854888</x:v>
      </x:c>
      <x:c r="K1294" s="38" t="n">
        <x:v>0.15805992</x:v>
      </x:c>
      <x:c r="L1294" s="28" t="n">
        <x:v>0.2230755343230519</x:v>
      </x:c>
    </x:row>
    <x:row r="1295">
      <x:c r="A1295" s="32" t="n">
        <x:v>46143</x:v>
      </x:c>
      <x:c r="B1295" t="str">
        <x:v>May 2026</x:v>
      </x:c>
      <x:c r="C1295" t="str">
        <x:v>Forecast</x:v>
      </x:c>
      <x:c r="D1295" t="str">
        <x:v>DB-101</x:v>
      </x:c>
      <x:c r="E1295" t="str">
        <x:v>AeroSip Bottle</x:v>
      </x:c>
      <x:c r="F1295" t="str">
        <x:v>Wholesale</x:v>
      </x:c>
      <x:c r="G1295" t="str">
        <x:v>Retailer</x:v>
      </x:c>
      <x:c r="H1295" t="str">
        <x:v>US East</x:v>
      </x:c>
      <x:c r="I1295" s="34" t="n">
        <x:v>52.480000000000004</x:v>
      </x:c>
      <x:c r="J1295" s="38" t="n">
        <x:v>0.9447318400000001</x:v>
      </x:c>
      <x:c r="K1295" s="38" t="n">
        <x:v>0.21074656000000003</x:v>
      </x:c>
      <x:c r="L1295" s="28" t="n">
        <x:v>0.22307553432305194</x:v>
      </x:c>
    </x:row>
    <x:row r="1296">
      <x:c r="A1296" s="32" t="n">
        <x:v>46143</x:v>
      </x:c>
      <x:c r="B1296" t="str">
        <x:v>May 2026</x:v>
      </x:c>
      <x:c r="C1296" t="str">
        <x:v>Forecast</x:v>
      </x:c>
      <x:c r="D1296" t="str">
        <x:v>DB-101</x:v>
      </x:c>
      <x:c r="E1296" t="str">
        <x:v>AeroSip Bottle</x:v>
      </x:c>
      <x:c r="F1296" t="str">
        <x:v>Wholesale</x:v>
      </x:c>
      <x:c r="G1296" t="str">
        <x:v>Retailer</x:v>
      </x:c>
      <x:c r="H1296" t="str">
        <x:v>Canada</x:v>
      </x:c>
      <x:c r="I1296" s="34" t="n">
        <x:v>16.400000000000002</x:v>
      </x:c>
      <x:c r="J1296" s="38" t="n">
        <x:v>0.2952287</x:v>
      </x:c>
      <x:c r="K1296" s="38" t="n">
        <x:v>0.06585830000000001</x:v>
      </x:c>
      <x:c r="L1296" s="28" t="n">
        <x:v>0.22307553432305194</x:v>
      </x:c>
    </x:row>
    <x:row r="1297">
      <x:c r="A1297" s="32" t="n">
        <x:v>46143</x:v>
      </x:c>
      <x:c r="B1297" t="str">
        <x:v>May 2026</x:v>
      </x:c>
      <x:c r="C1297" t="str">
        <x:v>Forecast</x:v>
      </x:c>
      <x:c r="D1297" t="str">
        <x:v>DB-101</x:v>
      </x:c>
      <x:c r="E1297" t="str">
        <x:v>AeroSip Bottle</x:v>
      </x:c>
      <x:c r="F1297" t="str">
        <x:v>TikTok Shop</x:v>
      </x:c>
      <x:c r="G1297" t="str">
        <x:v>Social Commerce</x:v>
      </x:c>
      <x:c r="H1297" t="str">
        <x:v>US West</x:v>
      </x:c>
      <x:c r="I1297" s="34" t="n">
        <x:v>85.68</x:v>
      </x:c>
      <x:c r="J1297" s="38" t="n">
        <x:v>2.088158688</x:v>
      </x:c>
      <x:c r="K1297" s="38" t="n">
        <x:v>0.3869760847679999</x:v>
      </x:c>
      <x:c r="L1297" s="28" t="n">
        <x:v>0.18531928966501987</x:v>
      </x:c>
    </x:row>
    <x:row r="1298">
      <x:c r="A1298" s="32" t="n">
        <x:v>46143</x:v>
      </x:c>
      <x:c r="B1298" t="str">
        <x:v>May 2026</x:v>
      </x:c>
      <x:c r="C1298" t="str">
        <x:v>Forecast</x:v>
      </x:c>
      <x:c r="D1298" t="str">
        <x:v>DB-101</x:v>
      </x:c>
      <x:c r="E1298" t="str">
        <x:v>AeroSip Bottle</x:v>
      </x:c>
      <x:c r="F1298" t="str">
        <x:v>TikTok Shop</x:v>
      </x:c>
      <x:c r="G1298" t="str">
        <x:v>Social Commerce</x:v>
      </x:c>
      <x:c r="H1298" t="str">
        <x:v>US Central</x:v>
      </x:c>
      <x:c r="I1298" s="34" t="n">
        <x:v>60.48</x:v>
      </x:c>
      <x:c r="J1298" s="38" t="n">
        <x:v>1.4739943679999998</x:v>
      </x:c>
      <x:c r="K1298" s="38" t="n">
        <x:v>0.2731595892479999</x:v>
      </x:c>
      <x:c r="L1298" s="28" t="n">
        <x:v>0.18531928966501987</x:v>
      </x:c>
    </x:row>
    <x:row r="1299">
      <x:c r="A1299" s="32" t="n">
        <x:v>46143</x:v>
      </x:c>
      <x:c r="B1299" t="str">
        <x:v>May 2026</x:v>
      </x:c>
      <x:c r="C1299" t="str">
        <x:v>Forecast</x:v>
      </x:c>
      <x:c r="D1299" t="str">
        <x:v>DB-101</x:v>
      </x:c>
      <x:c r="E1299" t="str">
        <x:v>AeroSip Bottle</x:v>
      </x:c>
      <x:c r="F1299" t="str">
        <x:v>TikTok Shop</x:v>
      </x:c>
      <x:c r="G1299" t="str">
        <x:v>Social Commerce</x:v>
      </x:c>
      <x:c r="H1299" t="str">
        <x:v>US East</x:v>
      </x:c>
      <x:c r="I1299" s="34" t="n">
        <x:v>80.64</x:v>
      </x:c>
      <x:c r="J1299" s="38" t="n">
        <x:v>1.965325824</x:v>
      </x:c>
      <x:c r="K1299" s="38" t="n">
        <x:v>0.36421278566399984</x:v>
      </x:c>
      <x:c r="L1299" s="28" t="n">
        <x:v>0.18531928966501987</x:v>
      </x:c>
    </x:row>
    <x:row r="1300">
      <x:c r="A1300" s="32" t="n">
        <x:v>46143</x:v>
      </x:c>
      <x:c r="B1300" t="str">
        <x:v>May 2026</x:v>
      </x:c>
      <x:c r="C1300" t="str">
        <x:v>Forecast</x:v>
      </x:c>
      <x:c r="D1300" t="str">
        <x:v>DB-101</x:v>
      </x:c>
      <x:c r="E1300" t="str">
        <x:v>AeroSip Bottle</x:v>
      </x:c>
      <x:c r="F1300" t="str">
        <x:v>TikTok Shop</x:v>
      </x:c>
      <x:c r="G1300" t="str">
        <x:v>Social Commerce</x:v>
      </x:c>
      <x:c r="H1300" t="str">
        <x:v>Canada</x:v>
      </x:c>
      <x:c r="I1300" s="34" t="n">
        <x:v>25.200000000000003</x:v>
      </x:c>
      <x:c r="J1300" s="38" t="n">
        <x:v>0.61416432</x:v>
      </x:c>
      <x:c r="K1300" s="38" t="n">
        <x:v>0.11381649551999995</x:v>
      </x:c>
      <x:c r="L1300" s="28" t="n">
        <x:v>0.18531928966501987</x:v>
      </x:c>
    </x:row>
    <x:row r="1301">
      <x:c r="A1301" s="32" t="n">
        <x:v>46143</x:v>
      </x:c>
      <x:c r="B1301" t="str">
        <x:v>May 2026</x:v>
      </x:c>
      <x:c r="C1301" t="str">
        <x:v>Forecast</x:v>
      </x:c>
      <x:c r="D1301" t="str">
        <x:v>DB-102</x:v>
      </x:c>
      <x:c r="E1301" t="str">
        <x:v>GlowPatch Balm</x:v>
      </x:c>
      <x:c r="F1301" t="str">
        <x:v>Shopify DTC</x:v>
      </x:c>
      <x:c r="G1301" t="str">
        <x:v>Consumer</x:v>
      </x:c>
      <x:c r="H1301" t="str">
        <x:v>US West</x:v>
      </x:c>
      <x:c r="I1301" s="34" t="n">
        <x:v>340</x:v>
      </x:c>
      <x:c r="J1301" s="38" t="n">
        <x:v>5.48964</x:v>
      </x:c>
      <x:c r="K1301" s="38" t="n">
        <x:v>1.5170004399999986</x:v>
      </x:c>
      <x:c r="L1301" s="28" t="n">
        <x:v>0.2763387835996529</x:v>
      </x:c>
    </x:row>
    <x:row r="1302">
      <x:c r="A1302" s="32" t="n">
        <x:v>46143</x:v>
      </x:c>
      <x:c r="B1302" t="str">
        <x:v>May 2026</x:v>
      </x:c>
      <x:c r="C1302" t="str">
        <x:v>Forecast</x:v>
      </x:c>
      <x:c r="D1302" t="str">
        <x:v>DB-102</x:v>
      </x:c>
      <x:c r="E1302" t="str">
        <x:v>GlowPatch Balm</x:v>
      </x:c>
      <x:c r="F1302" t="str">
        <x:v>Shopify DTC</x:v>
      </x:c>
      <x:c r="G1302" t="str">
        <x:v>Consumer</x:v>
      </x:c>
      <x:c r="H1302" t="str">
        <x:v>US Central</x:v>
      </x:c>
      <x:c r="I1302" s="34" t="n">
        <x:v>240</x:v>
      </x:c>
      <x:c r="J1302" s="38" t="n">
        <x:v>3.8750399999999994</x:v>
      </x:c>
      <x:c r="K1302" s="38" t="n">
        <x:v>1.070823839999999</x:v>
      </x:c>
      <x:c r="L1302" s="28" t="n">
        <x:v>0.27633878359965297</x:v>
      </x:c>
    </x:row>
    <x:row r="1303">
      <x:c r="A1303" s="32" t="n">
        <x:v>46143</x:v>
      </x:c>
      <x:c r="B1303" t="str">
        <x:v>May 2026</x:v>
      </x:c>
      <x:c r="C1303" t="str">
        <x:v>Forecast</x:v>
      </x:c>
      <x:c r="D1303" t="str">
        <x:v>DB-102</x:v>
      </x:c>
      <x:c r="E1303" t="str">
        <x:v>GlowPatch Balm</x:v>
      </x:c>
      <x:c r="F1303" t="str">
        <x:v>Shopify DTC</x:v>
      </x:c>
      <x:c r="G1303" t="str">
        <x:v>Consumer</x:v>
      </x:c>
      <x:c r="H1303" t="str">
        <x:v>US East</x:v>
      </x:c>
      <x:c r="I1303" s="34" t="n">
        <x:v>320</x:v>
      </x:c>
      <x:c r="J1303" s="38" t="n">
        <x:v>5.166719999999999</x:v>
      </x:c>
      <x:c r="K1303" s="38" t="n">
        <x:v>1.4277651199999986</x:v>
      </x:c>
      <x:c r="L1303" s="28" t="n">
        <x:v>0.27633878359965297</x:v>
      </x:c>
    </x:row>
    <x:row r="1304">
      <x:c r="A1304" s="32" t="n">
        <x:v>46143</x:v>
      </x:c>
      <x:c r="B1304" t="str">
        <x:v>May 2026</x:v>
      </x:c>
      <x:c r="C1304" t="str">
        <x:v>Forecast</x:v>
      </x:c>
      <x:c r="D1304" t="str">
        <x:v>DB-102</x:v>
      </x:c>
      <x:c r="E1304" t="str">
        <x:v>GlowPatch Balm</x:v>
      </x:c>
      <x:c r="F1304" t="str">
        <x:v>Shopify DTC</x:v>
      </x:c>
      <x:c r="G1304" t="str">
        <x:v>Consumer</x:v>
      </x:c>
      <x:c r="H1304" t="str">
        <x:v>Canada</x:v>
      </x:c>
      <x:c r="I1304" s="34" t="n">
        <x:v>100</x:v>
      </x:c>
      <x:c r="J1304" s="38" t="n">
        <x:v>1.6145999999999998</x:v>
      </x:c>
      <x:c r="K1304" s="38" t="n">
        <x:v>0.4461765999999996</x:v>
      </x:c>
      <x:c r="L1304" s="28" t="n">
        <x:v>0.27633878359965297</x:v>
      </x:c>
    </x:row>
    <x:row r="1305">
      <x:c r="A1305" s="32" t="n">
        <x:v>46143</x:v>
      </x:c>
      <x:c r="B1305" t="str">
        <x:v>May 2026</x:v>
      </x:c>
      <x:c r="C1305" t="str">
        <x:v>Forecast</x:v>
      </x:c>
      <x:c r="D1305" t="str">
        <x:v>DB-102</x:v>
      </x:c>
      <x:c r="E1305" t="str">
        <x:v>GlowPatch Balm</x:v>
      </x:c>
      <x:c r="F1305" t="str">
        <x:v>Amazon Marketplace</x:v>
      </x:c>
      <x:c r="G1305" t="str">
        <x:v>Marketplace Consumer</x:v>
      </x:c>
      <x:c r="H1305" t="str">
        <x:v>US West</x:v>
      </x:c>
      <x:c r="I1305" s="34" t="n">
        <x:v>201.28</x:v>
      </x:c>
      <x:c r="J1305" s="38" t="n">
        <x:v>3.3558408</x:v>
      </x:c>
      <x:c r="K1305" s="38" t="n">
        <x:v>0.2829241999999999</x:v>
      </x:c>
      <x:c r="L1305" s="28" t="n">
        <x:v>0.08430799220272901</x:v>
      </x:c>
    </x:row>
    <x:row r="1306">
      <x:c r="A1306" s="32" t="n">
        <x:v>46143</x:v>
      </x:c>
      <x:c r="B1306" t="str">
        <x:v>May 2026</x:v>
      </x:c>
      <x:c r="C1306" t="str">
        <x:v>Forecast</x:v>
      </x:c>
      <x:c r="D1306" t="str">
        <x:v>DB-102</x:v>
      </x:c>
      <x:c r="E1306" t="str">
        <x:v>GlowPatch Balm</x:v>
      </x:c>
      <x:c r="F1306" t="str">
        <x:v>Amazon Marketplace</x:v>
      </x:c>
      <x:c r="G1306" t="str">
        <x:v>Marketplace Consumer</x:v>
      </x:c>
      <x:c r="H1306" t="str">
        <x:v>US Central</x:v>
      </x:c>
      <x:c r="I1306" s="34" t="n">
        <x:v>142.07999999999998</x:v>
      </x:c>
      <x:c r="J1306" s="38" t="n">
        <x:v>2.3688287999999997</x:v>
      </x:c>
      <x:c r="K1306" s="38" t="n">
        <x:v>0.1997111999999999</x:v>
      </x:c>
      <x:c r="L1306" s="28" t="n">
        <x:v>0.08430799220272901</x:v>
      </x:c>
    </x:row>
    <x:row r="1307">
      <x:c r="A1307" s="32" t="n">
        <x:v>46143</x:v>
      </x:c>
      <x:c r="B1307" t="str">
        <x:v>May 2026</x:v>
      </x:c>
      <x:c r="C1307" t="str">
        <x:v>Forecast</x:v>
      </x:c>
      <x:c r="D1307" t="str">
        <x:v>DB-102</x:v>
      </x:c>
      <x:c r="E1307" t="str">
        <x:v>GlowPatch Balm</x:v>
      </x:c>
      <x:c r="F1307" t="str">
        <x:v>Amazon Marketplace</x:v>
      </x:c>
      <x:c r="G1307" t="str">
        <x:v>Marketplace Consumer</x:v>
      </x:c>
      <x:c r="H1307" t="str">
        <x:v>US East</x:v>
      </x:c>
      <x:c r="I1307" s="34" t="n">
        <x:v>189.44</x:v>
      </x:c>
      <x:c r="J1307" s="38" t="n">
        <x:v>3.1584384</x:v>
      </x:c>
      <x:c r="K1307" s="38" t="n">
        <x:v>0.2662815999999999</x:v>
      </x:c>
      <x:c r="L1307" s="28" t="n">
        <x:v>0.08430799220272901</x:v>
      </x:c>
    </x:row>
    <x:row r="1308">
      <x:c r="A1308" s="32" t="n">
        <x:v>46143</x:v>
      </x:c>
      <x:c r="B1308" t="str">
        <x:v>May 2026</x:v>
      </x:c>
      <x:c r="C1308" t="str">
        <x:v>Forecast</x:v>
      </x:c>
      <x:c r="D1308" t="str">
        <x:v>DB-102</x:v>
      </x:c>
      <x:c r="E1308" t="str">
        <x:v>GlowPatch Balm</x:v>
      </x:c>
      <x:c r="F1308" t="str">
        <x:v>Amazon Marketplace</x:v>
      </x:c>
      <x:c r="G1308" t="str">
        <x:v>Marketplace Consumer</x:v>
      </x:c>
      <x:c r="H1308" t="str">
        <x:v>Canada</x:v>
      </x:c>
      <x:c r="I1308" s="34" t="n">
        <x:v>59.2</x:v>
      </x:c>
      <x:c r="J1308" s="38" t="n">
        <x:v>0.987012</x:v>
      </x:c>
      <x:c r="K1308" s="38" t="n">
        <x:v>0.08321299999999997</x:v>
      </x:c>
      <x:c r="L1308" s="28" t="n">
        <x:v>0.08430799220272901</x:v>
      </x:c>
    </x:row>
    <x:row r="1309">
      <x:c r="A1309" s="32" t="n">
        <x:v>46143</x:v>
      </x:c>
      <x:c r="B1309" t="str">
        <x:v>May 2026</x:v>
      </x:c>
      <x:c r="C1309" t="str">
        <x:v>Forecast</x:v>
      </x:c>
      <x:c r="D1309" t="str">
        <x:v>DB-102</x:v>
      </x:c>
      <x:c r="E1309" t="str">
        <x:v>GlowPatch Balm</x:v>
      </x:c>
      <x:c r="F1309" t="str">
        <x:v>Wholesale</x:v>
      </x:c>
      <x:c r="G1309" t="str">
        <x:v>Retailer</x:v>
      </x:c>
      <x:c r="H1309" t="str">
        <x:v>US West</x:v>
      </x:c>
      <x:c r="I1309" s="34" t="n">
        <x:v>55.760000000000005</x:v>
      </x:c>
      <x:c r="J1309" s="38" t="n">
        <x:v>0.6360822</x:v>
      </x:c>
      <x:c r="K1309" s="38" t="n">
        <x:v>0.15844204000000003</x:v>
      </x:c>
      <x:c r="L1309" s="28" t="n">
        <x:v>0.2490905106289722</x:v>
      </x:c>
    </x:row>
    <x:row r="1310">
      <x:c r="A1310" s="32" t="n">
        <x:v>46143</x:v>
      </x:c>
      <x:c r="B1310" t="str">
        <x:v>May 2026</x:v>
      </x:c>
      <x:c r="C1310" t="str">
        <x:v>Forecast</x:v>
      </x:c>
      <x:c r="D1310" t="str">
        <x:v>DB-102</x:v>
      </x:c>
      <x:c r="E1310" t="str">
        <x:v>GlowPatch Balm</x:v>
      </x:c>
      <x:c r="F1310" t="str">
        <x:v>Wholesale</x:v>
      </x:c>
      <x:c r="G1310" t="str">
        <x:v>Retailer</x:v>
      </x:c>
      <x:c r="H1310" t="str">
        <x:v>US Central</x:v>
      </x:c>
      <x:c r="I1310" s="34" t="n">
        <x:v>39.36</x:v>
      </x:c>
      <x:c r="J1310" s="38" t="n">
        <x:v>0.4489992</x:v>
      </x:c>
      <x:c r="K1310" s="38" t="n">
        <x:v>0.11184144</x:v>
      </x:c>
      <x:c r="L1310" s="28" t="n">
        <x:v>0.24909051062897217</x:v>
      </x:c>
    </x:row>
    <x:row r="1311">
      <x:c r="A1311" s="32" t="n">
        <x:v>46143</x:v>
      </x:c>
      <x:c r="B1311" t="str">
        <x:v>May 2026</x:v>
      </x:c>
      <x:c r="C1311" t="str">
        <x:v>Forecast</x:v>
      </x:c>
      <x:c r="D1311" t="str">
        <x:v>DB-102</x:v>
      </x:c>
      <x:c r="E1311" t="str">
        <x:v>GlowPatch Balm</x:v>
      </x:c>
      <x:c r="F1311" t="str">
        <x:v>Wholesale</x:v>
      </x:c>
      <x:c r="G1311" t="str">
        <x:v>Retailer</x:v>
      </x:c>
      <x:c r="H1311" t="str">
        <x:v>US East</x:v>
      </x:c>
      <x:c r="I1311" s="34" t="n">
        <x:v>52.480000000000004</x:v>
      </x:c>
      <x:c r="J1311" s="38" t="n">
        <x:v>0.5986656</x:v>
      </x:c>
      <x:c r="K1311" s="38" t="n">
        <x:v>0.14912192000000002</x:v>
      </x:c>
      <x:c r="L1311" s="28" t="n">
        <x:v>0.2490905106289722</x:v>
      </x:c>
    </x:row>
    <x:row r="1312">
      <x:c r="A1312" s="32" t="n">
        <x:v>46143</x:v>
      </x:c>
      <x:c r="B1312" t="str">
        <x:v>May 2026</x:v>
      </x:c>
      <x:c r="C1312" t="str">
        <x:v>Forecast</x:v>
      </x:c>
      <x:c r="D1312" t="str">
        <x:v>DB-102</x:v>
      </x:c>
      <x:c r="E1312" t="str">
        <x:v>GlowPatch Balm</x:v>
      </x:c>
      <x:c r="F1312" t="str">
        <x:v>Wholesale</x:v>
      </x:c>
      <x:c r="G1312" t="str">
        <x:v>Retailer</x:v>
      </x:c>
      <x:c r="H1312" t="str">
        <x:v>Canada</x:v>
      </x:c>
      <x:c r="I1312" s="34" t="n">
        <x:v>16.400000000000002</x:v>
      </x:c>
      <x:c r="J1312" s="38" t="n">
        <x:v>0.187083</x:v>
      </x:c>
      <x:c r="K1312" s="38" t="n">
        <x:v>0.046600600000000006</x:v>
      </x:c>
      <x:c r="L1312" s="28" t="n">
        <x:v>0.2490905106289722</x:v>
      </x:c>
    </x:row>
    <x:row r="1313">
      <x:c r="A1313" s="32" t="n">
        <x:v>46143</x:v>
      </x:c>
      <x:c r="B1313" t="str">
        <x:v>May 2026</x:v>
      </x:c>
      <x:c r="C1313" t="str">
        <x:v>Forecast</x:v>
      </x:c>
      <x:c r="D1313" t="str">
        <x:v>DB-102</x:v>
      </x:c>
      <x:c r="E1313" t="str">
        <x:v>GlowPatch Balm</x:v>
      </x:c>
      <x:c r="F1313" t="str">
        <x:v>TikTok Shop</x:v>
      </x:c>
      <x:c r="G1313" t="str">
        <x:v>Social Commerce</x:v>
      </x:c>
      <x:c r="H1313" t="str">
        <x:v>US West</x:v>
      </x:c>
      <x:c r="I1313" s="34" t="n">
        <x:v>85.68</x:v>
      </x:c>
      <x:c r="J1313" s="38" t="n">
        <x:v>1.32324192</x:v>
      </x:c>
      <x:c r="K1313" s="38" t="n">
        <x:v>0.15452250911999998</x:v>
      </x:c>
      <x:c r="L1313" s="28" t="n">
        <x:v>0.11677570577570576</x:v>
      </x:c>
    </x:row>
    <x:row r="1314">
      <x:c r="A1314" s="32" t="n">
        <x:v>46143</x:v>
      </x:c>
      <x:c r="B1314" t="str">
        <x:v>May 2026</x:v>
      </x:c>
      <x:c r="C1314" t="str">
        <x:v>Forecast</x:v>
      </x:c>
      <x:c r="D1314" t="str">
        <x:v>DB-102</x:v>
      </x:c>
      <x:c r="E1314" t="str">
        <x:v>GlowPatch Balm</x:v>
      </x:c>
      <x:c r="F1314" t="str">
        <x:v>TikTok Shop</x:v>
      </x:c>
      <x:c r="G1314" t="str">
        <x:v>Social Commerce</x:v>
      </x:c>
      <x:c r="H1314" t="str">
        <x:v>US Central</x:v>
      </x:c>
      <x:c r="I1314" s="34" t="n">
        <x:v>60.48</x:v>
      </x:c>
      <x:c r="J1314" s="38" t="n">
        <x:v>0.93405312</x:v>
      </x:c>
      <x:c r="K1314" s="38" t="n">
        <x:v>0.10907471231999999</x:v>
      </x:c>
      <x:c r="L1314" s="28" t="n">
        <x:v>0.11677570577570577</x:v>
      </x:c>
    </x:row>
    <x:row r="1315">
      <x:c r="A1315" s="32" t="n">
        <x:v>46143</x:v>
      </x:c>
      <x:c r="B1315" t="str">
        <x:v>May 2026</x:v>
      </x:c>
      <x:c r="C1315" t="str">
        <x:v>Forecast</x:v>
      </x:c>
      <x:c r="D1315" t="str">
        <x:v>DB-102</x:v>
      </x:c>
      <x:c r="E1315" t="str">
        <x:v>GlowPatch Balm</x:v>
      </x:c>
      <x:c r="F1315" t="str">
        <x:v>TikTok Shop</x:v>
      </x:c>
      <x:c r="G1315" t="str">
        <x:v>Social Commerce</x:v>
      </x:c>
      <x:c r="H1315" t="str">
        <x:v>US East</x:v>
      </x:c>
      <x:c r="I1315" s="34" t="n">
        <x:v>80.64</x:v>
      </x:c>
      <x:c r="J1315" s="38" t="n">
        <x:v>1.2454041599999999</x:v>
      </x:c>
      <x:c r="K1315" s="38" t="n">
        <x:v>0.14543294975999999</x:v>
      </x:c>
      <x:c r="L1315" s="28" t="n">
        <x:v>0.11677570577570577</x:v>
      </x:c>
    </x:row>
    <x:row r="1316">
      <x:c r="A1316" s="32" t="n">
        <x:v>46143</x:v>
      </x:c>
      <x:c r="B1316" t="str">
        <x:v>May 2026</x:v>
      </x:c>
      <x:c r="C1316" t="str">
        <x:v>Forecast</x:v>
      </x:c>
      <x:c r="D1316" t="str">
        <x:v>DB-102</x:v>
      </x:c>
      <x:c r="E1316" t="str">
        <x:v>GlowPatch Balm</x:v>
      </x:c>
      <x:c r="F1316" t="str">
        <x:v>TikTok Shop</x:v>
      </x:c>
      <x:c r="G1316" t="str">
        <x:v>Social Commerce</x:v>
      </x:c>
      <x:c r="H1316" t="str">
        <x:v>Canada</x:v>
      </x:c>
      <x:c r="I1316" s="34" t="n">
        <x:v>25.200000000000003</x:v>
      </x:c>
      <x:c r="J1316" s="38" t="n">
        <x:v>0.3891888</x:v>
      </x:c>
      <x:c r="K1316" s="38" t="n">
        <x:v>0.045447796799999995</x:v>
      </x:c>
      <x:c r="L1316" s="28" t="n">
        <x:v>0.11677570577570576</x:v>
      </x:c>
    </x:row>
    <x:row r="1317">
      <x:c r="A1317" s="32" t="n">
        <x:v>46143</x:v>
      </x:c>
      <x:c r="B1317" t="str">
        <x:v>May 2026</x:v>
      </x:c>
      <x:c r="C1317" t="str">
        <x:v>Forecast</x:v>
      </x:c>
      <x:c r="D1317" t="str">
        <x:v>DB-103</x:v>
      </x:c>
      <x:c r="E1317" t="str">
        <x:v>EmberTrail Camp Mug</x:v>
      </x:c>
      <x:c r="F1317" t="str">
        <x:v>Shopify DTC</x:v>
      </x:c>
      <x:c r="G1317" t="str">
        <x:v>Consumer</x:v>
      </x:c>
      <x:c r="H1317" t="str">
        <x:v>US West</x:v>
      </x:c>
      <x:c r="I1317" s="34" t="n">
        <x:v>174.08</x:v>
      </x:c>
      <x:c r="J1317" s="38" t="n">
        <x:v>5.145735168000001</x:v>
      </x:c>
      <x:c r="K1317" s="38" t="n">
        <x:v>1.5974227681280004</x:v>
      </x:c>
      <x:c r="L1317" s="28" t="n">
        <x:v>0.3104362575948254</x:v>
      </x:c>
    </x:row>
    <x:row r="1318">
      <x:c r="A1318" s="32" t="n">
        <x:v>46143</x:v>
      </x:c>
      <x:c r="B1318" t="str">
        <x:v>May 2026</x:v>
      </x:c>
      <x:c r="C1318" t="str">
        <x:v>Forecast</x:v>
      </x:c>
      <x:c r="D1318" t="str">
        <x:v>DB-103</x:v>
      </x:c>
      <x:c r="E1318" t="str">
        <x:v>EmberTrail Camp Mug</x:v>
      </x:c>
      <x:c r="F1318" t="str">
        <x:v>Shopify DTC</x:v>
      </x:c>
      <x:c r="G1318" t="str">
        <x:v>Consumer</x:v>
      </x:c>
      <x:c r="H1318" t="str">
        <x:v>US Central</x:v>
      </x:c>
      <x:c r="I1318" s="34" t="n">
        <x:v>122.88</x:v>
      </x:c>
      <x:c r="J1318" s="38" t="n">
        <x:v>3.632283648</x:v>
      </x:c>
      <x:c r="K1318" s="38" t="n">
        <x:v>1.1275925422080002</x:v>
      </x:c>
      <x:c r="L1318" s="28" t="n">
        <x:v>0.3104362575948254</x:v>
      </x:c>
    </x:row>
    <x:row r="1319">
      <x:c r="A1319" s="32" t="n">
        <x:v>46143</x:v>
      </x:c>
      <x:c r="B1319" t="str">
        <x:v>May 2026</x:v>
      </x:c>
      <x:c r="C1319" t="str">
        <x:v>Forecast</x:v>
      </x:c>
      <x:c r="D1319" t="str">
        <x:v>DB-103</x:v>
      </x:c>
      <x:c r="E1319" t="str">
        <x:v>EmberTrail Camp Mug</x:v>
      </x:c>
      <x:c r="F1319" t="str">
        <x:v>Shopify DTC</x:v>
      </x:c>
      <x:c r="G1319" t="str">
        <x:v>Consumer</x:v>
      </x:c>
      <x:c r="H1319" t="str">
        <x:v>US East</x:v>
      </x:c>
      <x:c r="I1319" s="34" t="n">
        <x:v>163.84</x:v>
      </x:c>
      <x:c r="J1319" s="38" t="n">
        <x:v>4.843044864</x:v>
      </x:c>
      <x:c r="K1319" s="38" t="n">
        <x:v>1.5034567229440003</x:v>
      </x:c>
      <x:c r="L1319" s="28" t="n">
        <x:v>0.3104362575948254</x:v>
      </x:c>
    </x:row>
    <x:row r="1320">
      <x:c r="A1320" s="32" t="n">
        <x:v>46143</x:v>
      </x:c>
      <x:c r="B1320" t="str">
        <x:v>May 2026</x:v>
      </x:c>
      <x:c r="C1320" t="str">
        <x:v>Forecast</x:v>
      </x:c>
      <x:c r="D1320" t="str">
        <x:v>DB-103</x:v>
      </x:c>
      <x:c r="E1320" t="str">
        <x:v>EmberTrail Camp Mug</x:v>
      </x:c>
      <x:c r="F1320" t="str">
        <x:v>Shopify DTC</x:v>
      </x:c>
      <x:c r="G1320" t="str">
        <x:v>Consumer</x:v>
      </x:c>
      <x:c r="H1320" t="str">
        <x:v>Canada</x:v>
      </x:c>
      <x:c r="I1320" s="34" t="n">
        <x:v>51.2</x:v>
      </x:c>
      <x:c r="J1320" s="38" t="n">
        <x:v>1.5134515200000003</x:v>
      </x:c>
      <x:c r="K1320" s="38" t="n">
        <x:v>0.4698302259200001</x:v>
      </x:c>
      <x:c r="L1320" s="28" t="n">
        <x:v>0.3104362575948254</x:v>
      </x:c>
    </x:row>
    <x:row r="1321">
      <x:c r="A1321" s="32" t="n">
        <x:v>46143</x:v>
      </x:c>
      <x:c r="B1321" t="str">
        <x:v>May 2026</x:v>
      </x:c>
      <x:c r="C1321" t="str">
        <x:v>Forecast</x:v>
      </x:c>
      <x:c r="D1321" t="str">
        <x:v>DB-103</x:v>
      </x:c>
      <x:c r="E1321" t="str">
        <x:v>EmberTrail Camp Mug</x:v>
      </x:c>
      <x:c r="F1321" t="str">
        <x:v>Amazon Marketplace</x:v>
      </x:c>
      <x:c r="G1321" t="str">
        <x:v>Marketplace Consumer</x:v>
      </x:c>
      <x:c r="H1321" t="str">
        <x:v>US West</x:v>
      </x:c>
      <x:c r="I1321" s="34" t="n">
        <x:v>102.00000000000001</x:v>
      </x:c>
      <x:c r="J1321" s="38" t="n">
        <x:v>3.1133970000000004</x:v>
      </x:c>
      <x:c r="K1321" s="38" t="n">
        <x:v>0.49663545000000003</x:v>
      </x:c>
      <x:c r="L1321" s="28" t="n">
        <x:v>0.15951561911314233</x:v>
      </x:c>
    </x:row>
    <x:row r="1322">
      <x:c r="A1322" s="32" t="n">
        <x:v>46143</x:v>
      </x:c>
      <x:c r="B1322" t="str">
        <x:v>May 2026</x:v>
      </x:c>
      <x:c r="C1322" t="str">
        <x:v>Forecast</x:v>
      </x:c>
      <x:c r="D1322" t="str">
        <x:v>DB-103</x:v>
      </x:c>
      <x:c r="E1322" t="str">
        <x:v>EmberTrail Camp Mug</x:v>
      </x:c>
      <x:c r="F1322" t="str">
        <x:v>Amazon Marketplace</x:v>
      </x:c>
      <x:c r="G1322" t="str">
        <x:v>Marketplace Consumer</x:v>
      </x:c>
      <x:c r="H1322" t="str">
        <x:v>US Central</x:v>
      </x:c>
      <x:c r="I1322" s="34" t="n">
        <x:v>72</x:v>
      </x:c>
      <x:c r="J1322" s="38" t="n">
        <x:v>2.197692</x:v>
      </x:c>
      <x:c r="K1322" s="38" t="n">
        <x:v>0.3505662</x:v>
      </x:c>
      <x:c r="L1322" s="28" t="n">
        <x:v>0.15951561911314233</x:v>
      </x:c>
    </x:row>
    <x:row r="1323">
      <x:c r="A1323" s="32" t="n">
        <x:v>46143</x:v>
      </x:c>
      <x:c r="B1323" t="str">
        <x:v>May 2026</x:v>
      </x:c>
      <x:c r="C1323" t="str">
        <x:v>Forecast</x:v>
      </x:c>
      <x:c r="D1323" t="str">
        <x:v>DB-103</x:v>
      </x:c>
      <x:c r="E1323" t="str">
        <x:v>EmberTrail Camp Mug</x:v>
      </x:c>
      <x:c r="F1323" t="str">
        <x:v>Amazon Marketplace</x:v>
      </x:c>
      <x:c r="G1323" t="str">
        <x:v>Marketplace Consumer</x:v>
      </x:c>
      <x:c r="H1323" t="str">
        <x:v>US East</x:v>
      </x:c>
      <x:c r="I1323" s="34" t="n">
        <x:v>96</x:v>
      </x:c>
      <x:c r="J1323" s="38" t="n">
        <x:v>2.930256</x:v>
      </x:c>
      <x:c r="K1323" s="38" t="n">
        <x:v>0.4674216</x:v>
      </x:c>
      <x:c r="L1323" s="28" t="n">
        <x:v>0.15951561911314233</x:v>
      </x:c>
    </x:row>
    <x:row r="1324">
      <x:c r="A1324" s="32" t="n">
        <x:v>46143</x:v>
      </x:c>
      <x:c r="B1324" t="str">
        <x:v>May 2026</x:v>
      </x:c>
      <x:c r="C1324" t="str">
        <x:v>Forecast</x:v>
      </x:c>
      <x:c r="D1324" t="str">
        <x:v>DB-103</x:v>
      </x:c>
      <x:c r="E1324" t="str">
        <x:v>EmberTrail Camp Mug</x:v>
      </x:c>
      <x:c r="F1324" t="str">
        <x:v>Amazon Marketplace</x:v>
      </x:c>
      <x:c r="G1324" t="str">
        <x:v>Marketplace Consumer</x:v>
      </x:c>
      <x:c r="H1324" t="str">
        <x:v>Canada</x:v>
      </x:c>
      <x:c r="I1324" s="34" t="n">
        <x:v>30</x:v>
      </x:c>
      <x:c r="J1324" s="38" t="n">
        <x:v>0.915705</x:v>
      </x:c>
      <x:c r="K1324" s="38" t="n">
        <x:v>0.14606925</x:v>
      </x:c>
      <x:c r="L1324" s="28" t="n">
        <x:v>0.15951561911314235</x:v>
      </x:c>
    </x:row>
    <x:row r="1325">
      <x:c r="A1325" s="32" t="n">
        <x:v>46143</x:v>
      </x:c>
      <x:c r="B1325" t="str">
        <x:v>May 2026</x:v>
      </x:c>
      <x:c r="C1325" t="str">
        <x:v>Forecast</x:v>
      </x:c>
      <x:c r="D1325" t="str">
        <x:v>DB-103</x:v>
      </x:c>
      <x:c r="E1325" t="str">
        <x:v>EmberTrail Camp Mug</x:v>
      </x:c>
      <x:c r="F1325" t="str">
        <x:v>Wholesale</x:v>
      </x:c>
      <x:c r="G1325" t="str">
        <x:v>Retailer</x:v>
      </x:c>
      <x:c r="H1325" t="str">
        <x:v>US West</x:v>
      </x:c>
      <x:c r="I1325" s="34" t="n">
        <x:v>28.560000000000002</x:v>
      </x:c>
      <x:c r="J1325" s="38" t="n">
        <x:v>0.59646132</x:v>
      </x:c>
      <x:c r="K1325" s="38" t="n">
        <x:v>0.11448276000000002</x:v>
      </x:c>
      <x:c r="L1325" s="28" t="n">
        <x:v>0.19193660370130963</x:v>
      </x:c>
    </x:row>
    <x:row r="1326">
      <x:c r="A1326" s="32" t="n">
        <x:v>46143</x:v>
      </x:c>
      <x:c r="B1326" t="str">
        <x:v>May 2026</x:v>
      </x:c>
      <x:c r="C1326" t="str">
        <x:v>Forecast</x:v>
      </x:c>
      <x:c r="D1326" t="str">
        <x:v>DB-103</x:v>
      </x:c>
      <x:c r="E1326" t="str">
        <x:v>EmberTrail Camp Mug</x:v>
      </x:c>
      <x:c r="F1326" t="str">
        <x:v>Wholesale</x:v>
      </x:c>
      <x:c r="G1326" t="str">
        <x:v>Retailer</x:v>
      </x:c>
      <x:c r="H1326" t="str">
        <x:v>US Central</x:v>
      </x:c>
      <x:c r="I1326" s="34" t="n">
        <x:v>20.16</x:v>
      </x:c>
      <x:c r="J1326" s="38" t="n">
        <x:v>0.42103151999999994</x:v>
      </x:c>
      <x:c r="K1326" s="38" t="n">
        <x:v>0.08081136</x:v>
      </x:c>
      <x:c r="L1326" s="28" t="n">
        <x:v>0.1919366037013096</x:v>
      </x:c>
    </x:row>
    <x:row r="1327">
      <x:c r="A1327" s="32" t="n">
        <x:v>46143</x:v>
      </x:c>
      <x:c r="B1327" t="str">
        <x:v>May 2026</x:v>
      </x:c>
      <x:c r="C1327" t="str">
        <x:v>Forecast</x:v>
      </x:c>
      <x:c r="D1327" t="str">
        <x:v>DB-103</x:v>
      </x:c>
      <x:c r="E1327" t="str">
        <x:v>EmberTrail Camp Mug</x:v>
      </x:c>
      <x:c r="F1327" t="str">
        <x:v>Wholesale</x:v>
      </x:c>
      <x:c r="G1327" t="str">
        <x:v>Retailer</x:v>
      </x:c>
      <x:c r="H1327" t="str">
        <x:v>US East</x:v>
      </x:c>
      <x:c r="I1327" s="34" t="n">
        <x:v>26.88</x:v>
      </x:c>
      <x:c r="J1327" s="38" t="n">
        <x:v>0.56137536</x:v>
      </x:c>
      <x:c r="K1327" s="38" t="n">
        <x:v>0.10774848000000001</x:v>
      </x:c>
      <x:c r="L1327" s="28" t="n">
        <x:v>0.1919366037013096</x:v>
      </x:c>
    </x:row>
    <x:row r="1328">
      <x:c r="A1328" s="32" t="n">
        <x:v>46143</x:v>
      </x:c>
      <x:c r="B1328" t="str">
        <x:v>May 2026</x:v>
      </x:c>
      <x:c r="C1328" t="str">
        <x:v>Forecast</x:v>
      </x:c>
      <x:c r="D1328" t="str">
        <x:v>DB-103</x:v>
      </x:c>
      <x:c r="E1328" t="str">
        <x:v>EmberTrail Camp Mug</x:v>
      </x:c>
      <x:c r="F1328" t="str">
        <x:v>Wholesale</x:v>
      </x:c>
      <x:c r="G1328" t="str">
        <x:v>Retailer</x:v>
      </x:c>
      <x:c r="H1328" t="str">
        <x:v>Canada</x:v>
      </x:c>
      <x:c r="I1328" s="34" t="n">
        <x:v>8.4</x:v>
      </x:c>
      <x:c r="J1328" s="38" t="n">
        <x:v>0.1754298</x:v>
      </x:c>
      <x:c r="K1328" s="38" t="n">
        <x:v>0.033671400000000004</x:v>
      </x:c>
      <x:c r="L1328" s="28" t="n">
        <x:v>0.1919366037013096</x:v>
      </x:c>
    </x:row>
    <x:row r="1329">
      <x:c r="A1329" s="32" t="n">
        <x:v>46143</x:v>
      </x:c>
      <x:c r="B1329" t="str">
        <x:v>May 2026</x:v>
      </x:c>
      <x:c r="C1329" t="str">
        <x:v>Forecast</x:v>
      </x:c>
      <x:c r="D1329" t="str">
        <x:v>DB-103</x:v>
      </x:c>
      <x:c r="E1329" t="str">
        <x:v>EmberTrail Camp Mug</x:v>
      </x:c>
      <x:c r="F1329" t="str">
        <x:v>TikTok Shop</x:v>
      </x:c>
      <x:c r="G1329" t="str">
        <x:v>Social Commerce</x:v>
      </x:c>
      <x:c r="H1329" t="str">
        <x:v>US West</x:v>
      </x:c>
      <x:c r="I1329" s="34" t="n">
        <x:v>43.52</x:v>
      </x:c>
      <x:c r="J1329" s="38" t="n">
        <x:v>1.2305018880000003</x:v>
      </x:c>
      <x:c r="K1329" s="38" t="n">
        <x:v>0.22551969996800011</x:v>
      </x:c>
      <x:c r="L1329" s="28" t="n">
        <x:v>0.1832745663922135</x:v>
      </x:c>
    </x:row>
    <x:row r="1330">
      <x:c r="A1330" s="32" t="n">
        <x:v>46143</x:v>
      </x:c>
      <x:c r="B1330" t="str">
        <x:v>May 2026</x:v>
      </x:c>
      <x:c r="C1330" t="str">
        <x:v>Forecast</x:v>
      </x:c>
      <x:c r="D1330" t="str">
        <x:v>DB-103</x:v>
      </x:c>
      <x:c r="E1330" t="str">
        <x:v>EmberTrail Camp Mug</x:v>
      </x:c>
      <x:c r="F1330" t="str">
        <x:v>TikTok Shop</x:v>
      </x:c>
      <x:c r="G1330" t="str">
        <x:v>Social Commerce</x:v>
      </x:c>
      <x:c r="H1330" t="str">
        <x:v>US Central</x:v>
      </x:c>
      <x:c r="I1330" s="34" t="n">
        <x:v>30.72</x:v>
      </x:c>
      <x:c r="J1330" s="38" t="n">
        <x:v>0.868589568</x:v>
      </x:c>
      <x:c r="K1330" s="38" t="n">
        <x:v>0.15919037644800005</x:v>
      </x:c>
      <x:c r="L1330" s="28" t="n">
        <x:v>0.1832745663922135</x:v>
      </x:c>
    </x:row>
    <x:row r="1331">
      <x:c r="A1331" s="32" t="n">
        <x:v>46143</x:v>
      </x:c>
      <x:c r="B1331" t="str">
        <x:v>May 2026</x:v>
      </x:c>
      <x:c r="C1331" t="str">
        <x:v>Forecast</x:v>
      </x:c>
      <x:c r="D1331" t="str">
        <x:v>DB-103</x:v>
      </x:c>
      <x:c r="E1331" t="str">
        <x:v>EmberTrail Camp Mug</x:v>
      </x:c>
      <x:c r="F1331" t="str">
        <x:v>TikTok Shop</x:v>
      </x:c>
      <x:c r="G1331" t="str">
        <x:v>Social Commerce</x:v>
      </x:c>
      <x:c r="H1331" t="str">
        <x:v>US East</x:v>
      </x:c>
      <x:c r="I1331" s="34" t="n">
        <x:v>40.96</x:v>
      </x:c>
      <x:c r="J1331" s="38" t="n">
        <x:v>1.1581194240000001</x:v>
      </x:c>
      <x:c r="K1331" s="38" t="n">
        <x:v>0.2122538352640001</x:v>
      </x:c>
      <x:c r="L1331" s="28" t="n">
        <x:v>0.1832745663922135</x:v>
      </x:c>
    </x:row>
    <x:row r="1332">
      <x:c r="A1332" s="32" t="n">
        <x:v>46143</x:v>
      </x:c>
      <x:c r="B1332" t="str">
        <x:v>May 2026</x:v>
      </x:c>
      <x:c r="C1332" t="str">
        <x:v>Forecast</x:v>
      </x:c>
      <x:c r="D1332" t="str">
        <x:v>DB-103</x:v>
      </x:c>
      <x:c r="E1332" t="str">
        <x:v>EmberTrail Camp Mug</x:v>
      </x:c>
      <x:c r="F1332" t="str">
        <x:v>TikTok Shop</x:v>
      </x:c>
      <x:c r="G1332" t="str">
        <x:v>Social Commerce</x:v>
      </x:c>
      <x:c r="H1332" t="str">
        <x:v>Canada</x:v>
      </x:c>
      <x:c r="I1332" s="34" t="n">
        <x:v>12.8</x:v>
      </x:c>
      <x:c r="J1332" s="38" t="n">
        <x:v>0.36191232000000007</x:v>
      </x:c>
      <x:c r="K1332" s="38" t="n">
        <x:v>0.06632932352000002</x:v>
      </x:c>
      <x:c r="L1332" s="28" t="n">
        <x:v>0.18327456639221348</x:v>
      </x:c>
    </x:row>
    <x:row r="1333">
      <x:c r="A1333" s="32" t="n">
        <x:v>46143</x:v>
      </x:c>
      <x:c r="B1333" t="str">
        <x:v>May 2026</x:v>
      </x:c>
      <x:c r="C1333" t="str">
        <x:v>Forecast</x:v>
      </x:c>
      <x:c r="D1333" t="str">
        <x:v>DB-104</x:v>
      </x:c>
      <x:c r="E1333" t="str">
        <x:v>SunNest Cooling Towel</x:v>
      </x:c>
      <x:c r="F1333" t="str">
        <x:v>Shopify DTC</x:v>
      </x:c>
      <x:c r="G1333" t="str">
        <x:v>Consumer</x:v>
      </x:c>
      <x:c r="H1333" t="str">
        <x:v>US West</x:v>
      </x:c>
      <x:c r="I1333" s="34" t="n">
        <x:v>274.72</x:v>
      </x:c>
      <x:c r="J1333" s="38" t="n">
        <x:v>10.08442176</x:v>
      </x:c>
      <x:c r="K1333" s="38" t="n">
        <x:v>4.056369368959999</x:v>
      </x:c>
      <x:c r="L1333" s="28" t="n">
        <x:v>0.40224114634412106</x:v>
      </x:c>
    </x:row>
    <x:row r="1334">
      <x:c r="A1334" s="32" t="n">
        <x:v>46143</x:v>
      </x:c>
      <x:c r="B1334" t="str">
        <x:v>May 2026</x:v>
      </x:c>
      <x:c r="C1334" t="str">
        <x:v>Forecast</x:v>
      </x:c>
      <x:c r="D1334" t="str">
        <x:v>DB-104</x:v>
      </x:c>
      <x:c r="E1334" t="str">
        <x:v>SunNest Cooling Towel</x:v>
      </x:c>
      <x:c r="F1334" t="str">
        <x:v>Shopify DTC</x:v>
      </x:c>
      <x:c r="G1334" t="str">
        <x:v>Consumer</x:v>
      </x:c>
      <x:c r="H1334" t="str">
        <x:v>US Central</x:v>
      </x:c>
      <x:c r="I1334" s="34" t="n">
        <x:v>193.92</x:v>
      </x:c>
      <x:c r="J1334" s="38" t="n">
        <x:v>7.118415359999999</x:v>
      </x:c>
      <x:c r="K1334" s="38" t="n">
        <x:v>2.863319554559999</x:v>
      </x:c>
      <x:c r="L1334" s="28" t="n">
        <x:v>0.40224114634412106</x:v>
      </x:c>
    </x:row>
    <x:row r="1335">
      <x:c r="A1335" s="32" t="n">
        <x:v>46143</x:v>
      </x:c>
      <x:c r="B1335" t="str">
        <x:v>May 2026</x:v>
      </x:c>
      <x:c r="C1335" t="str">
        <x:v>Forecast</x:v>
      </x:c>
      <x:c r="D1335" t="str">
        <x:v>DB-104</x:v>
      </x:c>
      <x:c r="E1335" t="str">
        <x:v>SunNest Cooling Towel</x:v>
      </x:c>
      <x:c r="F1335" t="str">
        <x:v>Shopify DTC</x:v>
      </x:c>
      <x:c r="G1335" t="str">
        <x:v>Consumer</x:v>
      </x:c>
      <x:c r="H1335" t="str">
        <x:v>US East</x:v>
      </x:c>
      <x:c r="I1335" s="34" t="n">
        <x:v>258.56</x:v>
      </x:c>
      <x:c r="J1335" s="38" t="n">
        <x:v>9.491220479999999</x:v>
      </x:c>
      <x:c r="K1335" s="38" t="n">
        <x:v>3.8177594060799986</x:v>
      </x:c>
      <x:c r="L1335" s="28" t="n">
        <x:v>0.40224114634412106</x:v>
      </x:c>
    </x:row>
    <x:row r="1336">
      <x:c r="A1336" s="32" t="n">
        <x:v>46143</x:v>
      </x:c>
      <x:c r="B1336" t="str">
        <x:v>May 2026</x:v>
      </x:c>
      <x:c r="C1336" t="str">
        <x:v>Forecast</x:v>
      </x:c>
      <x:c r="D1336" t="str">
        <x:v>DB-104</x:v>
      </x:c>
      <x:c r="E1336" t="str">
        <x:v>SunNest Cooling Towel</x:v>
      </x:c>
      <x:c r="F1336" t="str">
        <x:v>Shopify DTC</x:v>
      </x:c>
      <x:c r="G1336" t="str">
        <x:v>Consumer</x:v>
      </x:c>
      <x:c r="H1336" t="str">
        <x:v>Canada</x:v>
      </x:c>
      <x:c r="I1336" s="34" t="n">
        <x:v>80.80000000000001</x:v>
      </x:c>
      <x:c r="J1336" s="38" t="n">
        <x:v>2.9660064</x:v>
      </x:c>
      <x:c r="K1336" s="38" t="n">
        <x:v>1.1930498143999997</x:v>
      </x:c>
      <x:c r="L1336" s="28" t="n">
        <x:v>0.40224114634412106</x:v>
      </x:c>
    </x:row>
    <x:row r="1337">
      <x:c r="A1337" s="32" t="n">
        <x:v>46143</x:v>
      </x:c>
      <x:c r="B1337" t="str">
        <x:v>May 2026</x:v>
      </x:c>
      <x:c r="C1337" t="str">
        <x:v>Forecast</x:v>
      </x:c>
      <x:c r="D1337" t="str">
        <x:v>DB-104</x:v>
      </x:c>
      <x:c r="E1337" t="str">
        <x:v>SunNest Cooling Towel</x:v>
      </x:c>
      <x:c r="F1337" t="str">
        <x:v>Amazon Marketplace</x:v>
      </x:c>
      <x:c r="G1337" t="str">
        <x:v>Marketplace Consumer</x:v>
      </x:c>
      <x:c r="H1337" t="str">
        <x:v>US West</x:v>
      </x:c>
      <x:c r="I1337" s="34" t="n">
        <x:v>161.84</x:v>
      </x:c>
      <x:c r="J1337" s="38" t="n">
        <x:v>6.134545200000001</x:v>
      </x:c>
      <x:c r="K1337" s="38" t="n">
        <x:v>1.5846159000000004</x:v>
      </x:c>
      <x:c r="L1337" s="28" t="n">
        <x:v>0.25831024930747926</x:v>
      </x:c>
    </x:row>
    <x:row r="1338">
      <x:c r="A1338" s="32" t="n">
        <x:v>46143</x:v>
      </x:c>
      <x:c r="B1338" t="str">
        <x:v>May 2026</x:v>
      </x:c>
      <x:c r="C1338" t="str">
        <x:v>Forecast</x:v>
      </x:c>
      <x:c r="D1338" t="str">
        <x:v>DB-104</x:v>
      </x:c>
      <x:c r="E1338" t="str">
        <x:v>SunNest Cooling Towel</x:v>
      </x:c>
      <x:c r="F1338" t="str">
        <x:v>Amazon Marketplace</x:v>
      </x:c>
      <x:c r="G1338" t="str">
        <x:v>Marketplace Consumer</x:v>
      </x:c>
      <x:c r="H1338" t="str">
        <x:v>US Central</x:v>
      </x:c>
      <x:c r="I1338" s="34" t="n">
        <x:v>114.24</x:v>
      </x:c>
      <x:c r="J1338" s="38" t="n">
        <x:v>4.3302672</x:v>
      </x:c>
      <x:c r="K1338" s="38" t="n">
        <x:v>1.1185524000000002</x:v>
      </x:c>
      <x:c r="L1338" s="28" t="n">
        <x:v>0.2583102493074793</x:v>
      </x:c>
    </x:row>
    <x:row r="1339">
      <x:c r="A1339" s="32" t="n">
        <x:v>46143</x:v>
      </x:c>
      <x:c r="B1339" t="str">
        <x:v>May 2026</x:v>
      </x:c>
      <x:c r="C1339" t="str">
        <x:v>Forecast</x:v>
      </x:c>
      <x:c r="D1339" t="str">
        <x:v>DB-104</x:v>
      </x:c>
      <x:c r="E1339" t="str">
        <x:v>SunNest Cooling Towel</x:v>
      </x:c>
      <x:c r="F1339" t="str">
        <x:v>Amazon Marketplace</x:v>
      </x:c>
      <x:c r="G1339" t="str">
        <x:v>Marketplace Consumer</x:v>
      </x:c>
      <x:c r="H1339" t="str">
        <x:v>US East</x:v>
      </x:c>
      <x:c r="I1339" s="34" t="n">
        <x:v>152.32</x:v>
      </x:c>
      <x:c r="J1339" s="38" t="n">
        <x:v>5.7736896</x:v>
      </x:c>
      <x:c r="K1339" s="38" t="n">
        <x:v>1.4914032000000004</x:v>
      </x:c>
      <x:c r="L1339" s="28" t="n">
        <x:v>0.2583102493074793</x:v>
      </x:c>
    </x:row>
    <x:row r="1340">
      <x:c r="A1340" s="32" t="n">
        <x:v>46143</x:v>
      </x:c>
      <x:c r="B1340" t="str">
        <x:v>May 2026</x:v>
      </x:c>
      <x:c r="C1340" t="str">
        <x:v>Forecast</x:v>
      </x:c>
      <x:c r="D1340" t="str">
        <x:v>DB-104</x:v>
      </x:c>
      <x:c r="E1340" t="str">
        <x:v>SunNest Cooling Towel</x:v>
      </x:c>
      <x:c r="F1340" t="str">
        <x:v>Amazon Marketplace</x:v>
      </x:c>
      <x:c r="G1340" t="str">
        <x:v>Marketplace Consumer</x:v>
      </x:c>
      <x:c r="H1340" t="str">
        <x:v>Canada</x:v>
      </x:c>
      <x:c r="I1340" s="34" t="n">
        <x:v>47.6</x:v>
      </x:c>
      <x:c r="J1340" s="38" t="n">
        <x:v>1.804278</x:v>
      </x:c>
      <x:c r="K1340" s="38" t="n">
        <x:v>0.46606350000000013</x:v>
      </x:c>
      <x:c r="L1340" s="28" t="n">
        <x:v>0.2583102493074793</x:v>
      </x:c>
    </x:row>
    <x:row r="1341">
      <x:c r="A1341" s="32" t="n">
        <x:v>46143</x:v>
      </x:c>
      <x:c r="B1341" t="str">
        <x:v>May 2026</x:v>
      </x:c>
      <x:c r="C1341" t="str">
        <x:v>Forecast</x:v>
      </x:c>
      <x:c r="D1341" t="str">
        <x:v>DB-104</x:v>
      </x:c>
      <x:c r="E1341" t="str">
        <x:v>SunNest Cooling Towel</x:v>
      </x:c>
      <x:c r="F1341" t="str">
        <x:v>Wholesale</x:v>
      </x:c>
      <x:c r="G1341" t="str">
        <x:v>Retailer</x:v>
      </x:c>
      <x:c r="H1341" t="str">
        <x:v>US West</x:v>
      </x:c>
      <x:c r="I1341" s="34" t="n">
        <x:v>44.88</x:v>
      </x:c>
      <x:c r="J1341" s="38" t="n">
        <x:v>1.1639628000000002</x:v>
      </x:c>
      <x:c r="K1341" s="38" t="n">
        <x:v>0.34589016000000006</x:v>
      </x:c>
      <x:c r="L1341" s="28" t="n">
        <x:v>0.297165991902834</x:v>
      </x:c>
    </x:row>
    <x:row r="1342">
      <x:c r="A1342" s="32" t="n">
        <x:v>46143</x:v>
      </x:c>
      <x:c r="B1342" t="str">
        <x:v>May 2026</x:v>
      </x:c>
      <x:c r="C1342" t="str">
        <x:v>Forecast</x:v>
      </x:c>
      <x:c r="D1342" t="str">
        <x:v>DB-104</x:v>
      </x:c>
      <x:c r="E1342" t="str">
        <x:v>SunNest Cooling Towel</x:v>
      </x:c>
      <x:c r="F1342" t="str">
        <x:v>Wholesale</x:v>
      </x:c>
      <x:c r="G1342" t="str">
        <x:v>Retailer</x:v>
      </x:c>
      <x:c r="H1342" t="str">
        <x:v>US Central</x:v>
      </x:c>
      <x:c r="I1342" s="34" t="n">
        <x:v>31.68</x:v>
      </x:c>
      <x:c r="J1342" s="38" t="n">
        <x:v>0.8216208</x:v>
      </x:c>
      <x:c r="K1342" s="38" t="n">
        <x:v>0.24415776000000003</x:v>
      </x:c>
      <x:c r="L1342" s="28" t="n">
        <x:v>0.29716599190283405</x:v>
      </x:c>
    </x:row>
    <x:row r="1343">
      <x:c r="A1343" s="32" t="n">
        <x:v>46143</x:v>
      </x:c>
      <x:c r="B1343" t="str">
        <x:v>May 2026</x:v>
      </x:c>
      <x:c r="C1343" t="str">
        <x:v>Forecast</x:v>
      </x:c>
      <x:c r="D1343" t="str">
        <x:v>DB-104</x:v>
      </x:c>
      <x:c r="E1343" t="str">
        <x:v>SunNest Cooling Towel</x:v>
      </x:c>
      <x:c r="F1343" t="str">
        <x:v>Wholesale</x:v>
      </x:c>
      <x:c r="G1343" t="str">
        <x:v>Retailer</x:v>
      </x:c>
      <x:c r="H1343" t="str">
        <x:v>US East</x:v>
      </x:c>
      <x:c r="I1343" s="34" t="n">
        <x:v>42.24</x:v>
      </x:c>
      <x:c r="J1343" s="38" t="n">
        <x:v>1.0954944</x:v>
      </x:c>
      <x:c r="K1343" s="38" t="n">
        <x:v>0.32554368000000006</x:v>
      </x:c>
      <x:c r="L1343" s="28" t="n">
        <x:v>0.29716599190283405</x:v>
      </x:c>
    </x:row>
    <x:row r="1344">
      <x:c r="A1344" s="32" t="n">
        <x:v>46143</x:v>
      </x:c>
      <x:c r="B1344" t="str">
        <x:v>May 2026</x:v>
      </x:c>
      <x:c r="C1344" t="str">
        <x:v>Forecast</x:v>
      </x:c>
      <x:c r="D1344" t="str">
        <x:v>DB-104</x:v>
      </x:c>
      <x:c r="E1344" t="str">
        <x:v>SunNest Cooling Towel</x:v>
      </x:c>
      <x:c r="F1344" t="str">
        <x:v>Wholesale</x:v>
      </x:c>
      <x:c r="G1344" t="str">
        <x:v>Retailer</x:v>
      </x:c>
      <x:c r="H1344" t="str">
        <x:v>Canada</x:v>
      </x:c>
      <x:c r="I1344" s="34" t="n">
        <x:v>13.200000000000001</x:v>
      </x:c>
      <x:c r="J1344" s="38" t="n">
        <x:v>0.34234200000000004</x:v>
      </x:c>
      <x:c r="K1344" s="38" t="n">
        <x:v>0.10173240000000001</x:v>
      </x:c>
      <x:c r="L1344" s="28" t="n">
        <x:v>0.297165991902834</x:v>
      </x:c>
    </x:row>
    <x:row r="1345">
      <x:c r="A1345" s="32" t="n">
        <x:v>46143</x:v>
      </x:c>
      <x:c r="B1345" t="str">
        <x:v>May 2026</x:v>
      </x:c>
      <x:c r="C1345" t="str">
        <x:v>Forecast</x:v>
      </x:c>
      <x:c r="D1345" t="str">
        <x:v>DB-104</x:v>
      </x:c>
      <x:c r="E1345" t="str">
        <x:v>SunNest Cooling Towel</x:v>
      </x:c>
      <x:c r="F1345" t="str">
        <x:v>TikTok Shop</x:v>
      </x:c>
      <x:c r="G1345" t="str">
        <x:v>Social Commerce</x:v>
      </x:c>
      <x:c r="H1345" t="str">
        <x:v>US West</x:v>
      </x:c>
      <x:c r="I1345" s="34" t="n">
        <x:v>69.36</x:v>
      </x:c>
      <x:c r="J1345" s="38" t="n">
        <x:v>2.4353683200000003</x:v>
      </x:c>
      <x:c r="K1345" s="38" t="n">
        <x:v>0.6976944595200002</x:v>
      </x:c>
      <x:c r="L1345" s="28" t="n">
        <x:v>0.28648416495784923</x:v>
      </x:c>
    </x:row>
    <x:row r="1346">
      <x:c r="A1346" s="32" t="n">
        <x:v>46143</x:v>
      </x:c>
      <x:c r="B1346" t="str">
        <x:v>May 2026</x:v>
      </x:c>
      <x:c r="C1346" t="str">
        <x:v>Forecast</x:v>
      </x:c>
      <x:c r="D1346" t="str">
        <x:v>DB-104</x:v>
      </x:c>
      <x:c r="E1346" t="str">
        <x:v>SunNest Cooling Towel</x:v>
      </x:c>
      <x:c r="F1346" t="str">
        <x:v>TikTok Shop</x:v>
      </x:c>
      <x:c r="G1346" t="str">
        <x:v>Social Commerce</x:v>
      </x:c>
      <x:c r="H1346" t="str">
        <x:v>US Central</x:v>
      </x:c>
      <x:c r="I1346" s="34" t="n">
        <x:v>48.96</x:v>
      </x:c>
      <x:c r="J1346" s="38" t="n">
        <x:v>1.71908352</x:v>
      </x:c>
      <x:c r="K1346" s="38" t="n">
        <x:v>0.49249020672000005</x:v>
      </x:c>
      <x:c r="L1346" s="28" t="n">
        <x:v>0.2864841649578492</x:v>
      </x:c>
    </x:row>
    <x:row r="1347">
      <x:c r="A1347" s="32" t="n">
        <x:v>46143</x:v>
      </x:c>
      <x:c r="B1347" t="str">
        <x:v>May 2026</x:v>
      </x:c>
      <x:c r="C1347" t="str">
        <x:v>Forecast</x:v>
      </x:c>
      <x:c r="D1347" t="str">
        <x:v>DB-104</x:v>
      </x:c>
      <x:c r="E1347" t="str">
        <x:v>SunNest Cooling Towel</x:v>
      </x:c>
      <x:c r="F1347" t="str">
        <x:v>TikTok Shop</x:v>
      </x:c>
      <x:c r="G1347" t="str">
        <x:v>Social Commerce</x:v>
      </x:c>
      <x:c r="H1347" t="str">
        <x:v>US East</x:v>
      </x:c>
      <x:c r="I1347" s="34" t="n">
        <x:v>65.28</x:v>
      </x:c>
      <x:c r="J1347" s="38" t="n">
        <x:v>2.2921113600000003</x:v>
      </x:c>
      <x:c r="K1347" s="38" t="n">
        <x:v>0.6566536089600001</x:v>
      </x:c>
      <x:c r="L1347" s="28" t="n">
        <x:v>0.2864841649578492</x:v>
      </x:c>
    </x:row>
    <x:row r="1348">
      <x:c r="A1348" s="32" t="n">
        <x:v>46143</x:v>
      </x:c>
      <x:c r="B1348" t="str">
        <x:v>May 2026</x:v>
      </x:c>
      <x:c r="C1348" t="str">
        <x:v>Forecast</x:v>
      </x:c>
      <x:c r="D1348" t="str">
        <x:v>DB-104</x:v>
      </x:c>
      <x:c r="E1348" t="str">
        <x:v>SunNest Cooling Towel</x:v>
      </x:c>
      <x:c r="F1348" t="str">
        <x:v>TikTok Shop</x:v>
      </x:c>
      <x:c r="G1348" t="str">
        <x:v>Social Commerce</x:v>
      </x:c>
      <x:c r="H1348" t="str">
        <x:v>Canada</x:v>
      </x:c>
      <x:c r="I1348" s="34" t="n">
        <x:v>20.400000000000002</x:v>
      </x:c>
      <x:c r="J1348" s="38" t="n">
        <x:v>0.7162848</x:v>
      </x:c>
      <x:c r="K1348" s="38" t="n">
        <x:v>0.20520425280000004</x:v>
      </x:c>
      <x:c r="L1348" s="28" t="n">
        <x:v>0.28648416495784923</x:v>
      </x:c>
    </x:row>
    <x:row r="1349">
      <x:c r="A1349" s="32" t="n">
        <x:v>46143</x:v>
      </x:c>
      <x:c r="B1349" t="str">
        <x:v>May 2026</x:v>
      </x:c>
      <x:c r="C1349" t="str">
        <x:v>Forecast</x:v>
      </x:c>
      <x:c r="D1349" t="str">
        <x:v>DB-105</x:v>
      </x:c>
      <x:c r="E1349" t="str">
        <x:v>DreamFuel Refill Pack</x:v>
      </x:c>
      <x:c r="F1349" t="str">
        <x:v>Shopify DTC</x:v>
      </x:c>
      <x:c r="G1349" t="str">
        <x:v>Consumer</x:v>
      </x:c>
      <x:c r="H1349" t="str">
        <x:v>US West</x:v>
      </x:c>
      <x:c r="I1349" s="34" t="n">
        <x:v>266.56</x:v>
      </x:c>
      <x:c r="J1349" s="38" t="n">
        <x:v>13.458507776000001</x:v>
      </x:c>
      <x:c r="K1349" s="38" t="n">
        <x:v>6.5578562344960005</x:v>
      </x:c>
      <x:c r="L1349" s="28" t="n">
        <x:v>0.48726473570794776</x:v>
      </x:c>
    </x:row>
    <x:row r="1350">
      <x:c r="A1350" s="32" t="n">
        <x:v>46143</x:v>
      </x:c>
      <x:c r="B1350" t="str">
        <x:v>May 2026</x:v>
      </x:c>
      <x:c r="C1350" t="str">
        <x:v>Forecast</x:v>
      </x:c>
      <x:c r="D1350" t="str">
        <x:v>DB-105</x:v>
      </x:c>
      <x:c r="E1350" t="str">
        <x:v>DreamFuel Refill Pack</x:v>
      </x:c>
      <x:c r="F1350" t="str">
        <x:v>Shopify DTC</x:v>
      </x:c>
      <x:c r="G1350" t="str">
        <x:v>Consumer</x:v>
      </x:c>
      <x:c r="H1350" t="str">
        <x:v>US Central</x:v>
      </x:c>
      <x:c r="I1350" s="34" t="n">
        <x:v>188.16</x:v>
      </x:c>
      <x:c r="J1350" s="38" t="n">
        <x:v>9.500123136</x:v>
      </x:c>
      <x:c r="K1350" s="38" t="n">
        <x:v>4.629074989056</x:v>
      </x:c>
      <x:c r="L1350" s="28" t="n">
        <x:v>0.4872647357079478</x:v>
      </x:c>
    </x:row>
    <x:row r="1351">
      <x:c r="A1351" s="32" t="n">
        <x:v>46143</x:v>
      </x:c>
      <x:c r="B1351" t="str">
        <x:v>May 2026</x:v>
      </x:c>
      <x:c r="C1351" t="str">
        <x:v>Forecast</x:v>
      </x:c>
      <x:c r="D1351" t="str">
        <x:v>DB-105</x:v>
      </x:c>
      <x:c r="E1351" t="str">
        <x:v>DreamFuel Refill Pack</x:v>
      </x:c>
      <x:c r="F1351" t="str">
        <x:v>Shopify DTC</x:v>
      </x:c>
      <x:c r="G1351" t="str">
        <x:v>Consumer</x:v>
      </x:c>
      <x:c r="H1351" t="str">
        <x:v>US East</x:v>
      </x:c>
      <x:c r="I1351" s="34" t="n">
        <x:v>250.88</x:v>
      </x:c>
      <x:c r="J1351" s="38" t="n">
        <x:v>12.666830848</x:v>
      </x:c>
      <x:c r="K1351" s="38" t="n">
        <x:v>6.172099985408001</x:v>
      </x:c>
      <x:c r="L1351" s="28" t="n">
        <x:v>0.4872647357079478</x:v>
      </x:c>
    </x:row>
    <x:row r="1352">
      <x:c r="A1352" s="32" t="n">
        <x:v>46143</x:v>
      </x:c>
      <x:c r="B1352" t="str">
        <x:v>May 2026</x:v>
      </x:c>
      <x:c r="C1352" t="str">
        <x:v>Forecast</x:v>
      </x:c>
      <x:c r="D1352" t="str">
        <x:v>DB-105</x:v>
      </x:c>
      <x:c r="E1352" t="str">
        <x:v>DreamFuel Refill Pack</x:v>
      </x:c>
      <x:c r="F1352" t="str">
        <x:v>Shopify DTC</x:v>
      </x:c>
      <x:c r="G1352" t="str">
        <x:v>Consumer</x:v>
      </x:c>
      <x:c r="H1352" t="str">
        <x:v>Canada</x:v>
      </x:c>
      <x:c r="I1352" s="34" t="n">
        <x:v>78.4</x:v>
      </x:c>
      <x:c r="J1352" s="38" t="n">
        <x:v>3.9583846400000002</x:v>
      </x:c>
      <x:c r="K1352" s="38" t="n">
        <x:v>1.9287812454400002</x:v>
      </x:c>
      <x:c r="L1352" s="28" t="n">
        <x:v>0.4872647357079478</x:v>
      </x:c>
    </x:row>
    <x:row r="1353">
      <x:c r="A1353" s="32" t="n">
        <x:v>46143</x:v>
      </x:c>
      <x:c r="B1353" t="str">
        <x:v>May 2026</x:v>
      </x:c>
      <x:c r="C1353" t="str">
        <x:v>Forecast</x:v>
      </x:c>
      <x:c r="D1353" t="str">
        <x:v>DB-105</x:v>
      </x:c>
      <x:c r="E1353" t="str">
        <x:v>DreamFuel Refill Pack</x:v>
      </x:c>
      <x:c r="F1353" t="str">
        <x:v>Amazon Marketplace</x:v>
      </x:c>
      <x:c r="G1353" t="str">
        <x:v>Marketplace Consumer</x:v>
      </x:c>
      <x:c r="H1353" t="str">
        <x:v>US West</x:v>
      </x:c>
      <x:c r="I1353" s="34" t="n">
        <x:v>157.76000000000002</x:v>
      </x:c>
      <x:c r="J1353" s="38" t="n">
        <x:v>8.224975360000002</x:v>
      </x:c>
      <x:c r="K1353" s="38" t="n">
        <x:v>2.893633920000001</x:v>
      </x:c>
      <x:c r="L1353" s="28" t="n">
        <x:v>0.35181064907165877</x:v>
      </x:c>
    </x:row>
    <x:row r="1354">
      <x:c r="A1354" s="32" t="n">
        <x:v>46143</x:v>
      </x:c>
      <x:c r="B1354" t="str">
        <x:v>May 2026</x:v>
      </x:c>
      <x:c r="C1354" t="str">
        <x:v>Forecast</x:v>
      </x:c>
      <x:c r="D1354" t="str">
        <x:v>DB-105</x:v>
      </x:c>
      <x:c r="E1354" t="str">
        <x:v>DreamFuel Refill Pack</x:v>
      </x:c>
      <x:c r="F1354" t="str">
        <x:v>Amazon Marketplace</x:v>
      </x:c>
      <x:c r="G1354" t="str">
        <x:v>Marketplace Consumer</x:v>
      </x:c>
      <x:c r="H1354" t="str">
        <x:v>US Central</x:v>
      </x:c>
      <x:c r="I1354" s="34" t="n">
        <x:v>111.36</x:v>
      </x:c>
      <x:c r="J1354" s="38" t="n">
        <x:v>5.80586496</x:v>
      </x:c>
      <x:c r="K1354" s="38" t="n">
        <x:v>2.0425651200000003</x:v>
      </x:c>
      <x:c r="L1354" s="28" t="n">
        <x:v>0.3518106490716588</x:v>
      </x:c>
    </x:row>
    <x:row r="1355">
      <x:c r="A1355" s="32" t="n">
        <x:v>46143</x:v>
      </x:c>
      <x:c r="B1355" t="str">
        <x:v>May 2026</x:v>
      </x:c>
      <x:c r="C1355" t="str">
        <x:v>Forecast</x:v>
      </x:c>
      <x:c r="D1355" t="str">
        <x:v>DB-105</x:v>
      </x:c>
      <x:c r="E1355" t="str">
        <x:v>DreamFuel Refill Pack</x:v>
      </x:c>
      <x:c r="F1355" t="str">
        <x:v>Amazon Marketplace</x:v>
      </x:c>
      <x:c r="G1355" t="str">
        <x:v>Marketplace Consumer</x:v>
      </x:c>
      <x:c r="H1355" t="str">
        <x:v>US East</x:v>
      </x:c>
      <x:c r="I1355" s="34" t="n">
        <x:v>148.48</x:v>
      </x:c>
      <x:c r="J1355" s="38" t="n">
        <x:v>7.741153280000001</x:v>
      </x:c>
      <x:c r="K1355" s="38" t="n">
        <x:v>2.7234201600000008</x:v>
      </x:c>
      <x:c r="L1355" s="28" t="n">
        <x:v>0.3518106490716588</x:v>
      </x:c>
    </x:row>
    <x:row r="1356">
      <x:c r="A1356" s="32" t="n">
        <x:v>46143</x:v>
      </x:c>
      <x:c r="B1356" t="str">
        <x:v>May 2026</x:v>
      </x:c>
      <x:c r="C1356" t="str">
        <x:v>Forecast</x:v>
      </x:c>
      <x:c r="D1356" t="str">
        <x:v>DB-105</x:v>
      </x:c>
      <x:c r="E1356" t="str">
        <x:v>DreamFuel Refill Pack</x:v>
      </x:c>
      <x:c r="F1356" t="str">
        <x:v>Amazon Marketplace</x:v>
      </x:c>
      <x:c r="G1356" t="str">
        <x:v>Marketplace Consumer</x:v>
      </x:c>
      <x:c r="H1356" t="str">
        <x:v>Canada</x:v>
      </x:c>
      <x:c r="I1356" s="34" t="n">
        <x:v>46.400000000000006</x:v>
      </x:c>
      <x:c r="J1356" s="38" t="n">
        <x:v>2.4191104000000005</x:v>
      </x:c>
      <x:c r="K1356" s="38" t="n">
        <x:v>0.8510688000000002</x:v>
      </x:c>
      <x:c r="L1356" s="28" t="n">
        <x:v>0.3518106490716587</x:v>
      </x:c>
    </x:row>
    <x:row r="1357">
      <x:c r="A1357" s="32" t="n">
        <x:v>46143</x:v>
      </x:c>
      <x:c r="B1357" t="str">
        <x:v>May 2026</x:v>
      </x:c>
      <x:c r="C1357" t="str">
        <x:v>Forecast</x:v>
      </x:c>
      <x:c r="D1357" t="str">
        <x:v>DB-105</x:v>
      </x:c>
      <x:c r="E1357" t="str">
        <x:v>DreamFuel Refill Pack</x:v>
      </x:c>
      <x:c r="F1357" t="str">
        <x:v>Wholesale</x:v>
      </x:c>
      <x:c r="G1357" t="str">
        <x:v>Retailer</x:v>
      </x:c>
      <x:c r="H1357" t="str">
        <x:v>US West</x:v>
      </x:c>
      <x:c r="I1357" s="34" t="n">
        <x:v>43.52</x:v>
      </x:c>
      <x:c r="J1357" s="38" t="n">
        <x:v>1.5524454400000003</x:v>
      </x:c>
      <x:c r="K1357" s="38" t="n">
        <x:v>0.6048583680000001</x:v>
      </x:c>
      <x:c r="L1357" s="28" t="n">
        <x:v>0.3896165059430366</x:v>
      </x:c>
    </x:row>
    <x:row r="1358">
      <x:c r="A1358" s="32" t="n">
        <x:v>46143</x:v>
      </x:c>
      <x:c r="B1358" t="str">
        <x:v>May 2026</x:v>
      </x:c>
      <x:c r="C1358" t="str">
        <x:v>Forecast</x:v>
      </x:c>
      <x:c r="D1358" t="str">
        <x:v>DB-105</x:v>
      </x:c>
      <x:c r="E1358" t="str">
        <x:v>DreamFuel Refill Pack</x:v>
      </x:c>
      <x:c r="F1358" t="str">
        <x:v>Wholesale</x:v>
      </x:c>
      <x:c r="G1358" t="str">
        <x:v>Retailer</x:v>
      </x:c>
      <x:c r="H1358" t="str">
        <x:v>US Central</x:v>
      </x:c>
      <x:c r="I1358" s="34" t="n">
        <x:v>30.72</x:v>
      </x:c>
      <x:c r="J1358" s="38" t="n">
        <x:v>1.0958438400000001</x:v>
      </x:c>
      <x:c r="K1358" s="38" t="n">
        <x:v>0.42695884800000006</x:v>
      </x:c>
      <x:c r="L1358" s="28" t="n">
        <x:v>0.38961650594303654</x:v>
      </x:c>
    </x:row>
    <x:row r="1359">
      <x:c r="A1359" s="32" t="n">
        <x:v>46143</x:v>
      </x:c>
      <x:c r="B1359" t="str">
        <x:v>May 2026</x:v>
      </x:c>
      <x:c r="C1359" t="str">
        <x:v>Forecast</x:v>
      </x:c>
      <x:c r="D1359" t="str">
        <x:v>DB-105</x:v>
      </x:c>
      <x:c r="E1359" t="str">
        <x:v>DreamFuel Refill Pack</x:v>
      </x:c>
      <x:c r="F1359" t="str">
        <x:v>Wholesale</x:v>
      </x:c>
      <x:c r="G1359" t="str">
        <x:v>Retailer</x:v>
      </x:c>
      <x:c r="H1359" t="str">
        <x:v>US East</x:v>
      </x:c>
      <x:c r="I1359" s="34" t="n">
        <x:v>40.96</x:v>
      </x:c>
      <x:c r="J1359" s="38" t="n">
        <x:v>1.4611251200000002</x:v>
      </x:c>
      <x:c r="K1359" s="38" t="n">
        <x:v>0.569278464</x:v>
      </x:c>
      <x:c r="L1359" s="28" t="n">
        <x:v>0.38961650594303654</x:v>
      </x:c>
    </x:row>
    <x:row r="1360">
      <x:c r="A1360" s="32" t="n">
        <x:v>46143</x:v>
      </x:c>
      <x:c r="B1360" t="str">
        <x:v>May 2026</x:v>
      </x:c>
      <x:c r="C1360" t="str">
        <x:v>Forecast</x:v>
      </x:c>
      <x:c r="D1360" t="str">
        <x:v>DB-105</x:v>
      </x:c>
      <x:c r="E1360" t="str">
        <x:v>DreamFuel Refill Pack</x:v>
      </x:c>
      <x:c r="F1360" t="str">
        <x:v>Wholesale</x:v>
      </x:c>
      <x:c r="G1360" t="str">
        <x:v>Retailer</x:v>
      </x:c>
      <x:c r="H1360" t="str">
        <x:v>Canada</x:v>
      </x:c>
      <x:c r="I1360" s="34" t="n">
        <x:v>12.8</x:v>
      </x:c>
      <x:c r="J1360" s="38" t="n">
        <x:v>0.45660160000000005</x:v>
      </x:c>
      <x:c r="K1360" s="38" t="n">
        <x:v>0.17789952000000003</x:v>
      </x:c>
      <x:c r="L1360" s="28" t="n">
        <x:v>0.3896165059430366</x:v>
      </x:c>
    </x:row>
    <x:row r="1361">
      <x:c r="A1361" s="32" t="n">
        <x:v>46143</x:v>
      </x:c>
      <x:c r="B1361" t="str">
        <x:v>May 2026</x:v>
      </x:c>
      <x:c r="C1361" t="str">
        <x:v>Forecast</x:v>
      </x:c>
      <x:c r="D1361" t="str">
        <x:v>DB-105</x:v>
      </x:c>
      <x:c r="E1361" t="str">
        <x:v>DreamFuel Refill Pack</x:v>
      </x:c>
      <x:c r="F1361" t="str">
        <x:v>TikTok Shop</x:v>
      </x:c>
      <x:c r="G1361" t="str">
        <x:v>Social Commerce</x:v>
      </x:c>
      <x:c r="H1361" t="str">
        <x:v>US West</x:v>
      </x:c>
      <x:c r="I1361" s="34" t="n">
        <x:v>66.64</x:v>
      </x:c>
      <x:c r="J1361" s="38" t="n">
        <x:v>3.218338816</x:v>
      </x:c>
      <x:c r="K1361" s="38" t="n">
        <x:v>1.234345957376</x:v>
      </x:c>
      <x:c r="L1361" s="28" t="n">
        <x:v>0.3835351179432812</x:v>
      </x:c>
    </x:row>
    <x:row r="1362">
      <x:c r="A1362" s="32" t="n">
        <x:v>46143</x:v>
      </x:c>
      <x:c r="B1362" t="str">
        <x:v>May 2026</x:v>
      </x:c>
      <x:c r="C1362" t="str">
        <x:v>Forecast</x:v>
      </x:c>
      <x:c r="D1362" t="str">
        <x:v>DB-105</x:v>
      </x:c>
      <x:c r="E1362" t="str">
        <x:v>DreamFuel Refill Pack</x:v>
      </x:c>
      <x:c r="F1362" t="str">
        <x:v>TikTok Shop</x:v>
      </x:c>
      <x:c r="G1362" t="str">
        <x:v>Social Commerce</x:v>
      </x:c>
      <x:c r="H1362" t="str">
        <x:v>US Central</x:v>
      </x:c>
      <x:c r="I1362" s="34" t="n">
        <x:v>47.04</x:v>
      </x:c>
      <x:c r="J1362" s="38" t="n">
        <x:v>2.271768576</x:v>
      </x:c>
      <x:c r="K1362" s="38" t="n">
        <x:v>0.871303028736</x:v>
      </x:c>
      <x:c r="L1362" s="28" t="n">
        <x:v>0.3835351179432812</x:v>
      </x:c>
    </x:row>
    <x:row r="1363">
      <x:c r="A1363" s="32" t="n">
        <x:v>46143</x:v>
      </x:c>
      <x:c r="B1363" t="str">
        <x:v>May 2026</x:v>
      </x:c>
      <x:c r="C1363" t="str">
        <x:v>Forecast</x:v>
      </x:c>
      <x:c r="D1363" t="str">
        <x:v>DB-105</x:v>
      </x:c>
      <x:c r="E1363" t="str">
        <x:v>DreamFuel Refill Pack</x:v>
      </x:c>
      <x:c r="F1363" t="str">
        <x:v>TikTok Shop</x:v>
      </x:c>
      <x:c r="G1363" t="str">
        <x:v>Social Commerce</x:v>
      </x:c>
      <x:c r="H1363" t="str">
        <x:v>US East</x:v>
      </x:c>
      <x:c r="I1363" s="34" t="n">
        <x:v>62.72</x:v>
      </x:c>
      <x:c r="J1363" s="38" t="n">
        <x:v>3.0290247679999998</x:v>
      </x:c>
      <x:c r="K1363" s="38" t="n">
        <x:v>1.161737371648</x:v>
      </x:c>
      <x:c r="L1363" s="28" t="n">
        <x:v>0.3835351179432812</x:v>
      </x:c>
    </x:row>
    <x:row r="1364">
      <x:c r="A1364" s="32" t="n">
        <x:v>46143</x:v>
      </x:c>
      <x:c r="B1364" t="str">
        <x:v>May 2026</x:v>
      </x:c>
      <x:c r="C1364" t="str">
        <x:v>Forecast</x:v>
      </x:c>
      <x:c r="D1364" t="str">
        <x:v>DB-105</x:v>
      </x:c>
      <x:c r="E1364" t="str">
        <x:v>DreamFuel Refill Pack</x:v>
      </x:c>
      <x:c r="F1364" t="str">
        <x:v>TikTok Shop</x:v>
      </x:c>
      <x:c r="G1364" t="str">
        <x:v>Social Commerce</x:v>
      </x:c>
      <x:c r="H1364" t="str">
        <x:v>Canada</x:v>
      </x:c>
      <x:c r="I1364" s="34" t="n">
        <x:v>19.6</x:v>
      </x:c>
      <x:c r="J1364" s="38" t="n">
        <x:v>0.94657024</x:v>
      </x:c>
      <x:c r="K1364" s="38" t="n">
        <x:v>0.36304292864000004</x:v>
      </x:c>
      <x:c r="L1364" s="28" t="n">
        <x:v>0.38353511794328127</x:v>
      </x:c>
    </x:row>
    <x:row r="1365">
      <x:c r="A1365" s="32" t="n">
        <x:v>46174</x:v>
      </x:c>
      <x:c r="B1365" t="str">
        <x:v>Jun 2026</x:v>
      </x:c>
      <x:c r="C1365" t="str">
        <x:v>Forecast</x:v>
      </x:c>
      <x:c r="D1365" t="str">
        <x:v>DB-101</x:v>
      </x:c>
      <x:c r="E1365" t="str">
        <x:v>AeroSip Bottle</x:v>
      </x:c>
      <x:c r="F1365" t="str">
        <x:v>Shopify DTC</x:v>
      </x:c>
      <x:c r="G1365" t="str">
        <x:v>Consumer</x:v>
      </x:c>
      <x:c r="H1365" t="str">
        <x:v>US West</x:v>
      </x:c>
      <x:c r="I1365" s="34" t="n">
        <x:v>425.00000000000006</x:v>
      </x:c>
      <x:c r="J1365" s="38" t="n">
        <x:v>10.828745</x:v>
      </x:c>
      <x:c r="K1365" s="38" t="n">
        <x:v>3.4444113949999995</x:v>
      </x:c>
      <x:c r="L1365" s="28" t="n">
        <x:v>0.3180803865083165</x:v>
      </x:c>
    </x:row>
    <x:row r="1366">
      <x:c r="A1366" s="32" t="n">
        <x:v>46174</x:v>
      </x:c>
      <x:c r="B1366" t="str">
        <x:v>Jun 2026</x:v>
      </x:c>
      <x:c r="C1366" t="str">
        <x:v>Forecast</x:v>
      </x:c>
      <x:c r="D1366" t="str">
        <x:v>DB-101</x:v>
      </x:c>
      <x:c r="E1366" t="str">
        <x:v>AeroSip Bottle</x:v>
      </x:c>
      <x:c r="F1366" t="str">
        <x:v>Shopify DTC</x:v>
      </x:c>
      <x:c r="G1366" t="str">
        <x:v>Consumer</x:v>
      </x:c>
      <x:c r="H1366" t="str">
        <x:v>US Central</x:v>
      </x:c>
      <x:c r="I1366" s="34" t="n">
        <x:v>300</x:v>
      </x:c>
      <x:c r="J1366" s="38" t="n">
        <x:v>7.643819999999999</x:v>
      </x:c>
      <x:c r="K1366" s="38" t="n">
        <x:v>2.4313492199999995</x:v>
      </x:c>
      <x:c r="L1366" s="28" t="n">
        <x:v>0.3180803865083165</x:v>
      </x:c>
    </x:row>
    <x:row r="1367">
      <x:c r="A1367" s="32" t="n">
        <x:v>46174</x:v>
      </x:c>
      <x:c r="B1367" t="str">
        <x:v>Jun 2026</x:v>
      </x:c>
      <x:c r="C1367" t="str">
        <x:v>Forecast</x:v>
      </x:c>
      <x:c r="D1367" t="str">
        <x:v>DB-101</x:v>
      </x:c>
      <x:c r="E1367" t="str">
        <x:v>AeroSip Bottle</x:v>
      </x:c>
      <x:c r="F1367" t="str">
        <x:v>Shopify DTC</x:v>
      </x:c>
      <x:c r="G1367" t="str">
        <x:v>Consumer</x:v>
      </x:c>
      <x:c r="H1367" t="str">
        <x:v>US East</x:v>
      </x:c>
      <x:c r="I1367" s="34" t="n">
        <x:v>400</x:v>
      </x:c>
      <x:c r="J1367" s="38" t="n">
        <x:v>10.19176</x:v>
      </x:c>
      <x:c r="K1367" s="38" t="n">
        <x:v>3.2417989599999992</x:v>
      </x:c>
      <x:c r="L1367" s="28" t="n">
        <x:v>0.31808038650831644</x:v>
      </x:c>
    </x:row>
    <x:row r="1368">
      <x:c r="A1368" s="32" t="n">
        <x:v>46174</x:v>
      </x:c>
      <x:c r="B1368" t="str">
        <x:v>Jun 2026</x:v>
      </x:c>
      <x:c r="C1368" t="str">
        <x:v>Forecast</x:v>
      </x:c>
      <x:c r="D1368" t="str">
        <x:v>DB-101</x:v>
      </x:c>
      <x:c r="E1368" t="str">
        <x:v>AeroSip Bottle</x:v>
      </x:c>
      <x:c r="F1368" t="str">
        <x:v>Shopify DTC</x:v>
      </x:c>
      <x:c r="G1368" t="str">
        <x:v>Consumer</x:v>
      </x:c>
      <x:c r="H1368" t="str">
        <x:v>Canada</x:v>
      </x:c>
      <x:c r="I1368" s="34" t="n">
        <x:v>125</x:v>
      </x:c>
      <x:c r="J1368" s="38" t="n">
        <x:v>3.184925</x:v>
      </x:c>
      <x:c r="K1368" s="38" t="n">
        <x:v>1.0130621749999997</x:v>
      </x:c>
      <x:c r="L1368" s="28" t="n">
        <x:v>0.31808038650831644</x:v>
      </x:c>
    </x:row>
    <x:row r="1369">
      <x:c r="A1369" s="32" t="n">
        <x:v>46174</x:v>
      </x:c>
      <x:c r="B1369" t="str">
        <x:v>Jun 2026</x:v>
      </x:c>
      <x:c r="C1369" t="str">
        <x:v>Forecast</x:v>
      </x:c>
      <x:c r="D1369" t="str">
        <x:v>DB-101</x:v>
      </x:c>
      <x:c r="E1369" t="str">
        <x:v>AeroSip Bottle</x:v>
      </x:c>
      <x:c r="F1369" t="str">
        <x:v>Amazon Marketplace</x:v>
      </x:c>
      <x:c r="G1369" t="str">
        <x:v>Marketplace Consumer</x:v>
      </x:c>
      <x:c r="H1369" t="str">
        <x:v>US West</x:v>
      </x:c>
      <x:c r="I1369" s="34" t="n">
        <x:v>249.9</x:v>
      </x:c>
      <x:c r="J1369" s="38" t="n">
        <x:v>6.5749314750000005</x:v>
      </x:c>
      <x:c r="K1369" s="38" t="n">
        <x:v>1.0440103537500005</x:v>
      </x:c>
      <x:c r="L1369" s="28" t="n">
        <x:v>0.15878649955815705</x:v>
      </x:c>
    </x:row>
    <x:row r="1370">
      <x:c r="A1370" s="32" t="n">
        <x:v>46174</x:v>
      </x:c>
      <x:c r="B1370" t="str">
        <x:v>Jun 2026</x:v>
      </x:c>
      <x:c r="C1370" t="str">
        <x:v>Forecast</x:v>
      </x:c>
      <x:c r="D1370" t="str">
        <x:v>DB-101</x:v>
      </x:c>
      <x:c r="E1370" t="str">
        <x:v>AeroSip Bottle</x:v>
      </x:c>
      <x:c r="F1370" t="str">
        <x:v>Amazon Marketplace</x:v>
      </x:c>
      <x:c r="G1370" t="str">
        <x:v>Marketplace Consumer</x:v>
      </x:c>
      <x:c r="H1370" t="str">
        <x:v>US Central</x:v>
      </x:c>
      <x:c r="I1370" s="34" t="n">
        <x:v>176.4</x:v>
      </x:c>
      <x:c r="J1370" s="38" t="n">
        <x:v>4.6411281</x:v>
      </x:c>
      <x:c r="K1370" s="38" t="n">
        <x:v>0.7369484850000003</x:v>
      </x:c>
      <x:c r="L1370" s="28" t="n">
        <x:v>0.15878649955815705</x:v>
      </x:c>
    </x:row>
    <x:row r="1371">
      <x:c r="A1371" s="32" t="n">
        <x:v>46174</x:v>
      </x:c>
      <x:c r="B1371" t="str">
        <x:v>Jun 2026</x:v>
      </x:c>
      <x:c r="C1371" t="str">
        <x:v>Forecast</x:v>
      </x:c>
      <x:c r="D1371" t="str">
        <x:v>DB-101</x:v>
      </x:c>
      <x:c r="E1371" t="str">
        <x:v>AeroSip Bottle</x:v>
      </x:c>
      <x:c r="F1371" t="str">
        <x:v>Amazon Marketplace</x:v>
      </x:c>
      <x:c r="G1371" t="str">
        <x:v>Marketplace Consumer</x:v>
      </x:c>
      <x:c r="H1371" t="str">
        <x:v>US East</x:v>
      </x:c>
      <x:c r="I1371" s="34" t="n">
        <x:v>235.20000000000002</x:v>
      </x:c>
      <x:c r="J1371" s="38" t="n">
        <x:v>6.188170800000001</x:v>
      </x:c>
      <x:c r="K1371" s="38" t="n">
        <x:v>0.9825979800000005</x:v>
      </x:c>
      <x:c r="L1371" s="28" t="n">
        <x:v>0.15878649955815705</x:v>
      </x:c>
    </x:row>
    <x:row r="1372">
      <x:c r="A1372" s="32" t="n">
        <x:v>46174</x:v>
      </x:c>
      <x:c r="B1372" t="str">
        <x:v>Jun 2026</x:v>
      </x:c>
      <x:c r="C1372" t="str">
        <x:v>Forecast</x:v>
      </x:c>
      <x:c r="D1372" t="str">
        <x:v>DB-101</x:v>
      </x:c>
      <x:c r="E1372" t="str">
        <x:v>AeroSip Bottle</x:v>
      </x:c>
      <x:c r="F1372" t="str">
        <x:v>Amazon Marketplace</x:v>
      </x:c>
      <x:c r="G1372" t="str">
        <x:v>Marketplace Consumer</x:v>
      </x:c>
      <x:c r="H1372" t="str">
        <x:v>Canada</x:v>
      </x:c>
      <x:c r="I1372" s="34" t="n">
        <x:v>73.5</x:v>
      </x:c>
      <x:c r="J1372" s="38" t="n">
        <x:v>1.933803375</x:v>
      </x:c>
      <x:c r="K1372" s="38" t="n">
        <x:v>0.3070618687500002</x:v>
      </x:c>
      <x:c r="L1372" s="28" t="n">
        <x:v>0.15878649955815707</x:v>
      </x:c>
    </x:row>
    <x:row r="1373">
      <x:c r="A1373" s="32" t="n">
        <x:v>46174</x:v>
      </x:c>
      <x:c r="B1373" t="str">
        <x:v>Jun 2026</x:v>
      </x:c>
      <x:c r="C1373" t="str">
        <x:v>Forecast</x:v>
      </x:c>
      <x:c r="D1373" t="str">
        <x:v>DB-101</x:v>
      </x:c>
      <x:c r="E1373" t="str">
        <x:v>AeroSip Bottle</x:v>
      </x:c>
      <x:c r="F1373" t="str">
        <x:v>Wholesale</x:v>
      </x:c>
      <x:c r="G1373" t="str">
        <x:v>Retailer</x:v>
      </x:c>
      <x:c r="H1373" t="str">
        <x:v>US West</x:v>
      </x:c>
      <x:c r="I1373" s="34" t="n">
        <x:v>69.7</x:v>
      </x:c>
      <x:c r="J1373" s="38" t="n">
        <x:v>1.254721975</x:v>
      </x:c>
      <x:c r="K1373" s="38" t="n">
        <x:v>0.279897775</x:v>
      </x:c>
      <x:c r="L1373" s="28" t="n">
        <x:v>0.22307553432305194</x:v>
      </x:c>
    </x:row>
    <x:row r="1374">
      <x:c r="A1374" s="32" t="n">
        <x:v>46174</x:v>
      </x:c>
      <x:c r="B1374" t="str">
        <x:v>Jun 2026</x:v>
      </x:c>
      <x:c r="C1374" t="str">
        <x:v>Forecast</x:v>
      </x:c>
      <x:c r="D1374" t="str">
        <x:v>DB-101</x:v>
      </x:c>
      <x:c r="E1374" t="str">
        <x:v>AeroSip Bottle</x:v>
      </x:c>
      <x:c r="F1374" t="str">
        <x:v>Wholesale</x:v>
      </x:c>
      <x:c r="G1374" t="str">
        <x:v>Retailer</x:v>
      </x:c>
      <x:c r="H1374" t="str">
        <x:v>US Central</x:v>
      </x:c>
      <x:c r="I1374" s="34" t="n">
        <x:v>49.199999999999996</x:v>
      </x:c>
      <x:c r="J1374" s="38" t="n">
        <x:v>0.8856861</x:v>
      </x:c>
      <x:c r="K1374" s="38" t="n">
        <x:v>0.1975749</x:v>
      </x:c>
      <x:c r="L1374" s="28" t="n">
        <x:v>0.2230755343230519</x:v>
      </x:c>
    </x:row>
    <x:row r="1375">
      <x:c r="A1375" s="32" t="n">
        <x:v>46174</x:v>
      </x:c>
      <x:c r="B1375" t="str">
        <x:v>Jun 2026</x:v>
      </x:c>
      <x:c r="C1375" t="str">
        <x:v>Forecast</x:v>
      </x:c>
      <x:c r="D1375" t="str">
        <x:v>DB-101</x:v>
      </x:c>
      <x:c r="E1375" t="str">
        <x:v>AeroSip Bottle</x:v>
      </x:c>
      <x:c r="F1375" t="str">
        <x:v>Wholesale</x:v>
      </x:c>
      <x:c r="G1375" t="str">
        <x:v>Retailer</x:v>
      </x:c>
      <x:c r="H1375" t="str">
        <x:v>US East</x:v>
      </x:c>
      <x:c r="I1375" s="34" t="n">
        <x:v>65.6</x:v>
      </x:c>
      <x:c r="J1375" s="38" t="n">
        <x:v>1.1809148</x:v>
      </x:c>
      <x:c r="K1375" s="38" t="n">
        <x:v>0.26343320000000003</x:v>
      </x:c>
      <x:c r="L1375" s="28" t="n">
        <x:v>0.22307553432305194</x:v>
      </x:c>
    </x:row>
    <x:row r="1376">
      <x:c r="A1376" s="32" t="n">
        <x:v>46174</x:v>
      </x:c>
      <x:c r="B1376" t="str">
        <x:v>Jun 2026</x:v>
      </x:c>
      <x:c r="C1376" t="str">
        <x:v>Forecast</x:v>
      </x:c>
      <x:c r="D1376" t="str">
        <x:v>DB-101</x:v>
      </x:c>
      <x:c r="E1376" t="str">
        <x:v>AeroSip Bottle</x:v>
      </x:c>
      <x:c r="F1376" t="str">
        <x:v>Wholesale</x:v>
      </x:c>
      <x:c r="G1376" t="str">
        <x:v>Retailer</x:v>
      </x:c>
      <x:c r="H1376" t="str">
        <x:v>Canada</x:v>
      </x:c>
      <x:c r="I1376" s="34" t="n">
        <x:v>20.5</x:v>
      </x:c>
      <x:c r="J1376" s="38" t="n">
        <x:v>0.369035875</x:v>
      </x:c>
      <x:c r="K1376" s="38" t="n">
        <x:v>0.08232287500000002</x:v>
      </x:c>
      <x:c r="L1376" s="28" t="n">
        <x:v>0.22307553432305197</x:v>
      </x:c>
    </x:row>
    <x:row r="1377">
      <x:c r="A1377" s="32" t="n">
        <x:v>46174</x:v>
      </x:c>
      <x:c r="B1377" t="str">
        <x:v>Jun 2026</x:v>
      </x:c>
      <x:c r="C1377" t="str">
        <x:v>Forecast</x:v>
      </x:c>
      <x:c r="D1377" t="str">
        <x:v>DB-101</x:v>
      </x:c>
      <x:c r="E1377" t="str">
        <x:v>AeroSip Bottle</x:v>
      </x:c>
      <x:c r="F1377" t="str">
        <x:v>TikTok Shop</x:v>
      </x:c>
      <x:c r="G1377" t="str">
        <x:v>Social Commerce</x:v>
      </x:c>
      <x:c r="H1377" t="str">
        <x:v>US West</x:v>
      </x:c>
      <x:c r="I1377" s="34" t="n">
        <x:v>107.10000000000001</x:v>
      </x:c>
      <x:c r="J1377" s="38" t="n">
        <x:v>2.61019836</x:v>
      </x:c>
      <x:c r="K1377" s="38" t="n">
        <x:v>0.4837201059599998</x:v>
      </x:c>
      <x:c r="L1377" s="28" t="n">
        <x:v>0.18531928966501987</x:v>
      </x:c>
    </x:row>
    <x:row r="1378">
      <x:c r="A1378" s="32" t="n">
        <x:v>46174</x:v>
      </x:c>
      <x:c r="B1378" t="str">
        <x:v>Jun 2026</x:v>
      </x:c>
      <x:c r="C1378" t="str">
        <x:v>Forecast</x:v>
      </x:c>
      <x:c r="D1378" t="str">
        <x:v>DB-101</x:v>
      </x:c>
      <x:c r="E1378" t="str">
        <x:v>AeroSip Bottle</x:v>
      </x:c>
      <x:c r="F1378" t="str">
        <x:v>TikTok Shop</x:v>
      </x:c>
      <x:c r="G1378" t="str">
        <x:v>Social Commerce</x:v>
      </x:c>
      <x:c r="H1378" t="str">
        <x:v>US Central</x:v>
      </x:c>
      <x:c r="I1378" s="34" t="n">
        <x:v>75.6</x:v>
      </x:c>
      <x:c r="J1378" s="38" t="n">
        <x:v>1.84249296</x:v>
      </x:c>
      <x:c r="K1378" s="38" t="n">
        <x:v>0.34144948655999985</x:v>
      </x:c>
      <x:c r="L1378" s="28" t="n">
        <x:v>0.18531928966501987</x:v>
      </x:c>
    </x:row>
    <x:row r="1379">
      <x:c r="A1379" s="32" t="n">
        <x:v>46174</x:v>
      </x:c>
      <x:c r="B1379" t="str">
        <x:v>Jun 2026</x:v>
      </x:c>
      <x:c r="C1379" t="str">
        <x:v>Forecast</x:v>
      </x:c>
      <x:c r="D1379" t="str">
        <x:v>DB-101</x:v>
      </x:c>
      <x:c r="E1379" t="str">
        <x:v>AeroSip Bottle</x:v>
      </x:c>
      <x:c r="F1379" t="str">
        <x:v>TikTok Shop</x:v>
      </x:c>
      <x:c r="G1379" t="str">
        <x:v>Social Commerce</x:v>
      </x:c>
      <x:c r="H1379" t="str">
        <x:v>US East</x:v>
      </x:c>
      <x:c r="I1379" s="34" t="n">
        <x:v>100.8</x:v>
      </x:c>
      <x:c r="J1379" s="38" t="n">
        <x:v>2.45665728</x:v>
      </x:c>
      <x:c r="K1379" s="38" t="n">
        <x:v>0.4552659820799998</x:v>
      </x:c>
      <x:c r="L1379" s="28" t="n">
        <x:v>0.18531928966501987</x:v>
      </x:c>
    </x:row>
    <x:row r="1380">
      <x:c r="A1380" s="32" t="n">
        <x:v>46174</x:v>
      </x:c>
      <x:c r="B1380" t="str">
        <x:v>Jun 2026</x:v>
      </x:c>
      <x:c r="C1380" t="str">
        <x:v>Forecast</x:v>
      </x:c>
      <x:c r="D1380" t="str">
        <x:v>DB-101</x:v>
      </x:c>
      <x:c r="E1380" t="str">
        <x:v>AeroSip Bottle</x:v>
      </x:c>
      <x:c r="F1380" t="str">
        <x:v>TikTok Shop</x:v>
      </x:c>
      <x:c r="G1380" t="str">
        <x:v>Social Commerce</x:v>
      </x:c>
      <x:c r="H1380" t="str">
        <x:v>Canada</x:v>
      </x:c>
      <x:c r="I1380" s="34" t="n">
        <x:v>31.5</x:v>
      </x:c>
      <x:c r="J1380" s="38" t="n">
        <x:v>0.7677054000000001</x:v>
      </x:c>
      <x:c r="K1380" s="38" t="n">
        <x:v>0.14227061939999994</x:v>
      </x:c>
      <x:c r="L1380" s="28" t="n">
        <x:v>0.18531928966501984</x:v>
      </x:c>
    </x:row>
    <x:row r="1381">
      <x:c r="A1381" s="32" t="n">
        <x:v>46174</x:v>
      </x:c>
      <x:c r="B1381" t="str">
        <x:v>Jun 2026</x:v>
      </x:c>
      <x:c r="C1381" t="str">
        <x:v>Forecast</x:v>
      </x:c>
      <x:c r="D1381" t="str">
        <x:v>DB-102</x:v>
      </x:c>
      <x:c r="E1381" t="str">
        <x:v>GlowPatch Balm</x:v>
      </x:c>
      <x:c r="F1381" t="str">
        <x:v>Shopify DTC</x:v>
      </x:c>
      <x:c r="G1381" t="str">
        <x:v>Consumer</x:v>
      </x:c>
      <x:c r="H1381" t="str">
        <x:v>US West</x:v>
      </x:c>
      <x:c r="I1381" s="34" t="n">
        <x:v>425.00000000000006</x:v>
      </x:c>
      <x:c r="J1381" s="38" t="n">
        <x:v>6.86205</x:v>
      </x:c>
      <x:c r="K1381" s="38" t="n">
        <x:v>1.8962505499999984</x:v>
      </x:c>
      <x:c r="L1381" s="28" t="n">
        <x:v>0.2763387835996529</x:v>
      </x:c>
    </x:row>
    <x:row r="1382">
      <x:c r="A1382" s="32" t="n">
        <x:v>46174</x:v>
      </x:c>
      <x:c r="B1382" t="str">
        <x:v>Jun 2026</x:v>
      </x:c>
      <x:c r="C1382" t="str">
        <x:v>Forecast</x:v>
      </x:c>
      <x:c r="D1382" t="str">
        <x:v>DB-102</x:v>
      </x:c>
      <x:c r="E1382" t="str">
        <x:v>GlowPatch Balm</x:v>
      </x:c>
      <x:c r="F1382" t="str">
        <x:v>Shopify DTC</x:v>
      </x:c>
      <x:c r="G1382" t="str">
        <x:v>Consumer</x:v>
      </x:c>
      <x:c r="H1382" t="str">
        <x:v>US Central</x:v>
      </x:c>
      <x:c r="I1382" s="34" t="n">
        <x:v>300</x:v>
      </x:c>
      <x:c r="J1382" s="38" t="n">
        <x:v>4.843799999999999</x:v>
      </x:c>
      <x:c r="K1382" s="38" t="n">
        <x:v>1.3385297999999988</x:v>
      </x:c>
      <x:c r="L1382" s="28" t="n">
        <x:v>0.27633878359965297</x:v>
      </x:c>
    </x:row>
    <x:row r="1383">
      <x:c r="A1383" s="32" t="n">
        <x:v>46174</x:v>
      </x:c>
      <x:c r="B1383" t="str">
        <x:v>Jun 2026</x:v>
      </x:c>
      <x:c r="C1383" t="str">
        <x:v>Forecast</x:v>
      </x:c>
      <x:c r="D1383" t="str">
        <x:v>DB-102</x:v>
      </x:c>
      <x:c r="E1383" t="str">
        <x:v>GlowPatch Balm</x:v>
      </x:c>
      <x:c r="F1383" t="str">
        <x:v>Shopify DTC</x:v>
      </x:c>
      <x:c r="G1383" t="str">
        <x:v>Consumer</x:v>
      </x:c>
      <x:c r="H1383" t="str">
        <x:v>US East</x:v>
      </x:c>
      <x:c r="I1383" s="34" t="n">
        <x:v>400</x:v>
      </x:c>
      <x:c r="J1383" s="38" t="n">
        <x:v>6.458399999999999</x:v>
      </x:c>
      <x:c r="K1383" s="38" t="n">
        <x:v>1.7847063999999984</x:v>
      </x:c>
      <x:c r="L1383" s="28" t="n">
        <x:v>0.27633878359965297</x:v>
      </x:c>
    </x:row>
    <x:row r="1384">
      <x:c r="A1384" s="32" t="n">
        <x:v>46174</x:v>
      </x:c>
      <x:c r="B1384" t="str">
        <x:v>Jun 2026</x:v>
      </x:c>
      <x:c r="C1384" t="str">
        <x:v>Forecast</x:v>
      </x:c>
      <x:c r="D1384" t="str">
        <x:v>DB-102</x:v>
      </x:c>
      <x:c r="E1384" t="str">
        <x:v>GlowPatch Balm</x:v>
      </x:c>
      <x:c r="F1384" t="str">
        <x:v>Shopify DTC</x:v>
      </x:c>
      <x:c r="G1384" t="str">
        <x:v>Consumer</x:v>
      </x:c>
      <x:c r="H1384" t="str">
        <x:v>Canada</x:v>
      </x:c>
      <x:c r="I1384" s="34" t="n">
        <x:v>125</x:v>
      </x:c>
      <x:c r="J1384" s="38" t="n">
        <x:v>2.0182499999999997</x:v>
      </x:c>
      <x:c r="K1384" s="38" t="n">
        <x:v>0.5577207499999995</x:v>
      </x:c>
      <x:c r="L1384" s="28" t="n">
        <x:v>0.27633878359965297</x:v>
      </x:c>
    </x:row>
    <x:row r="1385">
      <x:c r="A1385" s="32" t="n">
        <x:v>46174</x:v>
      </x:c>
      <x:c r="B1385" t="str">
        <x:v>Jun 2026</x:v>
      </x:c>
      <x:c r="C1385" t="str">
        <x:v>Forecast</x:v>
      </x:c>
      <x:c r="D1385" t="str">
        <x:v>DB-102</x:v>
      </x:c>
      <x:c r="E1385" t="str">
        <x:v>GlowPatch Balm</x:v>
      </x:c>
      <x:c r="F1385" t="str">
        <x:v>Amazon Marketplace</x:v>
      </x:c>
      <x:c r="G1385" t="str">
        <x:v>Marketplace Consumer</x:v>
      </x:c>
      <x:c r="H1385" t="str">
        <x:v>US West</x:v>
      </x:c>
      <x:c r="I1385" s="34" t="n">
        <x:v>251.60000000000002</x:v>
      </x:c>
      <x:c r="J1385" s="38" t="n">
        <x:v>4.194801</x:v>
      </x:c>
      <x:c r="K1385" s="38" t="n">
        <x:v>0.3536552499999998</x:v>
      </x:c>
      <x:c r="L1385" s="28" t="n">
        <x:v>0.084307992202729</x:v>
      </x:c>
    </x:row>
    <x:row r="1386">
      <x:c r="A1386" s="32" t="n">
        <x:v>46174</x:v>
      </x:c>
      <x:c r="B1386" t="str">
        <x:v>Jun 2026</x:v>
      </x:c>
      <x:c r="C1386" t="str">
        <x:v>Forecast</x:v>
      </x:c>
      <x:c r="D1386" t="str">
        <x:v>DB-102</x:v>
      </x:c>
      <x:c r="E1386" t="str">
        <x:v>GlowPatch Balm</x:v>
      </x:c>
      <x:c r="F1386" t="str">
        <x:v>Amazon Marketplace</x:v>
      </x:c>
      <x:c r="G1386" t="str">
        <x:v>Marketplace Consumer</x:v>
      </x:c>
      <x:c r="H1386" t="str">
        <x:v>US Central</x:v>
      </x:c>
      <x:c r="I1386" s="34" t="n">
        <x:v>177.6</x:v>
      </x:c>
      <x:c r="J1386" s="38" t="n">
        <x:v>2.961036</x:v>
      </x:c>
      <x:c r="K1386" s="38" t="n">
        <x:v>0.24963899999999986</x:v>
      </x:c>
      <x:c r="L1386" s="28" t="n">
        <x:v>0.084307992202729</x:v>
      </x:c>
    </x:row>
    <x:row r="1387">
      <x:c r="A1387" s="32" t="n">
        <x:v>46174</x:v>
      </x:c>
      <x:c r="B1387" t="str">
        <x:v>Jun 2026</x:v>
      </x:c>
      <x:c r="C1387" t="str">
        <x:v>Forecast</x:v>
      </x:c>
      <x:c r="D1387" t="str">
        <x:v>DB-102</x:v>
      </x:c>
      <x:c r="E1387" t="str">
        <x:v>GlowPatch Balm</x:v>
      </x:c>
      <x:c r="F1387" t="str">
        <x:v>Amazon Marketplace</x:v>
      </x:c>
      <x:c r="G1387" t="str">
        <x:v>Marketplace Consumer</x:v>
      </x:c>
      <x:c r="H1387" t="str">
        <x:v>US East</x:v>
      </x:c>
      <x:c r="I1387" s="34" t="n">
        <x:v>236.8</x:v>
      </x:c>
      <x:c r="J1387" s="38" t="n">
        <x:v>3.948048</x:v>
      </x:c>
      <x:c r="K1387" s="38" t="n">
        <x:v>0.3328519999999998</x:v>
      </x:c>
      <x:c r="L1387" s="28" t="n">
        <x:v>0.084307992202729</x:v>
      </x:c>
    </x:row>
    <x:row r="1388">
      <x:c r="A1388" s="32" t="n">
        <x:v>46174</x:v>
      </x:c>
      <x:c r="B1388" t="str">
        <x:v>Jun 2026</x:v>
      </x:c>
      <x:c r="C1388" t="str">
        <x:v>Forecast</x:v>
      </x:c>
      <x:c r="D1388" t="str">
        <x:v>DB-102</x:v>
      </x:c>
      <x:c r="E1388" t="str">
        <x:v>GlowPatch Balm</x:v>
      </x:c>
      <x:c r="F1388" t="str">
        <x:v>Amazon Marketplace</x:v>
      </x:c>
      <x:c r="G1388" t="str">
        <x:v>Marketplace Consumer</x:v>
      </x:c>
      <x:c r="H1388" t="str">
        <x:v>Canada</x:v>
      </x:c>
      <x:c r="I1388" s="34" t="n">
        <x:v>74</x:v>
      </x:c>
      <x:c r="J1388" s="38" t="n">
        <x:v>1.233765</x:v>
      </x:c>
      <x:c r="K1388" s="38" t="n">
        <x:v>0.10401624999999995</x:v>
      </x:c>
      <x:c r="L1388" s="28" t="n">
        <x:v>0.084307992202729</x:v>
      </x:c>
    </x:row>
    <x:row r="1389">
      <x:c r="A1389" s="32" t="n">
        <x:v>46174</x:v>
      </x:c>
      <x:c r="B1389" t="str">
        <x:v>Jun 2026</x:v>
      </x:c>
      <x:c r="C1389" t="str">
        <x:v>Forecast</x:v>
      </x:c>
      <x:c r="D1389" t="str">
        <x:v>DB-102</x:v>
      </x:c>
      <x:c r="E1389" t="str">
        <x:v>GlowPatch Balm</x:v>
      </x:c>
      <x:c r="F1389" t="str">
        <x:v>Wholesale</x:v>
      </x:c>
      <x:c r="G1389" t="str">
        <x:v>Retailer</x:v>
      </x:c>
      <x:c r="H1389" t="str">
        <x:v>US West</x:v>
      </x:c>
      <x:c r="I1389" s="34" t="n">
        <x:v>69.7</x:v>
      </x:c>
      <x:c r="J1389" s="38" t="n">
        <x:v>0.7951027500000001</x:v>
      </x:c>
      <x:c r="K1389" s="38" t="n">
        <x:v>0.19805255000000005</x:v>
      </x:c>
      <x:c r="L1389" s="28" t="n">
        <x:v>0.2490905106289722</x:v>
      </x:c>
    </x:row>
    <x:row r="1390">
      <x:c r="A1390" s="32" t="n">
        <x:v>46174</x:v>
      </x:c>
      <x:c r="B1390" t="str">
        <x:v>Jun 2026</x:v>
      </x:c>
      <x:c r="C1390" t="str">
        <x:v>Forecast</x:v>
      </x:c>
      <x:c r="D1390" t="str">
        <x:v>DB-102</x:v>
      </x:c>
      <x:c r="E1390" t="str">
        <x:v>GlowPatch Balm</x:v>
      </x:c>
      <x:c r="F1390" t="str">
        <x:v>Wholesale</x:v>
      </x:c>
      <x:c r="G1390" t="str">
        <x:v>Retailer</x:v>
      </x:c>
      <x:c r="H1390" t="str">
        <x:v>US Central</x:v>
      </x:c>
      <x:c r="I1390" s="34" t="n">
        <x:v>49.199999999999996</x:v>
      </x:c>
      <x:c r="J1390" s="38" t="n">
        <x:v>0.561249</x:v>
      </x:c>
      <x:c r="K1390" s="38" t="n">
        <x:v>0.1398018</x:v>
      </x:c>
      <x:c r="L1390" s="28" t="n">
        <x:v>0.24909051062897217</x:v>
      </x:c>
    </x:row>
    <x:row r="1391">
      <x:c r="A1391" s="32" t="n">
        <x:v>46174</x:v>
      </x:c>
      <x:c r="B1391" t="str">
        <x:v>Jun 2026</x:v>
      </x:c>
      <x:c r="C1391" t="str">
        <x:v>Forecast</x:v>
      </x:c>
      <x:c r="D1391" t="str">
        <x:v>DB-102</x:v>
      </x:c>
      <x:c r="E1391" t="str">
        <x:v>GlowPatch Balm</x:v>
      </x:c>
      <x:c r="F1391" t="str">
        <x:v>Wholesale</x:v>
      </x:c>
      <x:c r="G1391" t="str">
        <x:v>Retailer</x:v>
      </x:c>
      <x:c r="H1391" t="str">
        <x:v>US East</x:v>
      </x:c>
      <x:c r="I1391" s="34" t="n">
        <x:v>65.6</x:v>
      </x:c>
      <x:c r="J1391" s="38" t="n">
        <x:v>0.7483320000000001</x:v>
      </x:c>
      <x:c r="K1391" s="38" t="n">
        <x:v>0.18640240000000002</x:v>
      </x:c>
      <x:c r="L1391" s="28" t="n">
        <x:v>0.24909051062897217</x:v>
      </x:c>
    </x:row>
    <x:row r="1392">
      <x:c r="A1392" s="32" t="n">
        <x:v>46174</x:v>
      </x:c>
      <x:c r="B1392" t="str">
        <x:v>Jun 2026</x:v>
      </x:c>
      <x:c r="C1392" t="str">
        <x:v>Forecast</x:v>
      </x:c>
      <x:c r="D1392" t="str">
        <x:v>DB-102</x:v>
      </x:c>
      <x:c r="E1392" t="str">
        <x:v>GlowPatch Balm</x:v>
      </x:c>
      <x:c r="F1392" t="str">
        <x:v>Wholesale</x:v>
      </x:c>
      <x:c r="G1392" t="str">
        <x:v>Retailer</x:v>
      </x:c>
      <x:c r="H1392" t="str">
        <x:v>Canada</x:v>
      </x:c>
      <x:c r="I1392" s="34" t="n">
        <x:v>20.5</x:v>
      </x:c>
      <x:c r="J1392" s="38" t="n">
        <x:v>0.23385375000000003</x:v>
      </x:c>
      <x:c r="K1392" s="38" t="n">
        <x:v>0.05825075000000001</x:v>
      </x:c>
      <x:c r="L1392" s="28" t="n">
        <x:v>0.2490905106289722</x:v>
      </x:c>
    </x:row>
    <x:row r="1393">
      <x:c r="A1393" s="32" t="n">
        <x:v>46174</x:v>
      </x:c>
      <x:c r="B1393" t="str">
        <x:v>Jun 2026</x:v>
      </x:c>
      <x:c r="C1393" t="str">
        <x:v>Forecast</x:v>
      </x:c>
      <x:c r="D1393" t="str">
        <x:v>DB-102</x:v>
      </x:c>
      <x:c r="E1393" t="str">
        <x:v>GlowPatch Balm</x:v>
      </x:c>
      <x:c r="F1393" t="str">
        <x:v>TikTok Shop</x:v>
      </x:c>
      <x:c r="G1393" t="str">
        <x:v>Social Commerce</x:v>
      </x:c>
      <x:c r="H1393" t="str">
        <x:v>US West</x:v>
      </x:c>
      <x:c r="I1393" s="34" t="n">
        <x:v>107.10000000000001</x:v>
      </x:c>
      <x:c r="J1393" s="38" t="n">
        <x:v>1.6540524</x:v>
      </x:c>
      <x:c r="K1393" s="38" t="n">
        <x:v>0.19315313639999998</x:v>
      </x:c>
      <x:c r="L1393" s="28" t="n">
        <x:v>0.11677570577570576</x:v>
      </x:c>
    </x:row>
    <x:row r="1394">
      <x:c r="A1394" s="32" t="n">
        <x:v>46174</x:v>
      </x:c>
      <x:c r="B1394" t="str">
        <x:v>Jun 2026</x:v>
      </x:c>
      <x:c r="C1394" t="str">
        <x:v>Forecast</x:v>
      </x:c>
      <x:c r="D1394" t="str">
        <x:v>DB-102</x:v>
      </x:c>
      <x:c r="E1394" t="str">
        <x:v>GlowPatch Balm</x:v>
      </x:c>
      <x:c r="F1394" t="str">
        <x:v>TikTok Shop</x:v>
      </x:c>
      <x:c r="G1394" t="str">
        <x:v>Social Commerce</x:v>
      </x:c>
      <x:c r="H1394" t="str">
        <x:v>US Central</x:v>
      </x:c>
      <x:c r="I1394" s="34" t="n">
        <x:v>75.6</x:v>
      </x:c>
      <x:c r="J1394" s="38" t="n">
        <x:v>1.1675664</x:v>
      </x:c>
      <x:c r="K1394" s="38" t="n">
        <x:v>0.1363433904</x:v>
      </x:c>
      <x:c r="L1394" s="28" t="n">
        <x:v>0.11677570577570577</x:v>
      </x:c>
    </x:row>
    <x:row r="1395">
      <x:c r="A1395" s="32" t="n">
        <x:v>46174</x:v>
      </x:c>
      <x:c r="B1395" t="str">
        <x:v>Jun 2026</x:v>
      </x:c>
      <x:c r="C1395" t="str">
        <x:v>Forecast</x:v>
      </x:c>
      <x:c r="D1395" t="str">
        <x:v>DB-102</x:v>
      </x:c>
      <x:c r="E1395" t="str">
        <x:v>GlowPatch Balm</x:v>
      </x:c>
      <x:c r="F1395" t="str">
        <x:v>TikTok Shop</x:v>
      </x:c>
      <x:c r="G1395" t="str">
        <x:v>Social Commerce</x:v>
      </x:c>
      <x:c r="H1395" t="str">
        <x:v>US East</x:v>
      </x:c>
      <x:c r="I1395" s="34" t="n">
        <x:v>100.8</x:v>
      </x:c>
      <x:c r="J1395" s="38" t="n">
        <x:v>1.5567552</x:v>
      </x:c>
      <x:c r="K1395" s="38" t="n">
        <x:v>0.18179118719999998</x:v>
      </x:c>
      <x:c r="L1395" s="28" t="n">
        <x:v>0.11677570577570576</x:v>
      </x:c>
    </x:row>
    <x:row r="1396">
      <x:c r="A1396" s="32" t="n">
        <x:v>46174</x:v>
      </x:c>
      <x:c r="B1396" t="str">
        <x:v>Jun 2026</x:v>
      </x:c>
      <x:c r="C1396" t="str">
        <x:v>Forecast</x:v>
      </x:c>
      <x:c r="D1396" t="str">
        <x:v>DB-102</x:v>
      </x:c>
      <x:c r="E1396" t="str">
        <x:v>GlowPatch Balm</x:v>
      </x:c>
      <x:c r="F1396" t="str">
        <x:v>TikTok Shop</x:v>
      </x:c>
      <x:c r="G1396" t="str">
        <x:v>Social Commerce</x:v>
      </x:c>
      <x:c r="H1396" t="str">
        <x:v>Canada</x:v>
      </x:c>
      <x:c r="I1396" s="34" t="n">
        <x:v>31.5</x:v>
      </x:c>
      <x:c r="J1396" s="38" t="n">
        <x:v>0.48648600000000003</x:v>
      </x:c>
      <x:c r="K1396" s="38" t="n">
        <x:v>0.056809745999999994</x:v>
      </x:c>
      <x:c r="L1396" s="28" t="n">
        <x:v>0.11677570577570576</x:v>
      </x:c>
    </x:row>
    <x:row r="1397">
      <x:c r="A1397" s="32" t="n">
        <x:v>46174</x:v>
      </x:c>
      <x:c r="B1397" t="str">
        <x:v>Jun 2026</x:v>
      </x:c>
      <x:c r="C1397" t="str">
        <x:v>Forecast</x:v>
      </x:c>
      <x:c r="D1397" t="str">
        <x:v>DB-103</x:v>
      </x:c>
      <x:c r="E1397" t="str">
        <x:v>EmberTrail Camp Mug</x:v>
      </x:c>
      <x:c r="F1397" t="str">
        <x:v>Shopify DTC</x:v>
      </x:c>
      <x:c r="G1397" t="str">
        <x:v>Consumer</x:v>
      </x:c>
      <x:c r="H1397" t="str">
        <x:v>US West</x:v>
      </x:c>
      <x:c r="I1397" s="34" t="n">
        <x:v>209.10000000000002</x:v>
      </x:c>
      <x:c r="J1397" s="38" t="n">
        <x:v>6.180912360000001</x:v>
      </x:c>
      <x:c r="K1397" s="38" t="n">
        <x:v>1.9187793015600005</x:v>
      </x:c>
      <x:c r="L1397" s="28" t="n">
        <x:v>0.3104362575948254</x:v>
      </x:c>
    </x:row>
    <x:row r="1398">
      <x:c r="A1398" s="32" t="n">
        <x:v>46174</x:v>
      </x:c>
      <x:c r="B1398" t="str">
        <x:v>Jun 2026</x:v>
      </x:c>
      <x:c r="C1398" t="str">
        <x:v>Forecast</x:v>
      </x:c>
      <x:c r="D1398" t="str">
        <x:v>DB-103</x:v>
      </x:c>
      <x:c r="E1398" t="str">
        <x:v>EmberTrail Camp Mug</x:v>
      </x:c>
      <x:c r="F1398" t="str">
        <x:v>Shopify DTC</x:v>
      </x:c>
      <x:c r="G1398" t="str">
        <x:v>Consumer</x:v>
      </x:c>
      <x:c r="H1398" t="str">
        <x:v>US Central</x:v>
      </x:c>
      <x:c r="I1398" s="34" t="n">
        <x:v>147.6</x:v>
      </x:c>
      <x:c r="J1398" s="38" t="n">
        <x:v>4.36299696</x:v>
      </x:c>
      <x:c r="K1398" s="38" t="n">
        <x:v>1.3544324481600003</x:v>
      </x:c>
      <x:c r="L1398" s="28" t="n">
        <x:v>0.3104362575948254</x:v>
      </x:c>
    </x:row>
    <x:row r="1399">
      <x:c r="A1399" s="32" t="n">
        <x:v>46174</x:v>
      </x:c>
      <x:c r="B1399" t="str">
        <x:v>Jun 2026</x:v>
      </x:c>
      <x:c r="C1399" t="str">
        <x:v>Forecast</x:v>
      </x:c>
      <x:c r="D1399" t="str">
        <x:v>DB-103</x:v>
      </x:c>
      <x:c r="E1399" t="str">
        <x:v>EmberTrail Camp Mug</x:v>
      </x:c>
      <x:c r="F1399" t="str">
        <x:v>Shopify DTC</x:v>
      </x:c>
      <x:c r="G1399" t="str">
        <x:v>Consumer</x:v>
      </x:c>
      <x:c r="H1399" t="str">
        <x:v>US East</x:v>
      </x:c>
      <x:c r="I1399" s="34" t="n">
        <x:v>196.8</x:v>
      </x:c>
      <x:c r="J1399" s="38" t="n">
        <x:v>5.81732928</x:v>
      </x:c>
      <x:c r="K1399" s="38" t="n">
        <x:v>1.8059099308800004</x:v>
      </x:c>
      <x:c r="L1399" s="28" t="n">
        <x:v>0.31043625759482546</x:v>
      </x:c>
    </x:row>
    <x:row r="1400">
      <x:c r="A1400" s="32" t="n">
        <x:v>46174</x:v>
      </x:c>
      <x:c r="B1400" t="str">
        <x:v>Jun 2026</x:v>
      </x:c>
      <x:c r="C1400" t="str">
        <x:v>Forecast</x:v>
      </x:c>
      <x:c r="D1400" t="str">
        <x:v>DB-103</x:v>
      </x:c>
      <x:c r="E1400" t="str">
        <x:v>EmberTrail Camp Mug</x:v>
      </x:c>
      <x:c r="F1400" t="str">
        <x:v>Shopify DTC</x:v>
      </x:c>
      <x:c r="G1400" t="str">
        <x:v>Consumer</x:v>
      </x:c>
      <x:c r="H1400" t="str">
        <x:v>Canada</x:v>
      </x:c>
      <x:c r="I1400" s="34" t="n">
        <x:v>61.5</x:v>
      </x:c>
      <x:c r="J1400" s="38" t="n">
        <x:v>1.8179154000000002</x:v>
      </x:c>
      <x:c r="K1400" s="38" t="n">
        <x:v>0.5643468534000001</x:v>
      </x:c>
      <x:c r="L1400" s="28" t="n">
        <x:v>0.3104362575948254</x:v>
      </x:c>
    </x:row>
    <x:row r="1401">
      <x:c r="A1401" s="32" t="n">
        <x:v>46174</x:v>
      </x:c>
      <x:c r="B1401" t="str">
        <x:v>Jun 2026</x:v>
      </x:c>
      <x:c r="C1401" t="str">
        <x:v>Forecast</x:v>
      </x:c>
      <x:c r="D1401" t="str">
        <x:v>DB-103</x:v>
      </x:c>
      <x:c r="E1401" t="str">
        <x:v>EmberTrail Camp Mug</x:v>
      </x:c>
      <x:c r="F1401" t="str">
        <x:v>Amazon Marketplace</x:v>
      </x:c>
      <x:c r="G1401" t="str">
        <x:v>Marketplace Consumer</x:v>
      </x:c>
      <x:c r="H1401" t="str">
        <x:v>US West</x:v>
      </x:c>
      <x:c r="I1401" s="34" t="n">
        <x:v>122.4</x:v>
      </x:c>
      <x:c r="J1401" s="38" t="n">
        <x:v>3.7360764000000004</x:v>
      </x:c>
      <x:c r="K1401" s="38" t="n">
        <x:v>0.5959625399999999</x:v>
      </x:c>
      <x:c r="L1401" s="28" t="n">
        <x:v>0.1595156191131423</x:v>
      </x:c>
    </x:row>
    <x:row r="1402">
      <x:c r="A1402" s="32" t="n">
        <x:v>46174</x:v>
      </x:c>
      <x:c r="B1402" t="str">
        <x:v>Jun 2026</x:v>
      </x:c>
      <x:c r="C1402" t="str">
        <x:v>Forecast</x:v>
      </x:c>
      <x:c r="D1402" t="str">
        <x:v>DB-103</x:v>
      </x:c>
      <x:c r="E1402" t="str">
        <x:v>EmberTrail Camp Mug</x:v>
      </x:c>
      <x:c r="F1402" t="str">
        <x:v>Amazon Marketplace</x:v>
      </x:c>
      <x:c r="G1402" t="str">
        <x:v>Marketplace Consumer</x:v>
      </x:c>
      <x:c r="H1402" t="str">
        <x:v>US Central</x:v>
      </x:c>
      <x:c r="I1402" s="34" t="n">
        <x:v>86.39999999999999</x:v>
      </x:c>
      <x:c r="J1402" s="38" t="n">
        <x:v>2.6372304</x:v>
      </x:c>
      <x:c r="K1402" s="38" t="n">
        <x:v>0.4206794399999999</x:v>
      </x:c>
      <x:c r="L1402" s="28" t="n">
        <x:v>0.1595156191131423</x:v>
      </x:c>
    </x:row>
    <x:row r="1403">
      <x:c r="A1403" s="32" t="n">
        <x:v>46174</x:v>
      </x:c>
      <x:c r="B1403" t="str">
        <x:v>Jun 2026</x:v>
      </x:c>
      <x:c r="C1403" t="str">
        <x:v>Forecast</x:v>
      </x:c>
      <x:c r="D1403" t="str">
        <x:v>DB-103</x:v>
      </x:c>
      <x:c r="E1403" t="str">
        <x:v>EmberTrail Camp Mug</x:v>
      </x:c>
      <x:c r="F1403" t="str">
        <x:v>Amazon Marketplace</x:v>
      </x:c>
      <x:c r="G1403" t="str">
        <x:v>Marketplace Consumer</x:v>
      </x:c>
      <x:c r="H1403" t="str">
        <x:v>US East</x:v>
      </x:c>
      <x:c r="I1403" s="34" t="n">
        <x:v>115.2</x:v>
      </x:c>
      <x:c r="J1403" s="38" t="n">
        <x:v>3.5163072</x:v>
      </x:c>
      <x:c r="K1403" s="38" t="n">
        <x:v>0.5609059199999998</x:v>
      </x:c>
      <x:c r="L1403" s="28" t="n">
        <x:v>0.1595156191131423</x:v>
      </x:c>
    </x:row>
    <x:row r="1404">
      <x:c r="A1404" s="32" t="n">
        <x:v>46174</x:v>
      </x:c>
      <x:c r="B1404" t="str">
        <x:v>Jun 2026</x:v>
      </x:c>
      <x:c r="C1404" t="str">
        <x:v>Forecast</x:v>
      </x:c>
      <x:c r="D1404" t="str">
        <x:v>DB-103</x:v>
      </x:c>
      <x:c r="E1404" t="str">
        <x:v>EmberTrail Camp Mug</x:v>
      </x:c>
      <x:c r="F1404" t="str">
        <x:v>Amazon Marketplace</x:v>
      </x:c>
      <x:c r="G1404" t="str">
        <x:v>Marketplace Consumer</x:v>
      </x:c>
      <x:c r="H1404" t="str">
        <x:v>Canada</x:v>
      </x:c>
      <x:c r="I1404" s="34" t="n">
        <x:v>36</x:v>
      </x:c>
      <x:c r="J1404" s="38" t="n">
        <x:v>1.098846</x:v>
      </x:c>
      <x:c r="K1404" s="38" t="n">
        <x:v>0.17528309999999997</x:v>
      </x:c>
      <x:c r="L1404" s="28" t="n">
        <x:v>0.1595156191131423</x:v>
      </x:c>
    </x:row>
    <x:row r="1405">
      <x:c r="A1405" s="32" t="n">
        <x:v>46174</x:v>
      </x:c>
      <x:c r="B1405" t="str">
        <x:v>Jun 2026</x:v>
      </x:c>
      <x:c r="C1405" t="str">
        <x:v>Forecast</x:v>
      </x:c>
      <x:c r="D1405" t="str">
        <x:v>DB-103</x:v>
      </x:c>
      <x:c r="E1405" t="str">
        <x:v>EmberTrail Camp Mug</x:v>
      </x:c>
      <x:c r="F1405" t="str">
        <x:v>Wholesale</x:v>
      </x:c>
      <x:c r="G1405" t="str">
        <x:v>Retailer</x:v>
      </x:c>
      <x:c r="H1405" t="str">
        <x:v>US West</x:v>
      </x:c>
      <x:c r="I1405" s="34" t="n">
        <x:v>34</x:v>
      </x:c>
      <x:c r="J1405" s="38" t="n">
        <x:v>0.7100730000000002</x:v>
      </x:c>
      <x:c r="K1405" s="38" t="n">
        <x:v>0.13628900000000016</x:v>
      </x:c>
      <x:c r="L1405" s="28" t="n">
        <x:v>0.19193660370130977</x:v>
      </x:c>
    </x:row>
    <x:row r="1406">
      <x:c r="A1406" s="32" t="n">
        <x:v>46174</x:v>
      </x:c>
      <x:c r="B1406" t="str">
        <x:v>Jun 2026</x:v>
      </x:c>
      <x:c r="C1406" t="str">
        <x:v>Forecast</x:v>
      </x:c>
      <x:c r="D1406" t="str">
        <x:v>DB-103</x:v>
      </x:c>
      <x:c r="E1406" t="str">
        <x:v>EmberTrail Camp Mug</x:v>
      </x:c>
      <x:c r="F1406" t="str">
        <x:v>Wholesale</x:v>
      </x:c>
      <x:c r="G1406" t="str">
        <x:v>Retailer</x:v>
      </x:c>
      <x:c r="H1406" t="str">
        <x:v>US Central</x:v>
      </x:c>
      <x:c r="I1406" s="34" t="n">
        <x:v>24</x:v>
      </x:c>
      <x:c r="J1406" s="38" t="n">
        <x:v>0.5012280000000001</x:v>
      </x:c>
      <x:c r="K1406" s="38" t="n">
        <x:v>0.0962040000000001</x:v>
      </x:c>
      <x:c r="L1406" s="28" t="n">
        <x:v>0.19193660370130972</x:v>
      </x:c>
    </x:row>
    <x:row r="1407">
      <x:c r="A1407" s="32" t="n">
        <x:v>46174</x:v>
      </x:c>
      <x:c r="B1407" t="str">
        <x:v>Jun 2026</x:v>
      </x:c>
      <x:c r="C1407" t="str">
        <x:v>Forecast</x:v>
      </x:c>
      <x:c r="D1407" t="str">
        <x:v>DB-103</x:v>
      </x:c>
      <x:c r="E1407" t="str">
        <x:v>EmberTrail Camp Mug</x:v>
      </x:c>
      <x:c r="F1407" t="str">
        <x:v>Wholesale</x:v>
      </x:c>
      <x:c r="G1407" t="str">
        <x:v>Retailer</x:v>
      </x:c>
      <x:c r="H1407" t="str">
        <x:v>US East</x:v>
      </x:c>
      <x:c r="I1407" s="34" t="n">
        <x:v>32</x:v>
      </x:c>
      <x:c r="J1407" s="38" t="n">
        <x:v>0.6683040000000001</x:v>
      </x:c>
      <x:c r="K1407" s="38" t="n">
        <x:v>0.12827200000000014</x:v>
      </x:c>
      <x:c r="L1407" s="28" t="n">
        <x:v>0.19193660370130974</x:v>
      </x:c>
    </x:row>
    <x:row r="1408">
      <x:c r="A1408" s="32" t="n">
        <x:v>46174</x:v>
      </x:c>
      <x:c r="B1408" t="str">
        <x:v>Jun 2026</x:v>
      </x:c>
      <x:c r="C1408" t="str">
        <x:v>Forecast</x:v>
      </x:c>
      <x:c r="D1408" t="str">
        <x:v>DB-103</x:v>
      </x:c>
      <x:c r="E1408" t="str">
        <x:v>EmberTrail Camp Mug</x:v>
      </x:c>
      <x:c r="F1408" t="str">
        <x:v>Wholesale</x:v>
      </x:c>
      <x:c r="G1408" t="str">
        <x:v>Retailer</x:v>
      </x:c>
      <x:c r="H1408" t="str">
        <x:v>Canada</x:v>
      </x:c>
      <x:c r="I1408" s="34" t="n">
        <x:v>10</x:v>
      </x:c>
      <x:c r="J1408" s="38" t="n">
        <x:v>0.20884500000000006</x:v>
      </x:c>
      <x:c r="K1408" s="38" t="n">
        <x:v>0.040085000000000044</x:v>
      </x:c>
      <x:c r="L1408" s="28" t="n">
        <x:v>0.19193660370130974</x:v>
      </x:c>
    </x:row>
    <x:row r="1409">
      <x:c r="A1409" s="32" t="n">
        <x:v>46174</x:v>
      </x:c>
      <x:c r="B1409" t="str">
        <x:v>Jun 2026</x:v>
      </x:c>
      <x:c r="C1409" t="str">
        <x:v>Forecast</x:v>
      </x:c>
      <x:c r="D1409" t="str">
        <x:v>DB-103</x:v>
      </x:c>
      <x:c r="E1409" t="str">
        <x:v>EmberTrail Camp Mug</x:v>
      </x:c>
      <x:c r="F1409" t="str">
        <x:v>TikTok Shop</x:v>
      </x:c>
      <x:c r="G1409" t="str">
        <x:v>Social Commerce</x:v>
      </x:c>
      <x:c r="H1409" t="str">
        <x:v>US West</x:v>
      </x:c>
      <x:c r="I1409" s="34" t="n">
        <x:v>52.7</x:v>
      </x:c>
      <x:c r="J1409" s="38" t="n">
        <x:v>1.4900608800000001</x:v>
      </x:c>
      <x:c r="K1409" s="38" t="n">
        <x:v>0.27309026168000017</x:v>
      </x:c>
      <x:c r="L1409" s="28" t="n">
        <x:v>0.18327456639221354</x:v>
      </x:c>
    </x:row>
    <x:row r="1410">
      <x:c r="A1410" s="32" t="n">
        <x:v>46174</x:v>
      </x:c>
      <x:c r="B1410" t="str">
        <x:v>Jun 2026</x:v>
      </x:c>
      <x:c r="C1410" t="str">
        <x:v>Forecast</x:v>
      </x:c>
      <x:c r="D1410" t="str">
        <x:v>DB-103</x:v>
      </x:c>
      <x:c r="E1410" t="str">
        <x:v>EmberTrail Camp Mug</x:v>
      </x:c>
      <x:c r="F1410" t="str">
        <x:v>TikTok Shop</x:v>
      </x:c>
      <x:c r="G1410" t="str">
        <x:v>Social Commerce</x:v>
      </x:c>
      <x:c r="H1410" t="str">
        <x:v>US Central</x:v>
      </x:c>
      <x:c r="I1410" s="34" t="n">
        <x:v>37.199999999999996</x:v>
      </x:c>
      <x:c r="J1410" s="38" t="n">
        <x:v>1.05180768</x:v>
      </x:c>
      <x:c r="K1410" s="38" t="n">
        <x:v>0.19276959648000008</x:v>
      </x:c>
      <x:c r="L1410" s="28" t="n">
        <x:v>0.18327456639221354</x:v>
      </x:c>
    </x:row>
    <x:row r="1411">
      <x:c r="A1411" s="32" t="n">
        <x:v>46174</x:v>
      </x:c>
      <x:c r="B1411" t="str">
        <x:v>Jun 2026</x:v>
      </x:c>
      <x:c r="C1411" t="str">
        <x:v>Forecast</x:v>
      </x:c>
      <x:c r="D1411" t="str">
        <x:v>DB-103</x:v>
      </x:c>
      <x:c r="E1411" t="str">
        <x:v>EmberTrail Camp Mug</x:v>
      </x:c>
      <x:c r="F1411" t="str">
        <x:v>TikTok Shop</x:v>
      </x:c>
      <x:c r="G1411" t="str">
        <x:v>Social Commerce</x:v>
      </x:c>
      <x:c r="H1411" t="str">
        <x:v>US East</x:v>
      </x:c>
      <x:c r="I1411" s="34" t="n">
        <x:v>49.6</x:v>
      </x:c>
      <x:c r="J1411" s="38" t="n">
        <x:v>1.40241024</x:v>
      </x:c>
      <x:c r="K1411" s="38" t="n">
        <x:v>0.25702612864000013</x:v>
      </x:c>
      <x:c r="L1411" s="28" t="n">
        <x:v>0.18327456639221354</x:v>
      </x:c>
    </x:row>
    <x:row r="1412">
      <x:c r="A1412" s="32" t="n">
        <x:v>46174</x:v>
      </x:c>
      <x:c r="B1412" t="str">
        <x:v>Jun 2026</x:v>
      </x:c>
      <x:c r="C1412" t="str">
        <x:v>Forecast</x:v>
      </x:c>
      <x:c r="D1412" t="str">
        <x:v>DB-103</x:v>
      </x:c>
      <x:c r="E1412" t="str">
        <x:v>EmberTrail Camp Mug</x:v>
      </x:c>
      <x:c r="F1412" t="str">
        <x:v>TikTok Shop</x:v>
      </x:c>
      <x:c r="G1412" t="str">
        <x:v>Social Commerce</x:v>
      </x:c>
      <x:c r="H1412" t="str">
        <x:v>Canada</x:v>
      </x:c>
      <x:c r="I1412" s="34" t="n">
        <x:v>15.5</x:v>
      </x:c>
      <x:c r="J1412" s="38" t="n">
        <x:v>0.43825320000000006</x:v>
      </x:c>
      <x:c r="K1412" s="38" t="n">
        <x:v>0.08032066520000004</x:v>
      </x:c>
      <x:c r="L1412" s="28" t="n">
        <x:v>0.1832745663922135</x:v>
      </x:c>
    </x:row>
    <x:row r="1413">
      <x:c r="A1413" s="32" t="n">
        <x:v>46174</x:v>
      </x:c>
      <x:c r="B1413" t="str">
        <x:v>Jun 2026</x:v>
      </x:c>
      <x:c r="C1413" t="str">
        <x:v>Forecast</x:v>
      </x:c>
      <x:c r="D1413" t="str">
        <x:v>DB-104</x:v>
      </x:c>
      <x:c r="E1413" t="str">
        <x:v>SunNest Cooling Towel</x:v>
      </x:c>
      <x:c r="F1413" t="str">
        <x:v>Shopify DTC</x:v>
      </x:c>
      <x:c r="G1413" t="str">
        <x:v>Consumer</x:v>
      </x:c>
      <x:c r="H1413" t="str">
        <x:v>US West</x:v>
      </x:c>
      <x:c r="I1413" s="34" t="n">
        <x:v>389.3</x:v>
      </x:c>
      <x:c r="J1413" s="38" t="n">
        <x:v>14.290424400000003</x:v>
      </x:c>
      <x:c r="K1413" s="38" t="n">
        <x:v>5.748196692400001</x:v>
      </x:c>
      <x:c r="L1413" s="28" t="n">
        <x:v>0.40224114634412117</x:v>
      </x:c>
    </x:row>
    <x:row r="1414">
      <x:c r="A1414" s="32" t="n">
        <x:v>46174</x:v>
      </x:c>
      <x:c r="B1414" t="str">
        <x:v>Jun 2026</x:v>
      </x:c>
      <x:c r="C1414" t="str">
        <x:v>Forecast</x:v>
      </x:c>
      <x:c r="D1414" t="str">
        <x:v>DB-104</x:v>
      </x:c>
      <x:c r="E1414" t="str">
        <x:v>SunNest Cooling Towel</x:v>
      </x:c>
      <x:c r="F1414" t="str">
        <x:v>Shopify DTC</x:v>
      </x:c>
      <x:c r="G1414" t="str">
        <x:v>Consumer</x:v>
      </x:c>
      <x:c r="H1414" t="str">
        <x:v>US Central</x:v>
      </x:c>
      <x:c r="I1414" s="34" t="n">
        <x:v>274.8</x:v>
      </x:c>
      <x:c r="J1414" s="38" t="n">
        <x:v>10.087358400000001</x:v>
      </x:c>
      <x:c r="K1414" s="38" t="n">
        <x:v>4.0575506064</x:v>
      </x:c>
      <x:c r="L1414" s="28" t="n">
        <x:v>0.40224114634412117</x:v>
      </x:c>
    </x:row>
    <x:row r="1415">
      <x:c r="A1415" s="32" t="n">
        <x:v>46174</x:v>
      </x:c>
      <x:c r="B1415" t="str">
        <x:v>Jun 2026</x:v>
      </x:c>
      <x:c r="C1415" t="str">
        <x:v>Forecast</x:v>
      </x:c>
      <x:c r="D1415" t="str">
        <x:v>DB-104</x:v>
      </x:c>
      <x:c r="E1415" t="str">
        <x:v>SunNest Cooling Towel</x:v>
      </x:c>
      <x:c r="F1415" t="str">
        <x:v>Shopify DTC</x:v>
      </x:c>
      <x:c r="G1415" t="str">
        <x:v>Consumer</x:v>
      </x:c>
      <x:c r="H1415" t="str">
        <x:v>US East</x:v>
      </x:c>
      <x:c r="I1415" s="34" t="n">
        <x:v>366.40000000000003</x:v>
      </x:c>
      <x:c r="J1415" s="38" t="n">
        <x:v>13.449811200000001</x:v>
      </x:c>
      <x:c r="K1415" s="38" t="n">
        <x:v>5.410067475200001</x:v>
      </x:c>
      <x:c r="L1415" s="28" t="n">
        <x:v>0.4022411463441212</x:v>
      </x:c>
    </x:row>
    <x:row r="1416">
      <x:c r="A1416" s="32" t="n">
        <x:v>46174</x:v>
      </x:c>
      <x:c r="B1416" t="str">
        <x:v>Jun 2026</x:v>
      </x:c>
      <x:c r="C1416" t="str">
        <x:v>Forecast</x:v>
      </x:c>
      <x:c r="D1416" t="str">
        <x:v>DB-104</x:v>
      </x:c>
      <x:c r="E1416" t="str">
        <x:v>SunNest Cooling Towel</x:v>
      </x:c>
      <x:c r="F1416" t="str">
        <x:v>Shopify DTC</x:v>
      </x:c>
      <x:c r="G1416" t="str">
        <x:v>Consumer</x:v>
      </x:c>
      <x:c r="H1416" t="str">
        <x:v>Canada</x:v>
      </x:c>
      <x:c r="I1416" s="34" t="n">
        <x:v>114.5</x:v>
      </x:c>
      <x:c r="J1416" s="38" t="n">
        <x:v>4.203066000000001</x:v>
      </x:c>
      <x:c r="K1416" s="38" t="n">
        <x:v>1.6906460860000003</x:v>
      </x:c>
      <x:c r="L1416" s="28" t="n">
        <x:v>0.40224114634412117</x:v>
      </x:c>
    </x:row>
    <x:row r="1417">
      <x:c r="A1417" s="32" t="n">
        <x:v>46174</x:v>
      </x:c>
      <x:c r="B1417" t="str">
        <x:v>Jun 2026</x:v>
      </x:c>
      <x:c r="C1417" t="str">
        <x:v>Forecast</x:v>
      </x:c>
      <x:c r="D1417" t="str">
        <x:v>DB-104</x:v>
      </x:c>
      <x:c r="E1417" t="str">
        <x:v>SunNest Cooling Towel</x:v>
      </x:c>
      <x:c r="F1417" t="str">
        <x:v>Amazon Marketplace</x:v>
      </x:c>
      <x:c r="G1417" t="str">
        <x:v>Marketplace Consumer</x:v>
      </x:c>
      <x:c r="H1417" t="str">
        <x:v>US West</x:v>
      </x:c>
      <x:c r="I1417" s="34" t="n">
        <x:v>229.50000000000003</x:v>
      </x:c>
      <x:c r="J1417" s="38" t="n">
        <x:v>8.6991975</x:v>
      </x:c>
      <x:c r="K1417" s="38" t="n">
        <x:v>2.247091875</x:v>
      </x:c>
      <x:c r="L1417" s="28" t="n">
        <x:v>0.25831024930747926</x:v>
      </x:c>
    </x:row>
    <x:row r="1418">
      <x:c r="A1418" s="32" t="n">
        <x:v>46174</x:v>
      </x:c>
      <x:c r="B1418" t="str">
        <x:v>Jun 2026</x:v>
      </x:c>
      <x:c r="C1418" t="str">
        <x:v>Forecast</x:v>
      </x:c>
      <x:c r="D1418" t="str">
        <x:v>DB-104</x:v>
      </x:c>
      <x:c r="E1418" t="str">
        <x:v>SunNest Cooling Towel</x:v>
      </x:c>
      <x:c r="F1418" t="str">
        <x:v>Amazon Marketplace</x:v>
      </x:c>
      <x:c r="G1418" t="str">
        <x:v>Marketplace Consumer</x:v>
      </x:c>
      <x:c r="H1418" t="str">
        <x:v>US Central</x:v>
      </x:c>
      <x:c r="I1418" s="34" t="n">
        <x:v>162</x:v>
      </x:c>
      <x:c r="J1418" s="38" t="n">
        <x:v>6.14061</x:v>
      </x:c>
      <x:c r="K1418" s="38" t="n">
        <x:v>1.5861824999999998</x:v>
      </x:c>
      <x:c r="L1418" s="28" t="n">
        <x:v>0.2583102493074792</x:v>
      </x:c>
    </x:row>
    <x:row r="1419">
      <x:c r="A1419" s="32" t="n">
        <x:v>46174</x:v>
      </x:c>
      <x:c r="B1419" t="str">
        <x:v>Jun 2026</x:v>
      </x:c>
      <x:c r="C1419" t="str">
        <x:v>Forecast</x:v>
      </x:c>
      <x:c r="D1419" t="str">
        <x:v>DB-104</x:v>
      </x:c>
      <x:c r="E1419" t="str">
        <x:v>SunNest Cooling Towel</x:v>
      </x:c>
      <x:c r="F1419" t="str">
        <x:v>Amazon Marketplace</x:v>
      </x:c>
      <x:c r="G1419" t="str">
        <x:v>Marketplace Consumer</x:v>
      </x:c>
      <x:c r="H1419" t="str">
        <x:v>US East</x:v>
      </x:c>
      <x:c r="I1419" s="34" t="n">
        <x:v>216</x:v>
      </x:c>
      <x:c r="J1419" s="38" t="n">
        <x:v>8.187479999999999</x:v>
      </x:c>
      <x:c r="K1419" s="38" t="n">
        <x:v>2.11491</x:v>
      </x:c>
      <x:c r="L1419" s="28" t="n">
        <x:v>0.25831024930747926</x:v>
      </x:c>
    </x:row>
    <x:row r="1420">
      <x:c r="A1420" s="32" t="n">
        <x:v>46174</x:v>
      </x:c>
      <x:c r="B1420" t="str">
        <x:v>Jun 2026</x:v>
      </x:c>
      <x:c r="C1420" t="str">
        <x:v>Forecast</x:v>
      </x:c>
      <x:c r="D1420" t="str">
        <x:v>DB-104</x:v>
      </x:c>
      <x:c r="E1420" t="str">
        <x:v>SunNest Cooling Towel</x:v>
      </x:c>
      <x:c r="F1420" t="str">
        <x:v>Amazon Marketplace</x:v>
      </x:c>
      <x:c r="G1420" t="str">
        <x:v>Marketplace Consumer</x:v>
      </x:c>
      <x:c r="H1420" t="str">
        <x:v>Canada</x:v>
      </x:c>
      <x:c r="I1420" s="34" t="n">
        <x:v>67.5</x:v>
      </x:c>
      <x:c r="J1420" s="38" t="n">
        <x:v>2.5585875</x:v>
      </x:c>
      <x:c r="K1420" s="38" t="n">
        <x:v>0.660909375</x:v>
      </x:c>
      <x:c r="L1420" s="28" t="n">
        <x:v>0.25831024930747926</x:v>
      </x:c>
    </x:row>
    <x:row r="1421">
      <x:c r="A1421" s="32" t="n">
        <x:v>46174</x:v>
      </x:c>
      <x:c r="B1421" t="str">
        <x:v>Jun 2026</x:v>
      </x:c>
      <x:c r="C1421" t="str">
        <x:v>Forecast</x:v>
      </x:c>
      <x:c r="D1421" t="str">
        <x:v>DB-104</x:v>
      </x:c>
      <x:c r="E1421" t="str">
        <x:v>SunNest Cooling Towel</x:v>
      </x:c>
      <x:c r="F1421" t="str">
        <x:v>Wholesale</x:v>
      </x:c>
      <x:c r="G1421" t="str">
        <x:v>Retailer</x:v>
      </x:c>
      <x:c r="H1421" t="str">
        <x:v>US West</x:v>
      </x:c>
      <x:c r="I1421" s="34" t="n">
        <x:v>64.60000000000001</x:v>
      </x:c>
      <x:c r="J1421" s="38" t="n">
        <x:v>1.6754010000000004</x:v>
      </x:c>
      <x:c r="K1421" s="38" t="n">
        <x:v>0.4978722000000003</x:v>
      </x:c>
      <x:c r="L1421" s="28" t="n">
        <x:v>0.29716599190283416</x:v>
      </x:c>
    </x:row>
    <x:row r="1422">
      <x:c r="A1422" s="32" t="n">
        <x:v>46174</x:v>
      </x:c>
      <x:c r="B1422" t="str">
        <x:v>Jun 2026</x:v>
      </x:c>
      <x:c r="C1422" t="str">
        <x:v>Forecast</x:v>
      </x:c>
      <x:c r="D1422" t="str">
        <x:v>DB-104</x:v>
      </x:c>
      <x:c r="E1422" t="str">
        <x:v>SunNest Cooling Towel</x:v>
      </x:c>
      <x:c r="F1422" t="str">
        <x:v>Wholesale</x:v>
      </x:c>
      <x:c r="G1422" t="str">
        <x:v>Retailer</x:v>
      </x:c>
      <x:c r="H1422" t="str">
        <x:v>US Central</x:v>
      </x:c>
      <x:c r="I1422" s="34" t="n">
        <x:v>45.6</x:v>
      </x:c>
      <x:c r="J1422" s="38" t="n">
        <x:v>1.1826360000000002</x:v>
      </x:c>
      <x:c r="K1422" s="38" t="n">
        <x:v>0.3514392000000002</x:v>
      </x:c>
      <x:c r="L1422" s="28" t="n">
        <x:v>0.2971659919028341</x:v>
      </x:c>
    </x:row>
    <x:row r="1423">
      <x:c r="A1423" s="32" t="n">
        <x:v>46174</x:v>
      </x:c>
      <x:c r="B1423" t="str">
        <x:v>Jun 2026</x:v>
      </x:c>
      <x:c r="C1423" t="str">
        <x:v>Forecast</x:v>
      </x:c>
      <x:c r="D1423" t="str">
        <x:v>DB-104</x:v>
      </x:c>
      <x:c r="E1423" t="str">
        <x:v>SunNest Cooling Towel</x:v>
      </x:c>
      <x:c r="F1423" t="str">
        <x:v>Wholesale</x:v>
      </x:c>
      <x:c r="G1423" t="str">
        <x:v>Retailer</x:v>
      </x:c>
      <x:c r="H1423" t="str">
        <x:v>US East</x:v>
      </x:c>
      <x:c r="I1423" s="34" t="n">
        <x:v>60.800000000000004</x:v>
      </x:c>
      <x:c r="J1423" s="38" t="n">
        <x:v>1.5768480000000002</x:v>
      </x:c>
      <x:c r="K1423" s="38" t="n">
        <x:v>0.46858560000000027</x:v>
      </x:c>
      <x:c r="L1423" s="28" t="n">
        <x:v>0.29716599190283416</x:v>
      </x:c>
    </x:row>
    <x:row r="1424">
      <x:c r="A1424" s="32" t="n">
        <x:v>46174</x:v>
      </x:c>
      <x:c r="B1424" t="str">
        <x:v>Jun 2026</x:v>
      </x:c>
      <x:c r="C1424" t="str">
        <x:v>Forecast</x:v>
      </x:c>
      <x:c r="D1424" t="str">
        <x:v>DB-104</x:v>
      </x:c>
      <x:c r="E1424" t="str">
        <x:v>SunNest Cooling Towel</x:v>
      </x:c>
      <x:c r="F1424" t="str">
        <x:v>Wholesale</x:v>
      </x:c>
      <x:c r="G1424" t="str">
        <x:v>Retailer</x:v>
      </x:c>
      <x:c r="H1424" t="str">
        <x:v>Canada</x:v>
      </x:c>
      <x:c r="I1424" s="34" t="n">
        <x:v>19</x:v>
      </x:c>
      <x:c r="J1424" s="38" t="n">
        <x:v>0.4927650000000001</x:v>
      </x:c>
      <x:c r="K1424" s="38" t="n">
        <x:v>0.1464330000000001</x:v>
      </x:c>
      <x:c r="L1424" s="28" t="n">
        <x:v>0.2971659919028341</x:v>
      </x:c>
    </x:row>
    <x:row r="1425">
      <x:c r="A1425" s="32" t="n">
        <x:v>46174</x:v>
      </x:c>
      <x:c r="B1425" t="str">
        <x:v>Jun 2026</x:v>
      </x:c>
      <x:c r="C1425" t="str">
        <x:v>Forecast</x:v>
      </x:c>
      <x:c r="D1425" t="str">
        <x:v>DB-104</x:v>
      </x:c>
      <x:c r="E1425" t="str">
        <x:v>SunNest Cooling Towel</x:v>
      </x:c>
      <x:c r="F1425" t="str">
        <x:v>TikTok Shop</x:v>
      </x:c>
      <x:c r="G1425" t="str">
        <x:v>Social Commerce</x:v>
      </x:c>
      <x:c r="H1425" t="str">
        <x:v>US West</x:v>
      </x:c>
      <x:c r="I1425" s="34" t="n">
        <x:v>98.60000000000001</x:v>
      </x:c>
      <x:c r="J1425" s="38" t="n">
        <x:v>3.4620431999999997</x:v>
      </x:c>
      <x:c r="K1425" s="38" t="n">
        <x:v>0.9918205551999995</x:v>
      </x:c>
      <x:c r="L1425" s="28" t="n">
        <x:v>0.28648416495784906</x:v>
      </x:c>
    </x:row>
    <x:row r="1426">
      <x:c r="A1426" s="32" t="n">
        <x:v>46174</x:v>
      </x:c>
      <x:c r="B1426" t="str">
        <x:v>Jun 2026</x:v>
      </x:c>
      <x:c r="C1426" t="str">
        <x:v>Forecast</x:v>
      </x:c>
      <x:c r="D1426" t="str">
        <x:v>DB-104</x:v>
      </x:c>
      <x:c r="E1426" t="str">
        <x:v>SunNest Cooling Towel</x:v>
      </x:c>
      <x:c r="F1426" t="str">
        <x:v>TikTok Shop</x:v>
      </x:c>
      <x:c r="G1426" t="str">
        <x:v>Social Commerce</x:v>
      </x:c>
      <x:c r="H1426" t="str">
        <x:v>US Central</x:v>
      </x:c>
      <x:c r="I1426" s="34" t="n">
        <x:v>69.6</x:v>
      </x:c>
      <x:c r="J1426" s="38" t="n">
        <x:v>2.4437951999999994</x:v>
      </x:c>
      <x:c r="K1426" s="38" t="n">
        <x:v>0.7001086271999996</x:v>
      </x:c>
      <x:c r="L1426" s="28" t="n">
        <x:v>0.28648416495784906</x:v>
      </x:c>
    </x:row>
    <x:row r="1427">
      <x:c r="A1427" s="32" t="n">
        <x:v>46174</x:v>
      </x:c>
      <x:c r="B1427" t="str">
        <x:v>Jun 2026</x:v>
      </x:c>
      <x:c r="C1427" t="str">
        <x:v>Forecast</x:v>
      </x:c>
      <x:c r="D1427" t="str">
        <x:v>DB-104</x:v>
      </x:c>
      <x:c r="E1427" t="str">
        <x:v>SunNest Cooling Towel</x:v>
      </x:c>
      <x:c r="F1427" t="str">
        <x:v>TikTok Shop</x:v>
      </x:c>
      <x:c r="G1427" t="str">
        <x:v>Social Commerce</x:v>
      </x:c>
      <x:c r="H1427" t="str">
        <x:v>US East</x:v>
      </x:c>
      <x:c r="I1427" s="34" t="n">
        <x:v>92.8</x:v>
      </x:c>
      <x:c r="J1427" s="38" t="n">
        <x:v>3.2583935999999993</x:v>
      </x:c>
      <x:c r="K1427" s="38" t="n">
        <x:v>0.9334781695999995</x:v>
      </x:c>
      <x:c r="L1427" s="28" t="n">
        <x:v>0.28648416495784906</x:v>
      </x:c>
    </x:row>
    <x:row r="1428">
      <x:c r="A1428" s="32" t="n">
        <x:v>46174</x:v>
      </x:c>
      <x:c r="B1428" t="str">
        <x:v>Jun 2026</x:v>
      </x:c>
      <x:c r="C1428" t="str">
        <x:v>Forecast</x:v>
      </x:c>
      <x:c r="D1428" t="str">
        <x:v>DB-104</x:v>
      </x:c>
      <x:c r="E1428" t="str">
        <x:v>SunNest Cooling Towel</x:v>
      </x:c>
      <x:c r="F1428" t="str">
        <x:v>TikTok Shop</x:v>
      </x:c>
      <x:c r="G1428" t="str">
        <x:v>Social Commerce</x:v>
      </x:c>
      <x:c r="H1428" t="str">
        <x:v>Canada</x:v>
      </x:c>
      <x:c r="I1428" s="34" t="n">
        <x:v>29</x:v>
      </x:c>
      <x:c r="J1428" s="38" t="n">
        <x:v>1.0182479999999998</x:v>
      </x:c>
      <x:c r="K1428" s="38" t="n">
        <x:v>0.29171192799999984</x:v>
      </x:c>
      <x:c r="L1428" s="28" t="n">
        <x:v>0.28648416495784906</x:v>
      </x:c>
    </x:row>
    <x:row r="1429">
      <x:c r="A1429" s="32" t="n">
        <x:v>46174</x:v>
      </x:c>
      <x:c r="B1429" t="str">
        <x:v>Jun 2026</x:v>
      </x:c>
      <x:c r="C1429" t="str">
        <x:v>Forecast</x:v>
      </x:c>
      <x:c r="D1429" t="str">
        <x:v>DB-105</x:v>
      </x:c>
      <x:c r="E1429" t="str">
        <x:v>DreamFuel Refill Pack</x:v>
      </x:c>
      <x:c r="F1429" t="str">
        <x:v>Shopify DTC</x:v>
      </x:c>
      <x:c r="G1429" t="str">
        <x:v>Consumer</x:v>
      </x:c>
      <x:c r="H1429" t="str">
        <x:v>US West</x:v>
      </x:c>
      <x:c r="I1429" s="34" t="n">
        <x:v>333.20000000000005</x:v>
      </x:c>
      <x:c r="J1429" s="38" t="n">
        <x:v>16.823134720000002</x:v>
      </x:c>
      <x:c r="K1429" s="38" t="n">
        <x:v>8.19732029312</x:v>
      </x:c>
      <x:c r="L1429" s="28" t="n">
        <x:v>0.48726473570794776</x:v>
      </x:c>
    </x:row>
    <x:row r="1430">
      <x:c r="A1430" s="32" t="n">
        <x:v>46174</x:v>
      </x:c>
      <x:c r="B1430" t="str">
        <x:v>Jun 2026</x:v>
      </x:c>
      <x:c r="C1430" t="str">
        <x:v>Forecast</x:v>
      </x:c>
      <x:c r="D1430" t="str">
        <x:v>DB-105</x:v>
      </x:c>
      <x:c r="E1430" t="str">
        <x:v>DreamFuel Refill Pack</x:v>
      </x:c>
      <x:c r="F1430" t="str">
        <x:v>Shopify DTC</x:v>
      </x:c>
      <x:c r="G1430" t="str">
        <x:v>Consumer</x:v>
      </x:c>
      <x:c r="H1430" t="str">
        <x:v>US Central</x:v>
      </x:c>
      <x:c r="I1430" s="34" t="n">
        <x:v>235.2</x:v>
      </x:c>
      <x:c r="J1430" s="38" t="n">
        <x:v>11.875153919999999</x:v>
      </x:c>
      <x:c r="K1430" s="38" t="n">
        <x:v>5.78634373632</x:v>
      </x:c>
      <x:c r="L1430" s="28" t="n">
        <x:v>0.4872647357079478</x:v>
      </x:c>
    </x:row>
    <x:row r="1431">
      <x:c r="A1431" s="32" t="n">
        <x:v>46174</x:v>
      </x:c>
      <x:c r="B1431" t="str">
        <x:v>Jun 2026</x:v>
      </x:c>
      <x:c r="C1431" t="str">
        <x:v>Forecast</x:v>
      </x:c>
      <x:c r="D1431" t="str">
        <x:v>DB-105</x:v>
      </x:c>
      <x:c r="E1431" t="str">
        <x:v>DreamFuel Refill Pack</x:v>
      </x:c>
      <x:c r="F1431" t="str">
        <x:v>Shopify DTC</x:v>
      </x:c>
      <x:c r="G1431" t="str">
        <x:v>Consumer</x:v>
      </x:c>
      <x:c r="H1431" t="str">
        <x:v>US East</x:v>
      </x:c>
      <x:c r="I1431" s="34" t="n">
        <x:v>313.6</x:v>
      </x:c>
      <x:c r="J1431" s="38" t="n">
        <x:v>15.83353856</x:v>
      </x:c>
      <x:c r="K1431" s="38" t="n">
        <x:v>7.71512498176</x:v>
      </x:c>
      <x:c r="L1431" s="28" t="n">
        <x:v>0.4872647357079478</x:v>
      </x:c>
    </x:row>
    <x:row r="1432">
      <x:c r="A1432" s="32" t="n">
        <x:v>46174</x:v>
      </x:c>
      <x:c r="B1432" t="str">
        <x:v>Jun 2026</x:v>
      </x:c>
      <x:c r="C1432" t="str">
        <x:v>Forecast</x:v>
      </x:c>
      <x:c r="D1432" t="str">
        <x:v>DB-105</x:v>
      </x:c>
      <x:c r="E1432" t="str">
        <x:v>DreamFuel Refill Pack</x:v>
      </x:c>
      <x:c r="F1432" t="str">
        <x:v>Shopify DTC</x:v>
      </x:c>
      <x:c r="G1432" t="str">
        <x:v>Consumer</x:v>
      </x:c>
      <x:c r="H1432" t="str">
        <x:v>Canada</x:v>
      </x:c>
      <x:c r="I1432" s="34" t="n">
        <x:v>98</x:v>
      </x:c>
      <x:c r="J1432" s="38" t="n">
        <x:v>4.9479808</x:v>
      </x:c>
      <x:c r="K1432" s="38" t="n">
        <x:v>2.4109765568</x:v>
      </x:c>
      <x:c r="L1432" s="28" t="n">
        <x:v>0.4872647357079478</x:v>
      </x:c>
    </x:row>
    <x:row r="1433">
      <x:c r="A1433" s="32" t="n">
        <x:v>46174</x:v>
      </x:c>
      <x:c r="B1433" t="str">
        <x:v>Jun 2026</x:v>
      </x:c>
      <x:c r="C1433" t="str">
        <x:v>Forecast</x:v>
      </x:c>
      <x:c r="D1433" t="str">
        <x:v>DB-105</x:v>
      </x:c>
      <x:c r="E1433" t="str">
        <x:v>DreamFuel Refill Pack</x:v>
      </x:c>
      <x:c r="F1433" t="str">
        <x:v>Amazon Marketplace</x:v>
      </x:c>
      <x:c r="G1433" t="str">
        <x:v>Marketplace Consumer</x:v>
      </x:c>
      <x:c r="H1433" t="str">
        <x:v>US West</x:v>
      </x:c>
      <x:c r="I1433" s="34" t="n">
        <x:v>197.20000000000002</x:v>
      </x:c>
      <x:c r="J1433" s="38" t="n">
        <x:v>10.2812192</x:v>
      </x:c>
      <x:c r="K1433" s="38" t="n">
        <x:v>3.617042400000001</x:v>
      </x:c>
      <x:c r="L1433" s="28" t="n">
        <x:v>0.3518106490716588</x:v>
      </x:c>
    </x:row>
    <x:row r="1434">
      <x:c r="A1434" s="32" t="n">
        <x:v>46174</x:v>
      </x:c>
      <x:c r="B1434" t="str">
        <x:v>Jun 2026</x:v>
      </x:c>
      <x:c r="C1434" t="str">
        <x:v>Forecast</x:v>
      </x:c>
      <x:c r="D1434" t="str">
        <x:v>DB-105</x:v>
      </x:c>
      <x:c r="E1434" t="str">
        <x:v>DreamFuel Refill Pack</x:v>
      </x:c>
      <x:c r="F1434" t="str">
        <x:v>Amazon Marketplace</x:v>
      </x:c>
      <x:c r="G1434" t="str">
        <x:v>Marketplace Consumer</x:v>
      </x:c>
      <x:c r="H1434" t="str">
        <x:v>US Central</x:v>
      </x:c>
      <x:c r="I1434" s="34" t="n">
        <x:v>139.2</x:v>
      </x:c>
      <x:c r="J1434" s="38" t="n">
        <x:v>7.2573312</x:v>
      </x:c>
      <x:c r="K1434" s="38" t="n">
        <x:v>2.5532064000000005</x:v>
      </x:c>
      <x:c r="L1434" s="28" t="n">
        <x:v>0.3518106490716588</x:v>
      </x:c>
    </x:row>
    <x:row r="1435">
      <x:c r="A1435" s="32" t="n">
        <x:v>46174</x:v>
      </x:c>
      <x:c r="B1435" t="str">
        <x:v>Jun 2026</x:v>
      </x:c>
      <x:c r="C1435" t="str">
        <x:v>Forecast</x:v>
      </x:c>
      <x:c r="D1435" t="str">
        <x:v>DB-105</x:v>
      </x:c>
      <x:c r="E1435" t="str">
        <x:v>DreamFuel Refill Pack</x:v>
      </x:c>
      <x:c r="F1435" t="str">
        <x:v>Amazon Marketplace</x:v>
      </x:c>
      <x:c r="G1435" t="str">
        <x:v>Marketplace Consumer</x:v>
      </x:c>
      <x:c r="H1435" t="str">
        <x:v>US East</x:v>
      </x:c>
      <x:c r="I1435" s="34" t="n">
        <x:v>185.6</x:v>
      </x:c>
      <x:c r="J1435" s="38" t="n">
        <x:v>9.6764416</x:v>
      </x:c>
      <x:c r="K1435" s="38" t="n">
        <x:v>3.4042752000000007</x:v>
      </x:c>
      <x:c r="L1435" s="28" t="n">
        <x:v>0.3518106490716588</x:v>
      </x:c>
    </x:row>
    <x:row r="1436">
      <x:c r="A1436" s="32" t="n">
        <x:v>46174</x:v>
      </x:c>
      <x:c r="B1436" t="str">
        <x:v>Jun 2026</x:v>
      </x:c>
      <x:c r="C1436" t="str">
        <x:v>Forecast</x:v>
      </x:c>
      <x:c r="D1436" t="str">
        <x:v>DB-105</x:v>
      </x:c>
      <x:c r="E1436" t="str">
        <x:v>DreamFuel Refill Pack</x:v>
      </x:c>
      <x:c r="F1436" t="str">
        <x:v>Amazon Marketplace</x:v>
      </x:c>
      <x:c r="G1436" t="str">
        <x:v>Marketplace Consumer</x:v>
      </x:c>
      <x:c r="H1436" t="str">
        <x:v>Canada</x:v>
      </x:c>
      <x:c r="I1436" s="34" t="n">
        <x:v>58</x:v>
      </x:c>
      <x:c r="J1436" s="38" t="n">
        <x:v>3.0238880000000004</x:v>
      </x:c>
      <x:c r="K1436" s="38" t="n">
        <x:v>1.0638360000000002</x:v>
      </x:c>
      <x:c r="L1436" s="28" t="n">
        <x:v>0.35181064907165877</x:v>
      </x:c>
    </x:row>
    <x:row r="1437">
      <x:c r="A1437" s="32" t="n">
        <x:v>46174</x:v>
      </x:c>
      <x:c r="B1437" t="str">
        <x:v>Jun 2026</x:v>
      </x:c>
      <x:c r="C1437" t="str">
        <x:v>Forecast</x:v>
      </x:c>
      <x:c r="D1437" t="str">
        <x:v>DB-105</x:v>
      </x:c>
      <x:c r="E1437" t="str">
        <x:v>DreamFuel Refill Pack</x:v>
      </x:c>
      <x:c r="F1437" t="str">
        <x:v>Wholesale</x:v>
      </x:c>
      <x:c r="G1437" t="str">
        <x:v>Retailer</x:v>
      </x:c>
      <x:c r="H1437" t="str">
        <x:v>US West</x:v>
      </x:c>
      <x:c r="I1437" s="34" t="n">
        <x:v>54.400000000000006</x:v>
      </x:c>
      <x:c r="J1437" s="38" t="n">
        <x:v>1.9405568000000004</x:v>
      </x:c>
      <x:c r="K1437" s="38" t="n">
        <x:v>0.7560729600000002</x:v>
      </x:c>
      <x:c r="L1437" s="28" t="n">
        <x:v>0.3896165059430366</x:v>
      </x:c>
    </x:row>
    <x:row r="1438">
      <x:c r="A1438" s="32" t="n">
        <x:v>46174</x:v>
      </x:c>
      <x:c r="B1438" t="str">
        <x:v>Jun 2026</x:v>
      </x:c>
      <x:c r="C1438" t="str">
        <x:v>Forecast</x:v>
      </x:c>
      <x:c r="D1438" t="str">
        <x:v>DB-105</x:v>
      </x:c>
      <x:c r="E1438" t="str">
        <x:v>DreamFuel Refill Pack</x:v>
      </x:c>
      <x:c r="F1438" t="str">
        <x:v>Wholesale</x:v>
      </x:c>
      <x:c r="G1438" t="str">
        <x:v>Retailer</x:v>
      </x:c>
      <x:c r="H1438" t="str">
        <x:v>US Central</x:v>
      </x:c>
      <x:c r="I1438" s="34" t="n">
        <x:v>38.4</x:v>
      </x:c>
      <x:c r="J1438" s="38" t="n">
        <x:v>1.3698048</x:v>
      </x:c>
      <x:c r="K1438" s="38" t="n">
        <x:v>0.53369856</x:v>
      </x:c>
      <x:c r="L1438" s="28" t="n">
        <x:v>0.3896165059430366</x:v>
      </x:c>
    </x:row>
    <x:row r="1439">
      <x:c r="A1439" s="32" t="n">
        <x:v>46174</x:v>
      </x:c>
      <x:c r="B1439" t="str">
        <x:v>Jun 2026</x:v>
      </x:c>
      <x:c r="C1439" t="str">
        <x:v>Forecast</x:v>
      </x:c>
      <x:c r="D1439" t="str">
        <x:v>DB-105</x:v>
      </x:c>
      <x:c r="E1439" t="str">
        <x:v>DreamFuel Refill Pack</x:v>
      </x:c>
      <x:c r="F1439" t="str">
        <x:v>Wholesale</x:v>
      </x:c>
      <x:c r="G1439" t="str">
        <x:v>Retailer</x:v>
      </x:c>
      <x:c r="H1439" t="str">
        <x:v>US East</x:v>
      </x:c>
      <x:c r="I1439" s="34" t="n">
        <x:v>51.2</x:v>
      </x:c>
      <x:c r="J1439" s="38" t="n">
        <x:v>1.8264064000000002</x:v>
      </x:c>
      <x:c r="K1439" s="38" t="n">
        <x:v>0.7115980800000001</x:v>
      </x:c>
      <x:c r="L1439" s="28" t="n">
        <x:v>0.3896165059430366</x:v>
      </x:c>
    </x:row>
    <x:row r="1440">
      <x:c r="A1440" s="32" t="n">
        <x:v>46174</x:v>
      </x:c>
      <x:c r="B1440" t="str">
        <x:v>Jun 2026</x:v>
      </x:c>
      <x:c r="C1440" t="str">
        <x:v>Forecast</x:v>
      </x:c>
      <x:c r="D1440" t="str">
        <x:v>DB-105</x:v>
      </x:c>
      <x:c r="E1440" t="str">
        <x:v>DreamFuel Refill Pack</x:v>
      </x:c>
      <x:c r="F1440" t="str">
        <x:v>Wholesale</x:v>
      </x:c>
      <x:c r="G1440" t="str">
        <x:v>Retailer</x:v>
      </x:c>
      <x:c r="H1440" t="str">
        <x:v>Canada</x:v>
      </x:c>
      <x:c r="I1440" s="34" t="n">
        <x:v>16</x:v>
      </x:c>
      <x:c r="J1440" s="38" t="n">
        <x:v>0.570752</x:v>
      </x:c>
      <x:c r="K1440" s="38" t="n">
        <x:v>0.22237440000000006</x:v>
      </x:c>
      <x:c r="L1440" s="28" t="n">
        <x:v>0.38961650594303665</x:v>
      </x:c>
    </x:row>
    <x:row r="1441">
      <x:c r="A1441" s="32" t="n">
        <x:v>46174</x:v>
      </x:c>
      <x:c r="B1441" t="str">
        <x:v>Jun 2026</x:v>
      </x:c>
      <x:c r="C1441" t="str">
        <x:v>Forecast</x:v>
      </x:c>
      <x:c r="D1441" t="str">
        <x:v>DB-105</x:v>
      </x:c>
      <x:c r="E1441" t="str">
        <x:v>DreamFuel Refill Pack</x:v>
      </x:c>
      <x:c r="F1441" t="str">
        <x:v>TikTok Shop</x:v>
      </x:c>
      <x:c r="G1441" t="str">
        <x:v>Social Commerce</x:v>
      </x:c>
      <x:c r="H1441" t="str">
        <x:v>US West</x:v>
      </x:c>
      <x:c r="I1441" s="34" t="n">
        <x:v>83.30000000000001</x:v>
      </x:c>
      <x:c r="J1441" s="38" t="n">
        <x:v>4.02292352</x:v>
      </x:c>
      <x:c r="K1441" s="38" t="n">
        <x:v>1.5429324467200003</x:v>
      </x:c>
      <x:c r="L1441" s="28" t="n">
        <x:v>0.38353511794328127</x:v>
      </x:c>
    </x:row>
    <x:row r="1442">
      <x:c r="A1442" s="32" t="n">
        <x:v>46174</x:v>
      </x:c>
      <x:c r="B1442" t="str">
        <x:v>Jun 2026</x:v>
      </x:c>
      <x:c r="C1442" t="str">
        <x:v>Forecast</x:v>
      </x:c>
      <x:c r="D1442" t="str">
        <x:v>DB-105</x:v>
      </x:c>
      <x:c r="E1442" t="str">
        <x:v>DreamFuel Refill Pack</x:v>
      </x:c>
      <x:c r="F1442" t="str">
        <x:v>TikTok Shop</x:v>
      </x:c>
      <x:c r="G1442" t="str">
        <x:v>Social Commerce</x:v>
      </x:c>
      <x:c r="H1442" t="str">
        <x:v>US Central</x:v>
      </x:c>
      <x:c r="I1442" s="34" t="n">
        <x:v>58.8</x:v>
      </x:c>
      <x:c r="J1442" s="38" t="n">
        <x:v>2.83971072</x:v>
      </x:c>
      <x:c r="K1442" s="38" t="n">
        <x:v>1.08912878592</x:v>
      </x:c>
      <x:c r="L1442" s="28" t="n">
        <x:v>0.38353511794328127</x:v>
      </x:c>
    </x:row>
    <x:row r="1443">
      <x:c r="A1443" s="32" t="n">
        <x:v>46174</x:v>
      </x:c>
      <x:c r="B1443" t="str">
        <x:v>Jun 2026</x:v>
      </x:c>
      <x:c r="C1443" t="str">
        <x:v>Forecast</x:v>
      </x:c>
      <x:c r="D1443" t="str">
        <x:v>DB-105</x:v>
      </x:c>
      <x:c r="E1443" t="str">
        <x:v>DreamFuel Refill Pack</x:v>
      </x:c>
      <x:c r="F1443" t="str">
        <x:v>TikTok Shop</x:v>
      </x:c>
      <x:c r="G1443" t="str">
        <x:v>Social Commerce</x:v>
      </x:c>
      <x:c r="H1443" t="str">
        <x:v>US East</x:v>
      </x:c>
      <x:c r="I1443" s="34" t="n">
        <x:v>78.4</x:v>
      </x:c>
      <x:c r="J1443" s="38" t="n">
        <x:v>3.7862809599999996</x:v>
      </x:c>
      <x:c r="K1443" s="38" t="n">
        <x:v>1.4521717145600002</x:v>
      </x:c>
      <x:c r="L1443" s="28" t="n">
        <x:v>0.38353511794328127</x:v>
      </x:c>
    </x:row>
    <x:row r="1444">
      <x:c r="A1444" s="32" t="n">
        <x:v>46174</x:v>
      </x:c>
      <x:c r="B1444" t="str">
        <x:v>Jun 2026</x:v>
      </x:c>
      <x:c r="C1444" t="str">
        <x:v>Forecast</x:v>
      </x:c>
      <x:c r="D1444" t="str">
        <x:v>DB-105</x:v>
      </x:c>
      <x:c r="E1444" t="str">
        <x:v>DreamFuel Refill Pack</x:v>
      </x:c>
      <x:c r="F1444" t="str">
        <x:v>TikTok Shop</x:v>
      </x:c>
      <x:c r="G1444" t="str">
        <x:v>Social Commerce</x:v>
      </x:c>
      <x:c r="H1444" t="str">
        <x:v>Canada</x:v>
      </x:c>
      <x:c r="I1444" s="34" t="n">
        <x:v>24.5</x:v>
      </x:c>
      <x:c r="J1444" s="38" t="n">
        <x:v>1.1832128</x:v>
      </x:c>
      <x:c r="K1444" s="38" t="n">
        <x:v>0.45380366080000006</x:v>
      </x:c>
      <x:c r="L1444" s="28" t="n">
        <x:v>0.38353511794328127</x:v>
      </x:c>
    </x:row>
    <x:row r="1445">
      <x:c r="A1445" s="32" t="n">
        <x:v>46204</x:v>
      </x:c>
      <x:c r="B1445" t="str">
        <x:v>Jul 2026</x:v>
      </x:c>
      <x:c r="C1445" t="str">
        <x:v>Forecast</x:v>
      </x:c>
      <x:c r="D1445" t="str">
        <x:v>DB-101</x:v>
      </x:c>
      <x:c r="E1445" t="str">
        <x:v>AeroSip Bottle</x:v>
      </x:c>
      <x:c r="F1445" t="str">
        <x:v>Shopify DTC</x:v>
      </x:c>
      <x:c r="G1445" t="str">
        <x:v>Consumer</x:v>
      </x:c>
      <x:c r="H1445" t="str">
        <x:v>US West</x:v>
      </x:c>
      <x:c r="I1445" s="34" t="n">
        <x:v>340</x:v>
      </x:c>
      <x:c r="J1445" s="38" t="n">
        <x:v>8.662996</x:v>
      </x:c>
      <x:c r="K1445" s="38" t="n">
        <x:v>2.7555291159999995</x:v>
      </x:c>
      <x:c r="L1445" s="28" t="n">
        <x:v>0.3180803865083165</x:v>
      </x:c>
    </x:row>
    <x:row r="1446">
      <x:c r="A1446" s="32" t="n">
        <x:v>46204</x:v>
      </x:c>
      <x:c r="B1446" t="str">
        <x:v>Jul 2026</x:v>
      </x:c>
      <x:c r="C1446" t="str">
        <x:v>Forecast</x:v>
      </x:c>
      <x:c r="D1446" t="str">
        <x:v>DB-101</x:v>
      </x:c>
      <x:c r="E1446" t="str">
        <x:v>AeroSip Bottle</x:v>
      </x:c>
      <x:c r="F1446" t="str">
        <x:v>Shopify DTC</x:v>
      </x:c>
      <x:c r="G1446" t="str">
        <x:v>Consumer</x:v>
      </x:c>
      <x:c r="H1446" t="str">
        <x:v>US Central</x:v>
      </x:c>
      <x:c r="I1446" s="34" t="n">
        <x:v>240</x:v>
      </x:c>
      <x:c r="J1446" s="38" t="n">
        <x:v>6.115055999999999</x:v>
      </x:c>
      <x:c r="K1446" s="38" t="n">
        <x:v>1.9450793759999994</x:v>
      </x:c>
      <x:c r="L1446" s="28" t="n">
        <x:v>0.31808038650831644</x:v>
      </x:c>
    </x:row>
    <x:row r="1447">
      <x:c r="A1447" s="32" t="n">
        <x:v>46204</x:v>
      </x:c>
      <x:c r="B1447" t="str">
        <x:v>Jul 2026</x:v>
      </x:c>
      <x:c r="C1447" t="str">
        <x:v>Forecast</x:v>
      </x:c>
      <x:c r="D1447" t="str">
        <x:v>DB-101</x:v>
      </x:c>
      <x:c r="E1447" t="str">
        <x:v>AeroSip Bottle</x:v>
      </x:c>
      <x:c r="F1447" t="str">
        <x:v>Shopify DTC</x:v>
      </x:c>
      <x:c r="G1447" t="str">
        <x:v>Consumer</x:v>
      </x:c>
      <x:c r="H1447" t="str">
        <x:v>US East</x:v>
      </x:c>
      <x:c r="I1447" s="34" t="n">
        <x:v>320</x:v>
      </x:c>
      <x:c r="J1447" s="38" t="n">
        <x:v>8.153407999999999</x:v>
      </x:c>
      <x:c r="K1447" s="38" t="n">
        <x:v>2.5934391679999993</x:v>
      </x:c>
      <x:c r="L1447" s="28" t="n">
        <x:v>0.3180803865083165</x:v>
      </x:c>
    </x:row>
    <x:row r="1448">
      <x:c r="A1448" s="32" t="n">
        <x:v>46204</x:v>
      </x:c>
      <x:c r="B1448" t="str">
        <x:v>Jul 2026</x:v>
      </x:c>
      <x:c r="C1448" t="str">
        <x:v>Forecast</x:v>
      </x:c>
      <x:c r="D1448" t="str">
        <x:v>DB-101</x:v>
      </x:c>
      <x:c r="E1448" t="str">
        <x:v>AeroSip Bottle</x:v>
      </x:c>
      <x:c r="F1448" t="str">
        <x:v>Shopify DTC</x:v>
      </x:c>
      <x:c r="G1448" t="str">
        <x:v>Consumer</x:v>
      </x:c>
      <x:c r="H1448" t="str">
        <x:v>Canada</x:v>
      </x:c>
      <x:c r="I1448" s="34" t="n">
        <x:v>100</x:v>
      </x:c>
      <x:c r="J1448" s="38" t="n">
        <x:v>2.54794</x:v>
      </x:c>
      <x:c r="K1448" s="38" t="n">
        <x:v>0.8104497399999998</x:v>
      </x:c>
      <x:c r="L1448" s="28" t="n">
        <x:v>0.31808038650831644</x:v>
      </x:c>
    </x:row>
    <x:row r="1449">
      <x:c r="A1449" s="32" t="n">
        <x:v>46204</x:v>
      </x:c>
      <x:c r="B1449" t="str">
        <x:v>Jul 2026</x:v>
      </x:c>
      <x:c r="C1449" t="str">
        <x:v>Forecast</x:v>
      </x:c>
      <x:c r="D1449" t="str">
        <x:v>DB-101</x:v>
      </x:c>
      <x:c r="E1449" t="str">
        <x:v>AeroSip Bottle</x:v>
      </x:c>
      <x:c r="F1449" t="str">
        <x:v>Amazon Marketplace</x:v>
      </x:c>
      <x:c r="G1449" t="str">
        <x:v>Marketplace Consumer</x:v>
      </x:c>
      <x:c r="H1449" t="str">
        <x:v>US West</x:v>
      </x:c>
      <x:c r="I1449" s="34" t="n">
        <x:v>199.92000000000002</x:v>
      </x:c>
      <x:c r="J1449" s="38" t="n">
        <x:v>5.259945180000001</x:v>
      </x:c>
      <x:c r="K1449" s="38" t="n">
        <x:v>0.8352082830000004</x:v>
      </x:c>
      <x:c r="L1449" s="28" t="n">
        <x:v>0.15878649955815705</x:v>
      </x:c>
    </x:row>
    <x:row r="1450">
      <x:c r="A1450" s="32" t="n">
        <x:v>46204</x:v>
      </x:c>
      <x:c r="B1450" t="str">
        <x:v>Jul 2026</x:v>
      </x:c>
      <x:c r="C1450" t="str">
        <x:v>Forecast</x:v>
      </x:c>
      <x:c r="D1450" t="str">
        <x:v>DB-101</x:v>
      </x:c>
      <x:c r="E1450" t="str">
        <x:v>AeroSip Bottle</x:v>
      </x:c>
      <x:c r="F1450" t="str">
        <x:v>Amazon Marketplace</x:v>
      </x:c>
      <x:c r="G1450" t="str">
        <x:v>Marketplace Consumer</x:v>
      </x:c>
      <x:c r="H1450" t="str">
        <x:v>US Central</x:v>
      </x:c>
      <x:c r="I1450" s="34" t="n">
        <x:v>141.12</x:v>
      </x:c>
      <x:c r="J1450" s="38" t="n">
        <x:v>3.71290248</x:v>
      </x:c>
      <x:c r="K1450" s="38" t="n">
        <x:v>0.5895587880000003</x:v>
      </x:c>
      <x:c r="L1450" s="28" t="n">
        <x:v>0.15878649955815707</x:v>
      </x:c>
    </x:row>
    <x:row r="1451">
      <x:c r="A1451" s="32" t="n">
        <x:v>46204</x:v>
      </x:c>
      <x:c r="B1451" t="str">
        <x:v>Jul 2026</x:v>
      </x:c>
      <x:c r="C1451" t="str">
        <x:v>Forecast</x:v>
      </x:c>
      <x:c r="D1451" t="str">
        <x:v>DB-101</x:v>
      </x:c>
      <x:c r="E1451" t="str">
        <x:v>AeroSip Bottle</x:v>
      </x:c>
      <x:c r="F1451" t="str">
        <x:v>Amazon Marketplace</x:v>
      </x:c>
      <x:c r="G1451" t="str">
        <x:v>Marketplace Consumer</x:v>
      </x:c>
      <x:c r="H1451" t="str">
        <x:v>US East</x:v>
      </x:c>
      <x:c r="I1451" s="34" t="n">
        <x:v>188.16</x:v>
      </x:c>
      <x:c r="J1451" s="38" t="n">
        <x:v>4.95053664</x:v>
      </x:c>
      <x:c r="K1451" s="38" t="n">
        <x:v>0.7860783840000004</x:v>
      </x:c>
      <x:c r="L1451" s="28" t="n">
        <x:v>0.15878649955815707</x:v>
      </x:c>
    </x:row>
    <x:row r="1452">
      <x:c r="A1452" s="32" t="n">
        <x:v>46204</x:v>
      </x:c>
      <x:c r="B1452" t="str">
        <x:v>Jul 2026</x:v>
      </x:c>
      <x:c r="C1452" t="str">
        <x:v>Forecast</x:v>
      </x:c>
      <x:c r="D1452" t="str">
        <x:v>DB-101</x:v>
      </x:c>
      <x:c r="E1452" t="str">
        <x:v>AeroSip Bottle</x:v>
      </x:c>
      <x:c r="F1452" t="str">
        <x:v>Amazon Marketplace</x:v>
      </x:c>
      <x:c r="G1452" t="str">
        <x:v>Marketplace Consumer</x:v>
      </x:c>
      <x:c r="H1452" t="str">
        <x:v>Canada</x:v>
      </x:c>
      <x:c r="I1452" s="34" t="n">
        <x:v>58.800000000000004</x:v>
      </x:c>
      <x:c r="J1452" s="38" t="n">
        <x:v>1.5470427000000002</x:v>
      </x:c>
      <x:c r="K1452" s="38" t="n">
        <x:v>0.2456494950000001</x:v>
      </x:c>
      <x:c r="L1452" s="28" t="n">
        <x:v>0.15878649955815705</x:v>
      </x:c>
    </x:row>
    <x:row r="1453">
      <x:c r="A1453" s="32" t="n">
        <x:v>46204</x:v>
      </x:c>
      <x:c r="B1453" t="str">
        <x:v>Jul 2026</x:v>
      </x:c>
      <x:c r="C1453" t="str">
        <x:v>Forecast</x:v>
      </x:c>
      <x:c r="D1453" t="str">
        <x:v>DB-101</x:v>
      </x:c>
      <x:c r="E1453" t="str">
        <x:v>AeroSip Bottle</x:v>
      </x:c>
      <x:c r="F1453" t="str">
        <x:v>Wholesale</x:v>
      </x:c>
      <x:c r="G1453" t="str">
        <x:v>Retailer</x:v>
      </x:c>
      <x:c r="H1453" t="str">
        <x:v>US West</x:v>
      </x:c>
      <x:c r="I1453" s="34" t="n">
        <x:v>55.760000000000005</x:v>
      </x:c>
      <x:c r="J1453" s="38" t="n">
        <x:v>1.0037775800000002</x:v>
      </x:c>
      <x:c r="K1453" s="38" t="n">
        <x:v>0.22391822000000003</x:v>
      </x:c>
      <x:c r="L1453" s="28" t="n">
        <x:v>0.2230755343230519</x:v>
      </x:c>
    </x:row>
    <x:row r="1454">
      <x:c r="A1454" s="32" t="n">
        <x:v>46204</x:v>
      </x:c>
      <x:c r="B1454" t="str">
        <x:v>Jul 2026</x:v>
      </x:c>
      <x:c r="C1454" t="str">
        <x:v>Forecast</x:v>
      </x:c>
      <x:c r="D1454" t="str">
        <x:v>DB-101</x:v>
      </x:c>
      <x:c r="E1454" t="str">
        <x:v>AeroSip Bottle</x:v>
      </x:c>
      <x:c r="F1454" t="str">
        <x:v>Wholesale</x:v>
      </x:c>
      <x:c r="G1454" t="str">
        <x:v>Retailer</x:v>
      </x:c>
      <x:c r="H1454" t="str">
        <x:v>US Central</x:v>
      </x:c>
      <x:c r="I1454" s="34" t="n">
        <x:v>39.36</x:v>
      </x:c>
      <x:c r="J1454" s="38" t="n">
        <x:v>0.70854888</x:v>
      </x:c>
      <x:c r="K1454" s="38" t="n">
        <x:v>0.15805992</x:v>
      </x:c>
      <x:c r="L1454" s="28" t="n">
        <x:v>0.2230755343230519</x:v>
      </x:c>
    </x:row>
    <x:row r="1455">
      <x:c r="A1455" s="32" t="n">
        <x:v>46204</x:v>
      </x:c>
      <x:c r="B1455" t="str">
        <x:v>Jul 2026</x:v>
      </x:c>
      <x:c r="C1455" t="str">
        <x:v>Forecast</x:v>
      </x:c>
      <x:c r="D1455" t="str">
        <x:v>DB-101</x:v>
      </x:c>
      <x:c r="E1455" t="str">
        <x:v>AeroSip Bottle</x:v>
      </x:c>
      <x:c r="F1455" t="str">
        <x:v>Wholesale</x:v>
      </x:c>
      <x:c r="G1455" t="str">
        <x:v>Retailer</x:v>
      </x:c>
      <x:c r="H1455" t="str">
        <x:v>US East</x:v>
      </x:c>
      <x:c r="I1455" s="34" t="n">
        <x:v>52.480000000000004</x:v>
      </x:c>
      <x:c r="J1455" s="38" t="n">
        <x:v>0.9447318400000001</x:v>
      </x:c>
      <x:c r="K1455" s="38" t="n">
        <x:v>0.21074656000000003</x:v>
      </x:c>
      <x:c r="L1455" s="28" t="n">
        <x:v>0.22307553432305194</x:v>
      </x:c>
    </x:row>
    <x:row r="1456">
      <x:c r="A1456" s="32" t="n">
        <x:v>46204</x:v>
      </x:c>
      <x:c r="B1456" t="str">
        <x:v>Jul 2026</x:v>
      </x:c>
      <x:c r="C1456" t="str">
        <x:v>Forecast</x:v>
      </x:c>
      <x:c r="D1456" t="str">
        <x:v>DB-101</x:v>
      </x:c>
      <x:c r="E1456" t="str">
        <x:v>AeroSip Bottle</x:v>
      </x:c>
      <x:c r="F1456" t="str">
        <x:v>Wholesale</x:v>
      </x:c>
      <x:c r="G1456" t="str">
        <x:v>Retailer</x:v>
      </x:c>
      <x:c r="H1456" t="str">
        <x:v>Canada</x:v>
      </x:c>
      <x:c r="I1456" s="34" t="n">
        <x:v>16.400000000000002</x:v>
      </x:c>
      <x:c r="J1456" s="38" t="n">
        <x:v>0.2952287</x:v>
      </x:c>
      <x:c r="K1456" s="38" t="n">
        <x:v>0.06585830000000001</x:v>
      </x:c>
      <x:c r="L1456" s="28" t="n">
        <x:v>0.22307553432305194</x:v>
      </x:c>
    </x:row>
    <x:row r="1457">
      <x:c r="A1457" s="32" t="n">
        <x:v>46204</x:v>
      </x:c>
      <x:c r="B1457" t="str">
        <x:v>Jul 2026</x:v>
      </x:c>
      <x:c r="C1457" t="str">
        <x:v>Forecast</x:v>
      </x:c>
      <x:c r="D1457" t="str">
        <x:v>DB-101</x:v>
      </x:c>
      <x:c r="E1457" t="str">
        <x:v>AeroSip Bottle</x:v>
      </x:c>
      <x:c r="F1457" t="str">
        <x:v>TikTok Shop</x:v>
      </x:c>
      <x:c r="G1457" t="str">
        <x:v>Social Commerce</x:v>
      </x:c>
      <x:c r="H1457" t="str">
        <x:v>US West</x:v>
      </x:c>
      <x:c r="I1457" s="34" t="n">
        <x:v>85.68</x:v>
      </x:c>
      <x:c r="J1457" s="38" t="n">
        <x:v>2.088158688</x:v>
      </x:c>
      <x:c r="K1457" s="38" t="n">
        <x:v>0.3869760847679999</x:v>
      </x:c>
      <x:c r="L1457" s="28" t="n">
        <x:v>0.18531928966501987</x:v>
      </x:c>
    </x:row>
    <x:row r="1458">
      <x:c r="A1458" s="32" t="n">
        <x:v>46204</x:v>
      </x:c>
      <x:c r="B1458" t="str">
        <x:v>Jul 2026</x:v>
      </x:c>
      <x:c r="C1458" t="str">
        <x:v>Forecast</x:v>
      </x:c>
      <x:c r="D1458" t="str">
        <x:v>DB-101</x:v>
      </x:c>
      <x:c r="E1458" t="str">
        <x:v>AeroSip Bottle</x:v>
      </x:c>
      <x:c r="F1458" t="str">
        <x:v>TikTok Shop</x:v>
      </x:c>
      <x:c r="G1458" t="str">
        <x:v>Social Commerce</x:v>
      </x:c>
      <x:c r="H1458" t="str">
        <x:v>US Central</x:v>
      </x:c>
      <x:c r="I1458" s="34" t="n">
        <x:v>60.48</x:v>
      </x:c>
      <x:c r="J1458" s="38" t="n">
        <x:v>1.4739943679999998</x:v>
      </x:c>
      <x:c r="K1458" s="38" t="n">
        <x:v>0.2731595892479999</x:v>
      </x:c>
      <x:c r="L1458" s="28" t="n">
        <x:v>0.18531928966501987</x:v>
      </x:c>
    </x:row>
    <x:row r="1459">
      <x:c r="A1459" s="32" t="n">
        <x:v>46204</x:v>
      </x:c>
      <x:c r="B1459" t="str">
        <x:v>Jul 2026</x:v>
      </x:c>
      <x:c r="C1459" t="str">
        <x:v>Forecast</x:v>
      </x:c>
      <x:c r="D1459" t="str">
        <x:v>DB-101</x:v>
      </x:c>
      <x:c r="E1459" t="str">
        <x:v>AeroSip Bottle</x:v>
      </x:c>
      <x:c r="F1459" t="str">
        <x:v>TikTok Shop</x:v>
      </x:c>
      <x:c r="G1459" t="str">
        <x:v>Social Commerce</x:v>
      </x:c>
      <x:c r="H1459" t="str">
        <x:v>US East</x:v>
      </x:c>
      <x:c r="I1459" s="34" t="n">
        <x:v>80.64</x:v>
      </x:c>
      <x:c r="J1459" s="38" t="n">
        <x:v>1.965325824</x:v>
      </x:c>
      <x:c r="K1459" s="38" t="n">
        <x:v>0.36421278566399984</x:v>
      </x:c>
      <x:c r="L1459" s="28" t="n">
        <x:v>0.18531928966501987</x:v>
      </x:c>
    </x:row>
    <x:row r="1460">
      <x:c r="A1460" s="32" t="n">
        <x:v>46204</x:v>
      </x:c>
      <x:c r="B1460" t="str">
        <x:v>Jul 2026</x:v>
      </x:c>
      <x:c r="C1460" t="str">
        <x:v>Forecast</x:v>
      </x:c>
      <x:c r="D1460" t="str">
        <x:v>DB-101</x:v>
      </x:c>
      <x:c r="E1460" t="str">
        <x:v>AeroSip Bottle</x:v>
      </x:c>
      <x:c r="F1460" t="str">
        <x:v>TikTok Shop</x:v>
      </x:c>
      <x:c r="G1460" t="str">
        <x:v>Social Commerce</x:v>
      </x:c>
      <x:c r="H1460" t="str">
        <x:v>Canada</x:v>
      </x:c>
      <x:c r="I1460" s="34" t="n">
        <x:v>25.200000000000003</x:v>
      </x:c>
      <x:c r="J1460" s="38" t="n">
        <x:v>0.61416432</x:v>
      </x:c>
      <x:c r="K1460" s="38" t="n">
        <x:v>0.11381649551999995</x:v>
      </x:c>
      <x:c r="L1460" s="28" t="n">
        <x:v>0.18531928966501987</x:v>
      </x:c>
    </x:row>
    <x:row r="1461">
      <x:c r="A1461" s="32" t="n">
        <x:v>46204</x:v>
      </x:c>
      <x:c r="B1461" t="str">
        <x:v>Jul 2026</x:v>
      </x:c>
      <x:c r="C1461" t="str">
        <x:v>Forecast</x:v>
      </x:c>
      <x:c r="D1461" t="str">
        <x:v>DB-102</x:v>
      </x:c>
      <x:c r="E1461" t="str">
        <x:v>GlowPatch Balm</x:v>
      </x:c>
      <x:c r="F1461" t="str">
        <x:v>Shopify DTC</x:v>
      </x:c>
      <x:c r="G1461" t="str">
        <x:v>Consumer</x:v>
      </x:c>
      <x:c r="H1461" t="str">
        <x:v>US West</x:v>
      </x:c>
      <x:c r="I1461" s="34" t="n">
        <x:v>340</x:v>
      </x:c>
      <x:c r="J1461" s="38" t="n">
        <x:v>5.48964</x:v>
      </x:c>
      <x:c r="K1461" s="38" t="n">
        <x:v>1.5170004399999986</x:v>
      </x:c>
      <x:c r="L1461" s="28" t="n">
        <x:v>0.2763387835996529</x:v>
      </x:c>
    </x:row>
    <x:row r="1462">
      <x:c r="A1462" s="32" t="n">
        <x:v>46204</x:v>
      </x:c>
      <x:c r="B1462" t="str">
        <x:v>Jul 2026</x:v>
      </x:c>
      <x:c r="C1462" t="str">
        <x:v>Forecast</x:v>
      </x:c>
      <x:c r="D1462" t="str">
        <x:v>DB-102</x:v>
      </x:c>
      <x:c r="E1462" t="str">
        <x:v>GlowPatch Balm</x:v>
      </x:c>
      <x:c r="F1462" t="str">
        <x:v>Shopify DTC</x:v>
      </x:c>
      <x:c r="G1462" t="str">
        <x:v>Consumer</x:v>
      </x:c>
      <x:c r="H1462" t="str">
        <x:v>US Central</x:v>
      </x:c>
      <x:c r="I1462" s="34" t="n">
        <x:v>240</x:v>
      </x:c>
      <x:c r="J1462" s="38" t="n">
        <x:v>3.8750399999999994</x:v>
      </x:c>
      <x:c r="K1462" s="38" t="n">
        <x:v>1.070823839999999</x:v>
      </x:c>
      <x:c r="L1462" s="28" t="n">
        <x:v>0.27633878359965297</x:v>
      </x:c>
    </x:row>
    <x:row r="1463">
      <x:c r="A1463" s="32" t="n">
        <x:v>46204</x:v>
      </x:c>
      <x:c r="B1463" t="str">
        <x:v>Jul 2026</x:v>
      </x:c>
      <x:c r="C1463" t="str">
        <x:v>Forecast</x:v>
      </x:c>
      <x:c r="D1463" t="str">
        <x:v>DB-102</x:v>
      </x:c>
      <x:c r="E1463" t="str">
        <x:v>GlowPatch Balm</x:v>
      </x:c>
      <x:c r="F1463" t="str">
        <x:v>Shopify DTC</x:v>
      </x:c>
      <x:c r="G1463" t="str">
        <x:v>Consumer</x:v>
      </x:c>
      <x:c r="H1463" t="str">
        <x:v>US East</x:v>
      </x:c>
      <x:c r="I1463" s="34" t="n">
        <x:v>320</x:v>
      </x:c>
      <x:c r="J1463" s="38" t="n">
        <x:v>5.166719999999999</x:v>
      </x:c>
      <x:c r="K1463" s="38" t="n">
        <x:v>1.4277651199999986</x:v>
      </x:c>
      <x:c r="L1463" s="28" t="n">
        <x:v>0.27633878359965297</x:v>
      </x:c>
    </x:row>
    <x:row r="1464">
      <x:c r="A1464" s="32" t="n">
        <x:v>46204</x:v>
      </x:c>
      <x:c r="B1464" t="str">
        <x:v>Jul 2026</x:v>
      </x:c>
      <x:c r="C1464" t="str">
        <x:v>Forecast</x:v>
      </x:c>
      <x:c r="D1464" t="str">
        <x:v>DB-102</x:v>
      </x:c>
      <x:c r="E1464" t="str">
        <x:v>GlowPatch Balm</x:v>
      </x:c>
      <x:c r="F1464" t="str">
        <x:v>Shopify DTC</x:v>
      </x:c>
      <x:c r="G1464" t="str">
        <x:v>Consumer</x:v>
      </x:c>
      <x:c r="H1464" t="str">
        <x:v>Canada</x:v>
      </x:c>
      <x:c r="I1464" s="34" t="n">
        <x:v>100</x:v>
      </x:c>
      <x:c r="J1464" s="38" t="n">
        <x:v>1.6145999999999998</x:v>
      </x:c>
      <x:c r="K1464" s="38" t="n">
        <x:v>0.4461765999999996</x:v>
      </x:c>
      <x:c r="L1464" s="28" t="n">
        <x:v>0.27633878359965297</x:v>
      </x:c>
    </x:row>
    <x:row r="1465">
      <x:c r="A1465" s="32" t="n">
        <x:v>46204</x:v>
      </x:c>
      <x:c r="B1465" t="str">
        <x:v>Jul 2026</x:v>
      </x:c>
      <x:c r="C1465" t="str">
        <x:v>Forecast</x:v>
      </x:c>
      <x:c r="D1465" t="str">
        <x:v>DB-102</x:v>
      </x:c>
      <x:c r="E1465" t="str">
        <x:v>GlowPatch Balm</x:v>
      </x:c>
      <x:c r="F1465" t="str">
        <x:v>Amazon Marketplace</x:v>
      </x:c>
      <x:c r="G1465" t="str">
        <x:v>Marketplace Consumer</x:v>
      </x:c>
      <x:c r="H1465" t="str">
        <x:v>US West</x:v>
      </x:c>
      <x:c r="I1465" s="34" t="n">
        <x:v>201.28</x:v>
      </x:c>
      <x:c r="J1465" s="38" t="n">
        <x:v>3.3558408</x:v>
      </x:c>
      <x:c r="K1465" s="38" t="n">
        <x:v>0.2829241999999999</x:v>
      </x:c>
      <x:c r="L1465" s="28" t="n">
        <x:v>0.08430799220272901</x:v>
      </x:c>
    </x:row>
    <x:row r="1466">
      <x:c r="A1466" s="32" t="n">
        <x:v>46204</x:v>
      </x:c>
      <x:c r="B1466" t="str">
        <x:v>Jul 2026</x:v>
      </x:c>
      <x:c r="C1466" t="str">
        <x:v>Forecast</x:v>
      </x:c>
      <x:c r="D1466" t="str">
        <x:v>DB-102</x:v>
      </x:c>
      <x:c r="E1466" t="str">
        <x:v>GlowPatch Balm</x:v>
      </x:c>
      <x:c r="F1466" t="str">
        <x:v>Amazon Marketplace</x:v>
      </x:c>
      <x:c r="G1466" t="str">
        <x:v>Marketplace Consumer</x:v>
      </x:c>
      <x:c r="H1466" t="str">
        <x:v>US Central</x:v>
      </x:c>
      <x:c r="I1466" s="34" t="n">
        <x:v>142.07999999999998</x:v>
      </x:c>
      <x:c r="J1466" s="38" t="n">
        <x:v>2.3688287999999997</x:v>
      </x:c>
      <x:c r="K1466" s="38" t="n">
        <x:v>0.1997111999999999</x:v>
      </x:c>
      <x:c r="L1466" s="28" t="n">
        <x:v>0.08430799220272901</x:v>
      </x:c>
    </x:row>
    <x:row r="1467">
      <x:c r="A1467" s="32" t="n">
        <x:v>46204</x:v>
      </x:c>
      <x:c r="B1467" t="str">
        <x:v>Jul 2026</x:v>
      </x:c>
      <x:c r="C1467" t="str">
        <x:v>Forecast</x:v>
      </x:c>
      <x:c r="D1467" t="str">
        <x:v>DB-102</x:v>
      </x:c>
      <x:c r="E1467" t="str">
        <x:v>GlowPatch Balm</x:v>
      </x:c>
      <x:c r="F1467" t="str">
        <x:v>Amazon Marketplace</x:v>
      </x:c>
      <x:c r="G1467" t="str">
        <x:v>Marketplace Consumer</x:v>
      </x:c>
      <x:c r="H1467" t="str">
        <x:v>US East</x:v>
      </x:c>
      <x:c r="I1467" s="34" t="n">
        <x:v>189.44</x:v>
      </x:c>
      <x:c r="J1467" s="38" t="n">
        <x:v>3.1584384</x:v>
      </x:c>
      <x:c r="K1467" s="38" t="n">
        <x:v>0.2662815999999999</x:v>
      </x:c>
      <x:c r="L1467" s="28" t="n">
        <x:v>0.08430799220272901</x:v>
      </x:c>
    </x:row>
    <x:row r="1468">
      <x:c r="A1468" s="32" t="n">
        <x:v>46204</x:v>
      </x:c>
      <x:c r="B1468" t="str">
        <x:v>Jul 2026</x:v>
      </x:c>
      <x:c r="C1468" t="str">
        <x:v>Forecast</x:v>
      </x:c>
      <x:c r="D1468" t="str">
        <x:v>DB-102</x:v>
      </x:c>
      <x:c r="E1468" t="str">
        <x:v>GlowPatch Balm</x:v>
      </x:c>
      <x:c r="F1468" t="str">
        <x:v>Amazon Marketplace</x:v>
      </x:c>
      <x:c r="G1468" t="str">
        <x:v>Marketplace Consumer</x:v>
      </x:c>
      <x:c r="H1468" t="str">
        <x:v>Canada</x:v>
      </x:c>
      <x:c r="I1468" s="34" t="n">
        <x:v>59.2</x:v>
      </x:c>
      <x:c r="J1468" s="38" t="n">
        <x:v>0.987012</x:v>
      </x:c>
      <x:c r="K1468" s="38" t="n">
        <x:v>0.08321299999999997</x:v>
      </x:c>
      <x:c r="L1468" s="28" t="n">
        <x:v>0.08430799220272901</x:v>
      </x:c>
    </x:row>
    <x:row r="1469">
      <x:c r="A1469" s="32" t="n">
        <x:v>46204</x:v>
      </x:c>
      <x:c r="B1469" t="str">
        <x:v>Jul 2026</x:v>
      </x:c>
      <x:c r="C1469" t="str">
        <x:v>Forecast</x:v>
      </x:c>
      <x:c r="D1469" t="str">
        <x:v>DB-102</x:v>
      </x:c>
      <x:c r="E1469" t="str">
        <x:v>GlowPatch Balm</x:v>
      </x:c>
      <x:c r="F1469" t="str">
        <x:v>Wholesale</x:v>
      </x:c>
      <x:c r="G1469" t="str">
        <x:v>Retailer</x:v>
      </x:c>
      <x:c r="H1469" t="str">
        <x:v>US West</x:v>
      </x:c>
      <x:c r="I1469" s="34" t="n">
        <x:v>55.760000000000005</x:v>
      </x:c>
      <x:c r="J1469" s="38" t="n">
        <x:v>0.6360822</x:v>
      </x:c>
      <x:c r="K1469" s="38" t="n">
        <x:v>0.15844204000000003</x:v>
      </x:c>
      <x:c r="L1469" s="28" t="n">
        <x:v>0.2490905106289722</x:v>
      </x:c>
    </x:row>
    <x:row r="1470">
      <x:c r="A1470" s="32" t="n">
        <x:v>46204</x:v>
      </x:c>
      <x:c r="B1470" t="str">
        <x:v>Jul 2026</x:v>
      </x:c>
      <x:c r="C1470" t="str">
        <x:v>Forecast</x:v>
      </x:c>
      <x:c r="D1470" t="str">
        <x:v>DB-102</x:v>
      </x:c>
      <x:c r="E1470" t="str">
        <x:v>GlowPatch Balm</x:v>
      </x:c>
      <x:c r="F1470" t="str">
        <x:v>Wholesale</x:v>
      </x:c>
      <x:c r="G1470" t="str">
        <x:v>Retailer</x:v>
      </x:c>
      <x:c r="H1470" t="str">
        <x:v>US Central</x:v>
      </x:c>
      <x:c r="I1470" s="34" t="n">
        <x:v>39.36</x:v>
      </x:c>
      <x:c r="J1470" s="38" t="n">
        <x:v>0.4489992</x:v>
      </x:c>
      <x:c r="K1470" s="38" t="n">
        <x:v>0.11184144</x:v>
      </x:c>
      <x:c r="L1470" s="28" t="n">
        <x:v>0.24909051062897217</x:v>
      </x:c>
    </x:row>
    <x:row r="1471">
      <x:c r="A1471" s="32" t="n">
        <x:v>46204</x:v>
      </x:c>
      <x:c r="B1471" t="str">
        <x:v>Jul 2026</x:v>
      </x:c>
      <x:c r="C1471" t="str">
        <x:v>Forecast</x:v>
      </x:c>
      <x:c r="D1471" t="str">
        <x:v>DB-102</x:v>
      </x:c>
      <x:c r="E1471" t="str">
        <x:v>GlowPatch Balm</x:v>
      </x:c>
      <x:c r="F1471" t="str">
        <x:v>Wholesale</x:v>
      </x:c>
      <x:c r="G1471" t="str">
        <x:v>Retailer</x:v>
      </x:c>
      <x:c r="H1471" t="str">
        <x:v>US East</x:v>
      </x:c>
      <x:c r="I1471" s="34" t="n">
        <x:v>52.480000000000004</x:v>
      </x:c>
      <x:c r="J1471" s="38" t="n">
        <x:v>0.5986656</x:v>
      </x:c>
      <x:c r="K1471" s="38" t="n">
        <x:v>0.14912192000000002</x:v>
      </x:c>
      <x:c r="L1471" s="28" t="n">
        <x:v>0.2490905106289722</x:v>
      </x:c>
    </x:row>
    <x:row r="1472">
      <x:c r="A1472" s="32" t="n">
        <x:v>46204</x:v>
      </x:c>
      <x:c r="B1472" t="str">
        <x:v>Jul 2026</x:v>
      </x:c>
      <x:c r="C1472" t="str">
        <x:v>Forecast</x:v>
      </x:c>
      <x:c r="D1472" t="str">
        <x:v>DB-102</x:v>
      </x:c>
      <x:c r="E1472" t="str">
        <x:v>GlowPatch Balm</x:v>
      </x:c>
      <x:c r="F1472" t="str">
        <x:v>Wholesale</x:v>
      </x:c>
      <x:c r="G1472" t="str">
        <x:v>Retailer</x:v>
      </x:c>
      <x:c r="H1472" t="str">
        <x:v>Canada</x:v>
      </x:c>
      <x:c r="I1472" s="34" t="n">
        <x:v>16.400000000000002</x:v>
      </x:c>
      <x:c r="J1472" s="38" t="n">
        <x:v>0.187083</x:v>
      </x:c>
      <x:c r="K1472" s="38" t="n">
        <x:v>0.046600600000000006</x:v>
      </x:c>
      <x:c r="L1472" s="28" t="n">
        <x:v>0.2490905106289722</x:v>
      </x:c>
    </x:row>
    <x:row r="1473">
      <x:c r="A1473" s="32" t="n">
        <x:v>46204</x:v>
      </x:c>
      <x:c r="B1473" t="str">
        <x:v>Jul 2026</x:v>
      </x:c>
      <x:c r="C1473" t="str">
        <x:v>Forecast</x:v>
      </x:c>
      <x:c r="D1473" t="str">
        <x:v>DB-102</x:v>
      </x:c>
      <x:c r="E1473" t="str">
        <x:v>GlowPatch Balm</x:v>
      </x:c>
      <x:c r="F1473" t="str">
        <x:v>TikTok Shop</x:v>
      </x:c>
      <x:c r="G1473" t="str">
        <x:v>Social Commerce</x:v>
      </x:c>
      <x:c r="H1473" t="str">
        <x:v>US West</x:v>
      </x:c>
      <x:c r="I1473" s="34" t="n">
        <x:v>85.68</x:v>
      </x:c>
      <x:c r="J1473" s="38" t="n">
        <x:v>1.32324192</x:v>
      </x:c>
      <x:c r="K1473" s="38" t="n">
        <x:v>0.15452250911999998</x:v>
      </x:c>
      <x:c r="L1473" s="28" t="n">
        <x:v>0.11677570577570576</x:v>
      </x:c>
    </x:row>
    <x:row r="1474">
      <x:c r="A1474" s="32" t="n">
        <x:v>46204</x:v>
      </x:c>
      <x:c r="B1474" t="str">
        <x:v>Jul 2026</x:v>
      </x:c>
      <x:c r="C1474" t="str">
        <x:v>Forecast</x:v>
      </x:c>
      <x:c r="D1474" t="str">
        <x:v>DB-102</x:v>
      </x:c>
      <x:c r="E1474" t="str">
        <x:v>GlowPatch Balm</x:v>
      </x:c>
      <x:c r="F1474" t="str">
        <x:v>TikTok Shop</x:v>
      </x:c>
      <x:c r="G1474" t="str">
        <x:v>Social Commerce</x:v>
      </x:c>
      <x:c r="H1474" t="str">
        <x:v>US Central</x:v>
      </x:c>
      <x:c r="I1474" s="34" t="n">
        <x:v>60.48</x:v>
      </x:c>
      <x:c r="J1474" s="38" t="n">
        <x:v>0.93405312</x:v>
      </x:c>
      <x:c r="K1474" s="38" t="n">
        <x:v>0.10907471231999999</x:v>
      </x:c>
      <x:c r="L1474" s="28" t="n">
        <x:v>0.11677570577570577</x:v>
      </x:c>
    </x:row>
    <x:row r="1475">
      <x:c r="A1475" s="32" t="n">
        <x:v>46204</x:v>
      </x:c>
      <x:c r="B1475" t="str">
        <x:v>Jul 2026</x:v>
      </x:c>
      <x:c r="C1475" t="str">
        <x:v>Forecast</x:v>
      </x:c>
      <x:c r="D1475" t="str">
        <x:v>DB-102</x:v>
      </x:c>
      <x:c r="E1475" t="str">
        <x:v>GlowPatch Balm</x:v>
      </x:c>
      <x:c r="F1475" t="str">
        <x:v>TikTok Shop</x:v>
      </x:c>
      <x:c r="G1475" t="str">
        <x:v>Social Commerce</x:v>
      </x:c>
      <x:c r="H1475" t="str">
        <x:v>US East</x:v>
      </x:c>
      <x:c r="I1475" s="34" t="n">
        <x:v>80.64</x:v>
      </x:c>
      <x:c r="J1475" s="38" t="n">
        <x:v>1.2454041599999999</x:v>
      </x:c>
      <x:c r="K1475" s="38" t="n">
        <x:v>0.14543294975999999</x:v>
      </x:c>
      <x:c r="L1475" s="28" t="n">
        <x:v>0.11677570577570577</x:v>
      </x:c>
    </x:row>
    <x:row r="1476">
      <x:c r="A1476" s="32" t="n">
        <x:v>46204</x:v>
      </x:c>
      <x:c r="B1476" t="str">
        <x:v>Jul 2026</x:v>
      </x:c>
      <x:c r="C1476" t="str">
        <x:v>Forecast</x:v>
      </x:c>
      <x:c r="D1476" t="str">
        <x:v>DB-102</x:v>
      </x:c>
      <x:c r="E1476" t="str">
        <x:v>GlowPatch Balm</x:v>
      </x:c>
      <x:c r="F1476" t="str">
        <x:v>TikTok Shop</x:v>
      </x:c>
      <x:c r="G1476" t="str">
        <x:v>Social Commerce</x:v>
      </x:c>
      <x:c r="H1476" t="str">
        <x:v>Canada</x:v>
      </x:c>
      <x:c r="I1476" s="34" t="n">
        <x:v>25.200000000000003</x:v>
      </x:c>
      <x:c r="J1476" s="38" t="n">
        <x:v>0.3891888</x:v>
      </x:c>
      <x:c r="K1476" s="38" t="n">
        <x:v>0.045447796799999995</x:v>
      </x:c>
      <x:c r="L1476" s="28" t="n">
        <x:v>0.11677570577570576</x:v>
      </x:c>
    </x:row>
    <x:row r="1477">
      <x:c r="A1477" s="32" t="n">
        <x:v>46204</x:v>
      </x:c>
      <x:c r="B1477" t="str">
        <x:v>Jul 2026</x:v>
      </x:c>
      <x:c r="C1477" t="str">
        <x:v>Forecast</x:v>
      </x:c>
      <x:c r="D1477" t="str">
        <x:v>DB-103</x:v>
      </x:c>
      <x:c r="E1477" t="str">
        <x:v>EmberTrail Camp Mug</x:v>
      </x:c>
      <x:c r="F1477" t="str">
        <x:v>Shopify DTC</x:v>
      </x:c>
      <x:c r="G1477" t="str">
        <x:v>Consumer</x:v>
      </x:c>
      <x:c r="H1477" t="str">
        <x:v>US West</x:v>
      </x:c>
      <x:c r="I1477" s="34" t="n">
        <x:v>174.08</x:v>
      </x:c>
      <x:c r="J1477" s="38" t="n">
        <x:v>5.145735168000001</x:v>
      </x:c>
      <x:c r="K1477" s="38" t="n">
        <x:v>1.5974227681280004</x:v>
      </x:c>
      <x:c r="L1477" s="28" t="n">
        <x:v>0.3104362575948254</x:v>
      </x:c>
    </x:row>
    <x:row r="1478">
      <x:c r="A1478" s="32" t="n">
        <x:v>46204</x:v>
      </x:c>
      <x:c r="B1478" t="str">
        <x:v>Jul 2026</x:v>
      </x:c>
      <x:c r="C1478" t="str">
        <x:v>Forecast</x:v>
      </x:c>
      <x:c r="D1478" t="str">
        <x:v>DB-103</x:v>
      </x:c>
      <x:c r="E1478" t="str">
        <x:v>EmberTrail Camp Mug</x:v>
      </x:c>
      <x:c r="F1478" t="str">
        <x:v>Shopify DTC</x:v>
      </x:c>
      <x:c r="G1478" t="str">
        <x:v>Consumer</x:v>
      </x:c>
      <x:c r="H1478" t="str">
        <x:v>US Central</x:v>
      </x:c>
      <x:c r="I1478" s="34" t="n">
        <x:v>122.88</x:v>
      </x:c>
      <x:c r="J1478" s="38" t="n">
        <x:v>3.632283648</x:v>
      </x:c>
      <x:c r="K1478" s="38" t="n">
        <x:v>1.1275925422080002</x:v>
      </x:c>
      <x:c r="L1478" s="28" t="n">
        <x:v>0.3104362575948254</x:v>
      </x:c>
    </x:row>
    <x:row r="1479">
      <x:c r="A1479" s="32" t="n">
        <x:v>46204</x:v>
      </x:c>
      <x:c r="B1479" t="str">
        <x:v>Jul 2026</x:v>
      </x:c>
      <x:c r="C1479" t="str">
        <x:v>Forecast</x:v>
      </x:c>
      <x:c r="D1479" t="str">
        <x:v>DB-103</x:v>
      </x:c>
      <x:c r="E1479" t="str">
        <x:v>EmberTrail Camp Mug</x:v>
      </x:c>
      <x:c r="F1479" t="str">
        <x:v>Shopify DTC</x:v>
      </x:c>
      <x:c r="G1479" t="str">
        <x:v>Consumer</x:v>
      </x:c>
      <x:c r="H1479" t="str">
        <x:v>US East</x:v>
      </x:c>
      <x:c r="I1479" s="34" t="n">
        <x:v>163.84</x:v>
      </x:c>
      <x:c r="J1479" s="38" t="n">
        <x:v>4.843044864</x:v>
      </x:c>
      <x:c r="K1479" s="38" t="n">
        <x:v>1.5034567229440003</x:v>
      </x:c>
      <x:c r="L1479" s="28" t="n">
        <x:v>0.3104362575948254</x:v>
      </x:c>
    </x:row>
    <x:row r="1480">
      <x:c r="A1480" s="32" t="n">
        <x:v>46204</x:v>
      </x:c>
      <x:c r="B1480" t="str">
        <x:v>Jul 2026</x:v>
      </x:c>
      <x:c r="C1480" t="str">
        <x:v>Forecast</x:v>
      </x:c>
      <x:c r="D1480" t="str">
        <x:v>DB-103</x:v>
      </x:c>
      <x:c r="E1480" t="str">
        <x:v>EmberTrail Camp Mug</x:v>
      </x:c>
      <x:c r="F1480" t="str">
        <x:v>Shopify DTC</x:v>
      </x:c>
      <x:c r="G1480" t="str">
        <x:v>Consumer</x:v>
      </x:c>
      <x:c r="H1480" t="str">
        <x:v>Canada</x:v>
      </x:c>
      <x:c r="I1480" s="34" t="n">
        <x:v>51.2</x:v>
      </x:c>
      <x:c r="J1480" s="38" t="n">
        <x:v>1.5134515200000003</x:v>
      </x:c>
      <x:c r="K1480" s="38" t="n">
        <x:v>0.4698302259200001</x:v>
      </x:c>
      <x:c r="L1480" s="28" t="n">
        <x:v>0.3104362575948254</x:v>
      </x:c>
    </x:row>
    <x:row r="1481">
      <x:c r="A1481" s="32" t="n">
        <x:v>46204</x:v>
      </x:c>
      <x:c r="B1481" t="str">
        <x:v>Jul 2026</x:v>
      </x:c>
      <x:c r="C1481" t="str">
        <x:v>Forecast</x:v>
      </x:c>
      <x:c r="D1481" t="str">
        <x:v>DB-103</x:v>
      </x:c>
      <x:c r="E1481" t="str">
        <x:v>EmberTrail Camp Mug</x:v>
      </x:c>
      <x:c r="F1481" t="str">
        <x:v>Amazon Marketplace</x:v>
      </x:c>
      <x:c r="G1481" t="str">
        <x:v>Marketplace Consumer</x:v>
      </x:c>
      <x:c r="H1481" t="str">
        <x:v>US West</x:v>
      </x:c>
      <x:c r="I1481" s="34" t="n">
        <x:v>102.00000000000001</x:v>
      </x:c>
      <x:c r="J1481" s="38" t="n">
        <x:v>3.1133970000000004</x:v>
      </x:c>
      <x:c r="K1481" s="38" t="n">
        <x:v>0.49663545000000003</x:v>
      </x:c>
      <x:c r="L1481" s="28" t="n">
        <x:v>0.15951561911314233</x:v>
      </x:c>
    </x:row>
    <x:row r="1482">
      <x:c r="A1482" s="32" t="n">
        <x:v>46204</x:v>
      </x:c>
      <x:c r="B1482" t="str">
        <x:v>Jul 2026</x:v>
      </x:c>
      <x:c r="C1482" t="str">
        <x:v>Forecast</x:v>
      </x:c>
      <x:c r="D1482" t="str">
        <x:v>DB-103</x:v>
      </x:c>
      <x:c r="E1482" t="str">
        <x:v>EmberTrail Camp Mug</x:v>
      </x:c>
      <x:c r="F1482" t="str">
        <x:v>Amazon Marketplace</x:v>
      </x:c>
      <x:c r="G1482" t="str">
        <x:v>Marketplace Consumer</x:v>
      </x:c>
      <x:c r="H1482" t="str">
        <x:v>US Central</x:v>
      </x:c>
      <x:c r="I1482" s="34" t="n">
        <x:v>72</x:v>
      </x:c>
      <x:c r="J1482" s="38" t="n">
        <x:v>2.197692</x:v>
      </x:c>
      <x:c r="K1482" s="38" t="n">
        <x:v>0.3505662</x:v>
      </x:c>
      <x:c r="L1482" s="28" t="n">
        <x:v>0.15951561911314233</x:v>
      </x:c>
    </x:row>
    <x:row r="1483">
      <x:c r="A1483" s="32" t="n">
        <x:v>46204</x:v>
      </x:c>
      <x:c r="B1483" t="str">
        <x:v>Jul 2026</x:v>
      </x:c>
      <x:c r="C1483" t="str">
        <x:v>Forecast</x:v>
      </x:c>
      <x:c r="D1483" t="str">
        <x:v>DB-103</x:v>
      </x:c>
      <x:c r="E1483" t="str">
        <x:v>EmberTrail Camp Mug</x:v>
      </x:c>
      <x:c r="F1483" t="str">
        <x:v>Amazon Marketplace</x:v>
      </x:c>
      <x:c r="G1483" t="str">
        <x:v>Marketplace Consumer</x:v>
      </x:c>
      <x:c r="H1483" t="str">
        <x:v>US East</x:v>
      </x:c>
      <x:c r="I1483" s="34" t="n">
        <x:v>96</x:v>
      </x:c>
      <x:c r="J1483" s="38" t="n">
        <x:v>2.930256</x:v>
      </x:c>
      <x:c r="K1483" s="38" t="n">
        <x:v>0.4674216</x:v>
      </x:c>
      <x:c r="L1483" s="28" t="n">
        <x:v>0.15951561911314233</x:v>
      </x:c>
    </x:row>
    <x:row r="1484">
      <x:c r="A1484" s="32" t="n">
        <x:v>46204</x:v>
      </x:c>
      <x:c r="B1484" t="str">
        <x:v>Jul 2026</x:v>
      </x:c>
      <x:c r="C1484" t="str">
        <x:v>Forecast</x:v>
      </x:c>
      <x:c r="D1484" t="str">
        <x:v>DB-103</x:v>
      </x:c>
      <x:c r="E1484" t="str">
        <x:v>EmberTrail Camp Mug</x:v>
      </x:c>
      <x:c r="F1484" t="str">
        <x:v>Amazon Marketplace</x:v>
      </x:c>
      <x:c r="G1484" t="str">
        <x:v>Marketplace Consumer</x:v>
      </x:c>
      <x:c r="H1484" t="str">
        <x:v>Canada</x:v>
      </x:c>
      <x:c r="I1484" s="34" t="n">
        <x:v>30</x:v>
      </x:c>
      <x:c r="J1484" s="38" t="n">
        <x:v>0.915705</x:v>
      </x:c>
      <x:c r="K1484" s="38" t="n">
        <x:v>0.14606925</x:v>
      </x:c>
      <x:c r="L1484" s="28" t="n">
        <x:v>0.15951561911314235</x:v>
      </x:c>
    </x:row>
    <x:row r="1485">
      <x:c r="A1485" s="32" t="n">
        <x:v>46204</x:v>
      </x:c>
      <x:c r="B1485" t="str">
        <x:v>Jul 2026</x:v>
      </x:c>
      <x:c r="C1485" t="str">
        <x:v>Forecast</x:v>
      </x:c>
      <x:c r="D1485" t="str">
        <x:v>DB-103</x:v>
      </x:c>
      <x:c r="E1485" t="str">
        <x:v>EmberTrail Camp Mug</x:v>
      </x:c>
      <x:c r="F1485" t="str">
        <x:v>Wholesale</x:v>
      </x:c>
      <x:c r="G1485" t="str">
        <x:v>Retailer</x:v>
      </x:c>
      <x:c r="H1485" t="str">
        <x:v>US West</x:v>
      </x:c>
      <x:c r="I1485" s="34" t="n">
        <x:v>28.560000000000002</x:v>
      </x:c>
      <x:c r="J1485" s="38" t="n">
        <x:v>0.59646132</x:v>
      </x:c>
      <x:c r="K1485" s="38" t="n">
        <x:v>0.11448276000000002</x:v>
      </x:c>
      <x:c r="L1485" s="28" t="n">
        <x:v>0.19193660370130963</x:v>
      </x:c>
    </x:row>
    <x:row r="1486">
      <x:c r="A1486" s="32" t="n">
        <x:v>46204</x:v>
      </x:c>
      <x:c r="B1486" t="str">
        <x:v>Jul 2026</x:v>
      </x:c>
      <x:c r="C1486" t="str">
        <x:v>Forecast</x:v>
      </x:c>
      <x:c r="D1486" t="str">
        <x:v>DB-103</x:v>
      </x:c>
      <x:c r="E1486" t="str">
        <x:v>EmberTrail Camp Mug</x:v>
      </x:c>
      <x:c r="F1486" t="str">
        <x:v>Wholesale</x:v>
      </x:c>
      <x:c r="G1486" t="str">
        <x:v>Retailer</x:v>
      </x:c>
      <x:c r="H1486" t="str">
        <x:v>US Central</x:v>
      </x:c>
      <x:c r="I1486" s="34" t="n">
        <x:v>20.16</x:v>
      </x:c>
      <x:c r="J1486" s="38" t="n">
        <x:v>0.42103151999999994</x:v>
      </x:c>
      <x:c r="K1486" s="38" t="n">
        <x:v>0.08081136</x:v>
      </x:c>
      <x:c r="L1486" s="28" t="n">
        <x:v>0.1919366037013096</x:v>
      </x:c>
    </x:row>
    <x:row r="1487">
      <x:c r="A1487" s="32" t="n">
        <x:v>46204</x:v>
      </x:c>
      <x:c r="B1487" t="str">
        <x:v>Jul 2026</x:v>
      </x:c>
      <x:c r="C1487" t="str">
        <x:v>Forecast</x:v>
      </x:c>
      <x:c r="D1487" t="str">
        <x:v>DB-103</x:v>
      </x:c>
      <x:c r="E1487" t="str">
        <x:v>EmberTrail Camp Mug</x:v>
      </x:c>
      <x:c r="F1487" t="str">
        <x:v>Wholesale</x:v>
      </x:c>
      <x:c r="G1487" t="str">
        <x:v>Retailer</x:v>
      </x:c>
      <x:c r="H1487" t="str">
        <x:v>US East</x:v>
      </x:c>
      <x:c r="I1487" s="34" t="n">
        <x:v>26.88</x:v>
      </x:c>
      <x:c r="J1487" s="38" t="n">
        <x:v>0.56137536</x:v>
      </x:c>
      <x:c r="K1487" s="38" t="n">
        <x:v>0.10774848000000001</x:v>
      </x:c>
      <x:c r="L1487" s="28" t="n">
        <x:v>0.1919366037013096</x:v>
      </x:c>
    </x:row>
    <x:row r="1488">
      <x:c r="A1488" s="32" t="n">
        <x:v>46204</x:v>
      </x:c>
      <x:c r="B1488" t="str">
        <x:v>Jul 2026</x:v>
      </x:c>
      <x:c r="C1488" t="str">
        <x:v>Forecast</x:v>
      </x:c>
      <x:c r="D1488" t="str">
        <x:v>DB-103</x:v>
      </x:c>
      <x:c r="E1488" t="str">
        <x:v>EmberTrail Camp Mug</x:v>
      </x:c>
      <x:c r="F1488" t="str">
        <x:v>Wholesale</x:v>
      </x:c>
      <x:c r="G1488" t="str">
        <x:v>Retailer</x:v>
      </x:c>
      <x:c r="H1488" t="str">
        <x:v>Canada</x:v>
      </x:c>
      <x:c r="I1488" s="34" t="n">
        <x:v>8.4</x:v>
      </x:c>
      <x:c r="J1488" s="38" t="n">
        <x:v>0.1754298</x:v>
      </x:c>
      <x:c r="K1488" s="38" t="n">
        <x:v>0.033671400000000004</x:v>
      </x:c>
      <x:c r="L1488" s="28" t="n">
        <x:v>0.1919366037013096</x:v>
      </x:c>
    </x:row>
    <x:row r="1489">
      <x:c r="A1489" s="32" t="n">
        <x:v>46204</x:v>
      </x:c>
      <x:c r="B1489" t="str">
        <x:v>Jul 2026</x:v>
      </x:c>
      <x:c r="C1489" t="str">
        <x:v>Forecast</x:v>
      </x:c>
      <x:c r="D1489" t="str">
        <x:v>DB-103</x:v>
      </x:c>
      <x:c r="E1489" t="str">
        <x:v>EmberTrail Camp Mug</x:v>
      </x:c>
      <x:c r="F1489" t="str">
        <x:v>TikTok Shop</x:v>
      </x:c>
      <x:c r="G1489" t="str">
        <x:v>Social Commerce</x:v>
      </x:c>
      <x:c r="H1489" t="str">
        <x:v>US West</x:v>
      </x:c>
      <x:c r="I1489" s="34" t="n">
        <x:v>43.52</x:v>
      </x:c>
      <x:c r="J1489" s="38" t="n">
        <x:v>1.2305018880000003</x:v>
      </x:c>
      <x:c r="K1489" s="38" t="n">
        <x:v>0.22551969996800011</x:v>
      </x:c>
      <x:c r="L1489" s="28" t="n">
        <x:v>0.1832745663922135</x:v>
      </x:c>
    </x:row>
    <x:row r="1490">
      <x:c r="A1490" s="32" t="n">
        <x:v>46204</x:v>
      </x:c>
      <x:c r="B1490" t="str">
        <x:v>Jul 2026</x:v>
      </x:c>
      <x:c r="C1490" t="str">
        <x:v>Forecast</x:v>
      </x:c>
      <x:c r="D1490" t="str">
        <x:v>DB-103</x:v>
      </x:c>
      <x:c r="E1490" t="str">
        <x:v>EmberTrail Camp Mug</x:v>
      </x:c>
      <x:c r="F1490" t="str">
        <x:v>TikTok Shop</x:v>
      </x:c>
      <x:c r="G1490" t="str">
        <x:v>Social Commerce</x:v>
      </x:c>
      <x:c r="H1490" t="str">
        <x:v>US Central</x:v>
      </x:c>
      <x:c r="I1490" s="34" t="n">
        <x:v>30.72</x:v>
      </x:c>
      <x:c r="J1490" s="38" t="n">
        <x:v>0.868589568</x:v>
      </x:c>
      <x:c r="K1490" s="38" t="n">
        <x:v>0.15919037644800005</x:v>
      </x:c>
      <x:c r="L1490" s="28" t="n">
        <x:v>0.1832745663922135</x:v>
      </x:c>
    </x:row>
    <x:row r="1491">
      <x:c r="A1491" s="32" t="n">
        <x:v>46204</x:v>
      </x:c>
      <x:c r="B1491" t="str">
        <x:v>Jul 2026</x:v>
      </x:c>
      <x:c r="C1491" t="str">
        <x:v>Forecast</x:v>
      </x:c>
      <x:c r="D1491" t="str">
        <x:v>DB-103</x:v>
      </x:c>
      <x:c r="E1491" t="str">
        <x:v>EmberTrail Camp Mug</x:v>
      </x:c>
      <x:c r="F1491" t="str">
        <x:v>TikTok Shop</x:v>
      </x:c>
      <x:c r="G1491" t="str">
        <x:v>Social Commerce</x:v>
      </x:c>
      <x:c r="H1491" t="str">
        <x:v>US East</x:v>
      </x:c>
      <x:c r="I1491" s="34" t="n">
        <x:v>40.96</x:v>
      </x:c>
      <x:c r="J1491" s="38" t="n">
        <x:v>1.1581194240000001</x:v>
      </x:c>
      <x:c r="K1491" s="38" t="n">
        <x:v>0.2122538352640001</x:v>
      </x:c>
      <x:c r="L1491" s="28" t="n">
        <x:v>0.1832745663922135</x:v>
      </x:c>
    </x:row>
    <x:row r="1492">
      <x:c r="A1492" s="32" t="n">
        <x:v>46204</x:v>
      </x:c>
      <x:c r="B1492" t="str">
        <x:v>Jul 2026</x:v>
      </x:c>
      <x:c r="C1492" t="str">
        <x:v>Forecast</x:v>
      </x:c>
      <x:c r="D1492" t="str">
        <x:v>DB-103</x:v>
      </x:c>
      <x:c r="E1492" t="str">
        <x:v>EmberTrail Camp Mug</x:v>
      </x:c>
      <x:c r="F1492" t="str">
        <x:v>TikTok Shop</x:v>
      </x:c>
      <x:c r="G1492" t="str">
        <x:v>Social Commerce</x:v>
      </x:c>
      <x:c r="H1492" t="str">
        <x:v>Canada</x:v>
      </x:c>
      <x:c r="I1492" s="34" t="n">
        <x:v>12.8</x:v>
      </x:c>
      <x:c r="J1492" s="38" t="n">
        <x:v>0.36191232000000007</x:v>
      </x:c>
      <x:c r="K1492" s="38" t="n">
        <x:v>0.06632932352000002</x:v>
      </x:c>
      <x:c r="L1492" s="28" t="n">
        <x:v>0.18327456639221348</x:v>
      </x:c>
    </x:row>
    <x:row r="1493">
      <x:c r="A1493" s="32" t="n">
        <x:v>46204</x:v>
      </x:c>
      <x:c r="B1493" t="str">
        <x:v>Jul 2026</x:v>
      </x:c>
      <x:c r="C1493" t="str">
        <x:v>Forecast</x:v>
      </x:c>
      <x:c r="D1493" t="str">
        <x:v>DB-104</x:v>
      </x:c>
      <x:c r="E1493" t="str">
        <x:v>SunNest Cooling Towel</x:v>
      </x:c>
      <x:c r="F1493" t="str">
        <x:v>Shopify DTC</x:v>
      </x:c>
      <x:c r="G1493" t="str">
        <x:v>Consumer</x:v>
      </x:c>
      <x:c r="H1493" t="str">
        <x:v>US West</x:v>
      </x:c>
      <x:c r="I1493" s="34" t="n">
        <x:v>304.64000000000004</x:v>
      </x:c>
      <x:c r="J1493" s="38" t="n">
        <x:v>11.182725120000002</x:v>
      </x:c>
      <x:c r="K1493" s="38" t="n">
        <x:v>4.498152171520001</x:v>
      </x:c>
      <x:c r="L1493" s="28" t="n">
        <x:v>0.40224114634412117</x:v>
      </x:c>
    </x:row>
    <x:row r="1494">
      <x:c r="A1494" s="32" t="n">
        <x:v>46204</x:v>
      </x:c>
      <x:c r="B1494" t="str">
        <x:v>Jul 2026</x:v>
      </x:c>
      <x:c r="C1494" t="str">
        <x:v>Forecast</x:v>
      </x:c>
      <x:c r="D1494" t="str">
        <x:v>DB-104</x:v>
      </x:c>
      <x:c r="E1494" t="str">
        <x:v>SunNest Cooling Towel</x:v>
      </x:c>
      <x:c r="F1494" t="str">
        <x:v>Shopify DTC</x:v>
      </x:c>
      <x:c r="G1494" t="str">
        <x:v>Consumer</x:v>
      </x:c>
      <x:c r="H1494" t="str">
        <x:v>US Central</x:v>
      </x:c>
      <x:c r="I1494" s="34" t="n">
        <x:v>215.04</x:v>
      </x:c>
      <x:c r="J1494" s="38" t="n">
        <x:v>7.89368832</x:v>
      </x:c>
      <x:c r="K1494" s="38" t="n">
        <x:v>3.17516623872</x:v>
      </x:c>
      <x:c r="L1494" s="28" t="n">
        <x:v>0.40224114634412117</x:v>
      </x:c>
    </x:row>
    <x:row r="1495">
      <x:c r="A1495" s="32" t="n">
        <x:v>46204</x:v>
      </x:c>
      <x:c r="B1495" t="str">
        <x:v>Jul 2026</x:v>
      </x:c>
      <x:c r="C1495" t="str">
        <x:v>Forecast</x:v>
      </x:c>
      <x:c r="D1495" t="str">
        <x:v>DB-104</x:v>
      </x:c>
      <x:c r="E1495" t="str">
        <x:v>SunNest Cooling Towel</x:v>
      </x:c>
      <x:c r="F1495" t="str">
        <x:v>Shopify DTC</x:v>
      </x:c>
      <x:c r="G1495" t="str">
        <x:v>Consumer</x:v>
      </x:c>
      <x:c r="H1495" t="str">
        <x:v>US East</x:v>
      </x:c>
      <x:c r="I1495" s="34" t="n">
        <x:v>286.72</x:v>
      </x:c>
      <x:c r="J1495" s="38" t="n">
        <x:v>10.524917760000001</x:v>
      </x:c>
      <x:c r="K1495" s="38" t="n">
        <x:v>4.2335549849600005</x:v>
      </x:c>
      <x:c r="L1495" s="28" t="n">
        <x:v>0.40224114634412117</x:v>
      </x:c>
    </x:row>
    <x:row r="1496">
      <x:c r="A1496" s="32" t="n">
        <x:v>46204</x:v>
      </x:c>
      <x:c r="B1496" t="str">
        <x:v>Jul 2026</x:v>
      </x:c>
      <x:c r="C1496" t="str">
        <x:v>Forecast</x:v>
      </x:c>
      <x:c r="D1496" t="str">
        <x:v>DB-104</x:v>
      </x:c>
      <x:c r="E1496" t="str">
        <x:v>SunNest Cooling Towel</x:v>
      </x:c>
      <x:c r="F1496" t="str">
        <x:v>Shopify DTC</x:v>
      </x:c>
      <x:c r="G1496" t="str">
        <x:v>Consumer</x:v>
      </x:c>
      <x:c r="H1496" t="str">
        <x:v>Canada</x:v>
      </x:c>
      <x:c r="I1496" s="34" t="n">
        <x:v>89.60000000000001</x:v>
      </x:c>
      <x:c r="J1496" s="38" t="n">
        <x:v>3.2890368000000003</x:v>
      </x:c>
      <x:c r="K1496" s="38" t="n">
        <x:v>1.3229859328000002</x:v>
      </x:c>
      <x:c r="L1496" s="28" t="n">
        <x:v>0.40224114634412117</x:v>
      </x:c>
    </x:row>
    <x:row r="1497">
      <x:c r="A1497" s="32" t="n">
        <x:v>46204</x:v>
      </x:c>
      <x:c r="B1497" t="str">
        <x:v>Jul 2026</x:v>
      </x:c>
      <x:c r="C1497" t="str">
        <x:v>Forecast</x:v>
      </x:c>
      <x:c r="D1497" t="str">
        <x:v>DB-104</x:v>
      </x:c>
      <x:c r="E1497" t="str">
        <x:v>SunNest Cooling Towel</x:v>
      </x:c>
      <x:c r="F1497" t="str">
        <x:v>Amazon Marketplace</x:v>
      </x:c>
      <x:c r="G1497" t="str">
        <x:v>Marketplace Consumer</x:v>
      </x:c>
      <x:c r="H1497" t="str">
        <x:v>US West</x:v>
      </x:c>
      <x:c r="I1497" s="34" t="n">
        <x:v>179.52</x:v>
      </x:c>
      <x:c r="J1497" s="38" t="n">
        <x:v>6.8047056</x:v>
      </x:c>
      <x:c r="K1497" s="38" t="n">
        <x:v>1.7577251999999999</x:v>
      </x:c>
      <x:c r="L1497" s="28" t="n">
        <x:v>0.2583102493074792</x:v>
      </x:c>
    </x:row>
    <x:row r="1498">
      <x:c r="A1498" s="32" t="n">
        <x:v>46204</x:v>
      </x:c>
      <x:c r="B1498" t="str">
        <x:v>Jul 2026</x:v>
      </x:c>
      <x:c r="C1498" t="str">
        <x:v>Forecast</x:v>
      </x:c>
      <x:c r="D1498" t="str">
        <x:v>DB-104</x:v>
      </x:c>
      <x:c r="E1498" t="str">
        <x:v>SunNest Cooling Towel</x:v>
      </x:c>
      <x:c r="F1498" t="str">
        <x:v>Amazon Marketplace</x:v>
      </x:c>
      <x:c r="G1498" t="str">
        <x:v>Marketplace Consumer</x:v>
      </x:c>
      <x:c r="H1498" t="str">
        <x:v>US Central</x:v>
      </x:c>
      <x:c r="I1498" s="34" t="n">
        <x:v>126.72</x:v>
      </x:c>
      <x:c r="J1498" s="38" t="n">
        <x:v>4.803321599999999</x:v>
      </x:c>
      <x:c r="K1498" s="38" t="n">
        <x:v>1.2407471999999997</x:v>
      </x:c>
      <x:c r="L1498" s="28" t="n">
        <x:v>0.2583102493074792</x:v>
      </x:c>
    </x:row>
    <x:row r="1499">
      <x:c r="A1499" s="32" t="n">
        <x:v>46204</x:v>
      </x:c>
      <x:c r="B1499" t="str">
        <x:v>Jul 2026</x:v>
      </x:c>
      <x:c r="C1499" t="str">
        <x:v>Forecast</x:v>
      </x:c>
      <x:c r="D1499" t="str">
        <x:v>DB-104</x:v>
      </x:c>
      <x:c r="E1499" t="str">
        <x:v>SunNest Cooling Towel</x:v>
      </x:c>
      <x:c r="F1499" t="str">
        <x:v>Amazon Marketplace</x:v>
      </x:c>
      <x:c r="G1499" t="str">
        <x:v>Marketplace Consumer</x:v>
      </x:c>
      <x:c r="H1499" t="str">
        <x:v>US East</x:v>
      </x:c>
      <x:c r="I1499" s="34" t="n">
        <x:v>168.96</x:v>
      </x:c>
      <x:c r="J1499" s="38" t="n">
        <x:v>6.4044288</x:v>
      </x:c>
      <x:c r="K1499" s="38" t="n">
        <x:v>1.6543295999999998</x:v>
      </x:c>
      <x:c r="L1499" s="28" t="n">
        <x:v>0.2583102493074792</x:v>
      </x:c>
    </x:row>
    <x:row r="1500">
      <x:c r="A1500" s="32" t="n">
        <x:v>46204</x:v>
      </x:c>
      <x:c r="B1500" t="str">
        <x:v>Jul 2026</x:v>
      </x:c>
      <x:c r="C1500" t="str">
        <x:v>Forecast</x:v>
      </x:c>
      <x:c r="D1500" t="str">
        <x:v>DB-104</x:v>
      </x:c>
      <x:c r="E1500" t="str">
        <x:v>SunNest Cooling Towel</x:v>
      </x:c>
      <x:c r="F1500" t="str">
        <x:v>Amazon Marketplace</x:v>
      </x:c>
      <x:c r="G1500" t="str">
        <x:v>Marketplace Consumer</x:v>
      </x:c>
      <x:c r="H1500" t="str">
        <x:v>Canada</x:v>
      </x:c>
      <x:c r="I1500" s="34" t="n">
        <x:v>52.800000000000004</x:v>
      </x:c>
      <x:c r="J1500" s="38" t="n">
        <x:v>2.001384</x:v>
      </x:c>
      <x:c r="K1500" s="38" t="n">
        <x:v>0.5169779999999999</x:v>
      </x:c>
      <x:c r="L1500" s="28" t="n">
        <x:v>0.2583102493074792</x:v>
      </x:c>
    </x:row>
    <x:row r="1501">
      <x:c r="A1501" s="32" t="n">
        <x:v>46204</x:v>
      </x:c>
      <x:c r="B1501" t="str">
        <x:v>Jul 2026</x:v>
      </x:c>
      <x:c r="C1501" t="str">
        <x:v>Forecast</x:v>
      </x:c>
      <x:c r="D1501" t="str">
        <x:v>DB-104</x:v>
      </x:c>
      <x:c r="E1501" t="str">
        <x:v>SunNest Cooling Towel</x:v>
      </x:c>
      <x:c r="F1501" t="str">
        <x:v>Wholesale</x:v>
      </x:c>
      <x:c r="G1501" t="str">
        <x:v>Retailer</x:v>
      </x:c>
      <x:c r="H1501" t="str">
        <x:v>US West</x:v>
      </x:c>
      <x:c r="I1501" s="34" t="n">
        <x:v>50.32</x:v>
      </x:c>
      <x:c r="J1501" s="38" t="n">
        <x:v>1.3050492</x:v>
      </x:c>
      <x:c r="K1501" s="38" t="n">
        <x:v>0.3878162399999999</x:v>
      </x:c>
      <x:c r="L1501" s="28" t="n">
        <x:v>0.29716599190283394</x:v>
      </x:c>
    </x:row>
    <x:row r="1502">
      <x:c r="A1502" s="32" t="n">
        <x:v>46204</x:v>
      </x:c>
      <x:c r="B1502" t="str">
        <x:v>Jul 2026</x:v>
      </x:c>
      <x:c r="C1502" t="str">
        <x:v>Forecast</x:v>
      </x:c>
      <x:c r="D1502" t="str">
        <x:v>DB-104</x:v>
      </x:c>
      <x:c r="E1502" t="str">
        <x:v>SunNest Cooling Towel</x:v>
      </x:c>
      <x:c r="F1502" t="str">
        <x:v>Wholesale</x:v>
      </x:c>
      <x:c r="G1502" t="str">
        <x:v>Retailer</x:v>
      </x:c>
      <x:c r="H1502" t="str">
        <x:v>US Central</x:v>
      </x:c>
      <x:c r="I1502" s="34" t="n">
        <x:v>35.519999999999996</x:v>
      </x:c>
      <x:c r="J1502" s="38" t="n">
        <x:v>0.9212111999999999</x:v>
      </x:c>
      <x:c r="K1502" s="38" t="n">
        <x:v>0.27375263999999994</x:v>
      </x:c>
      <x:c r="L1502" s="28" t="n">
        <x:v>0.297165991902834</x:v>
      </x:c>
    </x:row>
    <x:row r="1503">
      <x:c r="A1503" s="32" t="n">
        <x:v>46204</x:v>
      </x:c>
      <x:c r="B1503" t="str">
        <x:v>Jul 2026</x:v>
      </x:c>
      <x:c r="C1503" t="str">
        <x:v>Forecast</x:v>
      </x:c>
      <x:c r="D1503" t="str">
        <x:v>DB-104</x:v>
      </x:c>
      <x:c r="E1503" t="str">
        <x:v>SunNest Cooling Towel</x:v>
      </x:c>
      <x:c r="F1503" t="str">
        <x:v>Wholesale</x:v>
      </x:c>
      <x:c r="G1503" t="str">
        <x:v>Retailer</x:v>
      </x:c>
      <x:c r="H1503" t="str">
        <x:v>US East</x:v>
      </x:c>
      <x:c r="I1503" s="34" t="n">
        <x:v>47.36</x:v>
      </x:c>
      <x:c r="J1503" s="38" t="n">
        <x:v>1.2282816</x:v>
      </x:c>
      <x:c r="K1503" s="38" t="n">
        <x:v>0.3650035199999999</x:v>
      </x:c>
      <x:c r="L1503" s="28" t="n">
        <x:v>0.29716599190283394</x:v>
      </x:c>
    </x:row>
    <x:row r="1504">
      <x:c r="A1504" s="32" t="n">
        <x:v>46204</x:v>
      </x:c>
      <x:c r="B1504" t="str">
        <x:v>Jul 2026</x:v>
      </x:c>
      <x:c r="C1504" t="str">
        <x:v>Forecast</x:v>
      </x:c>
      <x:c r="D1504" t="str">
        <x:v>DB-104</x:v>
      </x:c>
      <x:c r="E1504" t="str">
        <x:v>SunNest Cooling Towel</x:v>
      </x:c>
      <x:c r="F1504" t="str">
        <x:v>Wholesale</x:v>
      </x:c>
      <x:c r="G1504" t="str">
        <x:v>Retailer</x:v>
      </x:c>
      <x:c r="H1504" t="str">
        <x:v>Canada</x:v>
      </x:c>
      <x:c r="I1504" s="34" t="n">
        <x:v>14.8</x:v>
      </x:c>
      <x:c r="J1504" s="38" t="n">
        <x:v>0.383838</x:v>
      </x:c>
      <x:c r="K1504" s="38" t="n">
        <x:v>0.11406359999999999</x:v>
      </x:c>
      <x:c r="L1504" s="28" t="n">
        <x:v>0.297165991902834</x:v>
      </x:c>
    </x:row>
    <x:row r="1505">
      <x:c r="A1505" s="32" t="n">
        <x:v>46204</x:v>
      </x:c>
      <x:c r="B1505" t="str">
        <x:v>Jul 2026</x:v>
      </x:c>
      <x:c r="C1505" t="str">
        <x:v>Forecast</x:v>
      </x:c>
      <x:c r="D1505" t="str">
        <x:v>DB-104</x:v>
      </x:c>
      <x:c r="E1505" t="str">
        <x:v>SunNest Cooling Towel</x:v>
      </x:c>
      <x:c r="F1505" t="str">
        <x:v>TikTok Shop</x:v>
      </x:c>
      <x:c r="G1505" t="str">
        <x:v>Social Commerce</x:v>
      </x:c>
      <x:c r="H1505" t="str">
        <x:v>US West</x:v>
      </x:c>
      <x:c r="I1505" s="34" t="n">
        <x:v>77.52000000000001</x:v>
      </x:c>
      <x:c r="J1505" s="38" t="n">
        <x:v>2.7218822400000007</x:v>
      </x:c>
      <x:c r="K1505" s="38" t="n">
        <x:v>0.7797761606400002</x:v>
      </x:c>
      <x:c r="L1505" s="28" t="n">
        <x:v>0.2864841649578492</x:v>
      </x:c>
    </x:row>
    <x:row r="1506">
      <x:c r="A1506" s="32" t="n">
        <x:v>46204</x:v>
      </x:c>
      <x:c r="B1506" t="str">
        <x:v>Jul 2026</x:v>
      </x:c>
      <x:c r="C1506" t="str">
        <x:v>Forecast</x:v>
      </x:c>
      <x:c r="D1506" t="str">
        <x:v>DB-104</x:v>
      </x:c>
      <x:c r="E1506" t="str">
        <x:v>SunNest Cooling Towel</x:v>
      </x:c>
      <x:c r="F1506" t="str">
        <x:v>TikTok Shop</x:v>
      </x:c>
      <x:c r="G1506" t="str">
        <x:v>Social Commerce</x:v>
      </x:c>
      <x:c r="H1506" t="str">
        <x:v>US Central</x:v>
      </x:c>
      <x:c r="I1506" s="34" t="n">
        <x:v>54.72</x:v>
      </x:c>
      <x:c r="J1506" s="38" t="n">
        <x:v>1.9213286400000003</x:v>
      </x:c>
      <x:c r="K1506" s="38" t="n">
        <x:v>0.5504302310400001</x:v>
      </x:c>
      <x:c r="L1506" s="28" t="n">
        <x:v>0.2864841649578492</x:v>
      </x:c>
    </x:row>
    <x:row r="1507">
      <x:c r="A1507" s="32" t="n">
        <x:v>46204</x:v>
      </x:c>
      <x:c r="B1507" t="str">
        <x:v>Jul 2026</x:v>
      </x:c>
      <x:c r="C1507" t="str">
        <x:v>Forecast</x:v>
      </x:c>
      <x:c r="D1507" t="str">
        <x:v>DB-104</x:v>
      </x:c>
      <x:c r="E1507" t="str">
        <x:v>SunNest Cooling Towel</x:v>
      </x:c>
      <x:c r="F1507" t="str">
        <x:v>TikTok Shop</x:v>
      </x:c>
      <x:c r="G1507" t="str">
        <x:v>Social Commerce</x:v>
      </x:c>
      <x:c r="H1507" t="str">
        <x:v>US East</x:v>
      </x:c>
      <x:c r="I1507" s="34" t="n">
        <x:v>72.96000000000001</x:v>
      </x:c>
      <x:c r="J1507" s="38" t="n">
        <x:v>2.56177152</x:v>
      </x:c>
      <x:c r="K1507" s="38" t="n">
        <x:v>0.7339069747200001</x:v>
      </x:c>
      <x:c r="L1507" s="28" t="n">
        <x:v>0.2864841649578492</x:v>
      </x:c>
    </x:row>
    <x:row r="1508">
      <x:c r="A1508" s="32" t="n">
        <x:v>46204</x:v>
      </x:c>
      <x:c r="B1508" t="str">
        <x:v>Jul 2026</x:v>
      </x:c>
      <x:c r="C1508" t="str">
        <x:v>Forecast</x:v>
      </x:c>
      <x:c r="D1508" t="str">
        <x:v>DB-104</x:v>
      </x:c>
      <x:c r="E1508" t="str">
        <x:v>SunNest Cooling Towel</x:v>
      </x:c>
      <x:c r="F1508" t="str">
        <x:v>TikTok Shop</x:v>
      </x:c>
      <x:c r="G1508" t="str">
        <x:v>Social Commerce</x:v>
      </x:c>
      <x:c r="H1508" t="str">
        <x:v>Canada</x:v>
      </x:c>
      <x:c r="I1508" s="34" t="n">
        <x:v>22.8</x:v>
      </x:c>
      <x:c r="J1508" s="38" t="n">
        <x:v>0.8005536000000002</x:v>
      </x:c>
      <x:c r="K1508" s="38" t="n">
        <x:v>0.22934592960000005</x:v>
      </x:c>
      <x:c r="L1508" s="28" t="n">
        <x:v>0.2864841649578492</x:v>
      </x:c>
    </x:row>
    <x:row r="1509">
      <x:c r="A1509" s="32" t="n">
        <x:v>46204</x:v>
      </x:c>
      <x:c r="B1509" t="str">
        <x:v>Jul 2026</x:v>
      </x:c>
      <x:c r="C1509" t="str">
        <x:v>Forecast</x:v>
      </x:c>
      <x:c r="D1509" t="str">
        <x:v>DB-105</x:v>
      </x:c>
      <x:c r="E1509" t="str">
        <x:v>DreamFuel Refill Pack</x:v>
      </x:c>
      <x:c r="F1509" t="str">
        <x:v>Shopify DTC</x:v>
      </x:c>
      <x:c r="G1509" t="str">
        <x:v>Consumer</x:v>
      </x:c>
      <x:c r="H1509" t="str">
        <x:v>US West</x:v>
      </x:c>
      <x:c r="I1509" s="34" t="n">
        <x:v>266.56</x:v>
      </x:c>
      <x:c r="J1509" s="38" t="n">
        <x:v>13.458507776000001</x:v>
      </x:c>
      <x:c r="K1509" s="38" t="n">
        <x:v>6.5578562344960005</x:v>
      </x:c>
      <x:c r="L1509" s="28" t="n">
        <x:v>0.48726473570794776</x:v>
      </x:c>
    </x:row>
    <x:row r="1510">
      <x:c r="A1510" s="32" t="n">
        <x:v>46204</x:v>
      </x:c>
      <x:c r="B1510" t="str">
        <x:v>Jul 2026</x:v>
      </x:c>
      <x:c r="C1510" t="str">
        <x:v>Forecast</x:v>
      </x:c>
      <x:c r="D1510" t="str">
        <x:v>DB-105</x:v>
      </x:c>
      <x:c r="E1510" t="str">
        <x:v>DreamFuel Refill Pack</x:v>
      </x:c>
      <x:c r="F1510" t="str">
        <x:v>Shopify DTC</x:v>
      </x:c>
      <x:c r="G1510" t="str">
        <x:v>Consumer</x:v>
      </x:c>
      <x:c r="H1510" t="str">
        <x:v>US Central</x:v>
      </x:c>
      <x:c r="I1510" s="34" t="n">
        <x:v>188.16</x:v>
      </x:c>
      <x:c r="J1510" s="38" t="n">
        <x:v>9.500123136</x:v>
      </x:c>
      <x:c r="K1510" s="38" t="n">
        <x:v>4.629074989056</x:v>
      </x:c>
      <x:c r="L1510" s="28" t="n">
        <x:v>0.4872647357079478</x:v>
      </x:c>
    </x:row>
    <x:row r="1511">
      <x:c r="A1511" s="32" t="n">
        <x:v>46204</x:v>
      </x:c>
      <x:c r="B1511" t="str">
        <x:v>Jul 2026</x:v>
      </x:c>
      <x:c r="C1511" t="str">
        <x:v>Forecast</x:v>
      </x:c>
      <x:c r="D1511" t="str">
        <x:v>DB-105</x:v>
      </x:c>
      <x:c r="E1511" t="str">
        <x:v>DreamFuel Refill Pack</x:v>
      </x:c>
      <x:c r="F1511" t="str">
        <x:v>Shopify DTC</x:v>
      </x:c>
      <x:c r="G1511" t="str">
        <x:v>Consumer</x:v>
      </x:c>
      <x:c r="H1511" t="str">
        <x:v>US East</x:v>
      </x:c>
      <x:c r="I1511" s="34" t="n">
        <x:v>250.88</x:v>
      </x:c>
      <x:c r="J1511" s="38" t="n">
        <x:v>12.666830848</x:v>
      </x:c>
      <x:c r="K1511" s="38" t="n">
        <x:v>6.172099985408001</x:v>
      </x:c>
      <x:c r="L1511" s="28" t="n">
        <x:v>0.4872647357079478</x:v>
      </x:c>
    </x:row>
    <x:row r="1512">
      <x:c r="A1512" s="32" t="n">
        <x:v>46204</x:v>
      </x:c>
      <x:c r="B1512" t="str">
        <x:v>Jul 2026</x:v>
      </x:c>
      <x:c r="C1512" t="str">
        <x:v>Forecast</x:v>
      </x:c>
      <x:c r="D1512" t="str">
        <x:v>DB-105</x:v>
      </x:c>
      <x:c r="E1512" t="str">
        <x:v>DreamFuel Refill Pack</x:v>
      </x:c>
      <x:c r="F1512" t="str">
        <x:v>Shopify DTC</x:v>
      </x:c>
      <x:c r="G1512" t="str">
        <x:v>Consumer</x:v>
      </x:c>
      <x:c r="H1512" t="str">
        <x:v>Canada</x:v>
      </x:c>
      <x:c r="I1512" s="34" t="n">
        <x:v>78.4</x:v>
      </x:c>
      <x:c r="J1512" s="38" t="n">
        <x:v>3.9583846400000002</x:v>
      </x:c>
      <x:c r="K1512" s="38" t="n">
        <x:v>1.9287812454400002</x:v>
      </x:c>
      <x:c r="L1512" s="28" t="n">
        <x:v>0.4872647357079478</x:v>
      </x:c>
    </x:row>
    <x:row r="1513">
      <x:c r="A1513" s="32" t="n">
        <x:v>46204</x:v>
      </x:c>
      <x:c r="B1513" t="str">
        <x:v>Jul 2026</x:v>
      </x:c>
      <x:c r="C1513" t="str">
        <x:v>Forecast</x:v>
      </x:c>
      <x:c r="D1513" t="str">
        <x:v>DB-105</x:v>
      </x:c>
      <x:c r="E1513" t="str">
        <x:v>DreamFuel Refill Pack</x:v>
      </x:c>
      <x:c r="F1513" t="str">
        <x:v>Amazon Marketplace</x:v>
      </x:c>
      <x:c r="G1513" t="str">
        <x:v>Marketplace Consumer</x:v>
      </x:c>
      <x:c r="H1513" t="str">
        <x:v>US West</x:v>
      </x:c>
      <x:c r="I1513" s="34" t="n">
        <x:v>157.76000000000002</x:v>
      </x:c>
      <x:c r="J1513" s="38" t="n">
        <x:v>8.224975360000002</x:v>
      </x:c>
      <x:c r="K1513" s="38" t="n">
        <x:v>2.893633920000001</x:v>
      </x:c>
      <x:c r="L1513" s="28" t="n">
        <x:v>0.35181064907165877</x:v>
      </x:c>
    </x:row>
    <x:row r="1514">
      <x:c r="A1514" s="32" t="n">
        <x:v>46204</x:v>
      </x:c>
      <x:c r="B1514" t="str">
        <x:v>Jul 2026</x:v>
      </x:c>
      <x:c r="C1514" t="str">
        <x:v>Forecast</x:v>
      </x:c>
      <x:c r="D1514" t="str">
        <x:v>DB-105</x:v>
      </x:c>
      <x:c r="E1514" t="str">
        <x:v>DreamFuel Refill Pack</x:v>
      </x:c>
      <x:c r="F1514" t="str">
        <x:v>Amazon Marketplace</x:v>
      </x:c>
      <x:c r="G1514" t="str">
        <x:v>Marketplace Consumer</x:v>
      </x:c>
      <x:c r="H1514" t="str">
        <x:v>US Central</x:v>
      </x:c>
      <x:c r="I1514" s="34" t="n">
        <x:v>111.36</x:v>
      </x:c>
      <x:c r="J1514" s="38" t="n">
        <x:v>5.80586496</x:v>
      </x:c>
      <x:c r="K1514" s="38" t="n">
        <x:v>2.0425651200000003</x:v>
      </x:c>
      <x:c r="L1514" s="28" t="n">
        <x:v>0.3518106490716588</x:v>
      </x:c>
    </x:row>
    <x:row r="1515">
      <x:c r="A1515" s="32" t="n">
        <x:v>46204</x:v>
      </x:c>
      <x:c r="B1515" t="str">
        <x:v>Jul 2026</x:v>
      </x:c>
      <x:c r="C1515" t="str">
        <x:v>Forecast</x:v>
      </x:c>
      <x:c r="D1515" t="str">
        <x:v>DB-105</x:v>
      </x:c>
      <x:c r="E1515" t="str">
        <x:v>DreamFuel Refill Pack</x:v>
      </x:c>
      <x:c r="F1515" t="str">
        <x:v>Amazon Marketplace</x:v>
      </x:c>
      <x:c r="G1515" t="str">
        <x:v>Marketplace Consumer</x:v>
      </x:c>
      <x:c r="H1515" t="str">
        <x:v>US East</x:v>
      </x:c>
      <x:c r="I1515" s="34" t="n">
        <x:v>148.48</x:v>
      </x:c>
      <x:c r="J1515" s="38" t="n">
        <x:v>7.741153280000001</x:v>
      </x:c>
      <x:c r="K1515" s="38" t="n">
        <x:v>2.7234201600000008</x:v>
      </x:c>
      <x:c r="L1515" s="28" t="n">
        <x:v>0.3518106490716588</x:v>
      </x:c>
    </x:row>
    <x:row r="1516">
      <x:c r="A1516" s="32" t="n">
        <x:v>46204</x:v>
      </x:c>
      <x:c r="B1516" t="str">
        <x:v>Jul 2026</x:v>
      </x:c>
      <x:c r="C1516" t="str">
        <x:v>Forecast</x:v>
      </x:c>
      <x:c r="D1516" t="str">
        <x:v>DB-105</x:v>
      </x:c>
      <x:c r="E1516" t="str">
        <x:v>DreamFuel Refill Pack</x:v>
      </x:c>
      <x:c r="F1516" t="str">
        <x:v>Amazon Marketplace</x:v>
      </x:c>
      <x:c r="G1516" t="str">
        <x:v>Marketplace Consumer</x:v>
      </x:c>
      <x:c r="H1516" t="str">
        <x:v>Canada</x:v>
      </x:c>
      <x:c r="I1516" s="34" t="n">
        <x:v>46.400000000000006</x:v>
      </x:c>
      <x:c r="J1516" s="38" t="n">
        <x:v>2.4191104000000005</x:v>
      </x:c>
      <x:c r="K1516" s="38" t="n">
        <x:v>0.8510688000000002</x:v>
      </x:c>
      <x:c r="L1516" s="28" t="n">
        <x:v>0.3518106490716587</x:v>
      </x:c>
    </x:row>
    <x:row r="1517">
      <x:c r="A1517" s="32" t="n">
        <x:v>46204</x:v>
      </x:c>
      <x:c r="B1517" t="str">
        <x:v>Jul 2026</x:v>
      </x:c>
      <x:c r="C1517" t="str">
        <x:v>Forecast</x:v>
      </x:c>
      <x:c r="D1517" t="str">
        <x:v>DB-105</x:v>
      </x:c>
      <x:c r="E1517" t="str">
        <x:v>DreamFuel Refill Pack</x:v>
      </x:c>
      <x:c r="F1517" t="str">
        <x:v>Wholesale</x:v>
      </x:c>
      <x:c r="G1517" t="str">
        <x:v>Retailer</x:v>
      </x:c>
      <x:c r="H1517" t="str">
        <x:v>US West</x:v>
      </x:c>
      <x:c r="I1517" s="34" t="n">
        <x:v>43.52</x:v>
      </x:c>
      <x:c r="J1517" s="38" t="n">
        <x:v>1.5524454400000003</x:v>
      </x:c>
      <x:c r="K1517" s="38" t="n">
        <x:v>0.6048583680000001</x:v>
      </x:c>
      <x:c r="L1517" s="28" t="n">
        <x:v>0.3896165059430366</x:v>
      </x:c>
    </x:row>
    <x:row r="1518">
      <x:c r="A1518" s="32" t="n">
        <x:v>46204</x:v>
      </x:c>
      <x:c r="B1518" t="str">
        <x:v>Jul 2026</x:v>
      </x:c>
      <x:c r="C1518" t="str">
        <x:v>Forecast</x:v>
      </x:c>
      <x:c r="D1518" t="str">
        <x:v>DB-105</x:v>
      </x:c>
      <x:c r="E1518" t="str">
        <x:v>DreamFuel Refill Pack</x:v>
      </x:c>
      <x:c r="F1518" t="str">
        <x:v>Wholesale</x:v>
      </x:c>
      <x:c r="G1518" t="str">
        <x:v>Retailer</x:v>
      </x:c>
      <x:c r="H1518" t="str">
        <x:v>US Central</x:v>
      </x:c>
      <x:c r="I1518" s="34" t="n">
        <x:v>30.72</x:v>
      </x:c>
      <x:c r="J1518" s="38" t="n">
        <x:v>1.0958438400000001</x:v>
      </x:c>
      <x:c r="K1518" s="38" t="n">
        <x:v>0.42695884800000006</x:v>
      </x:c>
      <x:c r="L1518" s="28" t="n">
        <x:v>0.38961650594303654</x:v>
      </x:c>
    </x:row>
    <x:row r="1519">
      <x:c r="A1519" s="32" t="n">
        <x:v>46204</x:v>
      </x:c>
      <x:c r="B1519" t="str">
        <x:v>Jul 2026</x:v>
      </x:c>
      <x:c r="C1519" t="str">
        <x:v>Forecast</x:v>
      </x:c>
      <x:c r="D1519" t="str">
        <x:v>DB-105</x:v>
      </x:c>
      <x:c r="E1519" t="str">
        <x:v>DreamFuel Refill Pack</x:v>
      </x:c>
      <x:c r="F1519" t="str">
        <x:v>Wholesale</x:v>
      </x:c>
      <x:c r="G1519" t="str">
        <x:v>Retailer</x:v>
      </x:c>
      <x:c r="H1519" t="str">
        <x:v>US East</x:v>
      </x:c>
      <x:c r="I1519" s="34" t="n">
        <x:v>40.96</x:v>
      </x:c>
      <x:c r="J1519" s="38" t="n">
        <x:v>1.4611251200000002</x:v>
      </x:c>
      <x:c r="K1519" s="38" t="n">
        <x:v>0.569278464</x:v>
      </x:c>
      <x:c r="L1519" s="28" t="n">
        <x:v>0.38961650594303654</x:v>
      </x:c>
    </x:row>
    <x:row r="1520">
      <x:c r="A1520" s="32" t="n">
        <x:v>46204</x:v>
      </x:c>
      <x:c r="B1520" t="str">
        <x:v>Jul 2026</x:v>
      </x:c>
      <x:c r="C1520" t="str">
        <x:v>Forecast</x:v>
      </x:c>
      <x:c r="D1520" t="str">
        <x:v>DB-105</x:v>
      </x:c>
      <x:c r="E1520" t="str">
        <x:v>DreamFuel Refill Pack</x:v>
      </x:c>
      <x:c r="F1520" t="str">
        <x:v>Wholesale</x:v>
      </x:c>
      <x:c r="G1520" t="str">
        <x:v>Retailer</x:v>
      </x:c>
      <x:c r="H1520" t="str">
        <x:v>Canada</x:v>
      </x:c>
      <x:c r="I1520" s="34" t="n">
        <x:v>12.8</x:v>
      </x:c>
      <x:c r="J1520" s="38" t="n">
        <x:v>0.45660160000000005</x:v>
      </x:c>
      <x:c r="K1520" s="38" t="n">
        <x:v>0.17789952000000003</x:v>
      </x:c>
      <x:c r="L1520" s="28" t="n">
        <x:v>0.3896165059430366</x:v>
      </x:c>
    </x:row>
    <x:row r="1521">
      <x:c r="A1521" s="32" t="n">
        <x:v>46204</x:v>
      </x:c>
      <x:c r="B1521" t="str">
        <x:v>Jul 2026</x:v>
      </x:c>
      <x:c r="C1521" t="str">
        <x:v>Forecast</x:v>
      </x:c>
      <x:c r="D1521" t="str">
        <x:v>DB-105</x:v>
      </x:c>
      <x:c r="E1521" t="str">
        <x:v>DreamFuel Refill Pack</x:v>
      </x:c>
      <x:c r="F1521" t="str">
        <x:v>TikTok Shop</x:v>
      </x:c>
      <x:c r="G1521" t="str">
        <x:v>Social Commerce</x:v>
      </x:c>
      <x:c r="H1521" t="str">
        <x:v>US West</x:v>
      </x:c>
      <x:c r="I1521" s="34" t="n">
        <x:v>66.64</x:v>
      </x:c>
      <x:c r="J1521" s="38" t="n">
        <x:v>3.218338816</x:v>
      </x:c>
      <x:c r="K1521" s="38" t="n">
        <x:v>1.234345957376</x:v>
      </x:c>
      <x:c r="L1521" s="28" t="n">
        <x:v>0.3835351179432812</x:v>
      </x:c>
    </x:row>
    <x:row r="1522">
      <x:c r="A1522" s="32" t="n">
        <x:v>46204</x:v>
      </x:c>
      <x:c r="B1522" t="str">
        <x:v>Jul 2026</x:v>
      </x:c>
      <x:c r="C1522" t="str">
        <x:v>Forecast</x:v>
      </x:c>
      <x:c r="D1522" t="str">
        <x:v>DB-105</x:v>
      </x:c>
      <x:c r="E1522" t="str">
        <x:v>DreamFuel Refill Pack</x:v>
      </x:c>
      <x:c r="F1522" t="str">
        <x:v>TikTok Shop</x:v>
      </x:c>
      <x:c r="G1522" t="str">
        <x:v>Social Commerce</x:v>
      </x:c>
      <x:c r="H1522" t="str">
        <x:v>US Central</x:v>
      </x:c>
      <x:c r="I1522" s="34" t="n">
        <x:v>47.04</x:v>
      </x:c>
      <x:c r="J1522" s="38" t="n">
        <x:v>2.271768576</x:v>
      </x:c>
      <x:c r="K1522" s="38" t="n">
        <x:v>0.871303028736</x:v>
      </x:c>
      <x:c r="L1522" s="28" t="n">
        <x:v>0.3835351179432812</x:v>
      </x:c>
    </x:row>
    <x:row r="1523">
      <x:c r="A1523" s="32" t="n">
        <x:v>46204</x:v>
      </x:c>
      <x:c r="B1523" t="str">
        <x:v>Jul 2026</x:v>
      </x:c>
      <x:c r="C1523" t="str">
        <x:v>Forecast</x:v>
      </x:c>
      <x:c r="D1523" t="str">
        <x:v>DB-105</x:v>
      </x:c>
      <x:c r="E1523" t="str">
        <x:v>DreamFuel Refill Pack</x:v>
      </x:c>
      <x:c r="F1523" t="str">
        <x:v>TikTok Shop</x:v>
      </x:c>
      <x:c r="G1523" t="str">
        <x:v>Social Commerce</x:v>
      </x:c>
      <x:c r="H1523" t="str">
        <x:v>US East</x:v>
      </x:c>
      <x:c r="I1523" s="34" t="n">
        <x:v>62.72</x:v>
      </x:c>
      <x:c r="J1523" s="38" t="n">
        <x:v>3.0290247679999998</x:v>
      </x:c>
      <x:c r="K1523" s="38" t="n">
        <x:v>1.161737371648</x:v>
      </x:c>
      <x:c r="L1523" s="28" t="n">
        <x:v>0.3835351179432812</x:v>
      </x:c>
    </x:row>
    <x:row r="1524">
      <x:c r="A1524" s="32" t="n">
        <x:v>46204</x:v>
      </x:c>
      <x:c r="B1524" t="str">
        <x:v>Jul 2026</x:v>
      </x:c>
      <x:c r="C1524" t="str">
        <x:v>Forecast</x:v>
      </x:c>
      <x:c r="D1524" t="str">
        <x:v>DB-105</x:v>
      </x:c>
      <x:c r="E1524" t="str">
        <x:v>DreamFuel Refill Pack</x:v>
      </x:c>
      <x:c r="F1524" t="str">
        <x:v>TikTok Shop</x:v>
      </x:c>
      <x:c r="G1524" t="str">
        <x:v>Social Commerce</x:v>
      </x:c>
      <x:c r="H1524" t="str">
        <x:v>Canada</x:v>
      </x:c>
      <x:c r="I1524" s="34" t="n">
        <x:v>19.6</x:v>
      </x:c>
      <x:c r="J1524" s="38" t="n">
        <x:v>0.94657024</x:v>
      </x:c>
      <x:c r="K1524" s="38" t="n">
        <x:v>0.36304292864000004</x:v>
      </x:c>
      <x:c r="L1524" s="28" t="n">
        <x:v>0.38353511794328127</x:v>
      </x:c>
    </x:row>
    <x:row r="1525">
      <x:c r="A1525" s="32" t="n">
        <x:v>46235</x:v>
      </x:c>
      <x:c r="B1525" t="str">
        <x:v>Aug 2026</x:v>
      </x:c>
      <x:c r="C1525" t="str">
        <x:v>Forecast</x:v>
      </x:c>
      <x:c r="D1525" t="str">
        <x:v>DB-101</x:v>
      </x:c>
      <x:c r="E1525" t="str">
        <x:v>AeroSip Bottle</x:v>
      </x:c>
      <x:c r="F1525" t="str">
        <x:v>Shopify DTC</x:v>
      </x:c>
      <x:c r="G1525" t="str">
        <x:v>Consumer</x:v>
      </x:c>
      <x:c r="H1525" t="str">
        <x:v>US West</x:v>
      </x:c>
      <x:c r="I1525" s="34" t="n">
        <x:v>425.00000000000006</x:v>
      </x:c>
      <x:c r="J1525" s="38" t="n">
        <x:v>10.828745</x:v>
      </x:c>
      <x:c r="K1525" s="38" t="n">
        <x:v>3.4444113949999995</x:v>
      </x:c>
      <x:c r="L1525" s="28" t="n">
        <x:v>0.3180803865083165</x:v>
      </x:c>
    </x:row>
    <x:row r="1526">
      <x:c r="A1526" s="32" t="n">
        <x:v>46235</x:v>
      </x:c>
      <x:c r="B1526" t="str">
        <x:v>Aug 2026</x:v>
      </x:c>
      <x:c r="C1526" t="str">
        <x:v>Forecast</x:v>
      </x:c>
      <x:c r="D1526" t="str">
        <x:v>DB-101</x:v>
      </x:c>
      <x:c r="E1526" t="str">
        <x:v>AeroSip Bottle</x:v>
      </x:c>
      <x:c r="F1526" t="str">
        <x:v>Shopify DTC</x:v>
      </x:c>
      <x:c r="G1526" t="str">
        <x:v>Consumer</x:v>
      </x:c>
      <x:c r="H1526" t="str">
        <x:v>US Central</x:v>
      </x:c>
      <x:c r="I1526" s="34" t="n">
        <x:v>300</x:v>
      </x:c>
      <x:c r="J1526" s="38" t="n">
        <x:v>7.643819999999999</x:v>
      </x:c>
      <x:c r="K1526" s="38" t="n">
        <x:v>2.4313492199999995</x:v>
      </x:c>
      <x:c r="L1526" s="28" t="n">
        <x:v>0.3180803865083165</x:v>
      </x:c>
    </x:row>
    <x:row r="1527">
      <x:c r="A1527" s="32" t="n">
        <x:v>46235</x:v>
      </x:c>
      <x:c r="B1527" t="str">
        <x:v>Aug 2026</x:v>
      </x:c>
      <x:c r="C1527" t="str">
        <x:v>Forecast</x:v>
      </x:c>
      <x:c r="D1527" t="str">
        <x:v>DB-101</x:v>
      </x:c>
      <x:c r="E1527" t="str">
        <x:v>AeroSip Bottle</x:v>
      </x:c>
      <x:c r="F1527" t="str">
        <x:v>Shopify DTC</x:v>
      </x:c>
      <x:c r="G1527" t="str">
        <x:v>Consumer</x:v>
      </x:c>
      <x:c r="H1527" t="str">
        <x:v>US East</x:v>
      </x:c>
      <x:c r="I1527" s="34" t="n">
        <x:v>400</x:v>
      </x:c>
      <x:c r="J1527" s="38" t="n">
        <x:v>10.19176</x:v>
      </x:c>
      <x:c r="K1527" s="38" t="n">
        <x:v>3.2417989599999992</x:v>
      </x:c>
      <x:c r="L1527" s="28" t="n">
        <x:v>0.31808038650831644</x:v>
      </x:c>
    </x:row>
    <x:row r="1528">
      <x:c r="A1528" s="32" t="n">
        <x:v>46235</x:v>
      </x:c>
      <x:c r="B1528" t="str">
        <x:v>Aug 2026</x:v>
      </x:c>
      <x:c r="C1528" t="str">
        <x:v>Forecast</x:v>
      </x:c>
      <x:c r="D1528" t="str">
        <x:v>DB-101</x:v>
      </x:c>
      <x:c r="E1528" t="str">
        <x:v>AeroSip Bottle</x:v>
      </x:c>
      <x:c r="F1528" t="str">
        <x:v>Shopify DTC</x:v>
      </x:c>
      <x:c r="G1528" t="str">
        <x:v>Consumer</x:v>
      </x:c>
      <x:c r="H1528" t="str">
        <x:v>Canada</x:v>
      </x:c>
      <x:c r="I1528" s="34" t="n">
        <x:v>125</x:v>
      </x:c>
      <x:c r="J1528" s="38" t="n">
        <x:v>3.184925</x:v>
      </x:c>
      <x:c r="K1528" s="38" t="n">
        <x:v>1.0130621749999997</x:v>
      </x:c>
      <x:c r="L1528" s="28" t="n">
        <x:v>0.31808038650831644</x:v>
      </x:c>
    </x:row>
    <x:row r="1529">
      <x:c r="A1529" s="32" t="n">
        <x:v>46235</x:v>
      </x:c>
      <x:c r="B1529" t="str">
        <x:v>Aug 2026</x:v>
      </x:c>
      <x:c r="C1529" t="str">
        <x:v>Forecast</x:v>
      </x:c>
      <x:c r="D1529" t="str">
        <x:v>DB-101</x:v>
      </x:c>
      <x:c r="E1529" t="str">
        <x:v>AeroSip Bottle</x:v>
      </x:c>
      <x:c r="F1529" t="str">
        <x:v>Amazon Marketplace</x:v>
      </x:c>
      <x:c r="G1529" t="str">
        <x:v>Marketplace Consumer</x:v>
      </x:c>
      <x:c r="H1529" t="str">
        <x:v>US West</x:v>
      </x:c>
      <x:c r="I1529" s="34" t="n">
        <x:v>249.9</x:v>
      </x:c>
      <x:c r="J1529" s="38" t="n">
        <x:v>6.5749314750000005</x:v>
      </x:c>
      <x:c r="K1529" s="38" t="n">
        <x:v>1.0440103537500005</x:v>
      </x:c>
      <x:c r="L1529" s="28" t="n">
        <x:v>0.15878649955815705</x:v>
      </x:c>
    </x:row>
    <x:row r="1530">
      <x:c r="A1530" s="32" t="n">
        <x:v>46235</x:v>
      </x:c>
      <x:c r="B1530" t="str">
        <x:v>Aug 2026</x:v>
      </x:c>
      <x:c r="C1530" t="str">
        <x:v>Forecast</x:v>
      </x:c>
      <x:c r="D1530" t="str">
        <x:v>DB-101</x:v>
      </x:c>
      <x:c r="E1530" t="str">
        <x:v>AeroSip Bottle</x:v>
      </x:c>
      <x:c r="F1530" t="str">
        <x:v>Amazon Marketplace</x:v>
      </x:c>
      <x:c r="G1530" t="str">
        <x:v>Marketplace Consumer</x:v>
      </x:c>
      <x:c r="H1530" t="str">
        <x:v>US Central</x:v>
      </x:c>
      <x:c r="I1530" s="34" t="n">
        <x:v>176.4</x:v>
      </x:c>
      <x:c r="J1530" s="38" t="n">
        <x:v>4.6411281</x:v>
      </x:c>
      <x:c r="K1530" s="38" t="n">
        <x:v>0.7369484850000003</x:v>
      </x:c>
      <x:c r="L1530" s="28" t="n">
        <x:v>0.15878649955815705</x:v>
      </x:c>
    </x:row>
    <x:row r="1531">
      <x:c r="A1531" s="32" t="n">
        <x:v>46235</x:v>
      </x:c>
      <x:c r="B1531" t="str">
        <x:v>Aug 2026</x:v>
      </x:c>
      <x:c r="C1531" t="str">
        <x:v>Forecast</x:v>
      </x:c>
      <x:c r="D1531" t="str">
        <x:v>DB-101</x:v>
      </x:c>
      <x:c r="E1531" t="str">
        <x:v>AeroSip Bottle</x:v>
      </x:c>
      <x:c r="F1531" t="str">
        <x:v>Amazon Marketplace</x:v>
      </x:c>
      <x:c r="G1531" t="str">
        <x:v>Marketplace Consumer</x:v>
      </x:c>
      <x:c r="H1531" t="str">
        <x:v>US East</x:v>
      </x:c>
      <x:c r="I1531" s="34" t="n">
        <x:v>235.20000000000002</x:v>
      </x:c>
      <x:c r="J1531" s="38" t="n">
        <x:v>6.188170800000001</x:v>
      </x:c>
      <x:c r="K1531" s="38" t="n">
        <x:v>0.9825979800000005</x:v>
      </x:c>
      <x:c r="L1531" s="28" t="n">
        <x:v>0.15878649955815705</x:v>
      </x:c>
    </x:row>
    <x:row r="1532">
      <x:c r="A1532" s="32" t="n">
        <x:v>46235</x:v>
      </x:c>
      <x:c r="B1532" t="str">
        <x:v>Aug 2026</x:v>
      </x:c>
      <x:c r="C1532" t="str">
        <x:v>Forecast</x:v>
      </x:c>
      <x:c r="D1532" t="str">
        <x:v>DB-101</x:v>
      </x:c>
      <x:c r="E1532" t="str">
        <x:v>AeroSip Bottle</x:v>
      </x:c>
      <x:c r="F1532" t="str">
        <x:v>Amazon Marketplace</x:v>
      </x:c>
      <x:c r="G1532" t="str">
        <x:v>Marketplace Consumer</x:v>
      </x:c>
      <x:c r="H1532" t="str">
        <x:v>Canada</x:v>
      </x:c>
      <x:c r="I1532" s="34" t="n">
        <x:v>73.5</x:v>
      </x:c>
      <x:c r="J1532" s="38" t="n">
        <x:v>1.933803375</x:v>
      </x:c>
      <x:c r="K1532" s="38" t="n">
        <x:v>0.3070618687500002</x:v>
      </x:c>
      <x:c r="L1532" s="28" t="n">
        <x:v>0.15878649955815707</x:v>
      </x:c>
    </x:row>
    <x:row r="1533">
      <x:c r="A1533" s="32" t="n">
        <x:v>46235</x:v>
      </x:c>
      <x:c r="B1533" t="str">
        <x:v>Aug 2026</x:v>
      </x:c>
      <x:c r="C1533" t="str">
        <x:v>Forecast</x:v>
      </x:c>
      <x:c r="D1533" t="str">
        <x:v>DB-101</x:v>
      </x:c>
      <x:c r="E1533" t="str">
        <x:v>AeroSip Bottle</x:v>
      </x:c>
      <x:c r="F1533" t="str">
        <x:v>Wholesale</x:v>
      </x:c>
      <x:c r="G1533" t="str">
        <x:v>Retailer</x:v>
      </x:c>
      <x:c r="H1533" t="str">
        <x:v>US West</x:v>
      </x:c>
      <x:c r="I1533" s="34" t="n">
        <x:v>69.7</x:v>
      </x:c>
      <x:c r="J1533" s="38" t="n">
        <x:v>1.254721975</x:v>
      </x:c>
      <x:c r="K1533" s="38" t="n">
        <x:v>0.279897775</x:v>
      </x:c>
      <x:c r="L1533" s="28" t="n">
        <x:v>0.22307553432305194</x:v>
      </x:c>
    </x:row>
    <x:row r="1534">
      <x:c r="A1534" s="32" t="n">
        <x:v>46235</x:v>
      </x:c>
      <x:c r="B1534" t="str">
        <x:v>Aug 2026</x:v>
      </x:c>
      <x:c r="C1534" t="str">
        <x:v>Forecast</x:v>
      </x:c>
      <x:c r="D1534" t="str">
        <x:v>DB-101</x:v>
      </x:c>
      <x:c r="E1534" t="str">
        <x:v>AeroSip Bottle</x:v>
      </x:c>
      <x:c r="F1534" t="str">
        <x:v>Wholesale</x:v>
      </x:c>
      <x:c r="G1534" t="str">
        <x:v>Retailer</x:v>
      </x:c>
      <x:c r="H1534" t="str">
        <x:v>US Central</x:v>
      </x:c>
      <x:c r="I1534" s="34" t="n">
        <x:v>49.199999999999996</x:v>
      </x:c>
      <x:c r="J1534" s="38" t="n">
        <x:v>0.8856861</x:v>
      </x:c>
      <x:c r="K1534" s="38" t="n">
        <x:v>0.1975749</x:v>
      </x:c>
      <x:c r="L1534" s="28" t="n">
        <x:v>0.2230755343230519</x:v>
      </x:c>
    </x:row>
    <x:row r="1535">
      <x:c r="A1535" s="32" t="n">
        <x:v>46235</x:v>
      </x:c>
      <x:c r="B1535" t="str">
        <x:v>Aug 2026</x:v>
      </x:c>
      <x:c r="C1535" t="str">
        <x:v>Forecast</x:v>
      </x:c>
      <x:c r="D1535" t="str">
        <x:v>DB-101</x:v>
      </x:c>
      <x:c r="E1535" t="str">
        <x:v>AeroSip Bottle</x:v>
      </x:c>
      <x:c r="F1535" t="str">
        <x:v>Wholesale</x:v>
      </x:c>
      <x:c r="G1535" t="str">
        <x:v>Retailer</x:v>
      </x:c>
      <x:c r="H1535" t="str">
        <x:v>US East</x:v>
      </x:c>
      <x:c r="I1535" s="34" t="n">
        <x:v>65.6</x:v>
      </x:c>
      <x:c r="J1535" s="38" t="n">
        <x:v>1.1809148</x:v>
      </x:c>
      <x:c r="K1535" s="38" t="n">
        <x:v>0.26343320000000003</x:v>
      </x:c>
      <x:c r="L1535" s="28" t="n">
        <x:v>0.22307553432305194</x:v>
      </x:c>
    </x:row>
    <x:row r="1536">
      <x:c r="A1536" s="32" t="n">
        <x:v>46235</x:v>
      </x:c>
      <x:c r="B1536" t="str">
        <x:v>Aug 2026</x:v>
      </x:c>
      <x:c r="C1536" t="str">
        <x:v>Forecast</x:v>
      </x:c>
      <x:c r="D1536" t="str">
        <x:v>DB-101</x:v>
      </x:c>
      <x:c r="E1536" t="str">
        <x:v>AeroSip Bottle</x:v>
      </x:c>
      <x:c r="F1536" t="str">
        <x:v>Wholesale</x:v>
      </x:c>
      <x:c r="G1536" t="str">
        <x:v>Retailer</x:v>
      </x:c>
      <x:c r="H1536" t="str">
        <x:v>Canada</x:v>
      </x:c>
      <x:c r="I1536" s="34" t="n">
        <x:v>20.5</x:v>
      </x:c>
      <x:c r="J1536" s="38" t="n">
        <x:v>0.369035875</x:v>
      </x:c>
      <x:c r="K1536" s="38" t="n">
        <x:v>0.08232287500000002</x:v>
      </x:c>
      <x:c r="L1536" s="28" t="n">
        <x:v>0.22307553432305197</x:v>
      </x:c>
    </x:row>
    <x:row r="1537">
      <x:c r="A1537" s="32" t="n">
        <x:v>46235</x:v>
      </x:c>
      <x:c r="B1537" t="str">
        <x:v>Aug 2026</x:v>
      </x:c>
      <x:c r="C1537" t="str">
        <x:v>Forecast</x:v>
      </x:c>
      <x:c r="D1537" t="str">
        <x:v>DB-101</x:v>
      </x:c>
      <x:c r="E1537" t="str">
        <x:v>AeroSip Bottle</x:v>
      </x:c>
      <x:c r="F1537" t="str">
        <x:v>TikTok Shop</x:v>
      </x:c>
      <x:c r="G1537" t="str">
        <x:v>Social Commerce</x:v>
      </x:c>
      <x:c r="H1537" t="str">
        <x:v>US West</x:v>
      </x:c>
      <x:c r="I1537" s="34" t="n">
        <x:v>107.10000000000001</x:v>
      </x:c>
      <x:c r="J1537" s="38" t="n">
        <x:v>2.61019836</x:v>
      </x:c>
      <x:c r="K1537" s="38" t="n">
        <x:v>0.4837201059599998</x:v>
      </x:c>
      <x:c r="L1537" s="28" t="n">
        <x:v>0.18531928966501987</x:v>
      </x:c>
    </x:row>
    <x:row r="1538">
      <x:c r="A1538" s="32" t="n">
        <x:v>46235</x:v>
      </x:c>
      <x:c r="B1538" t="str">
        <x:v>Aug 2026</x:v>
      </x:c>
      <x:c r="C1538" t="str">
        <x:v>Forecast</x:v>
      </x:c>
      <x:c r="D1538" t="str">
        <x:v>DB-101</x:v>
      </x:c>
      <x:c r="E1538" t="str">
        <x:v>AeroSip Bottle</x:v>
      </x:c>
      <x:c r="F1538" t="str">
        <x:v>TikTok Shop</x:v>
      </x:c>
      <x:c r="G1538" t="str">
        <x:v>Social Commerce</x:v>
      </x:c>
      <x:c r="H1538" t="str">
        <x:v>US Central</x:v>
      </x:c>
      <x:c r="I1538" s="34" t="n">
        <x:v>75.6</x:v>
      </x:c>
      <x:c r="J1538" s="38" t="n">
        <x:v>1.84249296</x:v>
      </x:c>
      <x:c r="K1538" s="38" t="n">
        <x:v>0.34144948655999985</x:v>
      </x:c>
      <x:c r="L1538" s="28" t="n">
        <x:v>0.18531928966501987</x:v>
      </x:c>
    </x:row>
    <x:row r="1539">
      <x:c r="A1539" s="32" t="n">
        <x:v>46235</x:v>
      </x:c>
      <x:c r="B1539" t="str">
        <x:v>Aug 2026</x:v>
      </x:c>
      <x:c r="C1539" t="str">
        <x:v>Forecast</x:v>
      </x:c>
      <x:c r="D1539" t="str">
        <x:v>DB-101</x:v>
      </x:c>
      <x:c r="E1539" t="str">
        <x:v>AeroSip Bottle</x:v>
      </x:c>
      <x:c r="F1539" t="str">
        <x:v>TikTok Shop</x:v>
      </x:c>
      <x:c r="G1539" t="str">
        <x:v>Social Commerce</x:v>
      </x:c>
      <x:c r="H1539" t="str">
        <x:v>US East</x:v>
      </x:c>
      <x:c r="I1539" s="34" t="n">
        <x:v>100.8</x:v>
      </x:c>
      <x:c r="J1539" s="38" t="n">
        <x:v>2.45665728</x:v>
      </x:c>
      <x:c r="K1539" s="38" t="n">
        <x:v>0.4552659820799998</x:v>
      </x:c>
      <x:c r="L1539" s="28" t="n">
        <x:v>0.18531928966501987</x:v>
      </x:c>
    </x:row>
    <x:row r="1540">
      <x:c r="A1540" s="32" t="n">
        <x:v>46235</x:v>
      </x:c>
      <x:c r="B1540" t="str">
        <x:v>Aug 2026</x:v>
      </x:c>
      <x:c r="C1540" t="str">
        <x:v>Forecast</x:v>
      </x:c>
      <x:c r="D1540" t="str">
        <x:v>DB-101</x:v>
      </x:c>
      <x:c r="E1540" t="str">
        <x:v>AeroSip Bottle</x:v>
      </x:c>
      <x:c r="F1540" t="str">
        <x:v>TikTok Shop</x:v>
      </x:c>
      <x:c r="G1540" t="str">
        <x:v>Social Commerce</x:v>
      </x:c>
      <x:c r="H1540" t="str">
        <x:v>Canada</x:v>
      </x:c>
      <x:c r="I1540" s="34" t="n">
        <x:v>31.5</x:v>
      </x:c>
      <x:c r="J1540" s="38" t="n">
        <x:v>0.7677054000000001</x:v>
      </x:c>
      <x:c r="K1540" s="38" t="n">
        <x:v>0.14227061939999994</x:v>
      </x:c>
      <x:c r="L1540" s="28" t="n">
        <x:v>0.18531928966501984</x:v>
      </x:c>
    </x:row>
    <x:row r="1541">
      <x:c r="A1541" s="32" t="n">
        <x:v>46235</x:v>
      </x:c>
      <x:c r="B1541" t="str">
        <x:v>Aug 2026</x:v>
      </x:c>
      <x:c r="C1541" t="str">
        <x:v>Forecast</x:v>
      </x:c>
      <x:c r="D1541" t="str">
        <x:v>DB-102</x:v>
      </x:c>
      <x:c r="E1541" t="str">
        <x:v>GlowPatch Balm</x:v>
      </x:c>
      <x:c r="F1541" t="str">
        <x:v>Shopify DTC</x:v>
      </x:c>
      <x:c r="G1541" t="str">
        <x:v>Consumer</x:v>
      </x:c>
      <x:c r="H1541" t="str">
        <x:v>US West</x:v>
      </x:c>
      <x:c r="I1541" s="34" t="n">
        <x:v>425.00000000000006</x:v>
      </x:c>
      <x:c r="J1541" s="38" t="n">
        <x:v>6.86205</x:v>
      </x:c>
      <x:c r="K1541" s="38" t="n">
        <x:v>1.8962505499999984</x:v>
      </x:c>
      <x:c r="L1541" s="28" t="n">
        <x:v>0.2763387835996529</x:v>
      </x:c>
    </x:row>
    <x:row r="1542">
      <x:c r="A1542" s="32" t="n">
        <x:v>46235</x:v>
      </x:c>
      <x:c r="B1542" t="str">
        <x:v>Aug 2026</x:v>
      </x:c>
      <x:c r="C1542" t="str">
        <x:v>Forecast</x:v>
      </x:c>
      <x:c r="D1542" t="str">
        <x:v>DB-102</x:v>
      </x:c>
      <x:c r="E1542" t="str">
        <x:v>GlowPatch Balm</x:v>
      </x:c>
      <x:c r="F1542" t="str">
        <x:v>Shopify DTC</x:v>
      </x:c>
      <x:c r="G1542" t="str">
        <x:v>Consumer</x:v>
      </x:c>
      <x:c r="H1542" t="str">
        <x:v>US Central</x:v>
      </x:c>
      <x:c r="I1542" s="34" t="n">
        <x:v>300</x:v>
      </x:c>
      <x:c r="J1542" s="38" t="n">
        <x:v>4.843799999999999</x:v>
      </x:c>
      <x:c r="K1542" s="38" t="n">
        <x:v>1.3385297999999988</x:v>
      </x:c>
      <x:c r="L1542" s="28" t="n">
        <x:v>0.27633878359965297</x:v>
      </x:c>
    </x:row>
    <x:row r="1543">
      <x:c r="A1543" s="32" t="n">
        <x:v>46235</x:v>
      </x:c>
      <x:c r="B1543" t="str">
        <x:v>Aug 2026</x:v>
      </x:c>
      <x:c r="C1543" t="str">
        <x:v>Forecast</x:v>
      </x:c>
      <x:c r="D1543" t="str">
        <x:v>DB-102</x:v>
      </x:c>
      <x:c r="E1543" t="str">
        <x:v>GlowPatch Balm</x:v>
      </x:c>
      <x:c r="F1543" t="str">
        <x:v>Shopify DTC</x:v>
      </x:c>
      <x:c r="G1543" t="str">
        <x:v>Consumer</x:v>
      </x:c>
      <x:c r="H1543" t="str">
        <x:v>US East</x:v>
      </x:c>
      <x:c r="I1543" s="34" t="n">
        <x:v>400</x:v>
      </x:c>
      <x:c r="J1543" s="38" t="n">
        <x:v>6.458399999999999</x:v>
      </x:c>
      <x:c r="K1543" s="38" t="n">
        <x:v>1.7847063999999984</x:v>
      </x:c>
      <x:c r="L1543" s="28" t="n">
        <x:v>0.27633878359965297</x:v>
      </x:c>
    </x:row>
    <x:row r="1544">
      <x:c r="A1544" s="32" t="n">
        <x:v>46235</x:v>
      </x:c>
      <x:c r="B1544" t="str">
        <x:v>Aug 2026</x:v>
      </x:c>
      <x:c r="C1544" t="str">
        <x:v>Forecast</x:v>
      </x:c>
      <x:c r="D1544" t="str">
        <x:v>DB-102</x:v>
      </x:c>
      <x:c r="E1544" t="str">
        <x:v>GlowPatch Balm</x:v>
      </x:c>
      <x:c r="F1544" t="str">
        <x:v>Shopify DTC</x:v>
      </x:c>
      <x:c r="G1544" t="str">
        <x:v>Consumer</x:v>
      </x:c>
      <x:c r="H1544" t="str">
        <x:v>Canada</x:v>
      </x:c>
      <x:c r="I1544" s="34" t="n">
        <x:v>125</x:v>
      </x:c>
      <x:c r="J1544" s="38" t="n">
        <x:v>2.0182499999999997</x:v>
      </x:c>
      <x:c r="K1544" s="38" t="n">
        <x:v>0.5577207499999995</x:v>
      </x:c>
      <x:c r="L1544" s="28" t="n">
        <x:v>0.27633878359965297</x:v>
      </x:c>
    </x:row>
    <x:row r="1545">
      <x:c r="A1545" s="32" t="n">
        <x:v>46235</x:v>
      </x:c>
      <x:c r="B1545" t="str">
        <x:v>Aug 2026</x:v>
      </x:c>
      <x:c r="C1545" t="str">
        <x:v>Forecast</x:v>
      </x:c>
      <x:c r="D1545" t="str">
        <x:v>DB-102</x:v>
      </x:c>
      <x:c r="E1545" t="str">
        <x:v>GlowPatch Balm</x:v>
      </x:c>
      <x:c r="F1545" t="str">
        <x:v>Amazon Marketplace</x:v>
      </x:c>
      <x:c r="G1545" t="str">
        <x:v>Marketplace Consumer</x:v>
      </x:c>
      <x:c r="H1545" t="str">
        <x:v>US West</x:v>
      </x:c>
      <x:c r="I1545" s="34" t="n">
        <x:v>251.60000000000002</x:v>
      </x:c>
      <x:c r="J1545" s="38" t="n">
        <x:v>4.194801</x:v>
      </x:c>
      <x:c r="K1545" s="38" t="n">
        <x:v>0.3536552499999998</x:v>
      </x:c>
      <x:c r="L1545" s="28" t="n">
        <x:v>0.084307992202729</x:v>
      </x:c>
    </x:row>
    <x:row r="1546">
      <x:c r="A1546" s="32" t="n">
        <x:v>46235</x:v>
      </x:c>
      <x:c r="B1546" t="str">
        <x:v>Aug 2026</x:v>
      </x:c>
      <x:c r="C1546" t="str">
        <x:v>Forecast</x:v>
      </x:c>
      <x:c r="D1546" t="str">
        <x:v>DB-102</x:v>
      </x:c>
      <x:c r="E1546" t="str">
        <x:v>GlowPatch Balm</x:v>
      </x:c>
      <x:c r="F1546" t="str">
        <x:v>Amazon Marketplace</x:v>
      </x:c>
      <x:c r="G1546" t="str">
        <x:v>Marketplace Consumer</x:v>
      </x:c>
      <x:c r="H1546" t="str">
        <x:v>US Central</x:v>
      </x:c>
      <x:c r="I1546" s="34" t="n">
        <x:v>177.6</x:v>
      </x:c>
      <x:c r="J1546" s="38" t="n">
        <x:v>2.961036</x:v>
      </x:c>
      <x:c r="K1546" s="38" t="n">
        <x:v>0.24963899999999986</x:v>
      </x:c>
      <x:c r="L1546" s="28" t="n">
        <x:v>0.084307992202729</x:v>
      </x:c>
    </x:row>
    <x:row r="1547">
      <x:c r="A1547" s="32" t="n">
        <x:v>46235</x:v>
      </x:c>
      <x:c r="B1547" t="str">
        <x:v>Aug 2026</x:v>
      </x:c>
      <x:c r="C1547" t="str">
        <x:v>Forecast</x:v>
      </x:c>
      <x:c r="D1547" t="str">
        <x:v>DB-102</x:v>
      </x:c>
      <x:c r="E1547" t="str">
        <x:v>GlowPatch Balm</x:v>
      </x:c>
      <x:c r="F1547" t="str">
        <x:v>Amazon Marketplace</x:v>
      </x:c>
      <x:c r="G1547" t="str">
        <x:v>Marketplace Consumer</x:v>
      </x:c>
      <x:c r="H1547" t="str">
        <x:v>US East</x:v>
      </x:c>
      <x:c r="I1547" s="34" t="n">
        <x:v>236.8</x:v>
      </x:c>
      <x:c r="J1547" s="38" t="n">
        <x:v>3.948048</x:v>
      </x:c>
      <x:c r="K1547" s="38" t="n">
        <x:v>0.3328519999999998</x:v>
      </x:c>
      <x:c r="L1547" s="28" t="n">
        <x:v>0.084307992202729</x:v>
      </x:c>
    </x:row>
    <x:row r="1548">
      <x:c r="A1548" s="32" t="n">
        <x:v>46235</x:v>
      </x:c>
      <x:c r="B1548" t="str">
        <x:v>Aug 2026</x:v>
      </x:c>
      <x:c r="C1548" t="str">
        <x:v>Forecast</x:v>
      </x:c>
      <x:c r="D1548" t="str">
        <x:v>DB-102</x:v>
      </x:c>
      <x:c r="E1548" t="str">
        <x:v>GlowPatch Balm</x:v>
      </x:c>
      <x:c r="F1548" t="str">
        <x:v>Amazon Marketplace</x:v>
      </x:c>
      <x:c r="G1548" t="str">
        <x:v>Marketplace Consumer</x:v>
      </x:c>
      <x:c r="H1548" t="str">
        <x:v>Canada</x:v>
      </x:c>
      <x:c r="I1548" s="34" t="n">
        <x:v>74</x:v>
      </x:c>
      <x:c r="J1548" s="38" t="n">
        <x:v>1.233765</x:v>
      </x:c>
      <x:c r="K1548" s="38" t="n">
        <x:v>0.10401624999999995</x:v>
      </x:c>
      <x:c r="L1548" s="28" t="n">
        <x:v>0.084307992202729</x:v>
      </x:c>
    </x:row>
    <x:row r="1549">
      <x:c r="A1549" s="32" t="n">
        <x:v>46235</x:v>
      </x:c>
      <x:c r="B1549" t="str">
        <x:v>Aug 2026</x:v>
      </x:c>
      <x:c r="C1549" t="str">
        <x:v>Forecast</x:v>
      </x:c>
      <x:c r="D1549" t="str">
        <x:v>DB-102</x:v>
      </x:c>
      <x:c r="E1549" t="str">
        <x:v>GlowPatch Balm</x:v>
      </x:c>
      <x:c r="F1549" t="str">
        <x:v>Wholesale</x:v>
      </x:c>
      <x:c r="G1549" t="str">
        <x:v>Retailer</x:v>
      </x:c>
      <x:c r="H1549" t="str">
        <x:v>US West</x:v>
      </x:c>
      <x:c r="I1549" s="34" t="n">
        <x:v>69.7</x:v>
      </x:c>
      <x:c r="J1549" s="38" t="n">
        <x:v>0.7951027500000001</x:v>
      </x:c>
      <x:c r="K1549" s="38" t="n">
        <x:v>0.19805255000000005</x:v>
      </x:c>
      <x:c r="L1549" s="28" t="n">
        <x:v>0.2490905106289722</x:v>
      </x:c>
    </x:row>
    <x:row r="1550">
      <x:c r="A1550" s="32" t="n">
        <x:v>46235</x:v>
      </x:c>
      <x:c r="B1550" t="str">
        <x:v>Aug 2026</x:v>
      </x:c>
      <x:c r="C1550" t="str">
        <x:v>Forecast</x:v>
      </x:c>
      <x:c r="D1550" t="str">
        <x:v>DB-102</x:v>
      </x:c>
      <x:c r="E1550" t="str">
        <x:v>GlowPatch Balm</x:v>
      </x:c>
      <x:c r="F1550" t="str">
        <x:v>Wholesale</x:v>
      </x:c>
      <x:c r="G1550" t="str">
        <x:v>Retailer</x:v>
      </x:c>
      <x:c r="H1550" t="str">
        <x:v>US Central</x:v>
      </x:c>
      <x:c r="I1550" s="34" t="n">
        <x:v>49.199999999999996</x:v>
      </x:c>
      <x:c r="J1550" s="38" t="n">
        <x:v>0.561249</x:v>
      </x:c>
      <x:c r="K1550" s="38" t="n">
        <x:v>0.1398018</x:v>
      </x:c>
      <x:c r="L1550" s="28" t="n">
        <x:v>0.24909051062897217</x:v>
      </x:c>
    </x:row>
    <x:row r="1551">
      <x:c r="A1551" s="32" t="n">
        <x:v>46235</x:v>
      </x:c>
      <x:c r="B1551" t="str">
        <x:v>Aug 2026</x:v>
      </x:c>
      <x:c r="C1551" t="str">
        <x:v>Forecast</x:v>
      </x:c>
      <x:c r="D1551" t="str">
        <x:v>DB-102</x:v>
      </x:c>
      <x:c r="E1551" t="str">
        <x:v>GlowPatch Balm</x:v>
      </x:c>
      <x:c r="F1551" t="str">
        <x:v>Wholesale</x:v>
      </x:c>
      <x:c r="G1551" t="str">
        <x:v>Retailer</x:v>
      </x:c>
      <x:c r="H1551" t="str">
        <x:v>US East</x:v>
      </x:c>
      <x:c r="I1551" s="34" t="n">
        <x:v>65.6</x:v>
      </x:c>
      <x:c r="J1551" s="38" t="n">
        <x:v>0.7483320000000001</x:v>
      </x:c>
      <x:c r="K1551" s="38" t="n">
        <x:v>0.18640240000000002</x:v>
      </x:c>
      <x:c r="L1551" s="28" t="n">
        <x:v>0.24909051062897217</x:v>
      </x:c>
    </x:row>
    <x:row r="1552">
      <x:c r="A1552" s="32" t="n">
        <x:v>46235</x:v>
      </x:c>
      <x:c r="B1552" t="str">
        <x:v>Aug 2026</x:v>
      </x:c>
      <x:c r="C1552" t="str">
        <x:v>Forecast</x:v>
      </x:c>
      <x:c r="D1552" t="str">
        <x:v>DB-102</x:v>
      </x:c>
      <x:c r="E1552" t="str">
        <x:v>GlowPatch Balm</x:v>
      </x:c>
      <x:c r="F1552" t="str">
        <x:v>Wholesale</x:v>
      </x:c>
      <x:c r="G1552" t="str">
        <x:v>Retailer</x:v>
      </x:c>
      <x:c r="H1552" t="str">
        <x:v>Canada</x:v>
      </x:c>
      <x:c r="I1552" s="34" t="n">
        <x:v>20.5</x:v>
      </x:c>
      <x:c r="J1552" s="38" t="n">
        <x:v>0.23385375000000003</x:v>
      </x:c>
      <x:c r="K1552" s="38" t="n">
        <x:v>0.05825075000000001</x:v>
      </x:c>
      <x:c r="L1552" s="28" t="n">
        <x:v>0.2490905106289722</x:v>
      </x:c>
    </x:row>
    <x:row r="1553">
      <x:c r="A1553" s="32" t="n">
        <x:v>46235</x:v>
      </x:c>
      <x:c r="B1553" t="str">
        <x:v>Aug 2026</x:v>
      </x:c>
      <x:c r="C1553" t="str">
        <x:v>Forecast</x:v>
      </x:c>
      <x:c r="D1553" t="str">
        <x:v>DB-102</x:v>
      </x:c>
      <x:c r="E1553" t="str">
        <x:v>GlowPatch Balm</x:v>
      </x:c>
      <x:c r="F1553" t="str">
        <x:v>TikTok Shop</x:v>
      </x:c>
      <x:c r="G1553" t="str">
        <x:v>Social Commerce</x:v>
      </x:c>
      <x:c r="H1553" t="str">
        <x:v>US West</x:v>
      </x:c>
      <x:c r="I1553" s="34" t="n">
        <x:v>107.10000000000001</x:v>
      </x:c>
      <x:c r="J1553" s="38" t="n">
        <x:v>1.6540524</x:v>
      </x:c>
      <x:c r="K1553" s="38" t="n">
        <x:v>0.19315313639999998</x:v>
      </x:c>
      <x:c r="L1553" s="28" t="n">
        <x:v>0.11677570577570576</x:v>
      </x:c>
    </x:row>
    <x:row r="1554">
      <x:c r="A1554" s="32" t="n">
        <x:v>46235</x:v>
      </x:c>
      <x:c r="B1554" t="str">
        <x:v>Aug 2026</x:v>
      </x:c>
      <x:c r="C1554" t="str">
        <x:v>Forecast</x:v>
      </x:c>
      <x:c r="D1554" t="str">
        <x:v>DB-102</x:v>
      </x:c>
      <x:c r="E1554" t="str">
        <x:v>GlowPatch Balm</x:v>
      </x:c>
      <x:c r="F1554" t="str">
        <x:v>TikTok Shop</x:v>
      </x:c>
      <x:c r="G1554" t="str">
        <x:v>Social Commerce</x:v>
      </x:c>
      <x:c r="H1554" t="str">
        <x:v>US Central</x:v>
      </x:c>
      <x:c r="I1554" s="34" t="n">
        <x:v>75.6</x:v>
      </x:c>
      <x:c r="J1554" s="38" t="n">
        <x:v>1.1675664</x:v>
      </x:c>
      <x:c r="K1554" s="38" t="n">
        <x:v>0.1363433904</x:v>
      </x:c>
      <x:c r="L1554" s="28" t="n">
        <x:v>0.11677570577570577</x:v>
      </x:c>
    </x:row>
    <x:row r="1555">
      <x:c r="A1555" s="32" t="n">
        <x:v>46235</x:v>
      </x:c>
      <x:c r="B1555" t="str">
        <x:v>Aug 2026</x:v>
      </x:c>
      <x:c r="C1555" t="str">
        <x:v>Forecast</x:v>
      </x:c>
      <x:c r="D1555" t="str">
        <x:v>DB-102</x:v>
      </x:c>
      <x:c r="E1555" t="str">
        <x:v>GlowPatch Balm</x:v>
      </x:c>
      <x:c r="F1555" t="str">
        <x:v>TikTok Shop</x:v>
      </x:c>
      <x:c r="G1555" t="str">
        <x:v>Social Commerce</x:v>
      </x:c>
      <x:c r="H1555" t="str">
        <x:v>US East</x:v>
      </x:c>
      <x:c r="I1555" s="34" t="n">
        <x:v>100.8</x:v>
      </x:c>
      <x:c r="J1555" s="38" t="n">
        <x:v>1.5567552</x:v>
      </x:c>
      <x:c r="K1555" s="38" t="n">
        <x:v>0.18179118719999998</x:v>
      </x:c>
      <x:c r="L1555" s="28" t="n">
        <x:v>0.11677570577570576</x:v>
      </x:c>
    </x:row>
    <x:row r="1556">
      <x:c r="A1556" s="32" t="n">
        <x:v>46235</x:v>
      </x:c>
      <x:c r="B1556" t="str">
        <x:v>Aug 2026</x:v>
      </x:c>
      <x:c r="C1556" t="str">
        <x:v>Forecast</x:v>
      </x:c>
      <x:c r="D1556" t="str">
        <x:v>DB-102</x:v>
      </x:c>
      <x:c r="E1556" t="str">
        <x:v>GlowPatch Balm</x:v>
      </x:c>
      <x:c r="F1556" t="str">
        <x:v>TikTok Shop</x:v>
      </x:c>
      <x:c r="G1556" t="str">
        <x:v>Social Commerce</x:v>
      </x:c>
      <x:c r="H1556" t="str">
        <x:v>Canada</x:v>
      </x:c>
      <x:c r="I1556" s="34" t="n">
        <x:v>31.5</x:v>
      </x:c>
      <x:c r="J1556" s="38" t="n">
        <x:v>0.48648600000000003</x:v>
      </x:c>
      <x:c r="K1556" s="38" t="n">
        <x:v>0.056809745999999994</x:v>
      </x:c>
      <x:c r="L1556" s="28" t="n">
        <x:v>0.11677570577570576</x:v>
      </x:c>
    </x:row>
    <x:row r="1557">
      <x:c r="A1557" s="32" t="n">
        <x:v>46235</x:v>
      </x:c>
      <x:c r="B1557" t="str">
        <x:v>Aug 2026</x:v>
      </x:c>
      <x:c r="C1557" t="str">
        <x:v>Forecast</x:v>
      </x:c>
      <x:c r="D1557" t="str">
        <x:v>DB-103</x:v>
      </x:c>
      <x:c r="E1557" t="str">
        <x:v>EmberTrail Camp Mug</x:v>
      </x:c>
      <x:c r="F1557" t="str">
        <x:v>Shopify DTC</x:v>
      </x:c>
      <x:c r="G1557" t="str">
        <x:v>Consumer</x:v>
      </x:c>
      <x:c r="H1557" t="str">
        <x:v>US West</x:v>
      </x:c>
      <x:c r="I1557" s="34" t="n">
        <x:v>239.70000000000002</x:v>
      </x:c>
      <x:c r="J1557" s="38" t="n">
        <x:v>7.08543612</x:v>
      </x:c>
      <x:c r="K1557" s="38" t="n">
        <x:v>2.19957627252</x:v>
      </x:c>
      <x:c r="L1557" s="28" t="n">
        <x:v>0.31043625759482535</x:v>
      </x:c>
    </x:row>
    <x:row r="1558">
      <x:c r="A1558" s="32" t="n">
        <x:v>46235</x:v>
      </x:c>
      <x:c r="B1558" t="str">
        <x:v>Aug 2026</x:v>
      </x:c>
      <x:c r="C1558" t="str">
        <x:v>Forecast</x:v>
      </x:c>
      <x:c r="D1558" t="str">
        <x:v>DB-103</x:v>
      </x:c>
      <x:c r="E1558" t="str">
        <x:v>EmberTrail Camp Mug</x:v>
      </x:c>
      <x:c r="F1558" t="str">
        <x:v>Shopify DTC</x:v>
      </x:c>
      <x:c r="G1558" t="str">
        <x:v>Consumer</x:v>
      </x:c>
      <x:c r="H1558" t="str">
        <x:v>US Central</x:v>
      </x:c>
      <x:c r="I1558" s="34" t="n">
        <x:v>169.2</x:v>
      </x:c>
      <x:c r="J1558" s="38" t="n">
        <x:v>5.001484319999999</x:v>
      </x:c>
      <x:c r="K1558" s="38" t="n">
        <x:v>1.5526420747199998</x:v>
      </x:c>
      <x:c r="L1558" s="28" t="n">
        <x:v>0.31043625759482535</x:v>
      </x:c>
    </x:row>
    <x:row r="1559">
      <x:c r="A1559" s="32" t="n">
        <x:v>46235</x:v>
      </x:c>
      <x:c r="B1559" t="str">
        <x:v>Aug 2026</x:v>
      </x:c>
      <x:c r="C1559" t="str">
        <x:v>Forecast</x:v>
      </x:c>
      <x:c r="D1559" t="str">
        <x:v>DB-103</x:v>
      </x:c>
      <x:c r="E1559" t="str">
        <x:v>EmberTrail Camp Mug</x:v>
      </x:c>
      <x:c r="F1559" t="str">
        <x:v>Shopify DTC</x:v>
      </x:c>
      <x:c r="G1559" t="str">
        <x:v>Consumer</x:v>
      </x:c>
      <x:c r="H1559" t="str">
        <x:v>US East</x:v>
      </x:c>
      <x:c r="I1559" s="34" t="n">
        <x:v>225.6</x:v>
      </x:c>
      <x:c r="J1559" s="38" t="n">
        <x:v>6.6686457599999995</x:v>
      </x:c>
      <x:c r="K1559" s="38" t="n">
        <x:v>2.07018943296</x:v>
      </x:c>
      <x:c r="L1559" s="28" t="n">
        <x:v>0.3104362575948254</x:v>
      </x:c>
    </x:row>
    <x:row r="1560">
      <x:c r="A1560" s="32" t="n">
        <x:v>46235</x:v>
      </x:c>
      <x:c r="B1560" t="str">
        <x:v>Aug 2026</x:v>
      </x:c>
      <x:c r="C1560" t="str">
        <x:v>Forecast</x:v>
      </x:c>
      <x:c r="D1560" t="str">
        <x:v>DB-103</x:v>
      </x:c>
      <x:c r="E1560" t="str">
        <x:v>EmberTrail Camp Mug</x:v>
      </x:c>
      <x:c r="F1560" t="str">
        <x:v>Shopify DTC</x:v>
      </x:c>
      <x:c r="G1560" t="str">
        <x:v>Consumer</x:v>
      </x:c>
      <x:c r="H1560" t="str">
        <x:v>Canada</x:v>
      </x:c>
      <x:c r="I1560" s="34" t="n">
        <x:v>70.5</x:v>
      </x:c>
      <x:c r="J1560" s="38" t="n">
        <x:v>2.0839518</x:v>
      </x:c>
      <x:c r="K1560" s="38" t="n">
        <x:v>0.6469341977999999</x:v>
      </x:c>
      <x:c r="L1560" s="28" t="n">
        <x:v>0.31043625759482535</x:v>
      </x:c>
    </x:row>
    <x:row r="1561">
      <x:c r="A1561" s="32" t="n">
        <x:v>46235</x:v>
      </x:c>
      <x:c r="B1561" t="str">
        <x:v>Aug 2026</x:v>
      </x:c>
      <x:c r="C1561" t="str">
        <x:v>Forecast</x:v>
      </x:c>
      <x:c r="D1561" t="str">
        <x:v>DB-103</x:v>
      </x:c>
      <x:c r="E1561" t="str">
        <x:v>EmberTrail Camp Mug</x:v>
      </x:c>
      <x:c r="F1561" t="str">
        <x:v>Amazon Marketplace</x:v>
      </x:c>
      <x:c r="G1561" t="str">
        <x:v>Marketplace Consumer</x:v>
      </x:c>
      <x:c r="H1561" t="str">
        <x:v>US West</x:v>
      </x:c>
      <x:c r="I1561" s="34" t="n">
        <x:v>141.10000000000002</x:v>
      </x:c>
      <x:c r="J1561" s="38" t="n">
        <x:v>4.306865850000001</x:v>
      </x:c>
      <x:c r="K1561" s="38" t="n">
        <x:v>0.6870123725000007</x:v>
      </x:c>
      <x:c r="L1561" s="28" t="n">
        <x:v>0.15951561911314244</x:v>
      </x:c>
    </x:row>
    <x:row r="1562">
      <x:c r="A1562" s="32" t="n">
        <x:v>46235</x:v>
      </x:c>
      <x:c r="B1562" t="str">
        <x:v>Aug 2026</x:v>
      </x:c>
      <x:c r="C1562" t="str">
        <x:v>Forecast</x:v>
      </x:c>
      <x:c r="D1562" t="str">
        <x:v>DB-103</x:v>
      </x:c>
      <x:c r="E1562" t="str">
        <x:v>EmberTrail Camp Mug</x:v>
      </x:c>
      <x:c r="F1562" t="str">
        <x:v>Amazon Marketplace</x:v>
      </x:c>
      <x:c r="G1562" t="str">
        <x:v>Marketplace Consumer</x:v>
      </x:c>
      <x:c r="H1562" t="str">
        <x:v>US Central</x:v>
      </x:c>
      <x:c r="I1562" s="34" t="n">
        <x:v>99.6</x:v>
      </x:c>
      <x:c r="J1562" s="38" t="n">
        <x:v>3.0401406000000004</x:v>
      </x:c>
      <x:c r="K1562" s="38" t="n">
        <x:v>0.4849499100000004</x:v>
      </x:c>
      <x:c r="L1562" s="28" t="n">
        <x:v>0.15951561911314244</x:v>
      </x:c>
    </x:row>
    <x:row r="1563">
      <x:c r="A1563" s="32" t="n">
        <x:v>46235</x:v>
      </x:c>
      <x:c r="B1563" t="str">
        <x:v>Aug 2026</x:v>
      </x:c>
      <x:c r="C1563" t="str">
        <x:v>Forecast</x:v>
      </x:c>
      <x:c r="D1563" t="str">
        <x:v>DB-103</x:v>
      </x:c>
      <x:c r="E1563" t="str">
        <x:v>EmberTrail Camp Mug</x:v>
      </x:c>
      <x:c r="F1563" t="str">
        <x:v>Amazon Marketplace</x:v>
      </x:c>
      <x:c r="G1563" t="str">
        <x:v>Marketplace Consumer</x:v>
      </x:c>
      <x:c r="H1563" t="str">
        <x:v>US East</x:v>
      </x:c>
      <x:c r="I1563" s="34" t="n">
        <x:v>132.8</x:v>
      </x:c>
      <x:c r="J1563" s="38" t="n">
        <x:v>4.0535208</x:v>
      </x:c>
      <x:c r="K1563" s="38" t="n">
        <x:v>0.6465998800000006</x:v>
      </x:c>
      <x:c r="L1563" s="28" t="n">
        <x:v>0.15951561911314247</x:v>
      </x:c>
    </x:row>
    <x:row r="1564">
      <x:c r="A1564" s="32" t="n">
        <x:v>46235</x:v>
      </x:c>
      <x:c r="B1564" t="str">
        <x:v>Aug 2026</x:v>
      </x:c>
      <x:c r="C1564" t="str">
        <x:v>Forecast</x:v>
      </x:c>
      <x:c r="D1564" t="str">
        <x:v>DB-103</x:v>
      </x:c>
      <x:c r="E1564" t="str">
        <x:v>EmberTrail Camp Mug</x:v>
      </x:c>
      <x:c r="F1564" t="str">
        <x:v>Amazon Marketplace</x:v>
      </x:c>
      <x:c r="G1564" t="str">
        <x:v>Marketplace Consumer</x:v>
      </x:c>
      <x:c r="H1564" t="str">
        <x:v>Canada</x:v>
      </x:c>
      <x:c r="I1564" s="34" t="n">
        <x:v>41.5</x:v>
      </x:c>
      <x:c r="J1564" s="38" t="n">
        <x:v>1.2667252500000004</x:v>
      </x:c>
      <x:c r="K1564" s="38" t="n">
        <x:v>0.20206246250000018</x:v>
      </x:c>
      <x:c r="L1564" s="28" t="n">
        <x:v>0.15951561911314244</x:v>
      </x:c>
    </x:row>
    <x:row r="1565">
      <x:c r="A1565" s="32" t="n">
        <x:v>46235</x:v>
      </x:c>
      <x:c r="B1565" t="str">
        <x:v>Aug 2026</x:v>
      </x:c>
      <x:c r="C1565" t="str">
        <x:v>Forecast</x:v>
      </x:c>
      <x:c r="D1565" t="str">
        <x:v>DB-103</x:v>
      </x:c>
      <x:c r="E1565" t="str">
        <x:v>EmberTrail Camp Mug</x:v>
      </x:c>
      <x:c r="F1565" t="str">
        <x:v>Wholesale</x:v>
      </x:c>
      <x:c r="G1565" t="str">
        <x:v>Retailer</x:v>
      </x:c>
      <x:c r="H1565" t="str">
        <x:v>US West</x:v>
      </x:c>
      <x:c r="I1565" s="34" t="n">
        <x:v>39.1</x:v>
      </x:c>
      <x:c r="J1565" s="38" t="n">
        <x:v>0.81658395</x:v>
      </x:c>
      <x:c r="K1565" s="38" t="n">
        <x:v>0.15673234999999994</x:v>
      </x:c>
      <x:c r="L1565" s="28" t="n">
        <x:v>0.19193660370130952</x:v>
      </x:c>
    </x:row>
    <x:row r="1566">
      <x:c r="A1566" s="32" t="n">
        <x:v>46235</x:v>
      </x:c>
      <x:c r="B1566" t="str">
        <x:v>Aug 2026</x:v>
      </x:c>
      <x:c r="C1566" t="str">
        <x:v>Forecast</x:v>
      </x:c>
      <x:c r="D1566" t="str">
        <x:v>DB-103</x:v>
      </x:c>
      <x:c r="E1566" t="str">
        <x:v>EmberTrail Camp Mug</x:v>
      </x:c>
      <x:c r="F1566" t="str">
        <x:v>Wholesale</x:v>
      </x:c>
      <x:c r="G1566" t="str">
        <x:v>Retailer</x:v>
      </x:c>
      <x:c r="H1566" t="str">
        <x:v>US Central</x:v>
      </x:c>
      <x:c r="I1566" s="34" t="n">
        <x:v>27.599999999999998</x:v>
      </x:c>
      <x:c r="J1566" s="38" t="n">
        <x:v>0.5764121999999999</x:v>
      </x:c>
      <x:c r="K1566" s="38" t="n">
        <x:v>0.11063459999999996</x:v>
      </x:c>
      <x:c r="L1566" s="28" t="n">
        <x:v>0.19193660370130952</x:v>
      </x:c>
    </x:row>
    <x:row r="1567">
      <x:c r="A1567" s="32" t="n">
        <x:v>46235</x:v>
      </x:c>
      <x:c r="B1567" t="str">
        <x:v>Aug 2026</x:v>
      </x:c>
      <x:c r="C1567" t="str">
        <x:v>Forecast</x:v>
      </x:c>
      <x:c r="D1567" t="str">
        <x:v>DB-103</x:v>
      </x:c>
      <x:c r="E1567" t="str">
        <x:v>EmberTrail Camp Mug</x:v>
      </x:c>
      <x:c r="F1567" t="str">
        <x:v>Wholesale</x:v>
      </x:c>
      <x:c r="G1567" t="str">
        <x:v>Retailer</x:v>
      </x:c>
      <x:c r="H1567" t="str">
        <x:v>US East</x:v>
      </x:c>
      <x:c r="I1567" s="34" t="n">
        <x:v>36.800000000000004</x:v>
      </x:c>
      <x:c r="J1567" s="38" t="n">
        <x:v>0.7685495999999999</x:v>
      </x:c>
      <x:c r="K1567" s="38" t="n">
        <x:v>0.14751279999999994</x:v>
      </x:c>
      <x:c r="L1567" s="28" t="n">
        <x:v>0.19193660370130952</x:v>
      </x:c>
    </x:row>
    <x:row r="1568">
      <x:c r="A1568" s="32" t="n">
        <x:v>46235</x:v>
      </x:c>
      <x:c r="B1568" t="str">
        <x:v>Aug 2026</x:v>
      </x:c>
      <x:c r="C1568" t="str">
        <x:v>Forecast</x:v>
      </x:c>
      <x:c r="D1568" t="str">
        <x:v>DB-103</x:v>
      </x:c>
      <x:c r="E1568" t="str">
        <x:v>EmberTrail Camp Mug</x:v>
      </x:c>
      <x:c r="F1568" t="str">
        <x:v>Wholesale</x:v>
      </x:c>
      <x:c r="G1568" t="str">
        <x:v>Retailer</x:v>
      </x:c>
      <x:c r="H1568" t="str">
        <x:v>Canada</x:v>
      </x:c>
      <x:c r="I1568" s="34" t="n">
        <x:v>11.5</x:v>
      </x:c>
      <x:c r="J1568" s="38" t="n">
        <x:v>0.24017175</x:v>
      </x:c>
      <x:c r="K1568" s="38" t="n">
        <x:v>0.046097749999999986</x:v>
      </x:c>
      <x:c r="L1568" s="28" t="n">
        <x:v>0.19193660370130952</x:v>
      </x:c>
    </x:row>
    <x:row r="1569">
      <x:c r="A1569" s="32" t="n">
        <x:v>46235</x:v>
      </x:c>
      <x:c r="B1569" t="str">
        <x:v>Aug 2026</x:v>
      </x:c>
      <x:c r="C1569" t="str">
        <x:v>Forecast</x:v>
      </x:c>
      <x:c r="D1569" t="str">
        <x:v>DB-103</x:v>
      </x:c>
      <x:c r="E1569" t="str">
        <x:v>EmberTrail Camp Mug</x:v>
      </x:c>
      <x:c r="F1569" t="str">
        <x:v>TikTok Shop</x:v>
      </x:c>
      <x:c r="G1569" t="str">
        <x:v>Social Commerce</x:v>
      </x:c>
      <x:c r="H1569" t="str">
        <x:v>US West</x:v>
      </x:c>
      <x:c r="I1569" s="34" t="n">
        <x:v>59.50000000000001</x:v>
      </x:c>
      <x:c r="J1569" s="38" t="n">
        <x:v>1.6823268</x:v>
      </x:c>
      <x:c r="K1569" s="38" t="n">
        <x:v>0.3083277147999998</x:v>
      </x:c>
      <x:c r="L1569" s="28" t="n">
        <x:v>0.18327456639221335</x:v>
      </x:c>
    </x:row>
    <x:row r="1570">
      <x:c r="A1570" s="32" t="n">
        <x:v>46235</x:v>
      </x:c>
      <x:c r="B1570" t="str">
        <x:v>Aug 2026</x:v>
      </x:c>
      <x:c r="C1570" t="str">
        <x:v>Forecast</x:v>
      </x:c>
      <x:c r="D1570" t="str">
        <x:v>DB-103</x:v>
      </x:c>
      <x:c r="E1570" t="str">
        <x:v>EmberTrail Camp Mug</x:v>
      </x:c>
      <x:c r="F1570" t="str">
        <x:v>TikTok Shop</x:v>
      </x:c>
      <x:c r="G1570" t="str">
        <x:v>Social Commerce</x:v>
      </x:c>
      <x:c r="H1570" t="str">
        <x:v>US Central</x:v>
      </x:c>
      <x:c r="I1570" s="34" t="n">
        <x:v>42</x:v>
      </x:c>
      <x:c r="J1570" s="38" t="n">
        <x:v>1.1875247999999998</x:v>
      </x:c>
      <x:c r="K1570" s="38" t="n">
        <x:v>0.21764309279999985</x:v>
      </x:c>
      <x:c r="L1570" s="28" t="n">
        <x:v>0.18327456639221335</x:v>
      </x:c>
    </x:row>
    <x:row r="1571">
      <x:c r="A1571" s="32" t="n">
        <x:v>46235</x:v>
      </x:c>
      <x:c r="B1571" t="str">
        <x:v>Aug 2026</x:v>
      </x:c>
      <x:c r="C1571" t="str">
        <x:v>Forecast</x:v>
      </x:c>
      <x:c r="D1571" t="str">
        <x:v>DB-103</x:v>
      </x:c>
      <x:c r="E1571" t="str">
        <x:v>EmberTrail Camp Mug</x:v>
      </x:c>
      <x:c r="F1571" t="str">
        <x:v>TikTok Shop</x:v>
      </x:c>
      <x:c r="G1571" t="str">
        <x:v>Social Commerce</x:v>
      </x:c>
      <x:c r="H1571" t="str">
        <x:v>US East</x:v>
      </x:c>
      <x:c r="I1571" s="34" t="n">
        <x:v>56</x:v>
      </x:c>
      <x:c r="J1571" s="38" t="n">
        <x:v>1.5833663999999998</x:v>
      </x:c>
      <x:c r="K1571" s="38" t="n">
        <x:v>0.2901907903999998</x:v>
      </x:c>
      <x:c r="L1571" s="28" t="n">
        <x:v>0.18327456639221335</x:v>
      </x:c>
    </x:row>
    <x:row r="1572">
      <x:c r="A1572" s="32" t="n">
        <x:v>46235</x:v>
      </x:c>
      <x:c r="B1572" t="str">
        <x:v>Aug 2026</x:v>
      </x:c>
      <x:c r="C1572" t="str">
        <x:v>Forecast</x:v>
      </x:c>
      <x:c r="D1572" t="str">
        <x:v>DB-103</x:v>
      </x:c>
      <x:c r="E1572" t="str">
        <x:v>EmberTrail Camp Mug</x:v>
      </x:c>
      <x:c r="F1572" t="str">
        <x:v>TikTok Shop</x:v>
      </x:c>
      <x:c r="G1572" t="str">
        <x:v>Social Commerce</x:v>
      </x:c>
      <x:c r="H1572" t="str">
        <x:v>Canada</x:v>
      </x:c>
      <x:c r="I1572" s="34" t="n">
        <x:v>17.5</x:v>
      </x:c>
      <x:c r="J1572" s="38" t="n">
        <x:v>0.49480199999999996</x:v>
      </x:c>
      <x:c r="K1572" s="38" t="n">
        <x:v>0.09068462199999994</x:v>
      </x:c>
      <x:c r="L1572" s="28" t="n">
        <x:v>0.18327456639221335</x:v>
      </x:c>
    </x:row>
    <x:row r="1573">
      <x:c r="A1573" s="32" t="n">
        <x:v>46235</x:v>
      </x:c>
      <x:c r="B1573" t="str">
        <x:v>Aug 2026</x:v>
      </x:c>
      <x:c r="C1573" t="str">
        <x:v>Forecast</x:v>
      </x:c>
      <x:c r="D1573" t="str">
        <x:v>DB-104</x:v>
      </x:c>
      <x:c r="E1573" t="str">
        <x:v>SunNest Cooling Towel</x:v>
      </x:c>
      <x:c r="F1573" t="str">
        <x:v>Shopify DTC</x:v>
      </x:c>
      <x:c r="G1573" t="str">
        <x:v>Consumer</x:v>
      </x:c>
      <x:c r="H1573" t="str">
        <x:v>US West</x:v>
      </x:c>
      <x:c r="I1573" s="34" t="n">
        <x:v>316.20000000000005</x:v>
      </x:c>
      <x:c r="J1573" s="38" t="n">
        <x:v>11.607069600000003</x:v>
      </x:c>
      <x:c r="K1573" s="38" t="n">
        <x:v>4.6688409816</x:v>
      </x:c>
      <x:c r="L1573" s="28" t="n">
        <x:v>0.40224114634412106</x:v>
      </x:c>
    </x:row>
    <x:row r="1574">
      <x:c r="A1574" s="32" t="n">
        <x:v>46235</x:v>
      </x:c>
      <x:c r="B1574" t="str">
        <x:v>Aug 2026</x:v>
      </x:c>
      <x:c r="C1574" t="str">
        <x:v>Forecast</x:v>
      </x:c>
      <x:c r="D1574" t="str">
        <x:v>DB-104</x:v>
      </x:c>
      <x:c r="E1574" t="str">
        <x:v>SunNest Cooling Towel</x:v>
      </x:c>
      <x:c r="F1574" t="str">
        <x:v>Shopify DTC</x:v>
      </x:c>
      <x:c r="G1574" t="str">
        <x:v>Consumer</x:v>
      </x:c>
      <x:c r="H1574" t="str">
        <x:v>US Central</x:v>
      </x:c>
      <x:c r="I1574" s="34" t="n">
        <x:v>223.2</x:v>
      </x:c>
      <x:c r="J1574" s="38" t="n">
        <x:v>8.1932256</x:v>
      </x:c>
      <x:c r="K1574" s="38" t="n">
        <x:v>3.2956524575999997</x:v>
      </x:c>
      <x:c r="L1574" s="28" t="n">
        <x:v>0.4022411463441211</x:v>
      </x:c>
    </x:row>
    <x:row r="1575">
      <x:c r="A1575" s="32" t="n">
        <x:v>46235</x:v>
      </x:c>
      <x:c r="B1575" t="str">
        <x:v>Aug 2026</x:v>
      </x:c>
      <x:c r="C1575" t="str">
        <x:v>Forecast</x:v>
      </x:c>
      <x:c r="D1575" t="str">
        <x:v>DB-104</x:v>
      </x:c>
      <x:c r="E1575" t="str">
        <x:v>SunNest Cooling Towel</x:v>
      </x:c>
      <x:c r="F1575" t="str">
        <x:v>Shopify DTC</x:v>
      </x:c>
      <x:c r="G1575" t="str">
        <x:v>Consumer</x:v>
      </x:c>
      <x:c r="H1575" t="str">
        <x:v>US East</x:v>
      </x:c>
      <x:c r="I1575" s="34" t="n">
        <x:v>297.6</x:v>
      </x:c>
      <x:c r="J1575" s="38" t="n">
        <x:v>10.924300800000001</x:v>
      </x:c>
      <x:c r="K1575" s="38" t="n">
        <x:v>4.3942032768</x:v>
      </x:c>
      <x:c r="L1575" s="28" t="n">
        <x:v>0.4022411463441211</x:v>
      </x:c>
    </x:row>
    <x:row r="1576">
      <x:c r="A1576" s="32" t="n">
        <x:v>46235</x:v>
      </x:c>
      <x:c r="B1576" t="str">
        <x:v>Aug 2026</x:v>
      </x:c>
      <x:c r="C1576" t="str">
        <x:v>Forecast</x:v>
      </x:c>
      <x:c r="D1576" t="str">
        <x:v>DB-104</x:v>
      </x:c>
      <x:c r="E1576" t="str">
        <x:v>SunNest Cooling Towel</x:v>
      </x:c>
      <x:c r="F1576" t="str">
        <x:v>Shopify DTC</x:v>
      </x:c>
      <x:c r="G1576" t="str">
        <x:v>Consumer</x:v>
      </x:c>
      <x:c r="H1576" t="str">
        <x:v>Canada</x:v>
      </x:c>
      <x:c r="I1576" s="34" t="n">
        <x:v>93</x:v>
      </x:c>
      <x:c r="J1576" s="38" t="n">
        <x:v>3.4138440000000005</x:v>
      </x:c>
      <x:c r="K1576" s="38" t="n">
        <x:v>1.373188524</x:v>
      </x:c>
      <x:c r="L1576" s="28" t="n">
        <x:v>0.40224114634412106</x:v>
      </x:c>
    </x:row>
    <x:row r="1577">
      <x:c r="A1577" s="32" t="n">
        <x:v>46235</x:v>
      </x:c>
      <x:c r="B1577" t="str">
        <x:v>Aug 2026</x:v>
      </x:c>
      <x:c r="C1577" t="str">
        <x:v>Forecast</x:v>
      </x:c>
      <x:c r="D1577" t="str">
        <x:v>DB-104</x:v>
      </x:c>
      <x:c r="E1577" t="str">
        <x:v>SunNest Cooling Towel</x:v>
      </x:c>
      <x:c r="F1577" t="str">
        <x:v>Amazon Marketplace</x:v>
      </x:c>
      <x:c r="G1577" t="str">
        <x:v>Marketplace Consumer</x:v>
      </x:c>
      <x:c r="H1577" t="str">
        <x:v>US West</x:v>
      </x:c>
      <x:c r="I1577" s="34" t="n">
        <x:v>187</x:v>
      </x:c>
      <x:c r="J1577" s="38" t="n">
        <x:v>7.088235000000001</x:v>
      </x:c>
      <x:c r="K1577" s="38" t="n">
        <x:v>1.8309637500000004</x:v>
      </x:c>
      <x:c r="L1577" s="28" t="n">
        <x:v>0.25831024930747926</x:v>
      </x:c>
    </x:row>
    <x:row r="1578">
      <x:c r="A1578" s="32" t="n">
        <x:v>46235</x:v>
      </x:c>
      <x:c r="B1578" t="str">
        <x:v>Aug 2026</x:v>
      </x:c>
      <x:c r="C1578" t="str">
        <x:v>Forecast</x:v>
      </x:c>
      <x:c r="D1578" t="str">
        <x:v>DB-104</x:v>
      </x:c>
      <x:c r="E1578" t="str">
        <x:v>SunNest Cooling Towel</x:v>
      </x:c>
      <x:c r="F1578" t="str">
        <x:v>Amazon Marketplace</x:v>
      </x:c>
      <x:c r="G1578" t="str">
        <x:v>Marketplace Consumer</x:v>
      </x:c>
      <x:c r="H1578" t="str">
        <x:v>US Central</x:v>
      </x:c>
      <x:c r="I1578" s="34" t="n">
        <x:v>132</x:v>
      </x:c>
      <x:c r="J1578" s="38" t="n">
        <x:v>5.0034600000000005</x:v>
      </x:c>
      <x:c r="K1578" s="38" t="n">
        <x:v>1.292445</x:v>
      </x:c>
      <x:c r="L1578" s="28" t="n">
        <x:v>0.2583102493074792</x:v>
      </x:c>
    </x:row>
    <x:row r="1579">
      <x:c r="A1579" s="32" t="n">
        <x:v>46235</x:v>
      </x:c>
      <x:c r="B1579" t="str">
        <x:v>Aug 2026</x:v>
      </x:c>
      <x:c r="C1579" t="str">
        <x:v>Forecast</x:v>
      </x:c>
      <x:c r="D1579" t="str">
        <x:v>DB-104</x:v>
      </x:c>
      <x:c r="E1579" t="str">
        <x:v>SunNest Cooling Towel</x:v>
      </x:c>
      <x:c r="F1579" t="str">
        <x:v>Amazon Marketplace</x:v>
      </x:c>
      <x:c r="G1579" t="str">
        <x:v>Marketplace Consumer</x:v>
      </x:c>
      <x:c r="H1579" t="str">
        <x:v>US East</x:v>
      </x:c>
      <x:c r="I1579" s="34" t="n">
        <x:v>176</x:v>
      </x:c>
      <x:c r="J1579" s="38" t="n">
        <x:v>6.67128</x:v>
      </x:c>
      <x:c r="K1579" s="38" t="n">
        <x:v>1.7232600000000002</x:v>
      </x:c>
      <x:c r="L1579" s="28" t="n">
        <x:v>0.25831024930747926</x:v>
      </x:c>
    </x:row>
    <x:row r="1580">
      <x:c r="A1580" s="32" t="n">
        <x:v>46235</x:v>
      </x:c>
      <x:c r="B1580" t="str">
        <x:v>Aug 2026</x:v>
      </x:c>
      <x:c r="C1580" t="str">
        <x:v>Forecast</x:v>
      </x:c>
      <x:c r="D1580" t="str">
        <x:v>DB-104</x:v>
      </x:c>
      <x:c r="E1580" t="str">
        <x:v>SunNest Cooling Towel</x:v>
      </x:c>
      <x:c r="F1580" t="str">
        <x:v>Amazon Marketplace</x:v>
      </x:c>
      <x:c r="G1580" t="str">
        <x:v>Marketplace Consumer</x:v>
      </x:c>
      <x:c r="H1580" t="str">
        <x:v>Canada</x:v>
      </x:c>
      <x:c r="I1580" s="34" t="n">
        <x:v>55</x:v>
      </x:c>
      <x:c r="J1580" s="38" t="n">
        <x:v>2.084775</x:v>
      </x:c>
      <x:c r="K1580" s="38" t="n">
        <x:v>0.53851875</x:v>
      </x:c>
      <x:c r="L1580" s="28" t="n">
        <x:v>0.25831024930747926</x:v>
      </x:c>
    </x:row>
    <x:row r="1581">
      <x:c r="A1581" s="32" t="n">
        <x:v>46235</x:v>
      </x:c>
      <x:c r="B1581" t="str">
        <x:v>Aug 2026</x:v>
      </x:c>
      <x:c r="C1581" t="str">
        <x:v>Forecast</x:v>
      </x:c>
      <x:c r="D1581" t="str">
        <x:v>DB-104</x:v>
      </x:c>
      <x:c r="E1581" t="str">
        <x:v>SunNest Cooling Towel</x:v>
      </x:c>
      <x:c r="F1581" t="str">
        <x:v>Wholesale</x:v>
      </x:c>
      <x:c r="G1581" t="str">
        <x:v>Retailer</x:v>
      </x:c>
      <x:c r="H1581" t="str">
        <x:v>US West</x:v>
      </x:c>
      <x:c r="I1581" s="34" t="n">
        <x:v>52.7</x:v>
      </x:c>
      <x:c r="J1581" s="38" t="n">
        <x:v>1.3667745000000002</x:v>
      </x:c>
      <x:c r="K1581" s="38" t="n">
        <x:v>0.40615890000000004</x:v>
      </x:c>
      <x:c r="L1581" s="28" t="n">
        <x:v>0.297165991902834</x:v>
      </x:c>
    </x:row>
    <x:row r="1582">
      <x:c r="A1582" s="32" t="n">
        <x:v>46235</x:v>
      </x:c>
      <x:c r="B1582" t="str">
        <x:v>Aug 2026</x:v>
      </x:c>
      <x:c r="C1582" t="str">
        <x:v>Forecast</x:v>
      </x:c>
      <x:c r="D1582" t="str">
        <x:v>DB-104</x:v>
      </x:c>
      <x:c r="E1582" t="str">
        <x:v>SunNest Cooling Towel</x:v>
      </x:c>
      <x:c r="F1582" t="str">
        <x:v>Wholesale</x:v>
      </x:c>
      <x:c r="G1582" t="str">
        <x:v>Retailer</x:v>
      </x:c>
      <x:c r="H1582" t="str">
        <x:v>US Central</x:v>
      </x:c>
      <x:c r="I1582" s="34" t="n">
        <x:v>37.199999999999996</x:v>
      </x:c>
      <x:c r="J1582" s="38" t="n">
        <x:v>0.9647820000000001</x:v>
      </x:c>
      <x:c r="K1582" s="38" t="n">
        <x:v>0.28670039999999997</x:v>
      </x:c>
      <x:c r="L1582" s="28" t="n">
        <x:v>0.29716599190283394</x:v>
      </x:c>
    </x:row>
    <x:row r="1583">
      <x:c r="A1583" s="32" t="n">
        <x:v>46235</x:v>
      </x:c>
      <x:c r="B1583" t="str">
        <x:v>Aug 2026</x:v>
      </x:c>
      <x:c r="C1583" t="str">
        <x:v>Forecast</x:v>
      </x:c>
      <x:c r="D1583" t="str">
        <x:v>DB-104</x:v>
      </x:c>
      <x:c r="E1583" t="str">
        <x:v>SunNest Cooling Towel</x:v>
      </x:c>
      <x:c r="F1583" t="str">
        <x:v>Wholesale</x:v>
      </x:c>
      <x:c r="G1583" t="str">
        <x:v>Retailer</x:v>
      </x:c>
      <x:c r="H1583" t="str">
        <x:v>US East</x:v>
      </x:c>
      <x:c r="I1583" s="34" t="n">
        <x:v>49.6</x:v>
      </x:c>
      <x:c r="J1583" s="38" t="n">
        <x:v>1.2863760000000002</x:v>
      </x:c>
      <x:c r="K1583" s="38" t="n">
        <x:v>0.38226720000000003</x:v>
      </x:c>
      <x:c r="L1583" s="28" t="n">
        <x:v>0.297165991902834</x:v>
      </x:c>
    </x:row>
    <x:row r="1584">
      <x:c r="A1584" s="32" t="n">
        <x:v>46235</x:v>
      </x:c>
      <x:c r="B1584" t="str">
        <x:v>Aug 2026</x:v>
      </x:c>
      <x:c r="C1584" t="str">
        <x:v>Forecast</x:v>
      </x:c>
      <x:c r="D1584" t="str">
        <x:v>DB-104</x:v>
      </x:c>
      <x:c r="E1584" t="str">
        <x:v>SunNest Cooling Towel</x:v>
      </x:c>
      <x:c r="F1584" t="str">
        <x:v>Wholesale</x:v>
      </x:c>
      <x:c r="G1584" t="str">
        <x:v>Retailer</x:v>
      </x:c>
      <x:c r="H1584" t="str">
        <x:v>Canada</x:v>
      </x:c>
      <x:c r="I1584" s="34" t="n">
        <x:v>15.5</x:v>
      </x:c>
      <x:c r="J1584" s="38" t="n">
        <x:v>0.4019925000000001</x:v>
      </x:c>
      <x:c r="K1584" s="38" t="n">
        <x:v>0.11945850000000001</x:v>
      </x:c>
      <x:c r="L1584" s="28" t="n">
        <x:v>0.297165991902834</x:v>
      </x:c>
    </x:row>
    <x:row r="1585">
      <x:c r="A1585" s="32" t="n">
        <x:v>46235</x:v>
      </x:c>
      <x:c r="B1585" t="str">
        <x:v>Aug 2026</x:v>
      </x:c>
      <x:c r="C1585" t="str">
        <x:v>Forecast</x:v>
      </x:c>
      <x:c r="D1585" t="str">
        <x:v>DB-104</x:v>
      </x:c>
      <x:c r="E1585" t="str">
        <x:v>SunNest Cooling Towel</x:v>
      </x:c>
      <x:c r="F1585" t="str">
        <x:v>TikTok Shop</x:v>
      </x:c>
      <x:c r="G1585" t="str">
        <x:v>Social Commerce</x:v>
      </x:c>
      <x:c r="H1585" t="str">
        <x:v>US West</x:v>
      </x:c>
      <x:c r="I1585" s="34" t="n">
        <x:v>79.9</x:v>
      </x:c>
      <x:c r="J1585" s="38" t="n">
        <x:v>2.8054488</x:v>
      </x:c>
      <x:c r="K1585" s="38" t="n">
        <x:v>0.8037166567999999</x:v>
      </x:c>
      <x:c r="L1585" s="28" t="n">
        <x:v>0.2864841649578491</x:v>
      </x:c>
    </x:row>
    <x:row r="1586">
      <x:c r="A1586" s="32" t="n">
        <x:v>46235</x:v>
      </x:c>
      <x:c r="B1586" t="str">
        <x:v>Aug 2026</x:v>
      </x:c>
      <x:c r="C1586" t="str">
        <x:v>Forecast</x:v>
      </x:c>
      <x:c r="D1586" t="str">
        <x:v>DB-104</x:v>
      </x:c>
      <x:c r="E1586" t="str">
        <x:v>SunNest Cooling Towel</x:v>
      </x:c>
      <x:c r="F1586" t="str">
        <x:v>TikTok Shop</x:v>
      </x:c>
      <x:c r="G1586" t="str">
        <x:v>Social Commerce</x:v>
      </x:c>
      <x:c r="H1586" t="str">
        <x:v>US Central</x:v>
      </x:c>
      <x:c r="I1586" s="34" t="n">
        <x:v>56.4</x:v>
      </x:c>
      <x:c r="J1586" s="38" t="n">
        <x:v>1.9803167999999998</x:v>
      </x:c>
      <x:c r="K1586" s="38" t="n">
        <x:v>0.5673294047999999</x:v>
      </x:c>
      <x:c r="L1586" s="28" t="n">
        <x:v>0.2864841649578492</x:v>
      </x:c>
    </x:row>
    <x:row r="1587">
      <x:c r="A1587" s="32" t="n">
        <x:v>46235</x:v>
      </x:c>
      <x:c r="B1587" t="str">
        <x:v>Aug 2026</x:v>
      </x:c>
      <x:c r="C1587" t="str">
        <x:v>Forecast</x:v>
      </x:c>
      <x:c r="D1587" t="str">
        <x:v>DB-104</x:v>
      </x:c>
      <x:c r="E1587" t="str">
        <x:v>SunNest Cooling Towel</x:v>
      </x:c>
      <x:c r="F1587" t="str">
        <x:v>TikTok Shop</x:v>
      </x:c>
      <x:c r="G1587" t="str">
        <x:v>Social Commerce</x:v>
      </x:c>
      <x:c r="H1587" t="str">
        <x:v>US East</x:v>
      </x:c>
      <x:c r="I1587" s="34" t="n">
        <x:v>75.2</x:v>
      </x:c>
      <x:c r="J1587" s="38" t="n">
        <x:v>2.6404224</x:v>
      </x:c>
      <x:c r="K1587" s="38" t="n">
        <x:v>0.7564392064</x:v>
      </x:c>
      <x:c r="L1587" s="28" t="n">
        <x:v>0.2864841649578492</x:v>
      </x:c>
    </x:row>
    <x:row r="1588">
      <x:c r="A1588" s="32" t="n">
        <x:v>46235</x:v>
      </x:c>
      <x:c r="B1588" t="str">
        <x:v>Aug 2026</x:v>
      </x:c>
      <x:c r="C1588" t="str">
        <x:v>Forecast</x:v>
      </x:c>
      <x:c r="D1588" t="str">
        <x:v>DB-104</x:v>
      </x:c>
      <x:c r="E1588" t="str">
        <x:v>SunNest Cooling Towel</x:v>
      </x:c>
      <x:c r="F1588" t="str">
        <x:v>TikTok Shop</x:v>
      </x:c>
      <x:c r="G1588" t="str">
        <x:v>Social Commerce</x:v>
      </x:c>
      <x:c r="H1588" t="str">
        <x:v>Canada</x:v>
      </x:c>
      <x:c r="I1588" s="34" t="n">
        <x:v>23.5</x:v>
      </x:c>
      <x:c r="J1588" s="38" t="n">
        <x:v>0.825132</x:v>
      </x:c>
      <x:c r="K1588" s="38" t="n">
        <x:v>0.236387252</x:v>
      </x:c>
      <x:c r="L1588" s="28" t="n">
        <x:v>0.2864841649578492</x:v>
      </x:c>
    </x:row>
    <x:row r="1589">
      <x:c r="A1589" s="32" t="n">
        <x:v>46235</x:v>
      </x:c>
      <x:c r="B1589" t="str">
        <x:v>Aug 2026</x:v>
      </x:c>
      <x:c r="C1589" t="str">
        <x:v>Forecast</x:v>
      </x:c>
      <x:c r="D1589" t="str">
        <x:v>DB-105</x:v>
      </x:c>
      <x:c r="E1589" t="str">
        <x:v>DreamFuel Refill Pack</x:v>
      </x:c>
      <x:c r="F1589" t="str">
        <x:v>Shopify DTC</x:v>
      </x:c>
      <x:c r="G1589" t="str">
        <x:v>Consumer</x:v>
      </x:c>
      <x:c r="H1589" t="str">
        <x:v>US West</x:v>
      </x:c>
      <x:c r="I1589" s="34" t="n">
        <x:v>333.20000000000005</x:v>
      </x:c>
      <x:c r="J1589" s="38" t="n">
        <x:v>16.823134720000002</x:v>
      </x:c>
      <x:c r="K1589" s="38" t="n">
        <x:v>8.19732029312</x:v>
      </x:c>
      <x:c r="L1589" s="28" t="n">
        <x:v>0.48726473570794776</x:v>
      </x:c>
    </x:row>
    <x:row r="1590">
      <x:c r="A1590" s="32" t="n">
        <x:v>46235</x:v>
      </x:c>
      <x:c r="B1590" t="str">
        <x:v>Aug 2026</x:v>
      </x:c>
      <x:c r="C1590" t="str">
        <x:v>Forecast</x:v>
      </x:c>
      <x:c r="D1590" t="str">
        <x:v>DB-105</x:v>
      </x:c>
      <x:c r="E1590" t="str">
        <x:v>DreamFuel Refill Pack</x:v>
      </x:c>
      <x:c r="F1590" t="str">
        <x:v>Shopify DTC</x:v>
      </x:c>
      <x:c r="G1590" t="str">
        <x:v>Consumer</x:v>
      </x:c>
      <x:c r="H1590" t="str">
        <x:v>US Central</x:v>
      </x:c>
      <x:c r="I1590" s="34" t="n">
        <x:v>235.2</x:v>
      </x:c>
      <x:c r="J1590" s="38" t="n">
        <x:v>11.875153919999999</x:v>
      </x:c>
      <x:c r="K1590" s="38" t="n">
        <x:v>5.78634373632</x:v>
      </x:c>
      <x:c r="L1590" s="28" t="n">
        <x:v>0.4872647357079478</x:v>
      </x:c>
    </x:row>
    <x:row r="1591">
      <x:c r="A1591" s="32" t="n">
        <x:v>46235</x:v>
      </x:c>
      <x:c r="B1591" t="str">
        <x:v>Aug 2026</x:v>
      </x:c>
      <x:c r="C1591" t="str">
        <x:v>Forecast</x:v>
      </x:c>
      <x:c r="D1591" t="str">
        <x:v>DB-105</x:v>
      </x:c>
      <x:c r="E1591" t="str">
        <x:v>DreamFuel Refill Pack</x:v>
      </x:c>
      <x:c r="F1591" t="str">
        <x:v>Shopify DTC</x:v>
      </x:c>
      <x:c r="G1591" t="str">
        <x:v>Consumer</x:v>
      </x:c>
      <x:c r="H1591" t="str">
        <x:v>US East</x:v>
      </x:c>
      <x:c r="I1591" s="34" t="n">
        <x:v>313.6</x:v>
      </x:c>
      <x:c r="J1591" s="38" t="n">
        <x:v>15.83353856</x:v>
      </x:c>
      <x:c r="K1591" s="38" t="n">
        <x:v>7.71512498176</x:v>
      </x:c>
      <x:c r="L1591" s="28" t="n">
        <x:v>0.4872647357079478</x:v>
      </x:c>
    </x:row>
    <x:row r="1592">
      <x:c r="A1592" s="32" t="n">
        <x:v>46235</x:v>
      </x:c>
      <x:c r="B1592" t="str">
        <x:v>Aug 2026</x:v>
      </x:c>
      <x:c r="C1592" t="str">
        <x:v>Forecast</x:v>
      </x:c>
      <x:c r="D1592" t="str">
        <x:v>DB-105</x:v>
      </x:c>
      <x:c r="E1592" t="str">
        <x:v>DreamFuel Refill Pack</x:v>
      </x:c>
      <x:c r="F1592" t="str">
        <x:v>Shopify DTC</x:v>
      </x:c>
      <x:c r="G1592" t="str">
        <x:v>Consumer</x:v>
      </x:c>
      <x:c r="H1592" t="str">
        <x:v>Canada</x:v>
      </x:c>
      <x:c r="I1592" s="34" t="n">
        <x:v>98</x:v>
      </x:c>
      <x:c r="J1592" s="38" t="n">
        <x:v>4.9479808</x:v>
      </x:c>
      <x:c r="K1592" s="38" t="n">
        <x:v>2.4109765568</x:v>
      </x:c>
      <x:c r="L1592" s="28" t="n">
        <x:v>0.4872647357079478</x:v>
      </x:c>
    </x:row>
    <x:row r="1593">
      <x:c r="A1593" s="32" t="n">
        <x:v>46235</x:v>
      </x:c>
      <x:c r="B1593" t="str">
        <x:v>Aug 2026</x:v>
      </x:c>
      <x:c r="C1593" t="str">
        <x:v>Forecast</x:v>
      </x:c>
      <x:c r="D1593" t="str">
        <x:v>DB-105</x:v>
      </x:c>
      <x:c r="E1593" t="str">
        <x:v>DreamFuel Refill Pack</x:v>
      </x:c>
      <x:c r="F1593" t="str">
        <x:v>Amazon Marketplace</x:v>
      </x:c>
      <x:c r="G1593" t="str">
        <x:v>Marketplace Consumer</x:v>
      </x:c>
      <x:c r="H1593" t="str">
        <x:v>US West</x:v>
      </x:c>
      <x:c r="I1593" s="34" t="n">
        <x:v>197.20000000000002</x:v>
      </x:c>
      <x:c r="J1593" s="38" t="n">
        <x:v>10.2812192</x:v>
      </x:c>
      <x:c r="K1593" s="38" t="n">
        <x:v>3.617042400000001</x:v>
      </x:c>
      <x:c r="L1593" s="28" t="n">
        <x:v>0.3518106490716588</x:v>
      </x:c>
    </x:row>
    <x:row r="1594">
      <x:c r="A1594" s="32" t="n">
        <x:v>46235</x:v>
      </x:c>
      <x:c r="B1594" t="str">
        <x:v>Aug 2026</x:v>
      </x:c>
      <x:c r="C1594" t="str">
        <x:v>Forecast</x:v>
      </x:c>
      <x:c r="D1594" t="str">
        <x:v>DB-105</x:v>
      </x:c>
      <x:c r="E1594" t="str">
        <x:v>DreamFuel Refill Pack</x:v>
      </x:c>
      <x:c r="F1594" t="str">
        <x:v>Amazon Marketplace</x:v>
      </x:c>
      <x:c r="G1594" t="str">
        <x:v>Marketplace Consumer</x:v>
      </x:c>
      <x:c r="H1594" t="str">
        <x:v>US Central</x:v>
      </x:c>
      <x:c r="I1594" s="34" t="n">
        <x:v>139.2</x:v>
      </x:c>
      <x:c r="J1594" s="38" t="n">
        <x:v>7.2573312</x:v>
      </x:c>
      <x:c r="K1594" s="38" t="n">
        <x:v>2.5532064000000005</x:v>
      </x:c>
      <x:c r="L1594" s="28" t="n">
        <x:v>0.3518106490716588</x:v>
      </x:c>
    </x:row>
    <x:row r="1595">
      <x:c r="A1595" s="32" t="n">
        <x:v>46235</x:v>
      </x:c>
      <x:c r="B1595" t="str">
        <x:v>Aug 2026</x:v>
      </x:c>
      <x:c r="C1595" t="str">
        <x:v>Forecast</x:v>
      </x:c>
      <x:c r="D1595" t="str">
        <x:v>DB-105</x:v>
      </x:c>
      <x:c r="E1595" t="str">
        <x:v>DreamFuel Refill Pack</x:v>
      </x:c>
      <x:c r="F1595" t="str">
        <x:v>Amazon Marketplace</x:v>
      </x:c>
      <x:c r="G1595" t="str">
        <x:v>Marketplace Consumer</x:v>
      </x:c>
      <x:c r="H1595" t="str">
        <x:v>US East</x:v>
      </x:c>
      <x:c r="I1595" s="34" t="n">
        <x:v>185.6</x:v>
      </x:c>
      <x:c r="J1595" s="38" t="n">
        <x:v>9.6764416</x:v>
      </x:c>
      <x:c r="K1595" s="38" t="n">
        <x:v>3.4042752000000007</x:v>
      </x:c>
      <x:c r="L1595" s="28" t="n">
        <x:v>0.3518106490716588</x:v>
      </x:c>
    </x:row>
    <x:row r="1596">
      <x:c r="A1596" s="32" t="n">
        <x:v>46235</x:v>
      </x:c>
      <x:c r="B1596" t="str">
        <x:v>Aug 2026</x:v>
      </x:c>
      <x:c r="C1596" t="str">
        <x:v>Forecast</x:v>
      </x:c>
      <x:c r="D1596" t="str">
        <x:v>DB-105</x:v>
      </x:c>
      <x:c r="E1596" t="str">
        <x:v>DreamFuel Refill Pack</x:v>
      </x:c>
      <x:c r="F1596" t="str">
        <x:v>Amazon Marketplace</x:v>
      </x:c>
      <x:c r="G1596" t="str">
        <x:v>Marketplace Consumer</x:v>
      </x:c>
      <x:c r="H1596" t="str">
        <x:v>Canada</x:v>
      </x:c>
      <x:c r="I1596" s="34" t="n">
        <x:v>58</x:v>
      </x:c>
      <x:c r="J1596" s="38" t="n">
        <x:v>3.0238880000000004</x:v>
      </x:c>
      <x:c r="K1596" s="38" t="n">
        <x:v>1.0638360000000002</x:v>
      </x:c>
      <x:c r="L1596" s="28" t="n">
        <x:v>0.35181064907165877</x:v>
      </x:c>
    </x:row>
    <x:row r="1597">
      <x:c r="A1597" s="32" t="n">
        <x:v>46235</x:v>
      </x:c>
      <x:c r="B1597" t="str">
        <x:v>Aug 2026</x:v>
      </x:c>
      <x:c r="C1597" t="str">
        <x:v>Forecast</x:v>
      </x:c>
      <x:c r="D1597" t="str">
        <x:v>DB-105</x:v>
      </x:c>
      <x:c r="E1597" t="str">
        <x:v>DreamFuel Refill Pack</x:v>
      </x:c>
      <x:c r="F1597" t="str">
        <x:v>Wholesale</x:v>
      </x:c>
      <x:c r="G1597" t="str">
        <x:v>Retailer</x:v>
      </x:c>
      <x:c r="H1597" t="str">
        <x:v>US West</x:v>
      </x:c>
      <x:c r="I1597" s="34" t="n">
        <x:v>54.400000000000006</x:v>
      </x:c>
      <x:c r="J1597" s="38" t="n">
        <x:v>1.9405568000000004</x:v>
      </x:c>
      <x:c r="K1597" s="38" t="n">
        <x:v>0.7560729600000002</x:v>
      </x:c>
      <x:c r="L1597" s="28" t="n">
        <x:v>0.3896165059430366</x:v>
      </x:c>
    </x:row>
    <x:row r="1598">
      <x:c r="A1598" s="32" t="n">
        <x:v>46235</x:v>
      </x:c>
      <x:c r="B1598" t="str">
        <x:v>Aug 2026</x:v>
      </x:c>
      <x:c r="C1598" t="str">
        <x:v>Forecast</x:v>
      </x:c>
      <x:c r="D1598" t="str">
        <x:v>DB-105</x:v>
      </x:c>
      <x:c r="E1598" t="str">
        <x:v>DreamFuel Refill Pack</x:v>
      </x:c>
      <x:c r="F1598" t="str">
        <x:v>Wholesale</x:v>
      </x:c>
      <x:c r="G1598" t="str">
        <x:v>Retailer</x:v>
      </x:c>
      <x:c r="H1598" t="str">
        <x:v>US Central</x:v>
      </x:c>
      <x:c r="I1598" s="34" t="n">
        <x:v>38.4</x:v>
      </x:c>
      <x:c r="J1598" s="38" t="n">
        <x:v>1.3698048</x:v>
      </x:c>
      <x:c r="K1598" s="38" t="n">
        <x:v>0.53369856</x:v>
      </x:c>
      <x:c r="L1598" s="28" t="n">
        <x:v>0.3896165059430366</x:v>
      </x:c>
    </x:row>
    <x:row r="1599">
      <x:c r="A1599" s="32" t="n">
        <x:v>46235</x:v>
      </x:c>
      <x:c r="B1599" t="str">
        <x:v>Aug 2026</x:v>
      </x:c>
      <x:c r="C1599" t="str">
        <x:v>Forecast</x:v>
      </x:c>
      <x:c r="D1599" t="str">
        <x:v>DB-105</x:v>
      </x:c>
      <x:c r="E1599" t="str">
        <x:v>DreamFuel Refill Pack</x:v>
      </x:c>
      <x:c r="F1599" t="str">
        <x:v>Wholesale</x:v>
      </x:c>
      <x:c r="G1599" t="str">
        <x:v>Retailer</x:v>
      </x:c>
      <x:c r="H1599" t="str">
        <x:v>US East</x:v>
      </x:c>
      <x:c r="I1599" s="34" t="n">
        <x:v>51.2</x:v>
      </x:c>
      <x:c r="J1599" s="38" t="n">
        <x:v>1.8264064000000002</x:v>
      </x:c>
      <x:c r="K1599" s="38" t="n">
        <x:v>0.7115980800000001</x:v>
      </x:c>
      <x:c r="L1599" s="28" t="n">
        <x:v>0.3896165059430366</x:v>
      </x:c>
    </x:row>
    <x:row r="1600">
      <x:c r="A1600" s="32" t="n">
        <x:v>46235</x:v>
      </x:c>
      <x:c r="B1600" t="str">
        <x:v>Aug 2026</x:v>
      </x:c>
      <x:c r="C1600" t="str">
        <x:v>Forecast</x:v>
      </x:c>
      <x:c r="D1600" t="str">
        <x:v>DB-105</x:v>
      </x:c>
      <x:c r="E1600" t="str">
        <x:v>DreamFuel Refill Pack</x:v>
      </x:c>
      <x:c r="F1600" t="str">
        <x:v>Wholesale</x:v>
      </x:c>
      <x:c r="G1600" t="str">
        <x:v>Retailer</x:v>
      </x:c>
      <x:c r="H1600" t="str">
        <x:v>Canada</x:v>
      </x:c>
      <x:c r="I1600" s="34" t="n">
        <x:v>16</x:v>
      </x:c>
      <x:c r="J1600" s="38" t="n">
        <x:v>0.570752</x:v>
      </x:c>
      <x:c r="K1600" s="38" t="n">
        <x:v>0.22237440000000006</x:v>
      </x:c>
      <x:c r="L1600" s="28" t="n">
        <x:v>0.38961650594303665</x:v>
      </x:c>
    </x:row>
    <x:row r="1601">
      <x:c r="A1601" s="32" t="n">
        <x:v>46235</x:v>
      </x:c>
      <x:c r="B1601" t="str">
        <x:v>Aug 2026</x:v>
      </x:c>
      <x:c r="C1601" t="str">
        <x:v>Forecast</x:v>
      </x:c>
      <x:c r="D1601" t="str">
        <x:v>DB-105</x:v>
      </x:c>
      <x:c r="E1601" t="str">
        <x:v>DreamFuel Refill Pack</x:v>
      </x:c>
      <x:c r="F1601" t="str">
        <x:v>TikTok Shop</x:v>
      </x:c>
      <x:c r="G1601" t="str">
        <x:v>Social Commerce</x:v>
      </x:c>
      <x:c r="H1601" t="str">
        <x:v>US West</x:v>
      </x:c>
      <x:c r="I1601" s="34" t="n">
        <x:v>83.30000000000001</x:v>
      </x:c>
      <x:c r="J1601" s="38" t="n">
        <x:v>4.02292352</x:v>
      </x:c>
      <x:c r="K1601" s="38" t="n">
        <x:v>1.5429324467200003</x:v>
      </x:c>
      <x:c r="L1601" s="28" t="n">
        <x:v>0.38353511794328127</x:v>
      </x:c>
    </x:row>
    <x:row r="1602">
      <x:c r="A1602" s="32" t="n">
        <x:v>46235</x:v>
      </x:c>
      <x:c r="B1602" t="str">
        <x:v>Aug 2026</x:v>
      </x:c>
      <x:c r="C1602" t="str">
        <x:v>Forecast</x:v>
      </x:c>
      <x:c r="D1602" t="str">
        <x:v>DB-105</x:v>
      </x:c>
      <x:c r="E1602" t="str">
        <x:v>DreamFuel Refill Pack</x:v>
      </x:c>
      <x:c r="F1602" t="str">
        <x:v>TikTok Shop</x:v>
      </x:c>
      <x:c r="G1602" t="str">
        <x:v>Social Commerce</x:v>
      </x:c>
      <x:c r="H1602" t="str">
        <x:v>US Central</x:v>
      </x:c>
      <x:c r="I1602" s="34" t="n">
        <x:v>58.8</x:v>
      </x:c>
      <x:c r="J1602" s="38" t="n">
        <x:v>2.83971072</x:v>
      </x:c>
      <x:c r="K1602" s="38" t="n">
        <x:v>1.08912878592</x:v>
      </x:c>
      <x:c r="L1602" s="28" t="n">
        <x:v>0.38353511794328127</x:v>
      </x:c>
    </x:row>
    <x:row r="1603">
      <x:c r="A1603" s="32" t="n">
        <x:v>46235</x:v>
      </x:c>
      <x:c r="B1603" t="str">
        <x:v>Aug 2026</x:v>
      </x:c>
      <x:c r="C1603" t="str">
        <x:v>Forecast</x:v>
      </x:c>
      <x:c r="D1603" t="str">
        <x:v>DB-105</x:v>
      </x:c>
      <x:c r="E1603" t="str">
        <x:v>DreamFuel Refill Pack</x:v>
      </x:c>
      <x:c r="F1603" t="str">
        <x:v>TikTok Shop</x:v>
      </x:c>
      <x:c r="G1603" t="str">
        <x:v>Social Commerce</x:v>
      </x:c>
      <x:c r="H1603" t="str">
        <x:v>US East</x:v>
      </x:c>
      <x:c r="I1603" s="34" t="n">
        <x:v>78.4</x:v>
      </x:c>
      <x:c r="J1603" s="38" t="n">
        <x:v>3.7862809599999996</x:v>
      </x:c>
      <x:c r="K1603" s="38" t="n">
        <x:v>1.4521717145600002</x:v>
      </x:c>
      <x:c r="L1603" s="28" t="n">
        <x:v>0.38353511794328127</x:v>
      </x:c>
    </x:row>
    <x:row r="1604">
      <x:c r="A1604" s="32" t="n">
        <x:v>46235</x:v>
      </x:c>
      <x:c r="B1604" t="str">
        <x:v>Aug 2026</x:v>
      </x:c>
      <x:c r="C1604" t="str">
        <x:v>Forecast</x:v>
      </x:c>
      <x:c r="D1604" t="str">
        <x:v>DB-105</x:v>
      </x:c>
      <x:c r="E1604" t="str">
        <x:v>DreamFuel Refill Pack</x:v>
      </x:c>
      <x:c r="F1604" t="str">
        <x:v>TikTok Shop</x:v>
      </x:c>
      <x:c r="G1604" t="str">
        <x:v>Social Commerce</x:v>
      </x:c>
      <x:c r="H1604" t="str">
        <x:v>Canada</x:v>
      </x:c>
      <x:c r="I1604" s="34" t="n">
        <x:v>24.5</x:v>
      </x:c>
      <x:c r="J1604" s="38" t="n">
        <x:v>1.1832128</x:v>
      </x:c>
      <x:c r="K1604" s="38" t="n">
        <x:v>0.45380366080000006</x:v>
      </x:c>
      <x:c r="L1604" s="28" t="n">
        <x:v>0.38353511794328127</x:v>
      </x:c>
    </x:row>
    <x:row r="1605">
      <x:c r="A1605" s="32" t="n">
        <x:v>46266</x:v>
      </x:c>
      <x:c r="B1605" t="str">
        <x:v>Sep 2026</x:v>
      </x:c>
      <x:c r="C1605" t="str">
        <x:v>Forecast</x:v>
      </x:c>
      <x:c r="D1605" t="str">
        <x:v>DB-101</x:v>
      </x:c>
      <x:c r="E1605" t="str">
        <x:v>AeroSip Bottle</x:v>
      </x:c>
      <x:c r="F1605" t="str">
        <x:v>Shopify DTC</x:v>
      </x:c>
      <x:c r="G1605" t="str">
        <x:v>Consumer</x:v>
      </x:c>
      <x:c r="H1605" t="str">
        <x:v>US West</x:v>
      </x:c>
      <x:c r="I1605" s="34" t="n">
        <x:v>340</x:v>
      </x:c>
      <x:c r="J1605" s="38" t="n">
        <x:v>8.662996</x:v>
      </x:c>
      <x:c r="K1605" s="38" t="n">
        <x:v>2.7555291159999995</x:v>
      </x:c>
      <x:c r="L1605" s="28" t="n">
        <x:v>0.3180803865083165</x:v>
      </x:c>
    </x:row>
    <x:row r="1606">
      <x:c r="A1606" s="32" t="n">
        <x:v>46266</x:v>
      </x:c>
      <x:c r="B1606" t="str">
        <x:v>Sep 2026</x:v>
      </x:c>
      <x:c r="C1606" t="str">
        <x:v>Forecast</x:v>
      </x:c>
      <x:c r="D1606" t="str">
        <x:v>DB-101</x:v>
      </x:c>
      <x:c r="E1606" t="str">
        <x:v>AeroSip Bottle</x:v>
      </x:c>
      <x:c r="F1606" t="str">
        <x:v>Shopify DTC</x:v>
      </x:c>
      <x:c r="G1606" t="str">
        <x:v>Consumer</x:v>
      </x:c>
      <x:c r="H1606" t="str">
        <x:v>US Central</x:v>
      </x:c>
      <x:c r="I1606" s="34" t="n">
        <x:v>240</x:v>
      </x:c>
      <x:c r="J1606" s="38" t="n">
        <x:v>6.115055999999999</x:v>
      </x:c>
      <x:c r="K1606" s="38" t="n">
        <x:v>1.9450793759999994</x:v>
      </x:c>
      <x:c r="L1606" s="28" t="n">
        <x:v>0.31808038650831644</x:v>
      </x:c>
    </x:row>
    <x:row r="1607">
      <x:c r="A1607" s="32" t="n">
        <x:v>46266</x:v>
      </x:c>
      <x:c r="B1607" t="str">
        <x:v>Sep 2026</x:v>
      </x:c>
      <x:c r="C1607" t="str">
        <x:v>Forecast</x:v>
      </x:c>
      <x:c r="D1607" t="str">
        <x:v>DB-101</x:v>
      </x:c>
      <x:c r="E1607" t="str">
        <x:v>AeroSip Bottle</x:v>
      </x:c>
      <x:c r="F1607" t="str">
        <x:v>Shopify DTC</x:v>
      </x:c>
      <x:c r="G1607" t="str">
        <x:v>Consumer</x:v>
      </x:c>
      <x:c r="H1607" t="str">
        <x:v>US East</x:v>
      </x:c>
      <x:c r="I1607" s="34" t="n">
        <x:v>320</x:v>
      </x:c>
      <x:c r="J1607" s="38" t="n">
        <x:v>8.153407999999999</x:v>
      </x:c>
      <x:c r="K1607" s="38" t="n">
        <x:v>2.5934391679999993</x:v>
      </x:c>
      <x:c r="L1607" s="28" t="n">
        <x:v>0.3180803865083165</x:v>
      </x:c>
    </x:row>
    <x:row r="1608">
      <x:c r="A1608" s="32" t="n">
        <x:v>46266</x:v>
      </x:c>
      <x:c r="B1608" t="str">
        <x:v>Sep 2026</x:v>
      </x:c>
      <x:c r="C1608" t="str">
        <x:v>Forecast</x:v>
      </x:c>
      <x:c r="D1608" t="str">
        <x:v>DB-101</x:v>
      </x:c>
      <x:c r="E1608" t="str">
        <x:v>AeroSip Bottle</x:v>
      </x:c>
      <x:c r="F1608" t="str">
        <x:v>Shopify DTC</x:v>
      </x:c>
      <x:c r="G1608" t="str">
        <x:v>Consumer</x:v>
      </x:c>
      <x:c r="H1608" t="str">
        <x:v>Canada</x:v>
      </x:c>
      <x:c r="I1608" s="34" t="n">
        <x:v>100</x:v>
      </x:c>
      <x:c r="J1608" s="38" t="n">
        <x:v>2.54794</x:v>
      </x:c>
      <x:c r="K1608" s="38" t="n">
        <x:v>0.8104497399999998</x:v>
      </x:c>
      <x:c r="L1608" s="28" t="n">
        <x:v>0.31808038650831644</x:v>
      </x:c>
    </x:row>
    <x:row r="1609">
      <x:c r="A1609" s="32" t="n">
        <x:v>46266</x:v>
      </x:c>
      <x:c r="B1609" t="str">
        <x:v>Sep 2026</x:v>
      </x:c>
      <x:c r="C1609" t="str">
        <x:v>Forecast</x:v>
      </x:c>
      <x:c r="D1609" t="str">
        <x:v>DB-101</x:v>
      </x:c>
      <x:c r="E1609" t="str">
        <x:v>AeroSip Bottle</x:v>
      </x:c>
      <x:c r="F1609" t="str">
        <x:v>Amazon Marketplace</x:v>
      </x:c>
      <x:c r="G1609" t="str">
        <x:v>Marketplace Consumer</x:v>
      </x:c>
      <x:c r="H1609" t="str">
        <x:v>US West</x:v>
      </x:c>
      <x:c r="I1609" s="34" t="n">
        <x:v>199.92000000000002</x:v>
      </x:c>
      <x:c r="J1609" s="38" t="n">
        <x:v>5.259945180000001</x:v>
      </x:c>
      <x:c r="K1609" s="38" t="n">
        <x:v>0.8352082830000004</x:v>
      </x:c>
      <x:c r="L1609" s="28" t="n">
        <x:v>0.15878649955815705</x:v>
      </x:c>
    </x:row>
    <x:row r="1610">
      <x:c r="A1610" s="32" t="n">
        <x:v>46266</x:v>
      </x:c>
      <x:c r="B1610" t="str">
        <x:v>Sep 2026</x:v>
      </x:c>
      <x:c r="C1610" t="str">
        <x:v>Forecast</x:v>
      </x:c>
      <x:c r="D1610" t="str">
        <x:v>DB-101</x:v>
      </x:c>
      <x:c r="E1610" t="str">
        <x:v>AeroSip Bottle</x:v>
      </x:c>
      <x:c r="F1610" t="str">
        <x:v>Amazon Marketplace</x:v>
      </x:c>
      <x:c r="G1610" t="str">
        <x:v>Marketplace Consumer</x:v>
      </x:c>
      <x:c r="H1610" t="str">
        <x:v>US Central</x:v>
      </x:c>
      <x:c r="I1610" s="34" t="n">
        <x:v>141.12</x:v>
      </x:c>
      <x:c r="J1610" s="38" t="n">
        <x:v>3.71290248</x:v>
      </x:c>
      <x:c r="K1610" s="38" t="n">
        <x:v>0.5895587880000003</x:v>
      </x:c>
      <x:c r="L1610" s="28" t="n">
        <x:v>0.15878649955815707</x:v>
      </x:c>
    </x:row>
    <x:row r="1611">
      <x:c r="A1611" s="32" t="n">
        <x:v>46266</x:v>
      </x:c>
      <x:c r="B1611" t="str">
        <x:v>Sep 2026</x:v>
      </x:c>
      <x:c r="C1611" t="str">
        <x:v>Forecast</x:v>
      </x:c>
      <x:c r="D1611" t="str">
        <x:v>DB-101</x:v>
      </x:c>
      <x:c r="E1611" t="str">
        <x:v>AeroSip Bottle</x:v>
      </x:c>
      <x:c r="F1611" t="str">
        <x:v>Amazon Marketplace</x:v>
      </x:c>
      <x:c r="G1611" t="str">
        <x:v>Marketplace Consumer</x:v>
      </x:c>
      <x:c r="H1611" t="str">
        <x:v>US East</x:v>
      </x:c>
      <x:c r="I1611" s="34" t="n">
        <x:v>188.16</x:v>
      </x:c>
      <x:c r="J1611" s="38" t="n">
        <x:v>4.95053664</x:v>
      </x:c>
      <x:c r="K1611" s="38" t="n">
        <x:v>0.7860783840000004</x:v>
      </x:c>
      <x:c r="L1611" s="28" t="n">
        <x:v>0.15878649955815707</x:v>
      </x:c>
    </x:row>
    <x:row r="1612">
      <x:c r="A1612" s="32" t="n">
        <x:v>46266</x:v>
      </x:c>
      <x:c r="B1612" t="str">
        <x:v>Sep 2026</x:v>
      </x:c>
      <x:c r="C1612" t="str">
        <x:v>Forecast</x:v>
      </x:c>
      <x:c r="D1612" t="str">
        <x:v>DB-101</x:v>
      </x:c>
      <x:c r="E1612" t="str">
        <x:v>AeroSip Bottle</x:v>
      </x:c>
      <x:c r="F1612" t="str">
        <x:v>Amazon Marketplace</x:v>
      </x:c>
      <x:c r="G1612" t="str">
        <x:v>Marketplace Consumer</x:v>
      </x:c>
      <x:c r="H1612" t="str">
        <x:v>Canada</x:v>
      </x:c>
      <x:c r="I1612" s="34" t="n">
        <x:v>58.800000000000004</x:v>
      </x:c>
      <x:c r="J1612" s="38" t="n">
        <x:v>1.5470427000000002</x:v>
      </x:c>
      <x:c r="K1612" s="38" t="n">
        <x:v>0.2456494950000001</x:v>
      </x:c>
      <x:c r="L1612" s="28" t="n">
        <x:v>0.15878649955815705</x:v>
      </x:c>
    </x:row>
    <x:row r="1613">
      <x:c r="A1613" s="32" t="n">
        <x:v>46266</x:v>
      </x:c>
      <x:c r="B1613" t="str">
        <x:v>Sep 2026</x:v>
      </x:c>
      <x:c r="C1613" t="str">
        <x:v>Forecast</x:v>
      </x:c>
      <x:c r="D1613" t="str">
        <x:v>DB-101</x:v>
      </x:c>
      <x:c r="E1613" t="str">
        <x:v>AeroSip Bottle</x:v>
      </x:c>
      <x:c r="F1613" t="str">
        <x:v>Wholesale</x:v>
      </x:c>
      <x:c r="G1613" t="str">
        <x:v>Retailer</x:v>
      </x:c>
      <x:c r="H1613" t="str">
        <x:v>US West</x:v>
      </x:c>
      <x:c r="I1613" s="34" t="n">
        <x:v>55.760000000000005</x:v>
      </x:c>
      <x:c r="J1613" s="38" t="n">
        <x:v>1.0037775800000002</x:v>
      </x:c>
      <x:c r="K1613" s="38" t="n">
        <x:v>0.22391822000000003</x:v>
      </x:c>
      <x:c r="L1613" s="28" t="n">
        <x:v>0.2230755343230519</x:v>
      </x:c>
    </x:row>
    <x:row r="1614">
      <x:c r="A1614" s="32" t="n">
        <x:v>46266</x:v>
      </x:c>
      <x:c r="B1614" t="str">
        <x:v>Sep 2026</x:v>
      </x:c>
      <x:c r="C1614" t="str">
        <x:v>Forecast</x:v>
      </x:c>
      <x:c r="D1614" t="str">
        <x:v>DB-101</x:v>
      </x:c>
      <x:c r="E1614" t="str">
        <x:v>AeroSip Bottle</x:v>
      </x:c>
      <x:c r="F1614" t="str">
        <x:v>Wholesale</x:v>
      </x:c>
      <x:c r="G1614" t="str">
        <x:v>Retailer</x:v>
      </x:c>
      <x:c r="H1614" t="str">
        <x:v>US Central</x:v>
      </x:c>
      <x:c r="I1614" s="34" t="n">
        <x:v>39.36</x:v>
      </x:c>
      <x:c r="J1614" s="38" t="n">
        <x:v>0.70854888</x:v>
      </x:c>
      <x:c r="K1614" s="38" t="n">
        <x:v>0.15805992</x:v>
      </x:c>
      <x:c r="L1614" s="28" t="n">
        <x:v>0.2230755343230519</x:v>
      </x:c>
    </x:row>
    <x:row r="1615">
      <x:c r="A1615" s="32" t="n">
        <x:v>46266</x:v>
      </x:c>
      <x:c r="B1615" t="str">
        <x:v>Sep 2026</x:v>
      </x:c>
      <x:c r="C1615" t="str">
        <x:v>Forecast</x:v>
      </x:c>
      <x:c r="D1615" t="str">
        <x:v>DB-101</x:v>
      </x:c>
      <x:c r="E1615" t="str">
        <x:v>AeroSip Bottle</x:v>
      </x:c>
      <x:c r="F1615" t="str">
        <x:v>Wholesale</x:v>
      </x:c>
      <x:c r="G1615" t="str">
        <x:v>Retailer</x:v>
      </x:c>
      <x:c r="H1615" t="str">
        <x:v>US East</x:v>
      </x:c>
      <x:c r="I1615" s="34" t="n">
        <x:v>52.480000000000004</x:v>
      </x:c>
      <x:c r="J1615" s="38" t="n">
        <x:v>0.9447318400000001</x:v>
      </x:c>
      <x:c r="K1615" s="38" t="n">
        <x:v>0.21074656000000003</x:v>
      </x:c>
      <x:c r="L1615" s="28" t="n">
        <x:v>0.22307553432305194</x:v>
      </x:c>
    </x:row>
    <x:row r="1616">
      <x:c r="A1616" s="32" t="n">
        <x:v>46266</x:v>
      </x:c>
      <x:c r="B1616" t="str">
        <x:v>Sep 2026</x:v>
      </x:c>
      <x:c r="C1616" t="str">
        <x:v>Forecast</x:v>
      </x:c>
      <x:c r="D1616" t="str">
        <x:v>DB-101</x:v>
      </x:c>
      <x:c r="E1616" t="str">
        <x:v>AeroSip Bottle</x:v>
      </x:c>
      <x:c r="F1616" t="str">
        <x:v>Wholesale</x:v>
      </x:c>
      <x:c r="G1616" t="str">
        <x:v>Retailer</x:v>
      </x:c>
      <x:c r="H1616" t="str">
        <x:v>Canada</x:v>
      </x:c>
      <x:c r="I1616" s="34" t="n">
        <x:v>16.400000000000002</x:v>
      </x:c>
      <x:c r="J1616" s="38" t="n">
        <x:v>0.2952287</x:v>
      </x:c>
      <x:c r="K1616" s="38" t="n">
        <x:v>0.06585830000000001</x:v>
      </x:c>
      <x:c r="L1616" s="28" t="n">
        <x:v>0.22307553432305194</x:v>
      </x:c>
    </x:row>
    <x:row r="1617">
      <x:c r="A1617" s="32" t="n">
        <x:v>46266</x:v>
      </x:c>
      <x:c r="B1617" t="str">
        <x:v>Sep 2026</x:v>
      </x:c>
      <x:c r="C1617" t="str">
        <x:v>Forecast</x:v>
      </x:c>
      <x:c r="D1617" t="str">
        <x:v>DB-101</x:v>
      </x:c>
      <x:c r="E1617" t="str">
        <x:v>AeroSip Bottle</x:v>
      </x:c>
      <x:c r="F1617" t="str">
        <x:v>TikTok Shop</x:v>
      </x:c>
      <x:c r="G1617" t="str">
        <x:v>Social Commerce</x:v>
      </x:c>
      <x:c r="H1617" t="str">
        <x:v>US West</x:v>
      </x:c>
      <x:c r="I1617" s="34" t="n">
        <x:v>85.68</x:v>
      </x:c>
      <x:c r="J1617" s="38" t="n">
        <x:v>2.088158688</x:v>
      </x:c>
      <x:c r="K1617" s="38" t="n">
        <x:v>0.3869760847679999</x:v>
      </x:c>
      <x:c r="L1617" s="28" t="n">
        <x:v>0.18531928966501987</x:v>
      </x:c>
    </x:row>
    <x:row r="1618">
      <x:c r="A1618" s="32" t="n">
        <x:v>46266</x:v>
      </x:c>
      <x:c r="B1618" t="str">
        <x:v>Sep 2026</x:v>
      </x:c>
      <x:c r="C1618" t="str">
        <x:v>Forecast</x:v>
      </x:c>
      <x:c r="D1618" t="str">
        <x:v>DB-101</x:v>
      </x:c>
      <x:c r="E1618" t="str">
        <x:v>AeroSip Bottle</x:v>
      </x:c>
      <x:c r="F1618" t="str">
        <x:v>TikTok Shop</x:v>
      </x:c>
      <x:c r="G1618" t="str">
        <x:v>Social Commerce</x:v>
      </x:c>
      <x:c r="H1618" t="str">
        <x:v>US Central</x:v>
      </x:c>
      <x:c r="I1618" s="34" t="n">
        <x:v>60.48</x:v>
      </x:c>
      <x:c r="J1618" s="38" t="n">
        <x:v>1.4739943679999998</x:v>
      </x:c>
      <x:c r="K1618" s="38" t="n">
        <x:v>0.2731595892479999</x:v>
      </x:c>
      <x:c r="L1618" s="28" t="n">
        <x:v>0.18531928966501987</x:v>
      </x:c>
    </x:row>
    <x:row r="1619">
      <x:c r="A1619" s="32" t="n">
        <x:v>46266</x:v>
      </x:c>
      <x:c r="B1619" t="str">
        <x:v>Sep 2026</x:v>
      </x:c>
      <x:c r="C1619" t="str">
        <x:v>Forecast</x:v>
      </x:c>
      <x:c r="D1619" t="str">
        <x:v>DB-101</x:v>
      </x:c>
      <x:c r="E1619" t="str">
        <x:v>AeroSip Bottle</x:v>
      </x:c>
      <x:c r="F1619" t="str">
        <x:v>TikTok Shop</x:v>
      </x:c>
      <x:c r="G1619" t="str">
        <x:v>Social Commerce</x:v>
      </x:c>
      <x:c r="H1619" t="str">
        <x:v>US East</x:v>
      </x:c>
      <x:c r="I1619" s="34" t="n">
        <x:v>80.64</x:v>
      </x:c>
      <x:c r="J1619" s="38" t="n">
        <x:v>1.965325824</x:v>
      </x:c>
      <x:c r="K1619" s="38" t="n">
        <x:v>0.36421278566399984</x:v>
      </x:c>
      <x:c r="L1619" s="28" t="n">
        <x:v>0.18531928966501987</x:v>
      </x:c>
    </x:row>
    <x:row r="1620">
      <x:c r="A1620" s="32" t="n">
        <x:v>46266</x:v>
      </x:c>
      <x:c r="B1620" t="str">
        <x:v>Sep 2026</x:v>
      </x:c>
      <x:c r="C1620" t="str">
        <x:v>Forecast</x:v>
      </x:c>
      <x:c r="D1620" t="str">
        <x:v>DB-101</x:v>
      </x:c>
      <x:c r="E1620" t="str">
        <x:v>AeroSip Bottle</x:v>
      </x:c>
      <x:c r="F1620" t="str">
        <x:v>TikTok Shop</x:v>
      </x:c>
      <x:c r="G1620" t="str">
        <x:v>Social Commerce</x:v>
      </x:c>
      <x:c r="H1620" t="str">
        <x:v>Canada</x:v>
      </x:c>
      <x:c r="I1620" s="34" t="n">
        <x:v>25.200000000000003</x:v>
      </x:c>
      <x:c r="J1620" s="38" t="n">
        <x:v>0.61416432</x:v>
      </x:c>
      <x:c r="K1620" s="38" t="n">
        <x:v>0.11381649551999995</x:v>
      </x:c>
      <x:c r="L1620" s="28" t="n">
        <x:v>0.18531928966501987</x:v>
      </x:c>
    </x:row>
    <x:row r="1621">
      <x:c r="A1621" s="32" t="n">
        <x:v>46266</x:v>
      </x:c>
      <x:c r="B1621" t="str">
        <x:v>Sep 2026</x:v>
      </x:c>
      <x:c r="C1621" t="str">
        <x:v>Forecast</x:v>
      </x:c>
      <x:c r="D1621" t="str">
        <x:v>DB-102</x:v>
      </x:c>
      <x:c r="E1621" t="str">
        <x:v>GlowPatch Balm</x:v>
      </x:c>
      <x:c r="F1621" t="str">
        <x:v>Shopify DTC</x:v>
      </x:c>
      <x:c r="G1621" t="str">
        <x:v>Consumer</x:v>
      </x:c>
      <x:c r="H1621" t="str">
        <x:v>US West</x:v>
      </x:c>
      <x:c r="I1621" s="34" t="n">
        <x:v>340</x:v>
      </x:c>
      <x:c r="J1621" s="38" t="n">
        <x:v>5.48964</x:v>
      </x:c>
      <x:c r="K1621" s="38" t="n">
        <x:v>1.5170004399999986</x:v>
      </x:c>
      <x:c r="L1621" s="28" t="n">
        <x:v>0.2763387835996529</x:v>
      </x:c>
    </x:row>
    <x:row r="1622">
      <x:c r="A1622" s="32" t="n">
        <x:v>46266</x:v>
      </x:c>
      <x:c r="B1622" t="str">
        <x:v>Sep 2026</x:v>
      </x:c>
      <x:c r="C1622" t="str">
        <x:v>Forecast</x:v>
      </x:c>
      <x:c r="D1622" t="str">
        <x:v>DB-102</x:v>
      </x:c>
      <x:c r="E1622" t="str">
        <x:v>GlowPatch Balm</x:v>
      </x:c>
      <x:c r="F1622" t="str">
        <x:v>Shopify DTC</x:v>
      </x:c>
      <x:c r="G1622" t="str">
        <x:v>Consumer</x:v>
      </x:c>
      <x:c r="H1622" t="str">
        <x:v>US Central</x:v>
      </x:c>
      <x:c r="I1622" s="34" t="n">
        <x:v>240</x:v>
      </x:c>
      <x:c r="J1622" s="38" t="n">
        <x:v>3.8750399999999994</x:v>
      </x:c>
      <x:c r="K1622" s="38" t="n">
        <x:v>1.070823839999999</x:v>
      </x:c>
      <x:c r="L1622" s="28" t="n">
        <x:v>0.27633878359965297</x:v>
      </x:c>
    </x:row>
    <x:row r="1623">
      <x:c r="A1623" s="32" t="n">
        <x:v>46266</x:v>
      </x:c>
      <x:c r="B1623" t="str">
        <x:v>Sep 2026</x:v>
      </x:c>
      <x:c r="C1623" t="str">
        <x:v>Forecast</x:v>
      </x:c>
      <x:c r="D1623" t="str">
        <x:v>DB-102</x:v>
      </x:c>
      <x:c r="E1623" t="str">
        <x:v>GlowPatch Balm</x:v>
      </x:c>
      <x:c r="F1623" t="str">
        <x:v>Shopify DTC</x:v>
      </x:c>
      <x:c r="G1623" t="str">
        <x:v>Consumer</x:v>
      </x:c>
      <x:c r="H1623" t="str">
        <x:v>US East</x:v>
      </x:c>
      <x:c r="I1623" s="34" t="n">
        <x:v>320</x:v>
      </x:c>
      <x:c r="J1623" s="38" t="n">
        <x:v>5.166719999999999</x:v>
      </x:c>
      <x:c r="K1623" s="38" t="n">
        <x:v>1.4277651199999986</x:v>
      </x:c>
      <x:c r="L1623" s="28" t="n">
        <x:v>0.27633878359965297</x:v>
      </x:c>
    </x:row>
    <x:row r="1624">
      <x:c r="A1624" s="32" t="n">
        <x:v>46266</x:v>
      </x:c>
      <x:c r="B1624" t="str">
        <x:v>Sep 2026</x:v>
      </x:c>
      <x:c r="C1624" t="str">
        <x:v>Forecast</x:v>
      </x:c>
      <x:c r="D1624" t="str">
        <x:v>DB-102</x:v>
      </x:c>
      <x:c r="E1624" t="str">
        <x:v>GlowPatch Balm</x:v>
      </x:c>
      <x:c r="F1624" t="str">
        <x:v>Shopify DTC</x:v>
      </x:c>
      <x:c r="G1624" t="str">
        <x:v>Consumer</x:v>
      </x:c>
      <x:c r="H1624" t="str">
        <x:v>Canada</x:v>
      </x:c>
      <x:c r="I1624" s="34" t="n">
        <x:v>100</x:v>
      </x:c>
      <x:c r="J1624" s="38" t="n">
        <x:v>1.6145999999999998</x:v>
      </x:c>
      <x:c r="K1624" s="38" t="n">
        <x:v>0.4461765999999996</x:v>
      </x:c>
      <x:c r="L1624" s="28" t="n">
        <x:v>0.27633878359965297</x:v>
      </x:c>
    </x:row>
    <x:row r="1625">
      <x:c r="A1625" s="32" t="n">
        <x:v>46266</x:v>
      </x:c>
      <x:c r="B1625" t="str">
        <x:v>Sep 2026</x:v>
      </x:c>
      <x:c r="C1625" t="str">
        <x:v>Forecast</x:v>
      </x:c>
      <x:c r="D1625" t="str">
        <x:v>DB-102</x:v>
      </x:c>
      <x:c r="E1625" t="str">
        <x:v>GlowPatch Balm</x:v>
      </x:c>
      <x:c r="F1625" t="str">
        <x:v>Amazon Marketplace</x:v>
      </x:c>
      <x:c r="G1625" t="str">
        <x:v>Marketplace Consumer</x:v>
      </x:c>
      <x:c r="H1625" t="str">
        <x:v>US West</x:v>
      </x:c>
      <x:c r="I1625" s="34" t="n">
        <x:v>201.28</x:v>
      </x:c>
      <x:c r="J1625" s="38" t="n">
        <x:v>3.3558408</x:v>
      </x:c>
      <x:c r="K1625" s="38" t="n">
        <x:v>0.2829241999999999</x:v>
      </x:c>
      <x:c r="L1625" s="28" t="n">
        <x:v>0.08430799220272901</x:v>
      </x:c>
    </x:row>
    <x:row r="1626">
      <x:c r="A1626" s="32" t="n">
        <x:v>46266</x:v>
      </x:c>
      <x:c r="B1626" t="str">
        <x:v>Sep 2026</x:v>
      </x:c>
      <x:c r="C1626" t="str">
        <x:v>Forecast</x:v>
      </x:c>
      <x:c r="D1626" t="str">
        <x:v>DB-102</x:v>
      </x:c>
      <x:c r="E1626" t="str">
        <x:v>GlowPatch Balm</x:v>
      </x:c>
      <x:c r="F1626" t="str">
        <x:v>Amazon Marketplace</x:v>
      </x:c>
      <x:c r="G1626" t="str">
        <x:v>Marketplace Consumer</x:v>
      </x:c>
      <x:c r="H1626" t="str">
        <x:v>US Central</x:v>
      </x:c>
      <x:c r="I1626" s="34" t="n">
        <x:v>142.07999999999998</x:v>
      </x:c>
      <x:c r="J1626" s="38" t="n">
        <x:v>2.3688287999999997</x:v>
      </x:c>
      <x:c r="K1626" s="38" t="n">
        <x:v>0.1997111999999999</x:v>
      </x:c>
      <x:c r="L1626" s="28" t="n">
        <x:v>0.08430799220272901</x:v>
      </x:c>
    </x:row>
    <x:row r="1627">
      <x:c r="A1627" s="32" t="n">
        <x:v>46266</x:v>
      </x:c>
      <x:c r="B1627" t="str">
        <x:v>Sep 2026</x:v>
      </x:c>
      <x:c r="C1627" t="str">
        <x:v>Forecast</x:v>
      </x:c>
      <x:c r="D1627" t="str">
        <x:v>DB-102</x:v>
      </x:c>
      <x:c r="E1627" t="str">
        <x:v>GlowPatch Balm</x:v>
      </x:c>
      <x:c r="F1627" t="str">
        <x:v>Amazon Marketplace</x:v>
      </x:c>
      <x:c r="G1627" t="str">
        <x:v>Marketplace Consumer</x:v>
      </x:c>
      <x:c r="H1627" t="str">
        <x:v>US East</x:v>
      </x:c>
      <x:c r="I1627" s="34" t="n">
        <x:v>189.44</x:v>
      </x:c>
      <x:c r="J1627" s="38" t="n">
        <x:v>3.1584384</x:v>
      </x:c>
      <x:c r="K1627" s="38" t="n">
        <x:v>0.2662815999999999</x:v>
      </x:c>
      <x:c r="L1627" s="28" t="n">
        <x:v>0.08430799220272901</x:v>
      </x:c>
    </x:row>
    <x:row r="1628">
      <x:c r="A1628" s="32" t="n">
        <x:v>46266</x:v>
      </x:c>
      <x:c r="B1628" t="str">
        <x:v>Sep 2026</x:v>
      </x:c>
      <x:c r="C1628" t="str">
        <x:v>Forecast</x:v>
      </x:c>
      <x:c r="D1628" t="str">
        <x:v>DB-102</x:v>
      </x:c>
      <x:c r="E1628" t="str">
        <x:v>GlowPatch Balm</x:v>
      </x:c>
      <x:c r="F1628" t="str">
        <x:v>Amazon Marketplace</x:v>
      </x:c>
      <x:c r="G1628" t="str">
        <x:v>Marketplace Consumer</x:v>
      </x:c>
      <x:c r="H1628" t="str">
        <x:v>Canada</x:v>
      </x:c>
      <x:c r="I1628" s="34" t="n">
        <x:v>59.2</x:v>
      </x:c>
      <x:c r="J1628" s="38" t="n">
        <x:v>0.987012</x:v>
      </x:c>
      <x:c r="K1628" s="38" t="n">
        <x:v>0.08321299999999997</x:v>
      </x:c>
      <x:c r="L1628" s="28" t="n">
        <x:v>0.08430799220272901</x:v>
      </x:c>
    </x:row>
    <x:row r="1629">
      <x:c r="A1629" s="32" t="n">
        <x:v>46266</x:v>
      </x:c>
      <x:c r="B1629" t="str">
        <x:v>Sep 2026</x:v>
      </x:c>
      <x:c r="C1629" t="str">
        <x:v>Forecast</x:v>
      </x:c>
      <x:c r="D1629" t="str">
        <x:v>DB-102</x:v>
      </x:c>
      <x:c r="E1629" t="str">
        <x:v>GlowPatch Balm</x:v>
      </x:c>
      <x:c r="F1629" t="str">
        <x:v>Wholesale</x:v>
      </x:c>
      <x:c r="G1629" t="str">
        <x:v>Retailer</x:v>
      </x:c>
      <x:c r="H1629" t="str">
        <x:v>US West</x:v>
      </x:c>
      <x:c r="I1629" s="34" t="n">
        <x:v>55.760000000000005</x:v>
      </x:c>
      <x:c r="J1629" s="38" t="n">
        <x:v>0.6360822</x:v>
      </x:c>
      <x:c r="K1629" s="38" t="n">
        <x:v>0.15844204000000003</x:v>
      </x:c>
      <x:c r="L1629" s="28" t="n">
        <x:v>0.2490905106289722</x:v>
      </x:c>
    </x:row>
    <x:row r="1630">
      <x:c r="A1630" s="32" t="n">
        <x:v>46266</x:v>
      </x:c>
      <x:c r="B1630" t="str">
        <x:v>Sep 2026</x:v>
      </x:c>
      <x:c r="C1630" t="str">
        <x:v>Forecast</x:v>
      </x:c>
      <x:c r="D1630" t="str">
        <x:v>DB-102</x:v>
      </x:c>
      <x:c r="E1630" t="str">
        <x:v>GlowPatch Balm</x:v>
      </x:c>
      <x:c r="F1630" t="str">
        <x:v>Wholesale</x:v>
      </x:c>
      <x:c r="G1630" t="str">
        <x:v>Retailer</x:v>
      </x:c>
      <x:c r="H1630" t="str">
        <x:v>US Central</x:v>
      </x:c>
      <x:c r="I1630" s="34" t="n">
        <x:v>39.36</x:v>
      </x:c>
      <x:c r="J1630" s="38" t="n">
        <x:v>0.4489992</x:v>
      </x:c>
      <x:c r="K1630" s="38" t="n">
        <x:v>0.11184144</x:v>
      </x:c>
      <x:c r="L1630" s="28" t="n">
        <x:v>0.24909051062897217</x:v>
      </x:c>
    </x:row>
    <x:row r="1631">
      <x:c r="A1631" s="32" t="n">
        <x:v>46266</x:v>
      </x:c>
      <x:c r="B1631" t="str">
        <x:v>Sep 2026</x:v>
      </x:c>
      <x:c r="C1631" t="str">
        <x:v>Forecast</x:v>
      </x:c>
      <x:c r="D1631" t="str">
        <x:v>DB-102</x:v>
      </x:c>
      <x:c r="E1631" t="str">
        <x:v>GlowPatch Balm</x:v>
      </x:c>
      <x:c r="F1631" t="str">
        <x:v>Wholesale</x:v>
      </x:c>
      <x:c r="G1631" t="str">
        <x:v>Retailer</x:v>
      </x:c>
      <x:c r="H1631" t="str">
        <x:v>US East</x:v>
      </x:c>
      <x:c r="I1631" s="34" t="n">
        <x:v>52.480000000000004</x:v>
      </x:c>
      <x:c r="J1631" s="38" t="n">
        <x:v>0.5986656</x:v>
      </x:c>
      <x:c r="K1631" s="38" t="n">
        <x:v>0.14912192000000002</x:v>
      </x:c>
      <x:c r="L1631" s="28" t="n">
        <x:v>0.2490905106289722</x:v>
      </x:c>
    </x:row>
    <x:row r="1632">
      <x:c r="A1632" s="32" t="n">
        <x:v>46266</x:v>
      </x:c>
      <x:c r="B1632" t="str">
        <x:v>Sep 2026</x:v>
      </x:c>
      <x:c r="C1632" t="str">
        <x:v>Forecast</x:v>
      </x:c>
      <x:c r="D1632" t="str">
        <x:v>DB-102</x:v>
      </x:c>
      <x:c r="E1632" t="str">
        <x:v>GlowPatch Balm</x:v>
      </x:c>
      <x:c r="F1632" t="str">
        <x:v>Wholesale</x:v>
      </x:c>
      <x:c r="G1632" t="str">
        <x:v>Retailer</x:v>
      </x:c>
      <x:c r="H1632" t="str">
        <x:v>Canada</x:v>
      </x:c>
      <x:c r="I1632" s="34" t="n">
        <x:v>16.400000000000002</x:v>
      </x:c>
      <x:c r="J1632" s="38" t="n">
        <x:v>0.187083</x:v>
      </x:c>
      <x:c r="K1632" s="38" t="n">
        <x:v>0.046600600000000006</x:v>
      </x:c>
      <x:c r="L1632" s="28" t="n">
        <x:v>0.2490905106289722</x:v>
      </x:c>
    </x:row>
    <x:row r="1633">
      <x:c r="A1633" s="32" t="n">
        <x:v>46266</x:v>
      </x:c>
      <x:c r="B1633" t="str">
        <x:v>Sep 2026</x:v>
      </x:c>
      <x:c r="C1633" t="str">
        <x:v>Forecast</x:v>
      </x:c>
      <x:c r="D1633" t="str">
        <x:v>DB-102</x:v>
      </x:c>
      <x:c r="E1633" t="str">
        <x:v>GlowPatch Balm</x:v>
      </x:c>
      <x:c r="F1633" t="str">
        <x:v>TikTok Shop</x:v>
      </x:c>
      <x:c r="G1633" t="str">
        <x:v>Social Commerce</x:v>
      </x:c>
      <x:c r="H1633" t="str">
        <x:v>US West</x:v>
      </x:c>
      <x:c r="I1633" s="34" t="n">
        <x:v>85.68</x:v>
      </x:c>
      <x:c r="J1633" s="38" t="n">
        <x:v>1.32324192</x:v>
      </x:c>
      <x:c r="K1633" s="38" t="n">
        <x:v>0.15452250911999998</x:v>
      </x:c>
      <x:c r="L1633" s="28" t="n">
        <x:v>0.11677570577570576</x:v>
      </x:c>
    </x:row>
    <x:row r="1634">
      <x:c r="A1634" s="32" t="n">
        <x:v>46266</x:v>
      </x:c>
      <x:c r="B1634" t="str">
        <x:v>Sep 2026</x:v>
      </x:c>
      <x:c r="C1634" t="str">
        <x:v>Forecast</x:v>
      </x:c>
      <x:c r="D1634" t="str">
        <x:v>DB-102</x:v>
      </x:c>
      <x:c r="E1634" t="str">
        <x:v>GlowPatch Balm</x:v>
      </x:c>
      <x:c r="F1634" t="str">
        <x:v>TikTok Shop</x:v>
      </x:c>
      <x:c r="G1634" t="str">
        <x:v>Social Commerce</x:v>
      </x:c>
      <x:c r="H1634" t="str">
        <x:v>US Central</x:v>
      </x:c>
      <x:c r="I1634" s="34" t="n">
        <x:v>60.48</x:v>
      </x:c>
      <x:c r="J1634" s="38" t="n">
        <x:v>0.93405312</x:v>
      </x:c>
      <x:c r="K1634" s="38" t="n">
        <x:v>0.10907471231999999</x:v>
      </x:c>
      <x:c r="L1634" s="28" t="n">
        <x:v>0.11677570577570577</x:v>
      </x:c>
    </x:row>
    <x:row r="1635">
      <x:c r="A1635" s="32" t="n">
        <x:v>46266</x:v>
      </x:c>
      <x:c r="B1635" t="str">
        <x:v>Sep 2026</x:v>
      </x:c>
      <x:c r="C1635" t="str">
        <x:v>Forecast</x:v>
      </x:c>
      <x:c r="D1635" t="str">
        <x:v>DB-102</x:v>
      </x:c>
      <x:c r="E1635" t="str">
        <x:v>GlowPatch Balm</x:v>
      </x:c>
      <x:c r="F1635" t="str">
        <x:v>TikTok Shop</x:v>
      </x:c>
      <x:c r="G1635" t="str">
        <x:v>Social Commerce</x:v>
      </x:c>
      <x:c r="H1635" t="str">
        <x:v>US East</x:v>
      </x:c>
      <x:c r="I1635" s="34" t="n">
        <x:v>80.64</x:v>
      </x:c>
      <x:c r="J1635" s="38" t="n">
        <x:v>1.2454041599999999</x:v>
      </x:c>
      <x:c r="K1635" s="38" t="n">
        <x:v>0.14543294975999999</x:v>
      </x:c>
      <x:c r="L1635" s="28" t="n">
        <x:v>0.11677570577570577</x:v>
      </x:c>
    </x:row>
    <x:row r="1636">
      <x:c r="A1636" s="32" t="n">
        <x:v>46266</x:v>
      </x:c>
      <x:c r="B1636" t="str">
        <x:v>Sep 2026</x:v>
      </x:c>
      <x:c r="C1636" t="str">
        <x:v>Forecast</x:v>
      </x:c>
      <x:c r="D1636" t="str">
        <x:v>DB-102</x:v>
      </x:c>
      <x:c r="E1636" t="str">
        <x:v>GlowPatch Balm</x:v>
      </x:c>
      <x:c r="F1636" t="str">
        <x:v>TikTok Shop</x:v>
      </x:c>
      <x:c r="G1636" t="str">
        <x:v>Social Commerce</x:v>
      </x:c>
      <x:c r="H1636" t="str">
        <x:v>Canada</x:v>
      </x:c>
      <x:c r="I1636" s="34" t="n">
        <x:v>25.200000000000003</x:v>
      </x:c>
      <x:c r="J1636" s="38" t="n">
        <x:v>0.3891888</x:v>
      </x:c>
      <x:c r="K1636" s="38" t="n">
        <x:v>0.045447796799999995</x:v>
      </x:c>
      <x:c r="L1636" s="28" t="n">
        <x:v>0.11677570577570576</x:v>
      </x:c>
    </x:row>
    <x:row r="1637">
      <x:c r="A1637" s="32" t="n">
        <x:v>46266</x:v>
      </x:c>
      <x:c r="B1637" t="str">
        <x:v>Sep 2026</x:v>
      </x:c>
      <x:c r="C1637" t="str">
        <x:v>Forecast</x:v>
      </x:c>
      <x:c r="D1637" t="str">
        <x:v>DB-103</x:v>
      </x:c>
      <x:c r="E1637" t="str">
        <x:v>EmberTrail Camp Mug</x:v>
      </x:c>
      <x:c r="F1637" t="str">
        <x:v>Shopify DTC</x:v>
      </x:c>
      <x:c r="G1637" t="str">
        <x:v>Consumer</x:v>
      </x:c>
      <x:c r="H1637" t="str">
        <x:v>US West</x:v>
      </x:c>
      <x:c r="I1637" s="34" t="n">
        <x:v>217.60000000000002</x:v>
      </x:c>
      <x:c r="J1637" s="38" t="n">
        <x:v>6.432168960000001</x:v>
      </x:c>
      <x:c r="K1637" s="38" t="n">
        <x:v>1.9967784601600003</x:v>
      </x:c>
      <x:c r="L1637" s="28" t="n">
        <x:v>0.31043625759482535</x:v>
      </x:c>
    </x:row>
    <x:row r="1638">
      <x:c r="A1638" s="32" t="n">
        <x:v>46266</x:v>
      </x:c>
      <x:c r="B1638" t="str">
        <x:v>Sep 2026</x:v>
      </x:c>
      <x:c r="C1638" t="str">
        <x:v>Forecast</x:v>
      </x:c>
      <x:c r="D1638" t="str">
        <x:v>DB-103</x:v>
      </x:c>
      <x:c r="E1638" t="str">
        <x:v>EmberTrail Camp Mug</x:v>
      </x:c>
      <x:c r="F1638" t="str">
        <x:v>Shopify DTC</x:v>
      </x:c>
      <x:c r="G1638" t="str">
        <x:v>Consumer</x:v>
      </x:c>
      <x:c r="H1638" t="str">
        <x:v>US Central</x:v>
      </x:c>
      <x:c r="I1638" s="34" t="n">
        <x:v>153.6</x:v>
      </x:c>
      <x:c r="J1638" s="38" t="n">
        <x:v>4.54035456</x:v>
      </x:c>
      <x:c r="K1638" s="38" t="n">
        <x:v>1.40949067776</x:v>
      </x:c>
      <x:c r="L1638" s="28" t="n">
        <x:v>0.3104362575948254</x:v>
      </x:c>
    </x:row>
    <x:row r="1639">
      <x:c r="A1639" s="32" t="n">
        <x:v>46266</x:v>
      </x:c>
      <x:c r="B1639" t="str">
        <x:v>Sep 2026</x:v>
      </x:c>
      <x:c r="C1639" t="str">
        <x:v>Forecast</x:v>
      </x:c>
      <x:c r="D1639" t="str">
        <x:v>DB-103</x:v>
      </x:c>
      <x:c r="E1639" t="str">
        <x:v>EmberTrail Camp Mug</x:v>
      </x:c>
      <x:c r="F1639" t="str">
        <x:v>Shopify DTC</x:v>
      </x:c>
      <x:c r="G1639" t="str">
        <x:v>Consumer</x:v>
      </x:c>
      <x:c r="H1639" t="str">
        <x:v>US East</x:v>
      </x:c>
      <x:c r="I1639" s="34" t="n">
        <x:v>204.8</x:v>
      </x:c>
      <x:c r="J1639" s="38" t="n">
        <x:v>6.053806080000001</x:v>
      </x:c>
      <x:c r="K1639" s="38" t="n">
        <x:v>1.8793209036800003</x:v>
      </x:c>
      <x:c r="L1639" s="28" t="n">
        <x:v>0.31043625759482535</x:v>
      </x:c>
    </x:row>
    <x:row r="1640">
      <x:c r="A1640" s="32" t="n">
        <x:v>46266</x:v>
      </x:c>
      <x:c r="B1640" t="str">
        <x:v>Sep 2026</x:v>
      </x:c>
      <x:c r="C1640" t="str">
        <x:v>Forecast</x:v>
      </x:c>
      <x:c r="D1640" t="str">
        <x:v>DB-103</x:v>
      </x:c>
      <x:c r="E1640" t="str">
        <x:v>EmberTrail Camp Mug</x:v>
      </x:c>
      <x:c r="F1640" t="str">
        <x:v>Shopify DTC</x:v>
      </x:c>
      <x:c r="G1640" t="str">
        <x:v>Consumer</x:v>
      </x:c>
      <x:c r="H1640" t="str">
        <x:v>Canada</x:v>
      </x:c>
      <x:c r="I1640" s="34" t="n">
        <x:v>64</x:v>
      </x:c>
      <x:c r="J1640" s="38" t="n">
        <x:v>1.8918144000000003</x:v>
      </x:c>
      <x:c r="K1640" s="38" t="n">
        <x:v>0.5872877824000001</x:v>
      </x:c>
      <x:c r="L1640" s="28" t="n">
        <x:v>0.3104362575948254</x:v>
      </x:c>
    </x:row>
    <x:row r="1641">
      <x:c r="A1641" s="32" t="n">
        <x:v>46266</x:v>
      </x:c>
      <x:c r="B1641" t="str">
        <x:v>Sep 2026</x:v>
      </x:c>
      <x:c r="C1641" t="str">
        <x:v>Forecast</x:v>
      </x:c>
      <x:c r="D1641" t="str">
        <x:v>DB-103</x:v>
      </x:c>
      <x:c r="E1641" t="str">
        <x:v>EmberTrail Camp Mug</x:v>
      </x:c>
      <x:c r="F1641" t="str">
        <x:v>Amazon Marketplace</x:v>
      </x:c>
      <x:c r="G1641" t="str">
        <x:v>Marketplace Consumer</x:v>
      </x:c>
      <x:c r="H1641" t="str">
        <x:v>US West</x:v>
      </x:c>
      <x:c r="I1641" s="34" t="n">
        <x:v>129.20000000000002</x:v>
      </x:c>
      <x:c r="J1641" s="38" t="n">
        <x:v>3.9436362000000003</x:v>
      </x:c>
      <x:c r="K1641" s="38" t="n">
        <x:v>0.6290715699999999</x:v>
      </x:c>
      <x:c r="L1641" s="28" t="n">
        <x:v>0.1595156191131423</x:v>
      </x:c>
    </x:row>
    <x:row r="1642">
      <x:c r="A1642" s="32" t="n">
        <x:v>46266</x:v>
      </x:c>
      <x:c r="B1642" t="str">
        <x:v>Sep 2026</x:v>
      </x:c>
      <x:c r="C1642" t="str">
        <x:v>Forecast</x:v>
      </x:c>
      <x:c r="D1642" t="str">
        <x:v>DB-103</x:v>
      </x:c>
      <x:c r="E1642" t="str">
        <x:v>EmberTrail Camp Mug</x:v>
      </x:c>
      <x:c r="F1642" t="str">
        <x:v>Amazon Marketplace</x:v>
      </x:c>
      <x:c r="G1642" t="str">
        <x:v>Marketplace Consumer</x:v>
      </x:c>
      <x:c r="H1642" t="str">
        <x:v>US Central</x:v>
      </x:c>
      <x:c r="I1642" s="34" t="n">
        <x:v>91.2</x:v>
      </x:c>
      <x:c r="J1642" s="38" t="n">
        <x:v>2.7837431999999995</x:v>
      </x:c>
      <x:c r="K1642" s="38" t="n">
        <x:v>0.4440505199999999</x:v>
      </x:c>
      <x:c r="L1642" s="28" t="n">
        <x:v>0.15951561911314233</x:v>
      </x:c>
    </x:row>
    <x:row r="1643">
      <x:c r="A1643" s="32" t="n">
        <x:v>46266</x:v>
      </x:c>
      <x:c r="B1643" t="str">
        <x:v>Sep 2026</x:v>
      </x:c>
      <x:c r="C1643" t="str">
        <x:v>Forecast</x:v>
      </x:c>
      <x:c r="D1643" t="str">
        <x:v>DB-103</x:v>
      </x:c>
      <x:c r="E1643" t="str">
        <x:v>EmberTrail Camp Mug</x:v>
      </x:c>
      <x:c r="F1643" t="str">
        <x:v>Amazon Marketplace</x:v>
      </x:c>
      <x:c r="G1643" t="str">
        <x:v>Marketplace Consumer</x:v>
      </x:c>
      <x:c r="H1643" t="str">
        <x:v>US East</x:v>
      </x:c>
      <x:c r="I1643" s="34" t="n">
        <x:v>121.60000000000001</x:v>
      </x:c>
      <x:c r="J1643" s="38" t="n">
        <x:v>3.7116575999999997</x:v>
      </x:c>
      <x:c r="K1643" s="38" t="n">
        <x:v>0.5920673599999998</x:v>
      </x:c>
      <x:c r="L1643" s="28" t="n">
        <x:v>0.1595156191131423</x:v>
      </x:c>
    </x:row>
    <x:row r="1644">
      <x:c r="A1644" s="32" t="n">
        <x:v>46266</x:v>
      </x:c>
      <x:c r="B1644" t="str">
        <x:v>Sep 2026</x:v>
      </x:c>
      <x:c r="C1644" t="str">
        <x:v>Forecast</x:v>
      </x:c>
      <x:c r="D1644" t="str">
        <x:v>DB-103</x:v>
      </x:c>
      <x:c r="E1644" t="str">
        <x:v>EmberTrail Camp Mug</x:v>
      </x:c>
      <x:c r="F1644" t="str">
        <x:v>Amazon Marketplace</x:v>
      </x:c>
      <x:c r="G1644" t="str">
        <x:v>Marketplace Consumer</x:v>
      </x:c>
      <x:c r="H1644" t="str">
        <x:v>Canada</x:v>
      </x:c>
      <x:c r="I1644" s="34" t="n">
        <x:v>38</x:v>
      </x:c>
      <x:c r="J1644" s="38" t="n">
        <x:v>1.159893</x:v>
      </x:c>
      <x:c r="K1644" s="38" t="n">
        <x:v>0.18502104999999996</x:v>
      </x:c>
      <x:c r="L1644" s="28" t="n">
        <x:v>0.1595156191131423</x:v>
      </x:c>
    </x:row>
    <x:row r="1645">
      <x:c r="A1645" s="32" t="n">
        <x:v>46266</x:v>
      </x:c>
      <x:c r="B1645" t="str">
        <x:v>Sep 2026</x:v>
      </x:c>
      <x:c r="C1645" t="str">
        <x:v>Forecast</x:v>
      </x:c>
      <x:c r="D1645" t="str">
        <x:v>DB-103</x:v>
      </x:c>
      <x:c r="E1645" t="str">
        <x:v>EmberTrail Camp Mug</x:v>
      </x:c>
      <x:c r="F1645" t="str">
        <x:v>Wholesale</x:v>
      </x:c>
      <x:c r="G1645" t="str">
        <x:v>Retailer</x:v>
      </x:c>
      <x:c r="H1645" t="str">
        <x:v>US West</x:v>
      </x:c>
      <x:c r="I1645" s="34" t="n">
        <x:v>35.36</x:v>
      </x:c>
      <x:c r="J1645" s="38" t="n">
        <x:v>0.73847592</x:v>
      </x:c>
      <x:c r="K1645" s="38" t="n">
        <x:v>0.14174055999999993</x:v>
      </x:c>
      <x:c r="L1645" s="28" t="n">
        <x:v>0.1919366037013095</x:v>
      </x:c>
    </x:row>
    <x:row r="1646">
      <x:c r="A1646" s="32" t="n">
        <x:v>46266</x:v>
      </x:c>
      <x:c r="B1646" t="str">
        <x:v>Sep 2026</x:v>
      </x:c>
      <x:c r="C1646" t="str">
        <x:v>Forecast</x:v>
      </x:c>
      <x:c r="D1646" t="str">
        <x:v>DB-103</x:v>
      </x:c>
      <x:c r="E1646" t="str">
        <x:v>EmberTrail Camp Mug</x:v>
      </x:c>
      <x:c r="F1646" t="str">
        <x:v>Wholesale</x:v>
      </x:c>
      <x:c r="G1646" t="str">
        <x:v>Retailer</x:v>
      </x:c>
      <x:c r="H1646" t="str">
        <x:v>US Central</x:v>
      </x:c>
      <x:c r="I1646" s="34" t="n">
        <x:v>24.96</x:v>
      </x:c>
      <x:c r="J1646" s="38" t="n">
        <x:v>0.5212771199999999</x:v>
      </x:c>
      <x:c r="K1646" s="38" t="n">
        <x:v>0.10005215999999995</x:v>
      </x:c>
      <x:c r="L1646" s="28" t="n">
        <x:v>0.1919366037013095</x:v>
      </x:c>
    </x:row>
    <x:row r="1647">
      <x:c r="A1647" s="32" t="n">
        <x:v>46266</x:v>
      </x:c>
      <x:c r="B1647" t="str">
        <x:v>Sep 2026</x:v>
      </x:c>
      <x:c r="C1647" t="str">
        <x:v>Forecast</x:v>
      </x:c>
      <x:c r="D1647" t="str">
        <x:v>DB-103</x:v>
      </x:c>
      <x:c r="E1647" t="str">
        <x:v>EmberTrail Camp Mug</x:v>
      </x:c>
      <x:c r="F1647" t="str">
        <x:v>Wholesale</x:v>
      </x:c>
      <x:c r="G1647" t="str">
        <x:v>Retailer</x:v>
      </x:c>
      <x:c r="H1647" t="str">
        <x:v>US East</x:v>
      </x:c>
      <x:c r="I1647" s="34" t="n">
        <x:v>33.28</x:v>
      </x:c>
      <x:c r="J1647" s="38" t="n">
        <x:v>0.6950361599999999</x:v>
      </x:c>
      <x:c r="K1647" s="38" t="n">
        <x:v>0.13340287999999995</x:v>
      </x:c>
      <x:c r="L1647" s="28" t="n">
        <x:v>0.19193660370130952</x:v>
      </x:c>
    </x:row>
    <x:row r="1648">
      <x:c r="A1648" s="32" t="n">
        <x:v>46266</x:v>
      </x:c>
      <x:c r="B1648" t="str">
        <x:v>Sep 2026</x:v>
      </x:c>
      <x:c r="C1648" t="str">
        <x:v>Forecast</x:v>
      </x:c>
      <x:c r="D1648" t="str">
        <x:v>DB-103</x:v>
      </x:c>
      <x:c r="E1648" t="str">
        <x:v>EmberTrail Camp Mug</x:v>
      </x:c>
      <x:c r="F1648" t="str">
        <x:v>Wholesale</x:v>
      </x:c>
      <x:c r="G1648" t="str">
        <x:v>Retailer</x:v>
      </x:c>
      <x:c r="H1648" t="str">
        <x:v>Canada</x:v>
      </x:c>
      <x:c r="I1648" s="34" t="n">
        <x:v>10.4</x:v>
      </x:c>
      <x:c r="J1648" s="38" t="n">
        <x:v>0.2171988</x:v>
      </x:c>
      <x:c r="K1648" s="38" t="n">
        <x:v>0.04168839999999999</x:v>
      </x:c>
      <x:c r="L1648" s="28" t="n">
        <x:v>0.19193660370130952</x:v>
      </x:c>
    </x:row>
    <x:row r="1649">
      <x:c r="A1649" s="32" t="n">
        <x:v>46266</x:v>
      </x:c>
      <x:c r="B1649" t="str">
        <x:v>Sep 2026</x:v>
      </x:c>
      <x:c r="C1649" t="str">
        <x:v>Forecast</x:v>
      </x:c>
      <x:c r="D1649" t="str">
        <x:v>DB-103</x:v>
      </x:c>
      <x:c r="E1649" t="str">
        <x:v>EmberTrail Camp Mug</x:v>
      </x:c>
      <x:c r="F1649" t="str">
        <x:v>TikTok Shop</x:v>
      </x:c>
      <x:c r="G1649" t="str">
        <x:v>Social Commerce</x:v>
      </x:c>
      <x:c r="H1649" t="str">
        <x:v>US West</x:v>
      </x:c>
      <x:c r="I1649" s="34" t="n">
        <x:v>54.400000000000006</x:v>
      </x:c>
      <x:c r="J1649" s="38" t="n">
        <x:v>1.53812736</x:v>
      </x:c>
      <x:c r="K1649" s="38" t="n">
        <x:v>0.28189962496000015</x:v>
      </x:c>
      <x:c r="L1649" s="28" t="n">
        <x:v>0.18327456639221354</x:v>
      </x:c>
    </x:row>
    <x:row r="1650">
      <x:c r="A1650" s="32" t="n">
        <x:v>46266</x:v>
      </x:c>
      <x:c r="B1650" t="str">
        <x:v>Sep 2026</x:v>
      </x:c>
      <x:c r="C1650" t="str">
        <x:v>Forecast</x:v>
      </x:c>
      <x:c r="D1650" t="str">
        <x:v>DB-103</x:v>
      </x:c>
      <x:c r="E1650" t="str">
        <x:v>EmberTrail Camp Mug</x:v>
      </x:c>
      <x:c r="F1650" t="str">
        <x:v>TikTok Shop</x:v>
      </x:c>
      <x:c r="G1650" t="str">
        <x:v>Social Commerce</x:v>
      </x:c>
      <x:c r="H1650" t="str">
        <x:v>US Central</x:v>
      </x:c>
      <x:c r="I1650" s="34" t="n">
        <x:v>38.4</x:v>
      </x:c>
      <x:c r="J1650" s="38" t="n">
        <x:v>1.08573696</x:v>
      </x:c>
      <x:c r="K1650" s="38" t="n">
        <x:v>0.1989879705600001</x:v>
      </x:c>
      <x:c r="L1650" s="28" t="n">
        <x:v>0.18327456639221354</x:v>
      </x:c>
    </x:row>
    <x:row r="1651">
      <x:c r="A1651" s="32" t="n">
        <x:v>46266</x:v>
      </x:c>
      <x:c r="B1651" t="str">
        <x:v>Sep 2026</x:v>
      </x:c>
      <x:c r="C1651" t="str">
        <x:v>Forecast</x:v>
      </x:c>
      <x:c r="D1651" t="str">
        <x:v>DB-103</x:v>
      </x:c>
      <x:c r="E1651" t="str">
        <x:v>EmberTrail Camp Mug</x:v>
      </x:c>
      <x:c r="F1651" t="str">
        <x:v>TikTok Shop</x:v>
      </x:c>
      <x:c r="G1651" t="str">
        <x:v>Social Commerce</x:v>
      </x:c>
      <x:c r="H1651" t="str">
        <x:v>US East</x:v>
      </x:c>
      <x:c r="I1651" s="34" t="n">
        <x:v>51.2</x:v>
      </x:c>
      <x:c r="J1651" s="38" t="n">
        <x:v>1.44764928</x:v>
      </x:c>
      <x:c r="K1651" s="38" t="n">
        <x:v>0.26531729408000015</x:v>
      </x:c>
      <x:c r="L1651" s="28" t="n">
        <x:v>0.18327456639221354</x:v>
      </x:c>
    </x:row>
    <x:row r="1652">
      <x:c r="A1652" s="32" t="n">
        <x:v>46266</x:v>
      </x:c>
      <x:c r="B1652" t="str">
        <x:v>Sep 2026</x:v>
      </x:c>
      <x:c r="C1652" t="str">
        <x:v>Forecast</x:v>
      </x:c>
      <x:c r="D1652" t="str">
        <x:v>DB-103</x:v>
      </x:c>
      <x:c r="E1652" t="str">
        <x:v>EmberTrail Camp Mug</x:v>
      </x:c>
      <x:c r="F1652" t="str">
        <x:v>TikTok Shop</x:v>
      </x:c>
      <x:c r="G1652" t="str">
        <x:v>Social Commerce</x:v>
      </x:c>
      <x:c r="H1652" t="str">
        <x:v>Canada</x:v>
      </x:c>
      <x:c r="I1652" s="34" t="n">
        <x:v>16</x:v>
      </x:c>
      <x:c r="J1652" s="38" t="n">
        <x:v>0.4523904</x:v>
      </x:c>
      <x:c r="K1652" s="38" t="n">
        <x:v>0.08291165440000005</x:v>
      </x:c>
      <x:c r="L1652" s="28" t="n">
        <x:v>0.18327456639221354</x:v>
      </x:c>
    </x:row>
    <x:row r="1653">
      <x:c r="A1653" s="32" t="n">
        <x:v>46266</x:v>
      </x:c>
      <x:c r="B1653" t="str">
        <x:v>Sep 2026</x:v>
      </x:c>
      <x:c r="C1653" t="str">
        <x:v>Forecast</x:v>
      </x:c>
      <x:c r="D1653" t="str">
        <x:v>DB-104</x:v>
      </x:c>
      <x:c r="E1653" t="str">
        <x:v>SunNest Cooling Towel</x:v>
      </x:c>
      <x:c r="F1653" t="str">
        <x:v>Shopify DTC</x:v>
      </x:c>
      <x:c r="G1653" t="str">
        <x:v>Consumer</x:v>
      </x:c>
      <x:c r="H1653" t="str">
        <x:v>US West</x:v>
      </x:c>
      <x:c r="I1653" s="34" t="n">
        <x:v>0</x:v>
      </x:c>
      <x:c r="J1653" s="38" t="n">
        <x:v>0</x:v>
      </x:c>
      <x:c r="K1653" s="38" t="n">
        <x:v>0</x:v>
      </x:c>
      <x:c r="L1653" s="28" t="n">
        <x:v>0</x:v>
      </x:c>
    </x:row>
    <x:row r="1654">
      <x:c r="A1654" s="32" t="n">
        <x:v>46266</x:v>
      </x:c>
      <x:c r="B1654" t="str">
        <x:v>Sep 2026</x:v>
      </x:c>
      <x:c r="C1654" t="str">
        <x:v>Forecast</x:v>
      </x:c>
      <x:c r="D1654" t="str">
        <x:v>DB-104</x:v>
      </x:c>
      <x:c r="E1654" t="str">
        <x:v>SunNest Cooling Towel</x:v>
      </x:c>
      <x:c r="F1654" t="str">
        <x:v>Shopify DTC</x:v>
      </x:c>
      <x:c r="G1654" t="str">
        <x:v>Consumer</x:v>
      </x:c>
      <x:c r="H1654" t="str">
        <x:v>US Central</x:v>
      </x:c>
      <x:c r="I1654" s="34" t="n">
        <x:v>0</x:v>
      </x:c>
      <x:c r="J1654" s="38" t="n">
        <x:v>0</x:v>
      </x:c>
      <x:c r="K1654" s="38" t="n">
        <x:v>0</x:v>
      </x:c>
      <x:c r="L1654" s="28" t="n">
        <x:v>0</x:v>
      </x:c>
    </x:row>
    <x:row r="1655">
      <x:c r="A1655" s="32" t="n">
        <x:v>46266</x:v>
      </x:c>
      <x:c r="B1655" t="str">
        <x:v>Sep 2026</x:v>
      </x:c>
      <x:c r="C1655" t="str">
        <x:v>Forecast</x:v>
      </x:c>
      <x:c r="D1655" t="str">
        <x:v>DB-104</x:v>
      </x:c>
      <x:c r="E1655" t="str">
        <x:v>SunNest Cooling Towel</x:v>
      </x:c>
      <x:c r="F1655" t="str">
        <x:v>Shopify DTC</x:v>
      </x:c>
      <x:c r="G1655" t="str">
        <x:v>Consumer</x:v>
      </x:c>
      <x:c r="H1655" t="str">
        <x:v>US East</x:v>
      </x:c>
      <x:c r="I1655" s="34" t="n">
        <x:v>0</x:v>
      </x:c>
      <x:c r="J1655" s="38" t="n">
        <x:v>0</x:v>
      </x:c>
      <x:c r="K1655" s="38" t="n">
        <x:v>0</x:v>
      </x:c>
      <x:c r="L1655" s="28" t="n">
        <x:v>0</x:v>
      </x:c>
    </x:row>
    <x:row r="1656">
      <x:c r="A1656" s="32" t="n">
        <x:v>46266</x:v>
      </x:c>
      <x:c r="B1656" t="str">
        <x:v>Sep 2026</x:v>
      </x:c>
      <x:c r="C1656" t="str">
        <x:v>Forecast</x:v>
      </x:c>
      <x:c r="D1656" t="str">
        <x:v>DB-104</x:v>
      </x:c>
      <x:c r="E1656" t="str">
        <x:v>SunNest Cooling Towel</x:v>
      </x:c>
      <x:c r="F1656" t="str">
        <x:v>Shopify DTC</x:v>
      </x:c>
      <x:c r="G1656" t="str">
        <x:v>Consumer</x:v>
      </x:c>
      <x:c r="H1656" t="str">
        <x:v>Canada</x:v>
      </x:c>
      <x:c r="I1656" s="34" t="n">
        <x:v>0</x:v>
      </x:c>
      <x:c r="J1656" s="38" t="n">
        <x:v>0</x:v>
      </x:c>
      <x:c r="K1656" s="38" t="n">
        <x:v>0</x:v>
      </x:c>
      <x:c r="L1656" s="28" t="n">
        <x:v>0</x:v>
      </x:c>
    </x:row>
    <x:row r="1657">
      <x:c r="A1657" s="32" t="n">
        <x:v>46266</x:v>
      </x:c>
      <x:c r="B1657" t="str">
        <x:v>Sep 2026</x:v>
      </x:c>
      <x:c r="C1657" t="str">
        <x:v>Forecast</x:v>
      </x:c>
      <x:c r="D1657" t="str">
        <x:v>DB-104</x:v>
      </x:c>
      <x:c r="E1657" t="str">
        <x:v>SunNest Cooling Towel</x:v>
      </x:c>
      <x:c r="F1657" t="str">
        <x:v>Amazon Marketplace</x:v>
      </x:c>
      <x:c r="G1657" t="str">
        <x:v>Marketplace Consumer</x:v>
      </x:c>
      <x:c r="H1657" t="str">
        <x:v>US West</x:v>
      </x:c>
      <x:c r="I1657" s="34" t="n">
        <x:v>0</x:v>
      </x:c>
      <x:c r="J1657" s="38" t="n">
        <x:v>0</x:v>
      </x:c>
      <x:c r="K1657" s="38" t="n">
        <x:v>0</x:v>
      </x:c>
      <x:c r="L1657" s="28" t="n">
        <x:v>0</x:v>
      </x:c>
    </x:row>
    <x:row r="1658">
      <x:c r="A1658" s="32" t="n">
        <x:v>46266</x:v>
      </x:c>
      <x:c r="B1658" t="str">
        <x:v>Sep 2026</x:v>
      </x:c>
      <x:c r="C1658" t="str">
        <x:v>Forecast</x:v>
      </x:c>
      <x:c r="D1658" t="str">
        <x:v>DB-104</x:v>
      </x:c>
      <x:c r="E1658" t="str">
        <x:v>SunNest Cooling Towel</x:v>
      </x:c>
      <x:c r="F1658" t="str">
        <x:v>Amazon Marketplace</x:v>
      </x:c>
      <x:c r="G1658" t="str">
        <x:v>Marketplace Consumer</x:v>
      </x:c>
      <x:c r="H1658" t="str">
        <x:v>US Central</x:v>
      </x:c>
      <x:c r="I1658" s="34" t="n">
        <x:v>0</x:v>
      </x:c>
      <x:c r="J1658" s="38" t="n">
        <x:v>0</x:v>
      </x:c>
      <x:c r="K1658" s="38" t="n">
        <x:v>0</x:v>
      </x:c>
      <x:c r="L1658" s="28" t="n">
        <x:v>0</x:v>
      </x:c>
    </x:row>
    <x:row r="1659">
      <x:c r="A1659" s="32" t="n">
        <x:v>46266</x:v>
      </x:c>
      <x:c r="B1659" t="str">
        <x:v>Sep 2026</x:v>
      </x:c>
      <x:c r="C1659" t="str">
        <x:v>Forecast</x:v>
      </x:c>
      <x:c r="D1659" t="str">
        <x:v>DB-104</x:v>
      </x:c>
      <x:c r="E1659" t="str">
        <x:v>SunNest Cooling Towel</x:v>
      </x:c>
      <x:c r="F1659" t="str">
        <x:v>Amazon Marketplace</x:v>
      </x:c>
      <x:c r="G1659" t="str">
        <x:v>Marketplace Consumer</x:v>
      </x:c>
      <x:c r="H1659" t="str">
        <x:v>US East</x:v>
      </x:c>
      <x:c r="I1659" s="34" t="n">
        <x:v>0</x:v>
      </x:c>
      <x:c r="J1659" s="38" t="n">
        <x:v>0</x:v>
      </x:c>
      <x:c r="K1659" s="38" t="n">
        <x:v>0</x:v>
      </x:c>
      <x:c r="L1659" s="28" t="n">
        <x:v>0</x:v>
      </x:c>
    </x:row>
    <x:row r="1660">
      <x:c r="A1660" s="32" t="n">
        <x:v>46266</x:v>
      </x:c>
      <x:c r="B1660" t="str">
        <x:v>Sep 2026</x:v>
      </x:c>
      <x:c r="C1660" t="str">
        <x:v>Forecast</x:v>
      </x:c>
      <x:c r="D1660" t="str">
        <x:v>DB-104</x:v>
      </x:c>
      <x:c r="E1660" t="str">
        <x:v>SunNest Cooling Towel</x:v>
      </x:c>
      <x:c r="F1660" t="str">
        <x:v>Amazon Marketplace</x:v>
      </x:c>
      <x:c r="G1660" t="str">
        <x:v>Marketplace Consumer</x:v>
      </x:c>
      <x:c r="H1660" t="str">
        <x:v>Canada</x:v>
      </x:c>
      <x:c r="I1660" s="34" t="n">
        <x:v>0</x:v>
      </x:c>
      <x:c r="J1660" s="38" t="n">
        <x:v>0</x:v>
      </x:c>
      <x:c r="K1660" s="38" t="n">
        <x:v>0</x:v>
      </x:c>
      <x:c r="L1660" s="28" t="n">
        <x:v>0</x:v>
      </x:c>
    </x:row>
    <x:row r="1661">
      <x:c r="A1661" s="32" t="n">
        <x:v>46266</x:v>
      </x:c>
      <x:c r="B1661" t="str">
        <x:v>Sep 2026</x:v>
      </x:c>
      <x:c r="C1661" t="str">
        <x:v>Forecast</x:v>
      </x:c>
      <x:c r="D1661" t="str">
        <x:v>DB-104</x:v>
      </x:c>
      <x:c r="E1661" t="str">
        <x:v>SunNest Cooling Towel</x:v>
      </x:c>
      <x:c r="F1661" t="str">
        <x:v>Wholesale</x:v>
      </x:c>
      <x:c r="G1661" t="str">
        <x:v>Retailer</x:v>
      </x:c>
      <x:c r="H1661" t="str">
        <x:v>US West</x:v>
      </x:c>
      <x:c r="I1661" s="34" t="n">
        <x:v>0</x:v>
      </x:c>
      <x:c r="J1661" s="38" t="n">
        <x:v>0</x:v>
      </x:c>
      <x:c r="K1661" s="38" t="n">
        <x:v>0</x:v>
      </x:c>
      <x:c r="L1661" s="28" t="n">
        <x:v>0</x:v>
      </x:c>
    </x:row>
    <x:row r="1662">
      <x:c r="A1662" s="32" t="n">
        <x:v>46266</x:v>
      </x:c>
      <x:c r="B1662" t="str">
        <x:v>Sep 2026</x:v>
      </x:c>
      <x:c r="C1662" t="str">
        <x:v>Forecast</x:v>
      </x:c>
      <x:c r="D1662" t="str">
        <x:v>DB-104</x:v>
      </x:c>
      <x:c r="E1662" t="str">
        <x:v>SunNest Cooling Towel</x:v>
      </x:c>
      <x:c r="F1662" t="str">
        <x:v>Wholesale</x:v>
      </x:c>
      <x:c r="G1662" t="str">
        <x:v>Retailer</x:v>
      </x:c>
      <x:c r="H1662" t="str">
        <x:v>US Central</x:v>
      </x:c>
      <x:c r="I1662" s="34" t="n">
        <x:v>0</x:v>
      </x:c>
      <x:c r="J1662" s="38" t="n">
        <x:v>0</x:v>
      </x:c>
      <x:c r="K1662" s="38" t="n">
        <x:v>0</x:v>
      </x:c>
      <x:c r="L1662" s="28" t="n">
        <x:v>0</x:v>
      </x:c>
    </x:row>
    <x:row r="1663">
      <x:c r="A1663" s="32" t="n">
        <x:v>46266</x:v>
      </x:c>
      <x:c r="B1663" t="str">
        <x:v>Sep 2026</x:v>
      </x:c>
      <x:c r="C1663" t="str">
        <x:v>Forecast</x:v>
      </x:c>
      <x:c r="D1663" t="str">
        <x:v>DB-104</x:v>
      </x:c>
      <x:c r="E1663" t="str">
        <x:v>SunNest Cooling Towel</x:v>
      </x:c>
      <x:c r="F1663" t="str">
        <x:v>Wholesale</x:v>
      </x:c>
      <x:c r="G1663" t="str">
        <x:v>Retailer</x:v>
      </x:c>
      <x:c r="H1663" t="str">
        <x:v>US East</x:v>
      </x:c>
      <x:c r="I1663" s="34" t="n">
        <x:v>0</x:v>
      </x:c>
      <x:c r="J1663" s="38" t="n">
        <x:v>0</x:v>
      </x:c>
      <x:c r="K1663" s="38" t="n">
        <x:v>0</x:v>
      </x:c>
      <x:c r="L1663" s="28" t="n">
        <x:v>0</x:v>
      </x:c>
    </x:row>
    <x:row r="1664">
      <x:c r="A1664" s="32" t="n">
        <x:v>46266</x:v>
      </x:c>
      <x:c r="B1664" t="str">
        <x:v>Sep 2026</x:v>
      </x:c>
      <x:c r="C1664" t="str">
        <x:v>Forecast</x:v>
      </x:c>
      <x:c r="D1664" t="str">
        <x:v>DB-104</x:v>
      </x:c>
      <x:c r="E1664" t="str">
        <x:v>SunNest Cooling Towel</x:v>
      </x:c>
      <x:c r="F1664" t="str">
        <x:v>Wholesale</x:v>
      </x:c>
      <x:c r="G1664" t="str">
        <x:v>Retailer</x:v>
      </x:c>
      <x:c r="H1664" t="str">
        <x:v>Canada</x:v>
      </x:c>
      <x:c r="I1664" s="34" t="n">
        <x:v>0</x:v>
      </x:c>
      <x:c r="J1664" s="38" t="n">
        <x:v>0</x:v>
      </x:c>
      <x:c r="K1664" s="38" t="n">
        <x:v>0</x:v>
      </x:c>
      <x:c r="L1664" s="28" t="n">
        <x:v>0</x:v>
      </x:c>
    </x:row>
    <x:row r="1665">
      <x:c r="A1665" s="32" t="n">
        <x:v>46266</x:v>
      </x:c>
      <x:c r="B1665" t="str">
        <x:v>Sep 2026</x:v>
      </x:c>
      <x:c r="C1665" t="str">
        <x:v>Forecast</x:v>
      </x:c>
      <x:c r="D1665" t="str">
        <x:v>DB-104</x:v>
      </x:c>
      <x:c r="E1665" t="str">
        <x:v>SunNest Cooling Towel</x:v>
      </x:c>
      <x:c r="F1665" t="str">
        <x:v>TikTok Shop</x:v>
      </x:c>
      <x:c r="G1665" t="str">
        <x:v>Social Commerce</x:v>
      </x:c>
      <x:c r="H1665" t="str">
        <x:v>US West</x:v>
      </x:c>
      <x:c r="I1665" s="34" t="n">
        <x:v>0</x:v>
      </x:c>
      <x:c r="J1665" s="38" t="n">
        <x:v>0</x:v>
      </x:c>
      <x:c r="K1665" s="38" t="n">
        <x:v>0</x:v>
      </x:c>
      <x:c r="L1665" s="28" t="n">
        <x:v>0</x:v>
      </x:c>
    </x:row>
    <x:row r="1666">
      <x:c r="A1666" s="32" t="n">
        <x:v>46266</x:v>
      </x:c>
      <x:c r="B1666" t="str">
        <x:v>Sep 2026</x:v>
      </x:c>
      <x:c r="C1666" t="str">
        <x:v>Forecast</x:v>
      </x:c>
      <x:c r="D1666" t="str">
        <x:v>DB-104</x:v>
      </x:c>
      <x:c r="E1666" t="str">
        <x:v>SunNest Cooling Towel</x:v>
      </x:c>
      <x:c r="F1666" t="str">
        <x:v>TikTok Shop</x:v>
      </x:c>
      <x:c r="G1666" t="str">
        <x:v>Social Commerce</x:v>
      </x:c>
      <x:c r="H1666" t="str">
        <x:v>US Central</x:v>
      </x:c>
      <x:c r="I1666" s="34" t="n">
        <x:v>0</x:v>
      </x:c>
      <x:c r="J1666" s="38" t="n">
        <x:v>0</x:v>
      </x:c>
      <x:c r="K1666" s="38" t="n">
        <x:v>0</x:v>
      </x:c>
      <x:c r="L1666" s="28" t="n">
        <x:v>0</x:v>
      </x:c>
    </x:row>
    <x:row r="1667">
      <x:c r="A1667" s="32" t="n">
        <x:v>46266</x:v>
      </x:c>
      <x:c r="B1667" t="str">
        <x:v>Sep 2026</x:v>
      </x:c>
      <x:c r="C1667" t="str">
        <x:v>Forecast</x:v>
      </x:c>
      <x:c r="D1667" t="str">
        <x:v>DB-104</x:v>
      </x:c>
      <x:c r="E1667" t="str">
        <x:v>SunNest Cooling Towel</x:v>
      </x:c>
      <x:c r="F1667" t="str">
        <x:v>TikTok Shop</x:v>
      </x:c>
      <x:c r="G1667" t="str">
        <x:v>Social Commerce</x:v>
      </x:c>
      <x:c r="H1667" t="str">
        <x:v>US East</x:v>
      </x:c>
      <x:c r="I1667" s="34" t="n">
        <x:v>0</x:v>
      </x:c>
      <x:c r="J1667" s="38" t="n">
        <x:v>0</x:v>
      </x:c>
      <x:c r="K1667" s="38" t="n">
        <x:v>0</x:v>
      </x:c>
      <x:c r="L1667" s="28" t="n">
        <x:v>0</x:v>
      </x:c>
    </x:row>
    <x:row r="1668">
      <x:c r="A1668" s="32" t="n">
        <x:v>46266</x:v>
      </x:c>
      <x:c r="B1668" t="str">
        <x:v>Sep 2026</x:v>
      </x:c>
      <x:c r="C1668" t="str">
        <x:v>Forecast</x:v>
      </x:c>
      <x:c r="D1668" t="str">
        <x:v>DB-104</x:v>
      </x:c>
      <x:c r="E1668" t="str">
        <x:v>SunNest Cooling Towel</x:v>
      </x:c>
      <x:c r="F1668" t="str">
        <x:v>TikTok Shop</x:v>
      </x:c>
      <x:c r="G1668" t="str">
        <x:v>Social Commerce</x:v>
      </x:c>
      <x:c r="H1668" t="str">
        <x:v>Canada</x:v>
      </x:c>
      <x:c r="I1668" s="34" t="n">
        <x:v>0</x:v>
      </x:c>
      <x:c r="J1668" s="38" t="n">
        <x:v>0</x:v>
      </x:c>
      <x:c r="K1668" s="38" t="n">
        <x:v>0</x:v>
      </x:c>
      <x:c r="L1668" s="28" t="n">
        <x:v>0</x:v>
      </x:c>
    </x:row>
    <x:row r="1669">
      <x:c r="A1669" s="32" t="n">
        <x:v>46266</x:v>
      </x:c>
      <x:c r="B1669" t="str">
        <x:v>Sep 2026</x:v>
      </x:c>
      <x:c r="C1669" t="str">
        <x:v>Forecast</x:v>
      </x:c>
      <x:c r="D1669" t="str">
        <x:v>DB-105</x:v>
      </x:c>
      <x:c r="E1669" t="str">
        <x:v>DreamFuel Refill Pack</x:v>
      </x:c>
      <x:c r="F1669" t="str">
        <x:v>Shopify DTC</x:v>
      </x:c>
      <x:c r="G1669" t="str">
        <x:v>Consumer</x:v>
      </x:c>
      <x:c r="H1669" t="str">
        <x:v>US West</x:v>
      </x:c>
      <x:c r="I1669" s="34" t="n">
        <x:v>266.56</x:v>
      </x:c>
      <x:c r="J1669" s="38" t="n">
        <x:v>13.458507776000001</x:v>
      </x:c>
      <x:c r="K1669" s="38" t="n">
        <x:v>6.5578562344960005</x:v>
      </x:c>
      <x:c r="L1669" s="28" t="n">
        <x:v>0.48726473570794776</x:v>
      </x:c>
    </x:row>
    <x:row r="1670">
      <x:c r="A1670" s="32" t="n">
        <x:v>46266</x:v>
      </x:c>
      <x:c r="B1670" t="str">
        <x:v>Sep 2026</x:v>
      </x:c>
      <x:c r="C1670" t="str">
        <x:v>Forecast</x:v>
      </x:c>
      <x:c r="D1670" t="str">
        <x:v>DB-105</x:v>
      </x:c>
      <x:c r="E1670" t="str">
        <x:v>DreamFuel Refill Pack</x:v>
      </x:c>
      <x:c r="F1670" t="str">
        <x:v>Shopify DTC</x:v>
      </x:c>
      <x:c r="G1670" t="str">
        <x:v>Consumer</x:v>
      </x:c>
      <x:c r="H1670" t="str">
        <x:v>US Central</x:v>
      </x:c>
      <x:c r="I1670" s="34" t="n">
        <x:v>188.16</x:v>
      </x:c>
      <x:c r="J1670" s="38" t="n">
        <x:v>9.500123136</x:v>
      </x:c>
      <x:c r="K1670" s="38" t="n">
        <x:v>4.629074989056</x:v>
      </x:c>
      <x:c r="L1670" s="28" t="n">
        <x:v>0.4872647357079478</x:v>
      </x:c>
    </x:row>
    <x:row r="1671">
      <x:c r="A1671" s="32" t="n">
        <x:v>46266</x:v>
      </x:c>
      <x:c r="B1671" t="str">
        <x:v>Sep 2026</x:v>
      </x:c>
      <x:c r="C1671" t="str">
        <x:v>Forecast</x:v>
      </x:c>
      <x:c r="D1671" t="str">
        <x:v>DB-105</x:v>
      </x:c>
      <x:c r="E1671" t="str">
        <x:v>DreamFuel Refill Pack</x:v>
      </x:c>
      <x:c r="F1671" t="str">
        <x:v>Shopify DTC</x:v>
      </x:c>
      <x:c r="G1671" t="str">
        <x:v>Consumer</x:v>
      </x:c>
      <x:c r="H1671" t="str">
        <x:v>US East</x:v>
      </x:c>
      <x:c r="I1671" s="34" t="n">
        <x:v>250.88</x:v>
      </x:c>
      <x:c r="J1671" s="38" t="n">
        <x:v>12.666830848</x:v>
      </x:c>
      <x:c r="K1671" s="38" t="n">
        <x:v>6.172099985408001</x:v>
      </x:c>
      <x:c r="L1671" s="28" t="n">
        <x:v>0.4872647357079478</x:v>
      </x:c>
    </x:row>
    <x:row r="1672">
      <x:c r="A1672" s="32" t="n">
        <x:v>46266</x:v>
      </x:c>
      <x:c r="B1672" t="str">
        <x:v>Sep 2026</x:v>
      </x:c>
      <x:c r="C1672" t="str">
        <x:v>Forecast</x:v>
      </x:c>
      <x:c r="D1672" t="str">
        <x:v>DB-105</x:v>
      </x:c>
      <x:c r="E1672" t="str">
        <x:v>DreamFuel Refill Pack</x:v>
      </x:c>
      <x:c r="F1672" t="str">
        <x:v>Shopify DTC</x:v>
      </x:c>
      <x:c r="G1672" t="str">
        <x:v>Consumer</x:v>
      </x:c>
      <x:c r="H1672" t="str">
        <x:v>Canada</x:v>
      </x:c>
      <x:c r="I1672" s="34" t="n">
        <x:v>78.4</x:v>
      </x:c>
      <x:c r="J1672" s="38" t="n">
        <x:v>3.9583846400000002</x:v>
      </x:c>
      <x:c r="K1672" s="38" t="n">
        <x:v>1.9287812454400002</x:v>
      </x:c>
      <x:c r="L1672" s="28" t="n">
        <x:v>0.4872647357079478</x:v>
      </x:c>
    </x:row>
    <x:row r="1673">
      <x:c r="A1673" s="32" t="n">
        <x:v>46266</x:v>
      </x:c>
      <x:c r="B1673" t="str">
        <x:v>Sep 2026</x:v>
      </x:c>
      <x:c r="C1673" t="str">
        <x:v>Forecast</x:v>
      </x:c>
      <x:c r="D1673" t="str">
        <x:v>DB-105</x:v>
      </x:c>
      <x:c r="E1673" t="str">
        <x:v>DreamFuel Refill Pack</x:v>
      </x:c>
      <x:c r="F1673" t="str">
        <x:v>Amazon Marketplace</x:v>
      </x:c>
      <x:c r="G1673" t="str">
        <x:v>Marketplace Consumer</x:v>
      </x:c>
      <x:c r="H1673" t="str">
        <x:v>US West</x:v>
      </x:c>
      <x:c r="I1673" s="34" t="n">
        <x:v>157.76000000000002</x:v>
      </x:c>
      <x:c r="J1673" s="38" t="n">
        <x:v>8.224975360000002</x:v>
      </x:c>
      <x:c r="K1673" s="38" t="n">
        <x:v>2.893633920000001</x:v>
      </x:c>
      <x:c r="L1673" s="28" t="n">
        <x:v>0.35181064907165877</x:v>
      </x:c>
    </x:row>
    <x:row r="1674">
      <x:c r="A1674" s="32" t="n">
        <x:v>46266</x:v>
      </x:c>
      <x:c r="B1674" t="str">
        <x:v>Sep 2026</x:v>
      </x:c>
      <x:c r="C1674" t="str">
        <x:v>Forecast</x:v>
      </x:c>
      <x:c r="D1674" t="str">
        <x:v>DB-105</x:v>
      </x:c>
      <x:c r="E1674" t="str">
        <x:v>DreamFuel Refill Pack</x:v>
      </x:c>
      <x:c r="F1674" t="str">
        <x:v>Amazon Marketplace</x:v>
      </x:c>
      <x:c r="G1674" t="str">
        <x:v>Marketplace Consumer</x:v>
      </x:c>
      <x:c r="H1674" t="str">
        <x:v>US Central</x:v>
      </x:c>
      <x:c r="I1674" s="34" t="n">
        <x:v>111.36</x:v>
      </x:c>
      <x:c r="J1674" s="38" t="n">
        <x:v>5.80586496</x:v>
      </x:c>
      <x:c r="K1674" s="38" t="n">
        <x:v>2.0425651200000003</x:v>
      </x:c>
      <x:c r="L1674" s="28" t="n">
        <x:v>0.3518106490716588</x:v>
      </x:c>
    </x:row>
    <x:row r="1675">
      <x:c r="A1675" s="32" t="n">
        <x:v>46266</x:v>
      </x:c>
      <x:c r="B1675" t="str">
        <x:v>Sep 2026</x:v>
      </x:c>
      <x:c r="C1675" t="str">
        <x:v>Forecast</x:v>
      </x:c>
      <x:c r="D1675" t="str">
        <x:v>DB-105</x:v>
      </x:c>
      <x:c r="E1675" t="str">
        <x:v>DreamFuel Refill Pack</x:v>
      </x:c>
      <x:c r="F1675" t="str">
        <x:v>Amazon Marketplace</x:v>
      </x:c>
      <x:c r="G1675" t="str">
        <x:v>Marketplace Consumer</x:v>
      </x:c>
      <x:c r="H1675" t="str">
        <x:v>US East</x:v>
      </x:c>
      <x:c r="I1675" s="34" t="n">
        <x:v>148.48</x:v>
      </x:c>
      <x:c r="J1675" s="38" t="n">
        <x:v>7.741153280000001</x:v>
      </x:c>
      <x:c r="K1675" s="38" t="n">
        <x:v>2.7234201600000008</x:v>
      </x:c>
      <x:c r="L1675" s="28" t="n">
        <x:v>0.3518106490716588</x:v>
      </x:c>
    </x:row>
    <x:row r="1676">
      <x:c r="A1676" s="32" t="n">
        <x:v>46266</x:v>
      </x:c>
      <x:c r="B1676" t="str">
        <x:v>Sep 2026</x:v>
      </x:c>
      <x:c r="C1676" t="str">
        <x:v>Forecast</x:v>
      </x:c>
      <x:c r="D1676" t="str">
        <x:v>DB-105</x:v>
      </x:c>
      <x:c r="E1676" t="str">
        <x:v>DreamFuel Refill Pack</x:v>
      </x:c>
      <x:c r="F1676" t="str">
        <x:v>Amazon Marketplace</x:v>
      </x:c>
      <x:c r="G1676" t="str">
        <x:v>Marketplace Consumer</x:v>
      </x:c>
      <x:c r="H1676" t="str">
        <x:v>Canada</x:v>
      </x:c>
      <x:c r="I1676" s="34" t="n">
        <x:v>46.400000000000006</x:v>
      </x:c>
      <x:c r="J1676" s="38" t="n">
        <x:v>2.4191104000000005</x:v>
      </x:c>
      <x:c r="K1676" s="38" t="n">
        <x:v>0.8510688000000002</x:v>
      </x:c>
      <x:c r="L1676" s="28" t="n">
        <x:v>0.3518106490716587</x:v>
      </x:c>
    </x:row>
    <x:row r="1677">
      <x:c r="A1677" s="32" t="n">
        <x:v>46266</x:v>
      </x:c>
      <x:c r="B1677" t="str">
        <x:v>Sep 2026</x:v>
      </x:c>
      <x:c r="C1677" t="str">
        <x:v>Forecast</x:v>
      </x:c>
      <x:c r="D1677" t="str">
        <x:v>DB-105</x:v>
      </x:c>
      <x:c r="E1677" t="str">
        <x:v>DreamFuel Refill Pack</x:v>
      </x:c>
      <x:c r="F1677" t="str">
        <x:v>Wholesale</x:v>
      </x:c>
      <x:c r="G1677" t="str">
        <x:v>Retailer</x:v>
      </x:c>
      <x:c r="H1677" t="str">
        <x:v>US West</x:v>
      </x:c>
      <x:c r="I1677" s="34" t="n">
        <x:v>43.52</x:v>
      </x:c>
      <x:c r="J1677" s="38" t="n">
        <x:v>1.5524454400000003</x:v>
      </x:c>
      <x:c r="K1677" s="38" t="n">
        <x:v>0.6048583680000001</x:v>
      </x:c>
      <x:c r="L1677" s="28" t="n">
        <x:v>0.3896165059430366</x:v>
      </x:c>
    </x:row>
    <x:row r="1678">
      <x:c r="A1678" s="32" t="n">
        <x:v>46266</x:v>
      </x:c>
      <x:c r="B1678" t="str">
        <x:v>Sep 2026</x:v>
      </x:c>
      <x:c r="C1678" t="str">
        <x:v>Forecast</x:v>
      </x:c>
      <x:c r="D1678" t="str">
        <x:v>DB-105</x:v>
      </x:c>
      <x:c r="E1678" t="str">
        <x:v>DreamFuel Refill Pack</x:v>
      </x:c>
      <x:c r="F1678" t="str">
        <x:v>Wholesale</x:v>
      </x:c>
      <x:c r="G1678" t="str">
        <x:v>Retailer</x:v>
      </x:c>
      <x:c r="H1678" t="str">
        <x:v>US Central</x:v>
      </x:c>
      <x:c r="I1678" s="34" t="n">
        <x:v>30.72</x:v>
      </x:c>
      <x:c r="J1678" s="38" t="n">
        <x:v>1.0958438400000001</x:v>
      </x:c>
      <x:c r="K1678" s="38" t="n">
        <x:v>0.42695884800000006</x:v>
      </x:c>
      <x:c r="L1678" s="28" t="n">
        <x:v>0.38961650594303654</x:v>
      </x:c>
    </x:row>
    <x:row r="1679">
      <x:c r="A1679" s="32" t="n">
        <x:v>46266</x:v>
      </x:c>
      <x:c r="B1679" t="str">
        <x:v>Sep 2026</x:v>
      </x:c>
      <x:c r="C1679" t="str">
        <x:v>Forecast</x:v>
      </x:c>
      <x:c r="D1679" t="str">
        <x:v>DB-105</x:v>
      </x:c>
      <x:c r="E1679" t="str">
        <x:v>DreamFuel Refill Pack</x:v>
      </x:c>
      <x:c r="F1679" t="str">
        <x:v>Wholesale</x:v>
      </x:c>
      <x:c r="G1679" t="str">
        <x:v>Retailer</x:v>
      </x:c>
      <x:c r="H1679" t="str">
        <x:v>US East</x:v>
      </x:c>
      <x:c r="I1679" s="34" t="n">
        <x:v>40.96</x:v>
      </x:c>
      <x:c r="J1679" s="38" t="n">
        <x:v>1.4611251200000002</x:v>
      </x:c>
      <x:c r="K1679" s="38" t="n">
        <x:v>0.569278464</x:v>
      </x:c>
      <x:c r="L1679" s="28" t="n">
        <x:v>0.38961650594303654</x:v>
      </x:c>
    </x:row>
    <x:row r="1680">
      <x:c r="A1680" s="32" t="n">
        <x:v>46266</x:v>
      </x:c>
      <x:c r="B1680" t="str">
        <x:v>Sep 2026</x:v>
      </x:c>
      <x:c r="C1680" t="str">
        <x:v>Forecast</x:v>
      </x:c>
      <x:c r="D1680" t="str">
        <x:v>DB-105</x:v>
      </x:c>
      <x:c r="E1680" t="str">
        <x:v>DreamFuel Refill Pack</x:v>
      </x:c>
      <x:c r="F1680" t="str">
        <x:v>Wholesale</x:v>
      </x:c>
      <x:c r="G1680" t="str">
        <x:v>Retailer</x:v>
      </x:c>
      <x:c r="H1680" t="str">
        <x:v>Canada</x:v>
      </x:c>
      <x:c r="I1680" s="34" t="n">
        <x:v>12.8</x:v>
      </x:c>
      <x:c r="J1680" s="38" t="n">
        <x:v>0.45660160000000005</x:v>
      </x:c>
      <x:c r="K1680" s="38" t="n">
        <x:v>0.17789952000000003</x:v>
      </x:c>
      <x:c r="L1680" s="28" t="n">
        <x:v>0.3896165059430366</x:v>
      </x:c>
    </x:row>
    <x:row r="1681">
      <x:c r="A1681" s="32" t="n">
        <x:v>46266</x:v>
      </x:c>
      <x:c r="B1681" t="str">
        <x:v>Sep 2026</x:v>
      </x:c>
      <x:c r="C1681" t="str">
        <x:v>Forecast</x:v>
      </x:c>
      <x:c r="D1681" t="str">
        <x:v>DB-105</x:v>
      </x:c>
      <x:c r="E1681" t="str">
        <x:v>DreamFuel Refill Pack</x:v>
      </x:c>
      <x:c r="F1681" t="str">
        <x:v>TikTok Shop</x:v>
      </x:c>
      <x:c r="G1681" t="str">
        <x:v>Social Commerce</x:v>
      </x:c>
      <x:c r="H1681" t="str">
        <x:v>US West</x:v>
      </x:c>
      <x:c r="I1681" s="34" t="n">
        <x:v>66.64</x:v>
      </x:c>
      <x:c r="J1681" s="38" t="n">
        <x:v>3.218338816</x:v>
      </x:c>
      <x:c r="K1681" s="38" t="n">
        <x:v>1.234345957376</x:v>
      </x:c>
      <x:c r="L1681" s="28" t="n">
        <x:v>0.3835351179432812</x:v>
      </x:c>
    </x:row>
    <x:row r="1682">
      <x:c r="A1682" s="32" t="n">
        <x:v>46266</x:v>
      </x:c>
      <x:c r="B1682" t="str">
        <x:v>Sep 2026</x:v>
      </x:c>
      <x:c r="C1682" t="str">
        <x:v>Forecast</x:v>
      </x:c>
      <x:c r="D1682" t="str">
        <x:v>DB-105</x:v>
      </x:c>
      <x:c r="E1682" t="str">
        <x:v>DreamFuel Refill Pack</x:v>
      </x:c>
      <x:c r="F1682" t="str">
        <x:v>TikTok Shop</x:v>
      </x:c>
      <x:c r="G1682" t="str">
        <x:v>Social Commerce</x:v>
      </x:c>
      <x:c r="H1682" t="str">
        <x:v>US Central</x:v>
      </x:c>
      <x:c r="I1682" s="34" t="n">
        <x:v>47.04</x:v>
      </x:c>
      <x:c r="J1682" s="38" t="n">
        <x:v>2.271768576</x:v>
      </x:c>
      <x:c r="K1682" s="38" t="n">
        <x:v>0.871303028736</x:v>
      </x:c>
      <x:c r="L1682" s="28" t="n">
        <x:v>0.3835351179432812</x:v>
      </x:c>
    </x:row>
    <x:row r="1683">
      <x:c r="A1683" s="32" t="n">
        <x:v>46266</x:v>
      </x:c>
      <x:c r="B1683" t="str">
        <x:v>Sep 2026</x:v>
      </x:c>
      <x:c r="C1683" t="str">
        <x:v>Forecast</x:v>
      </x:c>
      <x:c r="D1683" t="str">
        <x:v>DB-105</x:v>
      </x:c>
      <x:c r="E1683" t="str">
        <x:v>DreamFuel Refill Pack</x:v>
      </x:c>
      <x:c r="F1683" t="str">
        <x:v>TikTok Shop</x:v>
      </x:c>
      <x:c r="G1683" t="str">
        <x:v>Social Commerce</x:v>
      </x:c>
      <x:c r="H1683" t="str">
        <x:v>US East</x:v>
      </x:c>
      <x:c r="I1683" s="34" t="n">
        <x:v>62.72</x:v>
      </x:c>
      <x:c r="J1683" s="38" t="n">
        <x:v>3.0290247679999998</x:v>
      </x:c>
      <x:c r="K1683" s="38" t="n">
        <x:v>1.161737371648</x:v>
      </x:c>
      <x:c r="L1683" s="28" t="n">
        <x:v>0.3835351179432812</x:v>
      </x:c>
    </x:row>
    <x:row r="1684">
      <x:c r="A1684" s="32" t="n">
        <x:v>46266</x:v>
      </x:c>
      <x:c r="B1684" t="str">
        <x:v>Sep 2026</x:v>
      </x:c>
      <x:c r="C1684" t="str">
        <x:v>Forecast</x:v>
      </x:c>
      <x:c r="D1684" t="str">
        <x:v>DB-105</x:v>
      </x:c>
      <x:c r="E1684" t="str">
        <x:v>DreamFuel Refill Pack</x:v>
      </x:c>
      <x:c r="F1684" t="str">
        <x:v>TikTok Shop</x:v>
      </x:c>
      <x:c r="G1684" t="str">
        <x:v>Social Commerce</x:v>
      </x:c>
      <x:c r="H1684" t="str">
        <x:v>Canada</x:v>
      </x:c>
      <x:c r="I1684" s="34" t="n">
        <x:v>19.6</x:v>
      </x:c>
      <x:c r="J1684" s="38" t="n">
        <x:v>0.94657024</x:v>
      </x:c>
      <x:c r="K1684" s="38" t="n">
        <x:v>0.36304292864000004</x:v>
      </x:c>
      <x:c r="L1684" s="28" t="n">
        <x:v>0.38353511794328127</x:v>
      </x:c>
    </x:row>
    <x:row r="1685">
      <x:c r="A1685" s="32" t="n">
        <x:v>46296</x:v>
      </x:c>
      <x:c r="B1685" t="str">
        <x:v>Oct 2026</x:v>
      </x:c>
      <x:c r="C1685" t="str">
        <x:v>Forecast</x:v>
      </x:c>
      <x:c r="D1685" t="str">
        <x:v>DB-101</x:v>
      </x:c>
      <x:c r="E1685" t="str">
        <x:v>AeroSip Bottle</x:v>
      </x:c>
      <x:c r="F1685" t="str">
        <x:v>Shopify DTC</x:v>
      </x:c>
      <x:c r="G1685" t="str">
        <x:v>Consumer</x:v>
      </x:c>
      <x:c r="H1685" t="str">
        <x:v>US West</x:v>
      </x:c>
      <x:c r="I1685" s="34" t="n">
        <x:v>340</x:v>
      </x:c>
      <x:c r="J1685" s="38" t="n">
        <x:v>8.662996</x:v>
      </x:c>
      <x:c r="K1685" s="38" t="n">
        <x:v>2.7555291159999995</x:v>
      </x:c>
      <x:c r="L1685" s="28" t="n">
        <x:v>0.3180803865083165</x:v>
      </x:c>
    </x:row>
    <x:row r="1686">
      <x:c r="A1686" s="32" t="n">
        <x:v>46296</x:v>
      </x:c>
      <x:c r="B1686" t="str">
        <x:v>Oct 2026</x:v>
      </x:c>
      <x:c r="C1686" t="str">
        <x:v>Forecast</x:v>
      </x:c>
      <x:c r="D1686" t="str">
        <x:v>DB-101</x:v>
      </x:c>
      <x:c r="E1686" t="str">
        <x:v>AeroSip Bottle</x:v>
      </x:c>
      <x:c r="F1686" t="str">
        <x:v>Shopify DTC</x:v>
      </x:c>
      <x:c r="G1686" t="str">
        <x:v>Consumer</x:v>
      </x:c>
      <x:c r="H1686" t="str">
        <x:v>US Central</x:v>
      </x:c>
      <x:c r="I1686" s="34" t="n">
        <x:v>240</x:v>
      </x:c>
      <x:c r="J1686" s="38" t="n">
        <x:v>6.115055999999999</x:v>
      </x:c>
      <x:c r="K1686" s="38" t="n">
        <x:v>1.9450793759999994</x:v>
      </x:c>
      <x:c r="L1686" s="28" t="n">
        <x:v>0.31808038650831644</x:v>
      </x:c>
    </x:row>
    <x:row r="1687">
      <x:c r="A1687" s="32" t="n">
        <x:v>46296</x:v>
      </x:c>
      <x:c r="B1687" t="str">
        <x:v>Oct 2026</x:v>
      </x:c>
      <x:c r="C1687" t="str">
        <x:v>Forecast</x:v>
      </x:c>
      <x:c r="D1687" t="str">
        <x:v>DB-101</x:v>
      </x:c>
      <x:c r="E1687" t="str">
        <x:v>AeroSip Bottle</x:v>
      </x:c>
      <x:c r="F1687" t="str">
        <x:v>Shopify DTC</x:v>
      </x:c>
      <x:c r="G1687" t="str">
        <x:v>Consumer</x:v>
      </x:c>
      <x:c r="H1687" t="str">
        <x:v>US East</x:v>
      </x:c>
      <x:c r="I1687" s="34" t="n">
        <x:v>320</x:v>
      </x:c>
      <x:c r="J1687" s="38" t="n">
        <x:v>8.153407999999999</x:v>
      </x:c>
      <x:c r="K1687" s="38" t="n">
        <x:v>2.5934391679999993</x:v>
      </x:c>
      <x:c r="L1687" s="28" t="n">
        <x:v>0.3180803865083165</x:v>
      </x:c>
    </x:row>
    <x:row r="1688">
      <x:c r="A1688" s="32" t="n">
        <x:v>46296</x:v>
      </x:c>
      <x:c r="B1688" t="str">
        <x:v>Oct 2026</x:v>
      </x:c>
      <x:c r="C1688" t="str">
        <x:v>Forecast</x:v>
      </x:c>
      <x:c r="D1688" t="str">
        <x:v>DB-101</x:v>
      </x:c>
      <x:c r="E1688" t="str">
        <x:v>AeroSip Bottle</x:v>
      </x:c>
      <x:c r="F1688" t="str">
        <x:v>Shopify DTC</x:v>
      </x:c>
      <x:c r="G1688" t="str">
        <x:v>Consumer</x:v>
      </x:c>
      <x:c r="H1688" t="str">
        <x:v>Canada</x:v>
      </x:c>
      <x:c r="I1688" s="34" t="n">
        <x:v>100</x:v>
      </x:c>
      <x:c r="J1688" s="38" t="n">
        <x:v>2.54794</x:v>
      </x:c>
      <x:c r="K1688" s="38" t="n">
        <x:v>0.8104497399999998</x:v>
      </x:c>
      <x:c r="L1688" s="28" t="n">
        <x:v>0.31808038650831644</x:v>
      </x:c>
    </x:row>
    <x:row r="1689">
      <x:c r="A1689" s="32" t="n">
        <x:v>46296</x:v>
      </x:c>
      <x:c r="B1689" t="str">
        <x:v>Oct 2026</x:v>
      </x:c>
      <x:c r="C1689" t="str">
        <x:v>Forecast</x:v>
      </x:c>
      <x:c r="D1689" t="str">
        <x:v>DB-101</x:v>
      </x:c>
      <x:c r="E1689" t="str">
        <x:v>AeroSip Bottle</x:v>
      </x:c>
      <x:c r="F1689" t="str">
        <x:v>Amazon Marketplace</x:v>
      </x:c>
      <x:c r="G1689" t="str">
        <x:v>Marketplace Consumer</x:v>
      </x:c>
      <x:c r="H1689" t="str">
        <x:v>US West</x:v>
      </x:c>
      <x:c r="I1689" s="34" t="n">
        <x:v>199.92000000000002</x:v>
      </x:c>
      <x:c r="J1689" s="38" t="n">
        <x:v>5.259945180000001</x:v>
      </x:c>
      <x:c r="K1689" s="38" t="n">
        <x:v>0.8352082830000004</x:v>
      </x:c>
      <x:c r="L1689" s="28" t="n">
        <x:v>0.15878649955815705</x:v>
      </x:c>
    </x:row>
    <x:row r="1690">
      <x:c r="A1690" s="32" t="n">
        <x:v>46296</x:v>
      </x:c>
      <x:c r="B1690" t="str">
        <x:v>Oct 2026</x:v>
      </x:c>
      <x:c r="C1690" t="str">
        <x:v>Forecast</x:v>
      </x:c>
      <x:c r="D1690" t="str">
        <x:v>DB-101</x:v>
      </x:c>
      <x:c r="E1690" t="str">
        <x:v>AeroSip Bottle</x:v>
      </x:c>
      <x:c r="F1690" t="str">
        <x:v>Amazon Marketplace</x:v>
      </x:c>
      <x:c r="G1690" t="str">
        <x:v>Marketplace Consumer</x:v>
      </x:c>
      <x:c r="H1690" t="str">
        <x:v>US Central</x:v>
      </x:c>
      <x:c r="I1690" s="34" t="n">
        <x:v>141.12</x:v>
      </x:c>
      <x:c r="J1690" s="38" t="n">
        <x:v>3.71290248</x:v>
      </x:c>
      <x:c r="K1690" s="38" t="n">
        <x:v>0.5895587880000003</x:v>
      </x:c>
      <x:c r="L1690" s="28" t="n">
        <x:v>0.15878649955815707</x:v>
      </x:c>
    </x:row>
    <x:row r="1691">
      <x:c r="A1691" s="32" t="n">
        <x:v>46296</x:v>
      </x:c>
      <x:c r="B1691" t="str">
        <x:v>Oct 2026</x:v>
      </x:c>
      <x:c r="C1691" t="str">
        <x:v>Forecast</x:v>
      </x:c>
      <x:c r="D1691" t="str">
        <x:v>DB-101</x:v>
      </x:c>
      <x:c r="E1691" t="str">
        <x:v>AeroSip Bottle</x:v>
      </x:c>
      <x:c r="F1691" t="str">
        <x:v>Amazon Marketplace</x:v>
      </x:c>
      <x:c r="G1691" t="str">
        <x:v>Marketplace Consumer</x:v>
      </x:c>
      <x:c r="H1691" t="str">
        <x:v>US East</x:v>
      </x:c>
      <x:c r="I1691" s="34" t="n">
        <x:v>188.16</x:v>
      </x:c>
      <x:c r="J1691" s="38" t="n">
        <x:v>4.95053664</x:v>
      </x:c>
      <x:c r="K1691" s="38" t="n">
        <x:v>0.7860783840000004</x:v>
      </x:c>
      <x:c r="L1691" s="28" t="n">
        <x:v>0.15878649955815707</x:v>
      </x:c>
    </x:row>
    <x:row r="1692">
      <x:c r="A1692" s="32" t="n">
        <x:v>46296</x:v>
      </x:c>
      <x:c r="B1692" t="str">
        <x:v>Oct 2026</x:v>
      </x:c>
      <x:c r="C1692" t="str">
        <x:v>Forecast</x:v>
      </x:c>
      <x:c r="D1692" t="str">
        <x:v>DB-101</x:v>
      </x:c>
      <x:c r="E1692" t="str">
        <x:v>AeroSip Bottle</x:v>
      </x:c>
      <x:c r="F1692" t="str">
        <x:v>Amazon Marketplace</x:v>
      </x:c>
      <x:c r="G1692" t="str">
        <x:v>Marketplace Consumer</x:v>
      </x:c>
      <x:c r="H1692" t="str">
        <x:v>Canada</x:v>
      </x:c>
      <x:c r="I1692" s="34" t="n">
        <x:v>58.800000000000004</x:v>
      </x:c>
      <x:c r="J1692" s="38" t="n">
        <x:v>1.5470427000000002</x:v>
      </x:c>
      <x:c r="K1692" s="38" t="n">
        <x:v>0.2456494950000001</x:v>
      </x:c>
      <x:c r="L1692" s="28" t="n">
        <x:v>0.15878649955815705</x:v>
      </x:c>
    </x:row>
    <x:row r="1693">
      <x:c r="A1693" s="32" t="n">
        <x:v>46296</x:v>
      </x:c>
      <x:c r="B1693" t="str">
        <x:v>Oct 2026</x:v>
      </x:c>
      <x:c r="C1693" t="str">
        <x:v>Forecast</x:v>
      </x:c>
      <x:c r="D1693" t="str">
        <x:v>DB-101</x:v>
      </x:c>
      <x:c r="E1693" t="str">
        <x:v>AeroSip Bottle</x:v>
      </x:c>
      <x:c r="F1693" t="str">
        <x:v>Wholesale</x:v>
      </x:c>
      <x:c r="G1693" t="str">
        <x:v>Retailer</x:v>
      </x:c>
      <x:c r="H1693" t="str">
        <x:v>US West</x:v>
      </x:c>
      <x:c r="I1693" s="34" t="n">
        <x:v>55.760000000000005</x:v>
      </x:c>
      <x:c r="J1693" s="38" t="n">
        <x:v>1.0037775800000002</x:v>
      </x:c>
      <x:c r="K1693" s="38" t="n">
        <x:v>0.22391822000000003</x:v>
      </x:c>
      <x:c r="L1693" s="28" t="n">
        <x:v>0.2230755343230519</x:v>
      </x:c>
    </x:row>
    <x:row r="1694">
      <x:c r="A1694" s="32" t="n">
        <x:v>46296</x:v>
      </x:c>
      <x:c r="B1694" t="str">
        <x:v>Oct 2026</x:v>
      </x:c>
      <x:c r="C1694" t="str">
        <x:v>Forecast</x:v>
      </x:c>
      <x:c r="D1694" t="str">
        <x:v>DB-101</x:v>
      </x:c>
      <x:c r="E1694" t="str">
        <x:v>AeroSip Bottle</x:v>
      </x:c>
      <x:c r="F1694" t="str">
        <x:v>Wholesale</x:v>
      </x:c>
      <x:c r="G1694" t="str">
        <x:v>Retailer</x:v>
      </x:c>
      <x:c r="H1694" t="str">
        <x:v>US Central</x:v>
      </x:c>
      <x:c r="I1694" s="34" t="n">
        <x:v>39.36</x:v>
      </x:c>
      <x:c r="J1694" s="38" t="n">
        <x:v>0.70854888</x:v>
      </x:c>
      <x:c r="K1694" s="38" t="n">
        <x:v>0.15805992</x:v>
      </x:c>
      <x:c r="L1694" s="28" t="n">
        <x:v>0.2230755343230519</x:v>
      </x:c>
    </x:row>
    <x:row r="1695">
      <x:c r="A1695" s="32" t="n">
        <x:v>46296</x:v>
      </x:c>
      <x:c r="B1695" t="str">
        <x:v>Oct 2026</x:v>
      </x:c>
      <x:c r="C1695" t="str">
        <x:v>Forecast</x:v>
      </x:c>
      <x:c r="D1695" t="str">
        <x:v>DB-101</x:v>
      </x:c>
      <x:c r="E1695" t="str">
        <x:v>AeroSip Bottle</x:v>
      </x:c>
      <x:c r="F1695" t="str">
        <x:v>Wholesale</x:v>
      </x:c>
      <x:c r="G1695" t="str">
        <x:v>Retailer</x:v>
      </x:c>
      <x:c r="H1695" t="str">
        <x:v>US East</x:v>
      </x:c>
      <x:c r="I1695" s="34" t="n">
        <x:v>52.480000000000004</x:v>
      </x:c>
      <x:c r="J1695" s="38" t="n">
        <x:v>0.9447318400000001</x:v>
      </x:c>
      <x:c r="K1695" s="38" t="n">
        <x:v>0.21074656000000003</x:v>
      </x:c>
      <x:c r="L1695" s="28" t="n">
        <x:v>0.22307553432305194</x:v>
      </x:c>
    </x:row>
    <x:row r="1696">
      <x:c r="A1696" s="32" t="n">
        <x:v>46296</x:v>
      </x:c>
      <x:c r="B1696" t="str">
        <x:v>Oct 2026</x:v>
      </x:c>
      <x:c r="C1696" t="str">
        <x:v>Forecast</x:v>
      </x:c>
      <x:c r="D1696" t="str">
        <x:v>DB-101</x:v>
      </x:c>
      <x:c r="E1696" t="str">
        <x:v>AeroSip Bottle</x:v>
      </x:c>
      <x:c r="F1696" t="str">
        <x:v>Wholesale</x:v>
      </x:c>
      <x:c r="G1696" t="str">
        <x:v>Retailer</x:v>
      </x:c>
      <x:c r="H1696" t="str">
        <x:v>Canada</x:v>
      </x:c>
      <x:c r="I1696" s="34" t="n">
        <x:v>16.400000000000002</x:v>
      </x:c>
      <x:c r="J1696" s="38" t="n">
        <x:v>0.2952287</x:v>
      </x:c>
      <x:c r="K1696" s="38" t="n">
        <x:v>0.06585830000000001</x:v>
      </x:c>
      <x:c r="L1696" s="28" t="n">
        <x:v>0.22307553432305194</x:v>
      </x:c>
    </x:row>
    <x:row r="1697">
      <x:c r="A1697" s="32" t="n">
        <x:v>46296</x:v>
      </x:c>
      <x:c r="B1697" t="str">
        <x:v>Oct 2026</x:v>
      </x:c>
      <x:c r="C1697" t="str">
        <x:v>Forecast</x:v>
      </x:c>
      <x:c r="D1697" t="str">
        <x:v>DB-101</x:v>
      </x:c>
      <x:c r="E1697" t="str">
        <x:v>AeroSip Bottle</x:v>
      </x:c>
      <x:c r="F1697" t="str">
        <x:v>TikTok Shop</x:v>
      </x:c>
      <x:c r="G1697" t="str">
        <x:v>Social Commerce</x:v>
      </x:c>
      <x:c r="H1697" t="str">
        <x:v>US West</x:v>
      </x:c>
      <x:c r="I1697" s="34" t="n">
        <x:v>85.68</x:v>
      </x:c>
      <x:c r="J1697" s="38" t="n">
        <x:v>2.088158688</x:v>
      </x:c>
      <x:c r="K1697" s="38" t="n">
        <x:v>0.3869760847679999</x:v>
      </x:c>
      <x:c r="L1697" s="28" t="n">
        <x:v>0.18531928966501987</x:v>
      </x:c>
    </x:row>
    <x:row r="1698">
      <x:c r="A1698" s="32" t="n">
        <x:v>46296</x:v>
      </x:c>
      <x:c r="B1698" t="str">
        <x:v>Oct 2026</x:v>
      </x:c>
      <x:c r="C1698" t="str">
        <x:v>Forecast</x:v>
      </x:c>
      <x:c r="D1698" t="str">
        <x:v>DB-101</x:v>
      </x:c>
      <x:c r="E1698" t="str">
        <x:v>AeroSip Bottle</x:v>
      </x:c>
      <x:c r="F1698" t="str">
        <x:v>TikTok Shop</x:v>
      </x:c>
      <x:c r="G1698" t="str">
        <x:v>Social Commerce</x:v>
      </x:c>
      <x:c r="H1698" t="str">
        <x:v>US Central</x:v>
      </x:c>
      <x:c r="I1698" s="34" t="n">
        <x:v>60.48</x:v>
      </x:c>
      <x:c r="J1698" s="38" t="n">
        <x:v>1.4739943679999998</x:v>
      </x:c>
      <x:c r="K1698" s="38" t="n">
        <x:v>0.2731595892479999</x:v>
      </x:c>
      <x:c r="L1698" s="28" t="n">
        <x:v>0.18531928966501987</x:v>
      </x:c>
    </x:row>
    <x:row r="1699">
      <x:c r="A1699" s="32" t="n">
        <x:v>46296</x:v>
      </x:c>
      <x:c r="B1699" t="str">
        <x:v>Oct 2026</x:v>
      </x:c>
      <x:c r="C1699" t="str">
        <x:v>Forecast</x:v>
      </x:c>
      <x:c r="D1699" t="str">
        <x:v>DB-101</x:v>
      </x:c>
      <x:c r="E1699" t="str">
        <x:v>AeroSip Bottle</x:v>
      </x:c>
      <x:c r="F1699" t="str">
        <x:v>TikTok Shop</x:v>
      </x:c>
      <x:c r="G1699" t="str">
        <x:v>Social Commerce</x:v>
      </x:c>
      <x:c r="H1699" t="str">
        <x:v>US East</x:v>
      </x:c>
      <x:c r="I1699" s="34" t="n">
        <x:v>80.64</x:v>
      </x:c>
      <x:c r="J1699" s="38" t="n">
        <x:v>1.965325824</x:v>
      </x:c>
      <x:c r="K1699" s="38" t="n">
        <x:v>0.36421278566399984</x:v>
      </x:c>
      <x:c r="L1699" s="28" t="n">
        <x:v>0.18531928966501987</x:v>
      </x:c>
    </x:row>
    <x:row r="1700">
      <x:c r="A1700" s="32" t="n">
        <x:v>46296</x:v>
      </x:c>
      <x:c r="B1700" t="str">
        <x:v>Oct 2026</x:v>
      </x:c>
      <x:c r="C1700" t="str">
        <x:v>Forecast</x:v>
      </x:c>
      <x:c r="D1700" t="str">
        <x:v>DB-101</x:v>
      </x:c>
      <x:c r="E1700" t="str">
        <x:v>AeroSip Bottle</x:v>
      </x:c>
      <x:c r="F1700" t="str">
        <x:v>TikTok Shop</x:v>
      </x:c>
      <x:c r="G1700" t="str">
        <x:v>Social Commerce</x:v>
      </x:c>
      <x:c r="H1700" t="str">
        <x:v>Canada</x:v>
      </x:c>
      <x:c r="I1700" s="34" t="n">
        <x:v>25.200000000000003</x:v>
      </x:c>
      <x:c r="J1700" s="38" t="n">
        <x:v>0.61416432</x:v>
      </x:c>
      <x:c r="K1700" s="38" t="n">
        <x:v>0.11381649551999995</x:v>
      </x:c>
      <x:c r="L1700" s="28" t="n">
        <x:v>0.18531928966501987</x:v>
      </x:c>
    </x:row>
    <x:row r="1701">
      <x:c r="A1701" s="32" t="n">
        <x:v>46296</x:v>
      </x:c>
      <x:c r="B1701" t="str">
        <x:v>Oct 2026</x:v>
      </x:c>
      <x:c r="C1701" t="str">
        <x:v>Forecast</x:v>
      </x:c>
      <x:c r="D1701" t="str">
        <x:v>DB-102</x:v>
      </x:c>
      <x:c r="E1701" t="str">
        <x:v>GlowPatch Balm</x:v>
      </x:c>
      <x:c r="F1701" t="str">
        <x:v>Shopify DTC</x:v>
      </x:c>
      <x:c r="G1701" t="str">
        <x:v>Consumer</x:v>
      </x:c>
      <x:c r="H1701" t="str">
        <x:v>US West</x:v>
      </x:c>
      <x:c r="I1701" s="34" t="n">
        <x:v>340</x:v>
      </x:c>
      <x:c r="J1701" s="38" t="n">
        <x:v>5.48964</x:v>
      </x:c>
      <x:c r="K1701" s="38" t="n">
        <x:v>1.5170004399999986</x:v>
      </x:c>
      <x:c r="L1701" s="28" t="n">
        <x:v>0.2763387835996529</x:v>
      </x:c>
    </x:row>
    <x:row r="1702">
      <x:c r="A1702" s="32" t="n">
        <x:v>46296</x:v>
      </x:c>
      <x:c r="B1702" t="str">
        <x:v>Oct 2026</x:v>
      </x:c>
      <x:c r="C1702" t="str">
        <x:v>Forecast</x:v>
      </x:c>
      <x:c r="D1702" t="str">
        <x:v>DB-102</x:v>
      </x:c>
      <x:c r="E1702" t="str">
        <x:v>GlowPatch Balm</x:v>
      </x:c>
      <x:c r="F1702" t="str">
        <x:v>Shopify DTC</x:v>
      </x:c>
      <x:c r="G1702" t="str">
        <x:v>Consumer</x:v>
      </x:c>
      <x:c r="H1702" t="str">
        <x:v>US Central</x:v>
      </x:c>
      <x:c r="I1702" s="34" t="n">
        <x:v>240</x:v>
      </x:c>
      <x:c r="J1702" s="38" t="n">
        <x:v>3.8750399999999994</x:v>
      </x:c>
      <x:c r="K1702" s="38" t="n">
        <x:v>1.070823839999999</x:v>
      </x:c>
      <x:c r="L1702" s="28" t="n">
        <x:v>0.27633878359965297</x:v>
      </x:c>
    </x:row>
    <x:row r="1703">
      <x:c r="A1703" s="32" t="n">
        <x:v>46296</x:v>
      </x:c>
      <x:c r="B1703" t="str">
        <x:v>Oct 2026</x:v>
      </x:c>
      <x:c r="C1703" t="str">
        <x:v>Forecast</x:v>
      </x:c>
      <x:c r="D1703" t="str">
        <x:v>DB-102</x:v>
      </x:c>
      <x:c r="E1703" t="str">
        <x:v>GlowPatch Balm</x:v>
      </x:c>
      <x:c r="F1703" t="str">
        <x:v>Shopify DTC</x:v>
      </x:c>
      <x:c r="G1703" t="str">
        <x:v>Consumer</x:v>
      </x:c>
      <x:c r="H1703" t="str">
        <x:v>US East</x:v>
      </x:c>
      <x:c r="I1703" s="34" t="n">
        <x:v>320</x:v>
      </x:c>
      <x:c r="J1703" s="38" t="n">
        <x:v>5.166719999999999</x:v>
      </x:c>
      <x:c r="K1703" s="38" t="n">
        <x:v>1.4277651199999986</x:v>
      </x:c>
      <x:c r="L1703" s="28" t="n">
        <x:v>0.27633878359965297</x:v>
      </x:c>
    </x:row>
    <x:row r="1704">
      <x:c r="A1704" s="32" t="n">
        <x:v>46296</x:v>
      </x:c>
      <x:c r="B1704" t="str">
        <x:v>Oct 2026</x:v>
      </x:c>
      <x:c r="C1704" t="str">
        <x:v>Forecast</x:v>
      </x:c>
      <x:c r="D1704" t="str">
        <x:v>DB-102</x:v>
      </x:c>
      <x:c r="E1704" t="str">
        <x:v>GlowPatch Balm</x:v>
      </x:c>
      <x:c r="F1704" t="str">
        <x:v>Shopify DTC</x:v>
      </x:c>
      <x:c r="G1704" t="str">
        <x:v>Consumer</x:v>
      </x:c>
      <x:c r="H1704" t="str">
        <x:v>Canada</x:v>
      </x:c>
      <x:c r="I1704" s="34" t="n">
        <x:v>100</x:v>
      </x:c>
      <x:c r="J1704" s="38" t="n">
        <x:v>1.6145999999999998</x:v>
      </x:c>
      <x:c r="K1704" s="38" t="n">
        <x:v>0.4461765999999996</x:v>
      </x:c>
      <x:c r="L1704" s="28" t="n">
        <x:v>0.27633878359965297</x:v>
      </x:c>
    </x:row>
    <x:row r="1705">
      <x:c r="A1705" s="32" t="n">
        <x:v>46296</x:v>
      </x:c>
      <x:c r="B1705" t="str">
        <x:v>Oct 2026</x:v>
      </x:c>
      <x:c r="C1705" t="str">
        <x:v>Forecast</x:v>
      </x:c>
      <x:c r="D1705" t="str">
        <x:v>DB-102</x:v>
      </x:c>
      <x:c r="E1705" t="str">
        <x:v>GlowPatch Balm</x:v>
      </x:c>
      <x:c r="F1705" t="str">
        <x:v>Amazon Marketplace</x:v>
      </x:c>
      <x:c r="G1705" t="str">
        <x:v>Marketplace Consumer</x:v>
      </x:c>
      <x:c r="H1705" t="str">
        <x:v>US West</x:v>
      </x:c>
      <x:c r="I1705" s="34" t="n">
        <x:v>201.28</x:v>
      </x:c>
      <x:c r="J1705" s="38" t="n">
        <x:v>3.3558408</x:v>
      </x:c>
      <x:c r="K1705" s="38" t="n">
        <x:v>0.2829241999999999</x:v>
      </x:c>
      <x:c r="L1705" s="28" t="n">
        <x:v>0.08430799220272901</x:v>
      </x:c>
    </x:row>
    <x:row r="1706">
      <x:c r="A1706" s="32" t="n">
        <x:v>46296</x:v>
      </x:c>
      <x:c r="B1706" t="str">
        <x:v>Oct 2026</x:v>
      </x:c>
      <x:c r="C1706" t="str">
        <x:v>Forecast</x:v>
      </x:c>
      <x:c r="D1706" t="str">
        <x:v>DB-102</x:v>
      </x:c>
      <x:c r="E1706" t="str">
        <x:v>GlowPatch Balm</x:v>
      </x:c>
      <x:c r="F1706" t="str">
        <x:v>Amazon Marketplace</x:v>
      </x:c>
      <x:c r="G1706" t="str">
        <x:v>Marketplace Consumer</x:v>
      </x:c>
      <x:c r="H1706" t="str">
        <x:v>US Central</x:v>
      </x:c>
      <x:c r="I1706" s="34" t="n">
        <x:v>142.07999999999998</x:v>
      </x:c>
      <x:c r="J1706" s="38" t="n">
        <x:v>2.3688287999999997</x:v>
      </x:c>
      <x:c r="K1706" s="38" t="n">
        <x:v>0.1997111999999999</x:v>
      </x:c>
      <x:c r="L1706" s="28" t="n">
        <x:v>0.08430799220272901</x:v>
      </x:c>
    </x:row>
    <x:row r="1707">
      <x:c r="A1707" s="32" t="n">
        <x:v>46296</x:v>
      </x:c>
      <x:c r="B1707" t="str">
        <x:v>Oct 2026</x:v>
      </x:c>
      <x:c r="C1707" t="str">
        <x:v>Forecast</x:v>
      </x:c>
      <x:c r="D1707" t="str">
        <x:v>DB-102</x:v>
      </x:c>
      <x:c r="E1707" t="str">
        <x:v>GlowPatch Balm</x:v>
      </x:c>
      <x:c r="F1707" t="str">
        <x:v>Amazon Marketplace</x:v>
      </x:c>
      <x:c r="G1707" t="str">
        <x:v>Marketplace Consumer</x:v>
      </x:c>
      <x:c r="H1707" t="str">
        <x:v>US East</x:v>
      </x:c>
      <x:c r="I1707" s="34" t="n">
        <x:v>189.44</x:v>
      </x:c>
      <x:c r="J1707" s="38" t="n">
        <x:v>3.1584384</x:v>
      </x:c>
      <x:c r="K1707" s="38" t="n">
        <x:v>0.2662815999999999</x:v>
      </x:c>
      <x:c r="L1707" s="28" t="n">
        <x:v>0.08430799220272901</x:v>
      </x:c>
    </x:row>
    <x:row r="1708">
      <x:c r="A1708" s="32" t="n">
        <x:v>46296</x:v>
      </x:c>
      <x:c r="B1708" t="str">
        <x:v>Oct 2026</x:v>
      </x:c>
      <x:c r="C1708" t="str">
        <x:v>Forecast</x:v>
      </x:c>
      <x:c r="D1708" t="str">
        <x:v>DB-102</x:v>
      </x:c>
      <x:c r="E1708" t="str">
        <x:v>GlowPatch Balm</x:v>
      </x:c>
      <x:c r="F1708" t="str">
        <x:v>Amazon Marketplace</x:v>
      </x:c>
      <x:c r="G1708" t="str">
        <x:v>Marketplace Consumer</x:v>
      </x:c>
      <x:c r="H1708" t="str">
        <x:v>Canada</x:v>
      </x:c>
      <x:c r="I1708" s="34" t="n">
        <x:v>59.2</x:v>
      </x:c>
      <x:c r="J1708" s="38" t="n">
        <x:v>0.987012</x:v>
      </x:c>
      <x:c r="K1708" s="38" t="n">
        <x:v>0.08321299999999997</x:v>
      </x:c>
      <x:c r="L1708" s="28" t="n">
        <x:v>0.08430799220272901</x:v>
      </x:c>
    </x:row>
    <x:row r="1709">
      <x:c r="A1709" s="32" t="n">
        <x:v>46296</x:v>
      </x:c>
      <x:c r="B1709" t="str">
        <x:v>Oct 2026</x:v>
      </x:c>
      <x:c r="C1709" t="str">
        <x:v>Forecast</x:v>
      </x:c>
      <x:c r="D1709" t="str">
        <x:v>DB-102</x:v>
      </x:c>
      <x:c r="E1709" t="str">
        <x:v>GlowPatch Balm</x:v>
      </x:c>
      <x:c r="F1709" t="str">
        <x:v>Wholesale</x:v>
      </x:c>
      <x:c r="G1709" t="str">
        <x:v>Retailer</x:v>
      </x:c>
      <x:c r="H1709" t="str">
        <x:v>US West</x:v>
      </x:c>
      <x:c r="I1709" s="34" t="n">
        <x:v>55.760000000000005</x:v>
      </x:c>
      <x:c r="J1709" s="38" t="n">
        <x:v>0.6360822</x:v>
      </x:c>
      <x:c r="K1709" s="38" t="n">
        <x:v>0.15844204000000003</x:v>
      </x:c>
      <x:c r="L1709" s="28" t="n">
        <x:v>0.2490905106289722</x:v>
      </x:c>
    </x:row>
    <x:row r="1710">
      <x:c r="A1710" s="32" t="n">
        <x:v>46296</x:v>
      </x:c>
      <x:c r="B1710" t="str">
        <x:v>Oct 2026</x:v>
      </x:c>
      <x:c r="C1710" t="str">
        <x:v>Forecast</x:v>
      </x:c>
      <x:c r="D1710" t="str">
        <x:v>DB-102</x:v>
      </x:c>
      <x:c r="E1710" t="str">
        <x:v>GlowPatch Balm</x:v>
      </x:c>
      <x:c r="F1710" t="str">
        <x:v>Wholesale</x:v>
      </x:c>
      <x:c r="G1710" t="str">
        <x:v>Retailer</x:v>
      </x:c>
      <x:c r="H1710" t="str">
        <x:v>US Central</x:v>
      </x:c>
      <x:c r="I1710" s="34" t="n">
        <x:v>39.36</x:v>
      </x:c>
      <x:c r="J1710" s="38" t="n">
        <x:v>0.4489992</x:v>
      </x:c>
      <x:c r="K1710" s="38" t="n">
        <x:v>0.11184144</x:v>
      </x:c>
      <x:c r="L1710" s="28" t="n">
        <x:v>0.24909051062897217</x:v>
      </x:c>
    </x:row>
    <x:row r="1711">
      <x:c r="A1711" s="32" t="n">
        <x:v>46296</x:v>
      </x:c>
      <x:c r="B1711" t="str">
        <x:v>Oct 2026</x:v>
      </x:c>
      <x:c r="C1711" t="str">
        <x:v>Forecast</x:v>
      </x:c>
      <x:c r="D1711" t="str">
        <x:v>DB-102</x:v>
      </x:c>
      <x:c r="E1711" t="str">
        <x:v>GlowPatch Balm</x:v>
      </x:c>
      <x:c r="F1711" t="str">
        <x:v>Wholesale</x:v>
      </x:c>
      <x:c r="G1711" t="str">
        <x:v>Retailer</x:v>
      </x:c>
      <x:c r="H1711" t="str">
        <x:v>US East</x:v>
      </x:c>
      <x:c r="I1711" s="34" t="n">
        <x:v>52.480000000000004</x:v>
      </x:c>
      <x:c r="J1711" s="38" t="n">
        <x:v>0.5986656</x:v>
      </x:c>
      <x:c r="K1711" s="38" t="n">
        <x:v>0.14912192000000002</x:v>
      </x:c>
      <x:c r="L1711" s="28" t="n">
        <x:v>0.2490905106289722</x:v>
      </x:c>
    </x:row>
    <x:row r="1712">
      <x:c r="A1712" s="32" t="n">
        <x:v>46296</x:v>
      </x:c>
      <x:c r="B1712" t="str">
        <x:v>Oct 2026</x:v>
      </x:c>
      <x:c r="C1712" t="str">
        <x:v>Forecast</x:v>
      </x:c>
      <x:c r="D1712" t="str">
        <x:v>DB-102</x:v>
      </x:c>
      <x:c r="E1712" t="str">
        <x:v>GlowPatch Balm</x:v>
      </x:c>
      <x:c r="F1712" t="str">
        <x:v>Wholesale</x:v>
      </x:c>
      <x:c r="G1712" t="str">
        <x:v>Retailer</x:v>
      </x:c>
      <x:c r="H1712" t="str">
        <x:v>Canada</x:v>
      </x:c>
      <x:c r="I1712" s="34" t="n">
        <x:v>16.400000000000002</x:v>
      </x:c>
      <x:c r="J1712" s="38" t="n">
        <x:v>0.187083</x:v>
      </x:c>
      <x:c r="K1712" s="38" t="n">
        <x:v>0.046600600000000006</x:v>
      </x:c>
      <x:c r="L1712" s="28" t="n">
        <x:v>0.2490905106289722</x:v>
      </x:c>
    </x:row>
    <x:row r="1713">
      <x:c r="A1713" s="32" t="n">
        <x:v>46296</x:v>
      </x:c>
      <x:c r="B1713" t="str">
        <x:v>Oct 2026</x:v>
      </x:c>
      <x:c r="C1713" t="str">
        <x:v>Forecast</x:v>
      </x:c>
      <x:c r="D1713" t="str">
        <x:v>DB-102</x:v>
      </x:c>
      <x:c r="E1713" t="str">
        <x:v>GlowPatch Balm</x:v>
      </x:c>
      <x:c r="F1713" t="str">
        <x:v>TikTok Shop</x:v>
      </x:c>
      <x:c r="G1713" t="str">
        <x:v>Social Commerce</x:v>
      </x:c>
      <x:c r="H1713" t="str">
        <x:v>US West</x:v>
      </x:c>
      <x:c r="I1713" s="34" t="n">
        <x:v>85.68</x:v>
      </x:c>
      <x:c r="J1713" s="38" t="n">
        <x:v>1.32324192</x:v>
      </x:c>
      <x:c r="K1713" s="38" t="n">
        <x:v>0.15452250911999998</x:v>
      </x:c>
      <x:c r="L1713" s="28" t="n">
        <x:v>0.11677570577570576</x:v>
      </x:c>
    </x:row>
    <x:row r="1714">
      <x:c r="A1714" s="32" t="n">
        <x:v>46296</x:v>
      </x:c>
      <x:c r="B1714" t="str">
        <x:v>Oct 2026</x:v>
      </x:c>
      <x:c r="C1714" t="str">
        <x:v>Forecast</x:v>
      </x:c>
      <x:c r="D1714" t="str">
        <x:v>DB-102</x:v>
      </x:c>
      <x:c r="E1714" t="str">
        <x:v>GlowPatch Balm</x:v>
      </x:c>
      <x:c r="F1714" t="str">
        <x:v>TikTok Shop</x:v>
      </x:c>
      <x:c r="G1714" t="str">
        <x:v>Social Commerce</x:v>
      </x:c>
      <x:c r="H1714" t="str">
        <x:v>US Central</x:v>
      </x:c>
      <x:c r="I1714" s="34" t="n">
        <x:v>60.48</x:v>
      </x:c>
      <x:c r="J1714" s="38" t="n">
        <x:v>0.93405312</x:v>
      </x:c>
      <x:c r="K1714" s="38" t="n">
        <x:v>0.10907471231999999</x:v>
      </x:c>
      <x:c r="L1714" s="28" t="n">
        <x:v>0.11677570577570577</x:v>
      </x:c>
    </x:row>
    <x:row r="1715">
      <x:c r="A1715" s="32" t="n">
        <x:v>46296</x:v>
      </x:c>
      <x:c r="B1715" t="str">
        <x:v>Oct 2026</x:v>
      </x:c>
      <x:c r="C1715" t="str">
        <x:v>Forecast</x:v>
      </x:c>
      <x:c r="D1715" t="str">
        <x:v>DB-102</x:v>
      </x:c>
      <x:c r="E1715" t="str">
        <x:v>GlowPatch Balm</x:v>
      </x:c>
      <x:c r="F1715" t="str">
        <x:v>TikTok Shop</x:v>
      </x:c>
      <x:c r="G1715" t="str">
        <x:v>Social Commerce</x:v>
      </x:c>
      <x:c r="H1715" t="str">
        <x:v>US East</x:v>
      </x:c>
      <x:c r="I1715" s="34" t="n">
        <x:v>80.64</x:v>
      </x:c>
      <x:c r="J1715" s="38" t="n">
        <x:v>1.2454041599999999</x:v>
      </x:c>
      <x:c r="K1715" s="38" t="n">
        <x:v>0.14543294975999999</x:v>
      </x:c>
      <x:c r="L1715" s="28" t="n">
        <x:v>0.11677570577570577</x:v>
      </x:c>
    </x:row>
    <x:row r="1716">
      <x:c r="A1716" s="32" t="n">
        <x:v>46296</x:v>
      </x:c>
      <x:c r="B1716" t="str">
        <x:v>Oct 2026</x:v>
      </x:c>
      <x:c r="C1716" t="str">
        <x:v>Forecast</x:v>
      </x:c>
      <x:c r="D1716" t="str">
        <x:v>DB-102</x:v>
      </x:c>
      <x:c r="E1716" t="str">
        <x:v>GlowPatch Balm</x:v>
      </x:c>
      <x:c r="F1716" t="str">
        <x:v>TikTok Shop</x:v>
      </x:c>
      <x:c r="G1716" t="str">
        <x:v>Social Commerce</x:v>
      </x:c>
      <x:c r="H1716" t="str">
        <x:v>Canada</x:v>
      </x:c>
      <x:c r="I1716" s="34" t="n">
        <x:v>25.200000000000003</x:v>
      </x:c>
      <x:c r="J1716" s="38" t="n">
        <x:v>0.3891888</x:v>
      </x:c>
      <x:c r="K1716" s="38" t="n">
        <x:v>0.045447796799999995</x:v>
      </x:c>
      <x:c r="L1716" s="28" t="n">
        <x:v>0.11677570577570576</x:v>
      </x:c>
    </x:row>
    <x:row r="1717">
      <x:c r="A1717" s="32" t="n">
        <x:v>46296</x:v>
      </x:c>
      <x:c r="B1717" t="str">
        <x:v>Oct 2026</x:v>
      </x:c>
      <x:c r="C1717" t="str">
        <x:v>Forecast</x:v>
      </x:c>
      <x:c r="D1717" t="str">
        <x:v>DB-103</x:v>
      </x:c>
      <x:c r="E1717" t="str">
        <x:v>EmberTrail Camp Mug</x:v>
      </x:c>
      <x:c r="F1717" t="str">
        <x:v>Shopify DTC</x:v>
      </x:c>
      <x:c r="G1717" t="str">
        <x:v>Consumer</x:v>
      </x:c>
      <x:c r="H1717" t="str">
        <x:v>US West</x:v>
      </x:c>
      <x:c r="I1717" s="34" t="n">
        <x:v>262.48</x:v>
      </x:c>
      <x:c r="J1717" s="38" t="n">
        <x:v>7.758803808000001</x:v>
      </x:c>
      <x:c r="K1717" s="38" t="n">
        <x:v>2.4086140175679995</x:v>
      </x:c>
      <x:c r="L1717" s="28" t="n">
        <x:v>0.3104362575948253</x:v>
      </x:c>
    </x:row>
    <x:row r="1718">
      <x:c r="A1718" s="32" t="n">
        <x:v>46296</x:v>
      </x:c>
      <x:c r="B1718" t="str">
        <x:v>Oct 2026</x:v>
      </x:c>
      <x:c r="C1718" t="str">
        <x:v>Forecast</x:v>
      </x:c>
      <x:c r="D1718" t="str">
        <x:v>DB-103</x:v>
      </x:c>
      <x:c r="E1718" t="str">
        <x:v>EmberTrail Camp Mug</x:v>
      </x:c>
      <x:c r="F1718" t="str">
        <x:v>Shopify DTC</x:v>
      </x:c>
      <x:c r="G1718" t="str">
        <x:v>Consumer</x:v>
      </x:c>
      <x:c r="H1718" t="str">
        <x:v>US Central</x:v>
      </x:c>
      <x:c r="I1718" s="34" t="n">
        <x:v>185.28</x:v>
      </x:c>
      <x:c r="J1718" s="38" t="n">
        <x:v>5.476802687999999</x:v>
      </x:c>
      <x:c r="K1718" s="38" t="n">
        <x:v>1.7001981300479996</x:v>
      </x:c>
      <x:c r="L1718" s="28" t="n">
        <x:v>0.31043625759482535</x:v>
      </x:c>
    </x:row>
    <x:row r="1719">
      <x:c r="A1719" s="32" t="n">
        <x:v>46296</x:v>
      </x:c>
      <x:c r="B1719" t="str">
        <x:v>Oct 2026</x:v>
      </x:c>
      <x:c r="C1719" t="str">
        <x:v>Forecast</x:v>
      </x:c>
      <x:c r="D1719" t="str">
        <x:v>DB-103</x:v>
      </x:c>
      <x:c r="E1719" t="str">
        <x:v>EmberTrail Camp Mug</x:v>
      </x:c>
      <x:c r="F1719" t="str">
        <x:v>Shopify DTC</x:v>
      </x:c>
      <x:c r="G1719" t="str">
        <x:v>Consumer</x:v>
      </x:c>
      <x:c r="H1719" t="str">
        <x:v>US East</x:v>
      </x:c>
      <x:c r="I1719" s="34" t="n">
        <x:v>247.04</x:v>
      </x:c>
      <x:c r="J1719" s="38" t="n">
        <x:v>7.302403584</x:v>
      </x:c>
      <x:c r="K1719" s="38" t="n">
        <x:v>2.2669308400639996</x:v>
      </x:c>
      <x:c r="L1719" s="28" t="n">
        <x:v>0.3104362575948253</x:v>
      </x:c>
    </x:row>
    <x:row r="1720">
      <x:c r="A1720" s="32" t="n">
        <x:v>46296</x:v>
      </x:c>
      <x:c r="B1720" t="str">
        <x:v>Oct 2026</x:v>
      </x:c>
      <x:c r="C1720" t="str">
        <x:v>Forecast</x:v>
      </x:c>
      <x:c r="D1720" t="str">
        <x:v>DB-103</x:v>
      </x:c>
      <x:c r="E1720" t="str">
        <x:v>EmberTrail Camp Mug</x:v>
      </x:c>
      <x:c r="F1720" t="str">
        <x:v>Shopify DTC</x:v>
      </x:c>
      <x:c r="G1720" t="str">
        <x:v>Consumer</x:v>
      </x:c>
      <x:c r="H1720" t="str">
        <x:v>Canada</x:v>
      </x:c>
      <x:c r="I1720" s="34" t="n">
        <x:v>77.2</x:v>
      </x:c>
      <x:c r="J1720" s="38" t="n">
        <x:v>2.28200112</x:v>
      </x:c>
      <x:c r="K1720" s="38" t="n">
        <x:v>0.7084158875199998</x:v>
      </x:c>
      <x:c r="L1720" s="28" t="n">
        <x:v>0.3104362575948253</x:v>
      </x:c>
    </x:row>
    <x:row r="1721">
      <x:c r="A1721" s="32" t="n">
        <x:v>46296</x:v>
      </x:c>
      <x:c r="B1721" t="str">
        <x:v>Oct 2026</x:v>
      </x:c>
      <x:c r="C1721" t="str">
        <x:v>Forecast</x:v>
      </x:c>
      <x:c r="D1721" t="str">
        <x:v>DB-103</x:v>
      </x:c>
      <x:c r="E1721" t="str">
        <x:v>EmberTrail Camp Mug</x:v>
      </x:c>
      <x:c r="F1721" t="str">
        <x:v>Amazon Marketplace</x:v>
      </x:c>
      <x:c r="G1721" t="str">
        <x:v>Marketplace Consumer</x:v>
      </x:c>
      <x:c r="H1721" t="str">
        <x:v>US West</x:v>
      </x:c>
      <x:c r="I1721" s="34" t="n">
        <x:v>155.04000000000002</x:v>
      </x:c>
      <x:c r="J1721" s="38" t="n">
        <x:v>4.73236344</x:v>
      </x:c>
      <x:c r="K1721" s="38" t="n">
        <x:v>0.7548858840000001</x:v>
      </x:c>
      <x:c r="L1721" s="28" t="n">
        <x:v>0.15951561911314235</x:v>
      </x:c>
    </x:row>
    <x:row r="1722">
      <x:c r="A1722" s="32" t="n">
        <x:v>46296</x:v>
      </x:c>
      <x:c r="B1722" t="str">
        <x:v>Oct 2026</x:v>
      </x:c>
      <x:c r="C1722" t="str">
        <x:v>Forecast</x:v>
      </x:c>
      <x:c r="D1722" t="str">
        <x:v>DB-103</x:v>
      </x:c>
      <x:c r="E1722" t="str">
        <x:v>EmberTrail Camp Mug</x:v>
      </x:c>
      <x:c r="F1722" t="str">
        <x:v>Amazon Marketplace</x:v>
      </x:c>
      <x:c r="G1722" t="str">
        <x:v>Marketplace Consumer</x:v>
      </x:c>
      <x:c r="H1722" t="str">
        <x:v>US Central</x:v>
      </x:c>
      <x:c r="I1722" s="34" t="n">
        <x:v>109.44</x:v>
      </x:c>
      <x:c r="J1722" s="38" t="n">
        <x:v>3.34049184</x:v>
      </x:c>
      <x:c r="K1722" s="38" t="n">
        <x:v>0.532860624</x:v>
      </x:c>
      <x:c r="L1722" s="28" t="n">
        <x:v>0.15951561911314235</x:v>
      </x:c>
    </x:row>
    <x:row r="1723">
      <x:c r="A1723" s="32" t="n">
        <x:v>46296</x:v>
      </x:c>
      <x:c r="B1723" t="str">
        <x:v>Oct 2026</x:v>
      </x:c>
      <x:c r="C1723" t="str">
        <x:v>Forecast</x:v>
      </x:c>
      <x:c r="D1723" t="str">
        <x:v>DB-103</x:v>
      </x:c>
      <x:c r="E1723" t="str">
        <x:v>EmberTrail Camp Mug</x:v>
      </x:c>
      <x:c r="F1723" t="str">
        <x:v>Amazon Marketplace</x:v>
      </x:c>
      <x:c r="G1723" t="str">
        <x:v>Marketplace Consumer</x:v>
      </x:c>
      <x:c r="H1723" t="str">
        <x:v>US East</x:v>
      </x:c>
      <x:c r="I1723" s="34" t="n">
        <x:v>145.92000000000002</x:v>
      </x:c>
      <x:c r="J1723" s="38" t="n">
        <x:v>4.45398912</x:v>
      </x:c>
      <x:c r="K1723" s="38" t="n">
        <x:v>0.7104808320000001</x:v>
      </x:c>
      <x:c r="L1723" s="28" t="n">
        <x:v>0.15951561911314235</x:v>
      </x:c>
    </x:row>
    <x:row r="1724">
      <x:c r="A1724" s="32" t="n">
        <x:v>46296</x:v>
      </x:c>
      <x:c r="B1724" t="str">
        <x:v>Oct 2026</x:v>
      </x:c>
      <x:c r="C1724" t="str">
        <x:v>Forecast</x:v>
      </x:c>
      <x:c r="D1724" t="str">
        <x:v>DB-103</x:v>
      </x:c>
      <x:c r="E1724" t="str">
        <x:v>EmberTrail Camp Mug</x:v>
      </x:c>
      <x:c r="F1724" t="str">
        <x:v>Amazon Marketplace</x:v>
      </x:c>
      <x:c r="G1724" t="str">
        <x:v>Marketplace Consumer</x:v>
      </x:c>
      <x:c r="H1724" t="str">
        <x:v>Canada</x:v>
      </x:c>
      <x:c r="I1724" s="34" t="n">
        <x:v>45.6</x:v>
      </x:c>
      <x:c r="J1724" s="38" t="n">
        <x:v>1.3918716</x:v>
      </x:c>
      <x:c r="K1724" s="38" t="n">
        <x:v>0.22202526000000003</x:v>
      </x:c>
      <x:c r="L1724" s="28" t="n">
        <x:v>0.15951561911314235</x:v>
      </x:c>
    </x:row>
    <x:row r="1725">
      <x:c r="A1725" s="32" t="n">
        <x:v>46296</x:v>
      </x:c>
      <x:c r="B1725" t="str">
        <x:v>Oct 2026</x:v>
      </x:c>
      <x:c r="C1725" t="str">
        <x:v>Forecast</x:v>
      </x:c>
      <x:c r="D1725" t="str">
        <x:v>DB-103</x:v>
      </x:c>
      <x:c r="E1725" t="str">
        <x:v>EmberTrail Camp Mug</x:v>
      </x:c>
      <x:c r="F1725" t="str">
        <x:v>Wholesale</x:v>
      </x:c>
      <x:c r="G1725" t="str">
        <x:v>Retailer</x:v>
      </x:c>
      <x:c r="H1725" t="str">
        <x:v>US West</x:v>
      </x:c>
      <x:c r="I1725" s="34" t="n">
        <x:v>43.52</x:v>
      </x:c>
      <x:c r="J1725" s="38" t="n">
        <x:v>0.90889344</x:v>
      </x:c>
      <x:c r="K1725" s="38" t="n">
        <x:v>0.17444992000000004</x:v>
      </x:c>
      <x:c r="L1725" s="28" t="n">
        <x:v>0.1919366037013096</x:v>
      </x:c>
    </x:row>
    <x:row r="1726">
      <x:c r="A1726" s="32" t="n">
        <x:v>46296</x:v>
      </x:c>
      <x:c r="B1726" t="str">
        <x:v>Oct 2026</x:v>
      </x:c>
      <x:c r="C1726" t="str">
        <x:v>Forecast</x:v>
      </x:c>
      <x:c r="D1726" t="str">
        <x:v>DB-103</x:v>
      </x:c>
      <x:c r="E1726" t="str">
        <x:v>EmberTrail Camp Mug</x:v>
      </x:c>
      <x:c r="F1726" t="str">
        <x:v>Wholesale</x:v>
      </x:c>
      <x:c r="G1726" t="str">
        <x:v>Retailer</x:v>
      </x:c>
      <x:c r="H1726" t="str">
        <x:v>US Central</x:v>
      </x:c>
      <x:c r="I1726" s="34" t="n">
        <x:v>30.72</x:v>
      </x:c>
      <x:c r="J1726" s="38" t="n">
        <x:v>0.64157184</x:v>
      </x:c>
      <x:c r="K1726" s="38" t="n">
        <x:v>0.12314112000000002</x:v>
      </x:c>
      <x:c r="L1726" s="28" t="n">
        <x:v>0.1919366037013096</x:v>
      </x:c>
    </x:row>
    <x:row r="1727">
      <x:c r="A1727" s="32" t="n">
        <x:v>46296</x:v>
      </x:c>
      <x:c r="B1727" t="str">
        <x:v>Oct 2026</x:v>
      </x:c>
      <x:c r="C1727" t="str">
        <x:v>Forecast</x:v>
      </x:c>
      <x:c r="D1727" t="str">
        <x:v>DB-103</x:v>
      </x:c>
      <x:c r="E1727" t="str">
        <x:v>EmberTrail Camp Mug</x:v>
      </x:c>
      <x:c r="F1727" t="str">
        <x:v>Wholesale</x:v>
      </x:c>
      <x:c r="G1727" t="str">
        <x:v>Retailer</x:v>
      </x:c>
      <x:c r="H1727" t="str">
        <x:v>US East</x:v>
      </x:c>
      <x:c r="I1727" s="34" t="n">
        <x:v>40.96</x:v>
      </x:c>
      <x:c r="J1727" s="38" t="n">
        <x:v>0.85542912</x:v>
      </x:c>
      <x:c r="K1727" s="38" t="n">
        <x:v>0.16418816000000003</x:v>
      </x:c>
      <x:c r="L1727" s="28" t="n">
        <x:v>0.1919366037013096</x:v>
      </x:c>
    </x:row>
    <x:row r="1728">
      <x:c r="A1728" s="32" t="n">
        <x:v>46296</x:v>
      </x:c>
      <x:c r="B1728" t="str">
        <x:v>Oct 2026</x:v>
      </x:c>
      <x:c r="C1728" t="str">
        <x:v>Forecast</x:v>
      </x:c>
      <x:c r="D1728" t="str">
        <x:v>DB-103</x:v>
      </x:c>
      <x:c r="E1728" t="str">
        <x:v>EmberTrail Camp Mug</x:v>
      </x:c>
      <x:c r="F1728" t="str">
        <x:v>Wholesale</x:v>
      </x:c>
      <x:c r="G1728" t="str">
        <x:v>Retailer</x:v>
      </x:c>
      <x:c r="H1728" t="str">
        <x:v>Canada</x:v>
      </x:c>
      <x:c r="I1728" s="34" t="n">
        <x:v>12.8</x:v>
      </x:c>
      <x:c r="J1728" s="38" t="n">
        <x:v>0.2673216</x:v>
      </x:c>
      <x:c r="K1728" s="38" t="n">
        <x:v>0.051308800000000016</x:v>
      </x:c>
      <x:c r="L1728" s="28" t="n">
        <x:v>0.19193660370130966</x:v>
      </x:c>
    </x:row>
    <x:row r="1729">
      <x:c r="A1729" s="32" t="n">
        <x:v>46296</x:v>
      </x:c>
      <x:c r="B1729" t="str">
        <x:v>Oct 2026</x:v>
      </x:c>
      <x:c r="C1729" t="str">
        <x:v>Forecast</x:v>
      </x:c>
      <x:c r="D1729" t="str">
        <x:v>DB-103</x:v>
      </x:c>
      <x:c r="E1729" t="str">
        <x:v>EmberTrail Camp Mug</x:v>
      </x:c>
      <x:c r="F1729" t="str">
        <x:v>TikTok Shop</x:v>
      </x:c>
      <x:c r="G1729" t="str">
        <x:v>Social Commerce</x:v>
      </x:c>
      <x:c r="H1729" t="str">
        <x:v>US West</x:v>
      </x:c>
      <x:c r="I1729" s="34" t="n">
        <x:v>66.64</x:v>
      </x:c>
      <x:c r="J1729" s="38" t="n">
        <x:v>1.8842060159999998</x:v>
      </x:c>
      <x:c r="K1729" s="38" t="n">
        <x:v>0.34532704057599967</x:v>
      </x:c>
      <x:c r="L1729" s="28" t="n">
        <x:v>0.1832745663922133</x:v>
      </x:c>
    </x:row>
    <x:row r="1730">
      <x:c r="A1730" s="32" t="n">
        <x:v>46296</x:v>
      </x:c>
      <x:c r="B1730" t="str">
        <x:v>Oct 2026</x:v>
      </x:c>
      <x:c r="C1730" t="str">
        <x:v>Forecast</x:v>
      </x:c>
      <x:c r="D1730" t="str">
        <x:v>DB-103</x:v>
      </x:c>
      <x:c r="E1730" t="str">
        <x:v>EmberTrail Camp Mug</x:v>
      </x:c>
      <x:c r="F1730" t="str">
        <x:v>TikTok Shop</x:v>
      </x:c>
      <x:c r="G1730" t="str">
        <x:v>Social Commerce</x:v>
      </x:c>
      <x:c r="H1730" t="str">
        <x:v>US Central</x:v>
      </x:c>
      <x:c r="I1730" s="34" t="n">
        <x:v>47.04</x:v>
      </x:c>
      <x:c r="J1730" s="38" t="n">
        <x:v>1.3300277759999997</x:v>
      </x:c>
      <x:c r="K1730" s="38" t="n">
        <x:v>0.24376026393599973</x:v>
      </x:c>
      <x:c r="L1730" s="28" t="n">
        <x:v>0.1832745663922133</x:v>
      </x:c>
    </x:row>
    <x:row r="1731">
      <x:c r="A1731" s="32" t="n">
        <x:v>46296</x:v>
      </x:c>
      <x:c r="B1731" t="str">
        <x:v>Oct 2026</x:v>
      </x:c>
      <x:c r="C1731" t="str">
        <x:v>Forecast</x:v>
      </x:c>
      <x:c r="D1731" t="str">
        <x:v>DB-103</x:v>
      </x:c>
      <x:c r="E1731" t="str">
        <x:v>EmberTrail Camp Mug</x:v>
      </x:c>
      <x:c r="F1731" t="str">
        <x:v>TikTok Shop</x:v>
      </x:c>
      <x:c r="G1731" t="str">
        <x:v>Social Commerce</x:v>
      </x:c>
      <x:c r="H1731" t="str">
        <x:v>US East</x:v>
      </x:c>
      <x:c r="I1731" s="34" t="n">
        <x:v>62.72</x:v>
      </x:c>
      <x:c r="J1731" s="38" t="n">
        <x:v>1.7733703679999997</x:v>
      </x:c>
      <x:c r="K1731" s="38" t="n">
        <x:v>0.3250136852479997</x:v>
      </x:c>
      <x:c r="L1731" s="28" t="n">
        <x:v>0.1832745663922133</x:v>
      </x:c>
    </x:row>
    <x:row r="1732">
      <x:c r="A1732" s="32" t="n">
        <x:v>46296</x:v>
      </x:c>
      <x:c r="B1732" t="str">
        <x:v>Oct 2026</x:v>
      </x:c>
      <x:c r="C1732" t="str">
        <x:v>Forecast</x:v>
      </x:c>
      <x:c r="D1732" t="str">
        <x:v>DB-103</x:v>
      </x:c>
      <x:c r="E1732" t="str">
        <x:v>EmberTrail Camp Mug</x:v>
      </x:c>
      <x:c r="F1732" t="str">
        <x:v>TikTok Shop</x:v>
      </x:c>
      <x:c r="G1732" t="str">
        <x:v>Social Commerce</x:v>
      </x:c>
      <x:c r="H1732" t="str">
        <x:v>Canada</x:v>
      </x:c>
      <x:c r="I1732" s="34" t="n">
        <x:v>19.6</x:v>
      </x:c>
      <x:c r="J1732" s="38" t="n">
        <x:v>0.5541782399999999</x:v>
      </x:c>
      <x:c r="K1732" s="38" t="n">
        <x:v>0.1015667766399999</x:v>
      </x:c>
      <x:c r="L1732" s="28" t="n">
        <x:v>0.1832745663922133</x:v>
      </x:c>
    </x:row>
    <x:row r="1733">
      <x:c r="A1733" s="32" t="n">
        <x:v>46296</x:v>
      </x:c>
      <x:c r="B1733" t="str">
        <x:v>Oct 2026</x:v>
      </x:c>
      <x:c r="C1733" t="str">
        <x:v>Forecast</x:v>
      </x:c>
      <x:c r="D1733" t="str">
        <x:v>DB-104</x:v>
      </x:c>
      <x:c r="E1733" t="str">
        <x:v>SunNest Cooling Towel</x:v>
      </x:c>
      <x:c r="F1733" t="str">
        <x:v>Shopify DTC</x:v>
      </x:c>
      <x:c r="G1733" t="str">
        <x:v>Consumer</x:v>
      </x:c>
      <x:c r="H1733" t="str">
        <x:v>US West</x:v>
      </x:c>
      <x:c r="I1733" s="34" t="n">
        <x:v>0</x:v>
      </x:c>
      <x:c r="J1733" s="38" t="n">
        <x:v>0</x:v>
      </x:c>
      <x:c r="K1733" s="38" t="n">
        <x:v>0</x:v>
      </x:c>
      <x:c r="L1733" s="28" t="n">
        <x:v>0</x:v>
      </x:c>
    </x:row>
    <x:row r="1734">
      <x:c r="A1734" s="32" t="n">
        <x:v>46296</x:v>
      </x:c>
      <x:c r="B1734" t="str">
        <x:v>Oct 2026</x:v>
      </x:c>
      <x:c r="C1734" t="str">
        <x:v>Forecast</x:v>
      </x:c>
      <x:c r="D1734" t="str">
        <x:v>DB-104</x:v>
      </x:c>
      <x:c r="E1734" t="str">
        <x:v>SunNest Cooling Towel</x:v>
      </x:c>
      <x:c r="F1734" t="str">
        <x:v>Shopify DTC</x:v>
      </x:c>
      <x:c r="G1734" t="str">
        <x:v>Consumer</x:v>
      </x:c>
      <x:c r="H1734" t="str">
        <x:v>US Central</x:v>
      </x:c>
      <x:c r="I1734" s="34" t="n">
        <x:v>0</x:v>
      </x:c>
      <x:c r="J1734" s="38" t="n">
        <x:v>0</x:v>
      </x:c>
      <x:c r="K1734" s="38" t="n">
        <x:v>0</x:v>
      </x:c>
      <x:c r="L1734" s="28" t="n">
        <x:v>0</x:v>
      </x:c>
    </x:row>
    <x:row r="1735">
      <x:c r="A1735" s="32" t="n">
        <x:v>46296</x:v>
      </x:c>
      <x:c r="B1735" t="str">
        <x:v>Oct 2026</x:v>
      </x:c>
      <x:c r="C1735" t="str">
        <x:v>Forecast</x:v>
      </x:c>
      <x:c r="D1735" t="str">
        <x:v>DB-104</x:v>
      </x:c>
      <x:c r="E1735" t="str">
        <x:v>SunNest Cooling Towel</x:v>
      </x:c>
      <x:c r="F1735" t="str">
        <x:v>Shopify DTC</x:v>
      </x:c>
      <x:c r="G1735" t="str">
        <x:v>Consumer</x:v>
      </x:c>
      <x:c r="H1735" t="str">
        <x:v>US East</x:v>
      </x:c>
      <x:c r="I1735" s="34" t="n">
        <x:v>0</x:v>
      </x:c>
      <x:c r="J1735" s="38" t="n">
        <x:v>0</x:v>
      </x:c>
      <x:c r="K1735" s="38" t="n">
        <x:v>0</x:v>
      </x:c>
      <x:c r="L1735" s="28" t="n">
        <x:v>0</x:v>
      </x:c>
    </x:row>
    <x:row r="1736">
      <x:c r="A1736" s="32" t="n">
        <x:v>46296</x:v>
      </x:c>
      <x:c r="B1736" t="str">
        <x:v>Oct 2026</x:v>
      </x:c>
      <x:c r="C1736" t="str">
        <x:v>Forecast</x:v>
      </x:c>
      <x:c r="D1736" t="str">
        <x:v>DB-104</x:v>
      </x:c>
      <x:c r="E1736" t="str">
        <x:v>SunNest Cooling Towel</x:v>
      </x:c>
      <x:c r="F1736" t="str">
        <x:v>Shopify DTC</x:v>
      </x:c>
      <x:c r="G1736" t="str">
        <x:v>Consumer</x:v>
      </x:c>
      <x:c r="H1736" t="str">
        <x:v>Canada</x:v>
      </x:c>
      <x:c r="I1736" s="34" t="n">
        <x:v>0</x:v>
      </x:c>
      <x:c r="J1736" s="38" t="n">
        <x:v>0</x:v>
      </x:c>
      <x:c r="K1736" s="38" t="n">
        <x:v>0</x:v>
      </x:c>
      <x:c r="L1736" s="28" t="n">
        <x:v>0</x:v>
      </x:c>
    </x:row>
    <x:row r="1737">
      <x:c r="A1737" s="32" t="n">
        <x:v>46296</x:v>
      </x:c>
      <x:c r="B1737" t="str">
        <x:v>Oct 2026</x:v>
      </x:c>
      <x:c r="C1737" t="str">
        <x:v>Forecast</x:v>
      </x:c>
      <x:c r="D1737" t="str">
        <x:v>DB-104</x:v>
      </x:c>
      <x:c r="E1737" t="str">
        <x:v>SunNest Cooling Towel</x:v>
      </x:c>
      <x:c r="F1737" t="str">
        <x:v>Amazon Marketplace</x:v>
      </x:c>
      <x:c r="G1737" t="str">
        <x:v>Marketplace Consumer</x:v>
      </x:c>
      <x:c r="H1737" t="str">
        <x:v>US West</x:v>
      </x:c>
      <x:c r="I1737" s="34" t="n">
        <x:v>0</x:v>
      </x:c>
      <x:c r="J1737" s="38" t="n">
        <x:v>0</x:v>
      </x:c>
      <x:c r="K1737" s="38" t="n">
        <x:v>0</x:v>
      </x:c>
      <x:c r="L1737" s="28" t="n">
        <x:v>0</x:v>
      </x:c>
    </x:row>
    <x:row r="1738">
      <x:c r="A1738" s="32" t="n">
        <x:v>46296</x:v>
      </x:c>
      <x:c r="B1738" t="str">
        <x:v>Oct 2026</x:v>
      </x:c>
      <x:c r="C1738" t="str">
        <x:v>Forecast</x:v>
      </x:c>
      <x:c r="D1738" t="str">
        <x:v>DB-104</x:v>
      </x:c>
      <x:c r="E1738" t="str">
        <x:v>SunNest Cooling Towel</x:v>
      </x:c>
      <x:c r="F1738" t="str">
        <x:v>Amazon Marketplace</x:v>
      </x:c>
      <x:c r="G1738" t="str">
        <x:v>Marketplace Consumer</x:v>
      </x:c>
      <x:c r="H1738" t="str">
        <x:v>US Central</x:v>
      </x:c>
      <x:c r="I1738" s="34" t="n">
        <x:v>0</x:v>
      </x:c>
      <x:c r="J1738" s="38" t="n">
        <x:v>0</x:v>
      </x:c>
      <x:c r="K1738" s="38" t="n">
        <x:v>0</x:v>
      </x:c>
      <x:c r="L1738" s="28" t="n">
        <x:v>0</x:v>
      </x:c>
    </x:row>
    <x:row r="1739">
      <x:c r="A1739" s="32" t="n">
        <x:v>46296</x:v>
      </x:c>
      <x:c r="B1739" t="str">
        <x:v>Oct 2026</x:v>
      </x:c>
      <x:c r="C1739" t="str">
        <x:v>Forecast</x:v>
      </x:c>
      <x:c r="D1739" t="str">
        <x:v>DB-104</x:v>
      </x:c>
      <x:c r="E1739" t="str">
        <x:v>SunNest Cooling Towel</x:v>
      </x:c>
      <x:c r="F1739" t="str">
        <x:v>Amazon Marketplace</x:v>
      </x:c>
      <x:c r="G1739" t="str">
        <x:v>Marketplace Consumer</x:v>
      </x:c>
      <x:c r="H1739" t="str">
        <x:v>US East</x:v>
      </x:c>
      <x:c r="I1739" s="34" t="n">
        <x:v>0</x:v>
      </x:c>
      <x:c r="J1739" s="38" t="n">
        <x:v>0</x:v>
      </x:c>
      <x:c r="K1739" s="38" t="n">
        <x:v>0</x:v>
      </x:c>
      <x:c r="L1739" s="28" t="n">
        <x:v>0</x:v>
      </x:c>
    </x:row>
    <x:row r="1740">
      <x:c r="A1740" s="32" t="n">
        <x:v>46296</x:v>
      </x:c>
      <x:c r="B1740" t="str">
        <x:v>Oct 2026</x:v>
      </x:c>
      <x:c r="C1740" t="str">
        <x:v>Forecast</x:v>
      </x:c>
      <x:c r="D1740" t="str">
        <x:v>DB-104</x:v>
      </x:c>
      <x:c r="E1740" t="str">
        <x:v>SunNest Cooling Towel</x:v>
      </x:c>
      <x:c r="F1740" t="str">
        <x:v>Amazon Marketplace</x:v>
      </x:c>
      <x:c r="G1740" t="str">
        <x:v>Marketplace Consumer</x:v>
      </x:c>
      <x:c r="H1740" t="str">
        <x:v>Canada</x:v>
      </x:c>
      <x:c r="I1740" s="34" t="n">
        <x:v>0</x:v>
      </x:c>
      <x:c r="J1740" s="38" t="n">
        <x:v>0</x:v>
      </x:c>
      <x:c r="K1740" s="38" t="n">
        <x:v>0</x:v>
      </x:c>
      <x:c r="L1740" s="28" t="n">
        <x:v>0</x:v>
      </x:c>
    </x:row>
    <x:row r="1741">
      <x:c r="A1741" s="32" t="n">
        <x:v>46296</x:v>
      </x:c>
      <x:c r="B1741" t="str">
        <x:v>Oct 2026</x:v>
      </x:c>
      <x:c r="C1741" t="str">
        <x:v>Forecast</x:v>
      </x:c>
      <x:c r="D1741" t="str">
        <x:v>DB-104</x:v>
      </x:c>
      <x:c r="E1741" t="str">
        <x:v>SunNest Cooling Towel</x:v>
      </x:c>
      <x:c r="F1741" t="str">
        <x:v>Wholesale</x:v>
      </x:c>
      <x:c r="G1741" t="str">
        <x:v>Retailer</x:v>
      </x:c>
      <x:c r="H1741" t="str">
        <x:v>US West</x:v>
      </x:c>
      <x:c r="I1741" s="34" t="n">
        <x:v>0</x:v>
      </x:c>
      <x:c r="J1741" s="38" t="n">
        <x:v>0</x:v>
      </x:c>
      <x:c r="K1741" s="38" t="n">
        <x:v>0</x:v>
      </x:c>
      <x:c r="L1741" s="28" t="n">
        <x:v>0</x:v>
      </x:c>
    </x:row>
    <x:row r="1742">
      <x:c r="A1742" s="32" t="n">
        <x:v>46296</x:v>
      </x:c>
      <x:c r="B1742" t="str">
        <x:v>Oct 2026</x:v>
      </x:c>
      <x:c r="C1742" t="str">
        <x:v>Forecast</x:v>
      </x:c>
      <x:c r="D1742" t="str">
        <x:v>DB-104</x:v>
      </x:c>
      <x:c r="E1742" t="str">
        <x:v>SunNest Cooling Towel</x:v>
      </x:c>
      <x:c r="F1742" t="str">
        <x:v>Wholesale</x:v>
      </x:c>
      <x:c r="G1742" t="str">
        <x:v>Retailer</x:v>
      </x:c>
      <x:c r="H1742" t="str">
        <x:v>US Central</x:v>
      </x:c>
      <x:c r="I1742" s="34" t="n">
        <x:v>0</x:v>
      </x:c>
      <x:c r="J1742" s="38" t="n">
        <x:v>0</x:v>
      </x:c>
      <x:c r="K1742" s="38" t="n">
        <x:v>0</x:v>
      </x:c>
      <x:c r="L1742" s="28" t="n">
        <x:v>0</x:v>
      </x:c>
    </x:row>
    <x:row r="1743">
      <x:c r="A1743" s="32" t="n">
        <x:v>46296</x:v>
      </x:c>
      <x:c r="B1743" t="str">
        <x:v>Oct 2026</x:v>
      </x:c>
      <x:c r="C1743" t="str">
        <x:v>Forecast</x:v>
      </x:c>
      <x:c r="D1743" t="str">
        <x:v>DB-104</x:v>
      </x:c>
      <x:c r="E1743" t="str">
        <x:v>SunNest Cooling Towel</x:v>
      </x:c>
      <x:c r="F1743" t="str">
        <x:v>Wholesale</x:v>
      </x:c>
      <x:c r="G1743" t="str">
        <x:v>Retailer</x:v>
      </x:c>
      <x:c r="H1743" t="str">
        <x:v>US East</x:v>
      </x:c>
      <x:c r="I1743" s="34" t="n">
        <x:v>0</x:v>
      </x:c>
      <x:c r="J1743" s="38" t="n">
        <x:v>0</x:v>
      </x:c>
      <x:c r="K1743" s="38" t="n">
        <x:v>0</x:v>
      </x:c>
      <x:c r="L1743" s="28" t="n">
        <x:v>0</x:v>
      </x:c>
    </x:row>
    <x:row r="1744">
      <x:c r="A1744" s="32" t="n">
        <x:v>46296</x:v>
      </x:c>
      <x:c r="B1744" t="str">
        <x:v>Oct 2026</x:v>
      </x:c>
      <x:c r="C1744" t="str">
        <x:v>Forecast</x:v>
      </x:c>
      <x:c r="D1744" t="str">
        <x:v>DB-104</x:v>
      </x:c>
      <x:c r="E1744" t="str">
        <x:v>SunNest Cooling Towel</x:v>
      </x:c>
      <x:c r="F1744" t="str">
        <x:v>Wholesale</x:v>
      </x:c>
      <x:c r="G1744" t="str">
        <x:v>Retailer</x:v>
      </x:c>
      <x:c r="H1744" t="str">
        <x:v>Canada</x:v>
      </x:c>
      <x:c r="I1744" s="34" t="n">
        <x:v>0</x:v>
      </x:c>
      <x:c r="J1744" s="38" t="n">
        <x:v>0</x:v>
      </x:c>
      <x:c r="K1744" s="38" t="n">
        <x:v>0</x:v>
      </x:c>
      <x:c r="L1744" s="28" t="n">
        <x:v>0</x:v>
      </x:c>
    </x:row>
    <x:row r="1745">
      <x:c r="A1745" s="32" t="n">
        <x:v>46296</x:v>
      </x:c>
      <x:c r="B1745" t="str">
        <x:v>Oct 2026</x:v>
      </x:c>
      <x:c r="C1745" t="str">
        <x:v>Forecast</x:v>
      </x:c>
      <x:c r="D1745" t="str">
        <x:v>DB-104</x:v>
      </x:c>
      <x:c r="E1745" t="str">
        <x:v>SunNest Cooling Towel</x:v>
      </x:c>
      <x:c r="F1745" t="str">
        <x:v>TikTok Shop</x:v>
      </x:c>
      <x:c r="G1745" t="str">
        <x:v>Social Commerce</x:v>
      </x:c>
      <x:c r="H1745" t="str">
        <x:v>US West</x:v>
      </x:c>
      <x:c r="I1745" s="34" t="n">
        <x:v>0</x:v>
      </x:c>
      <x:c r="J1745" s="38" t="n">
        <x:v>0</x:v>
      </x:c>
      <x:c r="K1745" s="38" t="n">
        <x:v>0</x:v>
      </x:c>
      <x:c r="L1745" s="28" t="n">
        <x:v>0</x:v>
      </x:c>
    </x:row>
    <x:row r="1746">
      <x:c r="A1746" s="32" t="n">
        <x:v>46296</x:v>
      </x:c>
      <x:c r="B1746" t="str">
        <x:v>Oct 2026</x:v>
      </x:c>
      <x:c r="C1746" t="str">
        <x:v>Forecast</x:v>
      </x:c>
      <x:c r="D1746" t="str">
        <x:v>DB-104</x:v>
      </x:c>
      <x:c r="E1746" t="str">
        <x:v>SunNest Cooling Towel</x:v>
      </x:c>
      <x:c r="F1746" t="str">
        <x:v>TikTok Shop</x:v>
      </x:c>
      <x:c r="G1746" t="str">
        <x:v>Social Commerce</x:v>
      </x:c>
      <x:c r="H1746" t="str">
        <x:v>US Central</x:v>
      </x:c>
      <x:c r="I1746" s="34" t="n">
        <x:v>0</x:v>
      </x:c>
      <x:c r="J1746" s="38" t="n">
        <x:v>0</x:v>
      </x:c>
      <x:c r="K1746" s="38" t="n">
        <x:v>0</x:v>
      </x:c>
      <x:c r="L1746" s="28" t="n">
        <x:v>0</x:v>
      </x:c>
    </x:row>
    <x:row r="1747">
      <x:c r="A1747" s="32" t="n">
        <x:v>46296</x:v>
      </x:c>
      <x:c r="B1747" t="str">
        <x:v>Oct 2026</x:v>
      </x:c>
      <x:c r="C1747" t="str">
        <x:v>Forecast</x:v>
      </x:c>
      <x:c r="D1747" t="str">
        <x:v>DB-104</x:v>
      </x:c>
      <x:c r="E1747" t="str">
        <x:v>SunNest Cooling Towel</x:v>
      </x:c>
      <x:c r="F1747" t="str">
        <x:v>TikTok Shop</x:v>
      </x:c>
      <x:c r="G1747" t="str">
        <x:v>Social Commerce</x:v>
      </x:c>
      <x:c r="H1747" t="str">
        <x:v>US East</x:v>
      </x:c>
      <x:c r="I1747" s="34" t="n">
        <x:v>0</x:v>
      </x:c>
      <x:c r="J1747" s="38" t="n">
        <x:v>0</x:v>
      </x:c>
      <x:c r="K1747" s="38" t="n">
        <x:v>0</x:v>
      </x:c>
      <x:c r="L1747" s="28" t="n">
        <x:v>0</x:v>
      </x:c>
    </x:row>
    <x:row r="1748">
      <x:c r="A1748" s="32" t="n">
        <x:v>46296</x:v>
      </x:c>
      <x:c r="B1748" t="str">
        <x:v>Oct 2026</x:v>
      </x:c>
      <x:c r="C1748" t="str">
        <x:v>Forecast</x:v>
      </x:c>
      <x:c r="D1748" t="str">
        <x:v>DB-104</x:v>
      </x:c>
      <x:c r="E1748" t="str">
        <x:v>SunNest Cooling Towel</x:v>
      </x:c>
      <x:c r="F1748" t="str">
        <x:v>TikTok Shop</x:v>
      </x:c>
      <x:c r="G1748" t="str">
        <x:v>Social Commerce</x:v>
      </x:c>
      <x:c r="H1748" t="str">
        <x:v>Canada</x:v>
      </x:c>
      <x:c r="I1748" s="34" t="n">
        <x:v>0</x:v>
      </x:c>
      <x:c r="J1748" s="38" t="n">
        <x:v>0</x:v>
      </x:c>
      <x:c r="K1748" s="38" t="n">
        <x:v>0</x:v>
      </x:c>
      <x:c r="L1748" s="28" t="n">
        <x:v>0</x:v>
      </x:c>
    </x:row>
    <x:row r="1749">
      <x:c r="A1749" s="32" t="n">
        <x:v>46296</x:v>
      </x:c>
      <x:c r="B1749" t="str">
        <x:v>Oct 2026</x:v>
      </x:c>
      <x:c r="C1749" t="str">
        <x:v>Forecast</x:v>
      </x:c>
      <x:c r="D1749" t="str">
        <x:v>DB-105</x:v>
      </x:c>
      <x:c r="E1749" t="str">
        <x:v>DreamFuel Refill Pack</x:v>
      </x:c>
      <x:c r="F1749" t="str">
        <x:v>Shopify DTC</x:v>
      </x:c>
      <x:c r="G1749" t="str">
        <x:v>Consumer</x:v>
      </x:c>
      <x:c r="H1749" t="str">
        <x:v>US West</x:v>
      </x:c>
      <x:c r="I1749" s="34" t="n">
        <x:v>266.56</x:v>
      </x:c>
      <x:c r="J1749" s="38" t="n">
        <x:v>13.458507776000001</x:v>
      </x:c>
      <x:c r="K1749" s="38" t="n">
        <x:v>6.5578562344960005</x:v>
      </x:c>
      <x:c r="L1749" s="28" t="n">
        <x:v>0.48726473570794776</x:v>
      </x:c>
    </x:row>
    <x:row r="1750">
      <x:c r="A1750" s="32" t="n">
        <x:v>46296</x:v>
      </x:c>
      <x:c r="B1750" t="str">
        <x:v>Oct 2026</x:v>
      </x:c>
      <x:c r="C1750" t="str">
        <x:v>Forecast</x:v>
      </x:c>
      <x:c r="D1750" t="str">
        <x:v>DB-105</x:v>
      </x:c>
      <x:c r="E1750" t="str">
        <x:v>DreamFuel Refill Pack</x:v>
      </x:c>
      <x:c r="F1750" t="str">
        <x:v>Shopify DTC</x:v>
      </x:c>
      <x:c r="G1750" t="str">
        <x:v>Consumer</x:v>
      </x:c>
      <x:c r="H1750" t="str">
        <x:v>US Central</x:v>
      </x:c>
      <x:c r="I1750" s="34" t="n">
        <x:v>188.16</x:v>
      </x:c>
      <x:c r="J1750" s="38" t="n">
        <x:v>9.500123136</x:v>
      </x:c>
      <x:c r="K1750" s="38" t="n">
        <x:v>4.629074989056</x:v>
      </x:c>
      <x:c r="L1750" s="28" t="n">
        <x:v>0.4872647357079478</x:v>
      </x:c>
    </x:row>
    <x:row r="1751">
      <x:c r="A1751" s="32" t="n">
        <x:v>46296</x:v>
      </x:c>
      <x:c r="B1751" t="str">
        <x:v>Oct 2026</x:v>
      </x:c>
      <x:c r="C1751" t="str">
        <x:v>Forecast</x:v>
      </x:c>
      <x:c r="D1751" t="str">
        <x:v>DB-105</x:v>
      </x:c>
      <x:c r="E1751" t="str">
        <x:v>DreamFuel Refill Pack</x:v>
      </x:c>
      <x:c r="F1751" t="str">
        <x:v>Shopify DTC</x:v>
      </x:c>
      <x:c r="G1751" t="str">
        <x:v>Consumer</x:v>
      </x:c>
      <x:c r="H1751" t="str">
        <x:v>US East</x:v>
      </x:c>
      <x:c r="I1751" s="34" t="n">
        <x:v>250.88</x:v>
      </x:c>
      <x:c r="J1751" s="38" t="n">
        <x:v>12.666830848</x:v>
      </x:c>
      <x:c r="K1751" s="38" t="n">
        <x:v>6.172099985408001</x:v>
      </x:c>
      <x:c r="L1751" s="28" t="n">
        <x:v>0.4872647357079478</x:v>
      </x:c>
    </x:row>
    <x:row r="1752">
      <x:c r="A1752" s="32" t="n">
        <x:v>46296</x:v>
      </x:c>
      <x:c r="B1752" t="str">
        <x:v>Oct 2026</x:v>
      </x:c>
      <x:c r="C1752" t="str">
        <x:v>Forecast</x:v>
      </x:c>
      <x:c r="D1752" t="str">
        <x:v>DB-105</x:v>
      </x:c>
      <x:c r="E1752" t="str">
        <x:v>DreamFuel Refill Pack</x:v>
      </x:c>
      <x:c r="F1752" t="str">
        <x:v>Shopify DTC</x:v>
      </x:c>
      <x:c r="G1752" t="str">
        <x:v>Consumer</x:v>
      </x:c>
      <x:c r="H1752" t="str">
        <x:v>Canada</x:v>
      </x:c>
      <x:c r="I1752" s="34" t="n">
        <x:v>78.4</x:v>
      </x:c>
      <x:c r="J1752" s="38" t="n">
        <x:v>3.9583846400000002</x:v>
      </x:c>
      <x:c r="K1752" s="38" t="n">
        <x:v>1.9287812454400002</x:v>
      </x:c>
      <x:c r="L1752" s="28" t="n">
        <x:v>0.4872647357079478</x:v>
      </x:c>
    </x:row>
    <x:row r="1753">
      <x:c r="A1753" s="32" t="n">
        <x:v>46296</x:v>
      </x:c>
      <x:c r="B1753" t="str">
        <x:v>Oct 2026</x:v>
      </x:c>
      <x:c r="C1753" t="str">
        <x:v>Forecast</x:v>
      </x:c>
      <x:c r="D1753" t="str">
        <x:v>DB-105</x:v>
      </x:c>
      <x:c r="E1753" t="str">
        <x:v>DreamFuel Refill Pack</x:v>
      </x:c>
      <x:c r="F1753" t="str">
        <x:v>Amazon Marketplace</x:v>
      </x:c>
      <x:c r="G1753" t="str">
        <x:v>Marketplace Consumer</x:v>
      </x:c>
      <x:c r="H1753" t="str">
        <x:v>US West</x:v>
      </x:c>
      <x:c r="I1753" s="34" t="n">
        <x:v>157.76000000000002</x:v>
      </x:c>
      <x:c r="J1753" s="38" t="n">
        <x:v>8.224975360000002</x:v>
      </x:c>
      <x:c r="K1753" s="38" t="n">
        <x:v>2.893633920000001</x:v>
      </x:c>
      <x:c r="L1753" s="28" t="n">
        <x:v>0.35181064907165877</x:v>
      </x:c>
    </x:row>
    <x:row r="1754">
      <x:c r="A1754" s="32" t="n">
        <x:v>46296</x:v>
      </x:c>
      <x:c r="B1754" t="str">
        <x:v>Oct 2026</x:v>
      </x:c>
      <x:c r="C1754" t="str">
        <x:v>Forecast</x:v>
      </x:c>
      <x:c r="D1754" t="str">
        <x:v>DB-105</x:v>
      </x:c>
      <x:c r="E1754" t="str">
        <x:v>DreamFuel Refill Pack</x:v>
      </x:c>
      <x:c r="F1754" t="str">
        <x:v>Amazon Marketplace</x:v>
      </x:c>
      <x:c r="G1754" t="str">
        <x:v>Marketplace Consumer</x:v>
      </x:c>
      <x:c r="H1754" t="str">
        <x:v>US Central</x:v>
      </x:c>
      <x:c r="I1754" s="34" t="n">
        <x:v>111.36</x:v>
      </x:c>
      <x:c r="J1754" s="38" t="n">
        <x:v>5.80586496</x:v>
      </x:c>
      <x:c r="K1754" s="38" t="n">
        <x:v>2.0425651200000003</x:v>
      </x:c>
      <x:c r="L1754" s="28" t="n">
        <x:v>0.3518106490716588</x:v>
      </x:c>
    </x:row>
    <x:row r="1755">
      <x:c r="A1755" s="32" t="n">
        <x:v>46296</x:v>
      </x:c>
      <x:c r="B1755" t="str">
        <x:v>Oct 2026</x:v>
      </x:c>
      <x:c r="C1755" t="str">
        <x:v>Forecast</x:v>
      </x:c>
      <x:c r="D1755" t="str">
        <x:v>DB-105</x:v>
      </x:c>
      <x:c r="E1755" t="str">
        <x:v>DreamFuel Refill Pack</x:v>
      </x:c>
      <x:c r="F1755" t="str">
        <x:v>Amazon Marketplace</x:v>
      </x:c>
      <x:c r="G1755" t="str">
        <x:v>Marketplace Consumer</x:v>
      </x:c>
      <x:c r="H1755" t="str">
        <x:v>US East</x:v>
      </x:c>
      <x:c r="I1755" s="34" t="n">
        <x:v>148.48</x:v>
      </x:c>
      <x:c r="J1755" s="38" t="n">
        <x:v>7.741153280000001</x:v>
      </x:c>
      <x:c r="K1755" s="38" t="n">
        <x:v>2.7234201600000008</x:v>
      </x:c>
      <x:c r="L1755" s="28" t="n">
        <x:v>0.3518106490716588</x:v>
      </x:c>
    </x:row>
    <x:row r="1756">
      <x:c r="A1756" s="32" t="n">
        <x:v>46296</x:v>
      </x:c>
      <x:c r="B1756" t="str">
        <x:v>Oct 2026</x:v>
      </x:c>
      <x:c r="C1756" t="str">
        <x:v>Forecast</x:v>
      </x:c>
      <x:c r="D1756" t="str">
        <x:v>DB-105</x:v>
      </x:c>
      <x:c r="E1756" t="str">
        <x:v>DreamFuel Refill Pack</x:v>
      </x:c>
      <x:c r="F1756" t="str">
        <x:v>Amazon Marketplace</x:v>
      </x:c>
      <x:c r="G1756" t="str">
        <x:v>Marketplace Consumer</x:v>
      </x:c>
      <x:c r="H1756" t="str">
        <x:v>Canada</x:v>
      </x:c>
      <x:c r="I1756" s="34" t="n">
        <x:v>46.400000000000006</x:v>
      </x:c>
      <x:c r="J1756" s="38" t="n">
        <x:v>2.4191104000000005</x:v>
      </x:c>
      <x:c r="K1756" s="38" t="n">
        <x:v>0.8510688000000002</x:v>
      </x:c>
      <x:c r="L1756" s="28" t="n">
        <x:v>0.3518106490716587</x:v>
      </x:c>
    </x:row>
    <x:row r="1757">
      <x:c r="A1757" s="32" t="n">
        <x:v>46296</x:v>
      </x:c>
      <x:c r="B1757" t="str">
        <x:v>Oct 2026</x:v>
      </x:c>
      <x:c r="C1757" t="str">
        <x:v>Forecast</x:v>
      </x:c>
      <x:c r="D1757" t="str">
        <x:v>DB-105</x:v>
      </x:c>
      <x:c r="E1757" t="str">
        <x:v>DreamFuel Refill Pack</x:v>
      </x:c>
      <x:c r="F1757" t="str">
        <x:v>Wholesale</x:v>
      </x:c>
      <x:c r="G1757" t="str">
        <x:v>Retailer</x:v>
      </x:c>
      <x:c r="H1757" t="str">
        <x:v>US West</x:v>
      </x:c>
      <x:c r="I1757" s="34" t="n">
        <x:v>43.52</x:v>
      </x:c>
      <x:c r="J1757" s="38" t="n">
        <x:v>1.5524454400000003</x:v>
      </x:c>
      <x:c r="K1757" s="38" t="n">
        <x:v>0.6048583680000001</x:v>
      </x:c>
      <x:c r="L1757" s="28" t="n">
        <x:v>0.3896165059430366</x:v>
      </x:c>
    </x:row>
    <x:row r="1758">
      <x:c r="A1758" s="32" t="n">
        <x:v>46296</x:v>
      </x:c>
      <x:c r="B1758" t="str">
        <x:v>Oct 2026</x:v>
      </x:c>
      <x:c r="C1758" t="str">
        <x:v>Forecast</x:v>
      </x:c>
      <x:c r="D1758" t="str">
        <x:v>DB-105</x:v>
      </x:c>
      <x:c r="E1758" t="str">
        <x:v>DreamFuel Refill Pack</x:v>
      </x:c>
      <x:c r="F1758" t="str">
        <x:v>Wholesale</x:v>
      </x:c>
      <x:c r="G1758" t="str">
        <x:v>Retailer</x:v>
      </x:c>
      <x:c r="H1758" t="str">
        <x:v>US Central</x:v>
      </x:c>
      <x:c r="I1758" s="34" t="n">
        <x:v>30.72</x:v>
      </x:c>
      <x:c r="J1758" s="38" t="n">
        <x:v>1.0958438400000001</x:v>
      </x:c>
      <x:c r="K1758" s="38" t="n">
        <x:v>0.42695884800000006</x:v>
      </x:c>
      <x:c r="L1758" s="28" t="n">
        <x:v>0.38961650594303654</x:v>
      </x:c>
    </x:row>
    <x:row r="1759">
      <x:c r="A1759" s="32" t="n">
        <x:v>46296</x:v>
      </x:c>
      <x:c r="B1759" t="str">
        <x:v>Oct 2026</x:v>
      </x:c>
      <x:c r="C1759" t="str">
        <x:v>Forecast</x:v>
      </x:c>
      <x:c r="D1759" t="str">
        <x:v>DB-105</x:v>
      </x:c>
      <x:c r="E1759" t="str">
        <x:v>DreamFuel Refill Pack</x:v>
      </x:c>
      <x:c r="F1759" t="str">
        <x:v>Wholesale</x:v>
      </x:c>
      <x:c r="G1759" t="str">
        <x:v>Retailer</x:v>
      </x:c>
      <x:c r="H1759" t="str">
        <x:v>US East</x:v>
      </x:c>
      <x:c r="I1759" s="34" t="n">
        <x:v>40.96</x:v>
      </x:c>
      <x:c r="J1759" s="38" t="n">
        <x:v>1.4611251200000002</x:v>
      </x:c>
      <x:c r="K1759" s="38" t="n">
        <x:v>0.569278464</x:v>
      </x:c>
      <x:c r="L1759" s="28" t="n">
        <x:v>0.38961650594303654</x:v>
      </x:c>
    </x:row>
    <x:row r="1760">
      <x:c r="A1760" s="32" t="n">
        <x:v>46296</x:v>
      </x:c>
      <x:c r="B1760" t="str">
        <x:v>Oct 2026</x:v>
      </x:c>
      <x:c r="C1760" t="str">
        <x:v>Forecast</x:v>
      </x:c>
      <x:c r="D1760" t="str">
        <x:v>DB-105</x:v>
      </x:c>
      <x:c r="E1760" t="str">
        <x:v>DreamFuel Refill Pack</x:v>
      </x:c>
      <x:c r="F1760" t="str">
        <x:v>Wholesale</x:v>
      </x:c>
      <x:c r="G1760" t="str">
        <x:v>Retailer</x:v>
      </x:c>
      <x:c r="H1760" t="str">
        <x:v>Canada</x:v>
      </x:c>
      <x:c r="I1760" s="34" t="n">
        <x:v>12.8</x:v>
      </x:c>
      <x:c r="J1760" s="38" t="n">
        <x:v>0.45660160000000005</x:v>
      </x:c>
      <x:c r="K1760" s="38" t="n">
        <x:v>0.17789952000000003</x:v>
      </x:c>
      <x:c r="L1760" s="28" t="n">
        <x:v>0.3896165059430366</x:v>
      </x:c>
    </x:row>
    <x:row r="1761">
      <x:c r="A1761" s="32" t="n">
        <x:v>46296</x:v>
      </x:c>
      <x:c r="B1761" t="str">
        <x:v>Oct 2026</x:v>
      </x:c>
      <x:c r="C1761" t="str">
        <x:v>Forecast</x:v>
      </x:c>
      <x:c r="D1761" t="str">
        <x:v>DB-105</x:v>
      </x:c>
      <x:c r="E1761" t="str">
        <x:v>DreamFuel Refill Pack</x:v>
      </x:c>
      <x:c r="F1761" t="str">
        <x:v>TikTok Shop</x:v>
      </x:c>
      <x:c r="G1761" t="str">
        <x:v>Social Commerce</x:v>
      </x:c>
      <x:c r="H1761" t="str">
        <x:v>US West</x:v>
      </x:c>
      <x:c r="I1761" s="34" t="n">
        <x:v>66.64</x:v>
      </x:c>
      <x:c r="J1761" s="38" t="n">
        <x:v>3.218338816</x:v>
      </x:c>
      <x:c r="K1761" s="38" t="n">
        <x:v>1.234345957376</x:v>
      </x:c>
      <x:c r="L1761" s="28" t="n">
        <x:v>0.3835351179432812</x:v>
      </x:c>
    </x:row>
    <x:row r="1762">
      <x:c r="A1762" s="32" t="n">
        <x:v>46296</x:v>
      </x:c>
      <x:c r="B1762" t="str">
        <x:v>Oct 2026</x:v>
      </x:c>
      <x:c r="C1762" t="str">
        <x:v>Forecast</x:v>
      </x:c>
      <x:c r="D1762" t="str">
        <x:v>DB-105</x:v>
      </x:c>
      <x:c r="E1762" t="str">
        <x:v>DreamFuel Refill Pack</x:v>
      </x:c>
      <x:c r="F1762" t="str">
        <x:v>TikTok Shop</x:v>
      </x:c>
      <x:c r="G1762" t="str">
        <x:v>Social Commerce</x:v>
      </x:c>
      <x:c r="H1762" t="str">
        <x:v>US Central</x:v>
      </x:c>
      <x:c r="I1762" s="34" t="n">
        <x:v>47.04</x:v>
      </x:c>
      <x:c r="J1762" s="38" t="n">
        <x:v>2.271768576</x:v>
      </x:c>
      <x:c r="K1762" s="38" t="n">
        <x:v>0.871303028736</x:v>
      </x:c>
      <x:c r="L1762" s="28" t="n">
        <x:v>0.3835351179432812</x:v>
      </x:c>
    </x:row>
    <x:row r="1763">
      <x:c r="A1763" s="32" t="n">
        <x:v>46296</x:v>
      </x:c>
      <x:c r="B1763" t="str">
        <x:v>Oct 2026</x:v>
      </x:c>
      <x:c r="C1763" t="str">
        <x:v>Forecast</x:v>
      </x:c>
      <x:c r="D1763" t="str">
        <x:v>DB-105</x:v>
      </x:c>
      <x:c r="E1763" t="str">
        <x:v>DreamFuel Refill Pack</x:v>
      </x:c>
      <x:c r="F1763" t="str">
        <x:v>TikTok Shop</x:v>
      </x:c>
      <x:c r="G1763" t="str">
        <x:v>Social Commerce</x:v>
      </x:c>
      <x:c r="H1763" t="str">
        <x:v>US East</x:v>
      </x:c>
      <x:c r="I1763" s="34" t="n">
        <x:v>62.72</x:v>
      </x:c>
      <x:c r="J1763" s="38" t="n">
        <x:v>3.0290247679999998</x:v>
      </x:c>
      <x:c r="K1763" s="38" t="n">
        <x:v>1.161737371648</x:v>
      </x:c>
      <x:c r="L1763" s="28" t="n">
        <x:v>0.3835351179432812</x:v>
      </x:c>
    </x:row>
    <x:row r="1764">
      <x:c r="A1764" s="32" t="n">
        <x:v>46296</x:v>
      </x:c>
      <x:c r="B1764" t="str">
        <x:v>Oct 2026</x:v>
      </x:c>
      <x:c r="C1764" t="str">
        <x:v>Forecast</x:v>
      </x:c>
      <x:c r="D1764" t="str">
        <x:v>DB-105</x:v>
      </x:c>
      <x:c r="E1764" t="str">
        <x:v>DreamFuel Refill Pack</x:v>
      </x:c>
      <x:c r="F1764" t="str">
        <x:v>TikTok Shop</x:v>
      </x:c>
      <x:c r="G1764" t="str">
        <x:v>Social Commerce</x:v>
      </x:c>
      <x:c r="H1764" t="str">
        <x:v>Canada</x:v>
      </x:c>
      <x:c r="I1764" s="34" t="n">
        <x:v>19.6</x:v>
      </x:c>
      <x:c r="J1764" s="38" t="n">
        <x:v>0.94657024</x:v>
      </x:c>
      <x:c r="K1764" s="38" t="n">
        <x:v>0.36304292864000004</x:v>
      </x:c>
      <x:c r="L1764" s="28" t="n">
        <x:v>0.38353511794328127</x:v>
      </x:c>
    </x:row>
    <x:row r="1765">
      <x:c r="A1765" s="32" t="n">
        <x:v>46327</x:v>
      </x:c>
      <x:c r="B1765" t="str">
        <x:v>Nov 2026</x:v>
      </x:c>
      <x:c r="C1765" t="str">
        <x:v>Forecast</x:v>
      </x:c>
      <x:c r="D1765" t="str">
        <x:v>DB-101</x:v>
      </x:c>
      <x:c r="E1765" t="str">
        <x:v>AeroSip Bottle</x:v>
      </x:c>
      <x:c r="F1765" t="str">
        <x:v>Shopify DTC</x:v>
      </x:c>
      <x:c r="G1765" t="str">
        <x:v>Consumer</x:v>
      </x:c>
      <x:c r="H1765" t="str">
        <x:v>US West</x:v>
      </x:c>
      <x:c r="I1765" s="34" t="n">
        <x:v>425.00000000000006</x:v>
      </x:c>
      <x:c r="J1765" s="38" t="n">
        <x:v>10.828745</x:v>
      </x:c>
      <x:c r="K1765" s="38" t="n">
        <x:v>3.4444113949999995</x:v>
      </x:c>
      <x:c r="L1765" s="28" t="n">
        <x:v>0.3180803865083165</x:v>
      </x:c>
    </x:row>
    <x:row r="1766">
      <x:c r="A1766" s="32" t="n">
        <x:v>46327</x:v>
      </x:c>
      <x:c r="B1766" t="str">
        <x:v>Nov 2026</x:v>
      </x:c>
      <x:c r="C1766" t="str">
        <x:v>Forecast</x:v>
      </x:c>
      <x:c r="D1766" t="str">
        <x:v>DB-101</x:v>
      </x:c>
      <x:c r="E1766" t="str">
        <x:v>AeroSip Bottle</x:v>
      </x:c>
      <x:c r="F1766" t="str">
        <x:v>Shopify DTC</x:v>
      </x:c>
      <x:c r="G1766" t="str">
        <x:v>Consumer</x:v>
      </x:c>
      <x:c r="H1766" t="str">
        <x:v>US Central</x:v>
      </x:c>
      <x:c r="I1766" s="34" t="n">
        <x:v>300</x:v>
      </x:c>
      <x:c r="J1766" s="38" t="n">
        <x:v>7.643819999999999</x:v>
      </x:c>
      <x:c r="K1766" s="38" t="n">
        <x:v>2.4313492199999995</x:v>
      </x:c>
      <x:c r="L1766" s="28" t="n">
        <x:v>0.3180803865083165</x:v>
      </x:c>
    </x:row>
    <x:row r="1767">
      <x:c r="A1767" s="32" t="n">
        <x:v>46327</x:v>
      </x:c>
      <x:c r="B1767" t="str">
        <x:v>Nov 2026</x:v>
      </x:c>
      <x:c r="C1767" t="str">
        <x:v>Forecast</x:v>
      </x:c>
      <x:c r="D1767" t="str">
        <x:v>DB-101</x:v>
      </x:c>
      <x:c r="E1767" t="str">
        <x:v>AeroSip Bottle</x:v>
      </x:c>
      <x:c r="F1767" t="str">
        <x:v>Shopify DTC</x:v>
      </x:c>
      <x:c r="G1767" t="str">
        <x:v>Consumer</x:v>
      </x:c>
      <x:c r="H1767" t="str">
        <x:v>US East</x:v>
      </x:c>
      <x:c r="I1767" s="34" t="n">
        <x:v>400</x:v>
      </x:c>
      <x:c r="J1767" s="38" t="n">
        <x:v>10.19176</x:v>
      </x:c>
      <x:c r="K1767" s="38" t="n">
        <x:v>3.2417989599999992</x:v>
      </x:c>
      <x:c r="L1767" s="28" t="n">
        <x:v>0.31808038650831644</x:v>
      </x:c>
    </x:row>
    <x:row r="1768">
      <x:c r="A1768" s="32" t="n">
        <x:v>46327</x:v>
      </x:c>
      <x:c r="B1768" t="str">
        <x:v>Nov 2026</x:v>
      </x:c>
      <x:c r="C1768" t="str">
        <x:v>Forecast</x:v>
      </x:c>
      <x:c r="D1768" t="str">
        <x:v>DB-101</x:v>
      </x:c>
      <x:c r="E1768" t="str">
        <x:v>AeroSip Bottle</x:v>
      </x:c>
      <x:c r="F1768" t="str">
        <x:v>Shopify DTC</x:v>
      </x:c>
      <x:c r="G1768" t="str">
        <x:v>Consumer</x:v>
      </x:c>
      <x:c r="H1768" t="str">
        <x:v>Canada</x:v>
      </x:c>
      <x:c r="I1768" s="34" t="n">
        <x:v>125</x:v>
      </x:c>
      <x:c r="J1768" s="38" t="n">
        <x:v>3.184925</x:v>
      </x:c>
      <x:c r="K1768" s="38" t="n">
        <x:v>1.0130621749999997</x:v>
      </x:c>
      <x:c r="L1768" s="28" t="n">
        <x:v>0.31808038650831644</x:v>
      </x:c>
    </x:row>
    <x:row r="1769">
      <x:c r="A1769" s="32" t="n">
        <x:v>46327</x:v>
      </x:c>
      <x:c r="B1769" t="str">
        <x:v>Nov 2026</x:v>
      </x:c>
      <x:c r="C1769" t="str">
        <x:v>Forecast</x:v>
      </x:c>
      <x:c r="D1769" t="str">
        <x:v>DB-101</x:v>
      </x:c>
      <x:c r="E1769" t="str">
        <x:v>AeroSip Bottle</x:v>
      </x:c>
      <x:c r="F1769" t="str">
        <x:v>Amazon Marketplace</x:v>
      </x:c>
      <x:c r="G1769" t="str">
        <x:v>Marketplace Consumer</x:v>
      </x:c>
      <x:c r="H1769" t="str">
        <x:v>US West</x:v>
      </x:c>
      <x:c r="I1769" s="34" t="n">
        <x:v>249.9</x:v>
      </x:c>
      <x:c r="J1769" s="38" t="n">
        <x:v>6.5749314750000005</x:v>
      </x:c>
      <x:c r="K1769" s="38" t="n">
        <x:v>1.0440103537500005</x:v>
      </x:c>
      <x:c r="L1769" s="28" t="n">
        <x:v>0.15878649955815705</x:v>
      </x:c>
    </x:row>
    <x:row r="1770">
      <x:c r="A1770" s="32" t="n">
        <x:v>46327</x:v>
      </x:c>
      <x:c r="B1770" t="str">
        <x:v>Nov 2026</x:v>
      </x:c>
      <x:c r="C1770" t="str">
        <x:v>Forecast</x:v>
      </x:c>
      <x:c r="D1770" t="str">
        <x:v>DB-101</x:v>
      </x:c>
      <x:c r="E1770" t="str">
        <x:v>AeroSip Bottle</x:v>
      </x:c>
      <x:c r="F1770" t="str">
        <x:v>Amazon Marketplace</x:v>
      </x:c>
      <x:c r="G1770" t="str">
        <x:v>Marketplace Consumer</x:v>
      </x:c>
      <x:c r="H1770" t="str">
        <x:v>US Central</x:v>
      </x:c>
      <x:c r="I1770" s="34" t="n">
        <x:v>176.4</x:v>
      </x:c>
      <x:c r="J1770" s="38" t="n">
        <x:v>4.6411281</x:v>
      </x:c>
      <x:c r="K1770" s="38" t="n">
        <x:v>0.7369484850000003</x:v>
      </x:c>
      <x:c r="L1770" s="28" t="n">
        <x:v>0.15878649955815705</x:v>
      </x:c>
    </x:row>
    <x:row r="1771">
      <x:c r="A1771" s="32" t="n">
        <x:v>46327</x:v>
      </x:c>
      <x:c r="B1771" t="str">
        <x:v>Nov 2026</x:v>
      </x:c>
      <x:c r="C1771" t="str">
        <x:v>Forecast</x:v>
      </x:c>
      <x:c r="D1771" t="str">
        <x:v>DB-101</x:v>
      </x:c>
      <x:c r="E1771" t="str">
        <x:v>AeroSip Bottle</x:v>
      </x:c>
      <x:c r="F1771" t="str">
        <x:v>Amazon Marketplace</x:v>
      </x:c>
      <x:c r="G1771" t="str">
        <x:v>Marketplace Consumer</x:v>
      </x:c>
      <x:c r="H1771" t="str">
        <x:v>US East</x:v>
      </x:c>
      <x:c r="I1771" s="34" t="n">
        <x:v>235.20000000000002</x:v>
      </x:c>
      <x:c r="J1771" s="38" t="n">
        <x:v>6.188170800000001</x:v>
      </x:c>
      <x:c r="K1771" s="38" t="n">
        <x:v>0.9825979800000005</x:v>
      </x:c>
      <x:c r="L1771" s="28" t="n">
        <x:v>0.15878649955815705</x:v>
      </x:c>
    </x:row>
    <x:row r="1772">
      <x:c r="A1772" s="32" t="n">
        <x:v>46327</x:v>
      </x:c>
      <x:c r="B1772" t="str">
        <x:v>Nov 2026</x:v>
      </x:c>
      <x:c r="C1772" t="str">
        <x:v>Forecast</x:v>
      </x:c>
      <x:c r="D1772" t="str">
        <x:v>DB-101</x:v>
      </x:c>
      <x:c r="E1772" t="str">
        <x:v>AeroSip Bottle</x:v>
      </x:c>
      <x:c r="F1772" t="str">
        <x:v>Amazon Marketplace</x:v>
      </x:c>
      <x:c r="G1772" t="str">
        <x:v>Marketplace Consumer</x:v>
      </x:c>
      <x:c r="H1772" t="str">
        <x:v>Canada</x:v>
      </x:c>
      <x:c r="I1772" s="34" t="n">
        <x:v>73.5</x:v>
      </x:c>
      <x:c r="J1772" s="38" t="n">
        <x:v>1.933803375</x:v>
      </x:c>
      <x:c r="K1772" s="38" t="n">
        <x:v>0.3070618687500002</x:v>
      </x:c>
      <x:c r="L1772" s="28" t="n">
        <x:v>0.15878649955815707</x:v>
      </x:c>
    </x:row>
    <x:row r="1773">
      <x:c r="A1773" s="32" t="n">
        <x:v>46327</x:v>
      </x:c>
      <x:c r="B1773" t="str">
        <x:v>Nov 2026</x:v>
      </x:c>
      <x:c r="C1773" t="str">
        <x:v>Forecast</x:v>
      </x:c>
      <x:c r="D1773" t="str">
        <x:v>DB-101</x:v>
      </x:c>
      <x:c r="E1773" t="str">
        <x:v>AeroSip Bottle</x:v>
      </x:c>
      <x:c r="F1773" t="str">
        <x:v>Wholesale</x:v>
      </x:c>
      <x:c r="G1773" t="str">
        <x:v>Retailer</x:v>
      </x:c>
      <x:c r="H1773" t="str">
        <x:v>US West</x:v>
      </x:c>
      <x:c r="I1773" s="34" t="n">
        <x:v>69.7</x:v>
      </x:c>
      <x:c r="J1773" s="38" t="n">
        <x:v>1.254721975</x:v>
      </x:c>
      <x:c r="K1773" s="38" t="n">
        <x:v>0.279897775</x:v>
      </x:c>
      <x:c r="L1773" s="28" t="n">
        <x:v>0.22307553432305194</x:v>
      </x:c>
    </x:row>
    <x:row r="1774">
      <x:c r="A1774" s="32" t="n">
        <x:v>46327</x:v>
      </x:c>
      <x:c r="B1774" t="str">
        <x:v>Nov 2026</x:v>
      </x:c>
      <x:c r="C1774" t="str">
        <x:v>Forecast</x:v>
      </x:c>
      <x:c r="D1774" t="str">
        <x:v>DB-101</x:v>
      </x:c>
      <x:c r="E1774" t="str">
        <x:v>AeroSip Bottle</x:v>
      </x:c>
      <x:c r="F1774" t="str">
        <x:v>Wholesale</x:v>
      </x:c>
      <x:c r="G1774" t="str">
        <x:v>Retailer</x:v>
      </x:c>
      <x:c r="H1774" t="str">
        <x:v>US Central</x:v>
      </x:c>
      <x:c r="I1774" s="34" t="n">
        <x:v>49.199999999999996</x:v>
      </x:c>
      <x:c r="J1774" s="38" t="n">
        <x:v>0.8856861</x:v>
      </x:c>
      <x:c r="K1774" s="38" t="n">
        <x:v>0.1975749</x:v>
      </x:c>
      <x:c r="L1774" s="28" t="n">
        <x:v>0.2230755343230519</x:v>
      </x:c>
    </x:row>
    <x:row r="1775">
      <x:c r="A1775" s="32" t="n">
        <x:v>46327</x:v>
      </x:c>
      <x:c r="B1775" t="str">
        <x:v>Nov 2026</x:v>
      </x:c>
      <x:c r="C1775" t="str">
        <x:v>Forecast</x:v>
      </x:c>
      <x:c r="D1775" t="str">
        <x:v>DB-101</x:v>
      </x:c>
      <x:c r="E1775" t="str">
        <x:v>AeroSip Bottle</x:v>
      </x:c>
      <x:c r="F1775" t="str">
        <x:v>Wholesale</x:v>
      </x:c>
      <x:c r="G1775" t="str">
        <x:v>Retailer</x:v>
      </x:c>
      <x:c r="H1775" t="str">
        <x:v>US East</x:v>
      </x:c>
      <x:c r="I1775" s="34" t="n">
        <x:v>65.6</x:v>
      </x:c>
      <x:c r="J1775" s="38" t="n">
        <x:v>1.1809148</x:v>
      </x:c>
      <x:c r="K1775" s="38" t="n">
        <x:v>0.26343320000000003</x:v>
      </x:c>
      <x:c r="L1775" s="28" t="n">
        <x:v>0.22307553432305194</x:v>
      </x:c>
    </x:row>
    <x:row r="1776">
      <x:c r="A1776" s="32" t="n">
        <x:v>46327</x:v>
      </x:c>
      <x:c r="B1776" t="str">
        <x:v>Nov 2026</x:v>
      </x:c>
      <x:c r="C1776" t="str">
        <x:v>Forecast</x:v>
      </x:c>
      <x:c r="D1776" t="str">
        <x:v>DB-101</x:v>
      </x:c>
      <x:c r="E1776" t="str">
        <x:v>AeroSip Bottle</x:v>
      </x:c>
      <x:c r="F1776" t="str">
        <x:v>Wholesale</x:v>
      </x:c>
      <x:c r="G1776" t="str">
        <x:v>Retailer</x:v>
      </x:c>
      <x:c r="H1776" t="str">
        <x:v>Canada</x:v>
      </x:c>
      <x:c r="I1776" s="34" t="n">
        <x:v>20.5</x:v>
      </x:c>
      <x:c r="J1776" s="38" t="n">
        <x:v>0.369035875</x:v>
      </x:c>
      <x:c r="K1776" s="38" t="n">
        <x:v>0.08232287500000002</x:v>
      </x:c>
      <x:c r="L1776" s="28" t="n">
        <x:v>0.22307553432305197</x:v>
      </x:c>
    </x:row>
    <x:row r="1777">
      <x:c r="A1777" s="32" t="n">
        <x:v>46327</x:v>
      </x:c>
      <x:c r="B1777" t="str">
        <x:v>Nov 2026</x:v>
      </x:c>
      <x:c r="C1777" t="str">
        <x:v>Forecast</x:v>
      </x:c>
      <x:c r="D1777" t="str">
        <x:v>DB-101</x:v>
      </x:c>
      <x:c r="E1777" t="str">
        <x:v>AeroSip Bottle</x:v>
      </x:c>
      <x:c r="F1777" t="str">
        <x:v>TikTok Shop</x:v>
      </x:c>
      <x:c r="G1777" t="str">
        <x:v>Social Commerce</x:v>
      </x:c>
      <x:c r="H1777" t="str">
        <x:v>US West</x:v>
      </x:c>
      <x:c r="I1777" s="34" t="n">
        <x:v>107.10000000000001</x:v>
      </x:c>
      <x:c r="J1777" s="38" t="n">
        <x:v>2.61019836</x:v>
      </x:c>
      <x:c r="K1777" s="38" t="n">
        <x:v>0.4837201059599998</x:v>
      </x:c>
      <x:c r="L1777" s="28" t="n">
        <x:v>0.18531928966501987</x:v>
      </x:c>
    </x:row>
    <x:row r="1778">
      <x:c r="A1778" s="32" t="n">
        <x:v>46327</x:v>
      </x:c>
      <x:c r="B1778" t="str">
        <x:v>Nov 2026</x:v>
      </x:c>
      <x:c r="C1778" t="str">
        <x:v>Forecast</x:v>
      </x:c>
      <x:c r="D1778" t="str">
        <x:v>DB-101</x:v>
      </x:c>
      <x:c r="E1778" t="str">
        <x:v>AeroSip Bottle</x:v>
      </x:c>
      <x:c r="F1778" t="str">
        <x:v>TikTok Shop</x:v>
      </x:c>
      <x:c r="G1778" t="str">
        <x:v>Social Commerce</x:v>
      </x:c>
      <x:c r="H1778" t="str">
        <x:v>US Central</x:v>
      </x:c>
      <x:c r="I1778" s="34" t="n">
        <x:v>75.6</x:v>
      </x:c>
      <x:c r="J1778" s="38" t="n">
        <x:v>1.84249296</x:v>
      </x:c>
      <x:c r="K1778" s="38" t="n">
        <x:v>0.34144948655999985</x:v>
      </x:c>
      <x:c r="L1778" s="28" t="n">
        <x:v>0.18531928966501987</x:v>
      </x:c>
    </x:row>
    <x:row r="1779">
      <x:c r="A1779" s="32" t="n">
        <x:v>46327</x:v>
      </x:c>
      <x:c r="B1779" t="str">
        <x:v>Nov 2026</x:v>
      </x:c>
      <x:c r="C1779" t="str">
        <x:v>Forecast</x:v>
      </x:c>
      <x:c r="D1779" t="str">
        <x:v>DB-101</x:v>
      </x:c>
      <x:c r="E1779" t="str">
        <x:v>AeroSip Bottle</x:v>
      </x:c>
      <x:c r="F1779" t="str">
        <x:v>TikTok Shop</x:v>
      </x:c>
      <x:c r="G1779" t="str">
        <x:v>Social Commerce</x:v>
      </x:c>
      <x:c r="H1779" t="str">
        <x:v>US East</x:v>
      </x:c>
      <x:c r="I1779" s="34" t="n">
        <x:v>100.8</x:v>
      </x:c>
      <x:c r="J1779" s="38" t="n">
        <x:v>2.45665728</x:v>
      </x:c>
      <x:c r="K1779" s="38" t="n">
        <x:v>0.4552659820799998</x:v>
      </x:c>
      <x:c r="L1779" s="28" t="n">
        <x:v>0.18531928966501987</x:v>
      </x:c>
    </x:row>
    <x:row r="1780">
      <x:c r="A1780" s="32" t="n">
        <x:v>46327</x:v>
      </x:c>
      <x:c r="B1780" t="str">
        <x:v>Nov 2026</x:v>
      </x:c>
      <x:c r="C1780" t="str">
        <x:v>Forecast</x:v>
      </x:c>
      <x:c r="D1780" t="str">
        <x:v>DB-101</x:v>
      </x:c>
      <x:c r="E1780" t="str">
        <x:v>AeroSip Bottle</x:v>
      </x:c>
      <x:c r="F1780" t="str">
        <x:v>TikTok Shop</x:v>
      </x:c>
      <x:c r="G1780" t="str">
        <x:v>Social Commerce</x:v>
      </x:c>
      <x:c r="H1780" t="str">
        <x:v>Canada</x:v>
      </x:c>
      <x:c r="I1780" s="34" t="n">
        <x:v>31.5</x:v>
      </x:c>
      <x:c r="J1780" s="38" t="n">
        <x:v>0.7677054000000001</x:v>
      </x:c>
      <x:c r="K1780" s="38" t="n">
        <x:v>0.14227061939999994</x:v>
      </x:c>
      <x:c r="L1780" s="28" t="n">
        <x:v>0.18531928966501984</x:v>
      </x:c>
    </x:row>
    <x:row r="1781">
      <x:c r="A1781" s="32" t="n">
        <x:v>46327</x:v>
      </x:c>
      <x:c r="B1781" t="str">
        <x:v>Nov 2026</x:v>
      </x:c>
      <x:c r="C1781" t="str">
        <x:v>Forecast</x:v>
      </x:c>
      <x:c r="D1781" t="str">
        <x:v>DB-102</x:v>
      </x:c>
      <x:c r="E1781" t="str">
        <x:v>GlowPatch Balm</x:v>
      </x:c>
      <x:c r="F1781" t="str">
        <x:v>Shopify DTC</x:v>
      </x:c>
      <x:c r="G1781" t="str">
        <x:v>Consumer</x:v>
      </x:c>
      <x:c r="H1781" t="str">
        <x:v>US West</x:v>
      </x:c>
      <x:c r="I1781" s="34" t="n">
        <x:v>425.00000000000006</x:v>
      </x:c>
      <x:c r="J1781" s="38" t="n">
        <x:v>6.86205</x:v>
      </x:c>
      <x:c r="K1781" s="38" t="n">
        <x:v>1.8962505499999984</x:v>
      </x:c>
      <x:c r="L1781" s="28" t="n">
        <x:v>0.2763387835996529</x:v>
      </x:c>
    </x:row>
    <x:row r="1782">
      <x:c r="A1782" s="32" t="n">
        <x:v>46327</x:v>
      </x:c>
      <x:c r="B1782" t="str">
        <x:v>Nov 2026</x:v>
      </x:c>
      <x:c r="C1782" t="str">
        <x:v>Forecast</x:v>
      </x:c>
      <x:c r="D1782" t="str">
        <x:v>DB-102</x:v>
      </x:c>
      <x:c r="E1782" t="str">
        <x:v>GlowPatch Balm</x:v>
      </x:c>
      <x:c r="F1782" t="str">
        <x:v>Shopify DTC</x:v>
      </x:c>
      <x:c r="G1782" t="str">
        <x:v>Consumer</x:v>
      </x:c>
      <x:c r="H1782" t="str">
        <x:v>US Central</x:v>
      </x:c>
      <x:c r="I1782" s="34" t="n">
        <x:v>300</x:v>
      </x:c>
      <x:c r="J1782" s="38" t="n">
        <x:v>4.843799999999999</x:v>
      </x:c>
      <x:c r="K1782" s="38" t="n">
        <x:v>1.3385297999999988</x:v>
      </x:c>
      <x:c r="L1782" s="28" t="n">
        <x:v>0.27633878359965297</x:v>
      </x:c>
    </x:row>
    <x:row r="1783">
      <x:c r="A1783" s="32" t="n">
        <x:v>46327</x:v>
      </x:c>
      <x:c r="B1783" t="str">
        <x:v>Nov 2026</x:v>
      </x:c>
      <x:c r="C1783" t="str">
        <x:v>Forecast</x:v>
      </x:c>
      <x:c r="D1783" t="str">
        <x:v>DB-102</x:v>
      </x:c>
      <x:c r="E1783" t="str">
        <x:v>GlowPatch Balm</x:v>
      </x:c>
      <x:c r="F1783" t="str">
        <x:v>Shopify DTC</x:v>
      </x:c>
      <x:c r="G1783" t="str">
        <x:v>Consumer</x:v>
      </x:c>
      <x:c r="H1783" t="str">
        <x:v>US East</x:v>
      </x:c>
      <x:c r="I1783" s="34" t="n">
        <x:v>400</x:v>
      </x:c>
      <x:c r="J1783" s="38" t="n">
        <x:v>6.458399999999999</x:v>
      </x:c>
      <x:c r="K1783" s="38" t="n">
        <x:v>1.7847063999999984</x:v>
      </x:c>
      <x:c r="L1783" s="28" t="n">
        <x:v>0.27633878359965297</x:v>
      </x:c>
    </x:row>
    <x:row r="1784">
      <x:c r="A1784" s="32" t="n">
        <x:v>46327</x:v>
      </x:c>
      <x:c r="B1784" t="str">
        <x:v>Nov 2026</x:v>
      </x:c>
      <x:c r="C1784" t="str">
        <x:v>Forecast</x:v>
      </x:c>
      <x:c r="D1784" t="str">
        <x:v>DB-102</x:v>
      </x:c>
      <x:c r="E1784" t="str">
        <x:v>GlowPatch Balm</x:v>
      </x:c>
      <x:c r="F1784" t="str">
        <x:v>Shopify DTC</x:v>
      </x:c>
      <x:c r="G1784" t="str">
        <x:v>Consumer</x:v>
      </x:c>
      <x:c r="H1784" t="str">
        <x:v>Canada</x:v>
      </x:c>
      <x:c r="I1784" s="34" t="n">
        <x:v>125</x:v>
      </x:c>
      <x:c r="J1784" s="38" t="n">
        <x:v>2.0182499999999997</x:v>
      </x:c>
      <x:c r="K1784" s="38" t="n">
        <x:v>0.5577207499999995</x:v>
      </x:c>
      <x:c r="L1784" s="28" t="n">
        <x:v>0.27633878359965297</x:v>
      </x:c>
    </x:row>
    <x:row r="1785">
      <x:c r="A1785" s="32" t="n">
        <x:v>46327</x:v>
      </x:c>
      <x:c r="B1785" t="str">
        <x:v>Nov 2026</x:v>
      </x:c>
      <x:c r="C1785" t="str">
        <x:v>Forecast</x:v>
      </x:c>
      <x:c r="D1785" t="str">
        <x:v>DB-102</x:v>
      </x:c>
      <x:c r="E1785" t="str">
        <x:v>GlowPatch Balm</x:v>
      </x:c>
      <x:c r="F1785" t="str">
        <x:v>Amazon Marketplace</x:v>
      </x:c>
      <x:c r="G1785" t="str">
        <x:v>Marketplace Consumer</x:v>
      </x:c>
      <x:c r="H1785" t="str">
        <x:v>US West</x:v>
      </x:c>
      <x:c r="I1785" s="34" t="n">
        <x:v>251.60000000000002</x:v>
      </x:c>
      <x:c r="J1785" s="38" t="n">
        <x:v>4.194801</x:v>
      </x:c>
      <x:c r="K1785" s="38" t="n">
        <x:v>0.3536552499999998</x:v>
      </x:c>
      <x:c r="L1785" s="28" t="n">
        <x:v>0.084307992202729</x:v>
      </x:c>
    </x:row>
    <x:row r="1786">
      <x:c r="A1786" s="32" t="n">
        <x:v>46327</x:v>
      </x:c>
      <x:c r="B1786" t="str">
        <x:v>Nov 2026</x:v>
      </x:c>
      <x:c r="C1786" t="str">
        <x:v>Forecast</x:v>
      </x:c>
      <x:c r="D1786" t="str">
        <x:v>DB-102</x:v>
      </x:c>
      <x:c r="E1786" t="str">
        <x:v>GlowPatch Balm</x:v>
      </x:c>
      <x:c r="F1786" t="str">
        <x:v>Amazon Marketplace</x:v>
      </x:c>
      <x:c r="G1786" t="str">
        <x:v>Marketplace Consumer</x:v>
      </x:c>
      <x:c r="H1786" t="str">
        <x:v>US Central</x:v>
      </x:c>
      <x:c r="I1786" s="34" t="n">
        <x:v>177.6</x:v>
      </x:c>
      <x:c r="J1786" s="38" t="n">
        <x:v>2.961036</x:v>
      </x:c>
      <x:c r="K1786" s="38" t="n">
        <x:v>0.24963899999999986</x:v>
      </x:c>
      <x:c r="L1786" s="28" t="n">
        <x:v>0.084307992202729</x:v>
      </x:c>
    </x:row>
    <x:row r="1787">
      <x:c r="A1787" s="32" t="n">
        <x:v>46327</x:v>
      </x:c>
      <x:c r="B1787" t="str">
        <x:v>Nov 2026</x:v>
      </x:c>
      <x:c r="C1787" t="str">
        <x:v>Forecast</x:v>
      </x:c>
      <x:c r="D1787" t="str">
        <x:v>DB-102</x:v>
      </x:c>
      <x:c r="E1787" t="str">
        <x:v>GlowPatch Balm</x:v>
      </x:c>
      <x:c r="F1787" t="str">
        <x:v>Amazon Marketplace</x:v>
      </x:c>
      <x:c r="G1787" t="str">
        <x:v>Marketplace Consumer</x:v>
      </x:c>
      <x:c r="H1787" t="str">
        <x:v>US East</x:v>
      </x:c>
      <x:c r="I1787" s="34" t="n">
        <x:v>236.8</x:v>
      </x:c>
      <x:c r="J1787" s="38" t="n">
        <x:v>3.948048</x:v>
      </x:c>
      <x:c r="K1787" s="38" t="n">
        <x:v>0.3328519999999998</x:v>
      </x:c>
      <x:c r="L1787" s="28" t="n">
        <x:v>0.084307992202729</x:v>
      </x:c>
    </x:row>
    <x:row r="1788">
      <x:c r="A1788" s="32" t="n">
        <x:v>46327</x:v>
      </x:c>
      <x:c r="B1788" t="str">
        <x:v>Nov 2026</x:v>
      </x:c>
      <x:c r="C1788" t="str">
        <x:v>Forecast</x:v>
      </x:c>
      <x:c r="D1788" t="str">
        <x:v>DB-102</x:v>
      </x:c>
      <x:c r="E1788" t="str">
        <x:v>GlowPatch Balm</x:v>
      </x:c>
      <x:c r="F1788" t="str">
        <x:v>Amazon Marketplace</x:v>
      </x:c>
      <x:c r="G1788" t="str">
        <x:v>Marketplace Consumer</x:v>
      </x:c>
      <x:c r="H1788" t="str">
        <x:v>Canada</x:v>
      </x:c>
      <x:c r="I1788" s="34" t="n">
        <x:v>74</x:v>
      </x:c>
      <x:c r="J1788" s="38" t="n">
        <x:v>1.233765</x:v>
      </x:c>
      <x:c r="K1788" s="38" t="n">
        <x:v>0.10401624999999995</x:v>
      </x:c>
      <x:c r="L1788" s="28" t="n">
        <x:v>0.084307992202729</x:v>
      </x:c>
    </x:row>
    <x:row r="1789">
      <x:c r="A1789" s="32" t="n">
        <x:v>46327</x:v>
      </x:c>
      <x:c r="B1789" t="str">
        <x:v>Nov 2026</x:v>
      </x:c>
      <x:c r="C1789" t="str">
        <x:v>Forecast</x:v>
      </x:c>
      <x:c r="D1789" t="str">
        <x:v>DB-102</x:v>
      </x:c>
      <x:c r="E1789" t="str">
        <x:v>GlowPatch Balm</x:v>
      </x:c>
      <x:c r="F1789" t="str">
        <x:v>Wholesale</x:v>
      </x:c>
      <x:c r="G1789" t="str">
        <x:v>Retailer</x:v>
      </x:c>
      <x:c r="H1789" t="str">
        <x:v>US West</x:v>
      </x:c>
      <x:c r="I1789" s="34" t="n">
        <x:v>69.7</x:v>
      </x:c>
      <x:c r="J1789" s="38" t="n">
        <x:v>0.7951027500000001</x:v>
      </x:c>
      <x:c r="K1789" s="38" t="n">
        <x:v>0.19805255000000005</x:v>
      </x:c>
      <x:c r="L1789" s="28" t="n">
        <x:v>0.2490905106289722</x:v>
      </x:c>
    </x:row>
    <x:row r="1790">
      <x:c r="A1790" s="32" t="n">
        <x:v>46327</x:v>
      </x:c>
      <x:c r="B1790" t="str">
        <x:v>Nov 2026</x:v>
      </x:c>
      <x:c r="C1790" t="str">
        <x:v>Forecast</x:v>
      </x:c>
      <x:c r="D1790" t="str">
        <x:v>DB-102</x:v>
      </x:c>
      <x:c r="E1790" t="str">
        <x:v>GlowPatch Balm</x:v>
      </x:c>
      <x:c r="F1790" t="str">
        <x:v>Wholesale</x:v>
      </x:c>
      <x:c r="G1790" t="str">
        <x:v>Retailer</x:v>
      </x:c>
      <x:c r="H1790" t="str">
        <x:v>US Central</x:v>
      </x:c>
      <x:c r="I1790" s="34" t="n">
        <x:v>49.199999999999996</x:v>
      </x:c>
      <x:c r="J1790" s="38" t="n">
        <x:v>0.561249</x:v>
      </x:c>
      <x:c r="K1790" s="38" t="n">
        <x:v>0.1398018</x:v>
      </x:c>
      <x:c r="L1790" s="28" t="n">
        <x:v>0.24909051062897217</x:v>
      </x:c>
    </x:row>
    <x:row r="1791">
      <x:c r="A1791" s="32" t="n">
        <x:v>46327</x:v>
      </x:c>
      <x:c r="B1791" t="str">
        <x:v>Nov 2026</x:v>
      </x:c>
      <x:c r="C1791" t="str">
        <x:v>Forecast</x:v>
      </x:c>
      <x:c r="D1791" t="str">
        <x:v>DB-102</x:v>
      </x:c>
      <x:c r="E1791" t="str">
        <x:v>GlowPatch Balm</x:v>
      </x:c>
      <x:c r="F1791" t="str">
        <x:v>Wholesale</x:v>
      </x:c>
      <x:c r="G1791" t="str">
        <x:v>Retailer</x:v>
      </x:c>
      <x:c r="H1791" t="str">
        <x:v>US East</x:v>
      </x:c>
      <x:c r="I1791" s="34" t="n">
        <x:v>65.6</x:v>
      </x:c>
      <x:c r="J1791" s="38" t="n">
        <x:v>0.7483320000000001</x:v>
      </x:c>
      <x:c r="K1791" s="38" t="n">
        <x:v>0.18640240000000002</x:v>
      </x:c>
      <x:c r="L1791" s="28" t="n">
        <x:v>0.24909051062897217</x:v>
      </x:c>
    </x:row>
    <x:row r="1792">
      <x:c r="A1792" s="32" t="n">
        <x:v>46327</x:v>
      </x:c>
      <x:c r="B1792" t="str">
        <x:v>Nov 2026</x:v>
      </x:c>
      <x:c r="C1792" t="str">
        <x:v>Forecast</x:v>
      </x:c>
      <x:c r="D1792" t="str">
        <x:v>DB-102</x:v>
      </x:c>
      <x:c r="E1792" t="str">
        <x:v>GlowPatch Balm</x:v>
      </x:c>
      <x:c r="F1792" t="str">
        <x:v>Wholesale</x:v>
      </x:c>
      <x:c r="G1792" t="str">
        <x:v>Retailer</x:v>
      </x:c>
      <x:c r="H1792" t="str">
        <x:v>Canada</x:v>
      </x:c>
      <x:c r="I1792" s="34" t="n">
        <x:v>20.5</x:v>
      </x:c>
      <x:c r="J1792" s="38" t="n">
        <x:v>0.23385375000000003</x:v>
      </x:c>
      <x:c r="K1792" s="38" t="n">
        <x:v>0.05825075000000001</x:v>
      </x:c>
      <x:c r="L1792" s="28" t="n">
        <x:v>0.2490905106289722</x:v>
      </x:c>
    </x:row>
    <x:row r="1793">
      <x:c r="A1793" s="32" t="n">
        <x:v>46327</x:v>
      </x:c>
      <x:c r="B1793" t="str">
        <x:v>Nov 2026</x:v>
      </x:c>
      <x:c r="C1793" t="str">
        <x:v>Forecast</x:v>
      </x:c>
      <x:c r="D1793" t="str">
        <x:v>DB-102</x:v>
      </x:c>
      <x:c r="E1793" t="str">
        <x:v>GlowPatch Balm</x:v>
      </x:c>
      <x:c r="F1793" t="str">
        <x:v>TikTok Shop</x:v>
      </x:c>
      <x:c r="G1793" t="str">
        <x:v>Social Commerce</x:v>
      </x:c>
      <x:c r="H1793" t="str">
        <x:v>US West</x:v>
      </x:c>
      <x:c r="I1793" s="34" t="n">
        <x:v>107.10000000000001</x:v>
      </x:c>
      <x:c r="J1793" s="38" t="n">
        <x:v>1.6540524</x:v>
      </x:c>
      <x:c r="K1793" s="38" t="n">
        <x:v>0.19315313639999998</x:v>
      </x:c>
      <x:c r="L1793" s="28" t="n">
        <x:v>0.11677570577570576</x:v>
      </x:c>
    </x:row>
    <x:row r="1794">
      <x:c r="A1794" s="32" t="n">
        <x:v>46327</x:v>
      </x:c>
      <x:c r="B1794" t="str">
        <x:v>Nov 2026</x:v>
      </x:c>
      <x:c r="C1794" t="str">
        <x:v>Forecast</x:v>
      </x:c>
      <x:c r="D1794" t="str">
        <x:v>DB-102</x:v>
      </x:c>
      <x:c r="E1794" t="str">
        <x:v>GlowPatch Balm</x:v>
      </x:c>
      <x:c r="F1794" t="str">
        <x:v>TikTok Shop</x:v>
      </x:c>
      <x:c r="G1794" t="str">
        <x:v>Social Commerce</x:v>
      </x:c>
      <x:c r="H1794" t="str">
        <x:v>US Central</x:v>
      </x:c>
      <x:c r="I1794" s="34" t="n">
        <x:v>75.6</x:v>
      </x:c>
      <x:c r="J1794" s="38" t="n">
        <x:v>1.1675664</x:v>
      </x:c>
      <x:c r="K1794" s="38" t="n">
        <x:v>0.1363433904</x:v>
      </x:c>
      <x:c r="L1794" s="28" t="n">
        <x:v>0.11677570577570577</x:v>
      </x:c>
    </x:row>
    <x:row r="1795">
      <x:c r="A1795" s="32" t="n">
        <x:v>46327</x:v>
      </x:c>
      <x:c r="B1795" t="str">
        <x:v>Nov 2026</x:v>
      </x:c>
      <x:c r="C1795" t="str">
        <x:v>Forecast</x:v>
      </x:c>
      <x:c r="D1795" t="str">
        <x:v>DB-102</x:v>
      </x:c>
      <x:c r="E1795" t="str">
        <x:v>GlowPatch Balm</x:v>
      </x:c>
      <x:c r="F1795" t="str">
        <x:v>TikTok Shop</x:v>
      </x:c>
      <x:c r="G1795" t="str">
        <x:v>Social Commerce</x:v>
      </x:c>
      <x:c r="H1795" t="str">
        <x:v>US East</x:v>
      </x:c>
      <x:c r="I1795" s="34" t="n">
        <x:v>100.8</x:v>
      </x:c>
      <x:c r="J1795" s="38" t="n">
        <x:v>1.5567552</x:v>
      </x:c>
      <x:c r="K1795" s="38" t="n">
        <x:v>0.18179118719999998</x:v>
      </x:c>
      <x:c r="L1795" s="28" t="n">
        <x:v>0.11677570577570576</x:v>
      </x:c>
    </x:row>
    <x:row r="1796">
      <x:c r="A1796" s="32" t="n">
        <x:v>46327</x:v>
      </x:c>
      <x:c r="B1796" t="str">
        <x:v>Nov 2026</x:v>
      </x:c>
      <x:c r="C1796" t="str">
        <x:v>Forecast</x:v>
      </x:c>
      <x:c r="D1796" t="str">
        <x:v>DB-102</x:v>
      </x:c>
      <x:c r="E1796" t="str">
        <x:v>GlowPatch Balm</x:v>
      </x:c>
      <x:c r="F1796" t="str">
        <x:v>TikTok Shop</x:v>
      </x:c>
      <x:c r="G1796" t="str">
        <x:v>Social Commerce</x:v>
      </x:c>
      <x:c r="H1796" t="str">
        <x:v>Canada</x:v>
      </x:c>
      <x:c r="I1796" s="34" t="n">
        <x:v>31.5</x:v>
      </x:c>
      <x:c r="J1796" s="38" t="n">
        <x:v>0.48648600000000003</x:v>
      </x:c>
      <x:c r="K1796" s="38" t="n">
        <x:v>0.056809745999999994</x:v>
      </x:c>
      <x:c r="L1796" s="28" t="n">
        <x:v>0.11677570577570576</x:v>
      </x:c>
    </x:row>
    <x:row r="1797">
      <x:c r="A1797" s="32" t="n">
        <x:v>46327</x:v>
      </x:c>
      <x:c r="B1797" t="str">
        <x:v>Nov 2026</x:v>
      </x:c>
      <x:c r="C1797" t="str">
        <x:v>Forecast</x:v>
      </x:c>
      <x:c r="D1797" t="str">
        <x:v>DB-103</x:v>
      </x:c>
      <x:c r="E1797" t="str">
        <x:v>EmberTrail Camp Mug</x:v>
      </x:c>
      <x:c r="F1797" t="str">
        <x:v>Shopify DTC</x:v>
      </x:c>
      <x:c r="G1797" t="str">
        <x:v>Consumer</x:v>
      </x:c>
      <x:c r="H1797" t="str">
        <x:v>US West</x:v>
      </x:c>
      <x:c r="I1797" s="34" t="n">
        <x:v>394.40000000000003</x:v>
      </x:c>
      <x:c r="J1797" s="38" t="n">
        <x:v>11.65830624</x:v>
      </x:c>
      <x:c r="K1797" s="38" t="n">
        <x:v>3.6191609590399985</x:v>
      </x:c>
      <x:c r="L1797" s="28" t="n">
        <x:v>0.31043625759482524</x:v>
      </x:c>
    </x:row>
    <x:row r="1798">
      <x:c r="A1798" s="32" t="n">
        <x:v>46327</x:v>
      </x:c>
      <x:c r="B1798" t="str">
        <x:v>Nov 2026</x:v>
      </x:c>
      <x:c r="C1798" t="str">
        <x:v>Forecast</x:v>
      </x:c>
      <x:c r="D1798" t="str">
        <x:v>DB-103</x:v>
      </x:c>
      <x:c r="E1798" t="str">
        <x:v>EmberTrail Camp Mug</x:v>
      </x:c>
      <x:c r="F1798" t="str">
        <x:v>Shopify DTC</x:v>
      </x:c>
      <x:c r="G1798" t="str">
        <x:v>Consumer</x:v>
      </x:c>
      <x:c r="H1798" t="str">
        <x:v>US Central</x:v>
      </x:c>
      <x:c r="I1798" s="34" t="n">
        <x:v>278.4</x:v>
      </x:c>
      <x:c r="J1798" s="38" t="n">
        <x:v>8.22939264</x:v>
      </x:c>
      <x:c r="K1798" s="38" t="n">
        <x:v>2.5547018534399983</x:v>
      </x:c>
      <x:c r="L1798" s="28" t="n">
        <x:v>0.3104362575948251</x:v>
      </x:c>
    </x:row>
    <x:row r="1799">
      <x:c r="A1799" s="32" t="n">
        <x:v>46327</x:v>
      </x:c>
      <x:c r="B1799" t="str">
        <x:v>Nov 2026</x:v>
      </x:c>
      <x:c r="C1799" t="str">
        <x:v>Forecast</x:v>
      </x:c>
      <x:c r="D1799" t="str">
        <x:v>DB-103</x:v>
      </x:c>
      <x:c r="E1799" t="str">
        <x:v>EmberTrail Camp Mug</x:v>
      </x:c>
      <x:c r="F1799" t="str">
        <x:v>Shopify DTC</x:v>
      </x:c>
      <x:c r="G1799" t="str">
        <x:v>Consumer</x:v>
      </x:c>
      <x:c r="H1799" t="str">
        <x:v>US East</x:v>
      </x:c>
      <x:c r="I1799" s="34" t="n">
        <x:v>371.2</x:v>
      </x:c>
      <x:c r="J1799" s="38" t="n">
        <x:v>10.97252352</x:v>
      </x:c>
      <x:c r="K1799" s="38" t="n">
        <x:v>3.406269137919998</x:v>
      </x:c>
      <x:c r="L1799" s="28" t="n">
        <x:v>0.31043625759482524</x:v>
      </x:c>
    </x:row>
    <x:row r="1800">
      <x:c r="A1800" s="32" t="n">
        <x:v>46327</x:v>
      </x:c>
      <x:c r="B1800" t="str">
        <x:v>Nov 2026</x:v>
      </x:c>
      <x:c r="C1800" t="str">
        <x:v>Forecast</x:v>
      </x:c>
      <x:c r="D1800" t="str">
        <x:v>DB-103</x:v>
      </x:c>
      <x:c r="E1800" t="str">
        <x:v>EmberTrail Camp Mug</x:v>
      </x:c>
      <x:c r="F1800" t="str">
        <x:v>Shopify DTC</x:v>
      </x:c>
      <x:c r="G1800" t="str">
        <x:v>Consumer</x:v>
      </x:c>
      <x:c r="H1800" t="str">
        <x:v>Canada</x:v>
      </x:c>
      <x:c r="I1800" s="34" t="n">
        <x:v>116</x:v>
      </x:c>
      <x:c r="J1800" s="38" t="n">
        <x:v>3.4289136</x:v>
      </x:c>
      <x:c r="K1800" s="38" t="n">
        <x:v>1.0644591055999995</x:v>
      </x:c>
      <x:c r="L1800" s="28" t="n">
        <x:v>0.31043625759482524</x:v>
      </x:c>
    </x:row>
    <x:row r="1801">
      <x:c r="A1801" s="32" t="n">
        <x:v>46327</x:v>
      </x:c>
      <x:c r="B1801" t="str">
        <x:v>Nov 2026</x:v>
      </x:c>
      <x:c r="C1801" t="str">
        <x:v>Forecast</x:v>
      </x:c>
      <x:c r="D1801" t="str">
        <x:v>DB-103</x:v>
      </x:c>
      <x:c r="E1801" t="str">
        <x:v>EmberTrail Camp Mug</x:v>
      </x:c>
      <x:c r="F1801" t="str">
        <x:v>Amazon Marketplace</x:v>
      </x:c>
      <x:c r="G1801" t="str">
        <x:v>Marketplace Consumer</x:v>
      </x:c>
      <x:c r="H1801" t="str">
        <x:v>US West</x:v>
      </x:c>
      <x:c r="I1801" s="34" t="n">
        <x:v>232.9</x:v>
      </x:c>
      <x:c r="J1801" s="38" t="n">
        <x:v>7.108923150000002</x:v>
      </x:c>
      <x:c r="K1801" s="38" t="n">
        <x:v>1.1339842775000009</x:v>
      </x:c>
      <x:c r="L1801" s="28" t="n">
        <x:v>0.1595156191131424</x:v>
      </x:c>
    </x:row>
    <x:row r="1802">
      <x:c r="A1802" s="32" t="n">
        <x:v>46327</x:v>
      </x:c>
      <x:c r="B1802" t="str">
        <x:v>Nov 2026</x:v>
      </x:c>
      <x:c r="C1802" t="str">
        <x:v>Forecast</x:v>
      </x:c>
      <x:c r="D1802" t="str">
        <x:v>DB-103</x:v>
      </x:c>
      <x:c r="E1802" t="str">
        <x:v>EmberTrail Camp Mug</x:v>
      </x:c>
      <x:c r="F1802" t="str">
        <x:v>Amazon Marketplace</x:v>
      </x:c>
      <x:c r="G1802" t="str">
        <x:v>Marketplace Consumer</x:v>
      </x:c>
      <x:c r="H1802" t="str">
        <x:v>US Central</x:v>
      </x:c>
      <x:c r="I1802" s="34" t="n">
        <x:v>164.4</x:v>
      </x:c>
      <x:c r="J1802" s="38" t="n">
        <x:v>5.018063400000001</x:v>
      </x:c>
      <x:c r="K1802" s="38" t="n">
        <x:v>0.8004594900000005</x:v>
      </x:c>
      <x:c r="L1802" s="28" t="n">
        <x:v>0.1595156191131424</x:v>
      </x:c>
    </x:row>
    <x:row r="1803">
      <x:c r="A1803" s="32" t="n">
        <x:v>46327</x:v>
      </x:c>
      <x:c r="B1803" t="str">
        <x:v>Nov 2026</x:v>
      </x:c>
      <x:c r="C1803" t="str">
        <x:v>Forecast</x:v>
      </x:c>
      <x:c r="D1803" t="str">
        <x:v>DB-103</x:v>
      </x:c>
      <x:c r="E1803" t="str">
        <x:v>EmberTrail Camp Mug</x:v>
      </x:c>
      <x:c r="F1803" t="str">
        <x:v>Amazon Marketplace</x:v>
      </x:c>
      <x:c r="G1803" t="str">
        <x:v>Marketplace Consumer</x:v>
      </x:c>
      <x:c r="H1803" t="str">
        <x:v>US East</x:v>
      </x:c>
      <x:c r="I1803" s="34" t="n">
        <x:v>219.20000000000002</x:v>
      </x:c>
      <x:c r="J1803" s="38" t="n">
        <x:v>6.690751200000001</x:v>
      </x:c>
      <x:c r="K1803" s="38" t="n">
        <x:v>1.0672793200000006</x:v>
      </x:c>
      <x:c r="L1803" s="28" t="n">
        <x:v>0.15951561911314238</x:v>
      </x:c>
    </x:row>
    <x:row r="1804">
      <x:c r="A1804" s="32" t="n">
        <x:v>46327</x:v>
      </x:c>
      <x:c r="B1804" t="str">
        <x:v>Nov 2026</x:v>
      </x:c>
      <x:c r="C1804" t="str">
        <x:v>Forecast</x:v>
      </x:c>
      <x:c r="D1804" t="str">
        <x:v>DB-103</x:v>
      </x:c>
      <x:c r="E1804" t="str">
        <x:v>EmberTrail Camp Mug</x:v>
      </x:c>
      <x:c r="F1804" t="str">
        <x:v>Amazon Marketplace</x:v>
      </x:c>
      <x:c r="G1804" t="str">
        <x:v>Marketplace Consumer</x:v>
      </x:c>
      <x:c r="H1804" t="str">
        <x:v>Canada</x:v>
      </x:c>
      <x:c r="I1804" s="34" t="n">
        <x:v>68.5</x:v>
      </x:c>
      <x:c r="J1804" s="38" t="n">
        <x:v>2.0908597500000003</x:v>
      </x:c>
      <x:c r="K1804" s="38" t="n">
        <x:v>0.33352478750000025</x:v>
      </x:c>
      <x:c r="L1804" s="28" t="n">
        <x:v>0.15951561911314244</x:v>
      </x:c>
    </x:row>
    <x:row r="1805">
      <x:c r="A1805" s="32" t="n">
        <x:v>46327</x:v>
      </x:c>
      <x:c r="B1805" t="str">
        <x:v>Nov 2026</x:v>
      </x:c>
      <x:c r="C1805" t="str">
        <x:v>Forecast</x:v>
      </x:c>
      <x:c r="D1805" t="str">
        <x:v>DB-103</x:v>
      </x:c>
      <x:c r="E1805" t="str">
        <x:v>EmberTrail Camp Mug</x:v>
      </x:c>
      <x:c r="F1805" t="str">
        <x:v>Wholesale</x:v>
      </x:c>
      <x:c r="G1805" t="str">
        <x:v>Retailer</x:v>
      </x:c>
      <x:c r="H1805" t="str">
        <x:v>US West</x:v>
      </x:c>
      <x:c r="I1805" s="34" t="n">
        <x:v>64.60000000000001</x:v>
      </x:c>
      <x:c r="J1805" s="38" t="n">
        <x:v>1.3491387000000004</x:v>
      </x:c>
      <x:c r="K1805" s="38" t="n">
        <x:v>0.25894910000000015</x:v>
      </x:c>
      <x:c r="L1805" s="28" t="n">
        <x:v>0.19193660370130966</x:v>
      </x:c>
    </x:row>
    <x:row r="1806">
      <x:c r="A1806" s="32" t="n">
        <x:v>46327</x:v>
      </x:c>
      <x:c r="B1806" t="str">
        <x:v>Nov 2026</x:v>
      </x:c>
      <x:c r="C1806" t="str">
        <x:v>Forecast</x:v>
      </x:c>
      <x:c r="D1806" t="str">
        <x:v>DB-103</x:v>
      </x:c>
      <x:c r="E1806" t="str">
        <x:v>EmberTrail Camp Mug</x:v>
      </x:c>
      <x:c r="F1806" t="str">
        <x:v>Wholesale</x:v>
      </x:c>
      <x:c r="G1806" t="str">
        <x:v>Retailer</x:v>
      </x:c>
      <x:c r="H1806" t="str">
        <x:v>US Central</x:v>
      </x:c>
      <x:c r="I1806" s="34" t="n">
        <x:v>45.6</x:v>
      </x:c>
      <x:c r="J1806" s="38" t="n">
        <x:v>0.9523332000000001</x:v>
      </x:c>
      <x:c r="K1806" s="38" t="n">
        <x:v>0.18278760000000008</x:v>
      </x:c>
      <x:c r="L1806" s="28" t="n">
        <x:v>0.19193660370130963</x:v>
      </x:c>
    </x:row>
    <x:row r="1807">
      <x:c r="A1807" s="32" t="n">
        <x:v>46327</x:v>
      </x:c>
      <x:c r="B1807" t="str">
        <x:v>Nov 2026</x:v>
      </x:c>
      <x:c r="C1807" t="str">
        <x:v>Forecast</x:v>
      </x:c>
      <x:c r="D1807" t="str">
        <x:v>DB-103</x:v>
      </x:c>
      <x:c r="E1807" t="str">
        <x:v>EmberTrail Camp Mug</x:v>
      </x:c>
      <x:c r="F1807" t="str">
        <x:v>Wholesale</x:v>
      </x:c>
      <x:c r="G1807" t="str">
        <x:v>Retailer</x:v>
      </x:c>
      <x:c r="H1807" t="str">
        <x:v>US East</x:v>
      </x:c>
      <x:c r="I1807" s="34" t="n">
        <x:v>60.800000000000004</x:v>
      </x:c>
      <x:c r="J1807" s="38" t="n">
        <x:v>1.2697776000000003</x:v>
      </x:c>
      <x:c r="K1807" s="38" t="n">
        <x:v>0.24371680000000012</x:v>
      </x:c>
      <x:c r="L1807" s="28" t="n">
        <x:v>0.19193660370130963</x:v>
      </x:c>
    </x:row>
    <x:row r="1808">
      <x:c r="A1808" s="32" t="n">
        <x:v>46327</x:v>
      </x:c>
      <x:c r="B1808" t="str">
        <x:v>Nov 2026</x:v>
      </x:c>
      <x:c r="C1808" t="str">
        <x:v>Forecast</x:v>
      </x:c>
      <x:c r="D1808" t="str">
        <x:v>DB-103</x:v>
      </x:c>
      <x:c r="E1808" t="str">
        <x:v>EmberTrail Camp Mug</x:v>
      </x:c>
      <x:c r="F1808" t="str">
        <x:v>Wholesale</x:v>
      </x:c>
      <x:c r="G1808" t="str">
        <x:v>Retailer</x:v>
      </x:c>
      <x:c r="H1808" t="str">
        <x:v>Canada</x:v>
      </x:c>
      <x:c r="I1808" s="34" t="n">
        <x:v>19</x:v>
      </x:c>
      <x:c r="J1808" s="38" t="n">
        <x:v>0.3968055000000001</x:v>
      </x:c>
      <x:c r="K1808" s="38" t="n">
        <x:v>0.07616150000000005</x:v>
      </x:c>
      <x:c r="L1808" s="28" t="n">
        <x:v>0.19193660370130966</x:v>
      </x:c>
    </x:row>
    <x:row r="1809">
      <x:c r="A1809" s="32" t="n">
        <x:v>46327</x:v>
      </x:c>
      <x:c r="B1809" t="str">
        <x:v>Nov 2026</x:v>
      </x:c>
      <x:c r="C1809" t="str">
        <x:v>Forecast</x:v>
      </x:c>
      <x:c r="D1809" t="str">
        <x:v>DB-103</x:v>
      </x:c>
      <x:c r="E1809" t="str">
        <x:v>EmberTrail Camp Mug</x:v>
      </x:c>
      <x:c r="F1809" t="str">
        <x:v>TikTok Shop</x:v>
      </x:c>
      <x:c r="G1809" t="str">
        <x:v>Social Commerce</x:v>
      </x:c>
      <x:c r="H1809" t="str">
        <x:v>US West</x:v>
      </x:c>
      <x:c r="I1809" s="34" t="n">
        <x:v>100.30000000000001</x:v>
      </x:c>
      <x:c r="J1809" s="38" t="n">
        <x:v>2.83592232</x:v>
      </x:c>
      <x:c r="K1809" s="38" t="n">
        <x:v>0.5197524335199998</x:v>
      </x:c>
      <x:c r="L1809" s="28" t="n">
        <x:v>0.18327456639221337</x:v>
      </x:c>
    </x:row>
    <x:row r="1810">
      <x:c r="A1810" s="32" t="n">
        <x:v>46327</x:v>
      </x:c>
      <x:c r="B1810" t="str">
        <x:v>Nov 2026</x:v>
      </x:c>
      <x:c r="C1810" t="str">
        <x:v>Forecast</x:v>
      </x:c>
      <x:c r="D1810" t="str">
        <x:v>DB-103</x:v>
      </x:c>
      <x:c r="E1810" t="str">
        <x:v>EmberTrail Camp Mug</x:v>
      </x:c>
      <x:c r="F1810" t="str">
        <x:v>TikTok Shop</x:v>
      </x:c>
      <x:c r="G1810" t="str">
        <x:v>Social Commerce</x:v>
      </x:c>
      <x:c r="H1810" t="str">
        <x:v>US Central</x:v>
      </x:c>
      <x:c r="I1810" s="34" t="n">
        <x:v>70.8</x:v>
      </x:c>
      <x:c r="J1810" s="38" t="n">
        <x:v>2.0018275199999995</x:v>
      </x:c>
      <x:c r="K1810" s="38" t="n">
        <x:v>0.36688407071999984</x:v>
      </x:c>
      <x:c r="L1810" s="28" t="n">
        <x:v>0.18327456639221343</x:v>
      </x:c>
    </x:row>
    <x:row r="1811">
      <x:c r="A1811" s="32" t="n">
        <x:v>46327</x:v>
      </x:c>
      <x:c r="B1811" t="str">
        <x:v>Nov 2026</x:v>
      </x:c>
      <x:c r="C1811" t="str">
        <x:v>Forecast</x:v>
      </x:c>
      <x:c r="D1811" t="str">
        <x:v>DB-103</x:v>
      </x:c>
      <x:c r="E1811" t="str">
        <x:v>EmberTrail Camp Mug</x:v>
      </x:c>
      <x:c r="F1811" t="str">
        <x:v>TikTok Shop</x:v>
      </x:c>
      <x:c r="G1811" t="str">
        <x:v>Social Commerce</x:v>
      </x:c>
      <x:c r="H1811" t="str">
        <x:v>US East</x:v>
      </x:c>
      <x:c r="I1811" s="34" t="n">
        <x:v>94.4</x:v>
      </x:c>
      <x:c r="J1811" s="38" t="n">
        <x:v>2.66910336</x:v>
      </x:c>
      <x:c r="K1811" s="38" t="n">
        <x:v>0.4891787609599998</x:v>
      </x:c>
      <x:c r="L1811" s="28" t="n">
        <x:v>0.18327456639221337</x:v>
      </x:c>
    </x:row>
    <x:row r="1812">
      <x:c r="A1812" s="32" t="n">
        <x:v>46327</x:v>
      </x:c>
      <x:c r="B1812" t="str">
        <x:v>Nov 2026</x:v>
      </x:c>
      <x:c r="C1812" t="str">
        <x:v>Forecast</x:v>
      </x:c>
      <x:c r="D1812" t="str">
        <x:v>DB-103</x:v>
      </x:c>
      <x:c r="E1812" t="str">
        <x:v>EmberTrail Camp Mug</x:v>
      </x:c>
      <x:c r="F1812" t="str">
        <x:v>TikTok Shop</x:v>
      </x:c>
      <x:c r="G1812" t="str">
        <x:v>Social Commerce</x:v>
      </x:c>
      <x:c r="H1812" t="str">
        <x:v>Canada</x:v>
      </x:c>
      <x:c r="I1812" s="34" t="n">
        <x:v>29.5</x:v>
      </x:c>
      <x:c r="J1812" s="38" t="n">
        <x:v>0.8340947999999999</x:v>
      </x:c>
      <x:c r="K1812" s="38" t="n">
        <x:v>0.15286836279999994</x:v>
      </x:c>
      <x:c r="L1812" s="28" t="n">
        <x:v>0.1832745663922134</x:v>
      </x:c>
    </x:row>
    <x:row r="1813">
      <x:c r="A1813" s="32" t="n">
        <x:v>46327</x:v>
      </x:c>
      <x:c r="B1813" t="str">
        <x:v>Nov 2026</x:v>
      </x:c>
      <x:c r="C1813" t="str">
        <x:v>Forecast</x:v>
      </x:c>
      <x:c r="D1813" t="str">
        <x:v>DB-104</x:v>
      </x:c>
      <x:c r="E1813" t="str">
        <x:v>SunNest Cooling Towel</x:v>
      </x:c>
      <x:c r="F1813" t="str">
        <x:v>Shopify DTC</x:v>
      </x:c>
      <x:c r="G1813" t="str">
        <x:v>Consumer</x:v>
      </x:c>
      <x:c r="H1813" t="str">
        <x:v>US West</x:v>
      </x:c>
      <x:c r="I1813" s="34" t="n">
        <x:v>0</x:v>
      </x:c>
      <x:c r="J1813" s="38" t="n">
        <x:v>0</x:v>
      </x:c>
      <x:c r="K1813" s="38" t="n">
        <x:v>0</x:v>
      </x:c>
      <x:c r="L1813" s="28" t="n">
        <x:v>0</x:v>
      </x:c>
    </x:row>
    <x:row r="1814">
      <x:c r="A1814" s="32" t="n">
        <x:v>46327</x:v>
      </x:c>
      <x:c r="B1814" t="str">
        <x:v>Nov 2026</x:v>
      </x:c>
      <x:c r="C1814" t="str">
        <x:v>Forecast</x:v>
      </x:c>
      <x:c r="D1814" t="str">
        <x:v>DB-104</x:v>
      </x:c>
      <x:c r="E1814" t="str">
        <x:v>SunNest Cooling Towel</x:v>
      </x:c>
      <x:c r="F1814" t="str">
        <x:v>Shopify DTC</x:v>
      </x:c>
      <x:c r="G1814" t="str">
        <x:v>Consumer</x:v>
      </x:c>
      <x:c r="H1814" t="str">
        <x:v>US Central</x:v>
      </x:c>
      <x:c r="I1814" s="34" t="n">
        <x:v>0</x:v>
      </x:c>
      <x:c r="J1814" s="38" t="n">
        <x:v>0</x:v>
      </x:c>
      <x:c r="K1814" s="38" t="n">
        <x:v>0</x:v>
      </x:c>
      <x:c r="L1814" s="28" t="n">
        <x:v>0</x:v>
      </x:c>
    </x:row>
    <x:row r="1815">
      <x:c r="A1815" s="32" t="n">
        <x:v>46327</x:v>
      </x:c>
      <x:c r="B1815" t="str">
        <x:v>Nov 2026</x:v>
      </x:c>
      <x:c r="C1815" t="str">
        <x:v>Forecast</x:v>
      </x:c>
      <x:c r="D1815" t="str">
        <x:v>DB-104</x:v>
      </x:c>
      <x:c r="E1815" t="str">
        <x:v>SunNest Cooling Towel</x:v>
      </x:c>
      <x:c r="F1815" t="str">
        <x:v>Shopify DTC</x:v>
      </x:c>
      <x:c r="G1815" t="str">
        <x:v>Consumer</x:v>
      </x:c>
      <x:c r="H1815" t="str">
        <x:v>US East</x:v>
      </x:c>
      <x:c r="I1815" s="34" t="n">
        <x:v>0</x:v>
      </x:c>
      <x:c r="J1815" s="38" t="n">
        <x:v>0</x:v>
      </x:c>
      <x:c r="K1815" s="38" t="n">
        <x:v>0</x:v>
      </x:c>
      <x:c r="L1815" s="28" t="n">
        <x:v>0</x:v>
      </x:c>
    </x:row>
    <x:row r="1816">
      <x:c r="A1816" s="32" t="n">
        <x:v>46327</x:v>
      </x:c>
      <x:c r="B1816" t="str">
        <x:v>Nov 2026</x:v>
      </x:c>
      <x:c r="C1816" t="str">
        <x:v>Forecast</x:v>
      </x:c>
      <x:c r="D1816" t="str">
        <x:v>DB-104</x:v>
      </x:c>
      <x:c r="E1816" t="str">
        <x:v>SunNest Cooling Towel</x:v>
      </x:c>
      <x:c r="F1816" t="str">
        <x:v>Shopify DTC</x:v>
      </x:c>
      <x:c r="G1816" t="str">
        <x:v>Consumer</x:v>
      </x:c>
      <x:c r="H1816" t="str">
        <x:v>Canada</x:v>
      </x:c>
      <x:c r="I1816" s="34" t="n">
        <x:v>0</x:v>
      </x:c>
      <x:c r="J1816" s="38" t="n">
        <x:v>0</x:v>
      </x:c>
      <x:c r="K1816" s="38" t="n">
        <x:v>0</x:v>
      </x:c>
      <x:c r="L1816" s="28" t="n">
        <x:v>0</x:v>
      </x:c>
    </x:row>
    <x:row r="1817">
      <x:c r="A1817" s="32" t="n">
        <x:v>46327</x:v>
      </x:c>
      <x:c r="B1817" t="str">
        <x:v>Nov 2026</x:v>
      </x:c>
      <x:c r="C1817" t="str">
        <x:v>Forecast</x:v>
      </x:c>
      <x:c r="D1817" t="str">
        <x:v>DB-104</x:v>
      </x:c>
      <x:c r="E1817" t="str">
        <x:v>SunNest Cooling Towel</x:v>
      </x:c>
      <x:c r="F1817" t="str">
        <x:v>Amazon Marketplace</x:v>
      </x:c>
      <x:c r="G1817" t="str">
        <x:v>Marketplace Consumer</x:v>
      </x:c>
      <x:c r="H1817" t="str">
        <x:v>US West</x:v>
      </x:c>
      <x:c r="I1817" s="34" t="n">
        <x:v>0</x:v>
      </x:c>
      <x:c r="J1817" s="38" t="n">
        <x:v>0</x:v>
      </x:c>
      <x:c r="K1817" s="38" t="n">
        <x:v>0</x:v>
      </x:c>
      <x:c r="L1817" s="28" t="n">
        <x:v>0</x:v>
      </x:c>
    </x:row>
    <x:row r="1818">
      <x:c r="A1818" s="32" t="n">
        <x:v>46327</x:v>
      </x:c>
      <x:c r="B1818" t="str">
        <x:v>Nov 2026</x:v>
      </x:c>
      <x:c r="C1818" t="str">
        <x:v>Forecast</x:v>
      </x:c>
      <x:c r="D1818" t="str">
        <x:v>DB-104</x:v>
      </x:c>
      <x:c r="E1818" t="str">
        <x:v>SunNest Cooling Towel</x:v>
      </x:c>
      <x:c r="F1818" t="str">
        <x:v>Amazon Marketplace</x:v>
      </x:c>
      <x:c r="G1818" t="str">
        <x:v>Marketplace Consumer</x:v>
      </x:c>
      <x:c r="H1818" t="str">
        <x:v>US Central</x:v>
      </x:c>
      <x:c r="I1818" s="34" t="n">
        <x:v>0</x:v>
      </x:c>
      <x:c r="J1818" s="38" t="n">
        <x:v>0</x:v>
      </x:c>
      <x:c r="K1818" s="38" t="n">
        <x:v>0</x:v>
      </x:c>
      <x:c r="L1818" s="28" t="n">
        <x:v>0</x:v>
      </x:c>
    </x:row>
    <x:row r="1819">
      <x:c r="A1819" s="32" t="n">
        <x:v>46327</x:v>
      </x:c>
      <x:c r="B1819" t="str">
        <x:v>Nov 2026</x:v>
      </x:c>
      <x:c r="C1819" t="str">
        <x:v>Forecast</x:v>
      </x:c>
      <x:c r="D1819" t="str">
        <x:v>DB-104</x:v>
      </x:c>
      <x:c r="E1819" t="str">
        <x:v>SunNest Cooling Towel</x:v>
      </x:c>
      <x:c r="F1819" t="str">
        <x:v>Amazon Marketplace</x:v>
      </x:c>
      <x:c r="G1819" t="str">
        <x:v>Marketplace Consumer</x:v>
      </x:c>
      <x:c r="H1819" t="str">
        <x:v>US East</x:v>
      </x:c>
      <x:c r="I1819" s="34" t="n">
        <x:v>0</x:v>
      </x:c>
      <x:c r="J1819" s="38" t="n">
        <x:v>0</x:v>
      </x:c>
      <x:c r="K1819" s="38" t="n">
        <x:v>0</x:v>
      </x:c>
      <x:c r="L1819" s="28" t="n">
        <x:v>0</x:v>
      </x:c>
    </x:row>
    <x:row r="1820">
      <x:c r="A1820" s="32" t="n">
        <x:v>46327</x:v>
      </x:c>
      <x:c r="B1820" t="str">
        <x:v>Nov 2026</x:v>
      </x:c>
      <x:c r="C1820" t="str">
        <x:v>Forecast</x:v>
      </x:c>
      <x:c r="D1820" t="str">
        <x:v>DB-104</x:v>
      </x:c>
      <x:c r="E1820" t="str">
        <x:v>SunNest Cooling Towel</x:v>
      </x:c>
      <x:c r="F1820" t="str">
        <x:v>Amazon Marketplace</x:v>
      </x:c>
      <x:c r="G1820" t="str">
        <x:v>Marketplace Consumer</x:v>
      </x:c>
      <x:c r="H1820" t="str">
        <x:v>Canada</x:v>
      </x:c>
      <x:c r="I1820" s="34" t="n">
        <x:v>0</x:v>
      </x:c>
      <x:c r="J1820" s="38" t="n">
        <x:v>0</x:v>
      </x:c>
      <x:c r="K1820" s="38" t="n">
        <x:v>0</x:v>
      </x:c>
      <x:c r="L1820" s="28" t="n">
        <x:v>0</x:v>
      </x:c>
    </x:row>
    <x:row r="1821">
      <x:c r="A1821" s="32" t="n">
        <x:v>46327</x:v>
      </x:c>
      <x:c r="B1821" t="str">
        <x:v>Nov 2026</x:v>
      </x:c>
      <x:c r="C1821" t="str">
        <x:v>Forecast</x:v>
      </x:c>
      <x:c r="D1821" t="str">
        <x:v>DB-104</x:v>
      </x:c>
      <x:c r="E1821" t="str">
        <x:v>SunNest Cooling Towel</x:v>
      </x:c>
      <x:c r="F1821" t="str">
        <x:v>Wholesale</x:v>
      </x:c>
      <x:c r="G1821" t="str">
        <x:v>Retailer</x:v>
      </x:c>
      <x:c r="H1821" t="str">
        <x:v>US West</x:v>
      </x:c>
      <x:c r="I1821" s="34" t="n">
        <x:v>0</x:v>
      </x:c>
      <x:c r="J1821" s="38" t="n">
        <x:v>0</x:v>
      </x:c>
      <x:c r="K1821" s="38" t="n">
        <x:v>0</x:v>
      </x:c>
      <x:c r="L1821" s="28" t="n">
        <x:v>0</x:v>
      </x:c>
    </x:row>
    <x:row r="1822">
      <x:c r="A1822" s="32" t="n">
        <x:v>46327</x:v>
      </x:c>
      <x:c r="B1822" t="str">
        <x:v>Nov 2026</x:v>
      </x:c>
      <x:c r="C1822" t="str">
        <x:v>Forecast</x:v>
      </x:c>
      <x:c r="D1822" t="str">
        <x:v>DB-104</x:v>
      </x:c>
      <x:c r="E1822" t="str">
        <x:v>SunNest Cooling Towel</x:v>
      </x:c>
      <x:c r="F1822" t="str">
        <x:v>Wholesale</x:v>
      </x:c>
      <x:c r="G1822" t="str">
        <x:v>Retailer</x:v>
      </x:c>
      <x:c r="H1822" t="str">
        <x:v>US Central</x:v>
      </x:c>
      <x:c r="I1822" s="34" t="n">
        <x:v>0</x:v>
      </x:c>
      <x:c r="J1822" s="38" t="n">
        <x:v>0</x:v>
      </x:c>
      <x:c r="K1822" s="38" t="n">
        <x:v>0</x:v>
      </x:c>
      <x:c r="L1822" s="28" t="n">
        <x:v>0</x:v>
      </x:c>
    </x:row>
    <x:row r="1823">
      <x:c r="A1823" s="32" t="n">
        <x:v>46327</x:v>
      </x:c>
      <x:c r="B1823" t="str">
        <x:v>Nov 2026</x:v>
      </x:c>
      <x:c r="C1823" t="str">
        <x:v>Forecast</x:v>
      </x:c>
      <x:c r="D1823" t="str">
        <x:v>DB-104</x:v>
      </x:c>
      <x:c r="E1823" t="str">
        <x:v>SunNest Cooling Towel</x:v>
      </x:c>
      <x:c r="F1823" t="str">
        <x:v>Wholesale</x:v>
      </x:c>
      <x:c r="G1823" t="str">
        <x:v>Retailer</x:v>
      </x:c>
      <x:c r="H1823" t="str">
        <x:v>US East</x:v>
      </x:c>
      <x:c r="I1823" s="34" t="n">
        <x:v>0</x:v>
      </x:c>
      <x:c r="J1823" s="38" t="n">
        <x:v>0</x:v>
      </x:c>
      <x:c r="K1823" s="38" t="n">
        <x:v>0</x:v>
      </x:c>
      <x:c r="L1823" s="28" t="n">
        <x:v>0</x:v>
      </x:c>
    </x:row>
    <x:row r="1824">
      <x:c r="A1824" s="32" t="n">
        <x:v>46327</x:v>
      </x:c>
      <x:c r="B1824" t="str">
        <x:v>Nov 2026</x:v>
      </x:c>
      <x:c r="C1824" t="str">
        <x:v>Forecast</x:v>
      </x:c>
      <x:c r="D1824" t="str">
        <x:v>DB-104</x:v>
      </x:c>
      <x:c r="E1824" t="str">
        <x:v>SunNest Cooling Towel</x:v>
      </x:c>
      <x:c r="F1824" t="str">
        <x:v>Wholesale</x:v>
      </x:c>
      <x:c r="G1824" t="str">
        <x:v>Retailer</x:v>
      </x:c>
      <x:c r="H1824" t="str">
        <x:v>Canada</x:v>
      </x:c>
      <x:c r="I1824" s="34" t="n">
        <x:v>0</x:v>
      </x:c>
      <x:c r="J1824" s="38" t="n">
        <x:v>0</x:v>
      </x:c>
      <x:c r="K1824" s="38" t="n">
        <x:v>0</x:v>
      </x:c>
      <x:c r="L1824" s="28" t="n">
        <x:v>0</x:v>
      </x:c>
    </x:row>
    <x:row r="1825">
      <x:c r="A1825" s="32" t="n">
        <x:v>46327</x:v>
      </x:c>
      <x:c r="B1825" t="str">
        <x:v>Nov 2026</x:v>
      </x:c>
      <x:c r="C1825" t="str">
        <x:v>Forecast</x:v>
      </x:c>
      <x:c r="D1825" t="str">
        <x:v>DB-104</x:v>
      </x:c>
      <x:c r="E1825" t="str">
        <x:v>SunNest Cooling Towel</x:v>
      </x:c>
      <x:c r="F1825" t="str">
        <x:v>TikTok Shop</x:v>
      </x:c>
      <x:c r="G1825" t="str">
        <x:v>Social Commerce</x:v>
      </x:c>
      <x:c r="H1825" t="str">
        <x:v>US West</x:v>
      </x:c>
      <x:c r="I1825" s="34" t="n">
        <x:v>0</x:v>
      </x:c>
      <x:c r="J1825" s="38" t="n">
        <x:v>0</x:v>
      </x:c>
      <x:c r="K1825" s="38" t="n">
        <x:v>0</x:v>
      </x:c>
      <x:c r="L1825" s="28" t="n">
        <x:v>0</x:v>
      </x:c>
    </x:row>
    <x:row r="1826">
      <x:c r="A1826" s="32" t="n">
        <x:v>46327</x:v>
      </x:c>
      <x:c r="B1826" t="str">
        <x:v>Nov 2026</x:v>
      </x:c>
      <x:c r="C1826" t="str">
        <x:v>Forecast</x:v>
      </x:c>
      <x:c r="D1826" t="str">
        <x:v>DB-104</x:v>
      </x:c>
      <x:c r="E1826" t="str">
        <x:v>SunNest Cooling Towel</x:v>
      </x:c>
      <x:c r="F1826" t="str">
        <x:v>TikTok Shop</x:v>
      </x:c>
      <x:c r="G1826" t="str">
        <x:v>Social Commerce</x:v>
      </x:c>
      <x:c r="H1826" t="str">
        <x:v>US Central</x:v>
      </x:c>
      <x:c r="I1826" s="34" t="n">
        <x:v>0</x:v>
      </x:c>
      <x:c r="J1826" s="38" t="n">
        <x:v>0</x:v>
      </x:c>
      <x:c r="K1826" s="38" t="n">
        <x:v>0</x:v>
      </x:c>
      <x:c r="L1826" s="28" t="n">
        <x:v>0</x:v>
      </x:c>
    </x:row>
    <x:row r="1827">
      <x:c r="A1827" s="32" t="n">
        <x:v>46327</x:v>
      </x:c>
      <x:c r="B1827" t="str">
        <x:v>Nov 2026</x:v>
      </x:c>
      <x:c r="C1827" t="str">
        <x:v>Forecast</x:v>
      </x:c>
      <x:c r="D1827" t="str">
        <x:v>DB-104</x:v>
      </x:c>
      <x:c r="E1827" t="str">
        <x:v>SunNest Cooling Towel</x:v>
      </x:c>
      <x:c r="F1827" t="str">
        <x:v>TikTok Shop</x:v>
      </x:c>
      <x:c r="G1827" t="str">
        <x:v>Social Commerce</x:v>
      </x:c>
      <x:c r="H1827" t="str">
        <x:v>US East</x:v>
      </x:c>
      <x:c r="I1827" s="34" t="n">
        <x:v>0</x:v>
      </x:c>
      <x:c r="J1827" s="38" t="n">
        <x:v>0</x:v>
      </x:c>
      <x:c r="K1827" s="38" t="n">
        <x:v>0</x:v>
      </x:c>
      <x:c r="L1827" s="28" t="n">
        <x:v>0</x:v>
      </x:c>
    </x:row>
    <x:row r="1828">
      <x:c r="A1828" s="32" t="n">
        <x:v>46327</x:v>
      </x:c>
      <x:c r="B1828" t="str">
        <x:v>Nov 2026</x:v>
      </x:c>
      <x:c r="C1828" t="str">
        <x:v>Forecast</x:v>
      </x:c>
      <x:c r="D1828" t="str">
        <x:v>DB-104</x:v>
      </x:c>
      <x:c r="E1828" t="str">
        <x:v>SunNest Cooling Towel</x:v>
      </x:c>
      <x:c r="F1828" t="str">
        <x:v>TikTok Shop</x:v>
      </x:c>
      <x:c r="G1828" t="str">
        <x:v>Social Commerce</x:v>
      </x:c>
      <x:c r="H1828" t="str">
        <x:v>Canada</x:v>
      </x:c>
      <x:c r="I1828" s="34" t="n">
        <x:v>0</x:v>
      </x:c>
      <x:c r="J1828" s="38" t="n">
        <x:v>0</x:v>
      </x:c>
      <x:c r="K1828" s="38" t="n">
        <x:v>0</x:v>
      </x:c>
      <x:c r="L1828" s="28" t="n">
        <x:v>0</x:v>
      </x:c>
    </x:row>
    <x:row r="1829">
      <x:c r="A1829" s="32" t="n">
        <x:v>46327</x:v>
      </x:c>
      <x:c r="B1829" t="str">
        <x:v>Nov 2026</x:v>
      </x:c>
      <x:c r="C1829" t="str">
        <x:v>Forecast</x:v>
      </x:c>
      <x:c r="D1829" t="str">
        <x:v>DB-105</x:v>
      </x:c>
      <x:c r="E1829" t="str">
        <x:v>DreamFuel Refill Pack</x:v>
      </x:c>
      <x:c r="F1829" t="str">
        <x:v>Shopify DTC</x:v>
      </x:c>
      <x:c r="G1829" t="str">
        <x:v>Consumer</x:v>
      </x:c>
      <x:c r="H1829" t="str">
        <x:v>US West</x:v>
      </x:c>
      <x:c r="I1829" s="34" t="n">
        <x:v>333.20000000000005</x:v>
      </x:c>
      <x:c r="J1829" s="38" t="n">
        <x:v>16.823134720000002</x:v>
      </x:c>
      <x:c r="K1829" s="38" t="n">
        <x:v>8.19732029312</x:v>
      </x:c>
      <x:c r="L1829" s="28" t="n">
        <x:v>0.48726473570794776</x:v>
      </x:c>
    </x:row>
    <x:row r="1830">
      <x:c r="A1830" s="32" t="n">
        <x:v>46327</x:v>
      </x:c>
      <x:c r="B1830" t="str">
        <x:v>Nov 2026</x:v>
      </x:c>
      <x:c r="C1830" t="str">
        <x:v>Forecast</x:v>
      </x:c>
      <x:c r="D1830" t="str">
        <x:v>DB-105</x:v>
      </x:c>
      <x:c r="E1830" t="str">
        <x:v>DreamFuel Refill Pack</x:v>
      </x:c>
      <x:c r="F1830" t="str">
        <x:v>Shopify DTC</x:v>
      </x:c>
      <x:c r="G1830" t="str">
        <x:v>Consumer</x:v>
      </x:c>
      <x:c r="H1830" t="str">
        <x:v>US Central</x:v>
      </x:c>
      <x:c r="I1830" s="34" t="n">
        <x:v>235.2</x:v>
      </x:c>
      <x:c r="J1830" s="38" t="n">
        <x:v>11.875153919999999</x:v>
      </x:c>
      <x:c r="K1830" s="38" t="n">
        <x:v>5.78634373632</x:v>
      </x:c>
      <x:c r="L1830" s="28" t="n">
        <x:v>0.4872647357079478</x:v>
      </x:c>
    </x:row>
    <x:row r="1831">
      <x:c r="A1831" s="32" t="n">
        <x:v>46327</x:v>
      </x:c>
      <x:c r="B1831" t="str">
        <x:v>Nov 2026</x:v>
      </x:c>
      <x:c r="C1831" t="str">
        <x:v>Forecast</x:v>
      </x:c>
      <x:c r="D1831" t="str">
        <x:v>DB-105</x:v>
      </x:c>
      <x:c r="E1831" t="str">
        <x:v>DreamFuel Refill Pack</x:v>
      </x:c>
      <x:c r="F1831" t="str">
        <x:v>Shopify DTC</x:v>
      </x:c>
      <x:c r="G1831" t="str">
        <x:v>Consumer</x:v>
      </x:c>
      <x:c r="H1831" t="str">
        <x:v>US East</x:v>
      </x:c>
      <x:c r="I1831" s="34" t="n">
        <x:v>313.6</x:v>
      </x:c>
      <x:c r="J1831" s="38" t="n">
        <x:v>15.83353856</x:v>
      </x:c>
      <x:c r="K1831" s="38" t="n">
        <x:v>7.71512498176</x:v>
      </x:c>
      <x:c r="L1831" s="28" t="n">
        <x:v>0.4872647357079478</x:v>
      </x:c>
    </x:row>
    <x:row r="1832">
      <x:c r="A1832" s="32" t="n">
        <x:v>46327</x:v>
      </x:c>
      <x:c r="B1832" t="str">
        <x:v>Nov 2026</x:v>
      </x:c>
      <x:c r="C1832" t="str">
        <x:v>Forecast</x:v>
      </x:c>
      <x:c r="D1832" t="str">
        <x:v>DB-105</x:v>
      </x:c>
      <x:c r="E1832" t="str">
        <x:v>DreamFuel Refill Pack</x:v>
      </x:c>
      <x:c r="F1832" t="str">
        <x:v>Shopify DTC</x:v>
      </x:c>
      <x:c r="G1832" t="str">
        <x:v>Consumer</x:v>
      </x:c>
      <x:c r="H1832" t="str">
        <x:v>Canada</x:v>
      </x:c>
      <x:c r="I1832" s="34" t="n">
        <x:v>98</x:v>
      </x:c>
      <x:c r="J1832" s="38" t="n">
        <x:v>4.9479808</x:v>
      </x:c>
      <x:c r="K1832" s="38" t="n">
        <x:v>2.4109765568</x:v>
      </x:c>
      <x:c r="L1832" s="28" t="n">
        <x:v>0.4872647357079478</x:v>
      </x:c>
    </x:row>
    <x:row r="1833">
      <x:c r="A1833" s="32" t="n">
        <x:v>46327</x:v>
      </x:c>
      <x:c r="B1833" t="str">
        <x:v>Nov 2026</x:v>
      </x:c>
      <x:c r="C1833" t="str">
        <x:v>Forecast</x:v>
      </x:c>
      <x:c r="D1833" t="str">
        <x:v>DB-105</x:v>
      </x:c>
      <x:c r="E1833" t="str">
        <x:v>DreamFuel Refill Pack</x:v>
      </x:c>
      <x:c r="F1833" t="str">
        <x:v>Amazon Marketplace</x:v>
      </x:c>
      <x:c r="G1833" t="str">
        <x:v>Marketplace Consumer</x:v>
      </x:c>
      <x:c r="H1833" t="str">
        <x:v>US West</x:v>
      </x:c>
      <x:c r="I1833" s="34" t="n">
        <x:v>197.20000000000002</x:v>
      </x:c>
      <x:c r="J1833" s="38" t="n">
        <x:v>10.2812192</x:v>
      </x:c>
      <x:c r="K1833" s="38" t="n">
        <x:v>3.617042400000001</x:v>
      </x:c>
      <x:c r="L1833" s="28" t="n">
        <x:v>0.3518106490716588</x:v>
      </x:c>
    </x:row>
    <x:row r="1834">
      <x:c r="A1834" s="32" t="n">
        <x:v>46327</x:v>
      </x:c>
      <x:c r="B1834" t="str">
        <x:v>Nov 2026</x:v>
      </x:c>
      <x:c r="C1834" t="str">
        <x:v>Forecast</x:v>
      </x:c>
      <x:c r="D1834" t="str">
        <x:v>DB-105</x:v>
      </x:c>
      <x:c r="E1834" t="str">
        <x:v>DreamFuel Refill Pack</x:v>
      </x:c>
      <x:c r="F1834" t="str">
        <x:v>Amazon Marketplace</x:v>
      </x:c>
      <x:c r="G1834" t="str">
        <x:v>Marketplace Consumer</x:v>
      </x:c>
      <x:c r="H1834" t="str">
        <x:v>US Central</x:v>
      </x:c>
      <x:c r="I1834" s="34" t="n">
        <x:v>139.2</x:v>
      </x:c>
      <x:c r="J1834" s="38" t="n">
        <x:v>7.2573312</x:v>
      </x:c>
      <x:c r="K1834" s="38" t="n">
        <x:v>2.5532064000000005</x:v>
      </x:c>
      <x:c r="L1834" s="28" t="n">
        <x:v>0.3518106490716588</x:v>
      </x:c>
    </x:row>
    <x:row r="1835">
      <x:c r="A1835" s="32" t="n">
        <x:v>46327</x:v>
      </x:c>
      <x:c r="B1835" t="str">
        <x:v>Nov 2026</x:v>
      </x:c>
      <x:c r="C1835" t="str">
        <x:v>Forecast</x:v>
      </x:c>
      <x:c r="D1835" t="str">
        <x:v>DB-105</x:v>
      </x:c>
      <x:c r="E1835" t="str">
        <x:v>DreamFuel Refill Pack</x:v>
      </x:c>
      <x:c r="F1835" t="str">
        <x:v>Amazon Marketplace</x:v>
      </x:c>
      <x:c r="G1835" t="str">
        <x:v>Marketplace Consumer</x:v>
      </x:c>
      <x:c r="H1835" t="str">
        <x:v>US East</x:v>
      </x:c>
      <x:c r="I1835" s="34" t="n">
        <x:v>185.6</x:v>
      </x:c>
      <x:c r="J1835" s="38" t="n">
        <x:v>9.6764416</x:v>
      </x:c>
      <x:c r="K1835" s="38" t="n">
        <x:v>3.4042752000000007</x:v>
      </x:c>
      <x:c r="L1835" s="28" t="n">
        <x:v>0.3518106490716588</x:v>
      </x:c>
    </x:row>
    <x:row r="1836">
      <x:c r="A1836" s="32" t="n">
        <x:v>46327</x:v>
      </x:c>
      <x:c r="B1836" t="str">
        <x:v>Nov 2026</x:v>
      </x:c>
      <x:c r="C1836" t="str">
        <x:v>Forecast</x:v>
      </x:c>
      <x:c r="D1836" t="str">
        <x:v>DB-105</x:v>
      </x:c>
      <x:c r="E1836" t="str">
        <x:v>DreamFuel Refill Pack</x:v>
      </x:c>
      <x:c r="F1836" t="str">
        <x:v>Amazon Marketplace</x:v>
      </x:c>
      <x:c r="G1836" t="str">
        <x:v>Marketplace Consumer</x:v>
      </x:c>
      <x:c r="H1836" t="str">
        <x:v>Canada</x:v>
      </x:c>
      <x:c r="I1836" s="34" t="n">
        <x:v>58</x:v>
      </x:c>
      <x:c r="J1836" s="38" t="n">
        <x:v>3.0238880000000004</x:v>
      </x:c>
      <x:c r="K1836" s="38" t="n">
        <x:v>1.0638360000000002</x:v>
      </x:c>
      <x:c r="L1836" s="28" t="n">
        <x:v>0.35181064907165877</x:v>
      </x:c>
    </x:row>
    <x:row r="1837">
      <x:c r="A1837" s="32" t="n">
        <x:v>46327</x:v>
      </x:c>
      <x:c r="B1837" t="str">
        <x:v>Nov 2026</x:v>
      </x:c>
      <x:c r="C1837" t="str">
        <x:v>Forecast</x:v>
      </x:c>
      <x:c r="D1837" t="str">
        <x:v>DB-105</x:v>
      </x:c>
      <x:c r="E1837" t="str">
        <x:v>DreamFuel Refill Pack</x:v>
      </x:c>
      <x:c r="F1837" t="str">
        <x:v>Wholesale</x:v>
      </x:c>
      <x:c r="G1837" t="str">
        <x:v>Retailer</x:v>
      </x:c>
      <x:c r="H1837" t="str">
        <x:v>US West</x:v>
      </x:c>
      <x:c r="I1837" s="34" t="n">
        <x:v>54.400000000000006</x:v>
      </x:c>
      <x:c r="J1837" s="38" t="n">
        <x:v>1.9405568000000004</x:v>
      </x:c>
      <x:c r="K1837" s="38" t="n">
        <x:v>0.7560729600000002</x:v>
      </x:c>
      <x:c r="L1837" s="28" t="n">
        <x:v>0.3896165059430366</x:v>
      </x:c>
    </x:row>
    <x:row r="1838">
      <x:c r="A1838" s="32" t="n">
        <x:v>46327</x:v>
      </x:c>
      <x:c r="B1838" t="str">
        <x:v>Nov 2026</x:v>
      </x:c>
      <x:c r="C1838" t="str">
        <x:v>Forecast</x:v>
      </x:c>
      <x:c r="D1838" t="str">
        <x:v>DB-105</x:v>
      </x:c>
      <x:c r="E1838" t="str">
        <x:v>DreamFuel Refill Pack</x:v>
      </x:c>
      <x:c r="F1838" t="str">
        <x:v>Wholesale</x:v>
      </x:c>
      <x:c r="G1838" t="str">
        <x:v>Retailer</x:v>
      </x:c>
      <x:c r="H1838" t="str">
        <x:v>US Central</x:v>
      </x:c>
      <x:c r="I1838" s="34" t="n">
        <x:v>38.4</x:v>
      </x:c>
      <x:c r="J1838" s="38" t="n">
        <x:v>1.3698048</x:v>
      </x:c>
      <x:c r="K1838" s="38" t="n">
        <x:v>0.53369856</x:v>
      </x:c>
      <x:c r="L1838" s="28" t="n">
        <x:v>0.3896165059430366</x:v>
      </x:c>
    </x:row>
    <x:row r="1839">
      <x:c r="A1839" s="32" t="n">
        <x:v>46327</x:v>
      </x:c>
      <x:c r="B1839" t="str">
        <x:v>Nov 2026</x:v>
      </x:c>
      <x:c r="C1839" t="str">
        <x:v>Forecast</x:v>
      </x:c>
      <x:c r="D1839" t="str">
        <x:v>DB-105</x:v>
      </x:c>
      <x:c r="E1839" t="str">
        <x:v>DreamFuel Refill Pack</x:v>
      </x:c>
      <x:c r="F1839" t="str">
        <x:v>Wholesale</x:v>
      </x:c>
      <x:c r="G1839" t="str">
        <x:v>Retailer</x:v>
      </x:c>
      <x:c r="H1839" t="str">
        <x:v>US East</x:v>
      </x:c>
      <x:c r="I1839" s="34" t="n">
        <x:v>51.2</x:v>
      </x:c>
      <x:c r="J1839" s="38" t="n">
        <x:v>1.8264064000000002</x:v>
      </x:c>
      <x:c r="K1839" s="38" t="n">
        <x:v>0.7115980800000001</x:v>
      </x:c>
      <x:c r="L1839" s="28" t="n">
        <x:v>0.3896165059430366</x:v>
      </x:c>
    </x:row>
    <x:row r="1840">
      <x:c r="A1840" s="32" t="n">
        <x:v>46327</x:v>
      </x:c>
      <x:c r="B1840" t="str">
        <x:v>Nov 2026</x:v>
      </x:c>
      <x:c r="C1840" t="str">
        <x:v>Forecast</x:v>
      </x:c>
      <x:c r="D1840" t="str">
        <x:v>DB-105</x:v>
      </x:c>
      <x:c r="E1840" t="str">
        <x:v>DreamFuel Refill Pack</x:v>
      </x:c>
      <x:c r="F1840" t="str">
        <x:v>Wholesale</x:v>
      </x:c>
      <x:c r="G1840" t="str">
        <x:v>Retailer</x:v>
      </x:c>
      <x:c r="H1840" t="str">
        <x:v>Canada</x:v>
      </x:c>
      <x:c r="I1840" s="34" t="n">
        <x:v>16</x:v>
      </x:c>
      <x:c r="J1840" s="38" t="n">
        <x:v>0.570752</x:v>
      </x:c>
      <x:c r="K1840" s="38" t="n">
        <x:v>0.22237440000000006</x:v>
      </x:c>
      <x:c r="L1840" s="28" t="n">
        <x:v>0.38961650594303665</x:v>
      </x:c>
    </x:row>
    <x:row r="1841">
      <x:c r="A1841" s="32" t="n">
        <x:v>46327</x:v>
      </x:c>
      <x:c r="B1841" t="str">
        <x:v>Nov 2026</x:v>
      </x:c>
      <x:c r="C1841" t="str">
        <x:v>Forecast</x:v>
      </x:c>
      <x:c r="D1841" t="str">
        <x:v>DB-105</x:v>
      </x:c>
      <x:c r="E1841" t="str">
        <x:v>DreamFuel Refill Pack</x:v>
      </x:c>
      <x:c r="F1841" t="str">
        <x:v>TikTok Shop</x:v>
      </x:c>
      <x:c r="G1841" t="str">
        <x:v>Social Commerce</x:v>
      </x:c>
      <x:c r="H1841" t="str">
        <x:v>US West</x:v>
      </x:c>
      <x:c r="I1841" s="34" t="n">
        <x:v>83.30000000000001</x:v>
      </x:c>
      <x:c r="J1841" s="38" t="n">
        <x:v>4.02292352</x:v>
      </x:c>
      <x:c r="K1841" s="38" t="n">
        <x:v>1.5429324467200003</x:v>
      </x:c>
      <x:c r="L1841" s="28" t="n">
        <x:v>0.38353511794328127</x:v>
      </x:c>
    </x:row>
    <x:row r="1842">
      <x:c r="A1842" s="32" t="n">
        <x:v>46327</x:v>
      </x:c>
      <x:c r="B1842" t="str">
        <x:v>Nov 2026</x:v>
      </x:c>
      <x:c r="C1842" t="str">
        <x:v>Forecast</x:v>
      </x:c>
      <x:c r="D1842" t="str">
        <x:v>DB-105</x:v>
      </x:c>
      <x:c r="E1842" t="str">
        <x:v>DreamFuel Refill Pack</x:v>
      </x:c>
      <x:c r="F1842" t="str">
        <x:v>TikTok Shop</x:v>
      </x:c>
      <x:c r="G1842" t="str">
        <x:v>Social Commerce</x:v>
      </x:c>
      <x:c r="H1842" t="str">
        <x:v>US Central</x:v>
      </x:c>
      <x:c r="I1842" s="34" t="n">
        <x:v>58.8</x:v>
      </x:c>
      <x:c r="J1842" s="38" t="n">
        <x:v>2.83971072</x:v>
      </x:c>
      <x:c r="K1842" s="38" t="n">
        <x:v>1.08912878592</x:v>
      </x:c>
      <x:c r="L1842" s="28" t="n">
        <x:v>0.38353511794328127</x:v>
      </x:c>
    </x:row>
    <x:row r="1843">
      <x:c r="A1843" s="32" t="n">
        <x:v>46327</x:v>
      </x:c>
      <x:c r="B1843" t="str">
        <x:v>Nov 2026</x:v>
      </x:c>
      <x:c r="C1843" t="str">
        <x:v>Forecast</x:v>
      </x:c>
      <x:c r="D1843" t="str">
        <x:v>DB-105</x:v>
      </x:c>
      <x:c r="E1843" t="str">
        <x:v>DreamFuel Refill Pack</x:v>
      </x:c>
      <x:c r="F1843" t="str">
        <x:v>TikTok Shop</x:v>
      </x:c>
      <x:c r="G1843" t="str">
        <x:v>Social Commerce</x:v>
      </x:c>
      <x:c r="H1843" t="str">
        <x:v>US East</x:v>
      </x:c>
      <x:c r="I1843" s="34" t="n">
        <x:v>78.4</x:v>
      </x:c>
      <x:c r="J1843" s="38" t="n">
        <x:v>3.7862809599999996</x:v>
      </x:c>
      <x:c r="K1843" s="38" t="n">
        <x:v>1.4521717145600002</x:v>
      </x:c>
      <x:c r="L1843" s="28" t="n">
        <x:v>0.38353511794328127</x:v>
      </x:c>
    </x:row>
    <x:row r="1844">
      <x:c r="A1844" s="32" t="n">
        <x:v>46327</x:v>
      </x:c>
      <x:c r="B1844" t="str">
        <x:v>Nov 2026</x:v>
      </x:c>
      <x:c r="C1844" t="str">
        <x:v>Forecast</x:v>
      </x:c>
      <x:c r="D1844" t="str">
        <x:v>DB-105</x:v>
      </x:c>
      <x:c r="E1844" t="str">
        <x:v>DreamFuel Refill Pack</x:v>
      </x:c>
      <x:c r="F1844" t="str">
        <x:v>TikTok Shop</x:v>
      </x:c>
      <x:c r="G1844" t="str">
        <x:v>Social Commerce</x:v>
      </x:c>
      <x:c r="H1844" t="str">
        <x:v>Canada</x:v>
      </x:c>
      <x:c r="I1844" s="34" t="n">
        <x:v>24.5</x:v>
      </x:c>
      <x:c r="J1844" s="38" t="n">
        <x:v>1.1832128</x:v>
      </x:c>
      <x:c r="K1844" s="38" t="n">
        <x:v>0.45380366080000006</x:v>
      </x:c>
      <x:c r="L1844" s="28" t="n">
        <x:v>0.38353511794328127</x:v>
      </x:c>
    </x:row>
    <x:row r="1845">
      <x:c r="A1845" s="32" t="n">
        <x:v>46357</x:v>
      </x:c>
      <x:c r="B1845" t="str">
        <x:v>Dec 2026</x:v>
      </x:c>
      <x:c r="C1845" t="str">
        <x:v>Forecast</x:v>
      </x:c>
      <x:c r="D1845" t="str">
        <x:v>DB-101</x:v>
      </x:c>
      <x:c r="E1845" t="str">
        <x:v>AeroSip Bottle</x:v>
      </x:c>
      <x:c r="F1845" t="str">
        <x:v>Shopify DTC</x:v>
      </x:c>
      <x:c r="G1845" t="str">
        <x:v>Consumer</x:v>
      </x:c>
      <x:c r="H1845" t="str">
        <x:v>US West</x:v>
      </x:c>
      <x:c r="I1845" s="34" t="n">
        <x:v>340</x:v>
      </x:c>
      <x:c r="J1845" s="38" t="n">
        <x:v>8.662996</x:v>
      </x:c>
      <x:c r="K1845" s="38" t="n">
        <x:v>2.7555291159999995</x:v>
      </x:c>
      <x:c r="L1845" s="28" t="n">
        <x:v>0.3180803865083165</x:v>
      </x:c>
    </x:row>
    <x:row r="1846">
      <x:c r="A1846" s="32" t="n">
        <x:v>46357</x:v>
      </x:c>
      <x:c r="B1846" t="str">
        <x:v>Dec 2026</x:v>
      </x:c>
      <x:c r="C1846" t="str">
        <x:v>Forecast</x:v>
      </x:c>
      <x:c r="D1846" t="str">
        <x:v>DB-101</x:v>
      </x:c>
      <x:c r="E1846" t="str">
        <x:v>AeroSip Bottle</x:v>
      </x:c>
      <x:c r="F1846" t="str">
        <x:v>Shopify DTC</x:v>
      </x:c>
      <x:c r="G1846" t="str">
        <x:v>Consumer</x:v>
      </x:c>
      <x:c r="H1846" t="str">
        <x:v>US Central</x:v>
      </x:c>
      <x:c r="I1846" s="34" t="n">
        <x:v>240</x:v>
      </x:c>
      <x:c r="J1846" s="38" t="n">
        <x:v>6.115055999999999</x:v>
      </x:c>
      <x:c r="K1846" s="38" t="n">
        <x:v>1.9450793759999994</x:v>
      </x:c>
      <x:c r="L1846" s="28" t="n">
        <x:v>0.31808038650831644</x:v>
      </x:c>
    </x:row>
    <x:row r="1847">
      <x:c r="A1847" s="32" t="n">
        <x:v>46357</x:v>
      </x:c>
      <x:c r="B1847" t="str">
        <x:v>Dec 2026</x:v>
      </x:c>
      <x:c r="C1847" t="str">
        <x:v>Forecast</x:v>
      </x:c>
      <x:c r="D1847" t="str">
        <x:v>DB-101</x:v>
      </x:c>
      <x:c r="E1847" t="str">
        <x:v>AeroSip Bottle</x:v>
      </x:c>
      <x:c r="F1847" t="str">
        <x:v>Shopify DTC</x:v>
      </x:c>
      <x:c r="G1847" t="str">
        <x:v>Consumer</x:v>
      </x:c>
      <x:c r="H1847" t="str">
        <x:v>US East</x:v>
      </x:c>
      <x:c r="I1847" s="34" t="n">
        <x:v>320</x:v>
      </x:c>
      <x:c r="J1847" s="38" t="n">
        <x:v>8.153407999999999</x:v>
      </x:c>
      <x:c r="K1847" s="38" t="n">
        <x:v>2.5934391679999993</x:v>
      </x:c>
      <x:c r="L1847" s="28" t="n">
        <x:v>0.3180803865083165</x:v>
      </x:c>
    </x:row>
    <x:row r="1848">
      <x:c r="A1848" s="32" t="n">
        <x:v>46357</x:v>
      </x:c>
      <x:c r="B1848" t="str">
        <x:v>Dec 2026</x:v>
      </x:c>
      <x:c r="C1848" t="str">
        <x:v>Forecast</x:v>
      </x:c>
      <x:c r="D1848" t="str">
        <x:v>DB-101</x:v>
      </x:c>
      <x:c r="E1848" t="str">
        <x:v>AeroSip Bottle</x:v>
      </x:c>
      <x:c r="F1848" t="str">
        <x:v>Shopify DTC</x:v>
      </x:c>
      <x:c r="G1848" t="str">
        <x:v>Consumer</x:v>
      </x:c>
      <x:c r="H1848" t="str">
        <x:v>Canada</x:v>
      </x:c>
      <x:c r="I1848" s="34" t="n">
        <x:v>100</x:v>
      </x:c>
      <x:c r="J1848" s="38" t="n">
        <x:v>2.54794</x:v>
      </x:c>
      <x:c r="K1848" s="38" t="n">
        <x:v>0.8104497399999998</x:v>
      </x:c>
      <x:c r="L1848" s="28" t="n">
        <x:v>0.31808038650831644</x:v>
      </x:c>
    </x:row>
    <x:row r="1849">
      <x:c r="A1849" s="32" t="n">
        <x:v>46357</x:v>
      </x:c>
      <x:c r="B1849" t="str">
        <x:v>Dec 2026</x:v>
      </x:c>
      <x:c r="C1849" t="str">
        <x:v>Forecast</x:v>
      </x:c>
      <x:c r="D1849" t="str">
        <x:v>DB-101</x:v>
      </x:c>
      <x:c r="E1849" t="str">
        <x:v>AeroSip Bottle</x:v>
      </x:c>
      <x:c r="F1849" t="str">
        <x:v>Amazon Marketplace</x:v>
      </x:c>
      <x:c r="G1849" t="str">
        <x:v>Marketplace Consumer</x:v>
      </x:c>
      <x:c r="H1849" t="str">
        <x:v>US West</x:v>
      </x:c>
      <x:c r="I1849" s="34" t="n">
        <x:v>199.92000000000002</x:v>
      </x:c>
      <x:c r="J1849" s="38" t="n">
        <x:v>5.259945180000001</x:v>
      </x:c>
      <x:c r="K1849" s="38" t="n">
        <x:v>0.8352082830000004</x:v>
      </x:c>
      <x:c r="L1849" s="28" t="n">
        <x:v>0.15878649955815705</x:v>
      </x:c>
    </x:row>
    <x:row r="1850">
      <x:c r="A1850" s="32" t="n">
        <x:v>46357</x:v>
      </x:c>
      <x:c r="B1850" t="str">
        <x:v>Dec 2026</x:v>
      </x:c>
      <x:c r="C1850" t="str">
        <x:v>Forecast</x:v>
      </x:c>
      <x:c r="D1850" t="str">
        <x:v>DB-101</x:v>
      </x:c>
      <x:c r="E1850" t="str">
        <x:v>AeroSip Bottle</x:v>
      </x:c>
      <x:c r="F1850" t="str">
        <x:v>Amazon Marketplace</x:v>
      </x:c>
      <x:c r="G1850" t="str">
        <x:v>Marketplace Consumer</x:v>
      </x:c>
      <x:c r="H1850" t="str">
        <x:v>US Central</x:v>
      </x:c>
      <x:c r="I1850" s="34" t="n">
        <x:v>141.12</x:v>
      </x:c>
      <x:c r="J1850" s="38" t="n">
        <x:v>3.71290248</x:v>
      </x:c>
      <x:c r="K1850" s="38" t="n">
        <x:v>0.5895587880000003</x:v>
      </x:c>
      <x:c r="L1850" s="28" t="n">
        <x:v>0.15878649955815707</x:v>
      </x:c>
    </x:row>
    <x:row r="1851">
      <x:c r="A1851" s="32" t="n">
        <x:v>46357</x:v>
      </x:c>
      <x:c r="B1851" t="str">
        <x:v>Dec 2026</x:v>
      </x:c>
      <x:c r="C1851" t="str">
        <x:v>Forecast</x:v>
      </x:c>
      <x:c r="D1851" t="str">
        <x:v>DB-101</x:v>
      </x:c>
      <x:c r="E1851" t="str">
        <x:v>AeroSip Bottle</x:v>
      </x:c>
      <x:c r="F1851" t="str">
        <x:v>Amazon Marketplace</x:v>
      </x:c>
      <x:c r="G1851" t="str">
        <x:v>Marketplace Consumer</x:v>
      </x:c>
      <x:c r="H1851" t="str">
        <x:v>US East</x:v>
      </x:c>
      <x:c r="I1851" s="34" t="n">
        <x:v>188.16</x:v>
      </x:c>
      <x:c r="J1851" s="38" t="n">
        <x:v>4.95053664</x:v>
      </x:c>
      <x:c r="K1851" s="38" t="n">
        <x:v>0.7860783840000004</x:v>
      </x:c>
      <x:c r="L1851" s="28" t="n">
        <x:v>0.15878649955815707</x:v>
      </x:c>
    </x:row>
    <x:row r="1852">
      <x:c r="A1852" s="32" t="n">
        <x:v>46357</x:v>
      </x:c>
      <x:c r="B1852" t="str">
        <x:v>Dec 2026</x:v>
      </x:c>
      <x:c r="C1852" t="str">
        <x:v>Forecast</x:v>
      </x:c>
      <x:c r="D1852" t="str">
        <x:v>DB-101</x:v>
      </x:c>
      <x:c r="E1852" t="str">
        <x:v>AeroSip Bottle</x:v>
      </x:c>
      <x:c r="F1852" t="str">
        <x:v>Amazon Marketplace</x:v>
      </x:c>
      <x:c r="G1852" t="str">
        <x:v>Marketplace Consumer</x:v>
      </x:c>
      <x:c r="H1852" t="str">
        <x:v>Canada</x:v>
      </x:c>
      <x:c r="I1852" s="34" t="n">
        <x:v>58.800000000000004</x:v>
      </x:c>
      <x:c r="J1852" s="38" t="n">
        <x:v>1.5470427000000002</x:v>
      </x:c>
      <x:c r="K1852" s="38" t="n">
        <x:v>0.2456494950000001</x:v>
      </x:c>
      <x:c r="L1852" s="28" t="n">
        <x:v>0.15878649955815705</x:v>
      </x:c>
    </x:row>
    <x:row r="1853">
      <x:c r="A1853" s="32" t="n">
        <x:v>46357</x:v>
      </x:c>
      <x:c r="B1853" t="str">
        <x:v>Dec 2026</x:v>
      </x:c>
      <x:c r="C1853" t="str">
        <x:v>Forecast</x:v>
      </x:c>
      <x:c r="D1853" t="str">
        <x:v>DB-101</x:v>
      </x:c>
      <x:c r="E1853" t="str">
        <x:v>AeroSip Bottle</x:v>
      </x:c>
      <x:c r="F1853" t="str">
        <x:v>Wholesale</x:v>
      </x:c>
      <x:c r="G1853" t="str">
        <x:v>Retailer</x:v>
      </x:c>
      <x:c r="H1853" t="str">
        <x:v>US West</x:v>
      </x:c>
      <x:c r="I1853" s="34" t="n">
        <x:v>55.760000000000005</x:v>
      </x:c>
      <x:c r="J1853" s="38" t="n">
        <x:v>1.0037775800000002</x:v>
      </x:c>
      <x:c r="K1853" s="38" t="n">
        <x:v>0.22391822000000003</x:v>
      </x:c>
      <x:c r="L1853" s="28" t="n">
        <x:v>0.2230755343230519</x:v>
      </x:c>
    </x:row>
    <x:row r="1854">
      <x:c r="A1854" s="32" t="n">
        <x:v>46357</x:v>
      </x:c>
      <x:c r="B1854" t="str">
        <x:v>Dec 2026</x:v>
      </x:c>
      <x:c r="C1854" t="str">
        <x:v>Forecast</x:v>
      </x:c>
      <x:c r="D1854" t="str">
        <x:v>DB-101</x:v>
      </x:c>
      <x:c r="E1854" t="str">
        <x:v>AeroSip Bottle</x:v>
      </x:c>
      <x:c r="F1854" t="str">
        <x:v>Wholesale</x:v>
      </x:c>
      <x:c r="G1854" t="str">
        <x:v>Retailer</x:v>
      </x:c>
      <x:c r="H1854" t="str">
        <x:v>US Central</x:v>
      </x:c>
      <x:c r="I1854" s="34" t="n">
        <x:v>39.36</x:v>
      </x:c>
      <x:c r="J1854" s="38" t="n">
        <x:v>0.70854888</x:v>
      </x:c>
      <x:c r="K1854" s="38" t="n">
        <x:v>0.15805992</x:v>
      </x:c>
      <x:c r="L1854" s="28" t="n">
        <x:v>0.2230755343230519</x:v>
      </x:c>
    </x:row>
    <x:row r="1855">
      <x:c r="A1855" s="32" t="n">
        <x:v>46357</x:v>
      </x:c>
      <x:c r="B1855" t="str">
        <x:v>Dec 2026</x:v>
      </x:c>
      <x:c r="C1855" t="str">
        <x:v>Forecast</x:v>
      </x:c>
      <x:c r="D1855" t="str">
        <x:v>DB-101</x:v>
      </x:c>
      <x:c r="E1855" t="str">
        <x:v>AeroSip Bottle</x:v>
      </x:c>
      <x:c r="F1855" t="str">
        <x:v>Wholesale</x:v>
      </x:c>
      <x:c r="G1855" t="str">
        <x:v>Retailer</x:v>
      </x:c>
      <x:c r="H1855" t="str">
        <x:v>US East</x:v>
      </x:c>
      <x:c r="I1855" s="34" t="n">
        <x:v>52.480000000000004</x:v>
      </x:c>
      <x:c r="J1855" s="38" t="n">
        <x:v>0.9447318400000001</x:v>
      </x:c>
      <x:c r="K1855" s="38" t="n">
        <x:v>0.21074656000000003</x:v>
      </x:c>
      <x:c r="L1855" s="28" t="n">
        <x:v>0.22307553432305194</x:v>
      </x:c>
    </x:row>
    <x:row r="1856">
      <x:c r="A1856" s="32" t="n">
        <x:v>46357</x:v>
      </x:c>
      <x:c r="B1856" t="str">
        <x:v>Dec 2026</x:v>
      </x:c>
      <x:c r="C1856" t="str">
        <x:v>Forecast</x:v>
      </x:c>
      <x:c r="D1856" t="str">
        <x:v>DB-101</x:v>
      </x:c>
      <x:c r="E1856" t="str">
        <x:v>AeroSip Bottle</x:v>
      </x:c>
      <x:c r="F1856" t="str">
        <x:v>Wholesale</x:v>
      </x:c>
      <x:c r="G1856" t="str">
        <x:v>Retailer</x:v>
      </x:c>
      <x:c r="H1856" t="str">
        <x:v>Canada</x:v>
      </x:c>
      <x:c r="I1856" s="34" t="n">
        <x:v>16.400000000000002</x:v>
      </x:c>
      <x:c r="J1856" s="38" t="n">
        <x:v>0.2952287</x:v>
      </x:c>
      <x:c r="K1856" s="38" t="n">
        <x:v>0.06585830000000001</x:v>
      </x:c>
      <x:c r="L1856" s="28" t="n">
        <x:v>0.22307553432305194</x:v>
      </x:c>
    </x:row>
    <x:row r="1857">
      <x:c r="A1857" s="32" t="n">
        <x:v>46357</x:v>
      </x:c>
      <x:c r="B1857" t="str">
        <x:v>Dec 2026</x:v>
      </x:c>
      <x:c r="C1857" t="str">
        <x:v>Forecast</x:v>
      </x:c>
      <x:c r="D1857" t="str">
        <x:v>DB-101</x:v>
      </x:c>
      <x:c r="E1857" t="str">
        <x:v>AeroSip Bottle</x:v>
      </x:c>
      <x:c r="F1857" t="str">
        <x:v>TikTok Shop</x:v>
      </x:c>
      <x:c r="G1857" t="str">
        <x:v>Social Commerce</x:v>
      </x:c>
      <x:c r="H1857" t="str">
        <x:v>US West</x:v>
      </x:c>
      <x:c r="I1857" s="34" t="n">
        <x:v>85.68</x:v>
      </x:c>
      <x:c r="J1857" s="38" t="n">
        <x:v>2.088158688</x:v>
      </x:c>
      <x:c r="K1857" s="38" t="n">
        <x:v>0.3869760847679999</x:v>
      </x:c>
      <x:c r="L1857" s="28" t="n">
        <x:v>0.18531928966501987</x:v>
      </x:c>
    </x:row>
    <x:row r="1858">
      <x:c r="A1858" s="32" t="n">
        <x:v>46357</x:v>
      </x:c>
      <x:c r="B1858" t="str">
        <x:v>Dec 2026</x:v>
      </x:c>
      <x:c r="C1858" t="str">
        <x:v>Forecast</x:v>
      </x:c>
      <x:c r="D1858" t="str">
        <x:v>DB-101</x:v>
      </x:c>
      <x:c r="E1858" t="str">
        <x:v>AeroSip Bottle</x:v>
      </x:c>
      <x:c r="F1858" t="str">
        <x:v>TikTok Shop</x:v>
      </x:c>
      <x:c r="G1858" t="str">
        <x:v>Social Commerce</x:v>
      </x:c>
      <x:c r="H1858" t="str">
        <x:v>US Central</x:v>
      </x:c>
      <x:c r="I1858" s="34" t="n">
        <x:v>60.48</x:v>
      </x:c>
      <x:c r="J1858" s="38" t="n">
        <x:v>1.4739943679999998</x:v>
      </x:c>
      <x:c r="K1858" s="38" t="n">
        <x:v>0.2731595892479999</x:v>
      </x:c>
      <x:c r="L1858" s="28" t="n">
        <x:v>0.18531928966501987</x:v>
      </x:c>
    </x:row>
    <x:row r="1859">
      <x:c r="A1859" s="32" t="n">
        <x:v>46357</x:v>
      </x:c>
      <x:c r="B1859" t="str">
        <x:v>Dec 2026</x:v>
      </x:c>
      <x:c r="C1859" t="str">
        <x:v>Forecast</x:v>
      </x:c>
      <x:c r="D1859" t="str">
        <x:v>DB-101</x:v>
      </x:c>
      <x:c r="E1859" t="str">
        <x:v>AeroSip Bottle</x:v>
      </x:c>
      <x:c r="F1859" t="str">
        <x:v>TikTok Shop</x:v>
      </x:c>
      <x:c r="G1859" t="str">
        <x:v>Social Commerce</x:v>
      </x:c>
      <x:c r="H1859" t="str">
        <x:v>US East</x:v>
      </x:c>
      <x:c r="I1859" s="34" t="n">
        <x:v>80.64</x:v>
      </x:c>
      <x:c r="J1859" s="38" t="n">
        <x:v>1.965325824</x:v>
      </x:c>
      <x:c r="K1859" s="38" t="n">
        <x:v>0.36421278566399984</x:v>
      </x:c>
      <x:c r="L1859" s="28" t="n">
        <x:v>0.18531928966501987</x:v>
      </x:c>
    </x:row>
    <x:row r="1860">
      <x:c r="A1860" s="32" t="n">
        <x:v>46357</x:v>
      </x:c>
      <x:c r="B1860" t="str">
        <x:v>Dec 2026</x:v>
      </x:c>
      <x:c r="C1860" t="str">
        <x:v>Forecast</x:v>
      </x:c>
      <x:c r="D1860" t="str">
        <x:v>DB-101</x:v>
      </x:c>
      <x:c r="E1860" t="str">
        <x:v>AeroSip Bottle</x:v>
      </x:c>
      <x:c r="F1860" t="str">
        <x:v>TikTok Shop</x:v>
      </x:c>
      <x:c r="G1860" t="str">
        <x:v>Social Commerce</x:v>
      </x:c>
      <x:c r="H1860" t="str">
        <x:v>Canada</x:v>
      </x:c>
      <x:c r="I1860" s="34" t="n">
        <x:v>25.200000000000003</x:v>
      </x:c>
      <x:c r="J1860" s="38" t="n">
        <x:v>0.61416432</x:v>
      </x:c>
      <x:c r="K1860" s="38" t="n">
        <x:v>0.11381649551999995</x:v>
      </x:c>
      <x:c r="L1860" s="28" t="n">
        <x:v>0.18531928966501987</x:v>
      </x:c>
    </x:row>
    <x:row r="1861">
      <x:c r="A1861" s="32" t="n">
        <x:v>46357</x:v>
      </x:c>
      <x:c r="B1861" t="str">
        <x:v>Dec 2026</x:v>
      </x:c>
      <x:c r="C1861" t="str">
        <x:v>Forecast</x:v>
      </x:c>
      <x:c r="D1861" t="str">
        <x:v>DB-102</x:v>
      </x:c>
      <x:c r="E1861" t="str">
        <x:v>GlowPatch Balm</x:v>
      </x:c>
      <x:c r="F1861" t="str">
        <x:v>Shopify DTC</x:v>
      </x:c>
      <x:c r="G1861" t="str">
        <x:v>Consumer</x:v>
      </x:c>
      <x:c r="H1861" t="str">
        <x:v>US West</x:v>
      </x:c>
      <x:c r="I1861" s="34" t="n">
        <x:v>340</x:v>
      </x:c>
      <x:c r="J1861" s="38" t="n">
        <x:v>5.48964</x:v>
      </x:c>
      <x:c r="K1861" s="38" t="n">
        <x:v>1.5170004399999986</x:v>
      </x:c>
      <x:c r="L1861" s="28" t="n">
        <x:v>0.2763387835996529</x:v>
      </x:c>
    </x:row>
    <x:row r="1862">
      <x:c r="A1862" s="32" t="n">
        <x:v>46357</x:v>
      </x:c>
      <x:c r="B1862" t="str">
        <x:v>Dec 2026</x:v>
      </x:c>
      <x:c r="C1862" t="str">
        <x:v>Forecast</x:v>
      </x:c>
      <x:c r="D1862" t="str">
        <x:v>DB-102</x:v>
      </x:c>
      <x:c r="E1862" t="str">
        <x:v>GlowPatch Balm</x:v>
      </x:c>
      <x:c r="F1862" t="str">
        <x:v>Shopify DTC</x:v>
      </x:c>
      <x:c r="G1862" t="str">
        <x:v>Consumer</x:v>
      </x:c>
      <x:c r="H1862" t="str">
        <x:v>US Central</x:v>
      </x:c>
      <x:c r="I1862" s="34" t="n">
        <x:v>240</x:v>
      </x:c>
      <x:c r="J1862" s="38" t="n">
        <x:v>3.8750399999999994</x:v>
      </x:c>
      <x:c r="K1862" s="38" t="n">
        <x:v>1.070823839999999</x:v>
      </x:c>
      <x:c r="L1862" s="28" t="n">
        <x:v>0.27633878359965297</x:v>
      </x:c>
    </x:row>
    <x:row r="1863">
      <x:c r="A1863" s="32" t="n">
        <x:v>46357</x:v>
      </x:c>
      <x:c r="B1863" t="str">
        <x:v>Dec 2026</x:v>
      </x:c>
      <x:c r="C1863" t="str">
        <x:v>Forecast</x:v>
      </x:c>
      <x:c r="D1863" t="str">
        <x:v>DB-102</x:v>
      </x:c>
      <x:c r="E1863" t="str">
        <x:v>GlowPatch Balm</x:v>
      </x:c>
      <x:c r="F1863" t="str">
        <x:v>Shopify DTC</x:v>
      </x:c>
      <x:c r="G1863" t="str">
        <x:v>Consumer</x:v>
      </x:c>
      <x:c r="H1863" t="str">
        <x:v>US East</x:v>
      </x:c>
      <x:c r="I1863" s="34" t="n">
        <x:v>320</x:v>
      </x:c>
      <x:c r="J1863" s="38" t="n">
        <x:v>5.166719999999999</x:v>
      </x:c>
      <x:c r="K1863" s="38" t="n">
        <x:v>1.4277651199999986</x:v>
      </x:c>
      <x:c r="L1863" s="28" t="n">
        <x:v>0.27633878359965297</x:v>
      </x:c>
    </x:row>
    <x:row r="1864">
      <x:c r="A1864" s="32" t="n">
        <x:v>46357</x:v>
      </x:c>
      <x:c r="B1864" t="str">
        <x:v>Dec 2026</x:v>
      </x:c>
      <x:c r="C1864" t="str">
        <x:v>Forecast</x:v>
      </x:c>
      <x:c r="D1864" t="str">
        <x:v>DB-102</x:v>
      </x:c>
      <x:c r="E1864" t="str">
        <x:v>GlowPatch Balm</x:v>
      </x:c>
      <x:c r="F1864" t="str">
        <x:v>Shopify DTC</x:v>
      </x:c>
      <x:c r="G1864" t="str">
        <x:v>Consumer</x:v>
      </x:c>
      <x:c r="H1864" t="str">
        <x:v>Canada</x:v>
      </x:c>
      <x:c r="I1864" s="34" t="n">
        <x:v>100</x:v>
      </x:c>
      <x:c r="J1864" s="38" t="n">
        <x:v>1.6145999999999998</x:v>
      </x:c>
      <x:c r="K1864" s="38" t="n">
        <x:v>0.4461765999999996</x:v>
      </x:c>
      <x:c r="L1864" s="28" t="n">
        <x:v>0.27633878359965297</x:v>
      </x:c>
    </x:row>
    <x:row r="1865">
      <x:c r="A1865" s="32" t="n">
        <x:v>46357</x:v>
      </x:c>
      <x:c r="B1865" t="str">
        <x:v>Dec 2026</x:v>
      </x:c>
      <x:c r="C1865" t="str">
        <x:v>Forecast</x:v>
      </x:c>
      <x:c r="D1865" t="str">
        <x:v>DB-102</x:v>
      </x:c>
      <x:c r="E1865" t="str">
        <x:v>GlowPatch Balm</x:v>
      </x:c>
      <x:c r="F1865" t="str">
        <x:v>Amazon Marketplace</x:v>
      </x:c>
      <x:c r="G1865" t="str">
        <x:v>Marketplace Consumer</x:v>
      </x:c>
      <x:c r="H1865" t="str">
        <x:v>US West</x:v>
      </x:c>
      <x:c r="I1865" s="34" t="n">
        <x:v>201.28</x:v>
      </x:c>
      <x:c r="J1865" s="38" t="n">
        <x:v>3.3558408</x:v>
      </x:c>
      <x:c r="K1865" s="38" t="n">
        <x:v>0.2829241999999999</x:v>
      </x:c>
      <x:c r="L1865" s="28" t="n">
        <x:v>0.08430799220272901</x:v>
      </x:c>
    </x:row>
    <x:row r="1866">
      <x:c r="A1866" s="32" t="n">
        <x:v>46357</x:v>
      </x:c>
      <x:c r="B1866" t="str">
        <x:v>Dec 2026</x:v>
      </x:c>
      <x:c r="C1866" t="str">
        <x:v>Forecast</x:v>
      </x:c>
      <x:c r="D1866" t="str">
        <x:v>DB-102</x:v>
      </x:c>
      <x:c r="E1866" t="str">
        <x:v>GlowPatch Balm</x:v>
      </x:c>
      <x:c r="F1866" t="str">
        <x:v>Amazon Marketplace</x:v>
      </x:c>
      <x:c r="G1866" t="str">
        <x:v>Marketplace Consumer</x:v>
      </x:c>
      <x:c r="H1866" t="str">
        <x:v>US Central</x:v>
      </x:c>
      <x:c r="I1866" s="34" t="n">
        <x:v>142.07999999999998</x:v>
      </x:c>
      <x:c r="J1866" s="38" t="n">
        <x:v>2.3688287999999997</x:v>
      </x:c>
      <x:c r="K1866" s="38" t="n">
        <x:v>0.1997111999999999</x:v>
      </x:c>
      <x:c r="L1866" s="28" t="n">
        <x:v>0.08430799220272901</x:v>
      </x:c>
    </x:row>
    <x:row r="1867">
      <x:c r="A1867" s="32" t="n">
        <x:v>46357</x:v>
      </x:c>
      <x:c r="B1867" t="str">
        <x:v>Dec 2026</x:v>
      </x:c>
      <x:c r="C1867" t="str">
        <x:v>Forecast</x:v>
      </x:c>
      <x:c r="D1867" t="str">
        <x:v>DB-102</x:v>
      </x:c>
      <x:c r="E1867" t="str">
        <x:v>GlowPatch Balm</x:v>
      </x:c>
      <x:c r="F1867" t="str">
        <x:v>Amazon Marketplace</x:v>
      </x:c>
      <x:c r="G1867" t="str">
        <x:v>Marketplace Consumer</x:v>
      </x:c>
      <x:c r="H1867" t="str">
        <x:v>US East</x:v>
      </x:c>
      <x:c r="I1867" s="34" t="n">
        <x:v>189.44</x:v>
      </x:c>
      <x:c r="J1867" s="38" t="n">
        <x:v>3.1584384</x:v>
      </x:c>
      <x:c r="K1867" s="38" t="n">
        <x:v>0.2662815999999999</x:v>
      </x:c>
      <x:c r="L1867" s="28" t="n">
        <x:v>0.08430799220272901</x:v>
      </x:c>
    </x:row>
    <x:row r="1868">
      <x:c r="A1868" s="32" t="n">
        <x:v>46357</x:v>
      </x:c>
      <x:c r="B1868" t="str">
        <x:v>Dec 2026</x:v>
      </x:c>
      <x:c r="C1868" t="str">
        <x:v>Forecast</x:v>
      </x:c>
      <x:c r="D1868" t="str">
        <x:v>DB-102</x:v>
      </x:c>
      <x:c r="E1868" t="str">
        <x:v>GlowPatch Balm</x:v>
      </x:c>
      <x:c r="F1868" t="str">
        <x:v>Amazon Marketplace</x:v>
      </x:c>
      <x:c r="G1868" t="str">
        <x:v>Marketplace Consumer</x:v>
      </x:c>
      <x:c r="H1868" t="str">
        <x:v>Canada</x:v>
      </x:c>
      <x:c r="I1868" s="34" t="n">
        <x:v>59.2</x:v>
      </x:c>
      <x:c r="J1868" s="38" t="n">
        <x:v>0.987012</x:v>
      </x:c>
      <x:c r="K1868" s="38" t="n">
        <x:v>0.08321299999999997</x:v>
      </x:c>
      <x:c r="L1868" s="28" t="n">
        <x:v>0.08430799220272901</x:v>
      </x:c>
    </x:row>
    <x:row r="1869">
      <x:c r="A1869" s="32" t="n">
        <x:v>46357</x:v>
      </x:c>
      <x:c r="B1869" t="str">
        <x:v>Dec 2026</x:v>
      </x:c>
      <x:c r="C1869" t="str">
        <x:v>Forecast</x:v>
      </x:c>
      <x:c r="D1869" t="str">
        <x:v>DB-102</x:v>
      </x:c>
      <x:c r="E1869" t="str">
        <x:v>GlowPatch Balm</x:v>
      </x:c>
      <x:c r="F1869" t="str">
        <x:v>Wholesale</x:v>
      </x:c>
      <x:c r="G1869" t="str">
        <x:v>Retailer</x:v>
      </x:c>
      <x:c r="H1869" t="str">
        <x:v>US West</x:v>
      </x:c>
      <x:c r="I1869" s="34" t="n">
        <x:v>55.760000000000005</x:v>
      </x:c>
      <x:c r="J1869" s="38" t="n">
        <x:v>0.6360822</x:v>
      </x:c>
      <x:c r="K1869" s="38" t="n">
        <x:v>0.15844204000000003</x:v>
      </x:c>
      <x:c r="L1869" s="28" t="n">
        <x:v>0.2490905106289722</x:v>
      </x:c>
    </x:row>
    <x:row r="1870">
      <x:c r="A1870" s="32" t="n">
        <x:v>46357</x:v>
      </x:c>
      <x:c r="B1870" t="str">
        <x:v>Dec 2026</x:v>
      </x:c>
      <x:c r="C1870" t="str">
        <x:v>Forecast</x:v>
      </x:c>
      <x:c r="D1870" t="str">
        <x:v>DB-102</x:v>
      </x:c>
      <x:c r="E1870" t="str">
        <x:v>GlowPatch Balm</x:v>
      </x:c>
      <x:c r="F1870" t="str">
        <x:v>Wholesale</x:v>
      </x:c>
      <x:c r="G1870" t="str">
        <x:v>Retailer</x:v>
      </x:c>
      <x:c r="H1870" t="str">
        <x:v>US Central</x:v>
      </x:c>
      <x:c r="I1870" s="34" t="n">
        <x:v>39.36</x:v>
      </x:c>
      <x:c r="J1870" s="38" t="n">
        <x:v>0.4489992</x:v>
      </x:c>
      <x:c r="K1870" s="38" t="n">
        <x:v>0.11184144</x:v>
      </x:c>
      <x:c r="L1870" s="28" t="n">
        <x:v>0.24909051062897217</x:v>
      </x:c>
    </x:row>
    <x:row r="1871">
      <x:c r="A1871" s="32" t="n">
        <x:v>46357</x:v>
      </x:c>
      <x:c r="B1871" t="str">
        <x:v>Dec 2026</x:v>
      </x:c>
      <x:c r="C1871" t="str">
        <x:v>Forecast</x:v>
      </x:c>
      <x:c r="D1871" t="str">
        <x:v>DB-102</x:v>
      </x:c>
      <x:c r="E1871" t="str">
        <x:v>GlowPatch Balm</x:v>
      </x:c>
      <x:c r="F1871" t="str">
        <x:v>Wholesale</x:v>
      </x:c>
      <x:c r="G1871" t="str">
        <x:v>Retailer</x:v>
      </x:c>
      <x:c r="H1871" t="str">
        <x:v>US East</x:v>
      </x:c>
      <x:c r="I1871" s="34" t="n">
        <x:v>52.480000000000004</x:v>
      </x:c>
      <x:c r="J1871" s="38" t="n">
        <x:v>0.5986656</x:v>
      </x:c>
      <x:c r="K1871" s="38" t="n">
        <x:v>0.14912192000000002</x:v>
      </x:c>
      <x:c r="L1871" s="28" t="n">
        <x:v>0.2490905106289722</x:v>
      </x:c>
    </x:row>
    <x:row r="1872">
      <x:c r="A1872" s="32" t="n">
        <x:v>46357</x:v>
      </x:c>
      <x:c r="B1872" t="str">
        <x:v>Dec 2026</x:v>
      </x:c>
      <x:c r="C1872" t="str">
        <x:v>Forecast</x:v>
      </x:c>
      <x:c r="D1872" t="str">
        <x:v>DB-102</x:v>
      </x:c>
      <x:c r="E1872" t="str">
        <x:v>GlowPatch Balm</x:v>
      </x:c>
      <x:c r="F1872" t="str">
        <x:v>Wholesale</x:v>
      </x:c>
      <x:c r="G1872" t="str">
        <x:v>Retailer</x:v>
      </x:c>
      <x:c r="H1872" t="str">
        <x:v>Canada</x:v>
      </x:c>
      <x:c r="I1872" s="34" t="n">
        <x:v>16.400000000000002</x:v>
      </x:c>
      <x:c r="J1872" s="38" t="n">
        <x:v>0.187083</x:v>
      </x:c>
      <x:c r="K1872" s="38" t="n">
        <x:v>0.046600600000000006</x:v>
      </x:c>
      <x:c r="L1872" s="28" t="n">
        <x:v>0.2490905106289722</x:v>
      </x:c>
    </x:row>
    <x:row r="1873">
      <x:c r="A1873" s="32" t="n">
        <x:v>46357</x:v>
      </x:c>
      <x:c r="B1873" t="str">
        <x:v>Dec 2026</x:v>
      </x:c>
      <x:c r="C1873" t="str">
        <x:v>Forecast</x:v>
      </x:c>
      <x:c r="D1873" t="str">
        <x:v>DB-102</x:v>
      </x:c>
      <x:c r="E1873" t="str">
        <x:v>GlowPatch Balm</x:v>
      </x:c>
      <x:c r="F1873" t="str">
        <x:v>TikTok Shop</x:v>
      </x:c>
      <x:c r="G1873" t="str">
        <x:v>Social Commerce</x:v>
      </x:c>
      <x:c r="H1873" t="str">
        <x:v>US West</x:v>
      </x:c>
      <x:c r="I1873" s="34" t="n">
        <x:v>85.68</x:v>
      </x:c>
      <x:c r="J1873" s="38" t="n">
        <x:v>1.32324192</x:v>
      </x:c>
      <x:c r="K1873" s="38" t="n">
        <x:v>0.15452250911999998</x:v>
      </x:c>
      <x:c r="L1873" s="28" t="n">
        <x:v>0.11677570577570576</x:v>
      </x:c>
    </x:row>
    <x:row r="1874">
      <x:c r="A1874" s="32" t="n">
        <x:v>46357</x:v>
      </x:c>
      <x:c r="B1874" t="str">
        <x:v>Dec 2026</x:v>
      </x:c>
      <x:c r="C1874" t="str">
        <x:v>Forecast</x:v>
      </x:c>
      <x:c r="D1874" t="str">
        <x:v>DB-102</x:v>
      </x:c>
      <x:c r="E1874" t="str">
        <x:v>GlowPatch Balm</x:v>
      </x:c>
      <x:c r="F1874" t="str">
        <x:v>TikTok Shop</x:v>
      </x:c>
      <x:c r="G1874" t="str">
        <x:v>Social Commerce</x:v>
      </x:c>
      <x:c r="H1874" t="str">
        <x:v>US Central</x:v>
      </x:c>
      <x:c r="I1874" s="34" t="n">
        <x:v>60.48</x:v>
      </x:c>
      <x:c r="J1874" s="38" t="n">
        <x:v>0.93405312</x:v>
      </x:c>
      <x:c r="K1874" s="38" t="n">
        <x:v>0.10907471231999999</x:v>
      </x:c>
      <x:c r="L1874" s="28" t="n">
        <x:v>0.11677570577570577</x:v>
      </x:c>
    </x:row>
    <x:row r="1875">
      <x:c r="A1875" s="32" t="n">
        <x:v>46357</x:v>
      </x:c>
      <x:c r="B1875" t="str">
        <x:v>Dec 2026</x:v>
      </x:c>
      <x:c r="C1875" t="str">
        <x:v>Forecast</x:v>
      </x:c>
      <x:c r="D1875" t="str">
        <x:v>DB-102</x:v>
      </x:c>
      <x:c r="E1875" t="str">
        <x:v>GlowPatch Balm</x:v>
      </x:c>
      <x:c r="F1875" t="str">
        <x:v>TikTok Shop</x:v>
      </x:c>
      <x:c r="G1875" t="str">
        <x:v>Social Commerce</x:v>
      </x:c>
      <x:c r="H1875" t="str">
        <x:v>US East</x:v>
      </x:c>
      <x:c r="I1875" s="34" t="n">
        <x:v>80.64</x:v>
      </x:c>
      <x:c r="J1875" s="38" t="n">
        <x:v>1.2454041599999999</x:v>
      </x:c>
      <x:c r="K1875" s="38" t="n">
        <x:v>0.14543294975999999</x:v>
      </x:c>
      <x:c r="L1875" s="28" t="n">
        <x:v>0.11677570577570577</x:v>
      </x:c>
    </x:row>
    <x:row r="1876">
      <x:c r="A1876" s="32" t="n">
        <x:v>46357</x:v>
      </x:c>
      <x:c r="B1876" t="str">
        <x:v>Dec 2026</x:v>
      </x:c>
      <x:c r="C1876" t="str">
        <x:v>Forecast</x:v>
      </x:c>
      <x:c r="D1876" t="str">
        <x:v>DB-102</x:v>
      </x:c>
      <x:c r="E1876" t="str">
        <x:v>GlowPatch Balm</x:v>
      </x:c>
      <x:c r="F1876" t="str">
        <x:v>TikTok Shop</x:v>
      </x:c>
      <x:c r="G1876" t="str">
        <x:v>Social Commerce</x:v>
      </x:c>
      <x:c r="H1876" t="str">
        <x:v>Canada</x:v>
      </x:c>
      <x:c r="I1876" s="34" t="n">
        <x:v>25.200000000000003</x:v>
      </x:c>
      <x:c r="J1876" s="38" t="n">
        <x:v>0.3891888</x:v>
      </x:c>
      <x:c r="K1876" s="38" t="n">
        <x:v>0.045447796799999995</x:v>
      </x:c>
      <x:c r="L1876" s="28" t="n">
        <x:v>0.11677570577570576</x:v>
      </x:c>
    </x:row>
    <x:row r="1877">
      <x:c r="A1877" s="32" t="n">
        <x:v>46357</x:v>
      </x:c>
      <x:c r="B1877" t="str">
        <x:v>Dec 2026</x:v>
      </x:c>
      <x:c r="C1877" t="str">
        <x:v>Forecast</x:v>
      </x:c>
      <x:c r="D1877" t="str">
        <x:v>DB-103</x:v>
      </x:c>
      <x:c r="E1877" t="str">
        <x:v>EmberTrail Camp Mug</x:v>
      </x:c>
      <x:c r="F1877" t="str">
        <x:v>Shopify DTC</x:v>
      </x:c>
      <x:c r="G1877" t="str">
        <x:v>Consumer</x:v>
      </x:c>
      <x:c r="H1877" t="str">
        <x:v>US West</x:v>
      </x:c>
      <x:c r="I1877" s="34" t="n">
        <x:v>0</x:v>
      </x:c>
      <x:c r="J1877" s="38" t="n">
        <x:v>0</x:v>
      </x:c>
      <x:c r="K1877" s="38" t="n">
        <x:v>0</x:v>
      </x:c>
      <x:c r="L1877" s="28" t="n">
        <x:v>0</x:v>
      </x:c>
    </x:row>
    <x:row r="1878">
      <x:c r="A1878" s="32" t="n">
        <x:v>46357</x:v>
      </x:c>
      <x:c r="B1878" t="str">
        <x:v>Dec 2026</x:v>
      </x:c>
      <x:c r="C1878" t="str">
        <x:v>Forecast</x:v>
      </x:c>
      <x:c r="D1878" t="str">
        <x:v>DB-103</x:v>
      </x:c>
      <x:c r="E1878" t="str">
        <x:v>EmberTrail Camp Mug</x:v>
      </x:c>
      <x:c r="F1878" t="str">
        <x:v>Shopify DTC</x:v>
      </x:c>
      <x:c r="G1878" t="str">
        <x:v>Consumer</x:v>
      </x:c>
      <x:c r="H1878" t="str">
        <x:v>US Central</x:v>
      </x:c>
      <x:c r="I1878" s="34" t="n">
        <x:v>0</x:v>
      </x:c>
      <x:c r="J1878" s="38" t="n">
        <x:v>0</x:v>
      </x:c>
      <x:c r="K1878" s="38" t="n">
        <x:v>0</x:v>
      </x:c>
      <x:c r="L1878" s="28" t="n">
        <x:v>0</x:v>
      </x:c>
    </x:row>
    <x:row r="1879">
      <x:c r="A1879" s="32" t="n">
        <x:v>46357</x:v>
      </x:c>
      <x:c r="B1879" t="str">
        <x:v>Dec 2026</x:v>
      </x:c>
      <x:c r="C1879" t="str">
        <x:v>Forecast</x:v>
      </x:c>
      <x:c r="D1879" t="str">
        <x:v>DB-103</x:v>
      </x:c>
      <x:c r="E1879" t="str">
        <x:v>EmberTrail Camp Mug</x:v>
      </x:c>
      <x:c r="F1879" t="str">
        <x:v>Shopify DTC</x:v>
      </x:c>
      <x:c r="G1879" t="str">
        <x:v>Consumer</x:v>
      </x:c>
      <x:c r="H1879" t="str">
        <x:v>US East</x:v>
      </x:c>
      <x:c r="I1879" s="34" t="n">
        <x:v>0</x:v>
      </x:c>
      <x:c r="J1879" s="38" t="n">
        <x:v>0</x:v>
      </x:c>
      <x:c r="K1879" s="38" t="n">
        <x:v>0</x:v>
      </x:c>
      <x:c r="L1879" s="28" t="n">
        <x:v>0</x:v>
      </x:c>
    </x:row>
    <x:row r="1880">
      <x:c r="A1880" s="32" t="n">
        <x:v>46357</x:v>
      </x:c>
      <x:c r="B1880" t="str">
        <x:v>Dec 2026</x:v>
      </x:c>
      <x:c r="C1880" t="str">
        <x:v>Forecast</x:v>
      </x:c>
      <x:c r="D1880" t="str">
        <x:v>DB-103</x:v>
      </x:c>
      <x:c r="E1880" t="str">
        <x:v>EmberTrail Camp Mug</x:v>
      </x:c>
      <x:c r="F1880" t="str">
        <x:v>Shopify DTC</x:v>
      </x:c>
      <x:c r="G1880" t="str">
        <x:v>Consumer</x:v>
      </x:c>
      <x:c r="H1880" t="str">
        <x:v>Canada</x:v>
      </x:c>
      <x:c r="I1880" s="34" t="n">
        <x:v>0</x:v>
      </x:c>
      <x:c r="J1880" s="38" t="n">
        <x:v>0</x:v>
      </x:c>
      <x:c r="K1880" s="38" t="n">
        <x:v>0</x:v>
      </x:c>
      <x:c r="L1880" s="28" t="n">
        <x:v>0</x:v>
      </x:c>
    </x:row>
    <x:row r="1881">
      <x:c r="A1881" s="32" t="n">
        <x:v>46357</x:v>
      </x:c>
      <x:c r="B1881" t="str">
        <x:v>Dec 2026</x:v>
      </x:c>
      <x:c r="C1881" t="str">
        <x:v>Forecast</x:v>
      </x:c>
      <x:c r="D1881" t="str">
        <x:v>DB-103</x:v>
      </x:c>
      <x:c r="E1881" t="str">
        <x:v>EmberTrail Camp Mug</x:v>
      </x:c>
      <x:c r="F1881" t="str">
        <x:v>Amazon Marketplace</x:v>
      </x:c>
      <x:c r="G1881" t="str">
        <x:v>Marketplace Consumer</x:v>
      </x:c>
      <x:c r="H1881" t="str">
        <x:v>US West</x:v>
      </x:c>
      <x:c r="I1881" s="34" t="n">
        <x:v>0</x:v>
      </x:c>
      <x:c r="J1881" s="38" t="n">
        <x:v>0</x:v>
      </x:c>
      <x:c r="K1881" s="38" t="n">
        <x:v>0</x:v>
      </x:c>
      <x:c r="L1881" s="28" t="n">
        <x:v>0</x:v>
      </x:c>
    </x:row>
    <x:row r="1882">
      <x:c r="A1882" s="32" t="n">
        <x:v>46357</x:v>
      </x:c>
      <x:c r="B1882" t="str">
        <x:v>Dec 2026</x:v>
      </x:c>
      <x:c r="C1882" t="str">
        <x:v>Forecast</x:v>
      </x:c>
      <x:c r="D1882" t="str">
        <x:v>DB-103</x:v>
      </x:c>
      <x:c r="E1882" t="str">
        <x:v>EmberTrail Camp Mug</x:v>
      </x:c>
      <x:c r="F1882" t="str">
        <x:v>Amazon Marketplace</x:v>
      </x:c>
      <x:c r="G1882" t="str">
        <x:v>Marketplace Consumer</x:v>
      </x:c>
      <x:c r="H1882" t="str">
        <x:v>US Central</x:v>
      </x:c>
      <x:c r="I1882" s="34" t="n">
        <x:v>0</x:v>
      </x:c>
      <x:c r="J1882" s="38" t="n">
        <x:v>0</x:v>
      </x:c>
      <x:c r="K1882" s="38" t="n">
        <x:v>0</x:v>
      </x:c>
      <x:c r="L1882" s="28" t="n">
        <x:v>0</x:v>
      </x:c>
    </x:row>
    <x:row r="1883">
      <x:c r="A1883" s="32" t="n">
        <x:v>46357</x:v>
      </x:c>
      <x:c r="B1883" t="str">
        <x:v>Dec 2026</x:v>
      </x:c>
      <x:c r="C1883" t="str">
        <x:v>Forecast</x:v>
      </x:c>
      <x:c r="D1883" t="str">
        <x:v>DB-103</x:v>
      </x:c>
      <x:c r="E1883" t="str">
        <x:v>EmberTrail Camp Mug</x:v>
      </x:c>
      <x:c r="F1883" t="str">
        <x:v>Amazon Marketplace</x:v>
      </x:c>
      <x:c r="G1883" t="str">
        <x:v>Marketplace Consumer</x:v>
      </x:c>
      <x:c r="H1883" t="str">
        <x:v>US East</x:v>
      </x:c>
      <x:c r="I1883" s="34" t="n">
        <x:v>0</x:v>
      </x:c>
      <x:c r="J1883" s="38" t="n">
        <x:v>0</x:v>
      </x:c>
      <x:c r="K1883" s="38" t="n">
        <x:v>0</x:v>
      </x:c>
      <x:c r="L1883" s="28" t="n">
        <x:v>0</x:v>
      </x:c>
    </x:row>
    <x:row r="1884">
      <x:c r="A1884" s="32" t="n">
        <x:v>46357</x:v>
      </x:c>
      <x:c r="B1884" t="str">
        <x:v>Dec 2026</x:v>
      </x:c>
      <x:c r="C1884" t="str">
        <x:v>Forecast</x:v>
      </x:c>
      <x:c r="D1884" t="str">
        <x:v>DB-103</x:v>
      </x:c>
      <x:c r="E1884" t="str">
        <x:v>EmberTrail Camp Mug</x:v>
      </x:c>
      <x:c r="F1884" t="str">
        <x:v>Amazon Marketplace</x:v>
      </x:c>
      <x:c r="G1884" t="str">
        <x:v>Marketplace Consumer</x:v>
      </x:c>
      <x:c r="H1884" t="str">
        <x:v>Canada</x:v>
      </x:c>
      <x:c r="I1884" s="34" t="n">
        <x:v>0</x:v>
      </x:c>
      <x:c r="J1884" s="38" t="n">
        <x:v>0</x:v>
      </x:c>
      <x:c r="K1884" s="38" t="n">
        <x:v>0</x:v>
      </x:c>
      <x:c r="L1884" s="28" t="n">
        <x:v>0</x:v>
      </x:c>
    </x:row>
    <x:row r="1885">
      <x:c r="A1885" s="32" t="n">
        <x:v>46357</x:v>
      </x:c>
      <x:c r="B1885" t="str">
        <x:v>Dec 2026</x:v>
      </x:c>
      <x:c r="C1885" t="str">
        <x:v>Forecast</x:v>
      </x:c>
      <x:c r="D1885" t="str">
        <x:v>DB-103</x:v>
      </x:c>
      <x:c r="E1885" t="str">
        <x:v>EmberTrail Camp Mug</x:v>
      </x:c>
      <x:c r="F1885" t="str">
        <x:v>Wholesale</x:v>
      </x:c>
      <x:c r="G1885" t="str">
        <x:v>Retailer</x:v>
      </x:c>
      <x:c r="H1885" t="str">
        <x:v>US West</x:v>
      </x:c>
      <x:c r="I1885" s="34" t="n">
        <x:v>0</x:v>
      </x:c>
      <x:c r="J1885" s="38" t="n">
        <x:v>0</x:v>
      </x:c>
      <x:c r="K1885" s="38" t="n">
        <x:v>0</x:v>
      </x:c>
      <x:c r="L1885" s="28" t="n">
        <x:v>0</x:v>
      </x:c>
    </x:row>
    <x:row r="1886">
      <x:c r="A1886" s="32" t="n">
        <x:v>46357</x:v>
      </x:c>
      <x:c r="B1886" t="str">
        <x:v>Dec 2026</x:v>
      </x:c>
      <x:c r="C1886" t="str">
        <x:v>Forecast</x:v>
      </x:c>
      <x:c r="D1886" t="str">
        <x:v>DB-103</x:v>
      </x:c>
      <x:c r="E1886" t="str">
        <x:v>EmberTrail Camp Mug</x:v>
      </x:c>
      <x:c r="F1886" t="str">
        <x:v>Wholesale</x:v>
      </x:c>
      <x:c r="G1886" t="str">
        <x:v>Retailer</x:v>
      </x:c>
      <x:c r="H1886" t="str">
        <x:v>US Central</x:v>
      </x:c>
      <x:c r="I1886" s="34" t="n">
        <x:v>0</x:v>
      </x:c>
      <x:c r="J1886" s="38" t="n">
        <x:v>0</x:v>
      </x:c>
      <x:c r="K1886" s="38" t="n">
        <x:v>0</x:v>
      </x:c>
      <x:c r="L1886" s="28" t="n">
        <x:v>0</x:v>
      </x:c>
    </x:row>
    <x:row r="1887">
      <x:c r="A1887" s="32" t="n">
        <x:v>46357</x:v>
      </x:c>
      <x:c r="B1887" t="str">
        <x:v>Dec 2026</x:v>
      </x:c>
      <x:c r="C1887" t="str">
        <x:v>Forecast</x:v>
      </x:c>
      <x:c r="D1887" t="str">
        <x:v>DB-103</x:v>
      </x:c>
      <x:c r="E1887" t="str">
        <x:v>EmberTrail Camp Mug</x:v>
      </x:c>
      <x:c r="F1887" t="str">
        <x:v>Wholesale</x:v>
      </x:c>
      <x:c r="G1887" t="str">
        <x:v>Retailer</x:v>
      </x:c>
      <x:c r="H1887" t="str">
        <x:v>US East</x:v>
      </x:c>
      <x:c r="I1887" s="34" t="n">
        <x:v>0</x:v>
      </x:c>
      <x:c r="J1887" s="38" t="n">
        <x:v>0</x:v>
      </x:c>
      <x:c r="K1887" s="38" t="n">
        <x:v>0</x:v>
      </x:c>
      <x:c r="L1887" s="28" t="n">
        <x:v>0</x:v>
      </x:c>
    </x:row>
    <x:row r="1888">
      <x:c r="A1888" s="32" t="n">
        <x:v>46357</x:v>
      </x:c>
      <x:c r="B1888" t="str">
        <x:v>Dec 2026</x:v>
      </x:c>
      <x:c r="C1888" t="str">
        <x:v>Forecast</x:v>
      </x:c>
      <x:c r="D1888" t="str">
        <x:v>DB-103</x:v>
      </x:c>
      <x:c r="E1888" t="str">
        <x:v>EmberTrail Camp Mug</x:v>
      </x:c>
      <x:c r="F1888" t="str">
        <x:v>Wholesale</x:v>
      </x:c>
      <x:c r="G1888" t="str">
        <x:v>Retailer</x:v>
      </x:c>
      <x:c r="H1888" t="str">
        <x:v>Canada</x:v>
      </x:c>
      <x:c r="I1888" s="34" t="n">
        <x:v>0</x:v>
      </x:c>
      <x:c r="J1888" s="38" t="n">
        <x:v>0</x:v>
      </x:c>
      <x:c r="K1888" s="38" t="n">
        <x:v>0</x:v>
      </x:c>
      <x:c r="L1888" s="28" t="n">
        <x:v>0</x:v>
      </x:c>
    </x:row>
    <x:row r="1889">
      <x:c r="A1889" s="32" t="n">
        <x:v>46357</x:v>
      </x:c>
      <x:c r="B1889" t="str">
        <x:v>Dec 2026</x:v>
      </x:c>
      <x:c r="C1889" t="str">
        <x:v>Forecast</x:v>
      </x:c>
      <x:c r="D1889" t="str">
        <x:v>DB-103</x:v>
      </x:c>
      <x:c r="E1889" t="str">
        <x:v>EmberTrail Camp Mug</x:v>
      </x:c>
      <x:c r="F1889" t="str">
        <x:v>TikTok Shop</x:v>
      </x:c>
      <x:c r="G1889" t="str">
        <x:v>Social Commerce</x:v>
      </x:c>
      <x:c r="H1889" t="str">
        <x:v>US West</x:v>
      </x:c>
      <x:c r="I1889" s="34" t="n">
        <x:v>0</x:v>
      </x:c>
      <x:c r="J1889" s="38" t="n">
        <x:v>0</x:v>
      </x:c>
      <x:c r="K1889" s="38" t="n">
        <x:v>0</x:v>
      </x:c>
      <x:c r="L1889" s="28" t="n">
        <x:v>0</x:v>
      </x:c>
    </x:row>
    <x:row r="1890">
      <x:c r="A1890" s="32" t="n">
        <x:v>46357</x:v>
      </x:c>
      <x:c r="B1890" t="str">
        <x:v>Dec 2026</x:v>
      </x:c>
      <x:c r="C1890" t="str">
        <x:v>Forecast</x:v>
      </x:c>
      <x:c r="D1890" t="str">
        <x:v>DB-103</x:v>
      </x:c>
      <x:c r="E1890" t="str">
        <x:v>EmberTrail Camp Mug</x:v>
      </x:c>
      <x:c r="F1890" t="str">
        <x:v>TikTok Shop</x:v>
      </x:c>
      <x:c r="G1890" t="str">
        <x:v>Social Commerce</x:v>
      </x:c>
      <x:c r="H1890" t="str">
        <x:v>US Central</x:v>
      </x:c>
      <x:c r="I1890" s="34" t="n">
        <x:v>0</x:v>
      </x:c>
      <x:c r="J1890" s="38" t="n">
        <x:v>0</x:v>
      </x:c>
      <x:c r="K1890" s="38" t="n">
        <x:v>0</x:v>
      </x:c>
      <x:c r="L1890" s="28" t="n">
        <x:v>0</x:v>
      </x:c>
    </x:row>
    <x:row r="1891">
      <x:c r="A1891" s="32" t="n">
        <x:v>46357</x:v>
      </x:c>
      <x:c r="B1891" t="str">
        <x:v>Dec 2026</x:v>
      </x:c>
      <x:c r="C1891" t="str">
        <x:v>Forecast</x:v>
      </x:c>
      <x:c r="D1891" t="str">
        <x:v>DB-103</x:v>
      </x:c>
      <x:c r="E1891" t="str">
        <x:v>EmberTrail Camp Mug</x:v>
      </x:c>
      <x:c r="F1891" t="str">
        <x:v>TikTok Shop</x:v>
      </x:c>
      <x:c r="G1891" t="str">
        <x:v>Social Commerce</x:v>
      </x:c>
      <x:c r="H1891" t="str">
        <x:v>US East</x:v>
      </x:c>
      <x:c r="I1891" s="34" t="n">
        <x:v>0</x:v>
      </x:c>
      <x:c r="J1891" s="38" t="n">
        <x:v>0</x:v>
      </x:c>
      <x:c r="K1891" s="38" t="n">
        <x:v>0</x:v>
      </x:c>
      <x:c r="L1891" s="28" t="n">
        <x:v>0</x:v>
      </x:c>
    </x:row>
    <x:row r="1892">
      <x:c r="A1892" s="32" t="n">
        <x:v>46357</x:v>
      </x:c>
      <x:c r="B1892" t="str">
        <x:v>Dec 2026</x:v>
      </x:c>
      <x:c r="C1892" t="str">
        <x:v>Forecast</x:v>
      </x:c>
      <x:c r="D1892" t="str">
        <x:v>DB-103</x:v>
      </x:c>
      <x:c r="E1892" t="str">
        <x:v>EmberTrail Camp Mug</x:v>
      </x:c>
      <x:c r="F1892" t="str">
        <x:v>TikTok Shop</x:v>
      </x:c>
      <x:c r="G1892" t="str">
        <x:v>Social Commerce</x:v>
      </x:c>
      <x:c r="H1892" t="str">
        <x:v>Canada</x:v>
      </x:c>
      <x:c r="I1892" s="34" t="n">
        <x:v>0</x:v>
      </x:c>
      <x:c r="J1892" s="38" t="n">
        <x:v>0</x:v>
      </x:c>
      <x:c r="K1892" s="38" t="n">
        <x:v>0</x:v>
      </x:c>
      <x:c r="L1892" s="28" t="n">
        <x:v>0</x:v>
      </x:c>
    </x:row>
    <x:row r="1893">
      <x:c r="A1893" s="32" t="n">
        <x:v>46357</x:v>
      </x:c>
      <x:c r="B1893" t="str">
        <x:v>Dec 2026</x:v>
      </x:c>
      <x:c r="C1893" t="str">
        <x:v>Forecast</x:v>
      </x:c>
      <x:c r="D1893" t="str">
        <x:v>DB-104</x:v>
      </x:c>
      <x:c r="E1893" t="str">
        <x:v>SunNest Cooling Towel</x:v>
      </x:c>
      <x:c r="F1893" t="str">
        <x:v>Shopify DTC</x:v>
      </x:c>
      <x:c r="G1893" t="str">
        <x:v>Consumer</x:v>
      </x:c>
      <x:c r="H1893" t="str">
        <x:v>US West</x:v>
      </x:c>
      <x:c r="I1893" s="34" t="n">
        <x:v>0</x:v>
      </x:c>
      <x:c r="J1893" s="38" t="n">
        <x:v>0</x:v>
      </x:c>
      <x:c r="K1893" s="38" t="n">
        <x:v>0</x:v>
      </x:c>
      <x:c r="L1893" s="28" t="n">
        <x:v>0</x:v>
      </x:c>
    </x:row>
    <x:row r="1894">
      <x:c r="A1894" s="32" t="n">
        <x:v>46357</x:v>
      </x:c>
      <x:c r="B1894" t="str">
        <x:v>Dec 2026</x:v>
      </x:c>
      <x:c r="C1894" t="str">
        <x:v>Forecast</x:v>
      </x:c>
      <x:c r="D1894" t="str">
        <x:v>DB-104</x:v>
      </x:c>
      <x:c r="E1894" t="str">
        <x:v>SunNest Cooling Towel</x:v>
      </x:c>
      <x:c r="F1894" t="str">
        <x:v>Shopify DTC</x:v>
      </x:c>
      <x:c r="G1894" t="str">
        <x:v>Consumer</x:v>
      </x:c>
      <x:c r="H1894" t="str">
        <x:v>US Central</x:v>
      </x:c>
      <x:c r="I1894" s="34" t="n">
        <x:v>0</x:v>
      </x:c>
      <x:c r="J1894" s="38" t="n">
        <x:v>0</x:v>
      </x:c>
      <x:c r="K1894" s="38" t="n">
        <x:v>0</x:v>
      </x:c>
      <x:c r="L1894" s="28" t="n">
        <x:v>0</x:v>
      </x:c>
    </x:row>
    <x:row r="1895">
      <x:c r="A1895" s="32" t="n">
        <x:v>46357</x:v>
      </x:c>
      <x:c r="B1895" t="str">
        <x:v>Dec 2026</x:v>
      </x:c>
      <x:c r="C1895" t="str">
        <x:v>Forecast</x:v>
      </x:c>
      <x:c r="D1895" t="str">
        <x:v>DB-104</x:v>
      </x:c>
      <x:c r="E1895" t="str">
        <x:v>SunNest Cooling Towel</x:v>
      </x:c>
      <x:c r="F1895" t="str">
        <x:v>Shopify DTC</x:v>
      </x:c>
      <x:c r="G1895" t="str">
        <x:v>Consumer</x:v>
      </x:c>
      <x:c r="H1895" t="str">
        <x:v>US East</x:v>
      </x:c>
      <x:c r="I1895" s="34" t="n">
        <x:v>0</x:v>
      </x:c>
      <x:c r="J1895" s="38" t="n">
        <x:v>0</x:v>
      </x:c>
      <x:c r="K1895" s="38" t="n">
        <x:v>0</x:v>
      </x:c>
      <x:c r="L1895" s="28" t="n">
        <x:v>0</x:v>
      </x:c>
    </x:row>
    <x:row r="1896">
      <x:c r="A1896" s="32" t="n">
        <x:v>46357</x:v>
      </x:c>
      <x:c r="B1896" t="str">
        <x:v>Dec 2026</x:v>
      </x:c>
      <x:c r="C1896" t="str">
        <x:v>Forecast</x:v>
      </x:c>
      <x:c r="D1896" t="str">
        <x:v>DB-104</x:v>
      </x:c>
      <x:c r="E1896" t="str">
        <x:v>SunNest Cooling Towel</x:v>
      </x:c>
      <x:c r="F1896" t="str">
        <x:v>Shopify DTC</x:v>
      </x:c>
      <x:c r="G1896" t="str">
        <x:v>Consumer</x:v>
      </x:c>
      <x:c r="H1896" t="str">
        <x:v>Canada</x:v>
      </x:c>
      <x:c r="I1896" s="34" t="n">
        <x:v>0</x:v>
      </x:c>
      <x:c r="J1896" s="38" t="n">
        <x:v>0</x:v>
      </x:c>
      <x:c r="K1896" s="38" t="n">
        <x:v>0</x:v>
      </x:c>
      <x:c r="L1896" s="28" t="n">
        <x:v>0</x:v>
      </x:c>
    </x:row>
    <x:row r="1897">
      <x:c r="A1897" s="32" t="n">
        <x:v>46357</x:v>
      </x:c>
      <x:c r="B1897" t="str">
        <x:v>Dec 2026</x:v>
      </x:c>
      <x:c r="C1897" t="str">
        <x:v>Forecast</x:v>
      </x:c>
      <x:c r="D1897" t="str">
        <x:v>DB-104</x:v>
      </x:c>
      <x:c r="E1897" t="str">
        <x:v>SunNest Cooling Towel</x:v>
      </x:c>
      <x:c r="F1897" t="str">
        <x:v>Amazon Marketplace</x:v>
      </x:c>
      <x:c r="G1897" t="str">
        <x:v>Marketplace Consumer</x:v>
      </x:c>
      <x:c r="H1897" t="str">
        <x:v>US West</x:v>
      </x:c>
      <x:c r="I1897" s="34" t="n">
        <x:v>0</x:v>
      </x:c>
      <x:c r="J1897" s="38" t="n">
        <x:v>0</x:v>
      </x:c>
      <x:c r="K1897" s="38" t="n">
        <x:v>0</x:v>
      </x:c>
      <x:c r="L1897" s="28" t="n">
        <x:v>0</x:v>
      </x:c>
    </x:row>
    <x:row r="1898">
      <x:c r="A1898" s="32" t="n">
        <x:v>46357</x:v>
      </x:c>
      <x:c r="B1898" t="str">
        <x:v>Dec 2026</x:v>
      </x:c>
      <x:c r="C1898" t="str">
        <x:v>Forecast</x:v>
      </x:c>
      <x:c r="D1898" t="str">
        <x:v>DB-104</x:v>
      </x:c>
      <x:c r="E1898" t="str">
        <x:v>SunNest Cooling Towel</x:v>
      </x:c>
      <x:c r="F1898" t="str">
        <x:v>Amazon Marketplace</x:v>
      </x:c>
      <x:c r="G1898" t="str">
        <x:v>Marketplace Consumer</x:v>
      </x:c>
      <x:c r="H1898" t="str">
        <x:v>US Central</x:v>
      </x:c>
      <x:c r="I1898" s="34" t="n">
        <x:v>0</x:v>
      </x:c>
      <x:c r="J1898" s="38" t="n">
        <x:v>0</x:v>
      </x:c>
      <x:c r="K1898" s="38" t="n">
        <x:v>0</x:v>
      </x:c>
      <x:c r="L1898" s="28" t="n">
        <x:v>0</x:v>
      </x:c>
    </x:row>
    <x:row r="1899">
      <x:c r="A1899" s="32" t="n">
        <x:v>46357</x:v>
      </x:c>
      <x:c r="B1899" t="str">
        <x:v>Dec 2026</x:v>
      </x:c>
      <x:c r="C1899" t="str">
        <x:v>Forecast</x:v>
      </x:c>
      <x:c r="D1899" t="str">
        <x:v>DB-104</x:v>
      </x:c>
      <x:c r="E1899" t="str">
        <x:v>SunNest Cooling Towel</x:v>
      </x:c>
      <x:c r="F1899" t="str">
        <x:v>Amazon Marketplace</x:v>
      </x:c>
      <x:c r="G1899" t="str">
        <x:v>Marketplace Consumer</x:v>
      </x:c>
      <x:c r="H1899" t="str">
        <x:v>US East</x:v>
      </x:c>
      <x:c r="I1899" s="34" t="n">
        <x:v>0</x:v>
      </x:c>
      <x:c r="J1899" s="38" t="n">
        <x:v>0</x:v>
      </x:c>
      <x:c r="K1899" s="38" t="n">
        <x:v>0</x:v>
      </x:c>
      <x:c r="L1899" s="28" t="n">
        <x:v>0</x:v>
      </x:c>
    </x:row>
    <x:row r="1900">
      <x:c r="A1900" s="32" t="n">
        <x:v>46357</x:v>
      </x:c>
      <x:c r="B1900" t="str">
        <x:v>Dec 2026</x:v>
      </x:c>
      <x:c r="C1900" t="str">
        <x:v>Forecast</x:v>
      </x:c>
      <x:c r="D1900" t="str">
        <x:v>DB-104</x:v>
      </x:c>
      <x:c r="E1900" t="str">
        <x:v>SunNest Cooling Towel</x:v>
      </x:c>
      <x:c r="F1900" t="str">
        <x:v>Amazon Marketplace</x:v>
      </x:c>
      <x:c r="G1900" t="str">
        <x:v>Marketplace Consumer</x:v>
      </x:c>
      <x:c r="H1900" t="str">
        <x:v>Canada</x:v>
      </x:c>
      <x:c r="I1900" s="34" t="n">
        <x:v>0</x:v>
      </x:c>
      <x:c r="J1900" s="38" t="n">
        <x:v>0</x:v>
      </x:c>
      <x:c r="K1900" s="38" t="n">
        <x:v>0</x:v>
      </x:c>
      <x:c r="L1900" s="28" t="n">
        <x:v>0</x:v>
      </x:c>
    </x:row>
    <x:row r="1901">
      <x:c r="A1901" s="32" t="n">
        <x:v>46357</x:v>
      </x:c>
      <x:c r="B1901" t="str">
        <x:v>Dec 2026</x:v>
      </x:c>
      <x:c r="C1901" t="str">
        <x:v>Forecast</x:v>
      </x:c>
      <x:c r="D1901" t="str">
        <x:v>DB-104</x:v>
      </x:c>
      <x:c r="E1901" t="str">
        <x:v>SunNest Cooling Towel</x:v>
      </x:c>
      <x:c r="F1901" t="str">
        <x:v>Wholesale</x:v>
      </x:c>
      <x:c r="G1901" t="str">
        <x:v>Retailer</x:v>
      </x:c>
      <x:c r="H1901" t="str">
        <x:v>US West</x:v>
      </x:c>
      <x:c r="I1901" s="34" t="n">
        <x:v>0</x:v>
      </x:c>
      <x:c r="J1901" s="38" t="n">
        <x:v>0</x:v>
      </x:c>
      <x:c r="K1901" s="38" t="n">
        <x:v>0</x:v>
      </x:c>
      <x:c r="L1901" s="28" t="n">
        <x:v>0</x:v>
      </x:c>
    </x:row>
    <x:row r="1902">
      <x:c r="A1902" s="32" t="n">
        <x:v>46357</x:v>
      </x:c>
      <x:c r="B1902" t="str">
        <x:v>Dec 2026</x:v>
      </x:c>
      <x:c r="C1902" t="str">
        <x:v>Forecast</x:v>
      </x:c>
      <x:c r="D1902" t="str">
        <x:v>DB-104</x:v>
      </x:c>
      <x:c r="E1902" t="str">
        <x:v>SunNest Cooling Towel</x:v>
      </x:c>
      <x:c r="F1902" t="str">
        <x:v>Wholesale</x:v>
      </x:c>
      <x:c r="G1902" t="str">
        <x:v>Retailer</x:v>
      </x:c>
      <x:c r="H1902" t="str">
        <x:v>US Central</x:v>
      </x:c>
      <x:c r="I1902" s="34" t="n">
        <x:v>0</x:v>
      </x:c>
      <x:c r="J1902" s="38" t="n">
        <x:v>0</x:v>
      </x:c>
      <x:c r="K1902" s="38" t="n">
        <x:v>0</x:v>
      </x:c>
      <x:c r="L1902" s="28" t="n">
        <x:v>0</x:v>
      </x:c>
    </x:row>
    <x:row r="1903">
      <x:c r="A1903" s="32" t="n">
        <x:v>46357</x:v>
      </x:c>
      <x:c r="B1903" t="str">
        <x:v>Dec 2026</x:v>
      </x:c>
      <x:c r="C1903" t="str">
        <x:v>Forecast</x:v>
      </x:c>
      <x:c r="D1903" t="str">
        <x:v>DB-104</x:v>
      </x:c>
      <x:c r="E1903" t="str">
        <x:v>SunNest Cooling Towel</x:v>
      </x:c>
      <x:c r="F1903" t="str">
        <x:v>Wholesale</x:v>
      </x:c>
      <x:c r="G1903" t="str">
        <x:v>Retailer</x:v>
      </x:c>
      <x:c r="H1903" t="str">
        <x:v>US East</x:v>
      </x:c>
      <x:c r="I1903" s="34" t="n">
        <x:v>0</x:v>
      </x:c>
      <x:c r="J1903" s="38" t="n">
        <x:v>0</x:v>
      </x:c>
      <x:c r="K1903" s="38" t="n">
        <x:v>0</x:v>
      </x:c>
      <x:c r="L1903" s="28" t="n">
        <x:v>0</x:v>
      </x:c>
    </x:row>
    <x:row r="1904">
      <x:c r="A1904" s="32" t="n">
        <x:v>46357</x:v>
      </x:c>
      <x:c r="B1904" t="str">
        <x:v>Dec 2026</x:v>
      </x:c>
      <x:c r="C1904" t="str">
        <x:v>Forecast</x:v>
      </x:c>
      <x:c r="D1904" t="str">
        <x:v>DB-104</x:v>
      </x:c>
      <x:c r="E1904" t="str">
        <x:v>SunNest Cooling Towel</x:v>
      </x:c>
      <x:c r="F1904" t="str">
        <x:v>Wholesale</x:v>
      </x:c>
      <x:c r="G1904" t="str">
        <x:v>Retailer</x:v>
      </x:c>
      <x:c r="H1904" t="str">
        <x:v>Canada</x:v>
      </x:c>
      <x:c r="I1904" s="34" t="n">
        <x:v>0</x:v>
      </x:c>
      <x:c r="J1904" s="38" t="n">
        <x:v>0</x:v>
      </x:c>
      <x:c r="K1904" s="38" t="n">
        <x:v>0</x:v>
      </x:c>
      <x:c r="L1904" s="28" t="n">
        <x:v>0</x:v>
      </x:c>
    </x:row>
    <x:row r="1905">
      <x:c r="A1905" s="32" t="n">
        <x:v>46357</x:v>
      </x:c>
      <x:c r="B1905" t="str">
        <x:v>Dec 2026</x:v>
      </x:c>
      <x:c r="C1905" t="str">
        <x:v>Forecast</x:v>
      </x:c>
      <x:c r="D1905" t="str">
        <x:v>DB-104</x:v>
      </x:c>
      <x:c r="E1905" t="str">
        <x:v>SunNest Cooling Towel</x:v>
      </x:c>
      <x:c r="F1905" t="str">
        <x:v>TikTok Shop</x:v>
      </x:c>
      <x:c r="G1905" t="str">
        <x:v>Social Commerce</x:v>
      </x:c>
      <x:c r="H1905" t="str">
        <x:v>US West</x:v>
      </x:c>
      <x:c r="I1905" s="34" t="n">
        <x:v>0</x:v>
      </x:c>
      <x:c r="J1905" s="38" t="n">
        <x:v>0</x:v>
      </x:c>
      <x:c r="K1905" s="38" t="n">
        <x:v>0</x:v>
      </x:c>
      <x:c r="L1905" s="28" t="n">
        <x:v>0</x:v>
      </x:c>
    </x:row>
    <x:row r="1906">
      <x:c r="A1906" s="32" t="n">
        <x:v>46357</x:v>
      </x:c>
      <x:c r="B1906" t="str">
        <x:v>Dec 2026</x:v>
      </x:c>
      <x:c r="C1906" t="str">
        <x:v>Forecast</x:v>
      </x:c>
      <x:c r="D1906" t="str">
        <x:v>DB-104</x:v>
      </x:c>
      <x:c r="E1906" t="str">
        <x:v>SunNest Cooling Towel</x:v>
      </x:c>
      <x:c r="F1906" t="str">
        <x:v>TikTok Shop</x:v>
      </x:c>
      <x:c r="G1906" t="str">
        <x:v>Social Commerce</x:v>
      </x:c>
      <x:c r="H1906" t="str">
        <x:v>US Central</x:v>
      </x:c>
      <x:c r="I1906" s="34" t="n">
        <x:v>0</x:v>
      </x:c>
      <x:c r="J1906" s="38" t="n">
        <x:v>0</x:v>
      </x:c>
      <x:c r="K1906" s="38" t="n">
        <x:v>0</x:v>
      </x:c>
      <x:c r="L1906" s="28" t="n">
        <x:v>0</x:v>
      </x:c>
    </x:row>
    <x:row r="1907">
      <x:c r="A1907" s="32" t="n">
        <x:v>46357</x:v>
      </x:c>
      <x:c r="B1907" t="str">
        <x:v>Dec 2026</x:v>
      </x:c>
      <x:c r="C1907" t="str">
        <x:v>Forecast</x:v>
      </x:c>
      <x:c r="D1907" t="str">
        <x:v>DB-104</x:v>
      </x:c>
      <x:c r="E1907" t="str">
        <x:v>SunNest Cooling Towel</x:v>
      </x:c>
      <x:c r="F1907" t="str">
        <x:v>TikTok Shop</x:v>
      </x:c>
      <x:c r="G1907" t="str">
        <x:v>Social Commerce</x:v>
      </x:c>
      <x:c r="H1907" t="str">
        <x:v>US East</x:v>
      </x:c>
      <x:c r="I1907" s="34" t="n">
        <x:v>0</x:v>
      </x:c>
      <x:c r="J1907" s="38" t="n">
        <x:v>0</x:v>
      </x:c>
      <x:c r="K1907" s="38" t="n">
        <x:v>0</x:v>
      </x:c>
      <x:c r="L1907" s="28" t="n">
        <x:v>0</x:v>
      </x:c>
    </x:row>
    <x:row r="1908">
      <x:c r="A1908" s="32" t="n">
        <x:v>46357</x:v>
      </x:c>
      <x:c r="B1908" t="str">
        <x:v>Dec 2026</x:v>
      </x:c>
      <x:c r="C1908" t="str">
        <x:v>Forecast</x:v>
      </x:c>
      <x:c r="D1908" t="str">
        <x:v>DB-104</x:v>
      </x:c>
      <x:c r="E1908" t="str">
        <x:v>SunNest Cooling Towel</x:v>
      </x:c>
      <x:c r="F1908" t="str">
        <x:v>TikTok Shop</x:v>
      </x:c>
      <x:c r="G1908" t="str">
        <x:v>Social Commerce</x:v>
      </x:c>
      <x:c r="H1908" t="str">
        <x:v>Canada</x:v>
      </x:c>
      <x:c r="I1908" s="34" t="n">
        <x:v>0</x:v>
      </x:c>
      <x:c r="J1908" s="38" t="n">
        <x:v>0</x:v>
      </x:c>
      <x:c r="K1908" s="38" t="n">
        <x:v>0</x:v>
      </x:c>
      <x:c r="L1908" s="28" t="n">
        <x:v>0</x:v>
      </x:c>
    </x:row>
    <x:row r="1909">
      <x:c r="A1909" s="32" t="n">
        <x:v>46357</x:v>
      </x:c>
      <x:c r="B1909" t="str">
        <x:v>Dec 2026</x:v>
      </x:c>
      <x:c r="C1909" t="str">
        <x:v>Forecast</x:v>
      </x:c>
      <x:c r="D1909" t="str">
        <x:v>DB-105</x:v>
      </x:c>
      <x:c r="E1909" t="str">
        <x:v>DreamFuel Refill Pack</x:v>
      </x:c>
      <x:c r="F1909" t="str">
        <x:v>Shopify DTC</x:v>
      </x:c>
      <x:c r="G1909" t="str">
        <x:v>Consumer</x:v>
      </x:c>
      <x:c r="H1909" t="str">
        <x:v>US West</x:v>
      </x:c>
      <x:c r="I1909" s="34" t="n">
        <x:v>266.56</x:v>
      </x:c>
      <x:c r="J1909" s="38" t="n">
        <x:v>13.458507776000001</x:v>
      </x:c>
      <x:c r="K1909" s="38" t="n">
        <x:v>6.5578562344960005</x:v>
      </x:c>
      <x:c r="L1909" s="28" t="n">
        <x:v>0.48726473570794776</x:v>
      </x:c>
    </x:row>
    <x:row r="1910">
      <x:c r="A1910" s="32" t="n">
        <x:v>46357</x:v>
      </x:c>
      <x:c r="B1910" t="str">
        <x:v>Dec 2026</x:v>
      </x:c>
      <x:c r="C1910" t="str">
        <x:v>Forecast</x:v>
      </x:c>
      <x:c r="D1910" t="str">
        <x:v>DB-105</x:v>
      </x:c>
      <x:c r="E1910" t="str">
        <x:v>DreamFuel Refill Pack</x:v>
      </x:c>
      <x:c r="F1910" t="str">
        <x:v>Shopify DTC</x:v>
      </x:c>
      <x:c r="G1910" t="str">
        <x:v>Consumer</x:v>
      </x:c>
      <x:c r="H1910" t="str">
        <x:v>US Central</x:v>
      </x:c>
      <x:c r="I1910" s="34" t="n">
        <x:v>188.16</x:v>
      </x:c>
      <x:c r="J1910" s="38" t="n">
        <x:v>9.500123136</x:v>
      </x:c>
      <x:c r="K1910" s="38" t="n">
        <x:v>4.629074989056</x:v>
      </x:c>
      <x:c r="L1910" s="28" t="n">
        <x:v>0.4872647357079478</x:v>
      </x:c>
    </x:row>
    <x:row r="1911">
      <x:c r="A1911" s="32" t="n">
        <x:v>46357</x:v>
      </x:c>
      <x:c r="B1911" t="str">
        <x:v>Dec 2026</x:v>
      </x:c>
      <x:c r="C1911" t="str">
        <x:v>Forecast</x:v>
      </x:c>
      <x:c r="D1911" t="str">
        <x:v>DB-105</x:v>
      </x:c>
      <x:c r="E1911" t="str">
        <x:v>DreamFuel Refill Pack</x:v>
      </x:c>
      <x:c r="F1911" t="str">
        <x:v>Shopify DTC</x:v>
      </x:c>
      <x:c r="G1911" t="str">
        <x:v>Consumer</x:v>
      </x:c>
      <x:c r="H1911" t="str">
        <x:v>US East</x:v>
      </x:c>
      <x:c r="I1911" s="34" t="n">
        <x:v>250.88</x:v>
      </x:c>
      <x:c r="J1911" s="38" t="n">
        <x:v>12.666830848</x:v>
      </x:c>
      <x:c r="K1911" s="38" t="n">
        <x:v>6.172099985408001</x:v>
      </x:c>
      <x:c r="L1911" s="28" t="n">
        <x:v>0.4872647357079478</x:v>
      </x:c>
    </x:row>
    <x:row r="1912">
      <x:c r="A1912" s="32" t="n">
        <x:v>46357</x:v>
      </x:c>
      <x:c r="B1912" t="str">
        <x:v>Dec 2026</x:v>
      </x:c>
      <x:c r="C1912" t="str">
        <x:v>Forecast</x:v>
      </x:c>
      <x:c r="D1912" t="str">
        <x:v>DB-105</x:v>
      </x:c>
      <x:c r="E1912" t="str">
        <x:v>DreamFuel Refill Pack</x:v>
      </x:c>
      <x:c r="F1912" t="str">
        <x:v>Shopify DTC</x:v>
      </x:c>
      <x:c r="G1912" t="str">
        <x:v>Consumer</x:v>
      </x:c>
      <x:c r="H1912" t="str">
        <x:v>Canada</x:v>
      </x:c>
      <x:c r="I1912" s="34" t="n">
        <x:v>78.4</x:v>
      </x:c>
      <x:c r="J1912" s="38" t="n">
        <x:v>3.9583846400000002</x:v>
      </x:c>
      <x:c r="K1912" s="38" t="n">
        <x:v>1.9287812454400002</x:v>
      </x:c>
      <x:c r="L1912" s="28" t="n">
        <x:v>0.4872647357079478</x:v>
      </x:c>
    </x:row>
    <x:row r="1913">
      <x:c r="A1913" s="32" t="n">
        <x:v>46357</x:v>
      </x:c>
      <x:c r="B1913" t="str">
        <x:v>Dec 2026</x:v>
      </x:c>
      <x:c r="C1913" t="str">
        <x:v>Forecast</x:v>
      </x:c>
      <x:c r="D1913" t="str">
        <x:v>DB-105</x:v>
      </x:c>
      <x:c r="E1913" t="str">
        <x:v>DreamFuel Refill Pack</x:v>
      </x:c>
      <x:c r="F1913" t="str">
        <x:v>Amazon Marketplace</x:v>
      </x:c>
      <x:c r="G1913" t="str">
        <x:v>Marketplace Consumer</x:v>
      </x:c>
      <x:c r="H1913" t="str">
        <x:v>US West</x:v>
      </x:c>
      <x:c r="I1913" s="34" t="n">
        <x:v>157.76000000000002</x:v>
      </x:c>
      <x:c r="J1913" s="38" t="n">
        <x:v>8.224975360000002</x:v>
      </x:c>
      <x:c r="K1913" s="38" t="n">
        <x:v>2.893633920000001</x:v>
      </x:c>
      <x:c r="L1913" s="28" t="n">
        <x:v>0.35181064907165877</x:v>
      </x:c>
    </x:row>
    <x:row r="1914">
      <x:c r="A1914" s="32" t="n">
        <x:v>46357</x:v>
      </x:c>
      <x:c r="B1914" t="str">
        <x:v>Dec 2026</x:v>
      </x:c>
      <x:c r="C1914" t="str">
        <x:v>Forecast</x:v>
      </x:c>
      <x:c r="D1914" t="str">
        <x:v>DB-105</x:v>
      </x:c>
      <x:c r="E1914" t="str">
        <x:v>DreamFuel Refill Pack</x:v>
      </x:c>
      <x:c r="F1914" t="str">
        <x:v>Amazon Marketplace</x:v>
      </x:c>
      <x:c r="G1914" t="str">
        <x:v>Marketplace Consumer</x:v>
      </x:c>
      <x:c r="H1914" t="str">
        <x:v>US Central</x:v>
      </x:c>
      <x:c r="I1914" s="34" t="n">
        <x:v>111.36</x:v>
      </x:c>
      <x:c r="J1914" s="38" t="n">
        <x:v>5.80586496</x:v>
      </x:c>
      <x:c r="K1914" s="38" t="n">
        <x:v>2.0425651200000003</x:v>
      </x:c>
      <x:c r="L1914" s="28" t="n">
        <x:v>0.3518106490716588</x:v>
      </x:c>
    </x:row>
    <x:row r="1915">
      <x:c r="A1915" s="32" t="n">
        <x:v>46357</x:v>
      </x:c>
      <x:c r="B1915" t="str">
        <x:v>Dec 2026</x:v>
      </x:c>
      <x:c r="C1915" t="str">
        <x:v>Forecast</x:v>
      </x:c>
      <x:c r="D1915" t="str">
        <x:v>DB-105</x:v>
      </x:c>
      <x:c r="E1915" t="str">
        <x:v>DreamFuel Refill Pack</x:v>
      </x:c>
      <x:c r="F1915" t="str">
        <x:v>Amazon Marketplace</x:v>
      </x:c>
      <x:c r="G1915" t="str">
        <x:v>Marketplace Consumer</x:v>
      </x:c>
      <x:c r="H1915" t="str">
        <x:v>US East</x:v>
      </x:c>
      <x:c r="I1915" s="34" t="n">
        <x:v>148.48</x:v>
      </x:c>
      <x:c r="J1915" s="38" t="n">
        <x:v>7.741153280000001</x:v>
      </x:c>
      <x:c r="K1915" s="38" t="n">
        <x:v>2.7234201600000008</x:v>
      </x:c>
      <x:c r="L1915" s="28" t="n">
        <x:v>0.3518106490716588</x:v>
      </x:c>
    </x:row>
    <x:row r="1916">
      <x:c r="A1916" s="32" t="n">
        <x:v>46357</x:v>
      </x:c>
      <x:c r="B1916" t="str">
        <x:v>Dec 2026</x:v>
      </x:c>
      <x:c r="C1916" t="str">
        <x:v>Forecast</x:v>
      </x:c>
      <x:c r="D1916" t="str">
        <x:v>DB-105</x:v>
      </x:c>
      <x:c r="E1916" t="str">
        <x:v>DreamFuel Refill Pack</x:v>
      </x:c>
      <x:c r="F1916" t="str">
        <x:v>Amazon Marketplace</x:v>
      </x:c>
      <x:c r="G1916" t="str">
        <x:v>Marketplace Consumer</x:v>
      </x:c>
      <x:c r="H1916" t="str">
        <x:v>Canada</x:v>
      </x:c>
      <x:c r="I1916" s="34" t="n">
        <x:v>46.400000000000006</x:v>
      </x:c>
      <x:c r="J1916" s="38" t="n">
        <x:v>2.4191104000000005</x:v>
      </x:c>
      <x:c r="K1916" s="38" t="n">
        <x:v>0.8510688000000002</x:v>
      </x:c>
      <x:c r="L1916" s="28" t="n">
        <x:v>0.3518106490716587</x:v>
      </x:c>
    </x:row>
    <x:row r="1917">
      <x:c r="A1917" s="32" t="n">
        <x:v>46357</x:v>
      </x:c>
      <x:c r="B1917" t="str">
        <x:v>Dec 2026</x:v>
      </x:c>
      <x:c r="C1917" t="str">
        <x:v>Forecast</x:v>
      </x:c>
      <x:c r="D1917" t="str">
        <x:v>DB-105</x:v>
      </x:c>
      <x:c r="E1917" t="str">
        <x:v>DreamFuel Refill Pack</x:v>
      </x:c>
      <x:c r="F1917" t="str">
        <x:v>Wholesale</x:v>
      </x:c>
      <x:c r="G1917" t="str">
        <x:v>Retailer</x:v>
      </x:c>
      <x:c r="H1917" t="str">
        <x:v>US West</x:v>
      </x:c>
      <x:c r="I1917" s="34" t="n">
        <x:v>43.52</x:v>
      </x:c>
      <x:c r="J1917" s="38" t="n">
        <x:v>1.5524454400000003</x:v>
      </x:c>
      <x:c r="K1917" s="38" t="n">
        <x:v>0.6048583680000001</x:v>
      </x:c>
      <x:c r="L1917" s="28" t="n">
        <x:v>0.3896165059430366</x:v>
      </x:c>
    </x:row>
    <x:row r="1918">
      <x:c r="A1918" s="32" t="n">
        <x:v>46357</x:v>
      </x:c>
      <x:c r="B1918" t="str">
        <x:v>Dec 2026</x:v>
      </x:c>
      <x:c r="C1918" t="str">
        <x:v>Forecast</x:v>
      </x:c>
      <x:c r="D1918" t="str">
        <x:v>DB-105</x:v>
      </x:c>
      <x:c r="E1918" t="str">
        <x:v>DreamFuel Refill Pack</x:v>
      </x:c>
      <x:c r="F1918" t="str">
        <x:v>Wholesale</x:v>
      </x:c>
      <x:c r="G1918" t="str">
        <x:v>Retailer</x:v>
      </x:c>
      <x:c r="H1918" t="str">
        <x:v>US Central</x:v>
      </x:c>
      <x:c r="I1918" s="34" t="n">
        <x:v>30.72</x:v>
      </x:c>
      <x:c r="J1918" s="38" t="n">
        <x:v>1.0958438400000001</x:v>
      </x:c>
      <x:c r="K1918" s="38" t="n">
        <x:v>0.42695884800000006</x:v>
      </x:c>
      <x:c r="L1918" s="28" t="n">
        <x:v>0.38961650594303654</x:v>
      </x:c>
    </x:row>
    <x:row r="1919">
      <x:c r="A1919" s="32" t="n">
        <x:v>46357</x:v>
      </x:c>
      <x:c r="B1919" t="str">
        <x:v>Dec 2026</x:v>
      </x:c>
      <x:c r="C1919" t="str">
        <x:v>Forecast</x:v>
      </x:c>
      <x:c r="D1919" t="str">
        <x:v>DB-105</x:v>
      </x:c>
      <x:c r="E1919" t="str">
        <x:v>DreamFuel Refill Pack</x:v>
      </x:c>
      <x:c r="F1919" t="str">
        <x:v>Wholesale</x:v>
      </x:c>
      <x:c r="G1919" t="str">
        <x:v>Retailer</x:v>
      </x:c>
      <x:c r="H1919" t="str">
        <x:v>US East</x:v>
      </x:c>
      <x:c r="I1919" s="34" t="n">
        <x:v>40.96</x:v>
      </x:c>
      <x:c r="J1919" s="38" t="n">
        <x:v>1.4611251200000002</x:v>
      </x:c>
      <x:c r="K1919" s="38" t="n">
        <x:v>0.569278464</x:v>
      </x:c>
      <x:c r="L1919" s="28" t="n">
        <x:v>0.38961650594303654</x:v>
      </x:c>
    </x:row>
    <x:row r="1920">
      <x:c r="A1920" s="32" t="n">
        <x:v>46357</x:v>
      </x:c>
      <x:c r="B1920" t="str">
        <x:v>Dec 2026</x:v>
      </x:c>
      <x:c r="C1920" t="str">
        <x:v>Forecast</x:v>
      </x:c>
      <x:c r="D1920" t="str">
        <x:v>DB-105</x:v>
      </x:c>
      <x:c r="E1920" t="str">
        <x:v>DreamFuel Refill Pack</x:v>
      </x:c>
      <x:c r="F1920" t="str">
        <x:v>Wholesale</x:v>
      </x:c>
      <x:c r="G1920" t="str">
        <x:v>Retailer</x:v>
      </x:c>
      <x:c r="H1920" t="str">
        <x:v>Canada</x:v>
      </x:c>
      <x:c r="I1920" s="34" t="n">
        <x:v>12.8</x:v>
      </x:c>
      <x:c r="J1920" s="38" t="n">
        <x:v>0.45660160000000005</x:v>
      </x:c>
      <x:c r="K1920" s="38" t="n">
        <x:v>0.17789952000000003</x:v>
      </x:c>
      <x:c r="L1920" s="28" t="n">
        <x:v>0.3896165059430366</x:v>
      </x:c>
    </x:row>
    <x:row r="1921">
      <x:c r="A1921" s="32" t="n">
        <x:v>46357</x:v>
      </x:c>
      <x:c r="B1921" t="str">
        <x:v>Dec 2026</x:v>
      </x:c>
      <x:c r="C1921" t="str">
        <x:v>Forecast</x:v>
      </x:c>
      <x:c r="D1921" t="str">
        <x:v>DB-105</x:v>
      </x:c>
      <x:c r="E1921" t="str">
        <x:v>DreamFuel Refill Pack</x:v>
      </x:c>
      <x:c r="F1921" t="str">
        <x:v>TikTok Shop</x:v>
      </x:c>
      <x:c r="G1921" t="str">
        <x:v>Social Commerce</x:v>
      </x:c>
      <x:c r="H1921" t="str">
        <x:v>US West</x:v>
      </x:c>
      <x:c r="I1921" s="34" t="n">
        <x:v>66.64</x:v>
      </x:c>
      <x:c r="J1921" s="38" t="n">
        <x:v>3.218338816</x:v>
      </x:c>
      <x:c r="K1921" s="38" t="n">
        <x:v>1.234345957376</x:v>
      </x:c>
      <x:c r="L1921" s="28" t="n">
        <x:v>0.3835351179432812</x:v>
      </x:c>
    </x:row>
    <x:row r="1922">
      <x:c r="A1922" s="32" t="n">
        <x:v>46357</x:v>
      </x:c>
      <x:c r="B1922" t="str">
        <x:v>Dec 2026</x:v>
      </x:c>
      <x:c r="C1922" t="str">
        <x:v>Forecast</x:v>
      </x:c>
      <x:c r="D1922" t="str">
        <x:v>DB-105</x:v>
      </x:c>
      <x:c r="E1922" t="str">
        <x:v>DreamFuel Refill Pack</x:v>
      </x:c>
      <x:c r="F1922" t="str">
        <x:v>TikTok Shop</x:v>
      </x:c>
      <x:c r="G1922" t="str">
        <x:v>Social Commerce</x:v>
      </x:c>
      <x:c r="H1922" t="str">
        <x:v>US Central</x:v>
      </x:c>
      <x:c r="I1922" s="34" t="n">
        <x:v>47.04</x:v>
      </x:c>
      <x:c r="J1922" s="38" t="n">
        <x:v>2.271768576</x:v>
      </x:c>
      <x:c r="K1922" s="38" t="n">
        <x:v>0.871303028736</x:v>
      </x:c>
      <x:c r="L1922" s="28" t="n">
        <x:v>0.3835351179432812</x:v>
      </x:c>
    </x:row>
    <x:row r="1923">
      <x:c r="A1923" s="32" t="n">
        <x:v>46357</x:v>
      </x:c>
      <x:c r="B1923" t="str">
        <x:v>Dec 2026</x:v>
      </x:c>
      <x:c r="C1923" t="str">
        <x:v>Forecast</x:v>
      </x:c>
      <x:c r="D1923" t="str">
        <x:v>DB-105</x:v>
      </x:c>
      <x:c r="E1923" t="str">
        <x:v>DreamFuel Refill Pack</x:v>
      </x:c>
      <x:c r="F1923" t="str">
        <x:v>TikTok Shop</x:v>
      </x:c>
      <x:c r="G1923" t="str">
        <x:v>Social Commerce</x:v>
      </x:c>
      <x:c r="H1923" t="str">
        <x:v>US East</x:v>
      </x:c>
      <x:c r="I1923" s="34" t="n">
        <x:v>62.72</x:v>
      </x:c>
      <x:c r="J1923" s="38" t="n">
        <x:v>3.0290247679999998</x:v>
      </x:c>
      <x:c r="K1923" s="38" t="n">
        <x:v>1.161737371648</x:v>
      </x:c>
      <x:c r="L1923" s="28" t="n">
        <x:v>0.3835351179432812</x:v>
      </x:c>
    </x:row>
    <x:row r="1924">
      <x:c r="A1924" s="32" t="n">
        <x:v>46357</x:v>
      </x:c>
      <x:c r="B1924" t="str">
        <x:v>Dec 2026</x:v>
      </x:c>
      <x:c r="C1924" t="str">
        <x:v>Forecast</x:v>
      </x:c>
      <x:c r="D1924" t="str">
        <x:v>DB-105</x:v>
      </x:c>
      <x:c r="E1924" t="str">
        <x:v>DreamFuel Refill Pack</x:v>
      </x:c>
      <x:c r="F1924" t="str">
        <x:v>TikTok Shop</x:v>
      </x:c>
      <x:c r="G1924" t="str">
        <x:v>Social Commerce</x:v>
      </x:c>
      <x:c r="H1924" t="str">
        <x:v>Canada</x:v>
      </x:c>
      <x:c r="I1924" s="34" t="n">
        <x:v>19.6</x:v>
      </x:c>
      <x:c r="J1924" s="38" t="n">
        <x:v>0.94657024</x:v>
      </x:c>
      <x:c r="K1924" s="38" t="n">
        <x:v>0.36304292864000004</x:v>
      </x:c>
      <x:c r="L1924" s="28" t="n">
        <x:v>0.38353511794328127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a6e0452ed084c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28" customHeight="1">
      <x:c r="A1" s="3" t="str">
        <x:v>Weekly Inventory Model</x:v>
      </x:c>
    </x:row>
    <x:row r="2">
      <x:c r="A2" s="6" t="str">
        <x:v>SKU-level inventory availability constrains weekly revenue demand through the fill-rate formula.</x:v>
      </x:c>
    </x:row>
    <x:row r="4">
      <x:c r="A4" s="11" t="str">
        <x:v>Week Start</x:v>
      </x:c>
      <x:c r="B4" s="12" t="str">
        <x:v>Month</x:v>
      </x:c>
      <x:c r="C4" s="12" t="str">
        <x:v>Period</x:v>
      </x:c>
      <x:c r="D4" s="12" t="str">
        <x:v>SKU</x:v>
      </x:c>
      <x:c r="E4" s="12" t="str">
        <x:v>Opening Inventory</x:v>
      </x:c>
      <x:c r="F4" s="12" t="str">
        <x:v>Production Received</x:v>
      </x:c>
      <x:c r="G4" s="12" t="str">
        <x:v>Gross Demand Units</x:v>
      </x:c>
      <x:c r="H4" s="12" t="str">
        <x:v>Sellable Units</x:v>
      </x:c>
      <x:c r="I4" s="12" t="str">
        <x:v>Fill Rate</x:v>
      </x:c>
      <x:c r="J4" s="12" t="str">
        <x:v>Units Sold</x:v>
      </x:c>
      <x:c r="K4" s="12" t="str">
        <x:v>Returns Restocked</x:v>
      </x:c>
      <x:c r="L4" s="12" t="str">
        <x:v>Ending Inventory</x:v>
      </x:c>
      <x:c r="M4" s="12" t="str">
        <x:v>Weeks of Supply</x:v>
      </x:c>
      <x:c r="N4" s="12" t="str">
        <x:v>Stockout Status</x:v>
      </x:c>
      <x:c r="O4" s="12" t="str">
        <x:v>Suggested Action</x:v>
      </x:c>
      <x:c r="P4" s="13" t="str">
        <x:v>Production Cost $000s</x:v>
      </x:c>
    </x:row>
    <x:row r="5">
      <x:c r="A5" s="32" t="n">
        <x:v>45663</x:v>
      </x:c>
      <x:c r="B5" s="32" t="n">
        <x:v>45658</x:v>
      </x:c>
      <x:c r="C5" t="str">
        <x:v>Actual</x:v>
      </x:c>
      <x:c r="D5" t="str">
        <x:v>DB-101</x:v>
      </x:c>
      <x:c r="E5" s="34" t="n">
        <x:v>12000</x:v>
      </x:c>
      <x:c r="F5" s="34" t="n">
        <x:v>4500</x:v>
      </x:c>
      <x:c r="G5" s="34" t="n">
        <x:v>337</x:v>
      </x:c>
      <x:c r="H5" s="34" t="n">
        <x:v>337</x:v>
      </x:c>
      <x:c r="I5" s="28" t="n">
        <x:v>1</x:v>
      </x:c>
      <x:c r="J5" s="39" t="n">
        <x:v>337</x:v>
      </x:c>
      <x:c r="K5" s="39" t="n">
        <x:v>7.5825</x:v>
      </x:c>
      <x:c r="L5" s="39" t="n">
        <x:v>16170.5825</x:v>
      </x:c>
      <x:c r="M5" s="39" t="n">
        <x:v>47.983924332344216</x:v>
      </x:c>
      <x:c r="N5" t="str">
        <x:v>OK</x:v>
      </x:c>
      <x:c r="O5" t="str">
        <x:v>Maintain plan</x:v>
      </x:c>
      <x:c r="P5" s="38" t="n">
        <x:v>48.6</x:v>
      </x:c>
    </x:row>
    <x:row r="6">
      <x:c r="A6" s="32" t="n">
        <x:v>45670</x:v>
      </x:c>
      <x:c r="B6" s="32" t="n">
        <x:v>45658</x:v>
      </x:c>
      <x:c r="C6" t="str">
        <x:v>Actual</x:v>
      </x:c>
      <x:c r="D6" t="str">
        <x:v>DB-101</x:v>
      </x:c>
      <x:c r="E6" s="34" t="n">
        <x:v>16170.5825</x:v>
      </x:c>
      <x:c r="F6" s="34" t="n">
        <x:v>0</x:v>
      </x:c>
      <x:c r="G6" s="34" t="n">
        <x:v>340</x:v>
      </x:c>
      <x:c r="H6" s="34" t="n">
        <x:v>340</x:v>
      </x:c>
      <x:c r="I6" s="28" t="n">
        <x:v>1</x:v>
      </x:c>
      <x:c r="J6" s="39" t="n">
        <x:v>340</x:v>
      </x:c>
      <x:c r="K6" s="39" t="n">
        <x:v>7.6499999999999995</x:v>
      </x:c>
      <x:c r="L6" s="39" t="n">
        <x:v>15838.2325</x:v>
      </x:c>
      <x:c r="M6" s="39" t="n">
        <x:v>46.58303676470588</x:v>
      </x:c>
      <x:c r="N6" t="str">
        <x:v>OK</x:v>
      </x:c>
      <x:c r="O6" t="str">
        <x:v>Maintain plan</x:v>
      </x:c>
      <x:c r="P6" s="38" t="n">
        <x:v>0</x:v>
      </x:c>
    </x:row>
    <x:row r="7">
      <x:c r="A7" s="32" t="n">
        <x:v>45677</x:v>
      </x:c>
      <x:c r="B7" s="32" t="n">
        <x:v>45658</x:v>
      </x:c>
      <x:c r="C7" t="str">
        <x:v>Actual</x:v>
      </x:c>
      <x:c r="D7" t="str">
        <x:v>DB-101</x:v>
      </x:c>
      <x:c r="E7" s="34" t="n">
        <x:v>15838.2325</x:v>
      </x:c>
      <x:c r="F7" s="34" t="n">
        <x:v>0</x:v>
      </x:c>
      <x:c r="G7" s="34" t="n">
        <x:v>341</x:v>
      </x:c>
      <x:c r="H7" s="34" t="n">
        <x:v>341</x:v>
      </x:c>
      <x:c r="I7" s="28" t="n">
        <x:v>1</x:v>
      </x:c>
      <x:c r="J7" s="39" t="n">
        <x:v>341</x:v>
      </x:c>
      <x:c r="K7" s="39" t="n">
        <x:v>7.672499999999999</x:v>
      </x:c>
      <x:c r="L7" s="39" t="n">
        <x:v>15504.905</x:v>
      </x:c>
      <x:c r="M7" s="39" t="n">
        <x:v>45.46892961876833</x:v>
      </x:c>
      <x:c r="N7" t="str">
        <x:v>OK</x:v>
      </x:c>
      <x:c r="O7" t="str">
        <x:v>Maintain plan</x:v>
      </x:c>
      <x:c r="P7" s="38" t="n">
        <x:v>0</x:v>
      </x:c>
    </x:row>
    <x:row r="8">
      <x:c r="A8" s="32" t="n">
        <x:v>45684</x:v>
      </x:c>
      <x:c r="B8" s="32" t="n">
        <x:v>45658</x:v>
      </x:c>
      <x:c r="C8" t="str">
        <x:v>Actual</x:v>
      </x:c>
      <x:c r="D8" t="str">
        <x:v>DB-101</x:v>
      </x:c>
      <x:c r="E8" s="34" t="n">
        <x:v>15504.905</x:v>
      </x:c>
      <x:c r="F8" s="34" t="n">
        <x:v>0</x:v>
      </x:c>
      <x:c r="G8" s="34" t="n">
        <x:v>343</x:v>
      </x:c>
      <x:c r="H8" s="34" t="n">
        <x:v>343</x:v>
      </x:c>
      <x:c r="I8" s="28" t="n">
        <x:v>1</x:v>
      </x:c>
      <x:c r="J8" s="39" t="n">
        <x:v>343</x:v>
      </x:c>
      <x:c r="K8" s="39" t="n">
        <x:v>7.717499999999999</x:v>
      </x:c>
      <x:c r="L8" s="39" t="n">
        <x:v>15169.622500000001</x:v>
      </x:c>
      <x:c r="M8" s="39" t="n">
        <x:v>44.22630466472304</x:v>
      </x:c>
      <x:c r="N8" t="str">
        <x:v>OK</x:v>
      </x:c>
      <x:c r="O8" t="str">
        <x:v>Maintain plan</x:v>
      </x:c>
      <x:c r="P8" s="38" t="n">
        <x:v>0</x:v>
      </x:c>
    </x:row>
    <x:row r="9">
      <x:c r="A9" s="32" t="n">
        <x:v>45691</x:v>
      </x:c>
      <x:c r="B9" s="32" t="n">
        <x:v>45689</x:v>
      </x:c>
      <x:c r="C9" t="str">
        <x:v>Actual</x:v>
      </x:c>
      <x:c r="D9" t="str">
        <x:v>DB-101</x:v>
      </x:c>
      <x:c r="E9" s="34" t="n">
        <x:v>15169.622500000001</x:v>
      </x:c>
      <x:c r="F9" s="34" t="n">
        <x:v>0</x:v>
      </x:c>
      <x:c r="G9" s="34" t="n">
        <x:v>343</x:v>
      </x:c>
      <x:c r="H9" s="34" t="n">
        <x:v>343</x:v>
      </x:c>
      <x:c r="I9" s="28" t="n">
        <x:v>1</x:v>
      </x:c>
      <x:c r="J9" s="39" t="n">
        <x:v>343</x:v>
      </x:c>
      <x:c r="K9" s="39" t="n">
        <x:v>7.717499999999999</x:v>
      </x:c>
      <x:c r="L9" s="39" t="n">
        <x:v>14834.340000000002</x:v>
      </x:c>
      <x:c r="M9" s="39" t="n">
        <x:v>43.24880466472304</x:v>
      </x:c>
      <x:c r="N9" t="str">
        <x:v>OK</x:v>
      </x:c>
      <x:c r="O9" t="str">
        <x:v>Maintain plan</x:v>
      </x:c>
      <x:c r="P9" s="38" t="n">
        <x:v>0</x:v>
      </x:c>
    </x:row>
    <x:row r="10">
      <x:c r="A10" s="32" t="n">
        <x:v>45698</x:v>
      </x:c>
      <x:c r="B10" s="32" t="n">
        <x:v>45689</x:v>
      </x:c>
      <x:c r="C10" t="str">
        <x:v>Actual</x:v>
      </x:c>
      <x:c r="D10" t="str">
        <x:v>DB-101</x:v>
      </x:c>
      <x:c r="E10" s="34" t="n">
        <x:v>14834.340000000002</x:v>
      </x:c>
      <x:c r="F10" s="34" t="n">
        <x:v>0</x:v>
      </x:c>
      <x:c r="G10" s="34" t="n">
        <x:v>344</x:v>
      </x:c>
      <x:c r="H10" s="34" t="n">
        <x:v>344</x:v>
      </x:c>
      <x:c r="I10" s="28" t="n">
        <x:v>1</x:v>
      </x:c>
      <x:c r="J10" s="39" t="n">
        <x:v>344</x:v>
      </x:c>
      <x:c r="K10" s="39" t="n">
        <x:v>7.739999999999999</x:v>
      </x:c>
      <x:c r="L10" s="39" t="n">
        <x:v>14498.080000000002</x:v>
      </x:c>
      <x:c r="M10" s="39" t="n">
        <x:v>42.14558139534884</x:v>
      </x:c>
      <x:c r="N10" t="str">
        <x:v>OK</x:v>
      </x:c>
      <x:c r="O10" t="str">
        <x:v>Maintain plan</x:v>
      </x:c>
      <x:c r="P10" s="38" t="n">
        <x:v>0</x:v>
      </x:c>
    </x:row>
    <x:row r="11">
      <x:c r="A11" s="32" t="n">
        <x:v>45705</x:v>
      </x:c>
      <x:c r="B11" s="32" t="n">
        <x:v>45689</x:v>
      </x:c>
      <x:c r="C11" t="str">
        <x:v>Actual</x:v>
      </x:c>
      <x:c r="D11" t="str">
        <x:v>DB-101</x:v>
      </x:c>
      <x:c r="E11" s="34" t="n">
        <x:v>14498.080000000002</x:v>
      </x:c>
      <x:c r="F11" s="34" t="n">
        <x:v>0</x:v>
      </x:c>
      <x:c r="G11" s="34" t="n">
        <x:v>347</x:v>
      </x:c>
      <x:c r="H11" s="34" t="n">
        <x:v>347</x:v>
      </x:c>
      <x:c r="I11" s="28" t="n">
        <x:v>1</x:v>
      </x:c>
      <x:c r="J11" s="39" t="n">
        <x:v>347</x:v>
      </x:c>
      <x:c r="K11" s="39" t="n">
        <x:v>7.8075</x:v>
      </x:c>
      <x:c r="L11" s="39" t="n">
        <x:v>14158.887500000003</x:v>
      </x:c>
      <x:c r="M11" s="39" t="n">
        <x:v>40.80371037463978</x:v>
      </x:c>
      <x:c r="N11" t="str">
        <x:v>OK</x:v>
      </x:c>
      <x:c r="O11" t="str">
        <x:v>Maintain plan</x:v>
      </x:c>
      <x:c r="P11" s="38" t="n">
        <x:v>0</x:v>
      </x:c>
    </x:row>
    <x:row r="12">
      <x:c r="A12" s="32" t="n">
        <x:v>45712</x:v>
      </x:c>
      <x:c r="B12" s="32" t="n">
        <x:v>45689</x:v>
      </x:c>
      <x:c r="C12" t="str">
        <x:v>Actual</x:v>
      </x:c>
      <x:c r="D12" t="str">
        <x:v>DB-101</x:v>
      </x:c>
      <x:c r="E12" s="34" t="n">
        <x:v>14158.887500000003</x:v>
      </x:c>
      <x:c r="F12" s="34" t="n">
        <x:v>0</x:v>
      </x:c>
      <x:c r="G12" s="34" t="n">
        <x:v>348</x:v>
      </x:c>
      <x:c r="H12" s="34" t="n">
        <x:v>348</x:v>
      </x:c>
      <x:c r="I12" s="28" t="n">
        <x:v>1</x:v>
      </x:c>
      <x:c r="J12" s="39" t="n">
        <x:v>348</x:v>
      </x:c>
      <x:c r="K12" s="39" t="n">
        <x:v>7.83</x:v>
      </x:c>
      <x:c r="L12" s="39" t="n">
        <x:v>13818.717500000002</x:v>
      </x:c>
      <x:c r="M12" s="39" t="n">
        <x:v>39.70895833333334</x:v>
      </x:c>
      <x:c r="N12" t="str">
        <x:v>OK</x:v>
      </x:c>
      <x:c r="O12" t="str">
        <x:v>Maintain plan</x:v>
      </x:c>
      <x:c r="P12" s="38" t="n">
        <x:v>0</x:v>
      </x:c>
    </x:row>
    <x:row r="13">
      <x:c r="A13" s="32" t="n">
        <x:v>45719</x:v>
      </x:c>
      <x:c r="B13" s="32" t="n">
        <x:v>45717</x:v>
      </x:c>
      <x:c r="C13" t="str">
        <x:v>Actual</x:v>
      </x:c>
      <x:c r="D13" t="str">
        <x:v>DB-101</x:v>
      </x:c>
      <x:c r="E13" s="34" t="n">
        <x:v>13818.717500000002</x:v>
      </x:c>
      <x:c r="F13" s="34" t="n">
        <x:v>4500</x:v>
      </x:c>
      <x:c r="G13" s="34" t="n">
        <x:v>350</x:v>
      </x:c>
      <x:c r="H13" s="34" t="n">
        <x:v>350</x:v>
      </x:c>
      <x:c r="I13" s="28" t="n">
        <x:v>1</x:v>
      </x:c>
      <x:c r="J13" s="39" t="n">
        <x:v>350</x:v>
      </x:c>
      <x:c r="K13" s="39" t="n">
        <x:v>7.875</x:v>
      </x:c>
      <x:c r="L13" s="39" t="n">
        <x:v>17976.592500000002</x:v>
      </x:c>
      <x:c r="M13" s="39" t="n">
        <x:v>51.36169285714286</x:v>
      </x:c>
      <x:c r="N13" t="str">
        <x:v>OK</x:v>
      </x:c>
      <x:c r="O13" t="str">
        <x:v>Maintain plan</x:v>
      </x:c>
      <x:c r="P13" s="38" t="n">
        <x:v>48.6</x:v>
      </x:c>
    </x:row>
    <x:row r="14">
      <x:c r="A14" s="32" t="n">
        <x:v>45726</x:v>
      </x:c>
      <x:c r="B14" s="32" t="n">
        <x:v>45717</x:v>
      </x:c>
      <x:c r="C14" t="str">
        <x:v>Actual</x:v>
      </x:c>
      <x:c r="D14" t="str">
        <x:v>DB-101</x:v>
      </x:c>
      <x:c r="E14" s="34" t="n">
        <x:v>17976.592500000002</x:v>
      </x:c>
      <x:c r="F14" s="34" t="n">
        <x:v>0</x:v>
      </x:c>
      <x:c r="G14" s="34" t="n">
        <x:v>351</x:v>
      </x:c>
      <x:c r="H14" s="34" t="n">
        <x:v>351</x:v>
      </x:c>
      <x:c r="I14" s="28" t="n">
        <x:v>1</x:v>
      </x:c>
      <x:c r="J14" s="39" t="n">
        <x:v>351</x:v>
      </x:c>
      <x:c r="K14" s="39" t="n">
        <x:v>7.8975</x:v>
      </x:c>
      <x:c r="L14" s="39" t="n">
        <x:v>17633.49</x:v>
      </x:c>
      <x:c r="M14" s="39" t="n">
        <x:v>50.23786324786325</x:v>
      </x:c>
      <x:c r="N14" t="str">
        <x:v>OK</x:v>
      </x:c>
      <x:c r="O14" t="str">
        <x:v>Maintain plan</x:v>
      </x:c>
      <x:c r="P14" s="38" t="n">
        <x:v>0</x:v>
      </x:c>
    </x:row>
    <x:row r="15">
      <x:c r="A15" s="32" t="n">
        <x:v>45733</x:v>
      </x:c>
      <x:c r="B15" s="32" t="n">
        <x:v>45717</x:v>
      </x:c>
      <x:c r="C15" t="str">
        <x:v>Actual</x:v>
      </x:c>
      <x:c r="D15" t="str">
        <x:v>DB-101</x:v>
      </x:c>
      <x:c r="E15" s="34" t="n">
        <x:v>17633.49</x:v>
      </x:c>
      <x:c r="F15" s="34" t="n">
        <x:v>0</x:v>
      </x:c>
      <x:c r="G15" s="34" t="n">
        <x:v>352</x:v>
      </x:c>
      <x:c r="H15" s="34" t="n">
        <x:v>352</x:v>
      </x:c>
      <x:c r="I15" s="28" t="n">
        <x:v>1</x:v>
      </x:c>
      <x:c r="J15" s="39" t="n">
        <x:v>352</x:v>
      </x:c>
      <x:c r="K15" s="39" t="n">
        <x:v>7.92</x:v>
      </x:c>
      <x:c r="L15" s="39" t="n">
        <x:v>17289.41</x:v>
      </x:c>
      <x:c r="M15" s="39" t="n">
        <x:v>49.117642045454545</x:v>
      </x:c>
      <x:c r="N15" t="str">
        <x:v>OK</x:v>
      </x:c>
      <x:c r="O15" t="str">
        <x:v>Maintain plan</x:v>
      </x:c>
      <x:c r="P15" s="38" t="n">
        <x:v>0</x:v>
      </x:c>
    </x:row>
    <x:row r="16">
      <x:c r="A16" s="32" t="n">
        <x:v>45740</x:v>
      </x:c>
      <x:c r="B16" s="32" t="n">
        <x:v>45717</x:v>
      </x:c>
      <x:c r="C16" t="str">
        <x:v>Actual</x:v>
      </x:c>
      <x:c r="D16" t="str">
        <x:v>DB-101</x:v>
      </x:c>
      <x:c r="E16" s="34" t="n">
        <x:v>17289.41</x:v>
      </x:c>
      <x:c r="F16" s="34" t="n">
        <x:v>0</x:v>
      </x:c>
      <x:c r="G16" s="34" t="n">
        <x:v>353</x:v>
      </x:c>
      <x:c r="H16" s="34" t="n">
        <x:v>353</x:v>
      </x:c>
      <x:c r="I16" s="28" t="n">
        <x:v>1</x:v>
      </x:c>
      <x:c r="J16" s="39" t="n">
        <x:v>353</x:v>
      </x:c>
      <x:c r="K16" s="39" t="n">
        <x:v>7.9425</x:v>
      </x:c>
      <x:c r="L16" s="39" t="n">
        <x:v>16944.3525</x:v>
      </x:c>
      <x:c r="M16" s="39" t="n">
        <x:v>48.000998583569405</x:v>
      </x:c>
      <x:c r="N16" t="str">
        <x:v>OK</x:v>
      </x:c>
      <x:c r="O16" t="str">
        <x:v>Maintain plan</x:v>
      </x:c>
      <x:c r="P16" s="38" t="n">
        <x:v>0</x:v>
      </x:c>
    </x:row>
    <x:row r="17">
      <x:c r="A17" s="32" t="n">
        <x:v>45747</x:v>
      </x:c>
      <x:c r="B17" s="32" t="n">
        <x:v>45717</x:v>
      </x:c>
      <x:c r="C17" t="str">
        <x:v>Actual</x:v>
      </x:c>
      <x:c r="D17" t="str">
        <x:v>DB-101</x:v>
      </x:c>
      <x:c r="E17" s="34" t="n">
        <x:v>16944.3525</x:v>
      </x:c>
      <x:c r="F17" s="34" t="n">
        <x:v>0</x:v>
      </x:c>
      <x:c r="G17" s="34" t="n">
        <x:v>355</x:v>
      </x:c>
      <x:c r="H17" s="34" t="n">
        <x:v>355</x:v>
      </x:c>
      <x:c r="I17" s="28" t="n">
        <x:v>1</x:v>
      </x:c>
      <x:c r="J17" s="39" t="n">
        <x:v>355</x:v>
      </x:c>
      <x:c r="K17" s="39" t="n">
        <x:v>7.9875</x:v>
      </x:c>
      <x:c r="L17" s="39" t="n">
        <x:v>16597.34</x:v>
      </x:c>
      <x:c r="M17" s="39" t="n">
        <x:v>46.75307042253521</x:v>
      </x:c>
      <x:c r="N17" t="str">
        <x:v>OK</x:v>
      </x:c>
      <x:c r="O17" t="str">
        <x:v>Maintain plan</x:v>
      </x:c>
      <x:c r="P17" s="38" t="n">
        <x:v>0</x:v>
      </x:c>
    </x:row>
    <x:row r="18">
      <x:c r="A18" s="32" t="n">
        <x:v>45754</x:v>
      </x:c>
      <x:c r="B18" s="32" t="n">
        <x:v>45748</x:v>
      </x:c>
      <x:c r="C18" t="str">
        <x:v>Actual</x:v>
      </x:c>
      <x:c r="D18" t="str">
        <x:v>DB-101</x:v>
      </x:c>
      <x:c r="E18" s="34" t="n">
        <x:v>16597.34</x:v>
      </x:c>
      <x:c r="F18" s="34" t="n">
        <x:v>0</x:v>
      </x:c>
      <x:c r="G18" s="34" t="n">
        <x:v>357</x:v>
      </x:c>
      <x:c r="H18" s="34" t="n">
        <x:v>357</x:v>
      </x:c>
      <x:c r="I18" s="28" t="n">
        <x:v>1</x:v>
      </x:c>
      <x:c r="J18" s="39" t="n">
        <x:v>357</x:v>
      </x:c>
      <x:c r="K18" s="39" t="n">
        <x:v>8.032499999999999</x:v>
      </x:c>
      <x:c r="L18" s="39" t="n">
        <x:v>16248.3725</x:v>
      </x:c>
      <x:c r="M18" s="39" t="n">
        <x:v>45.51364845938375</x:v>
      </x:c>
      <x:c r="N18" t="str">
        <x:v>OK</x:v>
      </x:c>
      <x:c r="O18" t="str">
        <x:v>Maintain plan</x:v>
      </x:c>
      <x:c r="P18" s="38" t="n">
        <x:v>0</x:v>
      </x:c>
    </x:row>
    <x:row r="19">
      <x:c r="A19" s="32" t="n">
        <x:v>45761</x:v>
      </x:c>
      <x:c r="B19" s="32" t="n">
        <x:v>45748</x:v>
      </x:c>
      <x:c r="C19" t="str">
        <x:v>Actual</x:v>
      </x:c>
      <x:c r="D19" t="str">
        <x:v>DB-101</x:v>
      </x:c>
      <x:c r="E19" s="34" t="n">
        <x:v>16248.3725</x:v>
      </x:c>
      <x:c r="F19" s="34" t="n">
        <x:v>0</x:v>
      </x:c>
      <x:c r="G19" s="34" t="n">
        <x:v>357</x:v>
      </x:c>
      <x:c r="H19" s="34" t="n">
        <x:v>357</x:v>
      </x:c>
      <x:c r="I19" s="28" t="n">
        <x:v>1</x:v>
      </x:c>
      <x:c r="J19" s="39" t="n">
        <x:v>357</x:v>
      </x:c>
      <x:c r="K19" s="39" t="n">
        <x:v>8.032499999999999</x:v>
      </x:c>
      <x:c r="L19" s="39" t="n">
        <x:v>15899.404999999999</x:v>
      </x:c>
      <x:c r="M19" s="39" t="n">
        <x:v>44.53614845938375</x:v>
      </x:c>
      <x:c r="N19" t="str">
        <x:v>OK</x:v>
      </x:c>
      <x:c r="O19" t="str">
        <x:v>Maintain plan</x:v>
      </x:c>
      <x:c r="P19" s="38" t="n">
        <x:v>0</x:v>
      </x:c>
    </x:row>
    <x:row r="20">
      <x:c r="A20" s="32" t="n">
        <x:v>45768</x:v>
      </x:c>
      <x:c r="B20" s="32" t="n">
        <x:v>45748</x:v>
      </x:c>
      <x:c r="C20" t="str">
        <x:v>Actual</x:v>
      </x:c>
      <x:c r="D20" t="str">
        <x:v>DB-101</x:v>
      </x:c>
      <x:c r="E20" s="34" t="n">
        <x:v>15899.404999999999</x:v>
      </x:c>
      <x:c r="F20" s="34" t="n">
        <x:v>0</x:v>
      </x:c>
      <x:c r="G20" s="34" t="n">
        <x:v>360</x:v>
      </x:c>
      <x:c r="H20" s="34" t="n">
        <x:v>360</x:v>
      </x:c>
      <x:c r="I20" s="28" t="n">
        <x:v>1</x:v>
      </x:c>
      <x:c r="J20" s="39" t="n">
        <x:v>360</x:v>
      </x:c>
      <x:c r="K20" s="39" t="n">
        <x:v>8.1</x:v>
      </x:c>
      <x:c r="L20" s="39" t="n">
        <x:v>15547.505</x:v>
      </x:c>
      <x:c r="M20" s="39" t="n">
        <x:v>43.18751388888889</x:v>
      </x:c>
      <x:c r="N20" t="str">
        <x:v>OK</x:v>
      </x:c>
      <x:c r="O20" t="str">
        <x:v>Maintain plan</x:v>
      </x:c>
      <x:c r="P20" s="38" t="n">
        <x:v>0</x:v>
      </x:c>
    </x:row>
    <x:row r="21">
      <x:c r="A21" s="32" t="n">
        <x:v>45775</x:v>
      </x:c>
      <x:c r="B21" s="32" t="n">
        <x:v>45748</x:v>
      </x:c>
      <x:c r="C21" t="str">
        <x:v>Actual</x:v>
      </x:c>
      <x:c r="D21" t="str">
        <x:v>DB-101</x:v>
      </x:c>
      <x:c r="E21" s="34" t="n">
        <x:v>15547.505</x:v>
      </x:c>
      <x:c r="F21" s="34" t="n">
        <x:v>4500</x:v>
      </x:c>
      <x:c r="G21" s="34" t="n">
        <x:v>361</x:v>
      </x:c>
      <x:c r="H21" s="34" t="n">
        <x:v>361</x:v>
      </x:c>
      <x:c r="I21" s="28" t="n">
        <x:v>1</x:v>
      </x:c>
      <x:c r="J21" s="39" t="n">
        <x:v>361</x:v>
      </x:c>
      <x:c r="K21" s="39" t="n">
        <x:v>8.1225</x:v>
      </x:c>
      <x:c r="L21" s="39" t="n">
        <x:v>19694.6275</x:v>
      </x:c>
      <x:c r="M21" s="39" t="n">
        <x:v>54.555754847645424</x:v>
      </x:c>
      <x:c r="N21" t="str">
        <x:v>OK</x:v>
      </x:c>
      <x:c r="O21" t="str">
        <x:v>Maintain plan</x:v>
      </x:c>
      <x:c r="P21" s="38" t="n">
        <x:v>48.6</x:v>
      </x:c>
    </x:row>
    <x:row r="22">
      <x:c r="A22" s="32" t="n">
        <x:v>45782</x:v>
      </x:c>
      <x:c r="B22" s="32" t="n">
        <x:v>45778</x:v>
      </x:c>
      <x:c r="C22" t="str">
        <x:v>Actual</x:v>
      </x:c>
      <x:c r="D22" t="str">
        <x:v>DB-101</x:v>
      </x:c>
      <x:c r="E22" s="34" t="n">
        <x:v>19694.6275</x:v>
      </x:c>
      <x:c r="F22" s="34" t="n">
        <x:v>0</x:v>
      </x:c>
      <x:c r="G22" s="34" t="n">
        <x:v>361</x:v>
      </x:c>
      <x:c r="H22" s="34" t="n">
        <x:v>361</x:v>
      </x:c>
      <x:c r="I22" s="28" t="n">
        <x:v>1</x:v>
      </x:c>
      <x:c r="J22" s="39" t="n">
        <x:v>361</x:v>
      </x:c>
      <x:c r="K22" s="39" t="n">
        <x:v>8.1225</x:v>
      </x:c>
      <x:c r="L22" s="39" t="n">
        <x:v>19341.75</x:v>
      </x:c>
      <x:c r="M22" s="39" t="n">
        <x:v>53.57825484764543</x:v>
      </x:c>
      <x:c r="N22" t="str">
        <x:v>OK</x:v>
      </x:c>
      <x:c r="O22" t="str">
        <x:v>Maintain plan</x:v>
      </x:c>
      <x:c r="P22" s="38" t="n">
        <x:v>0</x:v>
      </x:c>
    </x:row>
    <x:row r="23">
      <x:c r="A23" s="32" t="n">
        <x:v>45789</x:v>
      </x:c>
      <x:c r="B23" s="32" t="n">
        <x:v>45778</x:v>
      </x:c>
      <x:c r="C23" t="str">
        <x:v>Actual</x:v>
      </x:c>
      <x:c r="D23" t="str">
        <x:v>DB-101</x:v>
      </x:c>
      <x:c r="E23" s="34" t="n">
        <x:v>19341.75</x:v>
      </x:c>
      <x:c r="F23" s="34" t="n">
        <x:v>0</x:v>
      </x:c>
      <x:c r="G23" s="34" t="n">
        <x:v>364</x:v>
      </x:c>
      <x:c r="H23" s="34" t="n">
        <x:v>364</x:v>
      </x:c>
      <x:c r="I23" s="28" t="n">
        <x:v>1</x:v>
      </x:c>
      <x:c r="J23" s="39" t="n">
        <x:v>364</x:v>
      </x:c>
      <x:c r="K23" s="39" t="n">
        <x:v>8.19</x:v>
      </x:c>
      <x:c r="L23" s="39" t="n">
        <x:v>18985.94</x:v>
      </x:c>
      <x:c r="M23" s="39" t="n">
        <x:v>52.15917582417582</x:v>
      </x:c>
      <x:c r="N23" t="str">
        <x:v>OK</x:v>
      </x:c>
      <x:c r="O23" t="str">
        <x:v>Maintain plan</x:v>
      </x:c>
      <x:c r="P23" s="38" t="n">
        <x:v>0</x:v>
      </x:c>
    </x:row>
    <x:row r="24">
      <x:c r="A24" s="32" t="n">
        <x:v>45796</x:v>
      </x:c>
      <x:c r="B24" s="32" t="n">
        <x:v>45778</x:v>
      </x:c>
      <x:c r="C24" t="str">
        <x:v>Actual</x:v>
      </x:c>
      <x:c r="D24" t="str">
        <x:v>DB-101</x:v>
      </x:c>
      <x:c r="E24" s="34" t="n">
        <x:v>18985.94</x:v>
      </x:c>
      <x:c r="F24" s="34" t="n">
        <x:v>0</x:v>
      </x:c>
      <x:c r="G24" s="34" t="n">
        <x:v>365</x:v>
      </x:c>
      <x:c r="H24" s="34" t="n">
        <x:v>365</x:v>
      </x:c>
      <x:c r="I24" s="28" t="n">
        <x:v>1</x:v>
      </x:c>
      <x:c r="J24" s="39" t="n">
        <x:v>365</x:v>
      </x:c>
      <x:c r="K24" s="39" t="n">
        <x:v>8.2125</x:v>
      </x:c>
      <x:c r="L24" s="39" t="n">
        <x:v>18629.1525</x:v>
      </x:c>
      <x:c r="M24" s="39" t="n">
        <x:v>51.03877397260274</x:v>
      </x:c>
      <x:c r="N24" t="str">
        <x:v>OK</x:v>
      </x:c>
      <x:c r="O24" t="str">
        <x:v>Maintain plan</x:v>
      </x:c>
      <x:c r="P24" s="38" t="n">
        <x:v>0</x:v>
      </x:c>
    </x:row>
    <x:row r="25">
      <x:c r="A25" s="32" t="n">
        <x:v>45803</x:v>
      </x:c>
      <x:c r="B25" s="32" t="n">
        <x:v>45778</x:v>
      </x:c>
      <x:c r="C25" t="str">
        <x:v>Actual</x:v>
      </x:c>
      <x:c r="D25" t="str">
        <x:v>DB-101</x:v>
      </x:c>
      <x:c r="E25" s="34" t="n">
        <x:v>18629.1525</x:v>
      </x:c>
      <x:c r="F25" s="34" t="n">
        <x:v>0</x:v>
      </x:c>
      <x:c r="G25" s="34" t="n">
        <x:v>367</x:v>
      </x:c>
      <x:c r="H25" s="34" t="n">
        <x:v>367</x:v>
      </x:c>
      <x:c r="I25" s="28" t="n">
        <x:v>1</x:v>
      </x:c>
      <x:c r="J25" s="39" t="n">
        <x:v>367</x:v>
      </x:c>
      <x:c r="K25" s="39" t="n">
        <x:v>8.2575</x:v>
      </x:c>
      <x:c r="L25" s="39" t="n">
        <x:v>18270.41</x:v>
      </x:c>
      <x:c r="M25" s="39" t="n">
        <x:v>49.783133514986375</x:v>
      </x:c>
      <x:c r="N25" t="str">
        <x:v>OK</x:v>
      </x:c>
      <x:c r="O25" t="str">
        <x:v>Maintain plan</x:v>
      </x:c>
      <x:c r="P25" s="38" t="n">
        <x:v>0</x:v>
      </x:c>
    </x:row>
    <x:row r="26">
      <x:c r="A26" s="32" t="n">
        <x:v>45810</x:v>
      </x:c>
      <x:c r="B26" s="32" t="n">
        <x:v>45809</x:v>
      </x:c>
      <x:c r="C26" t="str">
        <x:v>Actual</x:v>
      </x:c>
      <x:c r="D26" t="str">
        <x:v>DB-101</x:v>
      </x:c>
      <x:c r="E26" s="34" t="n">
        <x:v>18270.41</x:v>
      </x:c>
      <x:c r="F26" s="34" t="n">
        <x:v>0</x:v>
      </x:c>
      <x:c r="G26" s="34" t="n">
        <x:v>367</x:v>
      </x:c>
      <x:c r="H26" s="34" t="n">
        <x:v>367</x:v>
      </x:c>
      <x:c r="I26" s="28" t="n">
        <x:v>1</x:v>
      </x:c>
      <x:c r="J26" s="39" t="n">
        <x:v>367</x:v>
      </x:c>
      <x:c r="K26" s="39" t="n">
        <x:v>8.2575</x:v>
      </x:c>
      <x:c r="L26" s="39" t="n">
        <x:v>17911.6675</x:v>
      </x:c>
      <x:c r="M26" s="39" t="n">
        <x:v>48.805633514986376</x:v>
      </x:c>
      <x:c r="N26" t="str">
        <x:v>OK</x:v>
      </x:c>
      <x:c r="O26" t="str">
        <x:v>Maintain plan</x:v>
      </x:c>
      <x:c r="P26" s="38" t="n">
        <x:v>0</x:v>
      </x:c>
    </x:row>
    <x:row r="27">
      <x:c r="A27" s="32" t="n">
        <x:v>45817</x:v>
      </x:c>
      <x:c r="B27" s="32" t="n">
        <x:v>45809</x:v>
      </x:c>
      <x:c r="C27" t="str">
        <x:v>Actual</x:v>
      </x:c>
      <x:c r="D27" t="str">
        <x:v>DB-101</x:v>
      </x:c>
      <x:c r="E27" s="34" t="n">
        <x:v>17911.6675</x:v>
      </x:c>
      <x:c r="F27" s="34" t="n">
        <x:v>0</x:v>
      </x:c>
      <x:c r="G27" s="34" t="n">
        <x:v>369</x:v>
      </x:c>
      <x:c r="H27" s="34" t="n">
        <x:v>369</x:v>
      </x:c>
      <x:c r="I27" s="28" t="n">
        <x:v>1</x:v>
      </x:c>
      <x:c r="J27" s="39" t="n">
        <x:v>369</x:v>
      </x:c>
      <x:c r="K27" s="39" t="n">
        <x:v>8.3025</x:v>
      </x:c>
      <x:c r="L27" s="39" t="n">
        <x:v>17550.97</x:v>
      </x:c>
      <x:c r="M27" s="39" t="n">
        <x:v>47.56360433604336</x:v>
      </x:c>
      <x:c r="N27" t="str">
        <x:v>OK</x:v>
      </x:c>
      <x:c r="O27" t="str">
        <x:v>Maintain plan</x:v>
      </x:c>
      <x:c r="P27" s="38" t="n">
        <x:v>0</x:v>
      </x:c>
    </x:row>
    <x:row r="28">
      <x:c r="A28" s="32" t="n">
        <x:v>45824</x:v>
      </x:c>
      <x:c r="B28" s="32" t="n">
        <x:v>45809</x:v>
      </x:c>
      <x:c r="C28" t="str">
        <x:v>Actual</x:v>
      </x:c>
      <x:c r="D28" t="str">
        <x:v>DB-101</x:v>
      </x:c>
      <x:c r="E28" s="34" t="n">
        <x:v>17550.97</x:v>
      </x:c>
      <x:c r="F28" s="34" t="n">
        <x:v>0</x:v>
      </x:c>
      <x:c r="G28" s="34" t="n">
        <x:v>371</x:v>
      </x:c>
      <x:c r="H28" s="34" t="n">
        <x:v>371</x:v>
      </x:c>
      <x:c r="I28" s="28" t="n">
        <x:v>1</x:v>
      </x:c>
      <x:c r="J28" s="39" t="n">
        <x:v>371</x:v>
      </x:c>
      <x:c r="K28" s="39" t="n">
        <x:v>8.3475</x:v>
      </x:c>
      <x:c r="L28" s="39" t="n">
        <x:v>17188.3175</x:v>
      </x:c>
      <x:c r="M28" s="39" t="n">
        <x:v>46.32969676549865</x:v>
      </x:c>
      <x:c r="N28" t="str">
        <x:v>OK</x:v>
      </x:c>
      <x:c r="O28" t="str">
        <x:v>Maintain plan</x:v>
      </x:c>
      <x:c r="P28" s="38" t="n">
        <x:v>0</x:v>
      </x:c>
    </x:row>
    <x:row r="29">
      <x:c r="A29" s="32" t="n">
        <x:v>45831</x:v>
      </x:c>
      <x:c r="B29" s="32" t="n">
        <x:v>45809</x:v>
      </x:c>
      <x:c r="C29" t="str">
        <x:v>Actual</x:v>
      </x:c>
      <x:c r="D29" t="str">
        <x:v>DB-101</x:v>
      </x:c>
      <x:c r="E29" s="34" t="n">
        <x:v>17188.3175</x:v>
      </x:c>
      <x:c r="F29" s="34" t="n">
        <x:v>4500</x:v>
      </x:c>
      <x:c r="G29" s="34" t="n">
        <x:v>372</x:v>
      </x:c>
      <x:c r="H29" s="34" t="n">
        <x:v>372</x:v>
      </x:c>
      <x:c r="I29" s="28" t="n">
        <x:v>1</x:v>
      </x:c>
      <x:c r="J29" s="39" t="n">
        <x:v>372</x:v>
      </x:c>
      <x:c r="K29" s="39" t="n">
        <x:v>8.37</x:v>
      </x:c>
      <x:c r="L29" s="39" t="n">
        <x:v>21324.6875</x:v>
      </x:c>
      <x:c r="M29" s="39" t="n">
        <x:v>57.324428763440864</x:v>
      </x:c>
      <x:c r="N29" t="str">
        <x:v>OK</x:v>
      </x:c>
      <x:c r="O29" t="str">
        <x:v>Maintain plan</x:v>
      </x:c>
      <x:c r="P29" s="38" t="n">
        <x:v>48.6</x:v>
      </x:c>
    </x:row>
    <x:row r="30">
      <x:c r="A30" s="32" t="n">
        <x:v>45838</x:v>
      </x:c>
      <x:c r="B30" s="32" t="n">
        <x:v>45809</x:v>
      </x:c>
      <x:c r="C30" t="str">
        <x:v>Actual</x:v>
      </x:c>
      <x:c r="D30" t="str">
        <x:v>DB-101</x:v>
      </x:c>
      <x:c r="E30" s="34" t="n">
        <x:v>21324.6875</x:v>
      </x:c>
      <x:c r="F30" s="34" t="n">
        <x:v>0</x:v>
      </x:c>
      <x:c r="G30" s="34" t="n">
        <x:v>374</x:v>
      </x:c>
      <x:c r="H30" s="34" t="n">
        <x:v>374</x:v>
      </x:c>
      <x:c r="I30" s="28" t="n">
        <x:v>1</x:v>
      </x:c>
      <x:c r="J30" s="39" t="n">
        <x:v>374</x:v>
      </x:c>
      <x:c r="K30" s="39" t="n">
        <x:v>8.415</x:v>
      </x:c>
      <x:c r="L30" s="39" t="n">
        <x:v>20959.1025</x:v>
      </x:c>
      <x:c r="M30" s="39" t="n">
        <x:v>56.04038101604278</x:v>
      </x:c>
      <x:c r="N30" t="str">
        <x:v>OK</x:v>
      </x:c>
      <x:c r="O30" t="str">
        <x:v>Maintain plan</x:v>
      </x:c>
      <x:c r="P30" s="38" t="n">
        <x:v>0</x:v>
      </x:c>
    </x:row>
    <x:row r="31">
      <x:c r="A31" s="32" t="n">
        <x:v>45845</x:v>
      </x:c>
      <x:c r="B31" s="32" t="n">
        <x:v>45839</x:v>
      </x:c>
      <x:c r="C31" t="str">
        <x:v>Actual</x:v>
      </x:c>
      <x:c r="D31" t="str">
        <x:v>DB-101</x:v>
      </x:c>
      <x:c r="E31" s="34" t="n">
        <x:v>20959.1025</x:v>
      </x:c>
      <x:c r="F31" s="34" t="n">
        <x:v>0</x:v>
      </x:c>
      <x:c r="G31" s="34" t="n">
        <x:v>375</x:v>
      </x:c>
      <x:c r="H31" s="34" t="n">
        <x:v>375</x:v>
      </x:c>
      <x:c r="I31" s="28" t="n">
        <x:v>1</x:v>
      </x:c>
      <x:c r="J31" s="39" t="n">
        <x:v>375</x:v>
      </x:c>
      <x:c r="K31" s="39" t="n">
        <x:v>8.4375</x:v>
      </x:c>
      <x:c r="L31" s="39" t="n">
        <x:v>20592.54</x:v>
      </x:c>
      <x:c r="M31" s="39" t="n">
        <x:v>54.91344</x:v>
      </x:c>
      <x:c r="N31" t="str">
        <x:v>OK</x:v>
      </x:c>
      <x:c r="O31" t="str">
        <x:v>Maintain plan</x:v>
      </x:c>
      <x:c r="P31" s="38" t="n">
        <x:v>0</x:v>
      </x:c>
    </x:row>
    <x:row r="32">
      <x:c r="A32" s="32" t="n">
        <x:v>45852</x:v>
      </x:c>
      <x:c r="B32" s="32" t="n">
        <x:v>45839</x:v>
      </x:c>
      <x:c r="C32" t="str">
        <x:v>Actual</x:v>
      </x:c>
      <x:c r="D32" t="str">
        <x:v>DB-101</x:v>
      </x:c>
      <x:c r="E32" s="34" t="n">
        <x:v>20592.54</x:v>
      </x:c>
      <x:c r="F32" s="34" t="n">
        <x:v>0</x:v>
      </x:c>
      <x:c r="G32" s="34" t="n">
        <x:v>377</x:v>
      </x:c>
      <x:c r="H32" s="34" t="n">
        <x:v>377</x:v>
      </x:c>
      <x:c r="I32" s="28" t="n">
        <x:v>1</x:v>
      </x:c>
      <x:c r="J32" s="39" t="n">
        <x:v>377</x:v>
      </x:c>
      <x:c r="K32" s="39" t="n">
        <x:v>8.4825</x:v>
      </x:c>
      <x:c r="L32" s="39" t="n">
        <x:v>20224.0225</x:v>
      </x:c>
      <x:c r="M32" s="39" t="n">
        <x:v>53.64462201591512</x:v>
      </x:c>
      <x:c r="N32" t="str">
        <x:v>OK</x:v>
      </x:c>
      <x:c r="O32" t="str">
        <x:v>Maintain plan</x:v>
      </x:c>
      <x:c r="P32" s="38" t="n">
        <x:v>0</x:v>
      </x:c>
    </x:row>
    <x:row r="33">
      <x:c r="A33" s="32" t="n">
        <x:v>45859</x:v>
      </x:c>
      <x:c r="B33" s="32" t="n">
        <x:v>45839</x:v>
      </x:c>
      <x:c r="C33" t="str">
        <x:v>Actual</x:v>
      </x:c>
      <x:c r="D33" t="str">
        <x:v>DB-101</x:v>
      </x:c>
      <x:c r="E33" s="34" t="n">
        <x:v>20224.0225</x:v>
      </x:c>
      <x:c r="F33" s="34" t="n">
        <x:v>0</x:v>
      </x:c>
      <x:c r="G33" s="34" t="n">
        <x:v>377</x:v>
      </x:c>
      <x:c r="H33" s="34" t="n">
        <x:v>377</x:v>
      </x:c>
      <x:c r="I33" s="28" t="n">
        <x:v>1</x:v>
      </x:c>
      <x:c r="J33" s="39" t="n">
        <x:v>377</x:v>
      </x:c>
      <x:c r="K33" s="39" t="n">
        <x:v>8.4825</x:v>
      </x:c>
      <x:c r="L33" s="39" t="n">
        <x:v>19855.504999999997</x:v>
      </x:c>
      <x:c r="M33" s="39" t="n">
        <x:v>52.66712201591511</x:v>
      </x:c>
      <x:c r="N33" t="str">
        <x:v>OK</x:v>
      </x:c>
      <x:c r="O33" t="str">
        <x:v>Maintain plan</x:v>
      </x:c>
      <x:c r="P33" s="38" t="n">
        <x:v>0</x:v>
      </x:c>
    </x:row>
    <x:row r="34">
      <x:c r="A34" s="32" t="n">
        <x:v>45866</x:v>
      </x:c>
      <x:c r="B34" s="32" t="n">
        <x:v>45839</x:v>
      </x:c>
      <x:c r="C34" t="str">
        <x:v>Actual</x:v>
      </x:c>
      <x:c r="D34" t="str">
        <x:v>DB-101</x:v>
      </x:c>
      <x:c r="E34" s="34" t="n">
        <x:v>19855.504999999997</x:v>
      </x:c>
      <x:c r="F34" s="34" t="n">
        <x:v>0</x:v>
      </x:c>
      <x:c r="G34" s="34" t="n">
        <x:v>379</x:v>
      </x:c>
      <x:c r="H34" s="34" t="n">
        <x:v>379</x:v>
      </x:c>
      <x:c r="I34" s="28" t="n">
        <x:v>1</x:v>
      </x:c>
      <x:c r="J34" s="39" t="n">
        <x:v>379</x:v>
      </x:c>
      <x:c r="K34" s="39" t="n">
        <x:v>8.5275</x:v>
      </x:c>
      <x:c r="L34" s="39" t="n">
        <x:v>19485.032499999998</x:v>
      </x:c>
      <x:c r="M34" s="39" t="n">
        <x:v>51.411695250659626</x:v>
      </x:c>
      <x:c r="N34" t="str">
        <x:v>OK</x:v>
      </x:c>
      <x:c r="O34" t="str">
        <x:v>Maintain plan</x:v>
      </x:c>
      <x:c r="P34" s="38" t="n">
        <x:v>0</x:v>
      </x:c>
    </x:row>
    <x:row r="35">
      <x:c r="A35" s="32" t="n">
        <x:v>45873</x:v>
      </x:c>
      <x:c r="B35" s="32" t="n">
        <x:v>45870</x:v>
      </x:c>
      <x:c r="C35" t="str">
        <x:v>Actual</x:v>
      </x:c>
      <x:c r="D35" t="str">
        <x:v>DB-101</x:v>
      </x:c>
      <x:c r="E35" s="34" t="n">
        <x:v>19485.032499999998</x:v>
      </x:c>
      <x:c r="F35" s="34" t="n">
        <x:v>0</x:v>
      </x:c>
      <x:c r="G35" s="34" t="n">
        <x:v>381</x:v>
      </x:c>
      <x:c r="H35" s="34" t="n">
        <x:v>381</x:v>
      </x:c>
      <x:c r="I35" s="28" t="n">
        <x:v>1</x:v>
      </x:c>
      <x:c r="J35" s="39" t="n">
        <x:v>381</x:v>
      </x:c>
      <x:c r="K35" s="39" t="n">
        <x:v>8.5725</x:v>
      </x:c>
      <x:c r="L35" s="39" t="n">
        <x:v>19112.604999999996</x:v>
      </x:c>
      <x:c r="M35" s="39" t="n">
        <x:v>50.16431758530182</x:v>
      </x:c>
      <x:c r="N35" t="str">
        <x:v>OK</x:v>
      </x:c>
      <x:c r="O35" t="str">
        <x:v>Maintain plan</x:v>
      </x:c>
      <x:c r="P35" s="38" t="n">
        <x:v>0</x:v>
      </x:c>
    </x:row>
    <x:row r="36">
      <x:c r="A36" s="32" t="n">
        <x:v>45880</x:v>
      </x:c>
      <x:c r="B36" s="32" t="n">
        <x:v>45870</x:v>
      </x:c>
      <x:c r="C36" t="str">
        <x:v>Actual</x:v>
      </x:c>
      <x:c r="D36" t="str">
        <x:v>DB-101</x:v>
      </x:c>
      <x:c r="E36" s="34" t="n">
        <x:v>19112.604999999996</x:v>
      </x:c>
      <x:c r="F36" s="34" t="n">
        <x:v>0</x:v>
      </x:c>
      <x:c r="G36" s="34" t="n">
        <x:v>381</x:v>
      </x:c>
      <x:c r="H36" s="34" t="n">
        <x:v>381</x:v>
      </x:c>
      <x:c r="I36" s="28" t="n">
        <x:v>1</x:v>
      </x:c>
      <x:c r="J36" s="39" t="n">
        <x:v>381</x:v>
      </x:c>
      <x:c r="K36" s="39" t="n">
        <x:v>8.5725</x:v>
      </x:c>
      <x:c r="L36" s="39" t="n">
        <x:v>18740.177499999994</x:v>
      </x:c>
      <x:c r="M36" s="39" t="n">
        <x:v>49.186817585301824</x:v>
      </x:c>
      <x:c r="N36" t="str">
        <x:v>OK</x:v>
      </x:c>
      <x:c r="O36" t="str">
        <x:v>Maintain plan</x:v>
      </x:c>
      <x:c r="P36" s="38" t="n">
        <x:v>0</x:v>
      </x:c>
    </x:row>
    <x:row r="37">
      <x:c r="A37" s="32" t="n">
        <x:v>45887</x:v>
      </x:c>
      <x:c r="B37" s="32" t="n">
        <x:v>45870</x:v>
      </x:c>
      <x:c r="C37" t="str">
        <x:v>Actual</x:v>
      </x:c>
      <x:c r="D37" t="str">
        <x:v>DB-101</x:v>
      </x:c>
      <x:c r="E37" s="34" t="n">
        <x:v>18740.177499999994</x:v>
      </x:c>
      <x:c r="F37" s="34" t="n">
        <x:v>4500</x:v>
      </x:c>
      <x:c r="G37" s="34" t="n">
        <x:v>384</x:v>
      </x:c>
      <x:c r="H37" s="34" t="n">
        <x:v>384</x:v>
      </x:c>
      <x:c r="I37" s="28" t="n">
        <x:v>1</x:v>
      </x:c>
      <x:c r="J37" s="39" t="n">
        <x:v>384</x:v>
      </x:c>
      <x:c r="K37" s="39" t="n">
        <x:v>8.64</x:v>
      </x:c>
      <x:c r="L37" s="39" t="n">
        <x:v>22864.817499999994</x:v>
      </x:c>
      <x:c r="M37" s="39" t="n">
        <x:v>59.54379557291665</x:v>
      </x:c>
      <x:c r="N37" t="str">
        <x:v>OK</x:v>
      </x:c>
      <x:c r="O37" t="str">
        <x:v>Maintain plan</x:v>
      </x:c>
      <x:c r="P37" s="38" t="n">
        <x:v>48.6</x:v>
      </x:c>
    </x:row>
    <x:row r="38">
      <x:c r="A38" s="32" t="n">
        <x:v>45894</x:v>
      </x:c>
      <x:c r="B38" s="32" t="n">
        <x:v>45870</x:v>
      </x:c>
      <x:c r="C38" t="str">
        <x:v>Actual</x:v>
      </x:c>
      <x:c r="D38" t="str">
        <x:v>DB-101</x:v>
      </x:c>
      <x:c r="E38" s="34" t="n">
        <x:v>22864.817499999994</x:v>
      </x:c>
      <x:c r="F38" s="34" t="n">
        <x:v>0</x:v>
      </x:c>
      <x:c r="G38" s="34" t="n">
        <x:v>385</x:v>
      </x:c>
      <x:c r="H38" s="34" t="n">
        <x:v>385</x:v>
      </x:c>
      <x:c r="I38" s="28" t="n">
        <x:v>1</x:v>
      </x:c>
      <x:c r="J38" s="39" t="n">
        <x:v>385</x:v>
      </x:c>
      <x:c r="K38" s="39" t="n">
        <x:v>8.6625</x:v>
      </x:c>
      <x:c r="L38" s="39" t="n">
        <x:v>22488.479999999992</x:v>
      </x:c>
      <x:c r="M38" s="39" t="n">
        <x:v>58.41163636363634</x:v>
      </x:c>
      <x:c r="N38" t="str">
        <x:v>OK</x:v>
      </x:c>
      <x:c r="O38" t="str">
        <x:v>Maintain plan</x:v>
      </x:c>
      <x:c r="P38" s="38" t="n">
        <x:v>0</x:v>
      </x:c>
    </x:row>
    <x:row r="39">
      <x:c r="A39" s="32" t="n">
        <x:v>45901</x:v>
      </x:c>
      <x:c r="B39" s="32" t="n">
        <x:v>45901</x:v>
      </x:c>
      <x:c r="C39" t="str">
        <x:v>Actual</x:v>
      </x:c>
      <x:c r="D39" t="str">
        <x:v>DB-101</x:v>
      </x:c>
      <x:c r="E39" s="34" t="n">
        <x:v>22488.479999999992</x:v>
      </x:c>
      <x:c r="F39" s="34" t="n">
        <x:v>0</x:v>
      </x:c>
      <x:c r="G39" s="34" t="n">
        <x:v>387</x:v>
      </x:c>
      <x:c r="H39" s="34" t="n">
        <x:v>387</x:v>
      </x:c>
      <x:c r="I39" s="28" t="n">
        <x:v>1</x:v>
      </x:c>
      <x:c r="J39" s="39" t="n">
        <x:v>387</x:v>
      </x:c>
      <x:c r="K39" s="39" t="n">
        <x:v>8.7075</x:v>
      </x:c>
      <x:c r="L39" s="39" t="n">
        <x:v>22110.187499999993</x:v>
      </x:c>
      <x:c r="M39" s="39" t="n">
        <x:v>57.13226744186045</x:v>
      </x:c>
      <x:c r="N39" t="str">
        <x:v>OK</x:v>
      </x:c>
      <x:c r="O39" t="str">
        <x:v>Maintain plan</x:v>
      </x:c>
      <x:c r="P39" s="38" t="n">
        <x:v>0</x:v>
      </x:c>
    </x:row>
    <x:row r="40">
      <x:c r="A40" s="32" t="n">
        <x:v>45908</x:v>
      </x:c>
      <x:c r="B40" s="32" t="n">
        <x:v>45901</x:v>
      </x:c>
      <x:c r="C40" t="str">
        <x:v>Actual</x:v>
      </x:c>
      <x:c r="D40" t="str">
        <x:v>DB-101</x:v>
      </x:c>
      <x:c r="E40" s="34" t="n">
        <x:v>22110.187499999993</x:v>
      </x:c>
      <x:c r="F40" s="34" t="n">
        <x:v>0</x:v>
      </x:c>
      <x:c r="G40" s="34" t="n">
        <x:v>388</x:v>
      </x:c>
      <x:c r="H40" s="34" t="n">
        <x:v>388</x:v>
      </x:c>
      <x:c r="I40" s="28" t="n">
        <x:v>1</x:v>
      </x:c>
      <x:c r="J40" s="39" t="n">
        <x:v>388</x:v>
      </x:c>
      <x:c r="K40" s="39" t="n">
        <x:v>8.73</x:v>
      </x:c>
      <x:c r="L40" s="39" t="n">
        <x:v>21730.917499999992</x:v>
      </x:c>
      <x:c r="M40" s="39" t="n">
        <x:v>56.00751932989689</x:v>
      </x:c>
      <x:c r="N40" t="str">
        <x:v>OK</x:v>
      </x:c>
      <x:c r="O40" t="str">
        <x:v>Maintain plan</x:v>
      </x:c>
      <x:c r="P40" s="38" t="n">
        <x:v>0</x:v>
      </x:c>
    </x:row>
    <x:row r="41">
      <x:c r="A41" s="32" t="n">
        <x:v>45915</x:v>
      </x:c>
      <x:c r="B41" s="32" t="n">
        <x:v>45901</x:v>
      </x:c>
      <x:c r="C41" t="str">
        <x:v>Actual</x:v>
      </x:c>
      <x:c r="D41" t="str">
        <x:v>DB-101</x:v>
      </x:c>
      <x:c r="E41" s="34" t="n">
        <x:v>21730.917499999992</x:v>
      </x:c>
      <x:c r="F41" s="34" t="n">
        <x:v>0</x:v>
      </x:c>
      <x:c r="G41" s="34" t="n">
        <x:v>389</x:v>
      </x:c>
      <x:c r="H41" s="34" t="n">
        <x:v>389</x:v>
      </x:c>
      <x:c r="I41" s="28" t="n">
        <x:v>1</x:v>
      </x:c>
      <x:c r="J41" s="39" t="n">
        <x:v>389</x:v>
      </x:c>
      <x:c r="K41" s="39" t="n">
        <x:v>8.7525</x:v>
      </x:c>
      <x:c r="L41" s="39" t="n">
        <x:v>21350.66999999999</x:v>
      </x:c>
      <x:c r="M41" s="39" t="n">
        <x:v>54.88604113110537</x:v>
      </x:c>
      <x:c r="N41" t="str">
        <x:v>OK</x:v>
      </x:c>
      <x:c r="O41" t="str">
        <x:v>Maintain plan</x:v>
      </x:c>
      <x:c r="P41" s="38" t="n">
        <x:v>0</x:v>
      </x:c>
    </x:row>
    <x:row r="42">
      <x:c r="A42" s="32" t="n">
        <x:v>45922</x:v>
      </x:c>
      <x:c r="B42" s="32" t="n">
        <x:v>45901</x:v>
      </x:c>
      <x:c r="C42" t="str">
        <x:v>Actual</x:v>
      </x:c>
      <x:c r="D42" t="str">
        <x:v>DB-101</x:v>
      </x:c>
      <x:c r="E42" s="34" t="n">
        <x:v>21350.66999999999</x:v>
      </x:c>
      <x:c r="F42" s="34" t="n">
        <x:v>0</x:v>
      </x:c>
      <x:c r="G42" s="34" t="n">
        <x:v>391</x:v>
      </x:c>
      <x:c r="H42" s="34" t="n">
        <x:v>391</x:v>
      </x:c>
      <x:c r="I42" s="28" t="n">
        <x:v>1</x:v>
      </x:c>
      <x:c r="J42" s="39" t="n">
        <x:v>391</x:v>
      </x:c>
      <x:c r="K42" s="39" t="n">
        <x:v>8.7975</x:v>
      </x:c>
      <x:c r="L42" s="39" t="n">
        <x:v>20968.46749999999</x:v>
      </x:c>
      <x:c r="M42" s="39" t="n">
        <x:v>53.627794117647035</x:v>
      </x:c>
      <x:c r="N42" t="str">
        <x:v>OK</x:v>
      </x:c>
      <x:c r="O42" t="str">
        <x:v>Maintain plan</x:v>
      </x:c>
      <x:c r="P42" s="38" t="n">
        <x:v>0</x:v>
      </x:c>
    </x:row>
    <x:row r="43">
      <x:c r="A43" s="32" t="n">
        <x:v>45929</x:v>
      </x:c>
      <x:c r="B43" s="32" t="n">
        <x:v>45901</x:v>
      </x:c>
      <x:c r="C43" t="str">
        <x:v>Actual</x:v>
      </x:c>
      <x:c r="D43" t="str">
        <x:v>DB-101</x:v>
      </x:c>
      <x:c r="E43" s="34" t="n">
        <x:v>20968.46749999999</x:v>
      </x:c>
      <x:c r="F43" s="34" t="n">
        <x:v>0</x:v>
      </x:c>
      <x:c r="G43" s="34" t="n">
        <x:v>391</x:v>
      </x:c>
      <x:c r="H43" s="34" t="n">
        <x:v>391</x:v>
      </x:c>
      <x:c r="I43" s="28" t="n">
        <x:v>1</x:v>
      </x:c>
      <x:c r="J43" s="39" t="n">
        <x:v>391</x:v>
      </x:c>
      <x:c r="K43" s="39" t="n">
        <x:v>8.7975</x:v>
      </x:c>
      <x:c r="L43" s="39" t="n">
        <x:v>20586.264999999992</x:v>
      </x:c>
      <x:c r="M43" s="39" t="n">
        <x:v>52.650294117647036</x:v>
      </x:c>
      <x:c r="N43" t="str">
        <x:v>OK</x:v>
      </x:c>
      <x:c r="O43" t="str">
        <x:v>Maintain plan</x:v>
      </x:c>
      <x:c r="P43" s="38" t="n">
        <x:v>0</x:v>
      </x:c>
    </x:row>
    <x:row r="44">
      <x:c r="A44" s="32" t="n">
        <x:v>45936</x:v>
      </x:c>
      <x:c r="B44" s="32" t="n">
        <x:v>45931</x:v>
      </x:c>
      <x:c r="C44" t="str">
        <x:v>Actual</x:v>
      </x:c>
      <x:c r="D44" t="str">
        <x:v>DB-101</x:v>
      </x:c>
      <x:c r="E44" s="34" t="n">
        <x:v>20586.264999999992</x:v>
      </x:c>
      <x:c r="F44" s="34" t="n">
        <x:v>0</x:v>
      </x:c>
      <x:c r="G44" s="34" t="n">
        <x:v>393</x:v>
      </x:c>
      <x:c r="H44" s="34" t="n">
        <x:v>393</x:v>
      </x:c>
      <x:c r="I44" s="28" t="n">
        <x:v>1</x:v>
      </x:c>
      <x:c r="J44" s="39" t="n">
        <x:v>393</x:v>
      </x:c>
      <x:c r="K44" s="39" t="n">
        <x:v>8.8425</x:v>
      </x:c>
      <x:c r="L44" s="39" t="n">
        <x:v>20202.10749999999</x:v>
      </x:c>
      <x:c r="M44" s="39" t="n">
        <x:v>51.40485368956741</x:v>
      </x:c>
      <x:c r="N44" t="str">
        <x:v>OK</x:v>
      </x:c>
      <x:c r="O44" t="str">
        <x:v>Maintain plan</x:v>
      </x:c>
      <x:c r="P44" s="38" t="n">
        <x:v>0</x:v>
      </x:c>
    </x:row>
    <x:row r="45">
      <x:c r="A45" s="32" t="n">
        <x:v>45943</x:v>
      </x:c>
      <x:c r="B45" s="32" t="n">
        <x:v>45931</x:v>
      </x:c>
      <x:c r="C45" t="str">
        <x:v>Actual</x:v>
      </x:c>
      <x:c r="D45" t="str">
        <x:v>DB-101</x:v>
      </x:c>
      <x:c r="E45" s="34" t="n">
        <x:v>20202.10749999999</x:v>
      </x:c>
      <x:c r="F45" s="34" t="n">
        <x:v>4500</x:v>
      </x:c>
      <x:c r="G45" s="34" t="n">
        <x:v>395</x:v>
      </x:c>
      <x:c r="H45" s="34" t="n">
        <x:v>395</x:v>
      </x:c>
      <x:c r="I45" s="28" t="n">
        <x:v>1</x:v>
      </x:c>
      <x:c r="J45" s="39" t="n">
        <x:v>395</x:v>
      </x:c>
      <x:c r="K45" s="39" t="n">
        <x:v>8.8875</x:v>
      </x:c>
      <x:c r="L45" s="39" t="n">
        <x:v>24315.99499999999</x:v>
      </x:c>
      <x:c r="M45" s="39" t="n">
        <x:v>61.55948101265821</x:v>
      </x:c>
      <x:c r="N45" t="str">
        <x:v>OK</x:v>
      </x:c>
      <x:c r="O45" t="str">
        <x:v>Maintain plan</x:v>
      </x:c>
      <x:c r="P45" s="38" t="n">
        <x:v>48.6</x:v>
      </x:c>
    </x:row>
    <x:row r="46">
      <x:c r="A46" s="32" t="n">
        <x:v>45950</x:v>
      </x:c>
      <x:c r="B46" s="32" t="n">
        <x:v>45931</x:v>
      </x:c>
      <x:c r="C46" t="str">
        <x:v>Actual</x:v>
      </x:c>
      <x:c r="D46" t="str">
        <x:v>DB-101</x:v>
      </x:c>
      <x:c r="E46" s="34" t="n">
        <x:v>24315.99499999999</x:v>
      </x:c>
      <x:c r="F46" s="34" t="n">
        <x:v>0</x:v>
      </x:c>
      <x:c r="G46" s="34" t="n">
        <x:v>397</x:v>
      </x:c>
      <x:c r="H46" s="34" t="n">
        <x:v>397</x:v>
      </x:c>
      <x:c r="I46" s="28" t="n">
        <x:v>1</x:v>
      </x:c>
      <x:c r="J46" s="39" t="n">
        <x:v>397</x:v>
      </x:c>
      <x:c r="K46" s="39" t="n">
        <x:v>8.9325</x:v>
      </x:c>
      <x:c r="L46" s="39" t="n">
        <x:v>23927.92749999999</x:v>
      </x:c>
      <x:c r="M46" s="39" t="n">
        <x:v>60.271857682619626</x:v>
      </x:c>
      <x:c r="N46" t="str">
        <x:v>OK</x:v>
      </x:c>
      <x:c r="O46" t="str">
        <x:v>Maintain plan</x:v>
      </x:c>
      <x:c r="P46" s="38" t="n">
        <x:v>0</x:v>
      </x:c>
    </x:row>
    <x:row r="47">
      <x:c r="A47" s="32" t="n">
        <x:v>45957</x:v>
      </x:c>
      <x:c r="B47" s="32" t="n">
        <x:v>45931</x:v>
      </x:c>
      <x:c r="C47" t="str">
        <x:v>Actual</x:v>
      </x:c>
      <x:c r="D47" t="str">
        <x:v>DB-101</x:v>
      </x:c>
      <x:c r="E47" s="34" t="n">
        <x:v>23927.92749999999</x:v>
      </x:c>
      <x:c r="F47" s="34" t="n">
        <x:v>0</x:v>
      </x:c>
      <x:c r="G47" s="34" t="n">
        <x:v>398</x:v>
      </x:c>
      <x:c r="H47" s="34" t="n">
        <x:v>398</x:v>
      </x:c>
      <x:c r="I47" s="28" t="n">
        <x:v>1</x:v>
      </x:c>
      <x:c r="J47" s="39" t="n">
        <x:v>398</x:v>
      </x:c>
      <x:c r="K47" s="39" t="n">
        <x:v>8.955</x:v>
      </x:c>
      <x:c r="L47" s="39" t="n">
        <x:v>23538.882499999992</x:v>
      </x:c>
      <x:c r="M47" s="39" t="n">
        <x:v>59.14292085427134</x:v>
      </x:c>
      <x:c r="N47" t="str">
        <x:v>OK</x:v>
      </x:c>
      <x:c r="O47" t="str">
        <x:v>Maintain plan</x:v>
      </x:c>
      <x:c r="P47" s="38" t="n">
        <x:v>0</x:v>
      </x:c>
    </x:row>
    <x:row r="48">
      <x:c r="A48" s="32" t="n">
        <x:v>45964</x:v>
      </x:c>
      <x:c r="B48" s="32" t="n">
        <x:v>45962</x:v>
      </x:c>
      <x:c r="C48" t="str">
        <x:v>Actual</x:v>
      </x:c>
      <x:c r="D48" t="str">
        <x:v>DB-101</x:v>
      </x:c>
      <x:c r="E48" s="34" t="n">
        <x:v>23538.882499999992</x:v>
      </x:c>
      <x:c r="F48" s="34" t="n">
        <x:v>0</x:v>
      </x:c>
      <x:c r="G48" s="34" t="n">
        <x:v>399</x:v>
      </x:c>
      <x:c r="H48" s="34" t="n">
        <x:v>399</x:v>
      </x:c>
      <x:c r="I48" s="28" t="n">
        <x:v>1</x:v>
      </x:c>
      <x:c r="J48" s="39" t="n">
        <x:v>399</x:v>
      </x:c>
      <x:c r="K48" s="39" t="n">
        <x:v>8.9775</x:v>
      </x:c>
      <x:c r="L48" s="39" t="n">
        <x:v>23148.859999999993</x:v>
      </x:c>
      <x:c r="M48" s="39" t="n">
        <x:v>58.01719298245612</x:v>
      </x:c>
      <x:c r="N48" t="str">
        <x:v>OK</x:v>
      </x:c>
      <x:c r="O48" t="str">
        <x:v>Maintain plan</x:v>
      </x:c>
      <x:c r="P48" s="38" t="n">
        <x:v>0</x:v>
      </x:c>
    </x:row>
    <x:row r="49">
      <x:c r="A49" s="32" t="n">
        <x:v>45971</x:v>
      </x:c>
      <x:c r="B49" s="32" t="n">
        <x:v>45962</x:v>
      </x:c>
      <x:c r="C49" t="str">
        <x:v>Actual</x:v>
      </x:c>
      <x:c r="D49" t="str">
        <x:v>DB-101</x:v>
      </x:c>
      <x:c r="E49" s="34" t="n">
        <x:v>23148.859999999993</x:v>
      </x:c>
      <x:c r="F49" s="34" t="n">
        <x:v>0</x:v>
      </x:c>
      <x:c r="G49" s="34" t="n">
        <x:v>401</x:v>
      </x:c>
      <x:c r="H49" s="34" t="n">
        <x:v>401</x:v>
      </x:c>
      <x:c r="I49" s="28" t="n">
        <x:v>1</x:v>
      </x:c>
      <x:c r="J49" s="39" t="n">
        <x:v>401</x:v>
      </x:c>
      <x:c r="K49" s="39" t="n">
        <x:v>9.022499999999999</x:v>
      </x:c>
      <x:c r="L49" s="39" t="n">
        <x:v>22756.882499999992</x:v>
      </x:c>
      <x:c r="M49" s="39" t="n">
        <x:v>56.75033042394013</x:v>
      </x:c>
      <x:c r="N49" t="str">
        <x:v>OK</x:v>
      </x:c>
      <x:c r="O49" t="str">
        <x:v>Maintain plan</x:v>
      </x:c>
      <x:c r="P49" s="38" t="n">
        <x:v>0</x:v>
      </x:c>
    </x:row>
    <x:row r="50">
      <x:c r="A50" s="32" t="n">
        <x:v>45978</x:v>
      </x:c>
      <x:c r="B50" s="32" t="n">
        <x:v>45962</x:v>
      </x:c>
      <x:c r="C50" t="str">
        <x:v>Actual</x:v>
      </x:c>
      <x:c r="D50" t="str">
        <x:v>DB-101</x:v>
      </x:c>
      <x:c r="E50" s="34" t="n">
        <x:v>22756.882499999992</x:v>
      </x:c>
      <x:c r="F50" s="34" t="n">
        <x:v>0</x:v>
      </x:c>
      <x:c r="G50" s="34" t="n">
        <x:v>401</x:v>
      </x:c>
      <x:c r="H50" s="34" t="n">
        <x:v>401</x:v>
      </x:c>
      <x:c r="I50" s="28" t="n">
        <x:v>1</x:v>
      </x:c>
      <x:c r="J50" s="39" t="n">
        <x:v>401</x:v>
      </x:c>
      <x:c r="K50" s="39" t="n">
        <x:v>9.022499999999999</x:v>
      </x:c>
      <x:c r="L50" s="39" t="n">
        <x:v>22364.90499999999</x:v>
      </x:c>
      <x:c r="M50" s="39" t="n">
        <x:v>55.77283042394013</x:v>
      </x:c>
      <x:c r="N50" t="str">
        <x:v>OK</x:v>
      </x:c>
      <x:c r="O50" t="str">
        <x:v>Maintain plan</x:v>
      </x:c>
      <x:c r="P50" s="38" t="n">
        <x:v>0</x:v>
      </x:c>
    </x:row>
    <x:row r="51">
      <x:c r="A51" s="32" t="n">
        <x:v>45985</x:v>
      </x:c>
      <x:c r="B51" s="32" t="n">
        <x:v>45962</x:v>
      </x:c>
      <x:c r="C51" t="str">
        <x:v>Actual</x:v>
      </x:c>
      <x:c r="D51" t="str">
        <x:v>DB-101</x:v>
      </x:c>
      <x:c r="E51" s="34" t="n">
        <x:v>22364.90499999999</x:v>
      </x:c>
      <x:c r="F51" s="34" t="n">
        <x:v>0</x:v>
      </x:c>
      <x:c r="G51" s="34" t="n">
        <x:v>404</x:v>
      </x:c>
      <x:c r="H51" s="34" t="n">
        <x:v>404</x:v>
      </x:c>
      <x:c r="I51" s="28" t="n">
        <x:v>1</x:v>
      </x:c>
      <x:c r="J51" s="39" t="n">
        <x:v>404</x:v>
      </x:c>
      <x:c r="K51" s="39" t="n">
        <x:v>9.09</x:v>
      </x:c>
      <x:c r="L51" s="39" t="n">
        <x:v>21969.99499999999</x:v>
      </x:c>
      <x:c r="M51" s="39" t="n">
        <x:v>54.381175742574236</x:v>
      </x:c>
      <x:c r="N51" t="str">
        <x:v>OK</x:v>
      </x:c>
      <x:c r="O51" t="str">
        <x:v>Maintain plan</x:v>
      </x:c>
      <x:c r="P51" s="38" t="n">
        <x:v>0</x:v>
      </x:c>
    </x:row>
    <x:row r="52">
      <x:c r="A52" s="32" t="n">
        <x:v>45992</x:v>
      </x:c>
      <x:c r="B52" s="32" t="n">
        <x:v>45992</x:v>
      </x:c>
      <x:c r="C52" t="str">
        <x:v>Actual</x:v>
      </x:c>
      <x:c r="D52" t="str">
        <x:v>DB-101</x:v>
      </x:c>
      <x:c r="E52" s="34" t="n">
        <x:v>21969.99499999999</x:v>
      </x:c>
      <x:c r="F52" s="34" t="n">
        <x:v>0</x:v>
      </x:c>
      <x:c r="G52" s="34" t="n">
        <x:v>405</x:v>
      </x:c>
      <x:c r="H52" s="34" t="n">
        <x:v>405</x:v>
      </x:c>
      <x:c r="I52" s="28" t="n">
        <x:v>1</x:v>
      </x:c>
      <x:c r="J52" s="39" t="n">
        <x:v>405</x:v>
      </x:c>
      <x:c r="K52" s="39" t="n">
        <x:v>9.112499999999999</x:v>
      </x:c>
      <x:c r="L52" s="39" t="n">
        <x:v>21574.10749999999</x:v>
      </x:c>
      <x:c r="M52" s="39" t="n">
        <x:v>53.26940123456788</x:v>
      </x:c>
      <x:c r="N52" t="str">
        <x:v>OK</x:v>
      </x:c>
      <x:c r="O52" t="str">
        <x:v>Maintain plan</x:v>
      </x:c>
      <x:c r="P52" s="38" t="n">
        <x:v>0</x:v>
      </x:c>
    </x:row>
    <x:row r="53">
      <x:c r="A53" s="32" t="n">
        <x:v>45999</x:v>
      </x:c>
      <x:c r="B53" s="32" t="n">
        <x:v>45992</x:v>
      </x:c>
      <x:c r="C53" t="str">
        <x:v>Actual</x:v>
      </x:c>
      <x:c r="D53" t="str">
        <x:v>DB-101</x:v>
      </x:c>
      <x:c r="E53" s="34" t="n">
        <x:v>21574.10749999999</x:v>
      </x:c>
      <x:c r="F53" s="34" t="n">
        <x:v>4500</x:v>
      </x:c>
      <x:c r="G53" s="34" t="n">
        <x:v>405</x:v>
      </x:c>
      <x:c r="H53" s="34" t="n">
        <x:v>405</x:v>
      </x:c>
      <x:c r="I53" s="28" t="n">
        <x:v>1</x:v>
      </x:c>
      <x:c r="J53" s="39" t="n">
        <x:v>405</x:v>
      </x:c>
      <x:c r="K53" s="39" t="n">
        <x:v>9.112499999999999</x:v>
      </x:c>
      <x:c r="L53" s="39" t="n">
        <x:v>25678.21999999999</x:v>
      </x:c>
      <x:c r="M53" s="39" t="n">
        <x:v>63.40301234567899</x:v>
      </x:c>
      <x:c r="N53" t="str">
        <x:v>OK</x:v>
      </x:c>
      <x:c r="O53" t="str">
        <x:v>Maintain plan</x:v>
      </x:c>
      <x:c r="P53" s="38" t="n">
        <x:v>48.6</x:v>
      </x:c>
    </x:row>
    <x:row r="54">
      <x:c r="A54" s="32" t="n">
        <x:v>46006</x:v>
      </x:c>
      <x:c r="B54" s="32" t="n">
        <x:v>45992</x:v>
      </x:c>
      <x:c r="C54" t="str">
        <x:v>Actual</x:v>
      </x:c>
      <x:c r="D54" t="str">
        <x:v>DB-101</x:v>
      </x:c>
      <x:c r="E54" s="34" t="n">
        <x:v>25678.21999999999</x:v>
      </x:c>
      <x:c r="F54" s="34" t="n">
        <x:v>0</x:v>
      </x:c>
      <x:c r="G54" s="34" t="n">
        <x:v>408</x:v>
      </x:c>
      <x:c r="H54" s="34" t="n">
        <x:v>408</x:v>
      </x:c>
      <x:c r="I54" s="28" t="n">
        <x:v>1</x:v>
      </x:c>
      <x:c r="J54" s="39" t="n">
        <x:v>408</x:v>
      </x:c>
      <x:c r="K54" s="39" t="n">
        <x:v>9.18</x:v>
      </x:c>
      <x:c r="L54" s="39" t="n">
        <x:v>25279.39999999999</x:v>
      </x:c>
      <x:c r="M54" s="39" t="n">
        <x:v>61.959313725490176</x:v>
      </x:c>
      <x:c r="N54" t="str">
        <x:v>OK</x:v>
      </x:c>
      <x:c r="O54" t="str">
        <x:v>Maintain plan</x:v>
      </x:c>
      <x:c r="P54" s="38" t="n">
        <x:v>0</x:v>
      </x:c>
    </x:row>
    <x:row r="55">
      <x:c r="A55" s="32" t="n">
        <x:v>46013</x:v>
      </x:c>
      <x:c r="B55" s="32" t="n">
        <x:v>45992</x:v>
      </x:c>
      <x:c r="C55" t="str">
        <x:v>Actual</x:v>
      </x:c>
      <x:c r="D55" t="str">
        <x:v>DB-101</x:v>
      </x:c>
      <x:c r="E55" s="34" t="n">
        <x:v>25279.39999999999</x:v>
      </x:c>
      <x:c r="F55" s="34" t="n">
        <x:v>0</x:v>
      </x:c>
      <x:c r="G55" s="34" t="n">
        <x:v>409</x:v>
      </x:c>
      <x:c r="H55" s="34" t="n">
        <x:v>409</x:v>
      </x:c>
      <x:c r="I55" s="28" t="n">
        <x:v>1</x:v>
      </x:c>
      <x:c r="J55" s="39" t="n">
        <x:v>409</x:v>
      </x:c>
      <x:c r="K55" s="39" t="n">
        <x:v>9.202499999999999</x:v>
      </x:c>
      <x:c r="L55" s="39" t="n">
        <x:v>24879.60249999999</x:v>
      </x:c>
      <x:c r="M55" s="39" t="n">
        <x:v>60.83032396088017</x:v>
      </x:c>
      <x:c r="N55" t="str">
        <x:v>OK</x:v>
      </x:c>
      <x:c r="O55" t="str">
        <x:v>Maintain plan</x:v>
      </x:c>
      <x:c r="P55" s="38" t="n">
        <x:v>0</x:v>
      </x:c>
    </x:row>
    <x:row r="56">
      <x:c r="A56" s="32" t="n">
        <x:v>46020</x:v>
      </x:c>
      <x:c r="B56" s="32" t="n">
        <x:v>45992</x:v>
      </x:c>
      <x:c r="C56" t="str">
        <x:v>Actual</x:v>
      </x:c>
      <x:c r="D56" t="str">
        <x:v>DB-101</x:v>
      </x:c>
      <x:c r="E56" s="34" t="n">
        <x:v>24879.60249999999</x:v>
      </x:c>
      <x:c r="F56" s="34" t="n">
        <x:v>0</x:v>
      </x:c>
      <x:c r="G56" s="34" t="n">
        <x:v>412</x:v>
      </x:c>
      <x:c r="H56" s="34" t="n">
        <x:v>412</x:v>
      </x:c>
      <x:c r="I56" s="28" t="n">
        <x:v>1</x:v>
      </x:c>
      <x:c r="J56" s="39" t="n">
        <x:v>412</x:v>
      </x:c>
      <x:c r="K56" s="39" t="n">
        <x:v>9.27</x:v>
      </x:c>
      <x:c r="L56" s="39" t="n">
        <x:v>24476.87249999999</x:v>
      </x:c>
      <x:c r="M56" s="39" t="n">
        <x:v>59.40988470873784</x:v>
      </x:c>
      <x:c r="N56" t="str">
        <x:v>OK</x:v>
      </x:c>
      <x:c r="O56" t="str">
        <x:v>Maintain plan</x:v>
      </x:c>
      <x:c r="P56" s="38" t="n">
        <x:v>0</x:v>
      </x:c>
    </x:row>
    <x:row r="57">
      <x:c r="A57" s="32" t="n">
        <x:v>46027</x:v>
      </x:c>
      <x:c r="B57" s="32" t="n">
        <x:v>46023</x:v>
      </x:c>
      <x:c r="C57" t="str">
        <x:v>Forecast</x:v>
      </x:c>
      <x:c r="D57" t="str">
        <x:v>DB-101</x:v>
      </x:c>
      <x:c r="E57" s="34" t="n">
        <x:v>24476.87249999999</x:v>
      </x:c>
      <x:c r="F57" s="34" t="n">
        <x:v>0</x:v>
      </x:c>
      <x:c r="G57" s="34" t="n">
        <x:v>501</x:v>
      </x:c>
      <x:c r="H57" s="34" t="n">
        <x:v>501</x:v>
      </x:c>
      <x:c r="I57" s="28" t="n">
        <x:v>1</x:v>
      </x:c>
      <x:c r="J57" s="39" t="n">
        <x:v>501</x:v>
      </x:c>
      <x:c r="K57" s="39" t="n">
        <x:v>11.272499999999999</x:v>
      </x:c>
      <x:c r="L57" s="39" t="n">
        <x:v>23987.14499999999</x:v>
      </x:c>
      <x:c r="M57" s="39" t="n">
        <x:v>47.87853293413171</x:v>
      </x:c>
      <x:c r="N57" t="str">
        <x:v>OK</x:v>
      </x:c>
      <x:c r="O57" t="str">
        <x:v>Maintain plan</x:v>
      </x:c>
      <x:c r="P57" s="38" t="n">
        <x:v>0</x:v>
      </x:c>
    </x:row>
    <x:row r="58">
      <x:c r="A58" s="32" t="n">
        <x:v>46034</x:v>
      </x:c>
      <x:c r="B58" s="32" t="n">
        <x:v>46023</x:v>
      </x:c>
      <x:c r="C58" t="str">
        <x:v>Forecast</x:v>
      </x:c>
      <x:c r="D58" t="str">
        <x:v>DB-101</x:v>
      </x:c>
      <x:c r="E58" s="34" t="n">
        <x:v>23987.14499999999</x:v>
      </x:c>
      <x:c r="F58" s="34" t="n">
        <x:v>0</x:v>
      </x:c>
      <x:c r="G58" s="34" t="n">
        <x:v>501</x:v>
      </x:c>
      <x:c r="H58" s="34" t="n">
        <x:v>501</x:v>
      </x:c>
      <x:c r="I58" s="28" t="n">
        <x:v>1</x:v>
      </x:c>
      <x:c r="J58" s="39" t="n">
        <x:v>501</x:v>
      </x:c>
      <x:c r="K58" s="39" t="n">
        <x:v>11.272499999999999</x:v>
      </x:c>
      <x:c r="L58" s="39" t="n">
        <x:v>23497.41749999999</x:v>
      </x:c>
      <x:c r="M58" s="39" t="n">
        <x:v>46.90103293413171</x:v>
      </x:c>
      <x:c r="N58" t="str">
        <x:v>OK</x:v>
      </x:c>
      <x:c r="O58" t="str">
        <x:v>Maintain plan</x:v>
      </x:c>
      <x:c r="P58" s="38" t="n">
        <x:v>0</x:v>
      </x:c>
    </x:row>
    <x:row r="59">
      <x:c r="A59" s="32" t="n">
        <x:v>46041</x:v>
      </x:c>
      <x:c r="B59" s="32" t="n">
        <x:v>46023</x:v>
      </x:c>
      <x:c r="C59" t="str">
        <x:v>Forecast</x:v>
      </x:c>
      <x:c r="D59" t="str">
        <x:v>DB-101</x:v>
      </x:c>
      <x:c r="E59" s="34" t="n">
        <x:v>23497.41749999999</x:v>
      </x:c>
      <x:c r="F59" s="34" t="n">
        <x:v>0</x:v>
      </x:c>
      <x:c r="G59" s="34" t="n">
        <x:v>501</x:v>
      </x:c>
      <x:c r="H59" s="34" t="n">
        <x:v>501</x:v>
      </x:c>
      <x:c r="I59" s="28" t="n">
        <x:v>1</x:v>
      </x:c>
      <x:c r="J59" s="39" t="n">
        <x:v>501</x:v>
      </x:c>
      <x:c r="K59" s="39" t="n">
        <x:v>11.272499999999999</x:v>
      </x:c>
      <x:c r="L59" s="39" t="n">
        <x:v>23007.689999999988</x:v>
      </x:c>
      <x:c r="M59" s="39" t="n">
        <x:v>45.923532934131714</x:v>
      </x:c>
      <x:c r="N59" t="str">
        <x:v>OK</x:v>
      </x:c>
      <x:c r="O59" t="str">
        <x:v>Maintain plan</x:v>
      </x:c>
      <x:c r="P59" s="38" t="n">
        <x:v>0</x:v>
      </x:c>
    </x:row>
    <x:row r="60">
      <x:c r="A60" s="32" t="n">
        <x:v>46048</x:v>
      </x:c>
      <x:c r="B60" s="32" t="n">
        <x:v>46023</x:v>
      </x:c>
      <x:c r="C60" t="str">
        <x:v>Forecast</x:v>
      </x:c>
      <x:c r="D60" t="str">
        <x:v>DB-101</x:v>
      </x:c>
      <x:c r="E60" s="34" t="n">
        <x:v>23007.689999999988</x:v>
      </x:c>
      <x:c r="F60" s="34" t="n">
        <x:v>0</x:v>
      </x:c>
      <x:c r="G60" s="34" t="n">
        <x:v>501</x:v>
      </x:c>
      <x:c r="H60" s="34" t="n">
        <x:v>501</x:v>
      </x:c>
      <x:c r="I60" s="28" t="n">
        <x:v>1</x:v>
      </x:c>
      <x:c r="J60" s="39" t="n">
        <x:v>501</x:v>
      </x:c>
      <x:c r="K60" s="39" t="n">
        <x:v>11.272499999999999</x:v>
      </x:c>
      <x:c r="L60" s="39" t="n">
        <x:v>22517.962499999987</x:v>
      </x:c>
      <x:c r="M60" s="39" t="n">
        <x:v>44.94603293413171</x:v>
      </x:c>
      <x:c r="N60" t="str">
        <x:v>OK</x:v>
      </x:c>
      <x:c r="O60" t="str">
        <x:v>Maintain plan</x:v>
      </x:c>
      <x:c r="P60" s="38" t="n">
        <x:v>0</x:v>
      </x:c>
    </x:row>
    <x:row r="61">
      <x:c r="A61" s="32" t="n">
        <x:v>46055</x:v>
      </x:c>
      <x:c r="B61" s="32" t="n">
        <x:v>46054</x:v>
      </x:c>
      <x:c r="C61" t="str">
        <x:v>Forecast</x:v>
      </x:c>
      <x:c r="D61" t="str">
        <x:v>DB-101</x:v>
      </x:c>
      <x:c r="E61" s="34" t="n">
        <x:v>22517.962499999987</x:v>
      </x:c>
      <x:c r="F61" s="34" t="n">
        <x:v>0</x:v>
      </x:c>
      <x:c r="G61" s="34" t="n">
        <x:v>501</x:v>
      </x:c>
      <x:c r="H61" s="34" t="n">
        <x:v>501</x:v>
      </x:c>
      <x:c r="I61" s="28" t="n">
        <x:v>1</x:v>
      </x:c>
      <x:c r="J61" s="39" t="n">
        <x:v>501</x:v>
      </x:c>
      <x:c r="K61" s="39" t="n">
        <x:v>11.272499999999999</x:v>
      </x:c>
      <x:c r="L61" s="39" t="n">
        <x:v>22028.234999999986</x:v>
      </x:c>
      <x:c r="M61" s="39" t="n">
        <x:v>43.96853293413171</x:v>
      </x:c>
      <x:c r="N61" t="str">
        <x:v>OK</x:v>
      </x:c>
      <x:c r="O61" t="str">
        <x:v>Maintain plan</x:v>
      </x:c>
      <x:c r="P61" s="38" t="n">
        <x:v>0</x:v>
      </x:c>
    </x:row>
    <x:row r="62">
      <x:c r="A62" s="32" t="n">
        <x:v>46062</x:v>
      </x:c>
      <x:c r="B62" s="32" t="n">
        <x:v>46054</x:v>
      </x:c>
      <x:c r="C62" t="str">
        <x:v>Forecast</x:v>
      </x:c>
      <x:c r="D62" t="str">
        <x:v>DB-101</x:v>
      </x:c>
      <x:c r="E62" s="34" t="n">
        <x:v>22028.234999999986</x:v>
      </x:c>
      <x:c r="F62" s="34" t="n">
        <x:v>0</x:v>
      </x:c>
      <x:c r="G62" s="34" t="n">
        <x:v>501</x:v>
      </x:c>
      <x:c r="H62" s="34" t="n">
        <x:v>501</x:v>
      </x:c>
      <x:c r="I62" s="28" t="n">
        <x:v>1</x:v>
      </x:c>
      <x:c r="J62" s="39" t="n">
        <x:v>501</x:v>
      </x:c>
      <x:c r="K62" s="39" t="n">
        <x:v>11.272499999999999</x:v>
      </x:c>
      <x:c r="L62" s="39" t="n">
        <x:v>21538.507499999985</x:v>
      </x:c>
      <x:c r="M62" s="39" t="n">
        <x:v>42.99103293413171</x:v>
      </x:c>
      <x:c r="N62" t="str">
        <x:v>OK</x:v>
      </x:c>
      <x:c r="O62" t="str">
        <x:v>Maintain plan</x:v>
      </x:c>
      <x:c r="P62" s="38" t="n">
        <x:v>0</x:v>
      </x:c>
    </x:row>
    <x:row r="63">
      <x:c r="A63" s="32" t="n">
        <x:v>46069</x:v>
      </x:c>
      <x:c r="B63" s="32" t="n">
        <x:v>46054</x:v>
      </x:c>
      <x:c r="C63" t="str">
        <x:v>Forecast</x:v>
      </x:c>
      <x:c r="D63" t="str">
        <x:v>DB-101</x:v>
      </x:c>
      <x:c r="E63" s="34" t="n">
        <x:v>21538.507499999985</x:v>
      </x:c>
      <x:c r="F63" s="34" t="n">
        <x:v>0</x:v>
      </x:c>
      <x:c r="G63" s="34" t="n">
        <x:v>501</x:v>
      </x:c>
      <x:c r="H63" s="34" t="n">
        <x:v>501</x:v>
      </x:c>
      <x:c r="I63" s="28" t="n">
        <x:v>1</x:v>
      </x:c>
      <x:c r="J63" s="39" t="n">
        <x:v>501</x:v>
      </x:c>
      <x:c r="K63" s="39" t="n">
        <x:v>11.272499999999999</x:v>
      </x:c>
      <x:c r="L63" s="39" t="n">
        <x:v>21048.779999999984</x:v>
      </x:c>
      <x:c r="M63" s="39" t="n">
        <x:v>42.0135329341317</x:v>
      </x:c>
      <x:c r="N63" t="str">
        <x:v>OK</x:v>
      </x:c>
      <x:c r="O63" t="str">
        <x:v>Maintain plan</x:v>
      </x:c>
      <x:c r="P63" s="38" t="n">
        <x:v>0</x:v>
      </x:c>
    </x:row>
    <x:row r="64">
      <x:c r="A64" s="32" t="n">
        <x:v>46076</x:v>
      </x:c>
      <x:c r="B64" s="32" t="n">
        <x:v>46054</x:v>
      </x:c>
      <x:c r="C64" t="str">
        <x:v>Forecast</x:v>
      </x:c>
      <x:c r="D64" t="str">
        <x:v>DB-101</x:v>
      </x:c>
      <x:c r="E64" s="34" t="n">
        <x:v>21048.779999999984</x:v>
      </x:c>
      <x:c r="F64" s="34" t="n">
        <x:v>0</x:v>
      </x:c>
      <x:c r="G64" s="34" t="n">
        <x:v>501</x:v>
      </x:c>
      <x:c r="H64" s="34" t="n">
        <x:v>501</x:v>
      </x:c>
      <x:c r="I64" s="28" t="n">
        <x:v>1</x:v>
      </x:c>
      <x:c r="J64" s="39" t="n">
        <x:v>501</x:v>
      </x:c>
      <x:c r="K64" s="39" t="n">
        <x:v>11.272499999999999</x:v>
      </x:c>
      <x:c r="L64" s="39" t="n">
        <x:v>20559.052499999983</x:v>
      </x:c>
      <x:c r="M64" s="39" t="n">
        <x:v>41.036032934131704</x:v>
      </x:c>
      <x:c r="N64" t="str">
        <x:v>OK</x:v>
      </x:c>
      <x:c r="O64" t="str">
        <x:v>Maintain plan</x:v>
      </x:c>
      <x:c r="P64" s="38" t="n">
        <x:v>0</x:v>
      </x:c>
    </x:row>
    <x:row r="65">
      <x:c r="A65" s="32" t="n">
        <x:v>46083</x:v>
      </x:c>
      <x:c r="B65" s="32" t="n">
        <x:v>46082</x:v>
      </x:c>
      <x:c r="C65" t="str">
        <x:v>Forecast</x:v>
      </x:c>
      <x:c r="D65" t="str">
        <x:v>DB-101</x:v>
      </x:c>
      <x:c r="E65" s="34" t="n">
        <x:v>20559.052499999983</x:v>
      </x:c>
      <x:c r="F65" s="34" t="n">
        <x:v>0</x:v>
      </x:c>
      <x:c r="G65" s="34" t="n">
        <x:v>501</x:v>
      </x:c>
      <x:c r="H65" s="34" t="n">
        <x:v>501</x:v>
      </x:c>
      <x:c r="I65" s="28" t="n">
        <x:v>1</x:v>
      </x:c>
      <x:c r="J65" s="39" t="n">
        <x:v>501</x:v>
      </x:c>
      <x:c r="K65" s="39" t="n">
        <x:v>11.272499999999999</x:v>
      </x:c>
      <x:c r="L65" s="39" t="n">
        <x:v>20069.324999999983</x:v>
      </x:c>
      <x:c r="M65" s="39" t="n">
        <x:v>40.058532934131705</x:v>
      </x:c>
      <x:c r="N65" t="str">
        <x:v>OK</x:v>
      </x:c>
      <x:c r="O65" t="str">
        <x:v>Maintain plan</x:v>
      </x:c>
      <x:c r="P65" s="38" t="n">
        <x:v>0</x:v>
      </x:c>
    </x:row>
    <x:row r="66">
      <x:c r="A66" s="32" t="n">
        <x:v>46090</x:v>
      </x:c>
      <x:c r="B66" s="32" t="n">
        <x:v>46082</x:v>
      </x:c>
      <x:c r="C66" t="str">
        <x:v>Forecast</x:v>
      </x:c>
      <x:c r="D66" t="str">
        <x:v>DB-101</x:v>
      </x:c>
      <x:c r="E66" s="34" t="n">
        <x:v>20069.324999999983</x:v>
      </x:c>
      <x:c r="F66" s="34" t="n">
        <x:v>0</x:v>
      </x:c>
      <x:c r="G66" s="34" t="n">
        <x:v>501</x:v>
      </x:c>
      <x:c r="H66" s="34" t="n">
        <x:v>501</x:v>
      </x:c>
      <x:c r="I66" s="28" t="n">
        <x:v>1</x:v>
      </x:c>
      <x:c r="J66" s="39" t="n">
        <x:v>501</x:v>
      </x:c>
      <x:c r="K66" s="39" t="n">
        <x:v>11.272499999999999</x:v>
      </x:c>
      <x:c r="L66" s="39" t="n">
        <x:v>19579.59749999998</x:v>
      </x:c>
      <x:c r="M66" s="39" t="n">
        <x:v>39.0810329341317</x:v>
      </x:c>
      <x:c r="N66" t="str">
        <x:v>OK</x:v>
      </x:c>
      <x:c r="O66" t="str">
        <x:v>Maintain plan</x:v>
      </x:c>
      <x:c r="P66" s="38" t="n">
        <x:v>0</x:v>
      </x:c>
    </x:row>
    <x:row r="67">
      <x:c r="A67" s="32" t="n">
        <x:v>46097</x:v>
      </x:c>
      <x:c r="B67" s="32" t="n">
        <x:v>46082</x:v>
      </x:c>
      <x:c r="C67" t="str">
        <x:v>Forecast</x:v>
      </x:c>
      <x:c r="D67" t="str">
        <x:v>DB-101</x:v>
      </x:c>
      <x:c r="E67" s="34" t="n">
        <x:v>19579.59749999998</x:v>
      </x:c>
      <x:c r="F67" s="34" t="n">
        <x:v>0</x:v>
      </x:c>
      <x:c r="G67" s="34" t="n">
        <x:v>501</x:v>
      </x:c>
      <x:c r="H67" s="34" t="n">
        <x:v>501</x:v>
      </x:c>
      <x:c r="I67" s="28" t="n">
        <x:v>1</x:v>
      </x:c>
      <x:c r="J67" s="39" t="n">
        <x:v>501</x:v>
      </x:c>
      <x:c r="K67" s="39" t="n">
        <x:v>11.272499999999999</x:v>
      </x:c>
      <x:c r="L67" s="39" t="n">
        <x:v>19089.86999999998</x:v>
      </x:c>
      <x:c r="M67" s="39" t="n">
        <x:v>38.1035329341317</x:v>
      </x:c>
      <x:c r="N67" t="str">
        <x:v>OK</x:v>
      </x:c>
      <x:c r="O67" t="str">
        <x:v>Maintain plan</x:v>
      </x:c>
      <x:c r="P67" s="38" t="n">
        <x:v>0</x:v>
      </x:c>
    </x:row>
    <x:row r="68">
      <x:c r="A68" s="32" t="n">
        <x:v>46104</x:v>
      </x:c>
      <x:c r="B68" s="32" t="n">
        <x:v>46082</x:v>
      </x:c>
      <x:c r="C68" t="str">
        <x:v>Forecast</x:v>
      </x:c>
      <x:c r="D68" t="str">
        <x:v>DB-101</x:v>
      </x:c>
      <x:c r="E68" s="34" t="n">
        <x:v>19089.86999999998</x:v>
      </x:c>
      <x:c r="F68" s="34" t="n">
        <x:v>0</x:v>
      </x:c>
      <x:c r="G68" s="34" t="n">
        <x:v>501</x:v>
      </x:c>
      <x:c r="H68" s="34" t="n">
        <x:v>501</x:v>
      </x:c>
      <x:c r="I68" s="28" t="n">
        <x:v>1</x:v>
      </x:c>
      <x:c r="J68" s="39" t="n">
        <x:v>501</x:v>
      </x:c>
      <x:c r="K68" s="39" t="n">
        <x:v>11.272499999999999</x:v>
      </x:c>
      <x:c r="L68" s="39" t="n">
        <x:v>18600.14249999998</x:v>
      </x:c>
      <x:c r="M68" s="39" t="n">
        <x:v>37.12603293413169</x:v>
      </x:c>
      <x:c r="N68" t="str">
        <x:v>OK</x:v>
      </x:c>
      <x:c r="O68" t="str">
        <x:v>Maintain plan</x:v>
      </x:c>
      <x:c r="P68" s="38" t="n">
        <x:v>0</x:v>
      </x:c>
    </x:row>
    <x:row r="69">
      <x:c r="A69" s="32" t="n">
        <x:v>46111</x:v>
      </x:c>
      <x:c r="B69" s="32" t="n">
        <x:v>46082</x:v>
      </x:c>
      <x:c r="C69" t="str">
        <x:v>Forecast</x:v>
      </x:c>
      <x:c r="D69" t="str">
        <x:v>DB-101</x:v>
      </x:c>
      <x:c r="E69" s="34" t="n">
        <x:v>18600.14249999998</x:v>
      </x:c>
      <x:c r="F69" s="34" t="n">
        <x:v>0</x:v>
      </x:c>
      <x:c r="G69" s="34" t="n">
        <x:v>501</x:v>
      </x:c>
      <x:c r="H69" s="34" t="n">
        <x:v>501</x:v>
      </x:c>
      <x:c r="I69" s="28" t="n">
        <x:v>1</x:v>
      </x:c>
      <x:c r="J69" s="39" t="n">
        <x:v>501</x:v>
      </x:c>
      <x:c r="K69" s="39" t="n">
        <x:v>11.272499999999999</x:v>
      </x:c>
      <x:c r="L69" s="39" t="n">
        <x:v>18110.41499999998</x:v>
      </x:c>
      <x:c r="M69" s="39" t="n">
        <x:v>36.148532934131694</x:v>
      </x:c>
      <x:c r="N69" t="str">
        <x:v>OK</x:v>
      </x:c>
      <x:c r="O69" t="str">
        <x:v>Maintain plan</x:v>
      </x:c>
      <x:c r="P69" s="38" t="n">
        <x:v>0</x:v>
      </x:c>
    </x:row>
    <x:row r="70">
      <x:c r="A70" s="32" t="n">
        <x:v>46118</x:v>
      </x:c>
      <x:c r="B70" s="32" t="n">
        <x:v>46113</x:v>
      </x:c>
      <x:c r="C70" t="str">
        <x:v>Forecast</x:v>
      </x:c>
      <x:c r="D70" t="str">
        <x:v>DB-101</x:v>
      </x:c>
      <x:c r="E70" s="34" t="n">
        <x:v>18110.41499999998</x:v>
      </x:c>
      <x:c r="F70" s="34" t="n">
        <x:v>0</x:v>
      </x:c>
      <x:c r="G70" s="34" t="n">
        <x:v>501</x:v>
      </x:c>
      <x:c r="H70" s="34" t="n">
        <x:v>501</x:v>
      </x:c>
      <x:c r="I70" s="28" t="n">
        <x:v>1</x:v>
      </x:c>
      <x:c r="J70" s="39" t="n">
        <x:v>501</x:v>
      </x:c>
      <x:c r="K70" s="39" t="n">
        <x:v>11.272499999999999</x:v>
      </x:c>
      <x:c r="L70" s="39" t="n">
        <x:v>17620.687499999978</x:v>
      </x:c>
      <x:c r="M70" s="39" t="n">
        <x:v>35.171032934131695</x:v>
      </x:c>
      <x:c r="N70" t="str">
        <x:v>OK</x:v>
      </x:c>
      <x:c r="O70" t="str">
        <x:v>Maintain plan</x:v>
      </x:c>
      <x:c r="P70" s="38" t="n">
        <x:v>0</x:v>
      </x:c>
    </x:row>
    <x:row r="71">
      <x:c r="A71" s="32" t="n">
        <x:v>46125</x:v>
      </x:c>
      <x:c r="B71" s="32" t="n">
        <x:v>46113</x:v>
      </x:c>
      <x:c r="C71" t="str">
        <x:v>Forecast</x:v>
      </x:c>
      <x:c r="D71" t="str">
        <x:v>DB-101</x:v>
      </x:c>
      <x:c r="E71" s="34" t="n">
        <x:v>17620.687499999978</x:v>
      </x:c>
      <x:c r="F71" s="34" t="n">
        <x:v>0</x:v>
      </x:c>
      <x:c r="G71" s="34" t="n">
        <x:v>501</x:v>
      </x:c>
      <x:c r="H71" s="34" t="n">
        <x:v>501</x:v>
      </x:c>
      <x:c r="I71" s="28" t="n">
        <x:v>1</x:v>
      </x:c>
      <x:c r="J71" s="39" t="n">
        <x:v>501</x:v>
      </x:c>
      <x:c r="K71" s="39" t="n">
        <x:v>11.272499999999999</x:v>
      </x:c>
      <x:c r="L71" s="39" t="n">
        <x:v>17130.959999999977</x:v>
      </x:c>
      <x:c r="M71" s="39" t="n">
        <x:v>34.19353293413169</x:v>
      </x:c>
      <x:c r="N71" t="str">
        <x:v>OK</x:v>
      </x:c>
      <x:c r="O71" t="str">
        <x:v>Maintain plan</x:v>
      </x:c>
      <x:c r="P71" s="38" t="n">
        <x:v>0</x:v>
      </x:c>
    </x:row>
    <x:row r="72">
      <x:c r="A72" s="32" t="n">
        <x:v>46132</x:v>
      </x:c>
      <x:c r="B72" s="32" t="n">
        <x:v>46113</x:v>
      </x:c>
      <x:c r="C72" t="str">
        <x:v>Forecast</x:v>
      </x:c>
      <x:c r="D72" t="str">
        <x:v>DB-101</x:v>
      </x:c>
      <x:c r="E72" s="34" t="n">
        <x:v>17130.959999999977</x:v>
      </x:c>
      <x:c r="F72" s="34" t="n">
        <x:v>0</x:v>
      </x:c>
      <x:c r="G72" s="34" t="n">
        <x:v>501</x:v>
      </x:c>
      <x:c r="H72" s="34" t="n">
        <x:v>501</x:v>
      </x:c>
      <x:c r="I72" s="28" t="n">
        <x:v>1</x:v>
      </x:c>
      <x:c r="J72" s="39" t="n">
        <x:v>501</x:v>
      </x:c>
      <x:c r="K72" s="39" t="n">
        <x:v>11.272499999999999</x:v>
      </x:c>
      <x:c r="L72" s="39" t="n">
        <x:v>16641.232499999976</x:v>
      </x:c>
      <x:c r="M72" s="39" t="n">
        <x:v>33.21603293413169</x:v>
      </x:c>
      <x:c r="N72" t="str">
        <x:v>OK</x:v>
      </x:c>
      <x:c r="O72" t="str">
        <x:v>Maintain plan</x:v>
      </x:c>
      <x:c r="P72" s="38" t="n">
        <x:v>0</x:v>
      </x:c>
    </x:row>
    <x:row r="73">
      <x:c r="A73" s="32" t="n">
        <x:v>46139</x:v>
      </x:c>
      <x:c r="B73" s="32" t="n">
        <x:v>46113</x:v>
      </x:c>
      <x:c r="C73" t="str">
        <x:v>Forecast</x:v>
      </x:c>
      <x:c r="D73" t="str">
        <x:v>DB-101</x:v>
      </x:c>
      <x:c r="E73" s="34" t="n">
        <x:v>16641.232499999976</x:v>
      </x:c>
      <x:c r="F73" s="34" t="n">
        <x:v>0</x:v>
      </x:c>
      <x:c r="G73" s="34" t="n">
        <x:v>501</x:v>
      </x:c>
      <x:c r="H73" s="34" t="n">
        <x:v>501</x:v>
      </x:c>
      <x:c r="I73" s="28" t="n">
        <x:v>1</x:v>
      </x:c>
      <x:c r="J73" s="39" t="n">
        <x:v>501</x:v>
      </x:c>
      <x:c r="K73" s="39" t="n">
        <x:v>11.272499999999999</x:v>
      </x:c>
      <x:c r="L73" s="39" t="n">
        <x:v>16151.504999999976</x:v>
      </x:c>
      <x:c r="M73" s="39" t="n">
        <x:v>32.23853293413169</x:v>
      </x:c>
      <x:c r="N73" t="str">
        <x:v>OK</x:v>
      </x:c>
      <x:c r="O73" t="str">
        <x:v>Maintain plan</x:v>
      </x:c>
      <x:c r="P73" s="38" t="n">
        <x:v>0</x:v>
      </x:c>
    </x:row>
    <x:row r="74">
      <x:c r="A74" s="32" t="n">
        <x:v>46146</x:v>
      </x:c>
      <x:c r="B74" s="32" t="n">
        <x:v>46143</x:v>
      </x:c>
      <x:c r="C74" t="str">
        <x:v>Forecast</x:v>
      </x:c>
      <x:c r="D74" t="str">
        <x:v>DB-101</x:v>
      </x:c>
      <x:c r="E74" s="34" t="n">
        <x:v>16151.504999999976</x:v>
      </x:c>
      <x:c r="F74" s="34" t="n">
        <x:v>0</x:v>
      </x:c>
      <x:c r="G74" s="34" t="n">
        <x:v>501</x:v>
      </x:c>
      <x:c r="H74" s="34" t="n">
        <x:v>501</x:v>
      </x:c>
      <x:c r="I74" s="28" t="n">
        <x:v>1</x:v>
      </x:c>
      <x:c r="J74" s="39" t="n">
        <x:v>501</x:v>
      </x:c>
      <x:c r="K74" s="39" t="n">
        <x:v>11.272499999999999</x:v>
      </x:c>
      <x:c r="L74" s="39" t="n">
        <x:v>15661.777499999975</x:v>
      </x:c>
      <x:c r="M74" s="39" t="n">
        <x:v>31.261032934131688</x:v>
      </x:c>
      <x:c r="N74" t="str">
        <x:v>OK</x:v>
      </x:c>
      <x:c r="O74" t="str">
        <x:v>Maintain plan</x:v>
      </x:c>
      <x:c r="P74" s="38" t="n">
        <x:v>0</x:v>
      </x:c>
    </x:row>
    <x:row r="75">
      <x:c r="A75" s="32" t="n">
        <x:v>46153</x:v>
      </x:c>
      <x:c r="B75" s="32" t="n">
        <x:v>46143</x:v>
      </x:c>
      <x:c r="C75" t="str">
        <x:v>Forecast</x:v>
      </x:c>
      <x:c r="D75" t="str">
        <x:v>DB-101</x:v>
      </x:c>
      <x:c r="E75" s="34" t="n">
        <x:v>15661.777499999975</x:v>
      </x:c>
      <x:c r="F75" s="34" t="n">
        <x:v>0</x:v>
      </x:c>
      <x:c r="G75" s="34" t="n">
        <x:v>501</x:v>
      </x:c>
      <x:c r="H75" s="34" t="n">
        <x:v>501</x:v>
      </x:c>
      <x:c r="I75" s="28" t="n">
        <x:v>1</x:v>
      </x:c>
      <x:c r="J75" s="39" t="n">
        <x:v>501</x:v>
      </x:c>
      <x:c r="K75" s="39" t="n">
        <x:v>11.272499999999999</x:v>
      </x:c>
      <x:c r="L75" s="39" t="n">
        <x:v>15172.049999999974</x:v>
      </x:c>
      <x:c r="M75" s="39" t="n">
        <x:v>30.283532934131685</x:v>
      </x:c>
      <x:c r="N75" t="str">
        <x:v>OK</x:v>
      </x:c>
      <x:c r="O75" t="str">
        <x:v>Maintain plan</x:v>
      </x:c>
      <x:c r="P75" s="38" t="n">
        <x:v>0</x:v>
      </x:c>
    </x:row>
    <x:row r="76">
      <x:c r="A76" s="32" t="n">
        <x:v>46160</x:v>
      </x:c>
      <x:c r="B76" s="32" t="n">
        <x:v>46143</x:v>
      </x:c>
      <x:c r="C76" t="str">
        <x:v>Forecast</x:v>
      </x:c>
      <x:c r="D76" t="str">
        <x:v>DB-101</x:v>
      </x:c>
      <x:c r="E76" s="34" t="n">
        <x:v>15172.049999999974</x:v>
      </x:c>
      <x:c r="F76" s="34" t="n">
        <x:v>0</x:v>
      </x:c>
      <x:c r="G76" s="34" t="n">
        <x:v>501</x:v>
      </x:c>
      <x:c r="H76" s="34" t="n">
        <x:v>501</x:v>
      </x:c>
      <x:c r="I76" s="28" t="n">
        <x:v>1</x:v>
      </x:c>
      <x:c r="J76" s="39" t="n">
        <x:v>501</x:v>
      </x:c>
      <x:c r="K76" s="39" t="n">
        <x:v>11.272499999999999</x:v>
      </x:c>
      <x:c r="L76" s="39" t="n">
        <x:v>14682.322499999973</x:v>
      </x:c>
      <x:c r="M76" s="39" t="n">
        <x:v>29.306032934131682</x:v>
      </x:c>
      <x:c r="N76" t="str">
        <x:v>OK</x:v>
      </x:c>
      <x:c r="O76" t="str">
        <x:v>Maintain plan</x:v>
      </x:c>
      <x:c r="P76" s="38" t="n">
        <x:v>0</x:v>
      </x:c>
    </x:row>
    <x:row r="77">
      <x:c r="A77" s="32" t="n">
        <x:v>46167</x:v>
      </x:c>
      <x:c r="B77" s="32" t="n">
        <x:v>46143</x:v>
      </x:c>
      <x:c r="C77" t="str">
        <x:v>Forecast</x:v>
      </x:c>
      <x:c r="D77" t="str">
        <x:v>DB-101</x:v>
      </x:c>
      <x:c r="E77" s="34" t="n">
        <x:v>14682.322499999973</x:v>
      </x:c>
      <x:c r="F77" s="34" t="n">
        <x:v>0</x:v>
      </x:c>
      <x:c r="G77" s="34" t="n">
        <x:v>501</x:v>
      </x:c>
      <x:c r="H77" s="34" t="n">
        <x:v>501</x:v>
      </x:c>
      <x:c r="I77" s="28" t="n">
        <x:v>1</x:v>
      </x:c>
      <x:c r="J77" s="39" t="n">
        <x:v>501</x:v>
      </x:c>
      <x:c r="K77" s="39" t="n">
        <x:v>11.272499999999999</x:v>
      </x:c>
      <x:c r="L77" s="39" t="n">
        <x:v>14192.594999999972</x:v>
      </x:c>
      <x:c r="M77" s="39" t="n">
        <x:v>28.32853293413168</x:v>
      </x:c>
      <x:c r="N77" t="str">
        <x:v>OK</x:v>
      </x:c>
      <x:c r="O77" t="str">
        <x:v>Maintain plan</x:v>
      </x:c>
      <x:c r="P77" s="38" t="n">
        <x:v>0</x:v>
      </x:c>
    </x:row>
    <x:row r="78">
      <x:c r="A78" s="32" t="n">
        <x:v>46174</x:v>
      </x:c>
      <x:c r="B78" s="32" t="n">
        <x:v>46174</x:v>
      </x:c>
      <x:c r="C78" t="str">
        <x:v>Forecast</x:v>
      </x:c>
      <x:c r="D78" t="str">
        <x:v>DB-101</x:v>
      </x:c>
      <x:c r="E78" s="34" t="n">
        <x:v>14192.594999999972</x:v>
      </x:c>
      <x:c r="F78" s="34" t="n">
        <x:v>0</x:v>
      </x:c>
      <x:c r="G78" s="34" t="n">
        <x:v>501</x:v>
      </x:c>
      <x:c r="H78" s="34" t="n">
        <x:v>501</x:v>
      </x:c>
      <x:c r="I78" s="28" t="n">
        <x:v>1</x:v>
      </x:c>
      <x:c r="J78" s="39" t="n">
        <x:v>501</x:v>
      </x:c>
      <x:c r="K78" s="39" t="n">
        <x:v>11.272499999999999</x:v>
      </x:c>
      <x:c r="L78" s="39" t="n">
        <x:v>13702.867499999971</x:v>
      </x:c>
      <x:c r="M78" s="39" t="n">
        <x:v>27.35103293413168</x:v>
      </x:c>
      <x:c r="N78" t="str">
        <x:v>OK</x:v>
      </x:c>
      <x:c r="O78" t="str">
        <x:v>Maintain plan</x:v>
      </x:c>
      <x:c r="P78" s="38" t="n">
        <x:v>0</x:v>
      </x:c>
    </x:row>
    <x:row r="79">
      <x:c r="A79" s="32" t="n">
        <x:v>46181</x:v>
      </x:c>
      <x:c r="B79" s="32" t="n">
        <x:v>46174</x:v>
      </x:c>
      <x:c r="C79" t="str">
        <x:v>Forecast</x:v>
      </x:c>
      <x:c r="D79" t="str">
        <x:v>DB-101</x:v>
      </x:c>
      <x:c r="E79" s="34" t="n">
        <x:v>13702.867499999971</x:v>
      </x:c>
      <x:c r="F79" s="34" t="n">
        <x:v>0</x:v>
      </x:c>
      <x:c r="G79" s="34" t="n">
        <x:v>501</x:v>
      </x:c>
      <x:c r="H79" s="34" t="n">
        <x:v>501</x:v>
      </x:c>
      <x:c r="I79" s="28" t="n">
        <x:v>1</x:v>
      </x:c>
      <x:c r="J79" s="39" t="n">
        <x:v>501</x:v>
      </x:c>
      <x:c r="K79" s="39" t="n">
        <x:v>11.272499999999999</x:v>
      </x:c>
      <x:c r="L79" s="39" t="n">
        <x:v>13213.13999999997</x:v>
      </x:c>
      <x:c r="M79" s="39" t="n">
        <x:v>26.373532934131678</x:v>
      </x:c>
      <x:c r="N79" t="str">
        <x:v>OK</x:v>
      </x:c>
      <x:c r="O79" t="str">
        <x:v>Maintain plan</x:v>
      </x:c>
      <x:c r="P79" s="38" t="n">
        <x:v>0</x:v>
      </x:c>
    </x:row>
    <x:row r="80">
      <x:c r="A80" s="32" t="n">
        <x:v>46188</x:v>
      </x:c>
      <x:c r="B80" s="32" t="n">
        <x:v>46174</x:v>
      </x:c>
      <x:c r="C80" t="str">
        <x:v>Forecast</x:v>
      </x:c>
      <x:c r="D80" t="str">
        <x:v>DB-101</x:v>
      </x:c>
      <x:c r="E80" s="34" t="n">
        <x:v>13213.13999999997</x:v>
      </x:c>
      <x:c r="F80" s="34" t="n">
        <x:v>0</x:v>
      </x:c>
      <x:c r="G80" s="34" t="n">
        <x:v>501</x:v>
      </x:c>
      <x:c r="H80" s="34" t="n">
        <x:v>501</x:v>
      </x:c>
      <x:c r="I80" s="28" t="n">
        <x:v>1</x:v>
      </x:c>
      <x:c r="J80" s="39" t="n">
        <x:v>501</x:v>
      </x:c>
      <x:c r="K80" s="39" t="n">
        <x:v>11.272499999999999</x:v>
      </x:c>
      <x:c r="L80" s="39" t="n">
        <x:v>12723.41249999997</x:v>
      </x:c>
      <x:c r="M80" s="39" t="n">
        <x:v>25.396032934131675</x:v>
      </x:c>
      <x:c r="N80" t="str">
        <x:v>OK</x:v>
      </x:c>
      <x:c r="O80" t="str">
        <x:v>Maintain plan</x:v>
      </x:c>
      <x:c r="P80" s="38" t="n">
        <x:v>0</x:v>
      </x:c>
    </x:row>
    <x:row r="81">
      <x:c r="A81" s="32" t="n">
        <x:v>46195</x:v>
      </x:c>
      <x:c r="B81" s="32" t="n">
        <x:v>46174</x:v>
      </x:c>
      <x:c r="C81" t="str">
        <x:v>Forecast</x:v>
      </x:c>
      <x:c r="D81" t="str">
        <x:v>DB-101</x:v>
      </x:c>
      <x:c r="E81" s="34" t="n">
        <x:v>12723.41249999997</x:v>
      </x:c>
      <x:c r="F81" s="34" t="n">
        <x:v>0</x:v>
      </x:c>
      <x:c r="G81" s="34" t="n">
        <x:v>501</x:v>
      </x:c>
      <x:c r="H81" s="34" t="n">
        <x:v>501</x:v>
      </x:c>
      <x:c r="I81" s="28" t="n">
        <x:v>1</x:v>
      </x:c>
      <x:c r="J81" s="39" t="n">
        <x:v>501</x:v>
      </x:c>
      <x:c r="K81" s="39" t="n">
        <x:v>11.272499999999999</x:v>
      </x:c>
      <x:c r="L81" s="39" t="n">
        <x:v>12233.684999999969</x:v>
      </x:c>
      <x:c r="M81" s="39" t="n">
        <x:v>24.418532934131672</x:v>
      </x:c>
      <x:c r="N81" t="str">
        <x:v>OK</x:v>
      </x:c>
      <x:c r="O81" t="str">
        <x:v>Maintain plan</x:v>
      </x:c>
      <x:c r="P81" s="38" t="n">
        <x:v>0</x:v>
      </x:c>
    </x:row>
    <x:row r="82">
      <x:c r="A82" s="32" t="n">
        <x:v>46202</x:v>
      </x:c>
      <x:c r="B82" s="32" t="n">
        <x:v>46174</x:v>
      </x:c>
      <x:c r="C82" t="str">
        <x:v>Forecast</x:v>
      </x:c>
      <x:c r="D82" t="str">
        <x:v>DB-101</x:v>
      </x:c>
      <x:c r="E82" s="34" t="n">
        <x:v>12233.684999999969</x:v>
      </x:c>
      <x:c r="F82" s="34" t="n">
        <x:v>0</x:v>
      </x:c>
      <x:c r="G82" s="34" t="n">
        <x:v>501</x:v>
      </x:c>
      <x:c r="H82" s="34" t="n">
        <x:v>501</x:v>
      </x:c>
      <x:c r="I82" s="28" t="n">
        <x:v>1</x:v>
      </x:c>
      <x:c r="J82" s="39" t="n">
        <x:v>501</x:v>
      </x:c>
      <x:c r="K82" s="39" t="n">
        <x:v>11.272499999999999</x:v>
      </x:c>
      <x:c r="L82" s="39" t="n">
        <x:v>11743.957499999968</x:v>
      </x:c>
      <x:c r="M82" s="39" t="n">
        <x:v>23.441032934131673</x:v>
      </x:c>
      <x:c r="N82" t="str">
        <x:v>OK</x:v>
      </x:c>
      <x:c r="O82" t="str">
        <x:v>Maintain plan</x:v>
      </x:c>
      <x:c r="P82" s="38" t="n">
        <x:v>0</x:v>
      </x:c>
    </x:row>
    <x:row r="83">
      <x:c r="A83" s="32" t="n">
        <x:v>46209</x:v>
      </x:c>
      <x:c r="B83" s="32" t="n">
        <x:v>46204</x:v>
      </x:c>
      <x:c r="C83" t="str">
        <x:v>Forecast</x:v>
      </x:c>
      <x:c r="D83" t="str">
        <x:v>DB-101</x:v>
      </x:c>
      <x:c r="E83" s="34" t="n">
        <x:v>11743.957499999968</x:v>
      </x:c>
      <x:c r="F83" s="34" t="n">
        <x:v>0</x:v>
      </x:c>
      <x:c r="G83" s="34" t="n">
        <x:v>501</x:v>
      </x:c>
      <x:c r="H83" s="34" t="n">
        <x:v>501</x:v>
      </x:c>
      <x:c r="I83" s="28" t="n">
        <x:v>1</x:v>
      </x:c>
      <x:c r="J83" s="39" t="n">
        <x:v>501</x:v>
      </x:c>
      <x:c r="K83" s="39" t="n">
        <x:v>11.272499999999999</x:v>
      </x:c>
      <x:c r="L83" s="39" t="n">
        <x:v>11254.229999999967</x:v>
      </x:c>
      <x:c r="M83" s="39" t="n">
        <x:v>22.46353293413167</x:v>
      </x:c>
      <x:c r="N83" t="str">
        <x:v>OK</x:v>
      </x:c>
      <x:c r="O83" t="str">
        <x:v>Maintain plan</x:v>
      </x:c>
      <x:c r="P83" s="38" t="n">
        <x:v>0</x:v>
      </x:c>
    </x:row>
    <x:row r="84">
      <x:c r="A84" s="32" t="n">
        <x:v>46216</x:v>
      </x:c>
      <x:c r="B84" s="32" t="n">
        <x:v>46204</x:v>
      </x:c>
      <x:c r="C84" t="str">
        <x:v>Forecast</x:v>
      </x:c>
      <x:c r="D84" t="str">
        <x:v>DB-101</x:v>
      </x:c>
      <x:c r="E84" s="34" t="n">
        <x:v>11254.229999999967</x:v>
      </x:c>
      <x:c r="F84" s="34" t="n">
        <x:v>0</x:v>
      </x:c>
      <x:c r="G84" s="34" t="n">
        <x:v>501</x:v>
      </x:c>
      <x:c r="H84" s="34" t="n">
        <x:v>501</x:v>
      </x:c>
      <x:c r="I84" s="28" t="n">
        <x:v>1</x:v>
      </x:c>
      <x:c r="J84" s="39" t="n">
        <x:v>501</x:v>
      </x:c>
      <x:c r="K84" s="39" t="n">
        <x:v>11.272499999999999</x:v>
      </x:c>
      <x:c r="L84" s="39" t="n">
        <x:v>10764.502499999966</x:v>
      </x:c>
      <x:c r="M84" s="39" t="n">
        <x:v>21.486032934131668</x:v>
      </x:c>
      <x:c r="N84" t="str">
        <x:v>OK</x:v>
      </x:c>
      <x:c r="O84" t="str">
        <x:v>Maintain plan</x:v>
      </x:c>
      <x:c r="P84" s="38" t="n">
        <x:v>0</x:v>
      </x:c>
    </x:row>
    <x:row r="85">
      <x:c r="A85" s="32" t="n">
        <x:v>46223</x:v>
      </x:c>
      <x:c r="B85" s="32" t="n">
        <x:v>46204</x:v>
      </x:c>
      <x:c r="C85" t="str">
        <x:v>Forecast</x:v>
      </x:c>
      <x:c r="D85" t="str">
        <x:v>DB-101</x:v>
      </x:c>
      <x:c r="E85" s="34" t="n">
        <x:v>10764.502499999966</x:v>
      </x:c>
      <x:c r="F85" s="34" t="n">
        <x:v>0</x:v>
      </x:c>
      <x:c r="G85" s="34" t="n">
        <x:v>501</x:v>
      </x:c>
      <x:c r="H85" s="34" t="n">
        <x:v>501</x:v>
      </x:c>
      <x:c r="I85" s="28" t="n">
        <x:v>1</x:v>
      </x:c>
      <x:c r="J85" s="39" t="n">
        <x:v>501</x:v>
      </x:c>
      <x:c r="K85" s="39" t="n">
        <x:v>11.272499999999999</x:v>
      </x:c>
      <x:c r="L85" s="39" t="n">
        <x:v>10274.774999999965</x:v>
      </x:c>
      <x:c r="M85" s="39" t="n">
        <x:v>20.508532934131665</x:v>
      </x:c>
      <x:c r="N85" t="str">
        <x:v>OK</x:v>
      </x:c>
      <x:c r="O85" t="str">
        <x:v>Maintain plan</x:v>
      </x:c>
      <x:c r="P85" s="38" t="n">
        <x:v>0</x:v>
      </x:c>
    </x:row>
    <x:row r="86">
      <x:c r="A86" s="32" t="n">
        <x:v>46230</x:v>
      </x:c>
      <x:c r="B86" s="32" t="n">
        <x:v>46204</x:v>
      </x:c>
      <x:c r="C86" t="str">
        <x:v>Forecast</x:v>
      </x:c>
      <x:c r="D86" t="str">
        <x:v>DB-101</x:v>
      </x:c>
      <x:c r="E86" s="34" t="n">
        <x:v>10274.774999999965</x:v>
      </x:c>
      <x:c r="F86" s="34" t="n">
        <x:v>0</x:v>
      </x:c>
      <x:c r="G86" s="34" t="n">
        <x:v>501</x:v>
      </x:c>
      <x:c r="H86" s="34" t="n">
        <x:v>501</x:v>
      </x:c>
      <x:c r="I86" s="28" t="n">
        <x:v>1</x:v>
      </x:c>
      <x:c r="J86" s="39" t="n">
        <x:v>501</x:v>
      </x:c>
      <x:c r="K86" s="39" t="n">
        <x:v>11.272499999999999</x:v>
      </x:c>
      <x:c r="L86" s="39" t="n">
        <x:v>9785.047499999964</x:v>
      </x:c>
      <x:c r="M86" s="39" t="n">
        <x:v>19.531032934131666</x:v>
      </x:c>
      <x:c r="N86" t="str">
        <x:v>OK</x:v>
      </x:c>
      <x:c r="O86" t="str">
        <x:v>Maintain plan</x:v>
      </x:c>
      <x:c r="P86" s="38" t="n">
        <x:v>0</x:v>
      </x:c>
    </x:row>
    <x:row r="87">
      <x:c r="A87" s="32" t="n">
        <x:v>46237</x:v>
      </x:c>
      <x:c r="B87" s="32" t="n">
        <x:v>46235</x:v>
      </x:c>
      <x:c r="C87" t="str">
        <x:v>Forecast</x:v>
      </x:c>
      <x:c r="D87" t="str">
        <x:v>DB-101</x:v>
      </x:c>
      <x:c r="E87" s="34" t="n">
        <x:v>9785.047499999964</x:v>
      </x:c>
      <x:c r="F87" s="34" t="n">
        <x:v>0</x:v>
      </x:c>
      <x:c r="G87" s="34" t="n">
        <x:v>501</x:v>
      </x:c>
      <x:c r="H87" s="34" t="n">
        <x:v>501</x:v>
      </x:c>
      <x:c r="I87" s="28" t="n">
        <x:v>1</x:v>
      </x:c>
      <x:c r="J87" s="39" t="n">
        <x:v>501</x:v>
      </x:c>
      <x:c r="K87" s="39" t="n">
        <x:v>11.272499999999999</x:v>
      </x:c>
      <x:c r="L87" s="39" t="n">
        <x:v>9295.319999999963</x:v>
      </x:c>
      <x:c r="M87" s="39" t="n">
        <x:v>18.553532934131663</x:v>
      </x:c>
      <x:c r="N87" t="str">
        <x:v>OK</x:v>
      </x:c>
      <x:c r="O87" t="str">
        <x:v>Maintain plan</x:v>
      </x:c>
      <x:c r="P87" s="38" t="n">
        <x:v>0</x:v>
      </x:c>
    </x:row>
    <x:row r="88">
      <x:c r="A88" s="32" t="n">
        <x:v>46244</x:v>
      </x:c>
      <x:c r="B88" s="32" t="n">
        <x:v>46235</x:v>
      </x:c>
      <x:c r="C88" t="str">
        <x:v>Forecast</x:v>
      </x:c>
      <x:c r="D88" t="str">
        <x:v>DB-101</x:v>
      </x:c>
      <x:c r="E88" s="34" t="n">
        <x:v>9295.319999999963</x:v>
      </x:c>
      <x:c r="F88" s="34" t="n">
        <x:v>0</x:v>
      </x:c>
      <x:c r="G88" s="34" t="n">
        <x:v>501</x:v>
      </x:c>
      <x:c r="H88" s="34" t="n">
        <x:v>501</x:v>
      </x:c>
      <x:c r="I88" s="28" t="n">
        <x:v>1</x:v>
      </x:c>
      <x:c r="J88" s="39" t="n">
        <x:v>501</x:v>
      </x:c>
      <x:c r="K88" s="39" t="n">
        <x:v>11.272499999999999</x:v>
      </x:c>
      <x:c r="L88" s="39" t="n">
        <x:v>8805.592499999962</x:v>
      </x:c>
      <x:c r="M88" s="39" t="n">
        <x:v>17.57603293413166</x:v>
      </x:c>
      <x:c r="N88" t="str">
        <x:v>OK</x:v>
      </x:c>
      <x:c r="O88" t="str">
        <x:v>Maintain plan</x:v>
      </x:c>
      <x:c r="P88" s="38" t="n">
        <x:v>0</x:v>
      </x:c>
    </x:row>
    <x:row r="89">
      <x:c r="A89" s="32" t="n">
        <x:v>46251</x:v>
      </x:c>
      <x:c r="B89" s="32" t="n">
        <x:v>46235</x:v>
      </x:c>
      <x:c r="C89" t="str">
        <x:v>Forecast</x:v>
      </x:c>
      <x:c r="D89" t="str">
        <x:v>DB-101</x:v>
      </x:c>
      <x:c r="E89" s="34" t="n">
        <x:v>8805.592499999962</x:v>
      </x:c>
      <x:c r="F89" s="34" t="n">
        <x:v>0</x:v>
      </x:c>
      <x:c r="G89" s="34" t="n">
        <x:v>501</x:v>
      </x:c>
      <x:c r="H89" s="34" t="n">
        <x:v>501</x:v>
      </x:c>
      <x:c r="I89" s="28" t="n">
        <x:v>1</x:v>
      </x:c>
      <x:c r="J89" s="39" t="n">
        <x:v>501</x:v>
      </x:c>
      <x:c r="K89" s="39" t="n">
        <x:v>11.272499999999999</x:v>
      </x:c>
      <x:c r="L89" s="39" t="n">
        <x:v>8315.864999999962</x:v>
      </x:c>
      <x:c r="M89" s="39" t="n">
        <x:v>16.59853293413166</x:v>
      </x:c>
      <x:c r="N89" t="str">
        <x:v>OK</x:v>
      </x:c>
      <x:c r="O89" t="str">
        <x:v>Maintain plan</x:v>
      </x:c>
      <x:c r="P89" s="38" t="n">
        <x:v>0</x:v>
      </x:c>
    </x:row>
    <x:row r="90">
      <x:c r="A90" s="32" t="n">
        <x:v>46258</x:v>
      </x:c>
      <x:c r="B90" s="32" t="n">
        <x:v>46235</x:v>
      </x:c>
      <x:c r="C90" t="str">
        <x:v>Forecast</x:v>
      </x:c>
      <x:c r="D90" t="str">
        <x:v>DB-101</x:v>
      </x:c>
      <x:c r="E90" s="34" t="n">
        <x:v>8315.864999999962</x:v>
      </x:c>
      <x:c r="F90" s="34" t="n">
        <x:v>0</x:v>
      </x:c>
      <x:c r="G90" s="34" t="n">
        <x:v>501</x:v>
      </x:c>
      <x:c r="H90" s="34" t="n">
        <x:v>501</x:v>
      </x:c>
      <x:c r="I90" s="28" t="n">
        <x:v>1</x:v>
      </x:c>
      <x:c r="J90" s="39" t="n">
        <x:v>501</x:v>
      </x:c>
      <x:c r="K90" s="39" t="n">
        <x:v>11.272499999999999</x:v>
      </x:c>
      <x:c r="L90" s="39" t="n">
        <x:v>7826.137499999962</x:v>
      </x:c>
      <x:c r="M90" s="39" t="n">
        <x:v>15.62103293413166</x:v>
      </x:c>
      <x:c r="N90" t="str">
        <x:v>OK</x:v>
      </x:c>
      <x:c r="O90" t="str">
        <x:v>Maintain plan</x:v>
      </x:c>
      <x:c r="P90" s="38" t="n">
        <x:v>0</x:v>
      </x:c>
    </x:row>
    <x:row r="91">
      <x:c r="A91" s="32" t="n">
        <x:v>46265</x:v>
      </x:c>
      <x:c r="B91" s="32" t="n">
        <x:v>46235</x:v>
      </x:c>
      <x:c r="C91" t="str">
        <x:v>Forecast</x:v>
      </x:c>
      <x:c r="D91" t="str">
        <x:v>DB-101</x:v>
      </x:c>
      <x:c r="E91" s="34" t="n">
        <x:v>7826.137499999962</x:v>
      </x:c>
      <x:c r="F91" s="34" t="n">
        <x:v>0</x:v>
      </x:c>
      <x:c r="G91" s="34" t="n">
        <x:v>501</x:v>
      </x:c>
      <x:c r="H91" s="34" t="n">
        <x:v>501</x:v>
      </x:c>
      <x:c r="I91" s="28" t="n">
        <x:v>1</x:v>
      </x:c>
      <x:c r="J91" s="39" t="n">
        <x:v>501</x:v>
      </x:c>
      <x:c r="K91" s="39" t="n">
        <x:v>11.272499999999999</x:v>
      </x:c>
      <x:c r="L91" s="39" t="n">
        <x:v>7336.409999999962</x:v>
      </x:c>
      <x:c r="M91" s="39" t="n">
        <x:v>14.64353293413166</x:v>
      </x:c>
      <x:c r="N91" t="str">
        <x:v>OK</x:v>
      </x:c>
      <x:c r="O91" t="str">
        <x:v>Maintain plan</x:v>
      </x:c>
      <x:c r="P91" s="38" t="n">
        <x:v>0</x:v>
      </x:c>
    </x:row>
    <x:row r="92">
      <x:c r="A92" s="32" t="n">
        <x:v>46272</x:v>
      </x:c>
      <x:c r="B92" s="32" t="n">
        <x:v>46266</x:v>
      </x:c>
      <x:c r="C92" t="str">
        <x:v>Forecast</x:v>
      </x:c>
      <x:c r="D92" t="str">
        <x:v>DB-101</x:v>
      </x:c>
      <x:c r="E92" s="34" t="n">
        <x:v>7336.409999999962</x:v>
      </x:c>
      <x:c r="F92" s="34" t="n">
        <x:v>0</x:v>
      </x:c>
      <x:c r="G92" s="34" t="n">
        <x:v>501</x:v>
      </x:c>
      <x:c r="H92" s="34" t="n">
        <x:v>501</x:v>
      </x:c>
      <x:c r="I92" s="28" t="n">
        <x:v>1</x:v>
      </x:c>
      <x:c r="J92" s="39" t="n">
        <x:v>501</x:v>
      </x:c>
      <x:c r="K92" s="39" t="n">
        <x:v>11.272499999999999</x:v>
      </x:c>
      <x:c r="L92" s="39" t="n">
        <x:v>6846.682499999962</x:v>
      </x:c>
      <x:c r="M92" s="39" t="n">
        <x:v>13.66603293413166</x:v>
      </x:c>
      <x:c r="N92" t="str">
        <x:v>OK</x:v>
      </x:c>
      <x:c r="O92" t="str">
        <x:v>Maintain plan</x:v>
      </x:c>
      <x:c r="P92" s="38" t="n">
        <x:v>0</x:v>
      </x:c>
    </x:row>
    <x:row r="93">
      <x:c r="A93" s="32" t="n">
        <x:v>46279</x:v>
      </x:c>
      <x:c r="B93" s="32" t="n">
        <x:v>46266</x:v>
      </x:c>
      <x:c r="C93" t="str">
        <x:v>Forecast</x:v>
      </x:c>
      <x:c r="D93" t="str">
        <x:v>DB-101</x:v>
      </x:c>
      <x:c r="E93" s="34" t="n">
        <x:v>6846.682499999962</x:v>
      </x:c>
      <x:c r="F93" s="34" t="n">
        <x:v>0</x:v>
      </x:c>
      <x:c r="G93" s="34" t="n">
        <x:v>501</x:v>
      </x:c>
      <x:c r="H93" s="34" t="n">
        <x:v>501</x:v>
      </x:c>
      <x:c r="I93" s="28" t="n">
        <x:v>1</x:v>
      </x:c>
      <x:c r="J93" s="39" t="n">
        <x:v>501</x:v>
      </x:c>
      <x:c r="K93" s="39" t="n">
        <x:v>11.272499999999999</x:v>
      </x:c>
      <x:c r="L93" s="39" t="n">
        <x:v>6356.954999999962</x:v>
      </x:c>
      <x:c r="M93" s="39" t="n">
        <x:v>12.68853293413166</x:v>
      </x:c>
      <x:c r="N93" t="str">
        <x:v>OK</x:v>
      </x:c>
      <x:c r="O93" t="str">
        <x:v>Maintain plan</x:v>
      </x:c>
      <x:c r="P93" s="38" t="n">
        <x:v>0</x:v>
      </x:c>
    </x:row>
    <x:row r="94">
      <x:c r="A94" s="32" t="n">
        <x:v>46286</x:v>
      </x:c>
      <x:c r="B94" s="32" t="n">
        <x:v>46266</x:v>
      </x:c>
      <x:c r="C94" t="str">
        <x:v>Forecast</x:v>
      </x:c>
      <x:c r="D94" t="str">
        <x:v>DB-101</x:v>
      </x:c>
      <x:c r="E94" s="34" t="n">
        <x:v>6356.954999999962</x:v>
      </x:c>
      <x:c r="F94" s="34" t="n">
        <x:v>0</x:v>
      </x:c>
      <x:c r="G94" s="34" t="n">
        <x:v>501</x:v>
      </x:c>
      <x:c r="H94" s="34" t="n">
        <x:v>501</x:v>
      </x:c>
      <x:c r="I94" s="28" t="n">
        <x:v>1</x:v>
      </x:c>
      <x:c r="J94" s="39" t="n">
        <x:v>501</x:v>
      </x:c>
      <x:c r="K94" s="39" t="n">
        <x:v>11.272499999999999</x:v>
      </x:c>
      <x:c r="L94" s="39" t="n">
        <x:v>5867.227499999962</x:v>
      </x:c>
      <x:c r="M94" s="39" t="n">
        <x:v>11.71103293413166</x:v>
      </x:c>
      <x:c r="N94" t="str">
        <x:v>OK</x:v>
      </x:c>
      <x:c r="O94" t="str">
        <x:v>Maintain plan</x:v>
      </x:c>
      <x:c r="P94" s="38" t="n">
        <x:v>0</x:v>
      </x:c>
    </x:row>
    <x:row r="95">
      <x:c r="A95" s="32" t="n">
        <x:v>46293</x:v>
      </x:c>
      <x:c r="B95" s="32" t="n">
        <x:v>46266</x:v>
      </x:c>
      <x:c r="C95" t="str">
        <x:v>Forecast</x:v>
      </x:c>
      <x:c r="D95" t="str">
        <x:v>DB-101</x:v>
      </x:c>
      <x:c r="E95" s="34" t="n">
        <x:v>5867.227499999962</x:v>
      </x:c>
      <x:c r="F95" s="34" t="n">
        <x:v>0</x:v>
      </x:c>
      <x:c r="G95" s="34" t="n">
        <x:v>501</x:v>
      </x:c>
      <x:c r="H95" s="34" t="n">
        <x:v>501</x:v>
      </x:c>
      <x:c r="I95" s="28" t="n">
        <x:v>1</x:v>
      </x:c>
      <x:c r="J95" s="39" t="n">
        <x:v>501</x:v>
      </x:c>
      <x:c r="K95" s="39" t="n">
        <x:v>11.272499999999999</x:v>
      </x:c>
      <x:c r="L95" s="39" t="n">
        <x:v>5377.499999999962</x:v>
      </x:c>
      <x:c r="M95" s="39" t="n">
        <x:v>10.73353293413166</x:v>
      </x:c>
      <x:c r="N95" t="str">
        <x:v>OK</x:v>
      </x:c>
      <x:c r="O95" t="str">
        <x:v>Maintain plan</x:v>
      </x:c>
      <x:c r="P95" s="38" t="n">
        <x:v>0</x:v>
      </x:c>
    </x:row>
    <x:row r="96">
      <x:c r="A96" s="32" t="n">
        <x:v>46300</x:v>
      </x:c>
      <x:c r="B96" s="32" t="n">
        <x:v>46296</x:v>
      </x:c>
      <x:c r="C96" t="str">
        <x:v>Forecast</x:v>
      </x:c>
      <x:c r="D96" t="str">
        <x:v>DB-101</x:v>
      </x:c>
      <x:c r="E96" s="34" t="n">
        <x:v>5377.499999999962</x:v>
      </x:c>
      <x:c r="F96" s="34" t="n">
        <x:v>0</x:v>
      </x:c>
      <x:c r="G96" s="34" t="n">
        <x:v>501</x:v>
      </x:c>
      <x:c r="H96" s="34" t="n">
        <x:v>501</x:v>
      </x:c>
      <x:c r="I96" s="28" t="n">
        <x:v>1</x:v>
      </x:c>
      <x:c r="J96" s="39" t="n">
        <x:v>501</x:v>
      </x:c>
      <x:c r="K96" s="39" t="n">
        <x:v>11.272499999999999</x:v>
      </x:c>
      <x:c r="L96" s="39" t="n">
        <x:v>4887.772499999962</x:v>
      </x:c>
      <x:c r="M96" s="39" t="n">
        <x:v>9.75603293413166</x:v>
      </x:c>
      <x:c r="N96" t="str">
        <x:v>OK</x:v>
      </x:c>
      <x:c r="O96" t="str">
        <x:v>Maintain plan</x:v>
      </x:c>
      <x:c r="P96" s="38" t="n">
        <x:v>0</x:v>
      </x:c>
    </x:row>
    <x:row r="97">
      <x:c r="A97" s="32" t="n">
        <x:v>46307</x:v>
      </x:c>
      <x:c r="B97" s="32" t="n">
        <x:v>46296</x:v>
      </x:c>
      <x:c r="C97" t="str">
        <x:v>Forecast</x:v>
      </x:c>
      <x:c r="D97" t="str">
        <x:v>DB-101</x:v>
      </x:c>
      <x:c r="E97" s="34" t="n">
        <x:v>4887.772499999962</x:v>
      </x:c>
      <x:c r="F97" s="34" t="n">
        <x:v>0</x:v>
      </x:c>
      <x:c r="G97" s="34" t="n">
        <x:v>501</x:v>
      </x:c>
      <x:c r="H97" s="34" t="n">
        <x:v>501</x:v>
      </x:c>
      <x:c r="I97" s="28" t="n">
        <x:v>1</x:v>
      </x:c>
      <x:c r="J97" s="39" t="n">
        <x:v>501</x:v>
      </x:c>
      <x:c r="K97" s="39" t="n">
        <x:v>11.272499999999999</x:v>
      </x:c>
      <x:c r="L97" s="39" t="n">
        <x:v>4398.044999999962</x:v>
      </x:c>
      <x:c r="M97" s="39" t="n">
        <x:v>8.778532934131661</x:v>
      </x:c>
      <x:c r="N97" t="str">
        <x:v>OK</x:v>
      </x:c>
      <x:c r="O97" t="str">
        <x:v>Maintain plan</x:v>
      </x:c>
      <x:c r="P97" s="38" t="n">
        <x:v>0</x:v>
      </x:c>
    </x:row>
    <x:row r="98">
      <x:c r="A98" s="32" t="n">
        <x:v>46314</x:v>
      </x:c>
      <x:c r="B98" s="32" t="n">
        <x:v>46296</x:v>
      </x:c>
      <x:c r="C98" t="str">
        <x:v>Forecast</x:v>
      </x:c>
      <x:c r="D98" t="str">
        <x:v>DB-101</x:v>
      </x:c>
      <x:c r="E98" s="34" t="n">
        <x:v>4398.044999999962</x:v>
      </x:c>
      <x:c r="F98" s="34" t="n">
        <x:v>0</x:v>
      </x:c>
      <x:c r="G98" s="34" t="n">
        <x:v>501</x:v>
      </x:c>
      <x:c r="H98" s="34" t="n">
        <x:v>501</x:v>
      </x:c>
      <x:c r="I98" s="28" t="n">
        <x:v>1</x:v>
      </x:c>
      <x:c r="J98" s="39" t="n">
        <x:v>501</x:v>
      </x:c>
      <x:c r="K98" s="39" t="n">
        <x:v>11.272499999999999</x:v>
      </x:c>
      <x:c r="L98" s="39" t="n">
        <x:v>3908.317499999962</x:v>
      </x:c>
      <x:c r="M98" s="39" t="n">
        <x:v>7.80103293413166</x:v>
      </x:c>
      <x:c r="N98" t="str">
        <x:v>OK</x:v>
      </x:c>
      <x:c r="O98" t="str">
        <x:v>Maintain plan</x:v>
      </x:c>
      <x:c r="P98" s="38" t="n">
        <x:v>0</x:v>
      </x:c>
    </x:row>
    <x:row r="99">
      <x:c r="A99" s="32" t="n">
        <x:v>46321</x:v>
      </x:c>
      <x:c r="B99" s="32" t="n">
        <x:v>46296</x:v>
      </x:c>
      <x:c r="C99" t="str">
        <x:v>Forecast</x:v>
      </x:c>
      <x:c r="D99" t="str">
        <x:v>DB-101</x:v>
      </x:c>
      <x:c r="E99" s="34" t="n">
        <x:v>3908.317499999962</x:v>
      </x:c>
      <x:c r="F99" s="34" t="n">
        <x:v>0</x:v>
      </x:c>
      <x:c r="G99" s="34" t="n">
        <x:v>501</x:v>
      </x:c>
      <x:c r="H99" s="34" t="n">
        <x:v>501</x:v>
      </x:c>
      <x:c r="I99" s="28" t="n">
        <x:v>1</x:v>
      </x:c>
      <x:c r="J99" s="39" t="n">
        <x:v>501</x:v>
      </x:c>
      <x:c r="K99" s="39" t="n">
        <x:v>11.272499999999999</x:v>
      </x:c>
      <x:c r="L99" s="39" t="n">
        <x:v>3418.589999999962</x:v>
      </x:c>
      <x:c r="M99" s="39" t="n">
        <x:v>6.82353293413166</x:v>
      </x:c>
      <x:c r="N99" t="str">
        <x:v>OK</x:v>
      </x:c>
      <x:c r="O99" t="str">
        <x:v>Maintain plan</x:v>
      </x:c>
      <x:c r="P99" s="38" t="n">
        <x:v>0</x:v>
      </x:c>
    </x:row>
    <x:row r="100">
      <x:c r="A100" s="32" t="n">
        <x:v>46328</x:v>
      </x:c>
      <x:c r="B100" s="32" t="n">
        <x:v>46327</x:v>
      </x:c>
      <x:c r="C100" t="str">
        <x:v>Forecast</x:v>
      </x:c>
      <x:c r="D100" t="str">
        <x:v>DB-101</x:v>
      </x:c>
      <x:c r="E100" s="34" t="n">
        <x:v>3418.589999999962</x:v>
      </x:c>
      <x:c r="F100" s="34" t="n">
        <x:v>0</x:v>
      </x:c>
      <x:c r="G100" s="34" t="n">
        <x:v>501</x:v>
      </x:c>
      <x:c r="H100" s="34" t="n">
        <x:v>501</x:v>
      </x:c>
      <x:c r="I100" s="28" t="n">
        <x:v>1</x:v>
      </x:c>
      <x:c r="J100" s="39" t="n">
        <x:v>501</x:v>
      </x:c>
      <x:c r="K100" s="39" t="n">
        <x:v>11.272499999999999</x:v>
      </x:c>
      <x:c r="L100" s="39" t="n">
        <x:v>2928.862499999962</x:v>
      </x:c>
      <x:c r="M100" s="39" t="n">
        <x:v>5.846032934131661</x:v>
      </x:c>
      <x:c r="N100" t="str">
        <x:v>Below Safety Stock</x:v>
      </x:c>
      <x:c r="O100" t="str">
        <x:v>Review reorder / ad pacing</x:v>
      </x:c>
      <x:c r="P100" s="38" t="n">
        <x:v>0</x:v>
      </x:c>
    </x:row>
    <x:row r="101">
      <x:c r="A101" s="32" t="n">
        <x:v>46335</x:v>
      </x:c>
      <x:c r="B101" s="32" t="n">
        <x:v>46327</x:v>
      </x:c>
      <x:c r="C101" t="str">
        <x:v>Forecast</x:v>
      </x:c>
      <x:c r="D101" t="str">
        <x:v>DB-101</x:v>
      </x:c>
      <x:c r="E101" s="34" t="n">
        <x:v>2928.862499999962</x:v>
      </x:c>
      <x:c r="F101" s="34" t="n">
        <x:v>4500</x:v>
      </x:c>
      <x:c r="G101" s="34" t="n">
        <x:v>501</x:v>
      </x:c>
      <x:c r="H101" s="34" t="n">
        <x:v>501</x:v>
      </x:c>
      <x:c r="I101" s="28" t="n">
        <x:v>1</x:v>
      </x:c>
      <x:c r="J101" s="39" t="n">
        <x:v>501</x:v>
      </x:c>
      <x:c r="K101" s="39" t="n">
        <x:v>11.272499999999999</x:v>
      </x:c>
      <x:c r="L101" s="39" t="n">
        <x:v>6939.134999999962</x:v>
      </x:c>
      <x:c r="M101" s="39" t="n">
        <x:v>13.850568862275374</x:v>
      </x:c>
      <x:c r="N101" t="str">
        <x:v>OK</x:v>
      </x:c>
      <x:c r="O101" t="str">
        <x:v>Maintain plan</x:v>
      </x:c>
      <x:c r="P101" s="38" t="n">
        <x:v>48.6</x:v>
      </x:c>
    </x:row>
    <x:row r="102">
      <x:c r="A102" s="32" t="n">
        <x:v>46342</x:v>
      </x:c>
      <x:c r="B102" s="32" t="n">
        <x:v>46327</x:v>
      </x:c>
      <x:c r="C102" t="str">
        <x:v>Forecast</x:v>
      </x:c>
      <x:c r="D102" t="str">
        <x:v>DB-101</x:v>
      </x:c>
      <x:c r="E102" s="34" t="n">
        <x:v>6939.134999999962</x:v>
      </x:c>
      <x:c r="F102" s="34" t="n">
        <x:v>0</x:v>
      </x:c>
      <x:c r="G102" s="34" t="n">
        <x:v>501</x:v>
      </x:c>
      <x:c r="H102" s="34" t="n">
        <x:v>501</x:v>
      </x:c>
      <x:c r="I102" s="28" t="n">
        <x:v>1</x:v>
      </x:c>
      <x:c r="J102" s="39" t="n">
        <x:v>501</x:v>
      </x:c>
      <x:c r="K102" s="39" t="n">
        <x:v>11.272499999999999</x:v>
      </x:c>
      <x:c r="L102" s="39" t="n">
        <x:v>6449.407499999962</x:v>
      </x:c>
      <x:c r="M102" s="39" t="n">
        <x:v>12.873068862275373</x:v>
      </x:c>
      <x:c r="N102" t="str">
        <x:v>OK</x:v>
      </x:c>
      <x:c r="O102" t="str">
        <x:v>Maintain plan</x:v>
      </x:c>
      <x:c r="P102" s="38" t="n">
        <x:v>0</x:v>
      </x:c>
    </x:row>
    <x:row r="103">
      <x:c r="A103" s="32" t="n">
        <x:v>46349</x:v>
      </x:c>
      <x:c r="B103" s="32" t="n">
        <x:v>46327</x:v>
      </x:c>
      <x:c r="C103" t="str">
        <x:v>Forecast</x:v>
      </x:c>
      <x:c r="D103" t="str">
        <x:v>DB-101</x:v>
      </x:c>
      <x:c r="E103" s="34" t="n">
        <x:v>6449.407499999962</x:v>
      </x:c>
      <x:c r="F103" s="34" t="n">
        <x:v>0</x:v>
      </x:c>
      <x:c r="G103" s="34" t="n">
        <x:v>501</x:v>
      </x:c>
      <x:c r="H103" s="34" t="n">
        <x:v>501</x:v>
      </x:c>
      <x:c r="I103" s="28" t="n">
        <x:v>1</x:v>
      </x:c>
      <x:c r="J103" s="39" t="n">
        <x:v>501</x:v>
      </x:c>
      <x:c r="K103" s="39" t="n">
        <x:v>11.272499999999999</x:v>
      </x:c>
      <x:c r="L103" s="39" t="n">
        <x:v>5959.679999999962</x:v>
      </x:c>
      <x:c r="M103" s="39" t="n">
        <x:v>11.895568862275374</x:v>
      </x:c>
      <x:c r="N103" t="str">
        <x:v>OK</x:v>
      </x:c>
      <x:c r="O103" t="str">
        <x:v>Maintain plan</x:v>
      </x:c>
      <x:c r="P103" s="38" t="n">
        <x:v>0</x:v>
      </x:c>
    </x:row>
    <x:row r="104">
      <x:c r="A104" s="32" t="n">
        <x:v>46356</x:v>
      </x:c>
      <x:c r="B104" s="32" t="n">
        <x:v>46327</x:v>
      </x:c>
      <x:c r="C104" t="str">
        <x:v>Forecast</x:v>
      </x:c>
      <x:c r="D104" t="str">
        <x:v>DB-101</x:v>
      </x:c>
      <x:c r="E104" s="34" t="n">
        <x:v>5959.679999999962</x:v>
      </x:c>
      <x:c r="F104" s="34" t="n">
        <x:v>0</x:v>
      </x:c>
      <x:c r="G104" s="34" t="n">
        <x:v>501</x:v>
      </x:c>
      <x:c r="H104" s="34" t="n">
        <x:v>501</x:v>
      </x:c>
      <x:c r="I104" s="28" t="n">
        <x:v>1</x:v>
      </x:c>
      <x:c r="J104" s="39" t="n">
        <x:v>501</x:v>
      </x:c>
      <x:c r="K104" s="39" t="n">
        <x:v>11.272499999999999</x:v>
      </x:c>
      <x:c r="L104" s="39" t="n">
        <x:v>5469.952499999962</x:v>
      </x:c>
      <x:c r="M104" s="39" t="n">
        <x:v>10.918068862275373</x:v>
      </x:c>
      <x:c r="N104" t="str">
        <x:v>OK</x:v>
      </x:c>
      <x:c r="O104" t="str">
        <x:v>Maintain plan</x:v>
      </x:c>
      <x:c r="P104" s="38" t="n">
        <x:v>0</x:v>
      </x:c>
    </x:row>
    <x:row r="105">
      <x:c r="A105" s="32" t="n">
        <x:v>46363</x:v>
      </x:c>
      <x:c r="B105" s="32" t="n">
        <x:v>46357</x:v>
      </x:c>
      <x:c r="C105" t="str">
        <x:v>Forecast</x:v>
      </x:c>
      <x:c r="D105" t="str">
        <x:v>DB-101</x:v>
      </x:c>
      <x:c r="E105" s="34" t="n">
        <x:v>5469.952499999962</x:v>
      </x:c>
      <x:c r="F105" s="34" t="n">
        <x:v>0</x:v>
      </x:c>
      <x:c r="G105" s="34" t="n">
        <x:v>501</x:v>
      </x:c>
      <x:c r="H105" s="34" t="n">
        <x:v>501</x:v>
      </x:c>
      <x:c r="I105" s="28" t="n">
        <x:v>1</x:v>
      </x:c>
      <x:c r="J105" s="39" t="n">
        <x:v>501</x:v>
      </x:c>
      <x:c r="K105" s="39" t="n">
        <x:v>11.272499999999999</x:v>
      </x:c>
      <x:c r="L105" s="39" t="n">
        <x:v>4980.224999999962</x:v>
      </x:c>
      <x:c r="M105" s="39" t="n">
        <x:v>9.940568862275374</x:v>
      </x:c>
      <x:c r="N105" t="str">
        <x:v>OK</x:v>
      </x:c>
      <x:c r="O105" t="str">
        <x:v>Maintain plan</x:v>
      </x:c>
      <x:c r="P105" s="38" t="n">
        <x:v>0</x:v>
      </x:c>
    </x:row>
    <x:row r="106">
      <x:c r="A106" s="32" t="n">
        <x:v>46370</x:v>
      </x:c>
      <x:c r="B106" s="32" t="n">
        <x:v>46357</x:v>
      </x:c>
      <x:c r="C106" t="str">
        <x:v>Forecast</x:v>
      </x:c>
      <x:c r="D106" t="str">
        <x:v>DB-101</x:v>
      </x:c>
      <x:c r="E106" s="34" t="n">
        <x:v>4980.224999999962</x:v>
      </x:c>
      <x:c r="F106" s="34" t="n">
        <x:v>0</x:v>
      </x:c>
      <x:c r="G106" s="34" t="n">
        <x:v>501</x:v>
      </x:c>
      <x:c r="H106" s="34" t="n">
        <x:v>501</x:v>
      </x:c>
      <x:c r="I106" s="28" t="n">
        <x:v>1</x:v>
      </x:c>
      <x:c r="J106" s="39" t="n">
        <x:v>501</x:v>
      </x:c>
      <x:c r="K106" s="39" t="n">
        <x:v>11.272499999999999</x:v>
      </x:c>
      <x:c r="L106" s="39" t="n">
        <x:v>4490.497499999962</x:v>
      </x:c>
      <x:c r="M106" s="39" t="n">
        <x:v>8.963068862275374</x:v>
      </x:c>
      <x:c r="N106" t="str">
        <x:v>OK</x:v>
      </x:c>
      <x:c r="O106" t="str">
        <x:v>Maintain plan</x:v>
      </x:c>
      <x:c r="P106" s="38" t="n">
        <x:v>0</x:v>
      </x:c>
    </x:row>
    <x:row r="107">
      <x:c r="A107" s="32" t="n">
        <x:v>46377</x:v>
      </x:c>
      <x:c r="B107" s="32" t="n">
        <x:v>46357</x:v>
      </x:c>
      <x:c r="C107" t="str">
        <x:v>Forecast</x:v>
      </x:c>
      <x:c r="D107" t="str">
        <x:v>DB-101</x:v>
      </x:c>
      <x:c r="E107" s="34" t="n">
        <x:v>4490.497499999962</x:v>
      </x:c>
      <x:c r="F107" s="34" t="n">
        <x:v>0</x:v>
      </x:c>
      <x:c r="G107" s="34" t="n">
        <x:v>501</x:v>
      </x:c>
      <x:c r="H107" s="34" t="n">
        <x:v>501</x:v>
      </x:c>
      <x:c r="I107" s="28" t="n">
        <x:v>1</x:v>
      </x:c>
      <x:c r="J107" s="39" t="n">
        <x:v>501</x:v>
      </x:c>
      <x:c r="K107" s="39" t="n">
        <x:v>11.272499999999999</x:v>
      </x:c>
      <x:c r="L107" s="39" t="n">
        <x:v>4000.7699999999622</x:v>
      </x:c>
      <x:c r="M107" s="39" t="n">
        <x:v>7.9855688622753735</x:v>
      </x:c>
      <x:c r="N107" t="str">
        <x:v>OK</x:v>
      </x:c>
      <x:c r="O107" t="str">
        <x:v>Maintain plan</x:v>
      </x:c>
      <x:c r="P107" s="38" t="n">
        <x:v>0</x:v>
      </x:c>
    </x:row>
    <x:row r="108">
      <x:c r="A108" s="32" t="n">
        <x:v>46384</x:v>
      </x:c>
      <x:c r="B108" s="32" t="n">
        <x:v>46357</x:v>
      </x:c>
      <x:c r="C108" t="str">
        <x:v>Forecast</x:v>
      </x:c>
      <x:c r="D108" t="str">
        <x:v>DB-101</x:v>
      </x:c>
      <x:c r="E108" s="34" t="n">
        <x:v>4000.7699999999622</x:v>
      </x:c>
      <x:c r="F108" s="34" t="n">
        <x:v>0</x:v>
      </x:c>
      <x:c r="G108" s="34" t="n">
        <x:v>501</x:v>
      </x:c>
      <x:c r="H108" s="34" t="n">
        <x:v>501</x:v>
      </x:c>
      <x:c r="I108" s="28" t="n">
        <x:v>1</x:v>
      </x:c>
      <x:c r="J108" s="39" t="n">
        <x:v>501</x:v>
      </x:c>
      <x:c r="K108" s="39" t="n">
        <x:v>11.272499999999999</x:v>
      </x:c>
      <x:c r="L108" s="39" t="n">
        <x:v>3511.0424999999623</x:v>
      </x:c>
      <x:c r="M108" s="39" t="n">
        <x:v>7.0080688622753735</x:v>
      </x:c>
      <x:c r="N108" t="str">
        <x:v>OK</x:v>
      </x:c>
      <x:c r="O108" t="str">
        <x:v>Maintain plan</x:v>
      </x:c>
      <x:c r="P108" s="38" t="n">
        <x:v>0</x:v>
      </x:c>
    </x:row>
    <x:row r="109">
      <x:c r="A109" s="32" t="n">
        <x:v>45663</x:v>
      </x:c>
      <x:c r="B109" s="32" t="n">
        <x:v>45658</x:v>
      </x:c>
      <x:c r="C109" t="str">
        <x:v>Actual</x:v>
      </x:c>
      <x:c r="D109" t="str">
        <x:v>DB-102</x:v>
      </x:c>
      <x:c r="E109" s="34" t="n">
        <x:v>24000</x:v>
      </x:c>
      <x:c r="F109" s="34" t="n">
        <x:v>9000</x:v>
      </x:c>
      <x:c r="G109" s="34" t="n">
        <x:v>340</x:v>
      </x:c>
      <x:c r="H109" s="34" t="n">
        <x:v>340</x:v>
      </x:c>
      <x:c r="I109" s="28" t="n">
        <x:v>1</x:v>
      </x:c>
      <x:c r="J109" s="39" t="n">
        <x:v>340</x:v>
      </x:c>
      <x:c r="K109" s="39" t="n">
        <x:v>4.25</x:v>
      </x:c>
      <x:c r="L109" s="39" t="n">
        <x:v>32664.25</x:v>
      </x:c>
      <x:c r="M109" s="39" t="n">
        <x:v>96.07132352941177</x:v>
      </x:c>
      <x:c r="N109" t="str">
        <x:v>OK</x:v>
      </x:c>
      <x:c r="O109" t="str">
        <x:v>Maintain plan</x:v>
      </x:c>
      <x:c r="P109" s="38" t="n">
        <x:v>48.69</x:v>
      </x:c>
    </x:row>
    <x:row r="110">
      <x:c r="A110" s="32" t="n">
        <x:v>45670</x:v>
      </x:c>
      <x:c r="B110" s="32" t="n">
        <x:v>45658</x:v>
      </x:c>
      <x:c r="C110" t="str">
        <x:v>Actual</x:v>
      </x:c>
      <x:c r="D110" t="str">
        <x:v>DB-102</x:v>
      </x:c>
      <x:c r="E110" s="34" t="n">
        <x:v>32664.25</x:v>
      </x:c>
      <x:c r="F110" s="34" t="n">
        <x:v>0</x:v>
      </x:c>
      <x:c r="G110" s="34" t="n">
        <x:v>341</x:v>
      </x:c>
      <x:c r="H110" s="34" t="n">
        <x:v>341</x:v>
      </x:c>
      <x:c r="I110" s="28" t="n">
        <x:v>1</x:v>
      </x:c>
      <x:c r="J110" s="39" t="n">
        <x:v>341</x:v>
      </x:c>
      <x:c r="K110" s="39" t="n">
        <x:v>4.2625</x:v>
      </x:c>
      <x:c r="L110" s="39" t="n">
        <x:v>32327.5125</x:v>
      </x:c>
      <x:c r="M110" s="39" t="n">
        <x:v>94.80208944281524</x:v>
      </x:c>
      <x:c r="N110" t="str">
        <x:v>OK</x:v>
      </x:c>
      <x:c r="O110" t="str">
        <x:v>Maintain plan</x:v>
      </x:c>
      <x:c r="P110" s="38" t="n">
        <x:v>0</x:v>
      </x:c>
    </x:row>
    <x:row r="111">
      <x:c r="A111" s="32" t="n">
        <x:v>45677</x:v>
      </x:c>
      <x:c r="B111" s="32" t="n">
        <x:v>45658</x:v>
      </x:c>
      <x:c r="C111" t="str">
        <x:v>Actual</x:v>
      </x:c>
      <x:c r="D111" t="str">
        <x:v>DB-102</x:v>
      </x:c>
      <x:c r="E111" s="34" t="n">
        <x:v>32327.5125</x:v>
      </x:c>
      <x:c r="F111" s="34" t="n">
        <x:v>0</x:v>
      </x:c>
      <x:c r="G111" s="34" t="n">
        <x:v>342</x:v>
      </x:c>
      <x:c r="H111" s="34" t="n">
        <x:v>342</x:v>
      </x:c>
      <x:c r="I111" s="28" t="n">
        <x:v>1</x:v>
      </x:c>
      <x:c r="J111" s="39" t="n">
        <x:v>342</x:v>
      </x:c>
      <x:c r="K111" s="39" t="n">
        <x:v>4.275</x:v>
      </x:c>
      <x:c r="L111" s="39" t="n">
        <x:v>31989.787500000002</x:v>
      </x:c>
      <x:c r="M111" s="39" t="n">
        <x:v>93.5373903508772</x:v>
      </x:c>
      <x:c r="N111" t="str">
        <x:v>OK</x:v>
      </x:c>
      <x:c r="O111" t="str">
        <x:v>Maintain plan</x:v>
      </x:c>
      <x:c r="P111" s="38" t="n">
        <x:v>0</x:v>
      </x:c>
    </x:row>
    <x:row r="112">
      <x:c r="A112" s="32" t="n">
        <x:v>45684</x:v>
      </x:c>
      <x:c r="B112" s="32" t="n">
        <x:v>45658</x:v>
      </x:c>
      <x:c r="C112" t="str">
        <x:v>Actual</x:v>
      </x:c>
      <x:c r="D112" t="str">
        <x:v>DB-102</x:v>
      </x:c>
      <x:c r="E112" s="34" t="n">
        <x:v>31989.787500000002</x:v>
      </x:c>
      <x:c r="F112" s="34" t="n">
        <x:v>0</x:v>
      </x:c>
      <x:c r="G112" s="34" t="n">
        <x:v>343</x:v>
      </x:c>
      <x:c r="H112" s="34" t="n">
        <x:v>343</x:v>
      </x:c>
      <x:c r="I112" s="28" t="n">
        <x:v>1</x:v>
      </x:c>
      <x:c r="J112" s="39" t="n">
        <x:v>343</x:v>
      </x:c>
      <x:c r="K112" s="39" t="n">
        <x:v>4.2875000000000005</x:v>
      </x:c>
      <x:c r="L112" s="39" t="n">
        <x:v>31651.075</x:v>
      </x:c>
      <x:c r="M112" s="39" t="n">
        <x:v>92.27718658892128</x:v>
      </x:c>
      <x:c r="N112" t="str">
        <x:v>OK</x:v>
      </x:c>
      <x:c r="O112" t="str">
        <x:v>Maintain plan</x:v>
      </x:c>
      <x:c r="P112" s="38" t="n">
        <x:v>0</x:v>
      </x:c>
    </x:row>
    <x:row r="113">
      <x:c r="A113" s="32" t="n">
        <x:v>45691</x:v>
      </x:c>
      <x:c r="B113" s="32" t="n">
        <x:v>45689</x:v>
      </x:c>
      <x:c r="C113" t="str">
        <x:v>Actual</x:v>
      </x:c>
      <x:c r="D113" t="str">
        <x:v>DB-102</x:v>
      </x:c>
      <x:c r="E113" s="34" t="n">
        <x:v>31651.075</x:v>
      </x:c>
      <x:c r="F113" s="34" t="n">
        <x:v>0</x:v>
      </x:c>
      <x:c r="G113" s="34" t="n">
        <x:v>344</x:v>
      </x:c>
      <x:c r="H113" s="34" t="n">
        <x:v>344</x:v>
      </x:c>
      <x:c r="I113" s="28" t="n">
        <x:v>1</x:v>
      </x:c>
      <x:c r="J113" s="39" t="n">
        <x:v>344</x:v>
      </x:c>
      <x:c r="K113" s="39" t="n">
        <x:v>4.3</x:v>
      </x:c>
      <x:c r="L113" s="39" t="n">
        <x:v>31311.375</x:v>
      </x:c>
      <x:c r="M113" s="39" t="n">
        <x:v>91.02143895348837</x:v>
      </x:c>
      <x:c r="N113" t="str">
        <x:v>OK</x:v>
      </x:c>
      <x:c r="O113" t="str">
        <x:v>Maintain plan</x:v>
      </x:c>
      <x:c r="P113" s="38" t="n">
        <x:v>0</x:v>
      </x:c>
    </x:row>
    <x:row r="114">
      <x:c r="A114" s="32" t="n">
        <x:v>45698</x:v>
      </x:c>
      <x:c r="B114" s="32" t="n">
        <x:v>45689</x:v>
      </x:c>
      <x:c r="C114" t="str">
        <x:v>Actual</x:v>
      </x:c>
      <x:c r="D114" t="str">
        <x:v>DB-102</x:v>
      </x:c>
      <x:c r="E114" s="34" t="n">
        <x:v>31311.375</x:v>
      </x:c>
      <x:c r="F114" s="34" t="n">
        <x:v>0</x:v>
      </x:c>
      <x:c r="G114" s="34" t="n">
        <x:v>346</x:v>
      </x:c>
      <x:c r="H114" s="34" t="n">
        <x:v>346</x:v>
      </x:c>
      <x:c r="I114" s="28" t="n">
        <x:v>1</x:v>
      </x:c>
      <x:c r="J114" s="39" t="n">
        <x:v>346</x:v>
      </x:c>
      <x:c r="K114" s="39" t="n">
        <x:v>4.325</x:v>
      </x:c>
      <x:c r="L114" s="39" t="n">
        <x:v>30969.7</x:v>
      </x:c>
      <x:c r="M114" s="39" t="n">
        <x:v>89.5078034682081</x:v>
      </x:c>
      <x:c r="N114" t="str">
        <x:v>OK</x:v>
      </x:c>
      <x:c r="O114" t="str">
        <x:v>Maintain plan</x:v>
      </x:c>
      <x:c r="P114" s="38" t="n">
        <x:v>0</x:v>
      </x:c>
    </x:row>
    <x:row r="115">
      <x:c r="A115" s="32" t="n">
        <x:v>45705</x:v>
      </x:c>
      <x:c r="B115" s="32" t="n">
        <x:v>45689</x:v>
      </x:c>
      <x:c r="C115" t="str">
        <x:v>Actual</x:v>
      </x:c>
      <x:c r="D115" t="str">
        <x:v>DB-102</x:v>
      </x:c>
      <x:c r="E115" s="34" t="n">
        <x:v>30969.7</x:v>
      </x:c>
      <x:c r="F115" s="34" t="n">
        <x:v>0</x:v>
      </x:c>
      <x:c r="G115" s="34" t="n">
        <x:v>348</x:v>
      </x:c>
      <x:c r="H115" s="34" t="n">
        <x:v>348</x:v>
      </x:c>
      <x:c r="I115" s="28" t="n">
        <x:v>1</x:v>
      </x:c>
      <x:c r="J115" s="39" t="n">
        <x:v>348</x:v>
      </x:c>
      <x:c r="K115" s="39" t="n">
        <x:v>4.3500000000000005</x:v>
      </x:c>
      <x:c r="L115" s="39" t="n">
        <x:v>30626.05</x:v>
      </x:c>
      <x:c r="M115" s="39" t="n">
        <x:v>88.0058908045977</x:v>
      </x:c>
      <x:c r="N115" t="str">
        <x:v>OK</x:v>
      </x:c>
      <x:c r="O115" t="str">
        <x:v>Maintain plan</x:v>
      </x:c>
      <x:c r="P115" s="38" t="n">
        <x:v>0</x:v>
      </x:c>
    </x:row>
    <x:row r="116">
      <x:c r="A116" s="32" t="n">
        <x:v>45712</x:v>
      </x:c>
      <x:c r="B116" s="32" t="n">
        <x:v>45689</x:v>
      </x:c>
      <x:c r="C116" t="str">
        <x:v>Actual</x:v>
      </x:c>
      <x:c r="D116" t="str">
        <x:v>DB-102</x:v>
      </x:c>
      <x:c r="E116" s="34" t="n">
        <x:v>30626.05</x:v>
      </x:c>
      <x:c r="F116" s="34" t="n">
        <x:v>0</x:v>
      </x:c>
      <x:c r="G116" s="34" t="n">
        <x:v>350</x:v>
      </x:c>
      <x:c r="H116" s="34" t="n">
        <x:v>350</x:v>
      </x:c>
      <x:c r="I116" s="28" t="n">
        <x:v>1</x:v>
      </x:c>
      <x:c r="J116" s="39" t="n">
        <x:v>350</x:v>
      </x:c>
      <x:c r="K116" s="39" t="n">
        <x:v>4.375</x:v>
      </x:c>
      <x:c r="L116" s="39" t="n">
        <x:v>30280.425</x:v>
      </x:c>
      <x:c r="M116" s="39" t="n">
        <x:v>86.5155</x:v>
      </x:c>
      <x:c r="N116" t="str">
        <x:v>OK</x:v>
      </x:c>
      <x:c r="O116" t="str">
        <x:v>Maintain plan</x:v>
      </x:c>
      <x:c r="P116" s="38" t="n">
        <x:v>0</x:v>
      </x:c>
    </x:row>
    <x:row r="117">
      <x:c r="A117" s="32" t="n">
        <x:v>45719</x:v>
      </x:c>
      <x:c r="B117" s="32" t="n">
        <x:v>45717</x:v>
      </x:c>
      <x:c r="C117" t="str">
        <x:v>Actual</x:v>
      </x:c>
      <x:c r="D117" t="str">
        <x:v>DB-102</x:v>
      </x:c>
      <x:c r="E117" s="34" t="n">
        <x:v>30280.425</x:v>
      </x:c>
      <x:c r="F117" s="34" t="n">
        <x:v>9000</x:v>
      </x:c>
      <x:c r="G117" s="34" t="n">
        <x:v>351</x:v>
      </x:c>
      <x:c r="H117" s="34" t="n">
        <x:v>351</x:v>
      </x:c>
      <x:c r="I117" s="28" t="n">
        <x:v>1</x:v>
      </x:c>
      <x:c r="J117" s="39" t="n">
        <x:v>351</x:v>
      </x:c>
      <x:c r="K117" s="39" t="n">
        <x:v>4.3875</x:v>
      </x:c>
      <x:c r="L117" s="39" t="n">
        <x:v>38933.8125</x:v>
      </x:c>
      <x:c r="M117" s="39" t="n">
        <x:v>110.92254273504274</x:v>
      </x:c>
      <x:c r="N117" t="str">
        <x:v>OK</x:v>
      </x:c>
      <x:c r="O117" t="str">
        <x:v>Maintain plan</x:v>
      </x:c>
      <x:c r="P117" s="38" t="n">
        <x:v>48.69</x:v>
      </x:c>
    </x:row>
    <x:row r="118">
      <x:c r="A118" s="32" t="n">
        <x:v>45726</x:v>
      </x:c>
      <x:c r="B118" s="32" t="n">
        <x:v>45717</x:v>
      </x:c>
      <x:c r="C118" t="str">
        <x:v>Actual</x:v>
      </x:c>
      <x:c r="D118" t="str">
        <x:v>DB-102</x:v>
      </x:c>
      <x:c r="E118" s="34" t="n">
        <x:v>38933.8125</x:v>
      </x:c>
      <x:c r="F118" s="34" t="n">
        <x:v>0</x:v>
      </x:c>
      <x:c r="G118" s="34" t="n">
        <x:v>351</x:v>
      </x:c>
      <x:c r="H118" s="34" t="n">
        <x:v>351</x:v>
      </x:c>
      <x:c r="I118" s="28" t="n">
        <x:v>1</x:v>
      </x:c>
      <x:c r="J118" s="39" t="n">
        <x:v>351</x:v>
      </x:c>
      <x:c r="K118" s="39" t="n">
        <x:v>4.3875</x:v>
      </x:c>
      <x:c r="L118" s="39" t="n">
        <x:v>38587.2</x:v>
      </x:c>
      <x:c r="M118" s="39" t="n">
        <x:v>109.93504273504273</x:v>
      </x:c>
      <x:c r="N118" t="str">
        <x:v>OK</x:v>
      </x:c>
      <x:c r="O118" t="str">
        <x:v>Maintain plan</x:v>
      </x:c>
      <x:c r="P118" s="38" t="n">
        <x:v>0</x:v>
      </x:c>
    </x:row>
    <x:row r="119">
      <x:c r="A119" s="32" t="n">
        <x:v>45733</x:v>
      </x:c>
      <x:c r="B119" s="32" t="n">
        <x:v>45717</x:v>
      </x:c>
      <x:c r="C119" t="str">
        <x:v>Actual</x:v>
      </x:c>
      <x:c r="D119" t="str">
        <x:v>DB-102</x:v>
      </x:c>
      <x:c r="E119" s="34" t="n">
        <x:v>38587.2</x:v>
      </x:c>
      <x:c r="F119" s="34" t="n">
        <x:v>0</x:v>
      </x:c>
      <x:c r="G119" s="34" t="n">
        <x:v>353</x:v>
      </x:c>
      <x:c r="H119" s="34" t="n">
        <x:v>353</x:v>
      </x:c>
      <x:c r="I119" s="28" t="n">
        <x:v>1</x:v>
      </x:c>
      <x:c r="J119" s="39" t="n">
        <x:v>353</x:v>
      </x:c>
      <x:c r="K119" s="39" t="n">
        <x:v>4.4125000000000005</x:v>
      </x:c>
      <x:c r="L119" s="39" t="n">
        <x:v>38238.612499999996</x:v>
      </x:c>
      <x:c r="M119" s="39" t="n">
        <x:v>108.32468130311614</x:v>
      </x:c>
      <x:c r="N119" t="str">
        <x:v>OK</x:v>
      </x:c>
      <x:c r="O119" t="str">
        <x:v>Maintain plan</x:v>
      </x:c>
      <x:c r="P119" s="38" t="n">
        <x:v>0</x:v>
      </x:c>
    </x:row>
    <x:row r="120">
      <x:c r="A120" s="32" t="n">
        <x:v>45740</x:v>
      </x:c>
      <x:c r="B120" s="32" t="n">
        <x:v>45717</x:v>
      </x:c>
      <x:c r="C120" t="str">
        <x:v>Actual</x:v>
      </x:c>
      <x:c r="D120" t="str">
        <x:v>DB-102</x:v>
      </x:c>
      <x:c r="E120" s="34" t="n">
        <x:v>38238.612499999996</x:v>
      </x:c>
      <x:c r="F120" s="34" t="n">
        <x:v>0</x:v>
      </x:c>
      <x:c r="G120" s="34" t="n">
        <x:v>355</x:v>
      </x:c>
      <x:c r="H120" s="34" t="n">
        <x:v>355</x:v>
      </x:c>
      <x:c r="I120" s="28" t="n">
        <x:v>1</x:v>
      </x:c>
      <x:c r="J120" s="39" t="n">
        <x:v>355</x:v>
      </x:c>
      <x:c r="K120" s="39" t="n">
        <x:v>4.4375</x:v>
      </x:c>
      <x:c r="L120" s="39" t="n">
        <x:v>37888.049999999996</x:v>
      </x:c>
      <x:c r="M120" s="39" t="n">
        <x:v>106.72690140845069</x:v>
      </x:c>
      <x:c r="N120" t="str">
        <x:v>OK</x:v>
      </x:c>
      <x:c r="O120" t="str">
        <x:v>Maintain plan</x:v>
      </x:c>
      <x:c r="P120" s="38" t="n">
        <x:v>0</x:v>
      </x:c>
    </x:row>
    <x:row r="121">
      <x:c r="A121" s="32" t="n">
        <x:v>45747</x:v>
      </x:c>
      <x:c r="B121" s="32" t="n">
        <x:v>45717</x:v>
      </x:c>
      <x:c r="C121" t="str">
        <x:v>Actual</x:v>
      </x:c>
      <x:c r="D121" t="str">
        <x:v>DB-102</x:v>
      </x:c>
      <x:c r="E121" s="34" t="n">
        <x:v>37888.049999999996</x:v>
      </x:c>
      <x:c r="F121" s="34" t="n">
        <x:v>0</x:v>
      </x:c>
      <x:c r="G121" s="34" t="n">
        <x:v>356</x:v>
      </x:c>
      <x:c r="H121" s="34" t="n">
        <x:v>356</x:v>
      </x:c>
      <x:c r="I121" s="28" t="n">
        <x:v>1</x:v>
      </x:c>
      <x:c r="J121" s="39" t="n">
        <x:v>356</x:v>
      </x:c>
      <x:c r="K121" s="39" t="n">
        <x:v>4.45</x:v>
      </x:c>
      <x:c r="L121" s="39" t="n">
        <x:v>37536.49999999999</x:v>
      </x:c>
      <x:c r="M121" s="39" t="n">
        <x:v>105.43960674157302</x:v>
      </x:c>
      <x:c r="N121" t="str">
        <x:v>OK</x:v>
      </x:c>
      <x:c r="O121" t="str">
        <x:v>Maintain plan</x:v>
      </x:c>
      <x:c r="P121" s="38" t="n">
        <x:v>0</x:v>
      </x:c>
    </x:row>
    <x:row r="122">
      <x:c r="A122" s="32" t="n">
        <x:v>45754</x:v>
      </x:c>
      <x:c r="B122" s="32" t="n">
        <x:v>45748</x:v>
      </x:c>
      <x:c r="C122" t="str">
        <x:v>Actual</x:v>
      </x:c>
      <x:c r="D122" t="str">
        <x:v>DB-102</x:v>
      </x:c>
      <x:c r="E122" s="34" t="n">
        <x:v>37536.49999999999</x:v>
      </x:c>
      <x:c r="F122" s="34" t="n">
        <x:v>0</x:v>
      </x:c>
      <x:c r="G122" s="34" t="n">
        <x:v>357</x:v>
      </x:c>
      <x:c r="H122" s="34" t="n">
        <x:v>357</x:v>
      </x:c>
      <x:c r="I122" s="28" t="n">
        <x:v>1</x:v>
      </x:c>
      <x:c r="J122" s="39" t="n">
        <x:v>357</x:v>
      </x:c>
      <x:c r="K122" s="39" t="n">
        <x:v>4.4625</x:v>
      </x:c>
      <x:c r="L122" s="39" t="n">
        <x:v>37183.962499999994</x:v>
      </x:c>
      <x:c r="M122" s="39" t="n">
        <x:v>104.15675770308121</x:v>
      </x:c>
      <x:c r="N122" t="str">
        <x:v>OK</x:v>
      </x:c>
      <x:c r="O122" t="str">
        <x:v>Maintain plan</x:v>
      </x:c>
      <x:c r="P122" s="38" t="n">
        <x:v>0</x:v>
      </x:c>
    </x:row>
    <x:row r="123">
      <x:c r="A123" s="32" t="n">
        <x:v>45761</x:v>
      </x:c>
      <x:c r="B123" s="32" t="n">
        <x:v>45748</x:v>
      </x:c>
      <x:c r="C123" t="str">
        <x:v>Actual</x:v>
      </x:c>
      <x:c r="D123" t="str">
        <x:v>DB-102</x:v>
      </x:c>
      <x:c r="E123" s="34" t="n">
        <x:v>37183.962499999994</x:v>
      </x:c>
      <x:c r="F123" s="34" t="n">
        <x:v>0</x:v>
      </x:c>
      <x:c r="G123" s="34" t="n">
        <x:v>360</x:v>
      </x:c>
      <x:c r="H123" s="34" t="n">
        <x:v>360</x:v>
      </x:c>
      <x:c r="I123" s="28" t="n">
        <x:v>1</x:v>
      </x:c>
      <x:c r="J123" s="39" t="n">
        <x:v>360</x:v>
      </x:c>
      <x:c r="K123" s="39" t="n">
        <x:v>4.5</x:v>
      </x:c>
      <x:c r="L123" s="39" t="n">
        <x:v>36828.462499999994</x:v>
      </x:c>
      <x:c r="M123" s="39" t="n">
        <x:v>102.3012847222222</x:v>
      </x:c>
      <x:c r="N123" t="str">
        <x:v>OK</x:v>
      </x:c>
      <x:c r="O123" t="str">
        <x:v>Maintain plan</x:v>
      </x:c>
      <x:c r="P123" s="38" t="n">
        <x:v>0</x:v>
      </x:c>
    </x:row>
    <x:row r="124">
      <x:c r="A124" s="32" t="n">
        <x:v>45768</x:v>
      </x:c>
      <x:c r="B124" s="32" t="n">
        <x:v>45748</x:v>
      </x:c>
      <x:c r="C124" t="str">
        <x:v>Actual</x:v>
      </x:c>
      <x:c r="D124" t="str">
        <x:v>DB-102</x:v>
      </x:c>
      <x:c r="E124" s="34" t="n">
        <x:v>36828.462499999994</x:v>
      </x:c>
      <x:c r="F124" s="34" t="n">
        <x:v>0</x:v>
      </x:c>
      <x:c r="G124" s="34" t="n">
        <x:v>361</x:v>
      </x:c>
      <x:c r="H124" s="34" t="n">
        <x:v>361</x:v>
      </x:c>
      <x:c r="I124" s="28" t="n">
        <x:v>1</x:v>
      </x:c>
      <x:c r="J124" s="39" t="n">
        <x:v>361</x:v>
      </x:c>
      <x:c r="K124" s="39" t="n">
        <x:v>4.5125</x:v>
      </x:c>
      <x:c r="L124" s="39" t="n">
        <x:v>36471.97499999999</x:v>
      </x:c>
      <x:c r="M124" s="39" t="n">
        <x:v>101.03040166204984</x:v>
      </x:c>
      <x:c r="N124" t="str">
        <x:v>OK</x:v>
      </x:c>
      <x:c r="O124" t="str">
        <x:v>Maintain plan</x:v>
      </x:c>
      <x:c r="P124" s="38" t="n">
        <x:v>0</x:v>
      </x:c>
    </x:row>
    <x:row r="125">
      <x:c r="A125" s="32" t="n">
        <x:v>45775</x:v>
      </x:c>
      <x:c r="B125" s="32" t="n">
        <x:v>45748</x:v>
      </x:c>
      <x:c r="C125" t="str">
        <x:v>Actual</x:v>
      </x:c>
      <x:c r="D125" t="str">
        <x:v>DB-102</x:v>
      </x:c>
      <x:c r="E125" s="34" t="n">
        <x:v>36471.97499999999</x:v>
      </x:c>
      <x:c r="F125" s="34" t="n">
        <x:v>9000</x:v>
      </x:c>
      <x:c r="G125" s="34" t="n">
        <x:v>361</x:v>
      </x:c>
      <x:c r="H125" s="34" t="n">
        <x:v>361</x:v>
      </x:c>
      <x:c r="I125" s="28" t="n">
        <x:v>1</x:v>
      </x:c>
      <x:c r="J125" s="39" t="n">
        <x:v>361</x:v>
      </x:c>
      <x:c r="K125" s="39" t="n">
        <x:v>4.5125</x:v>
      </x:c>
      <x:c r="L125" s="39" t="n">
        <x:v>45115.48749999999</x:v>
      </x:c>
      <x:c r="M125" s="39" t="n">
        <x:v>124.9736495844875</x:v>
      </x:c>
      <x:c r="N125" t="str">
        <x:v>OK</x:v>
      </x:c>
      <x:c r="O125" t="str">
        <x:v>Maintain plan</x:v>
      </x:c>
      <x:c r="P125" s="38" t="n">
        <x:v>48.69</x:v>
      </x:c>
    </x:row>
    <x:row r="126">
      <x:c r="A126" s="32" t="n">
        <x:v>45782</x:v>
      </x:c>
      <x:c r="B126" s="32" t="n">
        <x:v>45778</x:v>
      </x:c>
      <x:c r="C126" t="str">
        <x:v>Actual</x:v>
      </x:c>
      <x:c r="D126" t="str">
        <x:v>DB-102</x:v>
      </x:c>
      <x:c r="E126" s="34" t="n">
        <x:v>45115.48749999999</x:v>
      </x:c>
      <x:c r="F126" s="34" t="n">
        <x:v>0</x:v>
      </x:c>
      <x:c r="G126" s="34" t="n">
        <x:v>364</x:v>
      </x:c>
      <x:c r="H126" s="34" t="n">
        <x:v>364</x:v>
      </x:c>
      <x:c r="I126" s="28" t="n">
        <x:v>1</x:v>
      </x:c>
      <x:c r="J126" s="39" t="n">
        <x:v>364</x:v>
      </x:c>
      <x:c r="K126" s="39" t="n">
        <x:v>4.55</x:v>
      </x:c>
      <x:c r="L126" s="39" t="n">
        <x:v>44756.03749999999</x:v>
      </x:c>
      <x:c r="M126" s="39" t="n">
        <x:v>122.95614697802195</x:v>
      </x:c>
      <x:c r="N126" t="str">
        <x:v>OK</x:v>
      </x:c>
      <x:c r="O126" t="str">
        <x:v>Maintain plan</x:v>
      </x:c>
      <x:c r="P126" s="38" t="n">
        <x:v>0</x:v>
      </x:c>
    </x:row>
    <x:row r="127">
      <x:c r="A127" s="32" t="n">
        <x:v>45789</x:v>
      </x:c>
      <x:c r="B127" s="32" t="n">
        <x:v>45778</x:v>
      </x:c>
      <x:c r="C127" t="str">
        <x:v>Actual</x:v>
      </x:c>
      <x:c r="D127" t="str">
        <x:v>DB-102</x:v>
      </x:c>
      <x:c r="E127" s="34" t="n">
        <x:v>44756.03749999999</x:v>
      </x:c>
      <x:c r="F127" s="34" t="n">
        <x:v>0</x:v>
      </x:c>
      <x:c r="G127" s="34" t="n">
        <x:v>365</x:v>
      </x:c>
      <x:c r="H127" s="34" t="n">
        <x:v>365</x:v>
      </x:c>
      <x:c r="I127" s="28" t="n">
        <x:v>1</x:v>
      </x:c>
      <x:c r="J127" s="39" t="n">
        <x:v>365</x:v>
      </x:c>
      <x:c r="K127" s="39" t="n">
        <x:v>4.5625</x:v>
      </x:c>
      <x:c r="L127" s="39" t="n">
        <x:v>44395.59999999999</x:v>
      </x:c>
      <x:c r="M127" s="39" t="n">
        <x:v>121.63178082191779</x:v>
      </x:c>
      <x:c r="N127" t="str">
        <x:v>OK</x:v>
      </x:c>
      <x:c r="O127" t="str">
        <x:v>Maintain plan</x:v>
      </x:c>
      <x:c r="P127" s="38" t="n">
        <x:v>0</x:v>
      </x:c>
    </x:row>
    <x:row r="128">
      <x:c r="A128" s="32" t="n">
        <x:v>45796</x:v>
      </x:c>
      <x:c r="B128" s="32" t="n">
        <x:v>45778</x:v>
      </x:c>
      <x:c r="C128" t="str">
        <x:v>Actual</x:v>
      </x:c>
      <x:c r="D128" t="str">
        <x:v>DB-102</x:v>
      </x:c>
      <x:c r="E128" s="34" t="n">
        <x:v>44395.59999999999</x:v>
      </x:c>
      <x:c r="F128" s="34" t="n">
        <x:v>0</x:v>
      </x:c>
      <x:c r="G128" s="34" t="n">
        <x:v>366</x:v>
      </x:c>
      <x:c r="H128" s="34" t="n">
        <x:v>366</x:v>
      </x:c>
      <x:c r="I128" s="28" t="n">
        <x:v>1</x:v>
      </x:c>
      <x:c r="J128" s="39" t="n">
        <x:v>366</x:v>
      </x:c>
      <x:c r="K128" s="39" t="n">
        <x:v>4.575</x:v>
      </x:c>
      <x:c r="L128" s="39" t="n">
        <x:v>44034.17499999999</x:v>
      </x:c>
      <x:c r="M128" s="39" t="n">
        <x:v>120.31195355191254</x:v>
      </x:c>
      <x:c r="N128" t="str">
        <x:v>OK</x:v>
      </x:c>
      <x:c r="O128" t="str">
        <x:v>Maintain plan</x:v>
      </x:c>
      <x:c r="P128" s="38" t="n">
        <x:v>0</x:v>
      </x:c>
    </x:row>
    <x:row r="129">
      <x:c r="A129" s="32" t="n">
        <x:v>45803</x:v>
      </x:c>
      <x:c r="B129" s="32" t="n">
        <x:v>45778</x:v>
      </x:c>
      <x:c r="C129" t="str">
        <x:v>Actual</x:v>
      </x:c>
      <x:c r="D129" t="str">
        <x:v>DB-102</x:v>
      </x:c>
      <x:c r="E129" s="34" t="n">
        <x:v>44034.17499999999</x:v>
      </x:c>
      <x:c r="F129" s="34" t="n">
        <x:v>0</x:v>
      </x:c>
      <x:c r="G129" s="34" t="n">
        <x:v>367</x:v>
      </x:c>
      <x:c r="H129" s="34" t="n">
        <x:v>367</x:v>
      </x:c>
      <x:c r="I129" s="28" t="n">
        <x:v>1</x:v>
      </x:c>
      <x:c r="J129" s="39" t="n">
        <x:v>367</x:v>
      </x:c>
      <x:c r="K129" s="39" t="n">
        <x:v>4.5875</x:v>
      </x:c>
      <x:c r="L129" s="39" t="n">
        <x:v>43671.76249999999</x:v>
      </x:c>
      <x:c r="M129" s="39" t="n">
        <x:v>118.99662806539507</x:v>
      </x:c>
      <x:c r="N129" t="str">
        <x:v>OK</x:v>
      </x:c>
      <x:c r="O129" t="str">
        <x:v>Maintain plan</x:v>
      </x:c>
      <x:c r="P129" s="38" t="n">
        <x:v>0</x:v>
      </x:c>
    </x:row>
    <x:row r="130">
      <x:c r="A130" s="32" t="n">
        <x:v>45810</x:v>
      </x:c>
      <x:c r="B130" s="32" t="n">
        <x:v>45809</x:v>
      </x:c>
      <x:c r="C130" t="str">
        <x:v>Actual</x:v>
      </x:c>
      <x:c r="D130" t="str">
        <x:v>DB-102</x:v>
      </x:c>
      <x:c r="E130" s="34" t="n">
        <x:v>43671.76249999999</x:v>
      </x:c>
      <x:c r="F130" s="34" t="n">
        <x:v>0</x:v>
      </x:c>
      <x:c r="G130" s="34" t="n">
        <x:v>368</x:v>
      </x:c>
      <x:c r="H130" s="34" t="n">
        <x:v>368</x:v>
      </x:c>
      <x:c r="I130" s="28" t="n">
        <x:v>1</x:v>
      </x:c>
      <x:c r="J130" s="39" t="n">
        <x:v>368</x:v>
      </x:c>
      <x:c r="K130" s="39" t="n">
        <x:v>4.6000000000000005</x:v>
      </x:c>
      <x:c r="L130" s="39" t="n">
        <x:v>43308.36249999999</x:v>
      </x:c>
      <x:c r="M130" s="39" t="n">
        <x:v>117.68576766304345</x:v>
      </x:c>
      <x:c r="N130" t="str">
        <x:v>OK</x:v>
      </x:c>
      <x:c r="O130" t="str">
        <x:v>Maintain plan</x:v>
      </x:c>
      <x:c r="P130" s="38" t="n">
        <x:v>0</x:v>
      </x:c>
    </x:row>
    <x:row r="131">
      <x:c r="A131" s="32" t="n">
        <x:v>45817</x:v>
      </x:c>
      <x:c r="B131" s="32" t="n">
        <x:v>45809</x:v>
      </x:c>
      <x:c r="C131" t="str">
        <x:v>Actual</x:v>
      </x:c>
      <x:c r="D131" t="str">
        <x:v>DB-102</x:v>
      </x:c>
      <x:c r="E131" s="34" t="n">
        <x:v>43308.36249999999</x:v>
      </x:c>
      <x:c r="F131" s="34" t="n">
        <x:v>0</x:v>
      </x:c>
      <x:c r="G131" s="34" t="n">
        <x:v>371</x:v>
      </x:c>
      <x:c r="H131" s="34" t="n">
        <x:v>371</x:v>
      </x:c>
      <x:c r="I131" s="28" t="n">
        <x:v>1</x:v>
      </x:c>
      <x:c r="J131" s="39" t="n">
        <x:v>371</x:v>
      </x:c>
      <x:c r="K131" s="39" t="n">
        <x:v>4.6375</x:v>
      </x:c>
      <x:c r="L131" s="39" t="n">
        <x:v>42941.999999999985</x:v>
      </x:c>
      <x:c r="M131" s="39" t="n">
        <x:v>115.74663072776276</x:v>
      </x:c>
      <x:c r="N131" t="str">
        <x:v>OK</x:v>
      </x:c>
      <x:c r="O131" t="str">
        <x:v>Maintain plan</x:v>
      </x:c>
      <x:c r="P131" s="38" t="n">
        <x:v>0</x:v>
      </x:c>
    </x:row>
    <x:row r="132">
      <x:c r="A132" s="32" t="n">
        <x:v>45824</x:v>
      </x:c>
      <x:c r="B132" s="32" t="n">
        <x:v>45809</x:v>
      </x:c>
      <x:c r="C132" t="str">
        <x:v>Actual</x:v>
      </x:c>
      <x:c r="D132" t="str">
        <x:v>DB-102</x:v>
      </x:c>
      <x:c r="E132" s="34" t="n">
        <x:v>42941.999999999985</x:v>
      </x:c>
      <x:c r="F132" s="34" t="n">
        <x:v>0</x:v>
      </x:c>
      <x:c r="G132" s="34" t="n">
        <x:v>372</x:v>
      </x:c>
      <x:c r="H132" s="34" t="n">
        <x:v>372</x:v>
      </x:c>
      <x:c r="I132" s="28" t="n">
        <x:v>1</x:v>
      </x:c>
      <x:c r="J132" s="39" t="n">
        <x:v>372</x:v>
      </x:c>
      <x:c r="K132" s="39" t="n">
        <x:v>4.65</x:v>
      </x:c>
      <x:c r="L132" s="39" t="n">
        <x:v>42574.64999999999</x:v>
      </x:c>
      <x:c r="M132" s="39" t="n">
        <x:v>114.4479838709677</x:v>
      </x:c>
      <x:c r="N132" t="str">
        <x:v>OK</x:v>
      </x:c>
      <x:c r="O132" t="str">
        <x:v>Maintain plan</x:v>
      </x:c>
      <x:c r="P132" s="38" t="n">
        <x:v>0</x:v>
      </x:c>
    </x:row>
    <x:row r="133">
      <x:c r="A133" s="32" t="n">
        <x:v>45831</x:v>
      </x:c>
      <x:c r="B133" s="32" t="n">
        <x:v>45809</x:v>
      </x:c>
      <x:c r="C133" t="str">
        <x:v>Actual</x:v>
      </x:c>
      <x:c r="D133" t="str">
        <x:v>DB-102</x:v>
      </x:c>
      <x:c r="E133" s="34" t="n">
        <x:v>42574.64999999999</x:v>
      </x:c>
      <x:c r="F133" s="34" t="n">
        <x:v>9000</x:v>
      </x:c>
      <x:c r="G133" s="34" t="n">
        <x:v>374</x:v>
      </x:c>
      <x:c r="H133" s="34" t="n">
        <x:v>374</x:v>
      </x:c>
      <x:c r="I133" s="28" t="n">
        <x:v>1</x:v>
      </x:c>
      <x:c r="J133" s="39" t="n">
        <x:v>374</x:v>
      </x:c>
      <x:c r="K133" s="39" t="n">
        <x:v>4.675</x:v>
      </x:c>
      <x:c r="L133" s="39" t="n">
        <x:v>51205.32499999999</x:v>
      </x:c>
      <x:c r="M133" s="39" t="n">
        <x:v>136.91263368983954</x:v>
      </x:c>
      <x:c r="N133" t="str">
        <x:v>OK</x:v>
      </x:c>
      <x:c r="O133" t="str">
        <x:v>Maintain plan</x:v>
      </x:c>
      <x:c r="P133" s="38" t="n">
        <x:v>48.69</x:v>
      </x:c>
    </x:row>
    <x:row r="134">
      <x:c r="A134" s="32" t="n">
        <x:v>45838</x:v>
      </x:c>
      <x:c r="B134" s="32" t="n">
        <x:v>45809</x:v>
      </x:c>
      <x:c r="C134" t="str">
        <x:v>Actual</x:v>
      </x:c>
      <x:c r="D134" t="str">
        <x:v>DB-102</x:v>
      </x:c>
      <x:c r="E134" s="34" t="n">
        <x:v>51205.32499999999</x:v>
      </x:c>
      <x:c r="F134" s="34" t="n">
        <x:v>0</x:v>
      </x:c>
      <x:c r="G134" s="34" t="n">
        <x:v>375</x:v>
      </x:c>
      <x:c r="H134" s="34" t="n">
        <x:v>375</x:v>
      </x:c>
      <x:c r="I134" s="28" t="n">
        <x:v>1</x:v>
      </x:c>
      <x:c r="J134" s="39" t="n">
        <x:v>375</x:v>
      </x:c>
      <x:c r="K134" s="39" t="n">
        <x:v>4.6875</x:v>
      </x:c>
      <x:c r="L134" s="39" t="n">
        <x:v>50835.01249999999</x:v>
      </x:c>
      <x:c r="M134" s="39" t="n">
        <x:v>135.5600333333333</x:v>
      </x:c>
      <x:c r="N134" t="str">
        <x:v>OK</x:v>
      </x:c>
      <x:c r="O134" t="str">
        <x:v>Maintain plan</x:v>
      </x:c>
      <x:c r="P134" s="38" t="n">
        <x:v>0</x:v>
      </x:c>
    </x:row>
    <x:row r="135">
      <x:c r="A135" s="32" t="n">
        <x:v>45845</x:v>
      </x:c>
      <x:c r="B135" s="32" t="n">
        <x:v>45839</x:v>
      </x:c>
      <x:c r="C135" t="str">
        <x:v>Actual</x:v>
      </x:c>
      <x:c r="D135" t="str">
        <x:v>DB-102</x:v>
      </x:c>
      <x:c r="E135" s="34" t="n">
        <x:v>50835.01249999999</x:v>
      </x:c>
      <x:c r="F135" s="34" t="n">
        <x:v>0</x:v>
      </x:c>
      <x:c r="G135" s="34" t="n">
        <x:v>376</x:v>
      </x:c>
      <x:c r="H135" s="34" t="n">
        <x:v>376</x:v>
      </x:c>
      <x:c r="I135" s="28" t="n">
        <x:v>1</x:v>
      </x:c>
      <x:c r="J135" s="39" t="n">
        <x:v>376</x:v>
      </x:c>
      <x:c r="K135" s="39" t="n">
        <x:v>4.7</x:v>
      </x:c>
      <x:c r="L135" s="39" t="n">
        <x:v>50463.71249999999</x:v>
      </x:c>
      <x:c r="M135" s="39" t="n">
        <x:v>134.2120013297872</x:v>
      </x:c>
      <x:c r="N135" t="str">
        <x:v>OK</x:v>
      </x:c>
      <x:c r="O135" t="str">
        <x:v>Maintain plan</x:v>
      </x:c>
      <x:c r="P135" s="38" t="n">
        <x:v>0</x:v>
      </x:c>
    </x:row>
    <x:row r="136">
      <x:c r="A136" s="32" t="n">
        <x:v>45852</x:v>
      </x:c>
      <x:c r="B136" s="32" t="n">
        <x:v>45839</x:v>
      </x:c>
      <x:c r="C136" t="str">
        <x:v>Actual</x:v>
      </x:c>
      <x:c r="D136" t="str">
        <x:v>DB-102</x:v>
      </x:c>
      <x:c r="E136" s="34" t="n">
        <x:v>50463.71249999999</x:v>
      </x:c>
      <x:c r="F136" s="34" t="n">
        <x:v>0</x:v>
      </x:c>
      <x:c r="G136" s="34" t="n">
        <x:v>377</x:v>
      </x:c>
      <x:c r="H136" s="34" t="n">
        <x:v>377</x:v>
      </x:c>
      <x:c r="I136" s="28" t="n">
        <x:v>1</x:v>
      </x:c>
      <x:c r="J136" s="39" t="n">
        <x:v>377</x:v>
      </x:c>
      <x:c r="K136" s="39" t="n">
        <x:v>4.7125</x:v>
      </x:c>
      <x:c r="L136" s="39" t="n">
        <x:v>50091.42499999999</x:v>
      </x:c>
      <x:c r="M136" s="39" t="n">
        <x:v>132.86850132625992</x:v>
      </x:c>
      <x:c r="N136" t="str">
        <x:v>OK</x:v>
      </x:c>
      <x:c r="O136" t="str">
        <x:v>Maintain plan</x:v>
      </x:c>
      <x:c r="P136" s="38" t="n">
        <x:v>0</x:v>
      </x:c>
    </x:row>
    <x:row r="137">
      <x:c r="A137" s="32" t="n">
        <x:v>45859</x:v>
      </x:c>
      <x:c r="B137" s="32" t="n">
        <x:v>45839</x:v>
      </x:c>
      <x:c r="C137" t="str">
        <x:v>Actual</x:v>
      </x:c>
      <x:c r="D137" t="str">
        <x:v>DB-102</x:v>
      </x:c>
      <x:c r="E137" s="34" t="n">
        <x:v>50091.42499999999</x:v>
      </x:c>
      <x:c r="F137" s="34" t="n">
        <x:v>0</x:v>
      </x:c>
      <x:c r="G137" s="34" t="n">
        <x:v>379</x:v>
      </x:c>
      <x:c r="H137" s="34" t="n">
        <x:v>379</x:v>
      </x:c>
      <x:c r="I137" s="28" t="n">
        <x:v>1</x:v>
      </x:c>
      <x:c r="J137" s="39" t="n">
        <x:v>379</x:v>
      </x:c>
      <x:c r="K137" s="39" t="n">
        <x:v>4.7375</x:v>
      </x:c>
      <x:c r="L137" s="39" t="n">
        <x:v>49717.16249999999</x:v>
      </x:c>
      <x:c r="M137" s="39" t="n">
        <x:v>131.1798482849604</x:v>
      </x:c>
      <x:c r="N137" t="str">
        <x:v>OK</x:v>
      </x:c>
      <x:c r="O137" t="str">
        <x:v>Maintain plan</x:v>
      </x:c>
      <x:c r="P137" s="38" t="n">
        <x:v>0</x:v>
      </x:c>
    </x:row>
    <x:row r="138">
      <x:c r="A138" s="32" t="n">
        <x:v>45866</x:v>
      </x:c>
      <x:c r="B138" s="32" t="n">
        <x:v>45839</x:v>
      </x:c>
      <x:c r="C138" t="str">
        <x:v>Actual</x:v>
      </x:c>
      <x:c r="D138" t="str">
        <x:v>DB-102</x:v>
      </x:c>
      <x:c r="E138" s="34" t="n">
        <x:v>49717.16249999999</x:v>
      </x:c>
      <x:c r="F138" s="34" t="n">
        <x:v>0</x:v>
      </x:c>
      <x:c r="G138" s="34" t="n">
        <x:v>381</x:v>
      </x:c>
      <x:c r="H138" s="34" t="n">
        <x:v>381</x:v>
      </x:c>
      <x:c r="I138" s="28" t="n">
        <x:v>1</x:v>
      </x:c>
      <x:c r="J138" s="39" t="n">
        <x:v>381</x:v>
      </x:c>
      <x:c r="K138" s="39" t="n">
        <x:v>4.7625</x:v>
      </x:c>
      <x:c r="L138" s="39" t="n">
        <x:v>49340.92499999999</x:v>
      </x:c>
      <x:c r="M138" s="39" t="n">
        <x:v>129.50374015748028</x:v>
      </x:c>
      <x:c r="N138" t="str">
        <x:v>OK</x:v>
      </x:c>
      <x:c r="O138" t="str">
        <x:v>Maintain plan</x:v>
      </x:c>
      <x:c r="P138" s="38" t="n">
        <x:v>0</x:v>
      </x:c>
    </x:row>
    <x:row r="139">
      <x:c r="A139" s="32" t="n">
        <x:v>45873</x:v>
      </x:c>
      <x:c r="B139" s="32" t="n">
        <x:v>45870</x:v>
      </x:c>
      <x:c r="C139" t="str">
        <x:v>Actual</x:v>
      </x:c>
      <x:c r="D139" t="str">
        <x:v>DB-102</x:v>
      </x:c>
      <x:c r="E139" s="34" t="n">
        <x:v>49340.92499999999</x:v>
      </x:c>
      <x:c r="F139" s="34" t="n">
        <x:v>0</x:v>
      </x:c>
      <x:c r="G139" s="34" t="n">
        <x:v>381</x:v>
      </x:c>
      <x:c r="H139" s="34" t="n">
        <x:v>381</x:v>
      </x:c>
      <x:c r="I139" s="28" t="n">
        <x:v>1</x:v>
      </x:c>
      <x:c r="J139" s="39" t="n">
        <x:v>381</x:v>
      </x:c>
      <x:c r="K139" s="39" t="n">
        <x:v>4.7625</x:v>
      </x:c>
      <x:c r="L139" s="39" t="n">
        <x:v>48964.687499999985</x:v>
      </x:c>
      <x:c r="M139" s="39" t="n">
        <x:v>128.51624015748027</x:v>
      </x:c>
      <x:c r="N139" t="str">
        <x:v>OK</x:v>
      </x:c>
      <x:c r="O139" t="str">
        <x:v>Maintain plan</x:v>
      </x:c>
      <x:c r="P139" s="38" t="n">
        <x:v>0</x:v>
      </x:c>
    </x:row>
    <x:row r="140">
      <x:c r="A140" s="32" t="n">
        <x:v>45880</x:v>
      </x:c>
      <x:c r="B140" s="32" t="n">
        <x:v>45870</x:v>
      </x:c>
      <x:c r="C140" t="str">
        <x:v>Actual</x:v>
      </x:c>
      <x:c r="D140" t="str">
        <x:v>DB-102</x:v>
      </x:c>
      <x:c r="E140" s="34" t="n">
        <x:v>48964.687499999985</x:v>
      </x:c>
      <x:c r="F140" s="34" t="n">
        <x:v>0</x:v>
      </x:c>
      <x:c r="G140" s="34" t="n">
        <x:v>384</x:v>
      </x:c>
      <x:c r="H140" s="34" t="n">
        <x:v>384</x:v>
      </x:c>
      <x:c r="I140" s="28" t="n">
        <x:v>1</x:v>
      </x:c>
      <x:c r="J140" s="39" t="n">
        <x:v>384</x:v>
      </x:c>
      <x:c r="K140" s="39" t="n">
        <x:v>4.800000000000001</x:v>
      </x:c>
      <x:c r="L140" s="39" t="n">
        <x:v>48585.48749999999</x:v>
      </x:c>
      <x:c r="M140" s="39" t="n">
        <x:v>126.52470703124997</x:v>
      </x:c>
      <x:c r="N140" t="str">
        <x:v>OK</x:v>
      </x:c>
      <x:c r="O140" t="str">
        <x:v>Maintain plan</x:v>
      </x:c>
      <x:c r="P140" s="38" t="n">
        <x:v>0</x:v>
      </x:c>
    </x:row>
    <x:row r="141">
      <x:c r="A141" s="32" t="n">
        <x:v>45887</x:v>
      </x:c>
      <x:c r="B141" s="32" t="n">
        <x:v>45870</x:v>
      </x:c>
      <x:c r="C141" t="str">
        <x:v>Actual</x:v>
      </x:c>
      <x:c r="D141" t="str">
        <x:v>DB-102</x:v>
      </x:c>
      <x:c r="E141" s="34" t="n">
        <x:v>48585.48749999999</x:v>
      </x:c>
      <x:c r="F141" s="34" t="n">
        <x:v>9000</x:v>
      </x:c>
      <x:c r="G141" s="34" t="n">
        <x:v>385</x:v>
      </x:c>
      <x:c r="H141" s="34" t="n">
        <x:v>385</x:v>
      </x:c>
      <x:c r="I141" s="28" t="n">
        <x:v>1</x:v>
      </x:c>
      <x:c r="J141" s="39" t="n">
        <x:v>385</x:v>
      </x:c>
      <x:c r="K141" s="39" t="n">
        <x:v>4.8125</x:v>
      </x:c>
      <x:c r="L141" s="39" t="n">
        <x:v>57205.29999999999</x:v>
      </x:c>
      <x:c r="M141" s="39" t="n">
        <x:v>148.5851948051948</x:v>
      </x:c>
      <x:c r="N141" t="str">
        <x:v>OK</x:v>
      </x:c>
      <x:c r="O141" t="str">
        <x:v>Maintain plan</x:v>
      </x:c>
      <x:c r="P141" s="38" t="n">
        <x:v>48.69</x:v>
      </x:c>
    </x:row>
    <x:row r="142">
      <x:c r="A142" s="32" t="n">
        <x:v>45894</x:v>
      </x:c>
      <x:c r="B142" s="32" t="n">
        <x:v>45870</x:v>
      </x:c>
      <x:c r="C142" t="str">
        <x:v>Actual</x:v>
      </x:c>
      <x:c r="D142" t="str">
        <x:v>DB-102</x:v>
      </x:c>
      <x:c r="E142" s="34" t="n">
        <x:v>57205.29999999999</x:v>
      </x:c>
      <x:c r="F142" s="34" t="n">
        <x:v>0</x:v>
      </x:c>
      <x:c r="G142" s="34" t="n">
        <x:v>386</x:v>
      </x:c>
      <x:c r="H142" s="34" t="n">
        <x:v>386</x:v>
      </x:c>
      <x:c r="I142" s="28" t="n">
        <x:v>1</x:v>
      </x:c>
      <x:c r="J142" s="39" t="n">
        <x:v>386</x:v>
      </x:c>
      <x:c r="K142" s="39" t="n">
        <x:v>4.825</x:v>
      </x:c>
      <x:c r="L142" s="39" t="n">
        <x:v>56824.124999999985</x:v>
      </x:c>
      <x:c r="M142" s="39" t="n">
        <x:v>147.21275906735747</x:v>
      </x:c>
      <x:c r="N142" t="str">
        <x:v>OK</x:v>
      </x:c>
      <x:c r="O142" t="str">
        <x:v>Maintain plan</x:v>
      </x:c>
      <x:c r="P142" s="38" t="n">
        <x:v>0</x:v>
      </x:c>
    </x:row>
    <x:row r="143">
      <x:c r="A143" s="32" t="n">
        <x:v>45901</x:v>
      </x:c>
      <x:c r="B143" s="32" t="n">
        <x:v>45901</x:v>
      </x:c>
      <x:c r="C143" t="str">
        <x:v>Actual</x:v>
      </x:c>
      <x:c r="D143" t="str">
        <x:v>DB-102</x:v>
      </x:c>
      <x:c r="E143" s="34" t="n">
        <x:v>56824.124999999985</x:v>
      </x:c>
      <x:c r="F143" s="34" t="n">
        <x:v>0</x:v>
      </x:c>
      <x:c r="G143" s="34" t="n">
        <x:v>388</x:v>
      </x:c>
      <x:c r="H143" s="34" t="n">
        <x:v>388</x:v>
      </x:c>
      <x:c r="I143" s="28" t="n">
        <x:v>1</x:v>
      </x:c>
      <x:c r="J143" s="39" t="n">
        <x:v>388</x:v>
      </x:c>
      <x:c r="K143" s="39" t="n">
        <x:v>4.8500000000000005</x:v>
      </x:c>
      <x:c r="L143" s="39" t="n">
        <x:v>56440.974999999984</x:v>
      </x:c>
      <x:c r="M143" s="39" t="n">
        <x:v>145.4664304123711</x:v>
      </x:c>
      <x:c r="N143" t="str">
        <x:v>OK</x:v>
      </x:c>
      <x:c r="O143" t="str">
        <x:v>Maintain plan</x:v>
      </x:c>
      <x:c r="P143" s="38" t="n">
        <x:v>0</x:v>
      </x:c>
    </x:row>
    <x:row r="144">
      <x:c r="A144" s="32" t="n">
        <x:v>45908</x:v>
      </x:c>
      <x:c r="B144" s="32" t="n">
        <x:v>45901</x:v>
      </x:c>
      <x:c r="C144" t="str">
        <x:v>Actual</x:v>
      </x:c>
      <x:c r="D144" t="str">
        <x:v>DB-102</x:v>
      </x:c>
      <x:c r="E144" s="34" t="n">
        <x:v>56440.974999999984</x:v>
      </x:c>
      <x:c r="F144" s="34" t="n">
        <x:v>0</x:v>
      </x:c>
      <x:c r="G144" s="34" t="n">
        <x:v>389</x:v>
      </x:c>
      <x:c r="H144" s="34" t="n">
        <x:v>389</x:v>
      </x:c>
      <x:c r="I144" s="28" t="n">
        <x:v>1</x:v>
      </x:c>
      <x:c r="J144" s="39" t="n">
        <x:v>389</x:v>
      </x:c>
      <x:c r="K144" s="39" t="n">
        <x:v>4.862500000000001</x:v>
      </x:c>
      <x:c r="L144" s="39" t="n">
        <x:v>56056.83749999999</x:v>
      </x:c>
      <x:c r="M144" s="39" t="n">
        <x:v>144.1049807197943</x:v>
      </x:c>
      <x:c r="N144" t="str">
        <x:v>OK</x:v>
      </x:c>
      <x:c r="O144" t="str">
        <x:v>Maintain plan</x:v>
      </x:c>
      <x:c r="P144" s="38" t="n">
        <x:v>0</x:v>
      </x:c>
    </x:row>
    <x:row r="145">
      <x:c r="A145" s="32" t="n">
        <x:v>45915</x:v>
      </x:c>
      <x:c r="B145" s="32" t="n">
        <x:v>45901</x:v>
      </x:c>
      <x:c r="C145" t="str">
        <x:v>Actual</x:v>
      </x:c>
      <x:c r="D145" t="str">
        <x:v>DB-102</x:v>
      </x:c>
      <x:c r="E145" s="34" t="n">
        <x:v>56056.83749999999</x:v>
      </x:c>
      <x:c r="F145" s="34" t="n">
        <x:v>0</x:v>
      </x:c>
      <x:c r="G145" s="34" t="n">
        <x:v>391</x:v>
      </x:c>
      <x:c r="H145" s="34" t="n">
        <x:v>391</x:v>
      </x:c>
      <x:c r="I145" s="28" t="n">
        <x:v>1</x:v>
      </x:c>
      <x:c r="J145" s="39" t="n">
        <x:v>391</x:v>
      </x:c>
      <x:c r="K145" s="39" t="n">
        <x:v>4.8875</x:v>
      </x:c>
      <x:c r="L145" s="39" t="n">
        <x:v>55670.724999999984</x:v>
      </x:c>
      <x:c r="M145" s="39" t="n">
        <x:v>142.38037084398974</x:v>
      </x:c>
      <x:c r="N145" t="str">
        <x:v>OK</x:v>
      </x:c>
      <x:c r="O145" t="str">
        <x:v>Maintain plan</x:v>
      </x:c>
      <x:c r="P145" s="38" t="n">
        <x:v>0</x:v>
      </x:c>
    </x:row>
    <x:row r="146">
      <x:c r="A146" s="32" t="n">
        <x:v>45922</x:v>
      </x:c>
      <x:c r="B146" s="32" t="n">
        <x:v>45901</x:v>
      </x:c>
      <x:c r="C146" t="str">
        <x:v>Actual</x:v>
      </x:c>
      <x:c r="D146" t="str">
        <x:v>DB-102</x:v>
      </x:c>
      <x:c r="E146" s="34" t="n">
        <x:v>55670.724999999984</x:v>
      </x:c>
      <x:c r="F146" s="34" t="n">
        <x:v>0</x:v>
      </x:c>
      <x:c r="G146" s="34" t="n">
        <x:v>391</x:v>
      </x:c>
      <x:c r="H146" s="34" t="n">
        <x:v>391</x:v>
      </x:c>
      <x:c r="I146" s="28" t="n">
        <x:v>1</x:v>
      </x:c>
      <x:c r="J146" s="39" t="n">
        <x:v>391</x:v>
      </x:c>
      <x:c r="K146" s="39" t="n">
        <x:v>4.8875</x:v>
      </x:c>
      <x:c r="L146" s="39" t="n">
        <x:v>55284.61249999998</x:v>
      </x:c>
      <x:c r="M146" s="39" t="n">
        <x:v>141.39287084398973</x:v>
      </x:c>
      <x:c r="N146" t="str">
        <x:v>OK</x:v>
      </x:c>
      <x:c r="O146" t="str">
        <x:v>Maintain plan</x:v>
      </x:c>
      <x:c r="P146" s="38" t="n">
        <x:v>0</x:v>
      </x:c>
    </x:row>
    <x:row r="147">
      <x:c r="A147" s="32" t="n">
        <x:v>45929</x:v>
      </x:c>
      <x:c r="B147" s="32" t="n">
        <x:v>45901</x:v>
      </x:c>
      <x:c r="C147" t="str">
        <x:v>Actual</x:v>
      </x:c>
      <x:c r="D147" t="str">
        <x:v>DB-102</x:v>
      </x:c>
      <x:c r="E147" s="34" t="n">
        <x:v>55284.61249999998</x:v>
      </x:c>
      <x:c r="F147" s="34" t="n">
        <x:v>0</x:v>
      </x:c>
      <x:c r="G147" s="34" t="n">
        <x:v>393</x:v>
      </x:c>
      <x:c r="H147" s="34" t="n">
        <x:v>393</x:v>
      </x:c>
      <x:c r="I147" s="28" t="n">
        <x:v>1</x:v>
      </x:c>
      <x:c r="J147" s="39" t="n">
        <x:v>393</x:v>
      </x:c>
      <x:c r="K147" s="39" t="n">
        <x:v>4.9125000000000005</x:v>
      </x:c>
      <x:c r="L147" s="39" t="n">
        <x:v>54896.52499999998</x:v>
      </x:c>
      <x:c r="M147" s="39" t="n">
        <x:v>139.68581424936383</x:v>
      </x:c>
      <x:c r="N147" t="str">
        <x:v>OK</x:v>
      </x:c>
      <x:c r="O147" t="str">
        <x:v>Maintain plan</x:v>
      </x:c>
      <x:c r="P147" s="38" t="n">
        <x:v>0</x:v>
      </x:c>
    </x:row>
    <x:row r="148">
      <x:c r="A148" s="32" t="n">
        <x:v>45936</x:v>
      </x:c>
      <x:c r="B148" s="32" t="n">
        <x:v>45931</x:v>
      </x:c>
      <x:c r="C148" t="str">
        <x:v>Actual</x:v>
      </x:c>
      <x:c r="D148" t="str">
        <x:v>DB-102</x:v>
      </x:c>
      <x:c r="E148" s="34" t="n">
        <x:v>54896.52499999998</x:v>
      </x:c>
      <x:c r="F148" s="34" t="n">
        <x:v>0</x:v>
      </x:c>
      <x:c r="G148" s="34" t="n">
        <x:v>395</x:v>
      </x:c>
      <x:c r="H148" s="34" t="n">
        <x:v>395</x:v>
      </x:c>
      <x:c r="I148" s="28" t="n">
        <x:v>1</x:v>
      </x:c>
      <x:c r="J148" s="39" t="n">
        <x:v>395</x:v>
      </x:c>
      <x:c r="K148" s="39" t="n">
        <x:v>4.9375</x:v>
      </x:c>
      <x:c r="L148" s="39" t="n">
        <x:v>54506.46249999998</x:v>
      </x:c>
      <x:c r="M148" s="39" t="n">
        <x:v>137.99104430379742</x:v>
      </x:c>
      <x:c r="N148" t="str">
        <x:v>OK</x:v>
      </x:c>
      <x:c r="O148" t="str">
        <x:v>Maintain plan</x:v>
      </x:c>
      <x:c r="P148" s="38" t="n">
        <x:v>0</x:v>
      </x:c>
    </x:row>
    <x:row r="149">
      <x:c r="A149" s="32" t="n">
        <x:v>45943</x:v>
      </x:c>
      <x:c r="B149" s="32" t="n">
        <x:v>45931</x:v>
      </x:c>
      <x:c r="C149" t="str">
        <x:v>Actual</x:v>
      </x:c>
      <x:c r="D149" t="str">
        <x:v>DB-102</x:v>
      </x:c>
      <x:c r="E149" s="34" t="n">
        <x:v>54506.46249999998</x:v>
      </x:c>
      <x:c r="F149" s="34" t="n">
        <x:v>9000</x:v>
      </x:c>
      <x:c r="G149" s="34" t="n">
        <x:v>396</x:v>
      </x:c>
      <x:c r="H149" s="34" t="n">
        <x:v>396</x:v>
      </x:c>
      <x:c r="I149" s="28" t="n">
        <x:v>1</x:v>
      </x:c>
      <x:c r="J149" s="39" t="n">
        <x:v>396</x:v>
      </x:c>
      <x:c r="K149" s="39" t="n">
        <x:v>4.95</x:v>
      </x:c>
      <x:c r="L149" s="39" t="n">
        <x:v>63115.41249999998</x:v>
      </x:c>
      <x:c r="M149" s="39" t="n">
        <x:v>159.38235479797973</x:v>
      </x:c>
      <x:c r="N149" t="str">
        <x:v>OK</x:v>
      </x:c>
      <x:c r="O149" t="str">
        <x:v>Maintain plan</x:v>
      </x:c>
      <x:c r="P149" s="38" t="n">
        <x:v>48.69</x:v>
      </x:c>
    </x:row>
    <x:row r="150">
      <x:c r="A150" s="32" t="n">
        <x:v>45950</x:v>
      </x:c>
      <x:c r="B150" s="32" t="n">
        <x:v>45931</x:v>
      </x:c>
      <x:c r="C150" t="str">
        <x:v>Actual</x:v>
      </x:c>
      <x:c r="D150" t="str">
        <x:v>DB-102</x:v>
      </x:c>
      <x:c r="E150" s="34" t="n">
        <x:v>63115.41249999998</x:v>
      </x:c>
      <x:c r="F150" s="34" t="n">
        <x:v>0</x:v>
      </x:c>
      <x:c r="G150" s="34" t="n">
        <x:v>398</x:v>
      </x:c>
      <x:c r="H150" s="34" t="n">
        <x:v>398</x:v>
      </x:c>
      <x:c r="I150" s="28" t="n">
        <x:v>1</x:v>
      </x:c>
      <x:c r="J150" s="39" t="n">
        <x:v>398</x:v>
      </x:c>
      <x:c r="K150" s="39" t="n">
        <x:v>4.9750000000000005</x:v>
      </x:c>
      <x:c r="L150" s="39" t="n">
        <x:v>62722.387499999975</x:v>
      </x:c>
      <x:c r="M150" s="39" t="n">
        <x:v>157.593938442211</x:v>
      </x:c>
      <x:c r="N150" t="str">
        <x:v>OK</x:v>
      </x:c>
      <x:c r="O150" t="str">
        <x:v>Maintain plan</x:v>
      </x:c>
      <x:c r="P150" s="38" t="n">
        <x:v>0</x:v>
      </x:c>
    </x:row>
    <x:row r="151">
      <x:c r="A151" s="32" t="n">
        <x:v>45957</x:v>
      </x:c>
      <x:c r="B151" s="32" t="n">
        <x:v>45931</x:v>
      </x:c>
      <x:c r="C151" t="str">
        <x:v>Actual</x:v>
      </x:c>
      <x:c r="D151" t="str">
        <x:v>DB-102</x:v>
      </x:c>
      <x:c r="E151" s="34" t="n">
        <x:v>62722.387499999975</x:v>
      </x:c>
      <x:c r="F151" s="34" t="n">
        <x:v>0</x:v>
      </x:c>
      <x:c r="G151" s="34" t="n">
        <x:v>399</x:v>
      </x:c>
      <x:c r="H151" s="34" t="n">
        <x:v>399</x:v>
      </x:c>
      <x:c r="I151" s="28" t="n">
        <x:v>1</x:v>
      </x:c>
      <x:c r="J151" s="39" t="n">
        <x:v>399</x:v>
      </x:c>
      <x:c r="K151" s="39" t="n">
        <x:v>4.987500000000001</x:v>
      </x:c>
      <x:c r="L151" s="39" t="n">
        <x:v>62328.37499999998</x:v>
      </x:c>
      <x:c r="M151" s="39" t="n">
        <x:v>156.21146616541347</x:v>
      </x:c>
      <x:c r="N151" t="str">
        <x:v>OK</x:v>
      </x:c>
      <x:c r="O151" t="str">
        <x:v>Maintain plan</x:v>
      </x:c>
      <x:c r="P151" s="38" t="n">
        <x:v>0</x:v>
      </x:c>
    </x:row>
    <x:row r="152">
      <x:c r="A152" s="32" t="n">
        <x:v>45964</x:v>
      </x:c>
      <x:c r="B152" s="32" t="n">
        <x:v>45962</x:v>
      </x:c>
      <x:c r="C152" t="str">
        <x:v>Actual</x:v>
      </x:c>
      <x:c r="D152" t="str">
        <x:v>DB-102</x:v>
      </x:c>
      <x:c r="E152" s="34" t="n">
        <x:v>62328.37499999998</x:v>
      </x:c>
      <x:c r="F152" s="34" t="n">
        <x:v>0</x:v>
      </x:c>
      <x:c r="G152" s="34" t="n">
        <x:v>400</x:v>
      </x:c>
      <x:c r="H152" s="34" t="n">
        <x:v>400</x:v>
      </x:c>
      <x:c r="I152" s="28" t="n">
        <x:v>1</x:v>
      </x:c>
      <x:c r="J152" s="39" t="n">
        <x:v>400</x:v>
      </x:c>
      <x:c r="K152" s="39" t="n">
        <x:v>5</x:v>
      </x:c>
      <x:c r="L152" s="39" t="n">
        <x:v>61933.37499999998</x:v>
      </x:c>
      <x:c r="M152" s="39" t="n">
        <x:v>154.83343749999995</x:v>
      </x:c>
      <x:c r="N152" t="str">
        <x:v>OK</x:v>
      </x:c>
      <x:c r="O152" t="str">
        <x:v>Maintain plan</x:v>
      </x:c>
      <x:c r="P152" s="38" t="n">
        <x:v>0</x:v>
      </x:c>
    </x:row>
    <x:row r="153">
      <x:c r="A153" s="32" t="n">
        <x:v>45971</x:v>
      </x:c>
      <x:c r="B153" s="32" t="n">
        <x:v>45962</x:v>
      </x:c>
      <x:c r="C153" t="str">
        <x:v>Actual</x:v>
      </x:c>
      <x:c r="D153" t="str">
        <x:v>DB-102</x:v>
      </x:c>
      <x:c r="E153" s="34" t="n">
        <x:v>61933.37499999998</x:v>
      </x:c>
      <x:c r="F153" s="34" t="n">
        <x:v>0</x:v>
      </x:c>
      <x:c r="G153" s="34" t="n">
        <x:v>401</x:v>
      </x:c>
      <x:c r="H153" s="34" t="n">
        <x:v>401</x:v>
      </x:c>
      <x:c r="I153" s="28" t="n">
        <x:v>1</x:v>
      </x:c>
      <x:c r="J153" s="39" t="n">
        <x:v>401</x:v>
      </x:c>
      <x:c r="K153" s="39" t="n">
        <x:v>5.0125</x:v>
      </x:c>
      <x:c r="L153" s="39" t="n">
        <x:v>61537.387499999975</x:v>
      </x:c>
      <x:c r="M153" s="39" t="n">
        <x:v>153.45981920199495</x:v>
      </x:c>
      <x:c r="N153" t="str">
        <x:v>OK</x:v>
      </x:c>
      <x:c r="O153" t="str">
        <x:v>Maintain plan</x:v>
      </x:c>
      <x:c r="P153" s="38" t="n">
        <x:v>0</x:v>
      </x:c>
    </x:row>
    <x:row r="154">
      <x:c r="A154" s="32" t="n">
        <x:v>45978</x:v>
      </x:c>
      <x:c r="B154" s="32" t="n">
        <x:v>45962</x:v>
      </x:c>
      <x:c r="C154" t="str">
        <x:v>Actual</x:v>
      </x:c>
      <x:c r="D154" t="str">
        <x:v>DB-102</x:v>
      </x:c>
      <x:c r="E154" s="34" t="n">
        <x:v>61537.387499999975</x:v>
      </x:c>
      <x:c r="F154" s="34" t="n">
        <x:v>0</x:v>
      </x:c>
      <x:c r="G154" s="34" t="n">
        <x:v>404</x:v>
      </x:c>
      <x:c r="H154" s="34" t="n">
        <x:v>404</x:v>
      </x:c>
      <x:c r="I154" s="28" t="n">
        <x:v>1</x:v>
      </x:c>
      <x:c r="J154" s="39" t="n">
        <x:v>404</x:v>
      </x:c>
      <x:c r="K154" s="39" t="n">
        <x:v>5.050000000000001</x:v>
      </x:c>
      <x:c r="L154" s="39" t="n">
        <x:v>61138.43749999998</x:v>
      </x:c>
      <x:c r="M154" s="39" t="n">
        <x:v>151.33276608910884</x:v>
      </x:c>
      <x:c r="N154" t="str">
        <x:v>OK</x:v>
      </x:c>
      <x:c r="O154" t="str">
        <x:v>Maintain plan</x:v>
      </x:c>
      <x:c r="P154" s="38" t="n">
        <x:v>0</x:v>
      </x:c>
    </x:row>
    <x:row r="155">
      <x:c r="A155" s="32" t="n">
        <x:v>45985</x:v>
      </x:c>
      <x:c r="B155" s="32" t="n">
        <x:v>45962</x:v>
      </x:c>
      <x:c r="C155" t="str">
        <x:v>Actual</x:v>
      </x:c>
      <x:c r="D155" t="str">
        <x:v>DB-102</x:v>
      </x:c>
      <x:c r="E155" s="34" t="n">
        <x:v>61138.43749999998</x:v>
      </x:c>
      <x:c r="F155" s="34" t="n">
        <x:v>0</x:v>
      </x:c>
      <x:c r="G155" s="34" t="n">
        <x:v>405</x:v>
      </x:c>
      <x:c r="H155" s="34" t="n">
        <x:v>405</x:v>
      </x:c>
      <x:c r="I155" s="28" t="n">
        <x:v>1</x:v>
      </x:c>
      <x:c r="J155" s="39" t="n">
        <x:v>405</x:v>
      </x:c>
      <x:c r="K155" s="39" t="n">
        <x:v>5.0625</x:v>
      </x:c>
      <x:c r="L155" s="39" t="n">
        <x:v>60738.49999999998</x:v>
      </x:c>
      <x:c r="M155" s="39" t="n">
        <x:v>149.97160493827155</x:v>
      </x:c>
      <x:c r="N155" t="str">
        <x:v>OK</x:v>
      </x:c>
      <x:c r="O155" t="str">
        <x:v>Maintain plan</x:v>
      </x:c>
      <x:c r="P155" s="38" t="n">
        <x:v>0</x:v>
      </x:c>
    </x:row>
    <x:row r="156">
      <x:c r="A156" s="32" t="n">
        <x:v>45992</x:v>
      </x:c>
      <x:c r="B156" s="32" t="n">
        <x:v>45992</x:v>
      </x:c>
      <x:c r="C156" t="str">
        <x:v>Actual</x:v>
      </x:c>
      <x:c r="D156" t="str">
        <x:v>DB-102</x:v>
      </x:c>
      <x:c r="E156" s="34" t="n">
        <x:v>60738.49999999998</x:v>
      </x:c>
      <x:c r="F156" s="34" t="n">
        <x:v>0</x:v>
      </x:c>
      <x:c r="G156" s="34" t="n">
        <x:v>405</x:v>
      </x:c>
      <x:c r="H156" s="34" t="n">
        <x:v>405</x:v>
      </x:c>
      <x:c r="I156" s="28" t="n">
        <x:v>1</x:v>
      </x:c>
      <x:c r="J156" s="39" t="n">
        <x:v>405</x:v>
      </x:c>
      <x:c r="K156" s="39" t="n">
        <x:v>5.0625</x:v>
      </x:c>
      <x:c r="L156" s="39" t="n">
        <x:v>60338.56249999998</x:v>
      </x:c>
      <x:c r="M156" s="39" t="n">
        <x:v>148.98410493827154</x:v>
      </x:c>
      <x:c r="N156" t="str">
        <x:v>OK</x:v>
      </x:c>
      <x:c r="O156" t="str">
        <x:v>Maintain plan</x:v>
      </x:c>
      <x:c r="P156" s="38" t="n">
        <x:v>0</x:v>
      </x:c>
    </x:row>
    <x:row r="157">
      <x:c r="A157" s="32" t="n">
        <x:v>45999</x:v>
      </x:c>
      <x:c r="B157" s="32" t="n">
        <x:v>45992</x:v>
      </x:c>
      <x:c r="C157" t="str">
        <x:v>Actual</x:v>
      </x:c>
      <x:c r="D157" t="str">
        <x:v>DB-102</x:v>
      </x:c>
      <x:c r="E157" s="34" t="n">
        <x:v>60338.56249999998</x:v>
      </x:c>
      <x:c r="F157" s="34" t="n">
        <x:v>9000</x:v>
      </x:c>
      <x:c r="G157" s="34" t="n">
        <x:v>408</x:v>
      </x:c>
      <x:c r="H157" s="34" t="n">
        <x:v>408</x:v>
      </x:c>
      <x:c r="I157" s="28" t="n">
        <x:v>1</x:v>
      </x:c>
      <x:c r="J157" s="39" t="n">
        <x:v>408</x:v>
      </x:c>
      <x:c r="K157" s="39" t="n">
        <x:v>5.1000000000000005</x:v>
      </x:c>
      <x:c r="L157" s="39" t="n">
        <x:v>68935.66249999998</x:v>
      </x:c>
      <x:c r="M157" s="39" t="n">
        <x:v>168.95995710784308</x:v>
      </x:c>
      <x:c r="N157" t="str">
        <x:v>OK</x:v>
      </x:c>
      <x:c r="O157" t="str">
        <x:v>Maintain plan</x:v>
      </x:c>
      <x:c r="P157" s="38" t="n">
        <x:v>48.69</x:v>
      </x:c>
    </x:row>
    <x:row r="158">
      <x:c r="A158" s="32" t="n">
        <x:v>46006</x:v>
      </x:c>
      <x:c r="B158" s="32" t="n">
        <x:v>45992</x:v>
      </x:c>
      <x:c r="C158" t="str">
        <x:v>Actual</x:v>
      </x:c>
      <x:c r="D158" t="str">
        <x:v>DB-102</x:v>
      </x:c>
      <x:c r="E158" s="34" t="n">
        <x:v>68935.66249999998</x:v>
      </x:c>
      <x:c r="F158" s="34" t="n">
        <x:v>0</x:v>
      </x:c>
      <x:c r="G158" s="34" t="n">
        <x:v>409</x:v>
      </x:c>
      <x:c r="H158" s="34" t="n">
        <x:v>409</x:v>
      </x:c>
      <x:c r="I158" s="28" t="n">
        <x:v>1</x:v>
      </x:c>
      <x:c r="J158" s="39" t="n">
        <x:v>409</x:v>
      </x:c>
      <x:c r="K158" s="39" t="n">
        <x:v>5.112500000000001</x:v>
      </x:c>
      <x:c r="L158" s="39" t="n">
        <x:v>68531.77499999998</x:v>
      </x:c>
      <x:c r="M158" s="39" t="n">
        <x:v>167.55935207823956</x:v>
      </x:c>
      <x:c r="N158" t="str">
        <x:v>OK</x:v>
      </x:c>
      <x:c r="O158" t="str">
        <x:v>Maintain plan</x:v>
      </x:c>
      <x:c r="P158" s="38" t="n">
        <x:v>0</x:v>
      </x:c>
    </x:row>
    <x:row r="159">
      <x:c r="A159" s="32" t="n">
        <x:v>46013</x:v>
      </x:c>
      <x:c r="B159" s="32" t="n">
        <x:v>45992</x:v>
      </x:c>
      <x:c r="C159" t="str">
        <x:v>Actual</x:v>
      </x:c>
      <x:c r="D159" t="str">
        <x:v>DB-102</x:v>
      </x:c>
      <x:c r="E159" s="34" t="n">
        <x:v>68531.77499999998</x:v>
      </x:c>
      <x:c r="F159" s="34" t="n">
        <x:v>0</x:v>
      </x:c>
      <x:c r="G159" s="34" t="n">
        <x:v>411</x:v>
      </x:c>
      <x:c r="H159" s="34" t="n">
        <x:v>411</x:v>
      </x:c>
      <x:c r="I159" s="28" t="n">
        <x:v>1</x:v>
      </x:c>
      <x:c r="J159" s="39" t="n">
        <x:v>411</x:v>
      </x:c>
      <x:c r="K159" s="39" t="n">
        <x:v>5.1375</x:v>
      </x:c>
      <x:c r="L159" s="39" t="n">
        <x:v>68125.91249999998</x:v>
      </x:c>
      <x:c r="M159" s="39" t="n">
        <x:v>165.75647810218973</x:v>
      </x:c>
      <x:c r="N159" t="str">
        <x:v>OK</x:v>
      </x:c>
      <x:c r="O159" t="str">
        <x:v>Maintain plan</x:v>
      </x:c>
      <x:c r="P159" s="38" t="n">
        <x:v>0</x:v>
      </x:c>
    </x:row>
    <x:row r="160">
      <x:c r="A160" s="32" t="n">
        <x:v>46020</x:v>
      </x:c>
      <x:c r="B160" s="32" t="n">
        <x:v>45992</x:v>
      </x:c>
      <x:c r="C160" t="str">
        <x:v>Actual</x:v>
      </x:c>
      <x:c r="D160" t="str">
        <x:v>DB-102</x:v>
      </x:c>
      <x:c r="E160" s="34" t="n">
        <x:v>68125.91249999998</x:v>
      </x:c>
      <x:c r="F160" s="34" t="n">
        <x:v>0</x:v>
      </x:c>
      <x:c r="G160" s="34" t="n">
        <x:v>412</x:v>
      </x:c>
      <x:c r="H160" s="34" t="n">
        <x:v>412</x:v>
      </x:c>
      <x:c r="I160" s="28" t="n">
        <x:v>1</x:v>
      </x:c>
      <x:c r="J160" s="39" t="n">
        <x:v>412</x:v>
      </x:c>
      <x:c r="K160" s="39" t="n">
        <x:v>5.15</x:v>
      </x:c>
      <x:c r="L160" s="39" t="n">
        <x:v>67719.06249999997</x:v>
      </x:c>
      <x:c r="M160" s="39" t="n">
        <x:v>164.36665655339797</x:v>
      </x:c>
      <x:c r="N160" t="str">
        <x:v>OK</x:v>
      </x:c>
      <x:c r="O160" t="str">
        <x:v>Maintain plan</x:v>
      </x:c>
      <x:c r="P160" s="38" t="n">
        <x:v>0</x:v>
      </x:c>
    </x:row>
    <x:row r="161">
      <x:c r="A161" s="32" t="n">
        <x:v>46027</x:v>
      </x:c>
      <x:c r="B161" s="32" t="n">
        <x:v>46023</x:v>
      </x:c>
      <x:c r="C161" t="str">
        <x:v>Forecast</x:v>
      </x:c>
      <x:c r="D161" t="str">
        <x:v>DB-102</x:v>
      </x:c>
      <x:c r="E161" s="34" t="n">
        <x:v>67719.06249999997</x:v>
      </x:c>
      <x:c r="F161" s="34" t="n">
        <x:v>0</x:v>
      </x:c>
      <x:c r="G161" s="34" t="n">
        <x:v>502</x:v>
      </x:c>
      <x:c r="H161" s="34" t="n">
        <x:v>502</x:v>
      </x:c>
      <x:c r="I161" s="28" t="n">
        <x:v>1</x:v>
      </x:c>
      <x:c r="J161" s="39" t="n">
        <x:v>502</x:v>
      </x:c>
      <x:c r="K161" s="39" t="n">
        <x:v>6.275</x:v>
      </x:c>
      <x:c r="L161" s="39" t="n">
        <x:v>67223.33749999997</x:v>
      </x:c>
      <x:c r="M161" s="39" t="n">
        <x:v>133.91103087649395</x:v>
      </x:c>
      <x:c r="N161" t="str">
        <x:v>OK</x:v>
      </x:c>
      <x:c r="O161" t="str">
        <x:v>Maintain plan</x:v>
      </x:c>
      <x:c r="P161" s="38" t="n">
        <x:v>0</x:v>
      </x:c>
    </x:row>
    <x:row r="162">
      <x:c r="A162" s="32" t="n">
        <x:v>46034</x:v>
      </x:c>
      <x:c r="B162" s="32" t="n">
        <x:v>46023</x:v>
      </x:c>
      <x:c r="C162" t="str">
        <x:v>Forecast</x:v>
      </x:c>
      <x:c r="D162" t="str">
        <x:v>DB-102</x:v>
      </x:c>
      <x:c r="E162" s="34" t="n">
        <x:v>67223.33749999997</x:v>
      </x:c>
      <x:c r="F162" s="34" t="n">
        <x:v>0</x:v>
      </x:c>
      <x:c r="G162" s="34" t="n">
        <x:v>502</x:v>
      </x:c>
      <x:c r="H162" s="34" t="n">
        <x:v>502</x:v>
      </x:c>
      <x:c r="I162" s="28" t="n">
        <x:v>1</x:v>
      </x:c>
      <x:c r="J162" s="39" t="n">
        <x:v>502</x:v>
      </x:c>
      <x:c r="K162" s="39" t="n">
        <x:v>6.275</x:v>
      </x:c>
      <x:c r="L162" s="39" t="n">
        <x:v>66727.61249999996</x:v>
      </x:c>
      <x:c r="M162" s="39" t="n">
        <x:v>132.92353087649394</x:v>
      </x:c>
      <x:c r="N162" t="str">
        <x:v>OK</x:v>
      </x:c>
      <x:c r="O162" t="str">
        <x:v>Maintain plan</x:v>
      </x:c>
      <x:c r="P162" s="38" t="n">
        <x:v>0</x:v>
      </x:c>
    </x:row>
    <x:row r="163">
      <x:c r="A163" s="32" t="n">
        <x:v>46041</x:v>
      </x:c>
      <x:c r="B163" s="32" t="n">
        <x:v>46023</x:v>
      </x:c>
      <x:c r="C163" t="str">
        <x:v>Forecast</x:v>
      </x:c>
      <x:c r="D163" t="str">
        <x:v>DB-102</x:v>
      </x:c>
      <x:c r="E163" s="34" t="n">
        <x:v>66727.61249999996</x:v>
      </x:c>
      <x:c r="F163" s="34" t="n">
        <x:v>0</x:v>
      </x:c>
      <x:c r="G163" s="34" t="n">
        <x:v>502</x:v>
      </x:c>
      <x:c r="H163" s="34" t="n">
        <x:v>502</x:v>
      </x:c>
      <x:c r="I163" s="28" t="n">
        <x:v>1</x:v>
      </x:c>
      <x:c r="J163" s="39" t="n">
        <x:v>502</x:v>
      </x:c>
      <x:c r="K163" s="39" t="n">
        <x:v>6.275</x:v>
      </x:c>
      <x:c r="L163" s="39" t="n">
        <x:v>66231.88749999995</x:v>
      </x:c>
      <x:c r="M163" s="39" t="n">
        <x:v>131.93603087649393</x:v>
      </x:c>
      <x:c r="N163" t="str">
        <x:v>OK</x:v>
      </x:c>
      <x:c r="O163" t="str">
        <x:v>Maintain plan</x:v>
      </x:c>
      <x:c r="P163" s="38" t="n">
        <x:v>0</x:v>
      </x:c>
    </x:row>
    <x:row r="164">
      <x:c r="A164" s="32" t="n">
        <x:v>46048</x:v>
      </x:c>
      <x:c r="B164" s="32" t="n">
        <x:v>46023</x:v>
      </x:c>
      <x:c r="C164" t="str">
        <x:v>Forecast</x:v>
      </x:c>
      <x:c r="D164" t="str">
        <x:v>DB-102</x:v>
      </x:c>
      <x:c r="E164" s="34" t="n">
        <x:v>66231.88749999995</x:v>
      </x:c>
      <x:c r="F164" s="34" t="n">
        <x:v>0</x:v>
      </x:c>
      <x:c r="G164" s="34" t="n">
        <x:v>502</x:v>
      </x:c>
      <x:c r="H164" s="34" t="n">
        <x:v>502</x:v>
      </x:c>
      <x:c r="I164" s="28" t="n">
        <x:v>1</x:v>
      </x:c>
      <x:c r="J164" s="39" t="n">
        <x:v>502</x:v>
      </x:c>
      <x:c r="K164" s="39" t="n">
        <x:v>6.275</x:v>
      </x:c>
      <x:c r="L164" s="39" t="n">
        <x:v>65736.16249999995</x:v>
      </x:c>
      <x:c r="M164" s="39" t="n">
        <x:v>130.94853087649392</x:v>
      </x:c>
      <x:c r="N164" t="str">
        <x:v>OK</x:v>
      </x:c>
      <x:c r="O164" t="str">
        <x:v>Maintain plan</x:v>
      </x:c>
      <x:c r="P164" s="38" t="n">
        <x:v>0</x:v>
      </x:c>
    </x:row>
    <x:row r="165">
      <x:c r="A165" s="32" t="n">
        <x:v>46055</x:v>
      </x:c>
      <x:c r="B165" s="32" t="n">
        <x:v>46054</x:v>
      </x:c>
      <x:c r="C165" t="str">
        <x:v>Forecast</x:v>
      </x:c>
      <x:c r="D165" t="str">
        <x:v>DB-102</x:v>
      </x:c>
      <x:c r="E165" s="34" t="n">
        <x:v>65736.16249999995</x:v>
      </x:c>
      <x:c r="F165" s="34" t="n">
        <x:v>0</x:v>
      </x:c>
      <x:c r="G165" s="34" t="n">
        <x:v>502</x:v>
      </x:c>
      <x:c r="H165" s="34" t="n">
        <x:v>502</x:v>
      </x:c>
      <x:c r="I165" s="28" t="n">
        <x:v>1</x:v>
      </x:c>
      <x:c r="J165" s="39" t="n">
        <x:v>502</x:v>
      </x:c>
      <x:c r="K165" s="39" t="n">
        <x:v>6.275</x:v>
      </x:c>
      <x:c r="L165" s="39" t="n">
        <x:v>65240.43749999995</x:v>
      </x:c>
      <x:c r="M165" s="39" t="n">
        <x:v>129.96103087649394</x:v>
      </x:c>
      <x:c r="N165" t="str">
        <x:v>OK</x:v>
      </x:c>
      <x:c r="O165" t="str">
        <x:v>Maintain plan</x:v>
      </x:c>
      <x:c r="P165" s="38" t="n">
        <x:v>0</x:v>
      </x:c>
    </x:row>
    <x:row r="166">
      <x:c r="A166" s="32" t="n">
        <x:v>46062</x:v>
      </x:c>
      <x:c r="B166" s="32" t="n">
        <x:v>46054</x:v>
      </x:c>
      <x:c r="C166" t="str">
        <x:v>Forecast</x:v>
      </x:c>
      <x:c r="D166" t="str">
        <x:v>DB-102</x:v>
      </x:c>
      <x:c r="E166" s="34" t="n">
        <x:v>65240.43749999995</x:v>
      </x:c>
      <x:c r="F166" s="34" t="n">
        <x:v>0</x:v>
      </x:c>
      <x:c r="G166" s="34" t="n">
        <x:v>502</x:v>
      </x:c>
      <x:c r="H166" s="34" t="n">
        <x:v>502</x:v>
      </x:c>
      <x:c r="I166" s="28" t="n">
        <x:v>1</x:v>
      </x:c>
      <x:c r="J166" s="39" t="n">
        <x:v>502</x:v>
      </x:c>
      <x:c r="K166" s="39" t="n">
        <x:v>6.275</x:v>
      </x:c>
      <x:c r="L166" s="39" t="n">
        <x:v>64744.71249999995</x:v>
      </x:c>
      <x:c r="M166" s="39" t="n">
        <x:v>128.97353087649392</x:v>
      </x:c>
      <x:c r="N166" t="str">
        <x:v>OK</x:v>
      </x:c>
      <x:c r="O166" t="str">
        <x:v>Maintain plan</x:v>
      </x:c>
      <x:c r="P166" s="38" t="n">
        <x:v>0</x:v>
      </x:c>
    </x:row>
    <x:row r="167">
      <x:c r="A167" s="32" t="n">
        <x:v>46069</x:v>
      </x:c>
      <x:c r="B167" s="32" t="n">
        <x:v>46054</x:v>
      </x:c>
      <x:c r="C167" t="str">
        <x:v>Forecast</x:v>
      </x:c>
      <x:c r="D167" t="str">
        <x:v>DB-102</x:v>
      </x:c>
      <x:c r="E167" s="34" t="n">
        <x:v>64744.71249999995</x:v>
      </x:c>
      <x:c r="F167" s="34" t="n">
        <x:v>0</x:v>
      </x:c>
      <x:c r="G167" s="34" t="n">
        <x:v>502</x:v>
      </x:c>
      <x:c r="H167" s="34" t="n">
        <x:v>502</x:v>
      </x:c>
      <x:c r="I167" s="28" t="n">
        <x:v>1</x:v>
      </x:c>
      <x:c r="J167" s="39" t="n">
        <x:v>502</x:v>
      </x:c>
      <x:c r="K167" s="39" t="n">
        <x:v>6.275</x:v>
      </x:c>
      <x:c r="L167" s="39" t="n">
        <x:v>64248.98749999995</x:v>
      </x:c>
      <x:c r="M167" s="39" t="n">
        <x:v>127.98603087649393</x:v>
      </x:c>
      <x:c r="N167" t="str">
        <x:v>OK</x:v>
      </x:c>
      <x:c r="O167" t="str">
        <x:v>Maintain plan</x:v>
      </x:c>
      <x:c r="P167" s="38" t="n">
        <x:v>0</x:v>
      </x:c>
    </x:row>
    <x:row r="168">
      <x:c r="A168" s="32" t="n">
        <x:v>46076</x:v>
      </x:c>
      <x:c r="B168" s="32" t="n">
        <x:v>46054</x:v>
      </x:c>
      <x:c r="C168" t="str">
        <x:v>Forecast</x:v>
      </x:c>
      <x:c r="D168" t="str">
        <x:v>DB-102</x:v>
      </x:c>
      <x:c r="E168" s="34" t="n">
        <x:v>64248.98749999995</x:v>
      </x:c>
      <x:c r="F168" s="34" t="n">
        <x:v>0</x:v>
      </x:c>
      <x:c r="G168" s="34" t="n">
        <x:v>502</x:v>
      </x:c>
      <x:c r="H168" s="34" t="n">
        <x:v>502</x:v>
      </x:c>
      <x:c r="I168" s="28" t="n">
        <x:v>1</x:v>
      </x:c>
      <x:c r="J168" s="39" t="n">
        <x:v>502</x:v>
      </x:c>
      <x:c r="K168" s="39" t="n">
        <x:v>6.275</x:v>
      </x:c>
      <x:c r="L168" s="39" t="n">
        <x:v>63753.26249999995</x:v>
      </x:c>
      <x:c r="M168" s="39" t="n">
        <x:v>126.99853087649393</x:v>
      </x:c>
      <x:c r="N168" t="str">
        <x:v>OK</x:v>
      </x:c>
      <x:c r="O168" t="str">
        <x:v>Maintain plan</x:v>
      </x:c>
      <x:c r="P168" s="38" t="n">
        <x:v>0</x:v>
      </x:c>
    </x:row>
    <x:row r="169">
      <x:c r="A169" s="32" t="n">
        <x:v>46083</x:v>
      </x:c>
      <x:c r="B169" s="32" t="n">
        <x:v>46082</x:v>
      </x:c>
      <x:c r="C169" t="str">
        <x:v>Forecast</x:v>
      </x:c>
      <x:c r="D169" t="str">
        <x:v>DB-102</x:v>
      </x:c>
      <x:c r="E169" s="34" t="n">
        <x:v>63753.26249999995</x:v>
      </x:c>
      <x:c r="F169" s="34" t="n">
        <x:v>0</x:v>
      </x:c>
      <x:c r="G169" s="34" t="n">
        <x:v>502</x:v>
      </x:c>
      <x:c r="H169" s="34" t="n">
        <x:v>502</x:v>
      </x:c>
      <x:c r="I169" s="28" t="n">
        <x:v>1</x:v>
      </x:c>
      <x:c r="J169" s="39" t="n">
        <x:v>502</x:v>
      </x:c>
      <x:c r="K169" s="39" t="n">
        <x:v>6.275</x:v>
      </x:c>
      <x:c r="L169" s="39" t="n">
        <x:v>63257.537499999955</x:v>
      </x:c>
      <x:c r="M169" s="39" t="n">
        <x:v>126.01103087649393</x:v>
      </x:c>
      <x:c r="N169" t="str">
        <x:v>OK</x:v>
      </x:c>
      <x:c r="O169" t="str">
        <x:v>Maintain plan</x:v>
      </x:c>
      <x:c r="P169" s="38" t="n">
        <x:v>0</x:v>
      </x:c>
    </x:row>
    <x:row r="170">
      <x:c r="A170" s="32" t="n">
        <x:v>46090</x:v>
      </x:c>
      <x:c r="B170" s="32" t="n">
        <x:v>46082</x:v>
      </x:c>
      <x:c r="C170" t="str">
        <x:v>Forecast</x:v>
      </x:c>
      <x:c r="D170" t="str">
        <x:v>DB-102</x:v>
      </x:c>
      <x:c r="E170" s="34" t="n">
        <x:v>63257.537499999955</x:v>
      </x:c>
      <x:c r="F170" s="34" t="n">
        <x:v>0</x:v>
      </x:c>
      <x:c r="G170" s="34" t="n">
        <x:v>502</x:v>
      </x:c>
      <x:c r="H170" s="34" t="n">
        <x:v>502</x:v>
      </x:c>
      <x:c r="I170" s="28" t="n">
        <x:v>1</x:v>
      </x:c>
      <x:c r="J170" s="39" t="n">
        <x:v>502</x:v>
      </x:c>
      <x:c r="K170" s="39" t="n">
        <x:v>6.275</x:v>
      </x:c>
      <x:c r="L170" s="39" t="n">
        <x:v>62761.812499999956</x:v>
      </x:c>
      <x:c r="M170" s="39" t="n">
        <x:v>125.02353087649394</x:v>
      </x:c>
      <x:c r="N170" t="str">
        <x:v>OK</x:v>
      </x:c>
      <x:c r="O170" t="str">
        <x:v>Maintain plan</x:v>
      </x:c>
      <x:c r="P170" s="38" t="n">
        <x:v>0</x:v>
      </x:c>
    </x:row>
    <x:row r="171">
      <x:c r="A171" s="32" t="n">
        <x:v>46097</x:v>
      </x:c>
      <x:c r="B171" s="32" t="n">
        <x:v>46082</x:v>
      </x:c>
      <x:c r="C171" t="str">
        <x:v>Forecast</x:v>
      </x:c>
      <x:c r="D171" t="str">
        <x:v>DB-102</x:v>
      </x:c>
      <x:c r="E171" s="34" t="n">
        <x:v>62761.812499999956</x:v>
      </x:c>
      <x:c r="F171" s="34" t="n">
        <x:v>0</x:v>
      </x:c>
      <x:c r="G171" s="34" t="n">
        <x:v>502</x:v>
      </x:c>
      <x:c r="H171" s="34" t="n">
        <x:v>502</x:v>
      </x:c>
      <x:c r="I171" s="28" t="n">
        <x:v>1</x:v>
      </x:c>
      <x:c r="J171" s="39" t="n">
        <x:v>502</x:v>
      </x:c>
      <x:c r="K171" s="39" t="n">
        <x:v>6.275</x:v>
      </x:c>
      <x:c r="L171" s="39" t="n">
        <x:v>62266.08749999996</x:v>
      </x:c>
      <x:c r="M171" s="39" t="n">
        <x:v>124.03603087649394</x:v>
      </x:c>
      <x:c r="N171" t="str">
        <x:v>OK</x:v>
      </x:c>
      <x:c r="O171" t="str">
        <x:v>Maintain plan</x:v>
      </x:c>
      <x:c r="P171" s="38" t="n">
        <x:v>0</x:v>
      </x:c>
    </x:row>
    <x:row r="172">
      <x:c r="A172" s="32" t="n">
        <x:v>46104</x:v>
      </x:c>
      <x:c r="B172" s="32" t="n">
        <x:v>46082</x:v>
      </x:c>
      <x:c r="C172" t="str">
        <x:v>Forecast</x:v>
      </x:c>
      <x:c r="D172" t="str">
        <x:v>DB-102</x:v>
      </x:c>
      <x:c r="E172" s="34" t="n">
        <x:v>62266.08749999996</x:v>
      </x:c>
      <x:c r="F172" s="34" t="n">
        <x:v>0</x:v>
      </x:c>
      <x:c r="G172" s="34" t="n">
        <x:v>502</x:v>
      </x:c>
      <x:c r="H172" s="34" t="n">
        <x:v>502</x:v>
      </x:c>
      <x:c r="I172" s="28" t="n">
        <x:v>1</x:v>
      </x:c>
      <x:c r="J172" s="39" t="n">
        <x:v>502</x:v>
      </x:c>
      <x:c r="K172" s="39" t="n">
        <x:v>6.275</x:v>
      </x:c>
      <x:c r="L172" s="39" t="n">
        <x:v>61770.36249999996</x:v>
      </x:c>
      <x:c r="M172" s="39" t="n">
        <x:v>123.04853087649394</x:v>
      </x:c>
      <x:c r="N172" t="str">
        <x:v>OK</x:v>
      </x:c>
      <x:c r="O172" t="str">
        <x:v>Maintain plan</x:v>
      </x:c>
      <x:c r="P172" s="38" t="n">
        <x:v>0</x:v>
      </x:c>
    </x:row>
    <x:row r="173">
      <x:c r="A173" s="32" t="n">
        <x:v>46111</x:v>
      </x:c>
      <x:c r="B173" s="32" t="n">
        <x:v>46082</x:v>
      </x:c>
      <x:c r="C173" t="str">
        <x:v>Forecast</x:v>
      </x:c>
      <x:c r="D173" t="str">
        <x:v>DB-102</x:v>
      </x:c>
      <x:c r="E173" s="34" t="n">
        <x:v>61770.36249999996</x:v>
      </x:c>
      <x:c r="F173" s="34" t="n">
        <x:v>0</x:v>
      </x:c>
      <x:c r="G173" s="34" t="n">
        <x:v>502</x:v>
      </x:c>
      <x:c r="H173" s="34" t="n">
        <x:v>502</x:v>
      </x:c>
      <x:c r="I173" s="28" t="n">
        <x:v>1</x:v>
      </x:c>
      <x:c r="J173" s="39" t="n">
        <x:v>502</x:v>
      </x:c>
      <x:c r="K173" s="39" t="n">
        <x:v>6.275</x:v>
      </x:c>
      <x:c r="L173" s="39" t="n">
        <x:v>61274.63749999996</x:v>
      </x:c>
      <x:c r="M173" s="39" t="n">
        <x:v>122.06103087649394</x:v>
      </x:c>
      <x:c r="N173" t="str">
        <x:v>OK</x:v>
      </x:c>
      <x:c r="O173" t="str">
        <x:v>Maintain plan</x:v>
      </x:c>
      <x:c r="P173" s="38" t="n">
        <x:v>0</x:v>
      </x:c>
    </x:row>
    <x:row r="174">
      <x:c r="A174" s="32" t="n">
        <x:v>46118</x:v>
      </x:c>
      <x:c r="B174" s="32" t="n">
        <x:v>46113</x:v>
      </x:c>
      <x:c r="C174" t="str">
        <x:v>Forecast</x:v>
      </x:c>
      <x:c r="D174" t="str">
        <x:v>DB-102</x:v>
      </x:c>
      <x:c r="E174" s="34" t="n">
        <x:v>61274.63749999996</x:v>
      </x:c>
      <x:c r="F174" s="34" t="n">
        <x:v>0</x:v>
      </x:c>
      <x:c r="G174" s="34" t="n">
        <x:v>502</x:v>
      </x:c>
      <x:c r="H174" s="34" t="n">
        <x:v>502</x:v>
      </x:c>
      <x:c r="I174" s="28" t="n">
        <x:v>1</x:v>
      </x:c>
      <x:c r="J174" s="39" t="n">
        <x:v>502</x:v>
      </x:c>
      <x:c r="K174" s="39" t="n">
        <x:v>6.275</x:v>
      </x:c>
      <x:c r="L174" s="39" t="n">
        <x:v>60778.91249999996</x:v>
      </x:c>
      <x:c r="M174" s="39" t="n">
        <x:v>121.07353087649395</x:v>
      </x:c>
      <x:c r="N174" t="str">
        <x:v>OK</x:v>
      </x:c>
      <x:c r="O174" t="str">
        <x:v>Maintain plan</x:v>
      </x:c>
      <x:c r="P174" s="38" t="n">
        <x:v>0</x:v>
      </x:c>
    </x:row>
    <x:row r="175">
      <x:c r="A175" s="32" t="n">
        <x:v>46125</x:v>
      </x:c>
      <x:c r="B175" s="32" t="n">
        <x:v>46113</x:v>
      </x:c>
      <x:c r="C175" t="str">
        <x:v>Forecast</x:v>
      </x:c>
      <x:c r="D175" t="str">
        <x:v>DB-102</x:v>
      </x:c>
      <x:c r="E175" s="34" t="n">
        <x:v>60778.91249999996</x:v>
      </x:c>
      <x:c r="F175" s="34" t="n">
        <x:v>0</x:v>
      </x:c>
      <x:c r="G175" s="34" t="n">
        <x:v>502</x:v>
      </x:c>
      <x:c r="H175" s="34" t="n">
        <x:v>502</x:v>
      </x:c>
      <x:c r="I175" s="28" t="n">
        <x:v>1</x:v>
      </x:c>
      <x:c r="J175" s="39" t="n">
        <x:v>502</x:v>
      </x:c>
      <x:c r="K175" s="39" t="n">
        <x:v>6.275</x:v>
      </x:c>
      <x:c r="L175" s="39" t="n">
        <x:v>60283.18749999996</x:v>
      </x:c>
      <x:c r="M175" s="39" t="n">
        <x:v>120.08603087649395</x:v>
      </x:c>
      <x:c r="N175" t="str">
        <x:v>OK</x:v>
      </x:c>
      <x:c r="O175" t="str">
        <x:v>Maintain plan</x:v>
      </x:c>
      <x:c r="P175" s="38" t="n">
        <x:v>0</x:v>
      </x:c>
    </x:row>
    <x:row r="176">
      <x:c r="A176" s="32" t="n">
        <x:v>46132</x:v>
      </x:c>
      <x:c r="B176" s="32" t="n">
        <x:v>46113</x:v>
      </x:c>
      <x:c r="C176" t="str">
        <x:v>Forecast</x:v>
      </x:c>
      <x:c r="D176" t="str">
        <x:v>DB-102</x:v>
      </x:c>
      <x:c r="E176" s="34" t="n">
        <x:v>60283.18749999996</x:v>
      </x:c>
      <x:c r="F176" s="34" t="n">
        <x:v>0</x:v>
      </x:c>
      <x:c r="G176" s="34" t="n">
        <x:v>502</x:v>
      </x:c>
      <x:c r="H176" s="34" t="n">
        <x:v>502</x:v>
      </x:c>
      <x:c r="I176" s="28" t="n">
        <x:v>1</x:v>
      </x:c>
      <x:c r="J176" s="39" t="n">
        <x:v>502</x:v>
      </x:c>
      <x:c r="K176" s="39" t="n">
        <x:v>6.275</x:v>
      </x:c>
      <x:c r="L176" s="39" t="n">
        <x:v>59787.462499999965</x:v>
      </x:c>
      <x:c r="M176" s="39" t="n">
        <x:v>119.09853087649395</x:v>
      </x:c>
      <x:c r="N176" t="str">
        <x:v>OK</x:v>
      </x:c>
      <x:c r="O176" t="str">
        <x:v>Maintain plan</x:v>
      </x:c>
      <x:c r="P176" s="38" t="n">
        <x:v>0</x:v>
      </x:c>
    </x:row>
    <x:row r="177">
      <x:c r="A177" s="32" t="n">
        <x:v>46139</x:v>
      </x:c>
      <x:c r="B177" s="32" t="n">
        <x:v>46113</x:v>
      </x:c>
      <x:c r="C177" t="str">
        <x:v>Forecast</x:v>
      </x:c>
      <x:c r="D177" t="str">
        <x:v>DB-102</x:v>
      </x:c>
      <x:c r="E177" s="34" t="n">
        <x:v>59787.462499999965</x:v>
      </x:c>
      <x:c r="F177" s="34" t="n">
        <x:v>0</x:v>
      </x:c>
      <x:c r="G177" s="34" t="n">
        <x:v>502</x:v>
      </x:c>
      <x:c r="H177" s="34" t="n">
        <x:v>502</x:v>
      </x:c>
      <x:c r="I177" s="28" t="n">
        <x:v>1</x:v>
      </x:c>
      <x:c r="J177" s="39" t="n">
        <x:v>502</x:v>
      </x:c>
      <x:c r="K177" s="39" t="n">
        <x:v>6.275</x:v>
      </x:c>
      <x:c r="L177" s="39" t="n">
        <x:v>59291.73749999997</x:v>
      </x:c>
      <x:c r="M177" s="39" t="n">
        <x:v>118.11103087649396</x:v>
      </x:c>
      <x:c r="N177" t="str">
        <x:v>OK</x:v>
      </x:c>
      <x:c r="O177" t="str">
        <x:v>Maintain plan</x:v>
      </x:c>
      <x:c r="P177" s="38" t="n">
        <x:v>0</x:v>
      </x:c>
    </x:row>
    <x:row r="178">
      <x:c r="A178" s="32" t="n">
        <x:v>46146</x:v>
      </x:c>
      <x:c r="B178" s="32" t="n">
        <x:v>46143</x:v>
      </x:c>
      <x:c r="C178" t="str">
        <x:v>Forecast</x:v>
      </x:c>
      <x:c r="D178" t="str">
        <x:v>DB-102</x:v>
      </x:c>
      <x:c r="E178" s="34" t="n">
        <x:v>59291.73749999997</x:v>
      </x:c>
      <x:c r="F178" s="34" t="n">
        <x:v>0</x:v>
      </x:c>
      <x:c r="G178" s="34" t="n">
        <x:v>502</x:v>
      </x:c>
      <x:c r="H178" s="34" t="n">
        <x:v>502</x:v>
      </x:c>
      <x:c r="I178" s="28" t="n">
        <x:v>1</x:v>
      </x:c>
      <x:c r="J178" s="39" t="n">
        <x:v>502</x:v>
      </x:c>
      <x:c r="K178" s="39" t="n">
        <x:v>6.275</x:v>
      </x:c>
      <x:c r="L178" s="39" t="n">
        <x:v>58796.01249999997</x:v>
      </x:c>
      <x:c r="M178" s="39" t="n">
        <x:v>117.12353087649396</x:v>
      </x:c>
      <x:c r="N178" t="str">
        <x:v>OK</x:v>
      </x:c>
      <x:c r="O178" t="str">
        <x:v>Maintain plan</x:v>
      </x:c>
      <x:c r="P178" s="38" t="n">
        <x:v>0</x:v>
      </x:c>
    </x:row>
    <x:row r="179">
      <x:c r="A179" s="32" t="n">
        <x:v>46153</x:v>
      </x:c>
      <x:c r="B179" s="32" t="n">
        <x:v>46143</x:v>
      </x:c>
      <x:c r="C179" t="str">
        <x:v>Forecast</x:v>
      </x:c>
      <x:c r="D179" t="str">
        <x:v>DB-102</x:v>
      </x:c>
      <x:c r="E179" s="34" t="n">
        <x:v>58796.01249999997</x:v>
      </x:c>
      <x:c r="F179" s="34" t="n">
        <x:v>0</x:v>
      </x:c>
      <x:c r="G179" s="34" t="n">
        <x:v>502</x:v>
      </x:c>
      <x:c r="H179" s="34" t="n">
        <x:v>502</x:v>
      </x:c>
      <x:c r="I179" s="28" t="n">
        <x:v>1</x:v>
      </x:c>
      <x:c r="J179" s="39" t="n">
        <x:v>502</x:v>
      </x:c>
      <x:c r="K179" s="39" t="n">
        <x:v>6.275</x:v>
      </x:c>
      <x:c r="L179" s="39" t="n">
        <x:v>58300.28749999997</x:v>
      </x:c>
      <x:c r="M179" s="39" t="n">
        <x:v>116.13603087649396</x:v>
      </x:c>
      <x:c r="N179" t="str">
        <x:v>OK</x:v>
      </x:c>
      <x:c r="O179" t="str">
        <x:v>Maintain plan</x:v>
      </x:c>
      <x:c r="P179" s="38" t="n">
        <x:v>0</x:v>
      </x:c>
    </x:row>
    <x:row r="180">
      <x:c r="A180" s="32" t="n">
        <x:v>46160</x:v>
      </x:c>
      <x:c r="B180" s="32" t="n">
        <x:v>46143</x:v>
      </x:c>
      <x:c r="C180" t="str">
        <x:v>Forecast</x:v>
      </x:c>
      <x:c r="D180" t="str">
        <x:v>DB-102</x:v>
      </x:c>
      <x:c r="E180" s="34" t="n">
        <x:v>58300.28749999997</x:v>
      </x:c>
      <x:c r="F180" s="34" t="n">
        <x:v>0</x:v>
      </x:c>
      <x:c r="G180" s="34" t="n">
        <x:v>502</x:v>
      </x:c>
      <x:c r="H180" s="34" t="n">
        <x:v>502</x:v>
      </x:c>
      <x:c r="I180" s="28" t="n">
        <x:v>1</x:v>
      </x:c>
      <x:c r="J180" s="39" t="n">
        <x:v>502</x:v>
      </x:c>
      <x:c r="K180" s="39" t="n">
        <x:v>6.275</x:v>
      </x:c>
      <x:c r="L180" s="39" t="n">
        <x:v>57804.56249999997</x:v>
      </x:c>
      <x:c r="M180" s="39" t="n">
        <x:v>115.14853087649396</x:v>
      </x:c>
      <x:c r="N180" t="str">
        <x:v>OK</x:v>
      </x:c>
      <x:c r="O180" t="str">
        <x:v>Maintain plan</x:v>
      </x:c>
      <x:c r="P180" s="38" t="n">
        <x:v>0</x:v>
      </x:c>
    </x:row>
    <x:row r="181">
      <x:c r="A181" s="32" t="n">
        <x:v>46167</x:v>
      </x:c>
      <x:c r="B181" s="32" t="n">
        <x:v>46143</x:v>
      </x:c>
      <x:c r="C181" t="str">
        <x:v>Forecast</x:v>
      </x:c>
      <x:c r="D181" t="str">
        <x:v>DB-102</x:v>
      </x:c>
      <x:c r="E181" s="34" t="n">
        <x:v>57804.56249999997</x:v>
      </x:c>
      <x:c r="F181" s="34" t="n">
        <x:v>0</x:v>
      </x:c>
      <x:c r="G181" s="34" t="n">
        <x:v>502</x:v>
      </x:c>
      <x:c r="H181" s="34" t="n">
        <x:v>502</x:v>
      </x:c>
      <x:c r="I181" s="28" t="n">
        <x:v>1</x:v>
      </x:c>
      <x:c r="J181" s="39" t="n">
        <x:v>502</x:v>
      </x:c>
      <x:c r="K181" s="39" t="n">
        <x:v>6.275</x:v>
      </x:c>
      <x:c r="L181" s="39" t="n">
        <x:v>57308.83749999997</x:v>
      </x:c>
      <x:c r="M181" s="39" t="n">
        <x:v>114.16103087649397</x:v>
      </x:c>
      <x:c r="N181" t="str">
        <x:v>OK</x:v>
      </x:c>
      <x:c r="O181" t="str">
        <x:v>Maintain plan</x:v>
      </x:c>
      <x:c r="P181" s="38" t="n">
        <x:v>0</x:v>
      </x:c>
    </x:row>
    <x:row r="182">
      <x:c r="A182" s="32" t="n">
        <x:v>46174</x:v>
      </x:c>
      <x:c r="B182" s="32" t="n">
        <x:v>46174</x:v>
      </x:c>
      <x:c r="C182" t="str">
        <x:v>Forecast</x:v>
      </x:c>
      <x:c r="D182" t="str">
        <x:v>DB-102</x:v>
      </x:c>
      <x:c r="E182" s="34" t="n">
        <x:v>57308.83749999997</x:v>
      </x:c>
      <x:c r="F182" s="34" t="n">
        <x:v>0</x:v>
      </x:c>
      <x:c r="G182" s="34" t="n">
        <x:v>502</x:v>
      </x:c>
      <x:c r="H182" s="34" t="n">
        <x:v>502</x:v>
      </x:c>
      <x:c r="I182" s="28" t="n">
        <x:v>1</x:v>
      </x:c>
      <x:c r="J182" s="39" t="n">
        <x:v>502</x:v>
      </x:c>
      <x:c r="K182" s="39" t="n">
        <x:v>6.275</x:v>
      </x:c>
      <x:c r="L182" s="39" t="n">
        <x:v>56813.112499999974</x:v>
      </x:c>
      <x:c r="M182" s="39" t="n">
        <x:v>113.17353087649397</x:v>
      </x:c>
      <x:c r="N182" t="str">
        <x:v>OK</x:v>
      </x:c>
      <x:c r="O182" t="str">
        <x:v>Maintain plan</x:v>
      </x:c>
      <x:c r="P182" s="38" t="n">
        <x:v>0</x:v>
      </x:c>
    </x:row>
    <x:row r="183">
      <x:c r="A183" s="32" t="n">
        <x:v>46181</x:v>
      </x:c>
      <x:c r="B183" s="32" t="n">
        <x:v>46174</x:v>
      </x:c>
      <x:c r="C183" t="str">
        <x:v>Forecast</x:v>
      </x:c>
      <x:c r="D183" t="str">
        <x:v>DB-102</x:v>
      </x:c>
      <x:c r="E183" s="34" t="n">
        <x:v>56813.112499999974</x:v>
      </x:c>
      <x:c r="F183" s="34" t="n">
        <x:v>0</x:v>
      </x:c>
      <x:c r="G183" s="34" t="n">
        <x:v>502</x:v>
      </x:c>
      <x:c r="H183" s="34" t="n">
        <x:v>502</x:v>
      </x:c>
      <x:c r="I183" s="28" t="n">
        <x:v>1</x:v>
      </x:c>
      <x:c r="J183" s="39" t="n">
        <x:v>502</x:v>
      </x:c>
      <x:c r="K183" s="39" t="n">
        <x:v>6.275</x:v>
      </x:c>
      <x:c r="L183" s="39" t="n">
        <x:v>56317.387499999975</x:v>
      </x:c>
      <x:c r="M183" s="39" t="n">
        <x:v>112.18603087649397</x:v>
      </x:c>
      <x:c r="N183" t="str">
        <x:v>OK</x:v>
      </x:c>
      <x:c r="O183" t="str">
        <x:v>Maintain plan</x:v>
      </x:c>
      <x:c r="P183" s="38" t="n">
        <x:v>0</x:v>
      </x:c>
    </x:row>
    <x:row r="184">
      <x:c r="A184" s="32" t="n">
        <x:v>46188</x:v>
      </x:c>
      <x:c r="B184" s="32" t="n">
        <x:v>46174</x:v>
      </x:c>
      <x:c r="C184" t="str">
        <x:v>Forecast</x:v>
      </x:c>
      <x:c r="D184" t="str">
        <x:v>DB-102</x:v>
      </x:c>
      <x:c r="E184" s="34" t="n">
        <x:v>56317.387499999975</x:v>
      </x:c>
      <x:c r="F184" s="34" t="n">
        <x:v>0</x:v>
      </x:c>
      <x:c r="G184" s="34" t="n">
        <x:v>502</x:v>
      </x:c>
      <x:c r="H184" s="34" t="n">
        <x:v>502</x:v>
      </x:c>
      <x:c r="I184" s="28" t="n">
        <x:v>1</x:v>
      </x:c>
      <x:c r="J184" s="39" t="n">
        <x:v>502</x:v>
      </x:c>
      <x:c r="K184" s="39" t="n">
        <x:v>6.275</x:v>
      </x:c>
      <x:c r="L184" s="39" t="n">
        <x:v>55821.66249999998</x:v>
      </x:c>
      <x:c r="M184" s="39" t="n">
        <x:v>111.19853087649398</x:v>
      </x:c>
      <x:c r="N184" t="str">
        <x:v>OK</x:v>
      </x:c>
      <x:c r="O184" t="str">
        <x:v>Maintain plan</x:v>
      </x:c>
      <x:c r="P184" s="38" t="n">
        <x:v>0</x:v>
      </x:c>
    </x:row>
    <x:row r="185">
      <x:c r="A185" s="32" t="n">
        <x:v>46195</x:v>
      </x:c>
      <x:c r="B185" s="32" t="n">
        <x:v>46174</x:v>
      </x:c>
      <x:c r="C185" t="str">
        <x:v>Forecast</x:v>
      </x:c>
      <x:c r="D185" t="str">
        <x:v>DB-102</x:v>
      </x:c>
      <x:c r="E185" s="34" t="n">
        <x:v>55821.66249999998</x:v>
      </x:c>
      <x:c r="F185" s="34" t="n">
        <x:v>0</x:v>
      </x:c>
      <x:c r="G185" s="34" t="n">
        <x:v>502</x:v>
      </x:c>
      <x:c r="H185" s="34" t="n">
        <x:v>502</x:v>
      </x:c>
      <x:c r="I185" s="28" t="n">
        <x:v>1</x:v>
      </x:c>
      <x:c r="J185" s="39" t="n">
        <x:v>502</x:v>
      </x:c>
      <x:c r="K185" s="39" t="n">
        <x:v>6.275</x:v>
      </x:c>
      <x:c r="L185" s="39" t="n">
        <x:v>55325.93749999998</x:v>
      </x:c>
      <x:c r="M185" s="39" t="n">
        <x:v>110.21103087649398</x:v>
      </x:c>
      <x:c r="N185" t="str">
        <x:v>OK</x:v>
      </x:c>
      <x:c r="O185" t="str">
        <x:v>Maintain plan</x:v>
      </x:c>
      <x:c r="P185" s="38" t="n">
        <x:v>0</x:v>
      </x:c>
    </x:row>
    <x:row r="186">
      <x:c r="A186" s="32" t="n">
        <x:v>46202</x:v>
      </x:c>
      <x:c r="B186" s="32" t="n">
        <x:v>46174</x:v>
      </x:c>
      <x:c r="C186" t="str">
        <x:v>Forecast</x:v>
      </x:c>
      <x:c r="D186" t="str">
        <x:v>DB-102</x:v>
      </x:c>
      <x:c r="E186" s="34" t="n">
        <x:v>55325.93749999998</x:v>
      </x:c>
      <x:c r="F186" s="34" t="n">
        <x:v>0</x:v>
      </x:c>
      <x:c r="G186" s="34" t="n">
        <x:v>502</x:v>
      </x:c>
      <x:c r="H186" s="34" t="n">
        <x:v>502</x:v>
      </x:c>
      <x:c r="I186" s="28" t="n">
        <x:v>1</x:v>
      </x:c>
      <x:c r="J186" s="39" t="n">
        <x:v>502</x:v>
      </x:c>
      <x:c r="K186" s="39" t="n">
        <x:v>6.275</x:v>
      </x:c>
      <x:c r="L186" s="39" t="n">
        <x:v>54830.21249999998</x:v>
      </x:c>
      <x:c r="M186" s="39" t="n">
        <x:v>109.22353087649398</x:v>
      </x:c>
      <x:c r="N186" t="str">
        <x:v>OK</x:v>
      </x:c>
      <x:c r="O186" t="str">
        <x:v>Maintain plan</x:v>
      </x:c>
      <x:c r="P186" s="38" t="n">
        <x:v>0</x:v>
      </x:c>
    </x:row>
    <x:row r="187">
      <x:c r="A187" s="32" t="n">
        <x:v>46209</x:v>
      </x:c>
      <x:c r="B187" s="32" t="n">
        <x:v>46204</x:v>
      </x:c>
      <x:c r="C187" t="str">
        <x:v>Forecast</x:v>
      </x:c>
      <x:c r="D187" t="str">
        <x:v>DB-102</x:v>
      </x:c>
      <x:c r="E187" s="34" t="n">
        <x:v>54830.21249999998</x:v>
      </x:c>
      <x:c r="F187" s="34" t="n">
        <x:v>0</x:v>
      </x:c>
      <x:c r="G187" s="34" t="n">
        <x:v>502</x:v>
      </x:c>
      <x:c r="H187" s="34" t="n">
        <x:v>502</x:v>
      </x:c>
      <x:c r="I187" s="28" t="n">
        <x:v>1</x:v>
      </x:c>
      <x:c r="J187" s="39" t="n">
        <x:v>502</x:v>
      </x:c>
      <x:c r="K187" s="39" t="n">
        <x:v>6.275</x:v>
      </x:c>
      <x:c r="L187" s="39" t="n">
        <x:v>54334.48749999998</x:v>
      </x:c>
      <x:c r="M187" s="39" t="n">
        <x:v>108.23603087649398</x:v>
      </x:c>
      <x:c r="N187" t="str">
        <x:v>OK</x:v>
      </x:c>
      <x:c r="O187" t="str">
        <x:v>Maintain plan</x:v>
      </x:c>
      <x:c r="P187" s="38" t="n">
        <x:v>0</x:v>
      </x:c>
    </x:row>
    <x:row r="188">
      <x:c r="A188" s="32" t="n">
        <x:v>46216</x:v>
      </x:c>
      <x:c r="B188" s="32" t="n">
        <x:v>46204</x:v>
      </x:c>
      <x:c r="C188" t="str">
        <x:v>Forecast</x:v>
      </x:c>
      <x:c r="D188" t="str">
        <x:v>DB-102</x:v>
      </x:c>
      <x:c r="E188" s="34" t="n">
        <x:v>54334.48749999998</x:v>
      </x:c>
      <x:c r="F188" s="34" t="n">
        <x:v>0</x:v>
      </x:c>
      <x:c r="G188" s="34" t="n">
        <x:v>502</x:v>
      </x:c>
      <x:c r="H188" s="34" t="n">
        <x:v>502</x:v>
      </x:c>
      <x:c r="I188" s="28" t="n">
        <x:v>1</x:v>
      </x:c>
      <x:c r="J188" s="39" t="n">
        <x:v>502</x:v>
      </x:c>
      <x:c r="K188" s="39" t="n">
        <x:v>6.275</x:v>
      </x:c>
      <x:c r="L188" s="39" t="n">
        <x:v>53838.76249999998</x:v>
      </x:c>
      <x:c r="M188" s="39" t="n">
        <x:v>107.24853087649399</x:v>
      </x:c>
      <x:c r="N188" t="str">
        <x:v>OK</x:v>
      </x:c>
      <x:c r="O188" t="str">
        <x:v>Maintain plan</x:v>
      </x:c>
      <x:c r="P188" s="38" t="n">
        <x:v>0</x:v>
      </x:c>
    </x:row>
    <x:row r="189">
      <x:c r="A189" s="32" t="n">
        <x:v>46223</x:v>
      </x:c>
      <x:c r="B189" s="32" t="n">
        <x:v>46204</x:v>
      </x:c>
      <x:c r="C189" t="str">
        <x:v>Forecast</x:v>
      </x:c>
      <x:c r="D189" t="str">
        <x:v>DB-102</x:v>
      </x:c>
      <x:c r="E189" s="34" t="n">
        <x:v>53838.76249999998</x:v>
      </x:c>
      <x:c r="F189" s="34" t="n">
        <x:v>0</x:v>
      </x:c>
      <x:c r="G189" s="34" t="n">
        <x:v>502</x:v>
      </x:c>
      <x:c r="H189" s="34" t="n">
        <x:v>502</x:v>
      </x:c>
      <x:c r="I189" s="28" t="n">
        <x:v>1</x:v>
      </x:c>
      <x:c r="J189" s="39" t="n">
        <x:v>502</x:v>
      </x:c>
      <x:c r="K189" s="39" t="n">
        <x:v>6.275</x:v>
      </x:c>
      <x:c r="L189" s="39" t="n">
        <x:v>53343.037499999984</x:v>
      </x:c>
      <x:c r="M189" s="39" t="n">
        <x:v>106.26103087649399</x:v>
      </x:c>
      <x:c r="N189" t="str">
        <x:v>OK</x:v>
      </x:c>
      <x:c r="O189" t="str">
        <x:v>Maintain plan</x:v>
      </x:c>
      <x:c r="P189" s="38" t="n">
        <x:v>0</x:v>
      </x:c>
    </x:row>
    <x:row r="190">
      <x:c r="A190" s="32" t="n">
        <x:v>46230</x:v>
      </x:c>
      <x:c r="B190" s="32" t="n">
        <x:v>46204</x:v>
      </x:c>
      <x:c r="C190" t="str">
        <x:v>Forecast</x:v>
      </x:c>
      <x:c r="D190" t="str">
        <x:v>DB-102</x:v>
      </x:c>
      <x:c r="E190" s="34" t="n">
        <x:v>53343.037499999984</x:v>
      </x:c>
      <x:c r="F190" s="34" t="n">
        <x:v>0</x:v>
      </x:c>
      <x:c r="G190" s="34" t="n">
        <x:v>502</x:v>
      </x:c>
      <x:c r="H190" s="34" t="n">
        <x:v>502</x:v>
      </x:c>
      <x:c r="I190" s="28" t="n">
        <x:v>1</x:v>
      </x:c>
      <x:c r="J190" s="39" t="n">
        <x:v>502</x:v>
      </x:c>
      <x:c r="K190" s="39" t="n">
        <x:v>6.275</x:v>
      </x:c>
      <x:c r="L190" s="39" t="n">
        <x:v>52847.312499999985</x:v>
      </x:c>
      <x:c r="M190" s="39" t="n">
        <x:v>105.273530876494</x:v>
      </x:c>
      <x:c r="N190" t="str">
        <x:v>OK</x:v>
      </x:c>
      <x:c r="O190" t="str">
        <x:v>Maintain plan</x:v>
      </x:c>
      <x:c r="P190" s="38" t="n">
        <x:v>0</x:v>
      </x:c>
    </x:row>
    <x:row r="191">
      <x:c r="A191" s="32" t="n">
        <x:v>46237</x:v>
      </x:c>
      <x:c r="B191" s="32" t="n">
        <x:v>46235</x:v>
      </x:c>
      <x:c r="C191" t="str">
        <x:v>Forecast</x:v>
      </x:c>
      <x:c r="D191" t="str">
        <x:v>DB-102</x:v>
      </x:c>
      <x:c r="E191" s="34" t="n">
        <x:v>52847.312499999985</x:v>
      </x:c>
      <x:c r="F191" s="34" t="n">
        <x:v>0</x:v>
      </x:c>
      <x:c r="G191" s="34" t="n">
        <x:v>502</x:v>
      </x:c>
      <x:c r="H191" s="34" t="n">
        <x:v>502</x:v>
      </x:c>
      <x:c r="I191" s="28" t="n">
        <x:v>1</x:v>
      </x:c>
      <x:c r="J191" s="39" t="n">
        <x:v>502</x:v>
      </x:c>
      <x:c r="K191" s="39" t="n">
        <x:v>6.275</x:v>
      </x:c>
      <x:c r="L191" s="39" t="n">
        <x:v>52351.58749999999</x:v>
      </x:c>
      <x:c r="M191" s="39" t="n">
        <x:v>104.286030876494</x:v>
      </x:c>
      <x:c r="N191" t="str">
        <x:v>OK</x:v>
      </x:c>
      <x:c r="O191" t="str">
        <x:v>Maintain plan</x:v>
      </x:c>
      <x:c r="P191" s="38" t="n">
        <x:v>0</x:v>
      </x:c>
    </x:row>
    <x:row r="192">
      <x:c r="A192" s="32" t="n">
        <x:v>46244</x:v>
      </x:c>
      <x:c r="B192" s="32" t="n">
        <x:v>46235</x:v>
      </x:c>
      <x:c r="C192" t="str">
        <x:v>Forecast</x:v>
      </x:c>
      <x:c r="D192" t="str">
        <x:v>DB-102</x:v>
      </x:c>
      <x:c r="E192" s="34" t="n">
        <x:v>52351.58749999999</x:v>
      </x:c>
      <x:c r="F192" s="34" t="n">
        <x:v>0</x:v>
      </x:c>
      <x:c r="G192" s="34" t="n">
        <x:v>502</x:v>
      </x:c>
      <x:c r="H192" s="34" t="n">
        <x:v>502</x:v>
      </x:c>
      <x:c r="I192" s="28" t="n">
        <x:v>1</x:v>
      </x:c>
      <x:c r="J192" s="39" t="n">
        <x:v>502</x:v>
      </x:c>
      <x:c r="K192" s="39" t="n">
        <x:v>6.275</x:v>
      </x:c>
      <x:c r="L192" s="39" t="n">
        <x:v>51855.86249999999</x:v>
      </x:c>
      <x:c r="M192" s="39" t="n">
        <x:v>103.298530876494</x:v>
      </x:c>
      <x:c r="N192" t="str">
        <x:v>OK</x:v>
      </x:c>
      <x:c r="O192" t="str">
        <x:v>Maintain plan</x:v>
      </x:c>
      <x:c r="P192" s="38" t="n">
        <x:v>0</x:v>
      </x:c>
    </x:row>
    <x:row r="193">
      <x:c r="A193" s="32" t="n">
        <x:v>46251</x:v>
      </x:c>
      <x:c r="B193" s="32" t="n">
        <x:v>46235</x:v>
      </x:c>
      <x:c r="C193" t="str">
        <x:v>Forecast</x:v>
      </x:c>
      <x:c r="D193" t="str">
        <x:v>DB-102</x:v>
      </x:c>
      <x:c r="E193" s="34" t="n">
        <x:v>51855.86249999999</x:v>
      </x:c>
      <x:c r="F193" s="34" t="n">
        <x:v>0</x:v>
      </x:c>
      <x:c r="G193" s="34" t="n">
        <x:v>502</x:v>
      </x:c>
      <x:c r="H193" s="34" t="n">
        <x:v>502</x:v>
      </x:c>
      <x:c r="I193" s="28" t="n">
        <x:v>1</x:v>
      </x:c>
      <x:c r="J193" s="39" t="n">
        <x:v>502</x:v>
      </x:c>
      <x:c r="K193" s="39" t="n">
        <x:v>6.275</x:v>
      </x:c>
      <x:c r="L193" s="39" t="n">
        <x:v>51360.13749999999</x:v>
      </x:c>
      <x:c r="M193" s="39" t="n">
        <x:v>102.311030876494</x:v>
      </x:c>
      <x:c r="N193" t="str">
        <x:v>OK</x:v>
      </x:c>
      <x:c r="O193" t="str">
        <x:v>Maintain plan</x:v>
      </x:c>
      <x:c r="P193" s="38" t="n">
        <x:v>0</x:v>
      </x:c>
    </x:row>
    <x:row r="194">
      <x:c r="A194" s="32" t="n">
        <x:v>46258</x:v>
      </x:c>
      <x:c r="B194" s="32" t="n">
        <x:v>46235</x:v>
      </x:c>
      <x:c r="C194" t="str">
        <x:v>Forecast</x:v>
      </x:c>
      <x:c r="D194" t="str">
        <x:v>DB-102</x:v>
      </x:c>
      <x:c r="E194" s="34" t="n">
        <x:v>51360.13749999999</x:v>
      </x:c>
      <x:c r="F194" s="34" t="n">
        <x:v>0</x:v>
      </x:c>
      <x:c r="G194" s="34" t="n">
        <x:v>502</x:v>
      </x:c>
      <x:c r="H194" s="34" t="n">
        <x:v>502</x:v>
      </x:c>
      <x:c r="I194" s="28" t="n">
        <x:v>1</x:v>
      </x:c>
      <x:c r="J194" s="39" t="n">
        <x:v>502</x:v>
      </x:c>
      <x:c r="K194" s="39" t="n">
        <x:v>6.275</x:v>
      </x:c>
      <x:c r="L194" s="39" t="n">
        <x:v>50864.41249999999</x:v>
      </x:c>
      <x:c r="M194" s="39" t="n">
        <x:v>101.323530876494</x:v>
      </x:c>
      <x:c r="N194" t="str">
        <x:v>OK</x:v>
      </x:c>
      <x:c r="O194" t="str">
        <x:v>Maintain plan</x:v>
      </x:c>
      <x:c r="P194" s="38" t="n">
        <x:v>0</x:v>
      </x:c>
    </x:row>
    <x:row r="195">
      <x:c r="A195" s="32" t="n">
        <x:v>46265</x:v>
      </x:c>
      <x:c r="B195" s="32" t="n">
        <x:v>46235</x:v>
      </x:c>
      <x:c r="C195" t="str">
        <x:v>Forecast</x:v>
      </x:c>
      <x:c r="D195" t="str">
        <x:v>DB-102</x:v>
      </x:c>
      <x:c r="E195" s="34" t="n">
        <x:v>50864.41249999999</x:v>
      </x:c>
      <x:c r="F195" s="34" t="n">
        <x:v>0</x:v>
      </x:c>
      <x:c r="G195" s="34" t="n">
        <x:v>502</x:v>
      </x:c>
      <x:c r="H195" s="34" t="n">
        <x:v>502</x:v>
      </x:c>
      <x:c r="I195" s="28" t="n">
        <x:v>1</x:v>
      </x:c>
      <x:c r="J195" s="39" t="n">
        <x:v>502</x:v>
      </x:c>
      <x:c r="K195" s="39" t="n">
        <x:v>6.275</x:v>
      </x:c>
      <x:c r="L195" s="39" t="n">
        <x:v>50368.68749999999</x:v>
      </x:c>
      <x:c r="M195" s="39" t="n">
        <x:v>100.33603087649401</x:v>
      </x:c>
      <x:c r="N195" t="str">
        <x:v>OK</x:v>
      </x:c>
      <x:c r="O195" t="str">
        <x:v>Maintain plan</x:v>
      </x:c>
      <x:c r="P195" s="38" t="n">
        <x:v>0</x:v>
      </x:c>
    </x:row>
    <x:row r="196">
      <x:c r="A196" s="32" t="n">
        <x:v>46272</x:v>
      </x:c>
      <x:c r="B196" s="32" t="n">
        <x:v>46266</x:v>
      </x:c>
      <x:c r="C196" t="str">
        <x:v>Forecast</x:v>
      </x:c>
      <x:c r="D196" t="str">
        <x:v>DB-102</x:v>
      </x:c>
      <x:c r="E196" s="34" t="n">
        <x:v>50368.68749999999</x:v>
      </x:c>
      <x:c r="F196" s="34" t="n">
        <x:v>0</x:v>
      </x:c>
      <x:c r="G196" s="34" t="n">
        <x:v>502</x:v>
      </x:c>
      <x:c r="H196" s="34" t="n">
        <x:v>502</x:v>
      </x:c>
      <x:c r="I196" s="28" t="n">
        <x:v>1</x:v>
      </x:c>
      <x:c r="J196" s="39" t="n">
        <x:v>502</x:v>
      </x:c>
      <x:c r="K196" s="39" t="n">
        <x:v>6.275</x:v>
      </x:c>
      <x:c r="L196" s="39" t="n">
        <x:v>49872.962499999994</x:v>
      </x:c>
      <x:c r="M196" s="39" t="n">
        <x:v>99.34853087649401</x:v>
      </x:c>
      <x:c r="N196" t="str">
        <x:v>OK</x:v>
      </x:c>
      <x:c r="O196" t="str">
        <x:v>Maintain plan</x:v>
      </x:c>
      <x:c r="P196" s="38" t="n">
        <x:v>0</x:v>
      </x:c>
    </x:row>
    <x:row r="197">
      <x:c r="A197" s="32" t="n">
        <x:v>46279</x:v>
      </x:c>
      <x:c r="B197" s="32" t="n">
        <x:v>46266</x:v>
      </x:c>
      <x:c r="C197" t="str">
        <x:v>Forecast</x:v>
      </x:c>
      <x:c r="D197" t="str">
        <x:v>DB-102</x:v>
      </x:c>
      <x:c r="E197" s="34" t="n">
        <x:v>49872.962499999994</x:v>
      </x:c>
      <x:c r="F197" s="34" t="n">
        <x:v>0</x:v>
      </x:c>
      <x:c r="G197" s="34" t="n">
        <x:v>502</x:v>
      </x:c>
      <x:c r="H197" s="34" t="n">
        <x:v>502</x:v>
      </x:c>
      <x:c r="I197" s="28" t="n">
        <x:v>1</x:v>
      </x:c>
      <x:c r="J197" s="39" t="n">
        <x:v>502</x:v>
      </x:c>
      <x:c r="K197" s="39" t="n">
        <x:v>6.275</x:v>
      </x:c>
      <x:c r="L197" s="39" t="n">
        <x:v>49377.237499999996</x:v>
      </x:c>
      <x:c r="M197" s="39" t="n">
        <x:v>98.36103087649401</x:v>
      </x:c>
      <x:c r="N197" t="str">
        <x:v>OK</x:v>
      </x:c>
      <x:c r="O197" t="str">
        <x:v>Maintain plan</x:v>
      </x:c>
      <x:c r="P197" s="38" t="n">
        <x:v>0</x:v>
      </x:c>
    </x:row>
    <x:row r="198">
      <x:c r="A198" s="32" t="n">
        <x:v>46286</x:v>
      </x:c>
      <x:c r="B198" s="32" t="n">
        <x:v>46266</x:v>
      </x:c>
      <x:c r="C198" t="str">
        <x:v>Forecast</x:v>
      </x:c>
      <x:c r="D198" t="str">
        <x:v>DB-102</x:v>
      </x:c>
      <x:c r="E198" s="34" t="n">
        <x:v>49377.237499999996</x:v>
      </x:c>
      <x:c r="F198" s="34" t="n">
        <x:v>0</x:v>
      </x:c>
      <x:c r="G198" s="34" t="n">
        <x:v>502</x:v>
      </x:c>
      <x:c r="H198" s="34" t="n">
        <x:v>502</x:v>
      </x:c>
      <x:c r="I198" s="28" t="n">
        <x:v>1</x:v>
      </x:c>
      <x:c r="J198" s="39" t="n">
        <x:v>502</x:v>
      </x:c>
      <x:c r="K198" s="39" t="n">
        <x:v>6.275</x:v>
      </x:c>
      <x:c r="L198" s="39" t="n">
        <x:v>48881.5125</x:v>
      </x:c>
      <x:c r="M198" s="39" t="n">
        <x:v>97.37353087649402</x:v>
      </x:c>
      <x:c r="N198" t="str">
        <x:v>OK</x:v>
      </x:c>
      <x:c r="O198" t="str">
        <x:v>Maintain plan</x:v>
      </x:c>
      <x:c r="P198" s="38" t="n">
        <x:v>0</x:v>
      </x:c>
    </x:row>
    <x:row r="199">
      <x:c r="A199" s="32" t="n">
        <x:v>46293</x:v>
      </x:c>
      <x:c r="B199" s="32" t="n">
        <x:v>46266</x:v>
      </x:c>
      <x:c r="C199" t="str">
        <x:v>Forecast</x:v>
      </x:c>
      <x:c r="D199" t="str">
        <x:v>DB-102</x:v>
      </x:c>
      <x:c r="E199" s="34" t="n">
        <x:v>48881.5125</x:v>
      </x:c>
      <x:c r="F199" s="34" t="n">
        <x:v>0</x:v>
      </x:c>
      <x:c r="G199" s="34" t="n">
        <x:v>502</x:v>
      </x:c>
      <x:c r="H199" s="34" t="n">
        <x:v>502</x:v>
      </x:c>
      <x:c r="I199" s="28" t="n">
        <x:v>1</x:v>
      </x:c>
      <x:c r="J199" s="39" t="n">
        <x:v>502</x:v>
      </x:c>
      <x:c r="K199" s="39" t="n">
        <x:v>6.275</x:v>
      </x:c>
      <x:c r="L199" s="39" t="n">
        <x:v>48385.7875</x:v>
      </x:c>
      <x:c r="M199" s="39" t="n">
        <x:v>96.38603087649402</x:v>
      </x:c>
      <x:c r="N199" t="str">
        <x:v>OK</x:v>
      </x:c>
      <x:c r="O199" t="str">
        <x:v>Maintain plan</x:v>
      </x:c>
      <x:c r="P199" s="38" t="n">
        <x:v>0</x:v>
      </x:c>
    </x:row>
    <x:row r="200">
      <x:c r="A200" s="32" t="n">
        <x:v>46300</x:v>
      </x:c>
      <x:c r="B200" s="32" t="n">
        <x:v>46296</x:v>
      </x:c>
      <x:c r="C200" t="str">
        <x:v>Forecast</x:v>
      </x:c>
      <x:c r="D200" t="str">
        <x:v>DB-102</x:v>
      </x:c>
      <x:c r="E200" s="34" t="n">
        <x:v>48385.7875</x:v>
      </x:c>
      <x:c r="F200" s="34" t="n">
        <x:v>0</x:v>
      </x:c>
      <x:c r="G200" s="34" t="n">
        <x:v>502</x:v>
      </x:c>
      <x:c r="H200" s="34" t="n">
        <x:v>502</x:v>
      </x:c>
      <x:c r="I200" s="28" t="n">
        <x:v>1</x:v>
      </x:c>
      <x:c r="J200" s="39" t="n">
        <x:v>502</x:v>
      </x:c>
      <x:c r="K200" s="39" t="n">
        <x:v>6.275</x:v>
      </x:c>
      <x:c r="L200" s="39" t="n">
        <x:v>47890.0625</x:v>
      </x:c>
      <x:c r="M200" s="39" t="n">
        <x:v>95.39853087649402</x:v>
      </x:c>
      <x:c r="N200" t="str">
        <x:v>OK</x:v>
      </x:c>
      <x:c r="O200" t="str">
        <x:v>Maintain plan</x:v>
      </x:c>
      <x:c r="P200" s="38" t="n">
        <x:v>0</x:v>
      </x:c>
    </x:row>
    <x:row r="201">
      <x:c r="A201" s="32" t="n">
        <x:v>46307</x:v>
      </x:c>
      <x:c r="B201" s="32" t="n">
        <x:v>46296</x:v>
      </x:c>
      <x:c r="C201" t="str">
        <x:v>Forecast</x:v>
      </x:c>
      <x:c r="D201" t="str">
        <x:v>DB-102</x:v>
      </x:c>
      <x:c r="E201" s="34" t="n">
        <x:v>47890.0625</x:v>
      </x:c>
      <x:c r="F201" s="34" t="n">
        <x:v>0</x:v>
      </x:c>
      <x:c r="G201" s="34" t="n">
        <x:v>502</x:v>
      </x:c>
      <x:c r="H201" s="34" t="n">
        <x:v>502</x:v>
      </x:c>
      <x:c r="I201" s="28" t="n">
        <x:v>1</x:v>
      </x:c>
      <x:c r="J201" s="39" t="n">
        <x:v>502</x:v>
      </x:c>
      <x:c r="K201" s="39" t="n">
        <x:v>6.275</x:v>
      </x:c>
      <x:c r="L201" s="39" t="n">
        <x:v>47394.3375</x:v>
      </x:c>
      <x:c r="M201" s="39" t="n">
        <x:v>94.41103087649402</x:v>
      </x:c>
      <x:c r="N201" t="str">
        <x:v>OK</x:v>
      </x:c>
      <x:c r="O201" t="str">
        <x:v>Maintain plan</x:v>
      </x:c>
      <x:c r="P201" s="38" t="n">
        <x:v>0</x:v>
      </x:c>
    </x:row>
    <x:row r="202">
      <x:c r="A202" s="32" t="n">
        <x:v>46314</x:v>
      </x:c>
      <x:c r="B202" s="32" t="n">
        <x:v>46296</x:v>
      </x:c>
      <x:c r="C202" t="str">
        <x:v>Forecast</x:v>
      </x:c>
      <x:c r="D202" t="str">
        <x:v>DB-102</x:v>
      </x:c>
      <x:c r="E202" s="34" t="n">
        <x:v>47394.3375</x:v>
      </x:c>
      <x:c r="F202" s="34" t="n">
        <x:v>0</x:v>
      </x:c>
      <x:c r="G202" s="34" t="n">
        <x:v>502</x:v>
      </x:c>
      <x:c r="H202" s="34" t="n">
        <x:v>502</x:v>
      </x:c>
      <x:c r="I202" s="28" t="n">
        <x:v>1</x:v>
      </x:c>
      <x:c r="J202" s="39" t="n">
        <x:v>502</x:v>
      </x:c>
      <x:c r="K202" s="39" t="n">
        <x:v>6.275</x:v>
      </x:c>
      <x:c r="L202" s="39" t="n">
        <x:v>46898.6125</x:v>
      </x:c>
      <x:c r="M202" s="39" t="n">
        <x:v>93.42353087649403</x:v>
      </x:c>
      <x:c r="N202" t="str">
        <x:v>OK</x:v>
      </x:c>
      <x:c r="O202" t="str">
        <x:v>Maintain plan</x:v>
      </x:c>
      <x:c r="P202" s="38" t="n">
        <x:v>0</x:v>
      </x:c>
    </x:row>
    <x:row r="203">
      <x:c r="A203" s="32" t="n">
        <x:v>46321</x:v>
      </x:c>
      <x:c r="B203" s="32" t="n">
        <x:v>46296</x:v>
      </x:c>
      <x:c r="C203" t="str">
        <x:v>Forecast</x:v>
      </x:c>
      <x:c r="D203" t="str">
        <x:v>DB-102</x:v>
      </x:c>
      <x:c r="E203" s="34" t="n">
        <x:v>46898.6125</x:v>
      </x:c>
      <x:c r="F203" s="34" t="n">
        <x:v>0</x:v>
      </x:c>
      <x:c r="G203" s="34" t="n">
        <x:v>502</x:v>
      </x:c>
      <x:c r="H203" s="34" t="n">
        <x:v>502</x:v>
      </x:c>
      <x:c r="I203" s="28" t="n">
        <x:v>1</x:v>
      </x:c>
      <x:c r="J203" s="39" t="n">
        <x:v>502</x:v>
      </x:c>
      <x:c r="K203" s="39" t="n">
        <x:v>6.275</x:v>
      </x:c>
      <x:c r="L203" s="39" t="n">
        <x:v>46402.887500000004</x:v>
      </x:c>
      <x:c r="M203" s="39" t="n">
        <x:v>92.43603087649403</x:v>
      </x:c>
      <x:c r="N203" t="str">
        <x:v>OK</x:v>
      </x:c>
      <x:c r="O203" t="str">
        <x:v>Maintain plan</x:v>
      </x:c>
      <x:c r="P203" s="38" t="n">
        <x:v>0</x:v>
      </x:c>
    </x:row>
    <x:row r="204">
      <x:c r="A204" s="32" t="n">
        <x:v>46328</x:v>
      </x:c>
      <x:c r="B204" s="32" t="n">
        <x:v>46327</x:v>
      </x:c>
      <x:c r="C204" t="str">
        <x:v>Forecast</x:v>
      </x:c>
      <x:c r="D204" t="str">
        <x:v>DB-102</x:v>
      </x:c>
      <x:c r="E204" s="34" t="n">
        <x:v>46402.887500000004</x:v>
      </x:c>
      <x:c r="F204" s="34" t="n">
        <x:v>0</x:v>
      </x:c>
      <x:c r="G204" s="34" t="n">
        <x:v>502</x:v>
      </x:c>
      <x:c r="H204" s="34" t="n">
        <x:v>502</x:v>
      </x:c>
      <x:c r="I204" s="28" t="n">
        <x:v>1</x:v>
      </x:c>
      <x:c r="J204" s="39" t="n">
        <x:v>502</x:v>
      </x:c>
      <x:c r="K204" s="39" t="n">
        <x:v>6.275</x:v>
      </x:c>
      <x:c r="L204" s="39" t="n">
        <x:v>45907.162500000006</x:v>
      </x:c>
      <x:c r="M204" s="39" t="n">
        <x:v>91.44853087649403</x:v>
      </x:c>
      <x:c r="N204" t="str">
        <x:v>OK</x:v>
      </x:c>
      <x:c r="O204" t="str">
        <x:v>Maintain plan</x:v>
      </x:c>
      <x:c r="P204" s="38" t="n">
        <x:v>0</x:v>
      </x:c>
    </x:row>
    <x:row r="205">
      <x:c r="A205" s="32" t="n">
        <x:v>46335</x:v>
      </x:c>
      <x:c r="B205" s="32" t="n">
        <x:v>46327</x:v>
      </x:c>
      <x:c r="C205" t="str">
        <x:v>Forecast</x:v>
      </x:c>
      <x:c r="D205" t="str">
        <x:v>DB-102</x:v>
      </x:c>
      <x:c r="E205" s="34" t="n">
        <x:v>45907.162500000006</x:v>
      </x:c>
      <x:c r="F205" s="34" t="n">
        <x:v>0</x:v>
      </x:c>
      <x:c r="G205" s="34" t="n">
        <x:v>502</x:v>
      </x:c>
      <x:c r="H205" s="34" t="n">
        <x:v>502</x:v>
      </x:c>
      <x:c r="I205" s="28" t="n">
        <x:v>1</x:v>
      </x:c>
      <x:c r="J205" s="39" t="n">
        <x:v>502</x:v>
      </x:c>
      <x:c r="K205" s="39" t="n">
        <x:v>6.275</x:v>
      </x:c>
      <x:c r="L205" s="39" t="n">
        <x:v>45411.43750000001</x:v>
      </x:c>
      <x:c r="M205" s="39" t="n">
        <x:v>90.46103087649404</x:v>
      </x:c>
      <x:c r="N205" t="str">
        <x:v>OK</x:v>
      </x:c>
      <x:c r="O205" t="str">
        <x:v>Maintain plan</x:v>
      </x:c>
      <x:c r="P205" s="38" t="n">
        <x:v>0</x:v>
      </x:c>
    </x:row>
    <x:row r="206">
      <x:c r="A206" s="32" t="n">
        <x:v>46342</x:v>
      </x:c>
      <x:c r="B206" s="32" t="n">
        <x:v>46327</x:v>
      </x:c>
      <x:c r="C206" t="str">
        <x:v>Forecast</x:v>
      </x:c>
      <x:c r="D206" t="str">
        <x:v>DB-102</x:v>
      </x:c>
      <x:c r="E206" s="34" t="n">
        <x:v>45411.43750000001</x:v>
      </x:c>
      <x:c r="F206" s="34" t="n">
        <x:v>0</x:v>
      </x:c>
      <x:c r="G206" s="34" t="n">
        <x:v>502</x:v>
      </x:c>
      <x:c r="H206" s="34" t="n">
        <x:v>502</x:v>
      </x:c>
      <x:c r="I206" s="28" t="n">
        <x:v>1</x:v>
      </x:c>
      <x:c r="J206" s="39" t="n">
        <x:v>502</x:v>
      </x:c>
      <x:c r="K206" s="39" t="n">
        <x:v>6.275</x:v>
      </x:c>
      <x:c r="L206" s="39" t="n">
        <x:v>44915.71250000001</x:v>
      </x:c>
      <x:c r="M206" s="39" t="n">
        <x:v>89.47353087649404</x:v>
      </x:c>
      <x:c r="N206" t="str">
        <x:v>OK</x:v>
      </x:c>
      <x:c r="O206" t="str">
        <x:v>Maintain plan</x:v>
      </x:c>
      <x:c r="P206" s="38" t="n">
        <x:v>0</x:v>
      </x:c>
    </x:row>
    <x:row r="207">
      <x:c r="A207" s="32" t="n">
        <x:v>46349</x:v>
      </x:c>
      <x:c r="B207" s="32" t="n">
        <x:v>46327</x:v>
      </x:c>
      <x:c r="C207" t="str">
        <x:v>Forecast</x:v>
      </x:c>
      <x:c r="D207" t="str">
        <x:v>DB-102</x:v>
      </x:c>
      <x:c r="E207" s="34" t="n">
        <x:v>44915.71250000001</x:v>
      </x:c>
      <x:c r="F207" s="34" t="n">
        <x:v>0</x:v>
      </x:c>
      <x:c r="G207" s="34" t="n">
        <x:v>502</x:v>
      </x:c>
      <x:c r="H207" s="34" t="n">
        <x:v>502</x:v>
      </x:c>
      <x:c r="I207" s="28" t="n">
        <x:v>1</x:v>
      </x:c>
      <x:c r="J207" s="39" t="n">
        <x:v>502</x:v>
      </x:c>
      <x:c r="K207" s="39" t="n">
        <x:v>6.275</x:v>
      </x:c>
      <x:c r="L207" s="39" t="n">
        <x:v>44419.98750000001</x:v>
      </x:c>
      <x:c r="M207" s="39" t="n">
        <x:v>88.48603087649404</x:v>
      </x:c>
      <x:c r="N207" t="str">
        <x:v>OK</x:v>
      </x:c>
      <x:c r="O207" t="str">
        <x:v>Maintain plan</x:v>
      </x:c>
      <x:c r="P207" s="38" t="n">
        <x:v>0</x:v>
      </x:c>
    </x:row>
    <x:row r="208">
      <x:c r="A208" s="32" t="n">
        <x:v>46356</x:v>
      </x:c>
      <x:c r="B208" s="32" t="n">
        <x:v>46327</x:v>
      </x:c>
      <x:c r="C208" t="str">
        <x:v>Forecast</x:v>
      </x:c>
      <x:c r="D208" t="str">
        <x:v>DB-102</x:v>
      </x:c>
      <x:c r="E208" s="34" t="n">
        <x:v>44419.98750000001</x:v>
      </x:c>
      <x:c r="F208" s="34" t="n">
        <x:v>0</x:v>
      </x:c>
      <x:c r="G208" s="34" t="n">
        <x:v>502</x:v>
      </x:c>
      <x:c r="H208" s="34" t="n">
        <x:v>502</x:v>
      </x:c>
      <x:c r="I208" s="28" t="n">
        <x:v>1</x:v>
      </x:c>
      <x:c r="J208" s="39" t="n">
        <x:v>502</x:v>
      </x:c>
      <x:c r="K208" s="39" t="n">
        <x:v>6.275</x:v>
      </x:c>
      <x:c r="L208" s="39" t="n">
        <x:v>43924.26250000001</x:v>
      </x:c>
      <x:c r="M208" s="39" t="n">
        <x:v>87.49853087649404</x:v>
      </x:c>
      <x:c r="N208" t="str">
        <x:v>OK</x:v>
      </x:c>
      <x:c r="O208" t="str">
        <x:v>Maintain plan</x:v>
      </x:c>
      <x:c r="P208" s="38" t="n">
        <x:v>0</x:v>
      </x:c>
    </x:row>
    <x:row r="209">
      <x:c r="A209" s="32" t="n">
        <x:v>46363</x:v>
      </x:c>
      <x:c r="B209" s="32" t="n">
        <x:v>46357</x:v>
      </x:c>
      <x:c r="C209" t="str">
        <x:v>Forecast</x:v>
      </x:c>
      <x:c r="D209" t="str">
        <x:v>DB-102</x:v>
      </x:c>
      <x:c r="E209" s="34" t="n">
        <x:v>43924.26250000001</x:v>
      </x:c>
      <x:c r="F209" s="34" t="n">
        <x:v>0</x:v>
      </x:c>
      <x:c r="G209" s="34" t="n">
        <x:v>502</x:v>
      </x:c>
      <x:c r="H209" s="34" t="n">
        <x:v>502</x:v>
      </x:c>
      <x:c r="I209" s="28" t="n">
        <x:v>1</x:v>
      </x:c>
      <x:c r="J209" s="39" t="n">
        <x:v>502</x:v>
      </x:c>
      <x:c r="K209" s="39" t="n">
        <x:v>6.275</x:v>
      </x:c>
      <x:c r="L209" s="39" t="n">
        <x:v>43428.53750000001</x:v>
      </x:c>
      <x:c r="M209" s="39" t="n">
        <x:v>86.51103087649405</x:v>
      </x:c>
      <x:c r="N209" t="str">
        <x:v>OK</x:v>
      </x:c>
      <x:c r="O209" t="str">
        <x:v>Maintain plan</x:v>
      </x:c>
      <x:c r="P209" s="38" t="n">
        <x:v>0</x:v>
      </x:c>
    </x:row>
    <x:row r="210">
      <x:c r="A210" s="32" t="n">
        <x:v>46370</x:v>
      </x:c>
      <x:c r="B210" s="32" t="n">
        <x:v>46357</x:v>
      </x:c>
      <x:c r="C210" t="str">
        <x:v>Forecast</x:v>
      </x:c>
      <x:c r="D210" t="str">
        <x:v>DB-102</x:v>
      </x:c>
      <x:c r="E210" s="34" t="n">
        <x:v>43428.53750000001</x:v>
      </x:c>
      <x:c r="F210" s="34" t="n">
        <x:v>0</x:v>
      </x:c>
      <x:c r="G210" s="34" t="n">
        <x:v>502</x:v>
      </x:c>
      <x:c r="H210" s="34" t="n">
        <x:v>502</x:v>
      </x:c>
      <x:c r="I210" s="28" t="n">
        <x:v>1</x:v>
      </x:c>
      <x:c r="J210" s="39" t="n">
        <x:v>502</x:v>
      </x:c>
      <x:c r="K210" s="39" t="n">
        <x:v>6.275</x:v>
      </x:c>
      <x:c r="L210" s="39" t="n">
        <x:v>42932.812500000015</x:v>
      </x:c>
      <x:c r="M210" s="39" t="n">
        <x:v>85.52353087649405</x:v>
      </x:c>
      <x:c r="N210" t="str">
        <x:v>OK</x:v>
      </x:c>
      <x:c r="O210" t="str">
        <x:v>Maintain plan</x:v>
      </x:c>
      <x:c r="P210" s="38" t="n">
        <x:v>0</x:v>
      </x:c>
    </x:row>
    <x:row r="211">
      <x:c r="A211" s="32" t="n">
        <x:v>46377</x:v>
      </x:c>
      <x:c r="B211" s="32" t="n">
        <x:v>46357</x:v>
      </x:c>
      <x:c r="C211" t="str">
        <x:v>Forecast</x:v>
      </x:c>
      <x:c r="D211" t="str">
        <x:v>DB-102</x:v>
      </x:c>
      <x:c r="E211" s="34" t="n">
        <x:v>42932.812500000015</x:v>
      </x:c>
      <x:c r="F211" s="34" t="n">
        <x:v>0</x:v>
      </x:c>
      <x:c r="G211" s="34" t="n">
        <x:v>502</x:v>
      </x:c>
      <x:c r="H211" s="34" t="n">
        <x:v>502</x:v>
      </x:c>
      <x:c r="I211" s="28" t="n">
        <x:v>1</x:v>
      </x:c>
      <x:c r="J211" s="39" t="n">
        <x:v>502</x:v>
      </x:c>
      <x:c r="K211" s="39" t="n">
        <x:v>6.275</x:v>
      </x:c>
      <x:c r="L211" s="39" t="n">
        <x:v>42437.087500000016</x:v>
      </x:c>
      <x:c r="M211" s="39" t="n">
        <x:v>84.53603087649405</x:v>
      </x:c>
      <x:c r="N211" t="str">
        <x:v>OK</x:v>
      </x:c>
      <x:c r="O211" t="str">
        <x:v>Maintain plan</x:v>
      </x:c>
      <x:c r="P211" s="38" t="n">
        <x:v>0</x:v>
      </x:c>
    </x:row>
    <x:row r="212">
      <x:c r="A212" s="32" t="n">
        <x:v>46384</x:v>
      </x:c>
      <x:c r="B212" s="32" t="n">
        <x:v>46357</x:v>
      </x:c>
      <x:c r="C212" t="str">
        <x:v>Forecast</x:v>
      </x:c>
      <x:c r="D212" t="str">
        <x:v>DB-102</x:v>
      </x:c>
      <x:c r="E212" s="34" t="n">
        <x:v>42437.087500000016</x:v>
      </x:c>
      <x:c r="F212" s="34" t="n">
        <x:v>0</x:v>
      </x:c>
      <x:c r="G212" s="34" t="n">
        <x:v>502</x:v>
      </x:c>
      <x:c r="H212" s="34" t="n">
        <x:v>502</x:v>
      </x:c>
      <x:c r="I212" s="28" t="n">
        <x:v>1</x:v>
      </x:c>
      <x:c r="J212" s="39" t="n">
        <x:v>502</x:v>
      </x:c>
      <x:c r="K212" s="39" t="n">
        <x:v>6.275</x:v>
      </x:c>
      <x:c r="L212" s="39" t="n">
        <x:v>41941.36250000002</x:v>
      </x:c>
      <x:c r="M212" s="39" t="n">
        <x:v>83.54853087649406</x:v>
      </x:c>
      <x:c r="N212" t="str">
        <x:v>OK</x:v>
      </x:c>
      <x:c r="O212" t="str">
        <x:v>Maintain plan</x:v>
      </x:c>
      <x:c r="P212" s="38" t="n">
        <x:v>0</x:v>
      </x:c>
    </x:row>
    <x:row r="213">
      <x:c r="A213" s="32" t="n">
        <x:v>45663</x:v>
      </x:c>
      <x:c r="B213" s="32" t="n">
        <x:v>45658</x:v>
      </x:c>
      <x:c r="C213" t="str">
        <x:v>Actual</x:v>
      </x:c>
      <x:c r="D213" t="str">
        <x:v>DB-103</x:v>
      </x:c>
      <x:c r="E213" s="34" t="n">
        <x:v>10000</x:v>
      </x:c>
      <x:c r="F213" s="34" t="n">
        <x:v>5000</x:v>
      </x:c>
      <x:c r="G213" s="34" t="n">
        <x:v>271</x:v>
      </x:c>
      <x:c r="H213" s="34" t="n">
        <x:v>271</x:v>
      </x:c>
      <x:c r="I213" s="28" t="n">
        <x:v>1</x:v>
      </x:c>
      <x:c r="J213" s="39" t="n">
        <x:v>271</x:v>
      </x:c>
      <x:c r="K213" s="39" t="n">
        <x:v>7.4525</x:v>
      </x:c>
      <x:c r="L213" s="39" t="n">
        <x:v>14736.4525</x:v>
      </x:c>
      <x:c r="M213" s="39" t="n">
        <x:v>54.37805350553505</x:v>
      </x:c>
      <x:c r="N213" t="str">
        <x:v>OK</x:v>
      </x:c>
      <x:c r="O213" t="str">
        <x:v>Maintain plan</x:v>
      </x:c>
      <x:c r="P213" s="38" t="n">
        <x:v>68.35</x:v>
      </x:c>
    </x:row>
    <x:row r="214">
      <x:c r="A214" s="32" t="n">
        <x:v>45670</x:v>
      </x:c>
      <x:c r="B214" s="32" t="n">
        <x:v>45658</x:v>
      </x:c>
      <x:c r="C214" t="str">
        <x:v>Actual</x:v>
      </x:c>
      <x:c r="D214" t="str">
        <x:v>DB-103</x:v>
      </x:c>
      <x:c r="E214" s="34" t="n">
        <x:v>14736.4525</x:v>
      </x:c>
      <x:c r="F214" s="34" t="n">
        <x:v>0</x:v>
      </x:c>
      <x:c r="G214" s="34" t="n">
        <x:v>271</x:v>
      </x:c>
      <x:c r="H214" s="34" t="n">
        <x:v>271</x:v>
      </x:c>
      <x:c r="I214" s="28" t="n">
        <x:v>1</x:v>
      </x:c>
      <x:c r="J214" s="39" t="n">
        <x:v>271</x:v>
      </x:c>
      <x:c r="K214" s="39" t="n">
        <x:v>7.4525</x:v>
      </x:c>
      <x:c r="L214" s="39" t="n">
        <x:v>14472.904999999999</x:v>
      </x:c>
      <x:c r="M214" s="39" t="n">
        <x:v>53.40555350553505</x:v>
      </x:c>
      <x:c r="N214" t="str">
        <x:v>OK</x:v>
      </x:c>
      <x:c r="O214" t="str">
        <x:v>Maintain plan</x:v>
      </x:c>
      <x:c r="P214" s="38" t="n">
        <x:v>0</x:v>
      </x:c>
    </x:row>
    <x:row r="215">
      <x:c r="A215" s="32" t="n">
        <x:v>45677</x:v>
      </x:c>
      <x:c r="B215" s="32" t="n">
        <x:v>45658</x:v>
      </x:c>
      <x:c r="C215" t="str">
        <x:v>Actual</x:v>
      </x:c>
      <x:c r="D215" t="str">
        <x:v>DB-103</x:v>
      </x:c>
      <x:c r="E215" s="34" t="n">
        <x:v>14472.904999999999</x:v>
      </x:c>
      <x:c r="F215" s="34" t="n">
        <x:v>0</x:v>
      </x:c>
      <x:c r="G215" s="34" t="n">
        <x:v>272</x:v>
      </x:c>
      <x:c r="H215" s="34" t="n">
        <x:v>272</x:v>
      </x:c>
      <x:c r="I215" s="28" t="n">
        <x:v>1</x:v>
      </x:c>
      <x:c r="J215" s="39" t="n">
        <x:v>272</x:v>
      </x:c>
      <x:c r="K215" s="39" t="n">
        <x:v>7.48</x:v>
      </x:c>
      <x:c r="L215" s="39" t="n">
        <x:v>14208.384999999998</x:v>
      </x:c>
      <x:c r="M215" s="39" t="n">
        <x:v>52.23670955882352</x:v>
      </x:c>
      <x:c r="N215" t="str">
        <x:v>OK</x:v>
      </x:c>
      <x:c r="O215" t="str">
        <x:v>Maintain plan</x:v>
      </x:c>
      <x:c r="P215" s="38" t="n">
        <x:v>0</x:v>
      </x:c>
    </x:row>
    <x:row r="216">
      <x:c r="A216" s="32" t="n">
        <x:v>45684</x:v>
      </x:c>
      <x:c r="B216" s="32" t="n">
        <x:v>45658</x:v>
      </x:c>
      <x:c r="C216" t="str">
        <x:v>Actual</x:v>
      </x:c>
      <x:c r="D216" t="str">
        <x:v>DB-103</x:v>
      </x:c>
      <x:c r="E216" s="34" t="n">
        <x:v>14208.384999999998</x:v>
      </x:c>
      <x:c r="F216" s="34" t="n">
        <x:v>0</x:v>
      </x:c>
      <x:c r="G216" s="34" t="n">
        <x:v>274</x:v>
      </x:c>
      <x:c r="H216" s="34" t="n">
        <x:v>274</x:v>
      </x:c>
      <x:c r="I216" s="28" t="n">
        <x:v>1</x:v>
      </x:c>
      <x:c r="J216" s="39" t="n">
        <x:v>274</x:v>
      </x:c>
      <x:c r="K216" s="39" t="n">
        <x:v>7.535</x:v>
      </x:c>
      <x:c r="L216" s="39" t="n">
        <x:v>13941.919999999998</x:v>
      </x:c>
      <x:c r="M216" s="39" t="n">
        <x:v>50.88291970802919</x:v>
      </x:c>
      <x:c r="N216" t="str">
        <x:v>OK</x:v>
      </x:c>
      <x:c r="O216" t="str">
        <x:v>Maintain plan</x:v>
      </x:c>
      <x:c r="P216" s="38" t="n">
        <x:v>0</x:v>
      </x:c>
    </x:row>
    <x:row r="217">
      <x:c r="A217" s="32" t="n">
        <x:v>45691</x:v>
      </x:c>
      <x:c r="B217" s="32" t="n">
        <x:v>45689</x:v>
      </x:c>
      <x:c r="C217" t="str">
        <x:v>Actual</x:v>
      </x:c>
      <x:c r="D217" t="str">
        <x:v>DB-103</x:v>
      </x:c>
      <x:c r="E217" s="34" t="n">
        <x:v>13941.919999999998</x:v>
      </x:c>
      <x:c r="F217" s="34" t="n">
        <x:v>0</x:v>
      </x:c>
      <x:c r="G217" s="34" t="n">
        <x:v>244</x:v>
      </x:c>
      <x:c r="H217" s="34" t="n">
        <x:v>244</x:v>
      </x:c>
      <x:c r="I217" s="28" t="n">
        <x:v>1</x:v>
      </x:c>
      <x:c r="J217" s="39" t="n">
        <x:v>244</x:v>
      </x:c>
      <x:c r="K217" s="39" t="n">
        <x:v>6.71</x:v>
      </x:c>
      <x:c r="L217" s="39" t="n">
        <x:v>13704.629999999997</x:v>
      </x:c>
      <x:c r="M217" s="39" t="n">
        <x:v>56.16651639344261</x:v>
      </x:c>
      <x:c r="N217" t="str">
        <x:v>OK</x:v>
      </x:c>
      <x:c r="O217" t="str">
        <x:v>Maintain plan</x:v>
      </x:c>
      <x:c r="P217" s="38" t="n">
        <x:v>0</x:v>
      </x:c>
    </x:row>
    <x:row r="218">
      <x:c r="A218" s="32" t="n">
        <x:v>45698</x:v>
      </x:c>
      <x:c r="B218" s="32" t="n">
        <x:v>45689</x:v>
      </x:c>
      <x:c r="C218" t="str">
        <x:v>Actual</x:v>
      </x:c>
      <x:c r="D218" t="str">
        <x:v>DB-103</x:v>
      </x:c>
      <x:c r="E218" s="34" t="n">
        <x:v>13704.629999999997</x:v>
      </x:c>
      <x:c r="F218" s="34" t="n">
        <x:v>0</x:v>
      </x:c>
      <x:c r="G218" s="34" t="n">
        <x:v>245</x:v>
      </x:c>
      <x:c r="H218" s="34" t="n">
        <x:v>245</x:v>
      </x:c>
      <x:c r="I218" s="28" t="n">
        <x:v>1</x:v>
      </x:c>
      <x:c r="J218" s="39" t="n">
        <x:v>245</x:v>
      </x:c>
      <x:c r="K218" s="39" t="n">
        <x:v>6.7375</x:v>
      </x:c>
      <x:c r="L218" s="39" t="n">
        <x:v>13466.367499999997</x:v>
      </x:c>
      <x:c r="M218" s="39" t="n">
        <x:v>54.96476530612244</x:v>
      </x:c>
      <x:c r="N218" t="str">
        <x:v>OK</x:v>
      </x:c>
      <x:c r="O218" t="str">
        <x:v>Maintain plan</x:v>
      </x:c>
      <x:c r="P218" s="38" t="n">
        <x:v>0</x:v>
      </x:c>
    </x:row>
    <x:row r="219">
      <x:c r="A219" s="32" t="n">
        <x:v>45705</x:v>
      </x:c>
      <x:c r="B219" s="32" t="n">
        <x:v>45689</x:v>
      </x:c>
      <x:c r="C219" t="str">
        <x:v>Actual</x:v>
      </x:c>
      <x:c r="D219" t="str">
        <x:v>DB-103</x:v>
      </x:c>
      <x:c r="E219" s="34" t="n">
        <x:v>13466.367499999997</x:v>
      </x:c>
      <x:c r="F219" s="34" t="n">
        <x:v>0</x:v>
      </x:c>
      <x:c r="G219" s="34" t="n">
        <x:v>245</x:v>
      </x:c>
      <x:c r="H219" s="34" t="n">
        <x:v>245</x:v>
      </x:c>
      <x:c r="I219" s="28" t="n">
        <x:v>1</x:v>
      </x:c>
      <x:c r="J219" s="39" t="n">
        <x:v>245</x:v>
      </x:c>
      <x:c r="K219" s="39" t="n">
        <x:v>6.7375</x:v>
      </x:c>
      <x:c r="L219" s="39" t="n">
        <x:v>13228.104999999996</x:v>
      </x:c>
      <x:c r="M219" s="39" t="n">
        <x:v>53.992265306122434</x:v>
      </x:c>
      <x:c r="N219" t="str">
        <x:v>OK</x:v>
      </x:c>
      <x:c r="O219" t="str">
        <x:v>Maintain plan</x:v>
      </x:c>
      <x:c r="P219" s="38" t="n">
        <x:v>0</x:v>
      </x:c>
    </x:row>
    <x:row r="220">
      <x:c r="A220" s="32" t="n">
        <x:v>45712</x:v>
      </x:c>
      <x:c r="B220" s="32" t="n">
        <x:v>45689</x:v>
      </x:c>
      <x:c r="C220" t="str">
        <x:v>Actual</x:v>
      </x:c>
      <x:c r="D220" t="str">
        <x:v>DB-103</x:v>
      </x:c>
      <x:c r="E220" s="34" t="n">
        <x:v>13228.104999999996</x:v>
      </x:c>
      <x:c r="F220" s="34" t="n">
        <x:v>0</x:v>
      </x:c>
      <x:c r="G220" s="34" t="n">
        <x:v>246</x:v>
      </x:c>
      <x:c r="H220" s="34" t="n">
        <x:v>246</x:v>
      </x:c>
      <x:c r="I220" s="28" t="n">
        <x:v>1</x:v>
      </x:c>
      <x:c r="J220" s="39" t="n">
        <x:v>246</x:v>
      </x:c>
      <x:c r="K220" s="39" t="n">
        <x:v>6.765</x:v>
      </x:c>
      <x:c r="L220" s="39" t="n">
        <x:v>12988.869999999995</x:v>
      </x:c>
      <x:c r="M220" s="39" t="n">
        <x:v>52.80028455284551</x:v>
      </x:c>
      <x:c r="N220" t="str">
        <x:v>OK</x:v>
      </x:c>
      <x:c r="O220" t="str">
        <x:v>Maintain plan</x:v>
      </x:c>
      <x:c r="P220" s="38" t="n">
        <x:v>0</x:v>
      </x:c>
    </x:row>
    <x:row r="221">
      <x:c r="A221" s="32" t="n">
        <x:v>45719</x:v>
      </x:c>
      <x:c r="B221" s="32" t="n">
        <x:v>45717</x:v>
      </x:c>
      <x:c r="C221" t="str">
        <x:v>Actual</x:v>
      </x:c>
      <x:c r="D221" t="str">
        <x:v>DB-103</x:v>
      </x:c>
      <x:c r="E221" s="34" t="n">
        <x:v>12988.869999999995</x:v>
      </x:c>
      <x:c r="F221" s="34" t="n">
        <x:v>5000</x:v>
      </x:c>
      <x:c r="G221" s="34" t="n">
        <x:v>210</x:v>
      </x:c>
      <x:c r="H221" s="34" t="n">
        <x:v>210</x:v>
      </x:c>
      <x:c r="I221" s="28" t="n">
        <x:v>1</x:v>
      </x:c>
      <x:c r="J221" s="39" t="n">
        <x:v>210</x:v>
      </x:c>
      <x:c r="K221" s="39" t="n">
        <x:v>5.775</x:v>
      </x:c>
      <x:c r="L221" s="39" t="n">
        <x:v>17784.644999999997</x:v>
      </x:c>
      <x:c r="M221" s="39" t="n">
        <x:v>84.6887857142857</x:v>
      </x:c>
      <x:c r="N221" t="str">
        <x:v>OK</x:v>
      </x:c>
      <x:c r="O221" t="str">
        <x:v>Maintain plan</x:v>
      </x:c>
      <x:c r="P221" s="38" t="n">
        <x:v>68.35</x:v>
      </x:c>
    </x:row>
    <x:row r="222">
      <x:c r="A222" s="32" t="n">
        <x:v>45726</x:v>
      </x:c>
      <x:c r="B222" s="32" t="n">
        <x:v>45717</x:v>
      </x:c>
      <x:c r="C222" t="str">
        <x:v>Actual</x:v>
      </x:c>
      <x:c r="D222" t="str">
        <x:v>DB-103</x:v>
      </x:c>
      <x:c r="E222" s="34" t="n">
        <x:v>17784.644999999997</x:v>
      </x:c>
      <x:c r="F222" s="34" t="n">
        <x:v>0</x:v>
      </x:c>
      <x:c r="G222" s="34" t="n">
        <x:v>211</x:v>
      </x:c>
      <x:c r="H222" s="34" t="n">
        <x:v>211</x:v>
      </x:c>
      <x:c r="I222" s="28" t="n">
        <x:v>1</x:v>
      </x:c>
      <x:c r="J222" s="39" t="n">
        <x:v>211</x:v>
      </x:c>
      <x:c r="K222" s="39" t="n">
        <x:v>5.8025</x:v>
      </x:c>
      <x:c r="L222" s="39" t="n">
        <x:v>17579.4475</x:v>
      </x:c>
      <x:c r="M222" s="39" t="n">
        <x:v>83.31491706161137</x:v>
      </x:c>
      <x:c r="N222" t="str">
        <x:v>OK</x:v>
      </x:c>
      <x:c r="O222" t="str">
        <x:v>Maintain plan</x:v>
      </x:c>
      <x:c r="P222" s="38" t="n">
        <x:v>0</x:v>
      </x:c>
    </x:row>
    <x:row r="223">
      <x:c r="A223" s="32" t="n">
        <x:v>45733</x:v>
      </x:c>
      <x:c r="B223" s="32" t="n">
        <x:v>45717</x:v>
      </x:c>
      <x:c r="C223" t="str">
        <x:v>Actual</x:v>
      </x:c>
      <x:c r="D223" t="str">
        <x:v>DB-103</x:v>
      </x:c>
      <x:c r="E223" s="34" t="n">
        <x:v>17579.4475</x:v>
      </x:c>
      <x:c r="F223" s="34" t="n">
        <x:v>0</x:v>
      </x:c>
      <x:c r="G223" s="34" t="n">
        <x:v>212</x:v>
      </x:c>
      <x:c r="H223" s="34" t="n">
        <x:v>212</x:v>
      </x:c>
      <x:c r="I223" s="28" t="n">
        <x:v>1</x:v>
      </x:c>
      <x:c r="J223" s="39" t="n">
        <x:v>212</x:v>
      </x:c>
      <x:c r="K223" s="39" t="n">
        <x:v>5.83</x:v>
      </x:c>
      <x:c r="L223" s="39" t="n">
        <x:v>17373.2775</x:v>
      </x:c>
      <x:c r="M223" s="39" t="n">
        <x:v>81.94942216981133</x:v>
      </x:c>
      <x:c r="N223" t="str">
        <x:v>OK</x:v>
      </x:c>
      <x:c r="O223" t="str">
        <x:v>Maintain plan</x:v>
      </x:c>
      <x:c r="P223" s="38" t="n">
        <x:v>0</x:v>
      </x:c>
    </x:row>
    <x:row r="224">
      <x:c r="A224" s="32" t="n">
        <x:v>45740</x:v>
      </x:c>
      <x:c r="B224" s="32" t="n">
        <x:v>45717</x:v>
      </x:c>
      <x:c r="C224" t="str">
        <x:v>Actual</x:v>
      </x:c>
      <x:c r="D224" t="str">
        <x:v>DB-103</x:v>
      </x:c>
      <x:c r="E224" s="34" t="n">
        <x:v>17373.2775</x:v>
      </x:c>
      <x:c r="F224" s="34" t="n">
        <x:v>0</x:v>
      </x:c>
      <x:c r="G224" s="34" t="n">
        <x:v>214</x:v>
      </x:c>
      <x:c r="H224" s="34" t="n">
        <x:v>214</x:v>
      </x:c>
      <x:c r="I224" s="28" t="n">
        <x:v>1</x:v>
      </x:c>
      <x:c r="J224" s="39" t="n">
        <x:v>214</x:v>
      </x:c>
      <x:c r="K224" s="39" t="n">
        <x:v>5.885</x:v>
      </x:c>
      <x:c r="L224" s="39" t="n">
        <x:v>17165.1625</x:v>
      </x:c>
      <x:c r="M224" s="39" t="n">
        <x:v>80.21103971962616</x:v>
      </x:c>
      <x:c r="N224" t="str">
        <x:v>OK</x:v>
      </x:c>
      <x:c r="O224" t="str">
        <x:v>Maintain plan</x:v>
      </x:c>
      <x:c r="P224" s="38" t="n">
        <x:v>0</x:v>
      </x:c>
    </x:row>
    <x:row r="225">
      <x:c r="A225" s="32" t="n">
        <x:v>45747</x:v>
      </x:c>
      <x:c r="B225" s="32" t="n">
        <x:v>45717</x:v>
      </x:c>
      <x:c r="C225" t="str">
        <x:v>Actual</x:v>
      </x:c>
      <x:c r="D225" t="str">
        <x:v>DB-103</x:v>
      </x:c>
      <x:c r="E225" s="34" t="n">
        <x:v>17165.1625</x:v>
      </x:c>
      <x:c r="F225" s="34" t="n">
        <x:v>0</x:v>
      </x:c>
      <x:c r="G225" s="34" t="n">
        <x:v>215</x:v>
      </x:c>
      <x:c r="H225" s="34" t="n">
        <x:v>215</x:v>
      </x:c>
      <x:c r="I225" s="28" t="n">
        <x:v>1</x:v>
      </x:c>
      <x:c r="J225" s="39" t="n">
        <x:v>215</x:v>
      </x:c>
      <x:c r="K225" s="39" t="n">
        <x:v>5.9125</x:v>
      </x:c>
      <x:c r="L225" s="39" t="n">
        <x:v>16956.074999999997</x:v>
      </x:c>
      <x:c r="M225" s="39" t="n">
        <x:v>78.86546511627905</x:v>
      </x:c>
      <x:c r="N225" t="str">
        <x:v>OK</x:v>
      </x:c>
      <x:c r="O225" t="str">
        <x:v>Maintain plan</x:v>
      </x:c>
      <x:c r="P225" s="38" t="n">
        <x:v>0</x:v>
      </x:c>
    </x:row>
    <x:row r="226">
      <x:c r="A226" s="32" t="n">
        <x:v>45754</x:v>
      </x:c>
      <x:c r="B226" s="32" t="n">
        <x:v>45748</x:v>
      </x:c>
      <x:c r="C226" t="str">
        <x:v>Actual</x:v>
      </x:c>
      <x:c r="D226" t="str">
        <x:v>DB-103</x:v>
      </x:c>
      <x:c r="E226" s="34" t="n">
        <x:v>16956.074999999997</x:v>
      </x:c>
      <x:c r="F226" s="34" t="n">
        <x:v>0</x:v>
      </x:c>
      <x:c r="G226" s="34" t="n">
        <x:v>192</x:v>
      </x:c>
      <x:c r="H226" s="34" t="n">
        <x:v>192</x:v>
      </x:c>
      <x:c r="I226" s="28" t="n">
        <x:v>1</x:v>
      </x:c>
      <x:c r="J226" s="39" t="n">
        <x:v>192</x:v>
      </x:c>
      <x:c r="K226" s="39" t="n">
        <x:v>5.28</x:v>
      </x:c>
      <x:c r="L226" s="39" t="n">
        <x:v>16769.354999999996</x:v>
      </x:c>
      <x:c r="M226" s="39" t="n">
        <x:v>87.34039062499998</x:v>
      </x:c>
      <x:c r="N226" t="str">
        <x:v>OK</x:v>
      </x:c>
      <x:c r="O226" t="str">
        <x:v>Maintain plan</x:v>
      </x:c>
      <x:c r="P226" s="38" t="n">
        <x:v>0</x:v>
      </x:c>
    </x:row>
    <x:row r="227">
      <x:c r="A227" s="32" t="n">
        <x:v>45761</x:v>
      </x:c>
      <x:c r="B227" s="32" t="n">
        <x:v>45748</x:v>
      </x:c>
      <x:c r="C227" t="str">
        <x:v>Actual</x:v>
      </x:c>
      <x:c r="D227" t="str">
        <x:v>DB-103</x:v>
      </x:c>
      <x:c r="E227" s="34" t="n">
        <x:v>16769.354999999996</x:v>
      </x:c>
      <x:c r="F227" s="34" t="n">
        <x:v>0</x:v>
      </x:c>
      <x:c r="G227" s="34" t="n">
        <x:v>193</x:v>
      </x:c>
      <x:c r="H227" s="34" t="n">
        <x:v>193</x:v>
      </x:c>
      <x:c r="I227" s="28" t="n">
        <x:v>1</x:v>
      </x:c>
      <x:c r="J227" s="39" t="n">
        <x:v>193</x:v>
      </x:c>
      <x:c r="K227" s="39" t="n">
        <x:v>5.3075</x:v>
      </x:c>
      <x:c r="L227" s="39" t="n">
        <x:v>16581.662499999995</x:v>
      </x:c>
      <x:c r="M227" s="39" t="n">
        <x:v>85.91534974093261</x:v>
      </x:c>
      <x:c r="N227" t="str">
        <x:v>OK</x:v>
      </x:c>
      <x:c r="O227" t="str">
        <x:v>Maintain plan</x:v>
      </x:c>
      <x:c r="P227" s="38" t="n">
        <x:v>0</x:v>
      </x:c>
    </x:row>
    <x:row r="228">
      <x:c r="A228" s="32" t="n">
        <x:v>45768</x:v>
      </x:c>
      <x:c r="B228" s="32" t="n">
        <x:v>45748</x:v>
      </x:c>
      <x:c r="C228" t="str">
        <x:v>Actual</x:v>
      </x:c>
      <x:c r="D228" t="str">
        <x:v>DB-103</x:v>
      </x:c>
      <x:c r="E228" s="34" t="n">
        <x:v>16581.662499999995</x:v>
      </x:c>
      <x:c r="F228" s="34" t="n">
        <x:v>0</x:v>
      </x:c>
      <x:c r="G228" s="34" t="n">
        <x:v>193</x:v>
      </x:c>
      <x:c r="H228" s="34" t="n">
        <x:v>193</x:v>
      </x:c>
      <x:c r="I228" s="28" t="n">
        <x:v>1</x:v>
      </x:c>
      <x:c r="J228" s="39" t="n">
        <x:v>193</x:v>
      </x:c>
      <x:c r="K228" s="39" t="n">
        <x:v>5.3075</x:v>
      </x:c>
      <x:c r="L228" s="39" t="n">
        <x:v>16393.969999999994</x:v>
      </x:c>
      <x:c r="M228" s="39" t="n">
        <x:v>84.94284974093262</x:v>
      </x:c>
      <x:c r="N228" t="str">
        <x:v>OK</x:v>
      </x:c>
      <x:c r="O228" t="str">
        <x:v>Maintain plan</x:v>
      </x:c>
      <x:c r="P228" s="38" t="n">
        <x:v>0</x:v>
      </x:c>
    </x:row>
    <x:row r="229">
      <x:c r="A229" s="32" t="n">
        <x:v>45775</x:v>
      </x:c>
      <x:c r="B229" s="32" t="n">
        <x:v>45748</x:v>
      </x:c>
      <x:c r="C229" t="str">
        <x:v>Actual</x:v>
      </x:c>
      <x:c r="D229" t="str">
        <x:v>DB-103</x:v>
      </x:c>
      <x:c r="E229" s="34" t="n">
        <x:v>16393.969999999994</x:v>
      </x:c>
      <x:c r="F229" s="34" t="n">
        <x:v>5000</x:v>
      </x:c>
      <x:c r="G229" s="34" t="n">
        <x:v>194</x:v>
      </x:c>
      <x:c r="H229" s="34" t="n">
        <x:v>194</x:v>
      </x:c>
      <x:c r="I229" s="28" t="n">
        <x:v>1</x:v>
      </x:c>
      <x:c r="J229" s="39" t="n">
        <x:v>194</x:v>
      </x:c>
      <x:c r="K229" s="39" t="n">
        <x:v>5.335</x:v>
      </x:c>
      <x:c r="L229" s="39" t="n">
        <x:v>21205.304999999993</x:v>
      </x:c>
      <x:c r="M229" s="39" t="n">
        <x:v>109.30569587628862</x:v>
      </x:c>
      <x:c r="N229" t="str">
        <x:v>OK</x:v>
      </x:c>
      <x:c r="O229" t="str">
        <x:v>Maintain plan</x:v>
      </x:c>
      <x:c r="P229" s="38" t="n">
        <x:v>68.35</x:v>
      </x:c>
    </x:row>
    <x:row r="230">
      <x:c r="A230" s="32" t="n">
        <x:v>45782</x:v>
      </x:c>
      <x:c r="B230" s="32" t="n">
        <x:v>45778</x:v>
      </x:c>
      <x:c r="C230" t="str">
        <x:v>Actual</x:v>
      </x:c>
      <x:c r="D230" t="str">
        <x:v>DB-103</x:v>
      </x:c>
      <x:c r="E230" s="34" t="n">
        <x:v>21205.304999999993</x:v>
      </x:c>
      <x:c r="F230" s="34" t="n">
        <x:v>0</x:v>
      </x:c>
      <x:c r="G230" s="34" t="n">
        <x:v>184</x:v>
      </x:c>
      <x:c r="H230" s="34" t="n">
        <x:v>184</x:v>
      </x:c>
      <x:c r="I230" s="28" t="n">
        <x:v>1</x:v>
      </x:c>
      <x:c r="J230" s="39" t="n">
        <x:v>184</x:v>
      </x:c>
      <x:c r="K230" s="39" t="n">
        <x:v>5.06</x:v>
      </x:c>
      <x:c r="L230" s="39" t="n">
        <x:v>21026.364999999994</x:v>
      </x:c>
      <x:c r="M230" s="39" t="n">
        <x:v>114.27372282608692</x:v>
      </x:c>
      <x:c r="N230" t="str">
        <x:v>OK</x:v>
      </x:c>
      <x:c r="O230" t="str">
        <x:v>Maintain plan</x:v>
      </x:c>
      <x:c r="P230" s="38" t="n">
        <x:v>0</x:v>
      </x:c>
    </x:row>
    <x:row r="231">
      <x:c r="A231" s="32" t="n">
        <x:v>45789</x:v>
      </x:c>
      <x:c r="B231" s="32" t="n">
        <x:v>45778</x:v>
      </x:c>
      <x:c r="C231" t="str">
        <x:v>Actual</x:v>
      </x:c>
      <x:c r="D231" t="str">
        <x:v>DB-103</x:v>
      </x:c>
      <x:c r="E231" s="34" t="n">
        <x:v>21026.364999999994</x:v>
      </x:c>
      <x:c r="F231" s="34" t="n">
        <x:v>0</x:v>
      </x:c>
      <x:c r="G231" s="34" t="n">
        <x:v>186</x:v>
      </x:c>
      <x:c r="H231" s="34" t="n">
        <x:v>186</x:v>
      </x:c>
      <x:c r="I231" s="28" t="n">
        <x:v>1</x:v>
      </x:c>
      <x:c r="J231" s="39" t="n">
        <x:v>186</x:v>
      </x:c>
      <x:c r="K231" s="39" t="n">
        <x:v>5.115</x:v>
      </x:c>
      <x:c r="L231" s="39" t="n">
        <x:v>20845.479999999996</x:v>
      </x:c>
      <x:c r="M231" s="39" t="n">
        <x:v>112.07247311827955</x:v>
      </x:c>
      <x:c r="N231" t="str">
        <x:v>OK</x:v>
      </x:c>
      <x:c r="O231" t="str">
        <x:v>Maintain plan</x:v>
      </x:c>
      <x:c r="P231" s="38" t="n">
        <x:v>0</x:v>
      </x:c>
    </x:row>
    <x:row r="232">
      <x:c r="A232" s="32" t="n">
        <x:v>45796</x:v>
      </x:c>
      <x:c r="B232" s="32" t="n">
        <x:v>45778</x:v>
      </x:c>
      <x:c r="C232" t="str">
        <x:v>Actual</x:v>
      </x:c>
      <x:c r="D232" t="str">
        <x:v>DB-103</x:v>
      </x:c>
      <x:c r="E232" s="34" t="n">
        <x:v>20845.479999999996</x:v>
      </x:c>
      <x:c r="F232" s="34" t="n">
        <x:v>0</x:v>
      </x:c>
      <x:c r="G232" s="34" t="n">
        <x:v>186</x:v>
      </x:c>
      <x:c r="H232" s="34" t="n">
        <x:v>186</x:v>
      </x:c>
      <x:c r="I232" s="28" t="n">
        <x:v>1</x:v>
      </x:c>
      <x:c r="J232" s="39" t="n">
        <x:v>186</x:v>
      </x:c>
      <x:c r="K232" s="39" t="n">
        <x:v>5.115</x:v>
      </x:c>
      <x:c r="L232" s="39" t="n">
        <x:v>20664.594999999998</x:v>
      </x:c>
      <x:c r="M232" s="39" t="n">
        <x:v>111.09997311827955</x:v>
      </x:c>
      <x:c r="N232" t="str">
        <x:v>OK</x:v>
      </x:c>
      <x:c r="O232" t="str">
        <x:v>Maintain plan</x:v>
      </x:c>
      <x:c r="P232" s="38" t="n">
        <x:v>0</x:v>
      </x:c>
    </x:row>
    <x:row r="233">
      <x:c r="A233" s="32" t="n">
        <x:v>45803</x:v>
      </x:c>
      <x:c r="B233" s="32" t="n">
        <x:v>45778</x:v>
      </x:c>
      <x:c r="C233" t="str">
        <x:v>Actual</x:v>
      </x:c>
      <x:c r="D233" t="str">
        <x:v>DB-103</x:v>
      </x:c>
      <x:c r="E233" s="34" t="n">
        <x:v>20664.594999999998</x:v>
      </x:c>
      <x:c r="F233" s="34" t="n">
        <x:v>0</x:v>
      </x:c>
      <x:c r="G233" s="34" t="n">
        <x:v>187</x:v>
      </x:c>
      <x:c r="H233" s="34" t="n">
        <x:v>187</x:v>
      </x:c>
      <x:c r="I233" s="28" t="n">
        <x:v>1</x:v>
      </x:c>
      <x:c r="J233" s="39" t="n">
        <x:v>187</x:v>
      </x:c>
      <x:c r="K233" s="39" t="n">
        <x:v>5.1425</x:v>
      </x:c>
      <x:c r="L233" s="39" t="n">
        <x:v>20482.7375</x:v>
      </x:c>
      <x:c r="M233" s="39" t="n">
        <x:v>109.53335561497326</x:v>
      </x:c>
      <x:c r="N233" t="str">
        <x:v>OK</x:v>
      </x:c>
      <x:c r="O233" t="str">
        <x:v>Maintain plan</x:v>
      </x:c>
      <x:c r="P233" s="38" t="n">
        <x:v>0</x:v>
      </x:c>
    </x:row>
    <x:row r="234">
      <x:c r="A234" s="32" t="n">
        <x:v>45810</x:v>
      </x:c>
      <x:c r="B234" s="32" t="n">
        <x:v>45809</x:v>
      </x:c>
      <x:c r="C234" t="str">
        <x:v>Actual</x:v>
      </x:c>
      <x:c r="D234" t="str">
        <x:v>DB-103</x:v>
      </x:c>
      <x:c r="E234" s="34" t="n">
        <x:v>20482.7375</x:v>
      </x:c>
      <x:c r="F234" s="34" t="n">
        <x:v>0</x:v>
      </x:c>
      <x:c r="G234" s="34" t="n">
        <x:v>181</x:v>
      </x:c>
      <x:c r="H234" s="34" t="n">
        <x:v>181</x:v>
      </x:c>
      <x:c r="I234" s="28" t="n">
        <x:v>1</x:v>
      </x:c>
      <x:c r="J234" s="39" t="n">
        <x:v>181</x:v>
      </x:c>
      <x:c r="K234" s="39" t="n">
        <x:v>4.9775</x:v>
      </x:c>
      <x:c r="L234" s="39" t="n">
        <x:v>20306.715</x:v>
      </x:c>
      <x:c r="M234" s="39" t="n">
        <x:v>112.1917955801105</x:v>
      </x:c>
      <x:c r="N234" t="str">
        <x:v>OK</x:v>
      </x:c>
      <x:c r="O234" t="str">
        <x:v>Maintain plan</x:v>
      </x:c>
      <x:c r="P234" s="38" t="n">
        <x:v>0</x:v>
      </x:c>
    </x:row>
    <x:row r="235">
      <x:c r="A235" s="32" t="n">
        <x:v>45817</x:v>
      </x:c>
      <x:c r="B235" s="32" t="n">
        <x:v>45809</x:v>
      </x:c>
      <x:c r="C235" t="str">
        <x:v>Actual</x:v>
      </x:c>
      <x:c r="D235" t="str">
        <x:v>DB-103</x:v>
      </x:c>
      <x:c r="E235" s="34" t="n">
        <x:v>20306.715</x:v>
      </x:c>
      <x:c r="F235" s="34" t="n">
        <x:v>0</x:v>
      </x:c>
      <x:c r="G235" s="34" t="n">
        <x:v>181</x:v>
      </x:c>
      <x:c r="H235" s="34" t="n">
        <x:v>181</x:v>
      </x:c>
      <x:c r="I235" s="28" t="n">
        <x:v>1</x:v>
      </x:c>
      <x:c r="J235" s="39" t="n">
        <x:v>181</x:v>
      </x:c>
      <x:c r="K235" s="39" t="n">
        <x:v>4.9775</x:v>
      </x:c>
      <x:c r="L235" s="39" t="n">
        <x:v>20130.6925</x:v>
      </x:c>
      <x:c r="M235" s="39" t="n">
        <x:v>111.2192955801105</x:v>
      </x:c>
      <x:c r="N235" t="str">
        <x:v>OK</x:v>
      </x:c>
      <x:c r="O235" t="str">
        <x:v>Maintain plan</x:v>
      </x:c>
      <x:c r="P235" s="38" t="n">
        <x:v>0</x:v>
      </x:c>
    </x:row>
    <x:row r="236">
      <x:c r="A236" s="32" t="n">
        <x:v>45824</x:v>
      </x:c>
      <x:c r="B236" s="32" t="n">
        <x:v>45809</x:v>
      </x:c>
      <x:c r="C236" t="str">
        <x:v>Actual</x:v>
      </x:c>
      <x:c r="D236" t="str">
        <x:v>DB-103</x:v>
      </x:c>
      <x:c r="E236" s="34" t="n">
        <x:v>20130.6925</x:v>
      </x:c>
      <x:c r="F236" s="34" t="n">
        <x:v>0</x:v>
      </x:c>
      <x:c r="G236" s="34" t="n">
        <x:v>183</x:v>
      </x:c>
      <x:c r="H236" s="34" t="n">
        <x:v>183</x:v>
      </x:c>
      <x:c r="I236" s="28" t="n">
        <x:v>1</x:v>
      </x:c>
      <x:c r="J236" s="39" t="n">
        <x:v>183</x:v>
      </x:c>
      <x:c r="K236" s="39" t="n">
        <x:v>5.0325</x:v>
      </x:c>
      <x:c r="L236" s="39" t="n">
        <x:v>19952.725000000002</x:v>
      </x:c>
      <x:c r="M236" s="39" t="n">
        <x:v>109.03128415300547</x:v>
      </x:c>
      <x:c r="N236" t="str">
        <x:v>OK</x:v>
      </x:c>
      <x:c r="O236" t="str">
        <x:v>Maintain plan</x:v>
      </x:c>
      <x:c r="P236" s="38" t="n">
        <x:v>0</x:v>
      </x:c>
    </x:row>
    <x:row r="237">
      <x:c r="A237" s="32" t="n">
        <x:v>45831</x:v>
      </x:c>
      <x:c r="B237" s="32" t="n">
        <x:v>45809</x:v>
      </x:c>
      <x:c r="C237" t="str">
        <x:v>Actual</x:v>
      </x:c>
      <x:c r="D237" t="str">
        <x:v>DB-103</x:v>
      </x:c>
      <x:c r="E237" s="34" t="n">
        <x:v>19952.725000000002</x:v>
      </x:c>
      <x:c r="F237" s="34" t="n">
        <x:v>5000</x:v>
      </x:c>
      <x:c r="G237" s="34" t="n">
        <x:v>183</x:v>
      </x:c>
      <x:c r="H237" s="34" t="n">
        <x:v>183</x:v>
      </x:c>
      <x:c r="I237" s="28" t="n">
        <x:v>1</x:v>
      </x:c>
      <x:c r="J237" s="39" t="n">
        <x:v>183</x:v>
      </x:c>
      <x:c r="K237" s="39" t="n">
        <x:v>5.0325</x:v>
      </x:c>
      <x:c r="L237" s="39" t="n">
        <x:v>24774.757500000003</x:v>
      </x:c>
      <x:c r="M237" s="39" t="n">
        <x:v>135.3811885245902</x:v>
      </x:c>
      <x:c r="N237" t="str">
        <x:v>OK</x:v>
      </x:c>
      <x:c r="O237" t="str">
        <x:v>Maintain plan</x:v>
      </x:c>
      <x:c r="P237" s="38" t="n">
        <x:v>68.35</x:v>
      </x:c>
    </x:row>
    <x:row r="238">
      <x:c r="A238" s="32" t="n">
        <x:v>45838</x:v>
      </x:c>
      <x:c r="B238" s="32" t="n">
        <x:v>45809</x:v>
      </x:c>
      <x:c r="C238" t="str">
        <x:v>Actual</x:v>
      </x:c>
      <x:c r="D238" t="str">
        <x:v>DB-103</x:v>
      </x:c>
      <x:c r="E238" s="34" t="n">
        <x:v>24774.757500000003</x:v>
      </x:c>
      <x:c r="F238" s="34" t="n">
        <x:v>0</x:v>
      </x:c>
      <x:c r="G238" s="34" t="n">
        <x:v>184</x:v>
      </x:c>
      <x:c r="H238" s="34" t="n">
        <x:v>184</x:v>
      </x:c>
      <x:c r="I238" s="28" t="n">
        <x:v>1</x:v>
      </x:c>
      <x:c r="J238" s="39" t="n">
        <x:v>184</x:v>
      </x:c>
      <x:c r="K238" s="39" t="n">
        <x:v>5.06</x:v>
      </x:c>
      <x:c r="L238" s="39" t="n">
        <x:v>24595.817500000005</x:v>
      </x:c>
      <x:c r="M238" s="39" t="n">
        <x:v>133.6729211956522</x:v>
      </x:c>
      <x:c r="N238" t="str">
        <x:v>OK</x:v>
      </x:c>
      <x:c r="O238" t="str">
        <x:v>Maintain plan</x:v>
      </x:c>
      <x:c r="P238" s="38" t="n">
        <x:v>0</x:v>
      </x:c>
    </x:row>
    <x:row r="239">
      <x:c r="A239" s="32" t="n">
        <x:v>45845</x:v>
      </x:c>
      <x:c r="B239" s="32" t="n">
        <x:v>45839</x:v>
      </x:c>
      <x:c r="C239" t="str">
        <x:v>Actual</x:v>
      </x:c>
      <x:c r="D239" t="str">
        <x:v>DB-103</x:v>
      </x:c>
      <x:c r="E239" s="34" t="n">
        <x:v>24595.817500000005</x:v>
      </x:c>
      <x:c r="F239" s="34" t="n">
        <x:v>0</x:v>
      </x:c>
      <x:c r="G239" s="34" t="n">
        <x:v>192</x:v>
      </x:c>
      <x:c r="H239" s="34" t="n">
        <x:v>192</x:v>
      </x:c>
      <x:c r="I239" s="28" t="n">
        <x:v>1</x:v>
      </x:c>
      <x:c r="J239" s="39" t="n">
        <x:v>192</x:v>
      </x:c>
      <x:c r="K239" s="39" t="n">
        <x:v>5.28</x:v>
      </x:c>
      <x:c r="L239" s="39" t="n">
        <x:v>24409.097500000003</x:v>
      </x:c>
      <x:c r="M239" s="39" t="n">
        <x:v>127.13071614583335</x:v>
      </x:c>
      <x:c r="N239" t="str">
        <x:v>OK</x:v>
      </x:c>
      <x:c r="O239" t="str">
        <x:v>Maintain plan</x:v>
      </x:c>
      <x:c r="P239" s="38" t="n">
        <x:v>0</x:v>
      </x:c>
    </x:row>
    <x:row r="240">
      <x:c r="A240" s="32" t="n">
        <x:v>45852</x:v>
      </x:c>
      <x:c r="B240" s="32" t="n">
        <x:v>45839</x:v>
      </x:c>
      <x:c r="C240" t="str">
        <x:v>Actual</x:v>
      </x:c>
      <x:c r="D240" t="str">
        <x:v>DB-103</x:v>
      </x:c>
      <x:c r="E240" s="34" t="n">
        <x:v>24409.097500000003</x:v>
      </x:c>
      <x:c r="F240" s="34" t="n">
        <x:v>0</x:v>
      </x:c>
      <x:c r="G240" s="34" t="n">
        <x:v>193</x:v>
      </x:c>
      <x:c r="H240" s="34" t="n">
        <x:v>193</x:v>
      </x:c>
      <x:c r="I240" s="28" t="n">
        <x:v>1</x:v>
      </x:c>
      <x:c r="J240" s="39" t="n">
        <x:v>193</x:v>
      </x:c>
      <x:c r="K240" s="39" t="n">
        <x:v>5.3075</x:v>
      </x:c>
      <x:c r="L240" s="39" t="n">
        <x:v>24221.405000000002</x:v>
      </x:c>
      <x:c r="M240" s="39" t="n">
        <x:v>125.49950777202073</x:v>
      </x:c>
      <x:c r="N240" t="str">
        <x:v>OK</x:v>
      </x:c>
      <x:c r="O240" t="str">
        <x:v>Maintain plan</x:v>
      </x:c>
      <x:c r="P240" s="38" t="n">
        <x:v>0</x:v>
      </x:c>
    </x:row>
    <x:row r="241">
      <x:c r="A241" s="32" t="n">
        <x:v>45859</x:v>
      </x:c>
      <x:c r="B241" s="32" t="n">
        <x:v>45839</x:v>
      </x:c>
      <x:c r="C241" t="str">
        <x:v>Actual</x:v>
      </x:c>
      <x:c r="D241" t="str">
        <x:v>DB-103</x:v>
      </x:c>
      <x:c r="E241" s="34" t="n">
        <x:v>24221.405000000002</x:v>
      </x:c>
      <x:c r="F241" s="34" t="n">
        <x:v>0</x:v>
      </x:c>
      <x:c r="G241" s="34" t="n">
        <x:v>193</x:v>
      </x:c>
      <x:c r="H241" s="34" t="n">
        <x:v>193</x:v>
      </x:c>
      <x:c r="I241" s="28" t="n">
        <x:v>1</x:v>
      </x:c>
      <x:c r="J241" s="39" t="n">
        <x:v>193</x:v>
      </x:c>
      <x:c r="K241" s="39" t="n">
        <x:v>5.3075</x:v>
      </x:c>
      <x:c r="L241" s="39" t="n">
        <x:v>24033.7125</x:v>
      </x:c>
      <x:c r="M241" s="39" t="n">
        <x:v>124.52700777202074</x:v>
      </x:c>
      <x:c r="N241" t="str">
        <x:v>OK</x:v>
      </x:c>
      <x:c r="O241" t="str">
        <x:v>Maintain plan</x:v>
      </x:c>
      <x:c r="P241" s="38" t="n">
        <x:v>0</x:v>
      </x:c>
    </x:row>
    <x:row r="242">
      <x:c r="A242" s="32" t="n">
        <x:v>45866</x:v>
      </x:c>
      <x:c r="B242" s="32" t="n">
        <x:v>45839</x:v>
      </x:c>
      <x:c r="C242" t="str">
        <x:v>Actual</x:v>
      </x:c>
      <x:c r="D242" t="str">
        <x:v>DB-103</x:v>
      </x:c>
      <x:c r="E242" s="34" t="n">
        <x:v>24033.7125</x:v>
      </x:c>
      <x:c r="F242" s="34" t="n">
        <x:v>0</x:v>
      </x:c>
      <x:c r="G242" s="34" t="n">
        <x:v>194</x:v>
      </x:c>
      <x:c r="H242" s="34" t="n">
        <x:v>194</x:v>
      </x:c>
      <x:c r="I242" s="28" t="n">
        <x:v>1</x:v>
      </x:c>
      <x:c r="J242" s="39" t="n">
        <x:v>194</x:v>
      </x:c>
      <x:c r="K242" s="39" t="n">
        <x:v>5.335</x:v>
      </x:c>
      <x:c r="L242" s="39" t="n">
        <x:v>23845.0475</x:v>
      </x:c>
      <x:c r="M242" s="39" t="n">
        <x:v>122.91261597938144</x:v>
      </x:c>
      <x:c r="N242" t="str">
        <x:v>OK</x:v>
      </x:c>
      <x:c r="O242" t="str">
        <x:v>Maintain plan</x:v>
      </x:c>
      <x:c r="P242" s="38" t="n">
        <x:v>0</x:v>
      </x:c>
    </x:row>
    <x:row r="243">
      <x:c r="A243" s="32" t="n">
        <x:v>45873</x:v>
      </x:c>
      <x:c r="B243" s="32" t="n">
        <x:v>45870</x:v>
      </x:c>
      <x:c r="C243" t="str">
        <x:v>Actual</x:v>
      </x:c>
      <x:c r="D243" t="str">
        <x:v>DB-103</x:v>
      </x:c>
      <x:c r="E243" s="34" t="n">
        <x:v>23845.0475</x:v>
      </x:c>
      <x:c r="F243" s="34" t="n">
        <x:v>0</x:v>
      </x:c>
      <x:c r="G243" s="34" t="n">
        <x:v>215</x:v>
      </x:c>
      <x:c r="H243" s="34" t="n">
        <x:v>215</x:v>
      </x:c>
      <x:c r="I243" s="28" t="n">
        <x:v>1</x:v>
      </x:c>
      <x:c r="J243" s="39" t="n">
        <x:v>215</x:v>
      </x:c>
      <x:c r="K243" s="39" t="n">
        <x:v>5.9125</x:v>
      </x:c>
      <x:c r="L243" s="39" t="n">
        <x:v>23635.96</x:v>
      </x:c>
      <x:c r="M243" s="39" t="n">
        <x:v>109.9346976744186</x:v>
      </x:c>
      <x:c r="N243" t="str">
        <x:v>OK</x:v>
      </x:c>
      <x:c r="O243" t="str">
        <x:v>Maintain plan</x:v>
      </x:c>
      <x:c r="P243" s="38" t="n">
        <x:v>0</x:v>
      </x:c>
    </x:row>
    <x:row r="244">
      <x:c r="A244" s="32" t="n">
        <x:v>45880</x:v>
      </x:c>
      <x:c r="B244" s="32" t="n">
        <x:v>45870</x:v>
      </x:c>
      <x:c r="C244" t="str">
        <x:v>Actual</x:v>
      </x:c>
      <x:c r="D244" t="str">
        <x:v>DB-103</x:v>
      </x:c>
      <x:c r="E244" s="34" t="n">
        <x:v>23635.96</x:v>
      </x:c>
      <x:c r="F244" s="34" t="n">
        <x:v>0</x:v>
      </x:c>
      <x:c r="G244" s="34" t="n">
        <x:v>215</x:v>
      </x:c>
      <x:c r="H244" s="34" t="n">
        <x:v>215</x:v>
      </x:c>
      <x:c r="I244" s="28" t="n">
        <x:v>1</x:v>
      </x:c>
      <x:c r="J244" s="39" t="n">
        <x:v>215</x:v>
      </x:c>
      <x:c r="K244" s="39" t="n">
        <x:v>5.9125</x:v>
      </x:c>
      <x:c r="L244" s="39" t="n">
        <x:v>23426.872499999998</x:v>
      </x:c>
      <x:c r="M244" s="39" t="n">
        <x:v>108.96219767441859</x:v>
      </x:c>
      <x:c r="N244" t="str">
        <x:v>OK</x:v>
      </x:c>
      <x:c r="O244" t="str">
        <x:v>Maintain plan</x:v>
      </x:c>
      <x:c r="P244" s="38" t="n">
        <x:v>0</x:v>
      </x:c>
    </x:row>
    <x:row r="245">
      <x:c r="A245" s="32" t="n">
        <x:v>45887</x:v>
      </x:c>
      <x:c r="B245" s="32" t="n">
        <x:v>45870</x:v>
      </x:c>
      <x:c r="C245" t="str">
        <x:v>Actual</x:v>
      </x:c>
      <x:c r="D245" t="str">
        <x:v>DB-103</x:v>
      </x:c>
      <x:c r="E245" s="34" t="n">
        <x:v>23426.872499999998</x:v>
      </x:c>
      <x:c r="F245" s="34" t="n">
        <x:v>5000</x:v>
      </x:c>
      <x:c r="G245" s="34" t="n">
        <x:v>217</x:v>
      </x:c>
      <x:c r="H245" s="34" t="n">
        <x:v>217</x:v>
      </x:c>
      <x:c r="I245" s="28" t="n">
        <x:v>1</x:v>
      </x:c>
      <x:c r="J245" s="39" t="n">
        <x:v>217</x:v>
      </x:c>
      <x:c r="K245" s="39" t="n">
        <x:v>5.9675</x:v>
      </x:c>
      <x:c r="L245" s="39" t="n">
        <x:v>28215.839999999997</x:v>
      </x:c>
      <x:c r="M245" s="39" t="n">
        <x:v>130.0269124423963</x:v>
      </x:c>
      <x:c r="N245" t="str">
        <x:v>OK</x:v>
      </x:c>
      <x:c r="O245" t="str">
        <x:v>Maintain plan</x:v>
      </x:c>
      <x:c r="P245" s="38" t="n">
        <x:v>68.35</x:v>
      </x:c>
    </x:row>
    <x:row r="246">
      <x:c r="A246" s="32" t="n">
        <x:v>45894</x:v>
      </x:c>
      <x:c r="B246" s="32" t="n">
        <x:v>45870</x:v>
      </x:c>
      <x:c r="C246" t="str">
        <x:v>Actual</x:v>
      </x:c>
      <x:c r="D246" t="str">
        <x:v>DB-103</x:v>
      </x:c>
      <x:c r="E246" s="34" t="n">
        <x:v>28215.839999999997</x:v>
      </x:c>
      <x:c r="F246" s="34" t="n">
        <x:v>0</x:v>
      </x:c>
      <x:c r="G246" s="34" t="n">
        <x:v>217</x:v>
      </x:c>
      <x:c r="H246" s="34" t="n">
        <x:v>217</x:v>
      </x:c>
      <x:c r="I246" s="28" t="n">
        <x:v>1</x:v>
      </x:c>
      <x:c r="J246" s="39" t="n">
        <x:v>217</x:v>
      </x:c>
      <x:c r="K246" s="39" t="n">
        <x:v>5.9675</x:v>
      </x:c>
      <x:c r="L246" s="39" t="n">
        <x:v>28004.807499999995</x:v>
      </x:c>
      <x:c r="M246" s="39" t="n">
        <x:v>129.05441244239628</x:v>
      </x:c>
      <x:c r="N246" t="str">
        <x:v>OK</x:v>
      </x:c>
      <x:c r="O246" t="str">
        <x:v>Maintain plan</x:v>
      </x:c>
      <x:c r="P246" s="38" t="n">
        <x:v>0</x:v>
      </x:c>
    </x:row>
    <x:row r="247">
      <x:c r="A247" s="32" t="n">
        <x:v>45901</x:v>
      </x:c>
      <x:c r="B247" s="32" t="n">
        <x:v>45901</x:v>
      </x:c>
      <x:c r="C247" t="str">
        <x:v>Actual</x:v>
      </x:c>
      <x:c r="D247" t="str">
        <x:v>DB-103</x:v>
      </x:c>
      <x:c r="E247" s="34" t="n">
        <x:v>28004.807499999995</x:v>
      </x:c>
      <x:c r="F247" s="34" t="n">
        <x:v>0</x:v>
      </x:c>
      <x:c r="G247" s="34" t="n">
        <x:v>248</x:v>
      </x:c>
      <x:c r="H247" s="34" t="n">
        <x:v>248</x:v>
      </x:c>
      <x:c r="I247" s="28" t="n">
        <x:v>1</x:v>
      </x:c>
      <x:c r="J247" s="39" t="n">
        <x:v>248</x:v>
      </x:c>
      <x:c r="K247" s="39" t="n">
        <x:v>6.82</x:v>
      </x:c>
      <x:c r="L247" s="39" t="n">
        <x:v>27763.627499999995</x:v>
      </x:c>
      <x:c r="M247" s="39" t="n">
        <x:v>111.95011088709676</x:v>
      </x:c>
      <x:c r="N247" t="str">
        <x:v>OK</x:v>
      </x:c>
      <x:c r="O247" t="str">
        <x:v>Maintain plan</x:v>
      </x:c>
      <x:c r="P247" s="38" t="n">
        <x:v>0</x:v>
      </x:c>
    </x:row>
    <x:row r="248">
      <x:c r="A248" s="32" t="n">
        <x:v>45908</x:v>
      </x:c>
      <x:c r="B248" s="32" t="n">
        <x:v>45901</x:v>
      </x:c>
      <x:c r="C248" t="str">
        <x:v>Actual</x:v>
      </x:c>
      <x:c r="D248" t="str">
        <x:v>DB-103</x:v>
      </x:c>
      <x:c r="E248" s="34" t="n">
        <x:v>27763.627499999995</x:v>
      </x:c>
      <x:c r="F248" s="34" t="n">
        <x:v>0</x:v>
      </x:c>
      <x:c r="G248" s="34" t="n">
        <x:v>248</x:v>
      </x:c>
      <x:c r="H248" s="34" t="n">
        <x:v>248</x:v>
      </x:c>
      <x:c r="I248" s="28" t="n">
        <x:v>1</x:v>
      </x:c>
      <x:c r="J248" s="39" t="n">
        <x:v>248</x:v>
      </x:c>
      <x:c r="K248" s="39" t="n">
        <x:v>6.82</x:v>
      </x:c>
      <x:c r="L248" s="39" t="n">
        <x:v>27522.447499999995</x:v>
      </x:c>
      <x:c r="M248" s="39" t="n">
        <x:v>110.97761088709676</x:v>
      </x:c>
      <x:c r="N248" t="str">
        <x:v>OK</x:v>
      </x:c>
      <x:c r="O248" t="str">
        <x:v>Maintain plan</x:v>
      </x:c>
      <x:c r="P248" s="38" t="n">
        <x:v>0</x:v>
      </x:c>
    </x:row>
    <x:row r="249">
      <x:c r="A249" s="32" t="n">
        <x:v>45915</x:v>
      </x:c>
      <x:c r="B249" s="32" t="n">
        <x:v>45901</x:v>
      </x:c>
      <x:c r="C249" t="str">
        <x:v>Actual</x:v>
      </x:c>
      <x:c r="D249" t="str">
        <x:v>DB-103</x:v>
      </x:c>
      <x:c r="E249" s="34" t="n">
        <x:v>27522.447499999995</x:v>
      </x:c>
      <x:c r="F249" s="34" t="n">
        <x:v>0</x:v>
      </x:c>
      <x:c r="G249" s="34" t="n">
        <x:v>251</x:v>
      </x:c>
      <x:c r="H249" s="34" t="n">
        <x:v>251</x:v>
      </x:c>
      <x:c r="I249" s="28" t="n">
        <x:v>1</x:v>
      </x:c>
      <x:c r="J249" s="39" t="n">
        <x:v>251</x:v>
      </x:c>
      <x:c r="K249" s="39" t="n">
        <x:v>6.9025</x:v>
      </x:c>
      <x:c r="L249" s="39" t="n">
        <x:v>27278.349999999995</x:v>
      </x:c>
      <x:c r="M249" s="39" t="n">
        <x:v>108.67868525896412</x:v>
      </x:c>
      <x:c r="N249" t="str">
        <x:v>OK</x:v>
      </x:c>
      <x:c r="O249" t="str">
        <x:v>Maintain plan</x:v>
      </x:c>
      <x:c r="P249" s="38" t="n">
        <x:v>0</x:v>
      </x:c>
    </x:row>
    <x:row r="250">
      <x:c r="A250" s="32" t="n">
        <x:v>45922</x:v>
      </x:c>
      <x:c r="B250" s="32" t="n">
        <x:v>45901</x:v>
      </x:c>
      <x:c r="C250" t="str">
        <x:v>Actual</x:v>
      </x:c>
      <x:c r="D250" t="str">
        <x:v>DB-103</x:v>
      </x:c>
      <x:c r="E250" s="34" t="n">
        <x:v>27278.349999999995</x:v>
      </x:c>
      <x:c r="F250" s="34" t="n">
        <x:v>0</x:v>
      </x:c>
      <x:c r="G250" s="34" t="n">
        <x:v>252</x:v>
      </x:c>
      <x:c r="H250" s="34" t="n">
        <x:v>252</x:v>
      </x:c>
      <x:c r="I250" s="28" t="n">
        <x:v>1</x:v>
      </x:c>
      <x:c r="J250" s="39" t="n">
        <x:v>252</x:v>
      </x:c>
      <x:c r="K250" s="39" t="n">
        <x:v>6.93</x:v>
      </x:c>
      <x:c r="L250" s="39" t="n">
        <x:v>27033.279999999995</x:v>
      </x:c>
      <x:c r="M250" s="39" t="n">
        <x:v>107.27492063492062</x:v>
      </x:c>
      <x:c r="N250" t="str">
        <x:v>OK</x:v>
      </x:c>
      <x:c r="O250" t="str">
        <x:v>Maintain plan</x:v>
      </x:c>
      <x:c r="P250" s="38" t="n">
        <x:v>0</x:v>
      </x:c>
    </x:row>
    <x:row r="251">
      <x:c r="A251" s="32" t="n">
        <x:v>45929</x:v>
      </x:c>
      <x:c r="B251" s="32" t="n">
        <x:v>45901</x:v>
      </x:c>
      <x:c r="C251" t="str">
        <x:v>Actual</x:v>
      </x:c>
      <x:c r="D251" t="str">
        <x:v>DB-103</x:v>
      </x:c>
      <x:c r="E251" s="34" t="n">
        <x:v>27033.279999999995</x:v>
      </x:c>
      <x:c r="F251" s="34" t="n">
        <x:v>0</x:v>
      </x:c>
      <x:c r="G251" s="34" t="n">
        <x:v>253</x:v>
      </x:c>
      <x:c r="H251" s="34" t="n">
        <x:v>253</x:v>
      </x:c>
      <x:c r="I251" s="28" t="n">
        <x:v>1</x:v>
      </x:c>
      <x:c r="J251" s="39" t="n">
        <x:v>253</x:v>
      </x:c>
      <x:c r="K251" s="39" t="n">
        <x:v>6.9575000000000005</x:v>
      </x:c>
      <x:c r="L251" s="39" t="n">
        <x:v>26787.237499999996</x:v>
      </x:c>
      <x:c r="M251" s="39" t="n">
        <x:v>105.87840909090907</x:v>
      </x:c>
      <x:c r="N251" t="str">
        <x:v>OK</x:v>
      </x:c>
      <x:c r="O251" t="str">
        <x:v>Maintain plan</x:v>
      </x:c>
      <x:c r="P251" s="38" t="n">
        <x:v>0</x:v>
      </x:c>
    </x:row>
    <x:row r="252">
      <x:c r="A252" s="32" t="n">
        <x:v>45936</x:v>
      </x:c>
      <x:c r="B252" s="32" t="n">
        <x:v>45931</x:v>
      </x:c>
      <x:c r="C252" t="str">
        <x:v>Actual</x:v>
      </x:c>
      <x:c r="D252" t="str">
        <x:v>DB-103</x:v>
      </x:c>
      <x:c r="E252" s="34" t="n">
        <x:v>26787.237499999996</x:v>
      </x:c>
      <x:c r="F252" s="34" t="n">
        <x:v>0</x:v>
      </x:c>
      <x:c r="G252" s="34" t="n">
        <x:v>305</x:v>
      </x:c>
      <x:c r="H252" s="34" t="n">
        <x:v>305</x:v>
      </x:c>
      <x:c r="I252" s="28" t="n">
        <x:v>1</x:v>
      </x:c>
      <x:c r="J252" s="39" t="n">
        <x:v>305</x:v>
      </x:c>
      <x:c r="K252" s="39" t="n">
        <x:v>8.3875</x:v>
      </x:c>
      <x:c r="L252" s="39" t="n">
        <x:v>26490.624999999996</x:v>
      </x:c>
      <x:c r="M252" s="39" t="n">
        <x:v>86.8545081967213</x:v>
      </x:c>
      <x:c r="N252" t="str">
        <x:v>OK</x:v>
      </x:c>
      <x:c r="O252" t="str">
        <x:v>Maintain plan</x:v>
      </x:c>
      <x:c r="P252" s="38" t="n">
        <x:v>0</x:v>
      </x:c>
    </x:row>
    <x:row r="253">
      <x:c r="A253" s="32" t="n">
        <x:v>45943</x:v>
      </x:c>
      <x:c r="B253" s="32" t="n">
        <x:v>45931</x:v>
      </x:c>
      <x:c r="C253" t="str">
        <x:v>Actual</x:v>
      </x:c>
      <x:c r="D253" t="str">
        <x:v>DB-103</x:v>
      </x:c>
      <x:c r="E253" s="34" t="n">
        <x:v>26490.624999999996</x:v>
      </x:c>
      <x:c r="F253" s="34" t="n">
        <x:v>5000</x:v>
      </x:c>
      <x:c r="G253" s="34" t="n">
        <x:v>305</x:v>
      </x:c>
      <x:c r="H253" s="34" t="n">
        <x:v>305</x:v>
      </x:c>
      <x:c r="I253" s="28" t="n">
        <x:v>1</x:v>
      </x:c>
      <x:c r="J253" s="39" t="n">
        <x:v>305</x:v>
      </x:c>
      <x:c r="K253" s="39" t="n">
        <x:v>8.3875</x:v>
      </x:c>
      <x:c r="L253" s="39" t="n">
        <x:v>31194.012499999997</x:v>
      </x:c>
      <x:c r="M253" s="39" t="n">
        <x:v>102.27545081967212</x:v>
      </x:c>
      <x:c r="N253" t="str">
        <x:v>OK</x:v>
      </x:c>
      <x:c r="O253" t="str">
        <x:v>Maintain plan</x:v>
      </x:c>
      <x:c r="P253" s="38" t="n">
        <x:v>68.35</x:v>
      </x:c>
    </x:row>
    <x:row r="254">
      <x:c r="A254" s="32" t="n">
        <x:v>45950</x:v>
      </x:c>
      <x:c r="B254" s="32" t="n">
        <x:v>45931</x:v>
      </x:c>
      <x:c r="C254" t="str">
        <x:v>Actual</x:v>
      </x:c>
      <x:c r="D254" t="str">
        <x:v>DB-103</x:v>
      </x:c>
      <x:c r="E254" s="34" t="n">
        <x:v>31194.012499999997</x:v>
      </x:c>
      <x:c r="F254" s="34" t="n">
        <x:v>0</x:v>
      </x:c>
      <x:c r="G254" s="34" t="n">
        <x:v>306</x:v>
      </x:c>
      <x:c r="H254" s="34" t="n">
        <x:v>306</x:v>
      </x:c>
      <x:c r="I254" s="28" t="n">
        <x:v>1</x:v>
      </x:c>
      <x:c r="J254" s="39" t="n">
        <x:v>306</x:v>
      </x:c>
      <x:c r="K254" s="39" t="n">
        <x:v>8.415000000000001</x:v>
      </x:c>
      <x:c r="L254" s="39" t="n">
        <x:v>30896.427499999998</x:v>
      </x:c>
      <x:c r="M254" s="39" t="n">
        <x:v>100.96871732026143</x:v>
      </x:c>
      <x:c r="N254" t="str">
        <x:v>OK</x:v>
      </x:c>
      <x:c r="O254" t="str">
        <x:v>Maintain plan</x:v>
      </x:c>
      <x:c r="P254" s="38" t="n">
        <x:v>0</x:v>
      </x:c>
    </x:row>
    <x:row r="255">
      <x:c r="A255" s="32" t="n">
        <x:v>45957</x:v>
      </x:c>
      <x:c r="B255" s="32" t="n">
        <x:v>45931</x:v>
      </x:c>
      <x:c r="C255" t="str">
        <x:v>Actual</x:v>
      </x:c>
      <x:c r="D255" t="str">
        <x:v>DB-103</x:v>
      </x:c>
      <x:c r="E255" s="34" t="n">
        <x:v>30896.427499999998</x:v>
      </x:c>
      <x:c r="F255" s="34" t="n">
        <x:v>0</x:v>
      </x:c>
      <x:c r="G255" s="34" t="n">
        <x:v>307</x:v>
      </x:c>
      <x:c r="H255" s="34" t="n">
        <x:v>307</x:v>
      </x:c>
      <x:c r="I255" s="28" t="n">
        <x:v>1</x:v>
      </x:c>
      <x:c r="J255" s="39" t="n">
        <x:v>307</x:v>
      </x:c>
      <x:c r="K255" s="39" t="n">
        <x:v>8.4425</x:v>
      </x:c>
      <x:c r="L255" s="39" t="n">
        <x:v>30597.87</x:v>
      </x:c>
      <x:c r="M255" s="39" t="n">
        <x:v>99.66732899022801</x:v>
      </x:c>
      <x:c r="N255" t="str">
        <x:v>OK</x:v>
      </x:c>
      <x:c r="O255" t="str">
        <x:v>Maintain plan</x:v>
      </x:c>
      <x:c r="P255" s="38" t="n">
        <x:v>0</x:v>
      </x:c>
    </x:row>
    <x:row r="256">
      <x:c r="A256" s="32" t="n">
        <x:v>45964</x:v>
      </x:c>
      <x:c r="B256" s="32" t="n">
        <x:v>45962</x:v>
      </x:c>
      <x:c r="C256" t="str">
        <x:v>Actual</x:v>
      </x:c>
      <x:c r="D256" t="str">
        <x:v>DB-103</x:v>
      </x:c>
      <x:c r="E256" s="34" t="n">
        <x:v>30597.87</x:v>
      </x:c>
      <x:c r="F256" s="34" t="n">
        <x:v>0</x:v>
      </x:c>
      <x:c r="G256" s="34" t="n">
        <x:v>372</x:v>
      </x:c>
      <x:c r="H256" s="34" t="n">
        <x:v>372</x:v>
      </x:c>
      <x:c r="I256" s="28" t="n">
        <x:v>1</x:v>
      </x:c>
      <x:c r="J256" s="39" t="n">
        <x:v>372</x:v>
      </x:c>
      <x:c r="K256" s="39" t="n">
        <x:v>10.23</x:v>
      </x:c>
      <x:c r="L256" s="39" t="n">
        <x:v>30236.1</x:v>
      </x:c>
      <x:c r="M256" s="39" t="n">
        <x:v>81.27983870967742</x:v>
      </x:c>
      <x:c r="N256" t="str">
        <x:v>OK</x:v>
      </x:c>
      <x:c r="O256" t="str">
        <x:v>Maintain plan</x:v>
      </x:c>
      <x:c r="P256" s="38" t="n">
        <x:v>0</x:v>
      </x:c>
    </x:row>
    <x:row r="257">
      <x:c r="A257" s="32" t="n">
        <x:v>45971</x:v>
      </x:c>
      <x:c r="B257" s="32" t="n">
        <x:v>45962</x:v>
      </x:c>
      <x:c r="C257" t="str">
        <x:v>Actual</x:v>
      </x:c>
      <x:c r="D257" t="str">
        <x:v>DB-103</x:v>
      </x:c>
      <x:c r="E257" s="34" t="n">
        <x:v>30236.1</x:v>
      </x:c>
      <x:c r="F257" s="34" t="n">
        <x:v>0</x:v>
      </x:c>
      <x:c r="G257" s="34" t="n">
        <x:v>374</x:v>
      </x:c>
      <x:c r="H257" s="34" t="n">
        <x:v>374</x:v>
      </x:c>
      <x:c r="I257" s="28" t="n">
        <x:v>1</x:v>
      </x:c>
      <x:c r="J257" s="39" t="n">
        <x:v>374</x:v>
      </x:c>
      <x:c r="K257" s="39" t="n">
        <x:v>10.285</x:v>
      </x:c>
      <x:c r="L257" s="39" t="n">
        <x:v>29872.385</x:v>
      </x:c>
      <x:c r="M257" s="39" t="n">
        <x:v>79.8726871657754</x:v>
      </x:c>
      <x:c r="N257" t="str">
        <x:v>OK</x:v>
      </x:c>
      <x:c r="O257" t="str">
        <x:v>Maintain plan</x:v>
      </x:c>
      <x:c r="P257" s="38" t="n">
        <x:v>0</x:v>
      </x:c>
    </x:row>
    <x:row r="258">
      <x:c r="A258" s="32" t="n">
        <x:v>45978</x:v>
      </x:c>
      <x:c r="B258" s="32" t="n">
        <x:v>45962</x:v>
      </x:c>
      <x:c r="C258" t="str">
        <x:v>Actual</x:v>
      </x:c>
      <x:c r="D258" t="str">
        <x:v>DB-103</x:v>
      </x:c>
      <x:c r="E258" s="34" t="n">
        <x:v>29872.385</x:v>
      </x:c>
      <x:c r="F258" s="34" t="n">
        <x:v>0</x:v>
      </x:c>
      <x:c r="G258" s="34" t="n">
        <x:v>375</x:v>
      </x:c>
      <x:c r="H258" s="34" t="n">
        <x:v>375</x:v>
      </x:c>
      <x:c r="I258" s="28" t="n">
        <x:v>1</x:v>
      </x:c>
      <x:c r="J258" s="39" t="n">
        <x:v>375</x:v>
      </x:c>
      <x:c r="K258" s="39" t="n">
        <x:v>10.3125</x:v>
      </x:c>
      <x:c r="L258" s="39" t="n">
        <x:v>29507.6975</x:v>
      </x:c>
      <x:c r="M258" s="39" t="n">
        <x:v>78.68719333333333</x:v>
      </x:c>
      <x:c r="N258" t="str">
        <x:v>OK</x:v>
      </x:c>
      <x:c r="O258" t="str">
        <x:v>Maintain plan</x:v>
      </x:c>
      <x:c r="P258" s="38" t="n">
        <x:v>0</x:v>
      </x:c>
    </x:row>
    <x:row r="259">
      <x:c r="A259" s="32" t="n">
        <x:v>45985</x:v>
      </x:c>
      <x:c r="B259" s="32" t="n">
        <x:v>45962</x:v>
      </x:c>
      <x:c r="C259" t="str">
        <x:v>Actual</x:v>
      </x:c>
      <x:c r="D259" t="str">
        <x:v>DB-103</x:v>
      </x:c>
      <x:c r="E259" s="34" t="n">
        <x:v>29507.6975</x:v>
      </x:c>
      <x:c r="F259" s="34" t="n">
        <x:v>0</x:v>
      </x:c>
      <x:c r="G259" s="34" t="n">
        <x:v>375</x:v>
      </x:c>
      <x:c r="H259" s="34" t="n">
        <x:v>375</x:v>
      </x:c>
      <x:c r="I259" s="28" t="n">
        <x:v>1</x:v>
      </x:c>
      <x:c r="J259" s="39" t="n">
        <x:v>375</x:v>
      </x:c>
      <x:c r="K259" s="39" t="n">
        <x:v>10.3125</x:v>
      </x:c>
      <x:c r="L259" s="39" t="n">
        <x:v>29143.01</x:v>
      </x:c>
      <x:c r="M259" s="39" t="n">
        <x:v>77.71469333333333</x:v>
      </x:c>
      <x:c r="N259" t="str">
        <x:v>OK</x:v>
      </x:c>
      <x:c r="O259" t="str">
        <x:v>Maintain plan</x:v>
      </x:c>
      <x:c r="P259" s="38" t="n">
        <x:v>0</x:v>
      </x:c>
    </x:row>
    <x:row r="260">
      <x:c r="A260" s="32" t="n">
        <x:v>45992</x:v>
      </x:c>
      <x:c r="B260" s="32" t="n">
        <x:v>45992</x:v>
      </x:c>
      <x:c r="C260" t="str">
        <x:v>Actual</x:v>
      </x:c>
      <x:c r="D260" t="str">
        <x:v>DB-103</x:v>
      </x:c>
      <x:c r="E260" s="34" t="n">
        <x:v>29143.01</x:v>
      </x:c>
      <x:c r="F260" s="34" t="n">
        <x:v>0</x:v>
      </x:c>
      <x:c r="G260" s="34" t="n">
        <x:v>412</x:v>
      </x:c>
      <x:c r="H260" s="34" t="n">
        <x:v>412</x:v>
      </x:c>
      <x:c r="I260" s="28" t="n">
        <x:v>1</x:v>
      </x:c>
      <x:c r="J260" s="39" t="n">
        <x:v>412</x:v>
      </x:c>
      <x:c r="K260" s="39" t="n">
        <x:v>11.33</x:v>
      </x:c>
      <x:c r="L260" s="39" t="n">
        <x:v>28742.34</x:v>
      </x:c>
      <x:c r="M260" s="39" t="n">
        <x:v>69.76296116504854</x:v>
      </x:c>
      <x:c r="N260" t="str">
        <x:v>OK</x:v>
      </x:c>
      <x:c r="O260" t="str">
        <x:v>Maintain plan</x:v>
      </x:c>
      <x:c r="P260" s="38" t="n">
        <x:v>0</x:v>
      </x:c>
    </x:row>
    <x:row r="261">
      <x:c r="A261" s="32" t="n">
        <x:v>45999</x:v>
      </x:c>
      <x:c r="B261" s="32" t="n">
        <x:v>45992</x:v>
      </x:c>
      <x:c r="C261" t="str">
        <x:v>Actual</x:v>
      </x:c>
      <x:c r="D261" t="str">
        <x:v>DB-103</x:v>
      </x:c>
      <x:c r="E261" s="34" t="n">
        <x:v>28742.34</x:v>
      </x:c>
      <x:c r="F261" s="34" t="n">
        <x:v>5000</x:v>
      </x:c>
      <x:c r="G261" s="34" t="n">
        <x:v>413</x:v>
      </x:c>
      <x:c r="H261" s="34" t="n">
        <x:v>413</x:v>
      </x:c>
      <x:c r="I261" s="28" t="n">
        <x:v>1</x:v>
      </x:c>
      <x:c r="J261" s="39" t="n">
        <x:v>413</x:v>
      </x:c>
      <x:c r="K261" s="39" t="n">
        <x:v>11.3575</x:v>
      </x:c>
      <x:c r="L261" s="39" t="n">
        <x:v>33340.697499999995</x:v>
      </x:c>
      <x:c r="M261" s="39" t="n">
        <x:v>80.72808111380144</x:v>
      </x:c>
      <x:c r="N261" t="str">
        <x:v>OK</x:v>
      </x:c>
      <x:c r="O261" t="str">
        <x:v>Maintain plan</x:v>
      </x:c>
      <x:c r="P261" s="38" t="n">
        <x:v>68.35</x:v>
      </x:c>
    </x:row>
    <x:row r="262">
      <x:c r="A262" s="32" t="n">
        <x:v>46006</x:v>
      </x:c>
      <x:c r="B262" s="32" t="n">
        <x:v>45992</x:v>
      </x:c>
      <x:c r="C262" t="str">
        <x:v>Actual</x:v>
      </x:c>
      <x:c r="D262" t="str">
        <x:v>DB-103</x:v>
      </x:c>
      <x:c r="E262" s="34" t="n">
        <x:v>33340.697499999995</x:v>
      </x:c>
      <x:c r="F262" s="34" t="n">
        <x:v>0</x:v>
      </x:c>
      <x:c r="G262" s="34" t="n">
        <x:v>414</x:v>
      </x:c>
      <x:c r="H262" s="34" t="n">
        <x:v>414</x:v>
      </x:c>
      <x:c r="I262" s="28" t="n">
        <x:v>1</x:v>
      </x:c>
      <x:c r="J262" s="39" t="n">
        <x:v>414</x:v>
      </x:c>
      <x:c r="K262" s="39" t="n">
        <x:v>11.385</x:v>
      </x:c>
      <x:c r="L262" s="39" t="n">
        <x:v>32938.0825</x:v>
      </x:c>
      <x:c r="M262" s="39" t="n">
        <x:v>79.56058574879226</x:v>
      </x:c>
      <x:c r="N262" t="str">
        <x:v>OK</x:v>
      </x:c>
      <x:c r="O262" t="str">
        <x:v>Maintain plan</x:v>
      </x:c>
      <x:c r="P262" s="38" t="n">
        <x:v>0</x:v>
      </x:c>
    </x:row>
    <x:row r="263">
      <x:c r="A263" s="32" t="n">
        <x:v>46013</x:v>
      </x:c>
      <x:c r="B263" s="32" t="n">
        <x:v>45992</x:v>
      </x:c>
      <x:c r="C263" t="str">
        <x:v>Actual</x:v>
      </x:c>
      <x:c r="D263" t="str">
        <x:v>DB-103</x:v>
      </x:c>
      <x:c r="E263" s="34" t="n">
        <x:v>32938.0825</x:v>
      </x:c>
      <x:c r="F263" s="34" t="n">
        <x:v>0</x:v>
      </x:c>
      <x:c r="G263" s="34" t="n">
        <x:v>415</x:v>
      </x:c>
      <x:c r="H263" s="34" t="n">
        <x:v>415</x:v>
      </x:c>
      <x:c r="I263" s="28" t="n">
        <x:v>1</x:v>
      </x:c>
      <x:c r="J263" s="39" t="n">
        <x:v>415</x:v>
      </x:c>
      <x:c r="K263" s="39" t="n">
        <x:v>11.4125</x:v>
      </x:c>
      <x:c r="L263" s="39" t="n">
        <x:v>32534.494999999995</x:v>
      </x:c>
      <x:c r="M263" s="39" t="n">
        <x:v>78.39637349397589</x:v>
      </x:c>
      <x:c r="N263" t="str">
        <x:v>OK</x:v>
      </x:c>
      <x:c r="O263" t="str">
        <x:v>Maintain plan</x:v>
      </x:c>
      <x:c r="P263" s="38" t="n">
        <x:v>0</x:v>
      </x:c>
    </x:row>
    <x:row r="264">
      <x:c r="A264" s="32" t="n">
        <x:v>46020</x:v>
      </x:c>
      <x:c r="B264" s="32" t="n">
        <x:v>45992</x:v>
      </x:c>
      <x:c r="C264" t="str">
        <x:v>Actual</x:v>
      </x:c>
      <x:c r="D264" t="str">
        <x:v>DB-103</x:v>
      </x:c>
      <x:c r="E264" s="34" t="n">
        <x:v>32534.494999999995</x:v>
      </x:c>
      <x:c r="F264" s="34" t="n">
        <x:v>0</x:v>
      </x:c>
      <x:c r="G264" s="34" t="n">
        <x:v>417</x:v>
      </x:c>
      <x:c r="H264" s="34" t="n">
        <x:v>417</x:v>
      </x:c>
      <x:c r="I264" s="28" t="n">
        <x:v>1</x:v>
      </x:c>
      <x:c r="J264" s="39" t="n">
        <x:v>417</x:v>
      </x:c>
      <x:c r="K264" s="39" t="n">
        <x:v>11.4675</x:v>
      </x:c>
      <x:c r="L264" s="39" t="n">
        <x:v>32128.962499999994</x:v>
      </x:c>
      <x:c r="M264" s="39" t="n">
        <x:v>77.04787170263788</x:v>
      </x:c>
      <x:c r="N264" t="str">
        <x:v>OK</x:v>
      </x:c>
      <x:c r="O264" t="str">
        <x:v>Maintain plan</x:v>
      </x:c>
      <x:c r="P264" s="38" t="n">
        <x:v>0</x:v>
      </x:c>
    </x:row>
    <x:row r="265">
      <x:c r="A265" s="32" t="n">
        <x:v>46027</x:v>
      </x:c>
      <x:c r="B265" s="32" t="n">
        <x:v>46023</x:v>
      </x:c>
      <x:c r="C265" t="str">
        <x:v>Forecast</x:v>
      </x:c>
      <x:c r="D265" t="str">
        <x:v>DB-103</x:v>
      </x:c>
      <x:c r="E265" s="34" t="n">
        <x:v>32128.962499999994</x:v>
      </x:c>
      <x:c r="F265" s="34" t="n">
        <x:v>0</x:v>
      </x:c>
      <x:c r="G265" s="34" t="n">
        <x:v>401</x:v>
      </x:c>
      <x:c r="H265" s="34" t="n">
        <x:v>401</x:v>
      </x:c>
      <x:c r="I265" s="28" t="n">
        <x:v>1</x:v>
      </x:c>
      <x:c r="J265" s="39" t="n">
        <x:v>401</x:v>
      </x:c>
      <x:c r="K265" s="39" t="n">
        <x:v>11.0275</x:v>
      </x:c>
      <x:c r="L265" s="39" t="n">
        <x:v>31738.989999999994</x:v>
      </x:c>
      <x:c r="M265" s="39" t="n">
        <x:v>79.14960099750623</x:v>
      </x:c>
      <x:c r="N265" t="str">
        <x:v>OK</x:v>
      </x:c>
      <x:c r="O265" t="str">
        <x:v>Maintain plan</x:v>
      </x:c>
      <x:c r="P265" s="38" t="n">
        <x:v>0</x:v>
      </x:c>
    </x:row>
    <x:row r="266">
      <x:c r="A266" s="32" t="n">
        <x:v>46034</x:v>
      </x:c>
      <x:c r="B266" s="32" t="n">
        <x:v>46023</x:v>
      </x:c>
      <x:c r="C266" t="str">
        <x:v>Forecast</x:v>
      </x:c>
      <x:c r="D266" t="str">
        <x:v>DB-103</x:v>
      </x:c>
      <x:c r="E266" s="34" t="n">
        <x:v>31738.989999999994</x:v>
      </x:c>
      <x:c r="F266" s="34" t="n">
        <x:v>0</x:v>
      </x:c>
      <x:c r="G266" s="34" t="n">
        <x:v>401</x:v>
      </x:c>
      <x:c r="H266" s="34" t="n">
        <x:v>401</x:v>
      </x:c>
      <x:c r="I266" s="28" t="n">
        <x:v>1</x:v>
      </x:c>
      <x:c r="J266" s="39" t="n">
        <x:v>401</x:v>
      </x:c>
      <x:c r="K266" s="39" t="n">
        <x:v>11.0275</x:v>
      </x:c>
      <x:c r="L266" s="39" t="n">
        <x:v>31349.017499999994</x:v>
      </x:c>
      <x:c r="M266" s="39" t="n">
        <x:v>78.17710099750622</x:v>
      </x:c>
      <x:c r="N266" t="str">
        <x:v>OK</x:v>
      </x:c>
      <x:c r="O266" t="str">
        <x:v>Maintain plan</x:v>
      </x:c>
      <x:c r="P266" s="38" t="n">
        <x:v>0</x:v>
      </x:c>
    </x:row>
    <x:row r="267">
      <x:c r="A267" s="32" t="n">
        <x:v>46041</x:v>
      </x:c>
      <x:c r="B267" s="32" t="n">
        <x:v>46023</x:v>
      </x:c>
      <x:c r="C267" t="str">
        <x:v>Forecast</x:v>
      </x:c>
      <x:c r="D267" t="str">
        <x:v>DB-103</x:v>
      </x:c>
      <x:c r="E267" s="34" t="n">
        <x:v>31349.017499999994</x:v>
      </x:c>
      <x:c r="F267" s="34" t="n">
        <x:v>0</x:v>
      </x:c>
      <x:c r="G267" s="34" t="n">
        <x:v>401</x:v>
      </x:c>
      <x:c r="H267" s="34" t="n">
        <x:v>401</x:v>
      </x:c>
      <x:c r="I267" s="28" t="n">
        <x:v>1</x:v>
      </x:c>
      <x:c r="J267" s="39" t="n">
        <x:v>401</x:v>
      </x:c>
      <x:c r="K267" s="39" t="n">
        <x:v>11.0275</x:v>
      </x:c>
      <x:c r="L267" s="39" t="n">
        <x:v>30959.044999999995</x:v>
      </x:c>
      <x:c r="M267" s="39" t="n">
        <x:v>77.20460099750622</x:v>
      </x:c>
      <x:c r="N267" t="str">
        <x:v>OK</x:v>
      </x:c>
      <x:c r="O267" t="str">
        <x:v>Maintain plan</x:v>
      </x:c>
      <x:c r="P267" s="38" t="n">
        <x:v>0</x:v>
      </x:c>
    </x:row>
    <x:row r="268">
      <x:c r="A268" s="32" t="n">
        <x:v>46048</x:v>
      </x:c>
      <x:c r="B268" s="32" t="n">
        <x:v>46023</x:v>
      </x:c>
      <x:c r="C268" t="str">
        <x:v>Forecast</x:v>
      </x:c>
      <x:c r="D268" t="str">
        <x:v>DB-103</x:v>
      </x:c>
      <x:c r="E268" s="34" t="n">
        <x:v>30959.044999999995</x:v>
      </x:c>
      <x:c r="F268" s="34" t="n">
        <x:v>0</x:v>
      </x:c>
      <x:c r="G268" s="34" t="n">
        <x:v>401</x:v>
      </x:c>
      <x:c r="H268" s="34" t="n">
        <x:v>401</x:v>
      </x:c>
      <x:c r="I268" s="28" t="n">
        <x:v>1</x:v>
      </x:c>
      <x:c r="J268" s="39" t="n">
        <x:v>401</x:v>
      </x:c>
      <x:c r="K268" s="39" t="n">
        <x:v>11.0275</x:v>
      </x:c>
      <x:c r="L268" s="39" t="n">
        <x:v>30569.072499999995</x:v>
      </x:c>
      <x:c r="M268" s="39" t="n">
        <x:v>76.23210099750622</x:v>
      </x:c>
      <x:c r="N268" t="str">
        <x:v>OK</x:v>
      </x:c>
      <x:c r="O268" t="str">
        <x:v>Maintain plan</x:v>
      </x:c>
      <x:c r="P268" s="38" t="n">
        <x:v>0</x:v>
      </x:c>
    </x:row>
    <x:row r="269">
      <x:c r="A269" s="32" t="n">
        <x:v>46055</x:v>
      </x:c>
      <x:c r="B269" s="32" t="n">
        <x:v>46054</x:v>
      </x:c>
      <x:c r="C269" t="str">
        <x:v>Forecast</x:v>
      </x:c>
      <x:c r="D269" t="str">
        <x:v>DB-103</x:v>
      </x:c>
      <x:c r="E269" s="34" t="n">
        <x:v>30569.072499999995</x:v>
      </x:c>
      <x:c r="F269" s="34" t="n">
        <x:v>0</x:v>
      </x:c>
      <x:c r="G269" s="34" t="n">
        <x:v>355</x:v>
      </x:c>
      <x:c r="H269" s="34" t="n">
        <x:v>355</x:v>
      </x:c>
      <x:c r="I269" s="28" t="n">
        <x:v>1</x:v>
      </x:c>
      <x:c r="J269" s="39" t="n">
        <x:v>355</x:v>
      </x:c>
      <x:c r="K269" s="39" t="n">
        <x:v>9.7625</x:v>
      </x:c>
      <x:c r="L269" s="39" t="n">
        <x:v>30223.834999999995</x:v>
      </x:c>
      <x:c r="M269" s="39" t="n">
        <x:v>85.13756338028168</x:v>
      </x:c>
      <x:c r="N269" t="str">
        <x:v>OK</x:v>
      </x:c>
      <x:c r="O269" t="str">
        <x:v>Maintain plan</x:v>
      </x:c>
      <x:c r="P269" s="38" t="n">
        <x:v>0</x:v>
      </x:c>
    </x:row>
    <x:row r="270">
      <x:c r="A270" s="32" t="n">
        <x:v>46062</x:v>
      </x:c>
      <x:c r="B270" s="32" t="n">
        <x:v>46054</x:v>
      </x:c>
      <x:c r="C270" t="str">
        <x:v>Forecast</x:v>
      </x:c>
      <x:c r="D270" t="str">
        <x:v>DB-103</x:v>
      </x:c>
      <x:c r="E270" s="34" t="n">
        <x:v>30223.834999999995</x:v>
      </x:c>
      <x:c r="F270" s="34" t="n">
        <x:v>0</x:v>
      </x:c>
      <x:c r="G270" s="34" t="n">
        <x:v>355</x:v>
      </x:c>
      <x:c r="H270" s="34" t="n">
        <x:v>355</x:v>
      </x:c>
      <x:c r="I270" s="28" t="n">
        <x:v>1</x:v>
      </x:c>
      <x:c r="J270" s="39" t="n">
        <x:v>355</x:v>
      </x:c>
      <x:c r="K270" s="39" t="n">
        <x:v>9.7625</x:v>
      </x:c>
      <x:c r="L270" s="39" t="n">
        <x:v>29878.597499999996</x:v>
      </x:c>
      <x:c r="M270" s="39" t="n">
        <x:v>84.16506338028168</x:v>
      </x:c>
      <x:c r="N270" t="str">
        <x:v>OK</x:v>
      </x:c>
      <x:c r="O270" t="str">
        <x:v>Maintain plan</x:v>
      </x:c>
      <x:c r="P270" s="38" t="n">
        <x:v>0</x:v>
      </x:c>
    </x:row>
    <x:row r="271">
      <x:c r="A271" s="32" t="n">
        <x:v>46069</x:v>
      </x:c>
      <x:c r="B271" s="32" t="n">
        <x:v>46054</x:v>
      </x:c>
      <x:c r="C271" t="str">
        <x:v>Forecast</x:v>
      </x:c>
      <x:c r="D271" t="str">
        <x:v>DB-103</x:v>
      </x:c>
      <x:c r="E271" s="34" t="n">
        <x:v>29878.597499999996</x:v>
      </x:c>
      <x:c r="F271" s="34" t="n">
        <x:v>0</x:v>
      </x:c>
      <x:c r="G271" s="34" t="n">
        <x:v>355</x:v>
      </x:c>
      <x:c r="H271" s="34" t="n">
        <x:v>355</x:v>
      </x:c>
      <x:c r="I271" s="28" t="n">
        <x:v>1</x:v>
      </x:c>
      <x:c r="J271" s="39" t="n">
        <x:v>355</x:v>
      </x:c>
      <x:c r="K271" s="39" t="n">
        <x:v>9.7625</x:v>
      </x:c>
      <x:c r="L271" s="39" t="n">
        <x:v>29533.359999999997</x:v>
      </x:c>
      <x:c r="M271" s="39" t="n">
        <x:v>83.19256338028168</x:v>
      </x:c>
      <x:c r="N271" t="str">
        <x:v>OK</x:v>
      </x:c>
      <x:c r="O271" t="str">
        <x:v>Maintain plan</x:v>
      </x:c>
      <x:c r="P271" s="38" t="n">
        <x:v>0</x:v>
      </x:c>
    </x:row>
    <x:row r="272">
      <x:c r="A272" s="32" t="n">
        <x:v>46076</x:v>
      </x:c>
      <x:c r="B272" s="32" t="n">
        <x:v>46054</x:v>
      </x:c>
      <x:c r="C272" t="str">
        <x:v>Forecast</x:v>
      </x:c>
      <x:c r="D272" t="str">
        <x:v>DB-103</x:v>
      </x:c>
      <x:c r="E272" s="34" t="n">
        <x:v>29533.359999999997</x:v>
      </x:c>
      <x:c r="F272" s="34" t="n">
        <x:v>0</x:v>
      </x:c>
      <x:c r="G272" s="34" t="n">
        <x:v>355</x:v>
      </x:c>
      <x:c r="H272" s="34" t="n">
        <x:v>355</x:v>
      </x:c>
      <x:c r="I272" s="28" t="n">
        <x:v>1</x:v>
      </x:c>
      <x:c r="J272" s="39" t="n">
        <x:v>355</x:v>
      </x:c>
      <x:c r="K272" s="39" t="n">
        <x:v>9.7625</x:v>
      </x:c>
      <x:c r="L272" s="39" t="n">
        <x:v>29188.122499999998</x:v>
      </x:c>
      <x:c r="M272" s="39" t="n">
        <x:v>82.22006338028169</x:v>
      </x:c>
      <x:c r="N272" t="str">
        <x:v>OK</x:v>
      </x:c>
      <x:c r="O272" t="str">
        <x:v>Maintain plan</x:v>
      </x:c>
      <x:c r="P272" s="38" t="n">
        <x:v>0</x:v>
      </x:c>
    </x:row>
    <x:row r="273">
      <x:c r="A273" s="32" t="n">
        <x:v>46083</x:v>
      </x:c>
      <x:c r="B273" s="32" t="n">
        <x:v>46082</x:v>
      </x:c>
      <x:c r="C273" t="str">
        <x:v>Forecast</x:v>
      </x:c>
      <x:c r="D273" t="str">
        <x:v>DB-103</x:v>
      </x:c>
      <x:c r="E273" s="34" t="n">
        <x:v>29188.122499999998</x:v>
      </x:c>
      <x:c r="F273" s="34" t="n">
        <x:v>0</x:v>
      </x:c>
      <x:c r="G273" s="34" t="n">
        <x:v>303</x:v>
      </x:c>
      <x:c r="H273" s="34" t="n">
        <x:v>303</x:v>
      </x:c>
      <x:c r="I273" s="28" t="n">
        <x:v>1</x:v>
      </x:c>
      <x:c r="J273" s="39" t="n">
        <x:v>303</x:v>
      </x:c>
      <x:c r="K273" s="39" t="n">
        <x:v>8.3325</x:v>
      </x:c>
      <x:c r="L273" s="39" t="n">
        <x:v>28893.454999999998</x:v>
      </x:c>
      <x:c r="M273" s="39" t="n">
        <x:v>95.35793729372936</x:v>
      </x:c>
      <x:c r="N273" t="str">
        <x:v>OK</x:v>
      </x:c>
      <x:c r="O273" t="str">
        <x:v>Maintain plan</x:v>
      </x:c>
      <x:c r="P273" s="38" t="n">
        <x:v>0</x:v>
      </x:c>
    </x:row>
    <x:row r="274">
      <x:c r="A274" s="32" t="n">
        <x:v>46090</x:v>
      </x:c>
      <x:c r="B274" s="32" t="n">
        <x:v>46082</x:v>
      </x:c>
      <x:c r="C274" t="str">
        <x:v>Forecast</x:v>
      </x:c>
      <x:c r="D274" t="str">
        <x:v>DB-103</x:v>
      </x:c>
      <x:c r="E274" s="34" t="n">
        <x:v>28893.454999999998</x:v>
      </x:c>
      <x:c r="F274" s="34" t="n">
        <x:v>0</x:v>
      </x:c>
      <x:c r="G274" s="34" t="n">
        <x:v>303</x:v>
      </x:c>
      <x:c r="H274" s="34" t="n">
        <x:v>303</x:v>
      </x:c>
      <x:c r="I274" s="28" t="n">
        <x:v>1</x:v>
      </x:c>
      <x:c r="J274" s="39" t="n">
        <x:v>303</x:v>
      </x:c>
      <x:c r="K274" s="39" t="n">
        <x:v>8.3325</x:v>
      </x:c>
      <x:c r="L274" s="39" t="n">
        <x:v>28598.7875</x:v>
      </x:c>
      <x:c r="M274" s="39" t="n">
        <x:v>94.38543729372937</x:v>
      </x:c>
      <x:c r="N274" t="str">
        <x:v>OK</x:v>
      </x:c>
      <x:c r="O274" t="str">
        <x:v>Maintain plan</x:v>
      </x:c>
      <x:c r="P274" s="38" t="n">
        <x:v>0</x:v>
      </x:c>
    </x:row>
    <x:row r="275">
      <x:c r="A275" s="32" t="n">
        <x:v>46097</x:v>
      </x:c>
      <x:c r="B275" s="32" t="n">
        <x:v>46082</x:v>
      </x:c>
      <x:c r="C275" t="str">
        <x:v>Forecast</x:v>
      </x:c>
      <x:c r="D275" t="str">
        <x:v>DB-103</x:v>
      </x:c>
      <x:c r="E275" s="34" t="n">
        <x:v>28598.7875</x:v>
      </x:c>
      <x:c r="F275" s="34" t="n">
        <x:v>0</x:v>
      </x:c>
      <x:c r="G275" s="34" t="n">
        <x:v>303</x:v>
      </x:c>
      <x:c r="H275" s="34" t="n">
        <x:v>303</x:v>
      </x:c>
      <x:c r="I275" s="28" t="n">
        <x:v>1</x:v>
      </x:c>
      <x:c r="J275" s="39" t="n">
        <x:v>303</x:v>
      </x:c>
      <x:c r="K275" s="39" t="n">
        <x:v>8.3325</x:v>
      </x:c>
      <x:c r="L275" s="39" t="n">
        <x:v>28304.12</x:v>
      </x:c>
      <x:c r="M275" s="39" t="n">
        <x:v>93.41293729372937</x:v>
      </x:c>
      <x:c r="N275" t="str">
        <x:v>OK</x:v>
      </x:c>
      <x:c r="O275" t="str">
        <x:v>Maintain plan</x:v>
      </x:c>
      <x:c r="P275" s="38" t="n">
        <x:v>0</x:v>
      </x:c>
    </x:row>
    <x:row r="276">
      <x:c r="A276" s="32" t="n">
        <x:v>46104</x:v>
      </x:c>
      <x:c r="B276" s="32" t="n">
        <x:v>46082</x:v>
      </x:c>
      <x:c r="C276" t="str">
        <x:v>Forecast</x:v>
      </x:c>
      <x:c r="D276" t="str">
        <x:v>DB-103</x:v>
      </x:c>
      <x:c r="E276" s="34" t="n">
        <x:v>28304.12</x:v>
      </x:c>
      <x:c r="F276" s="34" t="n">
        <x:v>0</x:v>
      </x:c>
      <x:c r="G276" s="34" t="n">
        <x:v>303</x:v>
      </x:c>
      <x:c r="H276" s="34" t="n">
        <x:v>303</x:v>
      </x:c>
      <x:c r="I276" s="28" t="n">
        <x:v>1</x:v>
      </x:c>
      <x:c r="J276" s="39" t="n">
        <x:v>303</x:v>
      </x:c>
      <x:c r="K276" s="39" t="n">
        <x:v>8.3325</x:v>
      </x:c>
      <x:c r="L276" s="39" t="n">
        <x:v>28009.4525</x:v>
      </x:c>
      <x:c r="M276" s="39" t="n">
        <x:v>92.44043729372937</x:v>
      </x:c>
      <x:c r="N276" t="str">
        <x:v>OK</x:v>
      </x:c>
      <x:c r="O276" t="str">
        <x:v>Maintain plan</x:v>
      </x:c>
      <x:c r="P276" s="38" t="n">
        <x:v>0</x:v>
      </x:c>
    </x:row>
    <x:row r="277">
      <x:c r="A277" s="32" t="n">
        <x:v>46111</x:v>
      </x:c>
      <x:c r="B277" s="32" t="n">
        <x:v>46082</x:v>
      </x:c>
      <x:c r="C277" t="str">
        <x:v>Forecast</x:v>
      </x:c>
      <x:c r="D277" t="str">
        <x:v>DB-103</x:v>
      </x:c>
      <x:c r="E277" s="34" t="n">
        <x:v>28009.4525</x:v>
      </x:c>
      <x:c r="F277" s="34" t="n">
        <x:v>0</x:v>
      </x:c>
      <x:c r="G277" s="34" t="n">
        <x:v>303</x:v>
      </x:c>
      <x:c r="H277" s="34" t="n">
        <x:v>303</x:v>
      </x:c>
      <x:c r="I277" s="28" t="n">
        <x:v>1</x:v>
      </x:c>
      <x:c r="J277" s="39" t="n">
        <x:v>303</x:v>
      </x:c>
      <x:c r="K277" s="39" t="n">
        <x:v>8.3325</x:v>
      </x:c>
      <x:c r="L277" s="39" t="n">
        <x:v>27714.785</x:v>
      </x:c>
      <x:c r="M277" s="39" t="n">
        <x:v>91.46793729372938</x:v>
      </x:c>
      <x:c r="N277" t="str">
        <x:v>OK</x:v>
      </x:c>
      <x:c r="O277" t="str">
        <x:v>Maintain plan</x:v>
      </x:c>
      <x:c r="P277" s="38" t="n">
        <x:v>0</x:v>
      </x:c>
    </x:row>
    <x:row r="278">
      <x:c r="A278" s="32" t="n">
        <x:v>46118</x:v>
      </x:c>
      <x:c r="B278" s="32" t="n">
        <x:v>46113</x:v>
      </x:c>
      <x:c r="C278" t="str">
        <x:v>Forecast</x:v>
      </x:c>
      <x:c r="D278" t="str">
        <x:v>DB-103</x:v>
      </x:c>
      <x:c r="E278" s="34" t="n">
        <x:v>27714.785</x:v>
      </x:c>
      <x:c r="F278" s="34" t="n">
        <x:v>0</x:v>
      </x:c>
      <x:c r="G278" s="34" t="n">
        <x:v>269</x:v>
      </x:c>
      <x:c r="H278" s="34" t="n">
        <x:v>269</x:v>
      </x:c>
      <x:c r="I278" s="28" t="n">
        <x:v>1</x:v>
      </x:c>
      <x:c r="J278" s="39" t="n">
        <x:v>269</x:v>
      </x:c>
      <x:c r="K278" s="39" t="n">
        <x:v>7.3975</x:v>
      </x:c>
      <x:c r="L278" s="39" t="n">
        <x:v>27453.1825</x:v>
      </x:c>
      <x:c r="M278" s="39" t="n">
        <x:v>102.05644052044609</x:v>
      </x:c>
      <x:c r="N278" t="str">
        <x:v>OK</x:v>
      </x:c>
      <x:c r="O278" t="str">
        <x:v>Maintain plan</x:v>
      </x:c>
      <x:c r="P278" s="38" t="n">
        <x:v>0</x:v>
      </x:c>
    </x:row>
    <x:row r="279">
      <x:c r="A279" s="32" t="n">
        <x:v>46125</x:v>
      </x:c>
      <x:c r="B279" s="32" t="n">
        <x:v>46113</x:v>
      </x:c>
      <x:c r="C279" t="str">
        <x:v>Forecast</x:v>
      </x:c>
      <x:c r="D279" t="str">
        <x:v>DB-103</x:v>
      </x:c>
      <x:c r="E279" s="34" t="n">
        <x:v>27453.1825</x:v>
      </x:c>
      <x:c r="F279" s="34" t="n">
        <x:v>0</x:v>
      </x:c>
      <x:c r="G279" s="34" t="n">
        <x:v>269</x:v>
      </x:c>
      <x:c r="H279" s="34" t="n">
        <x:v>269</x:v>
      </x:c>
      <x:c r="I279" s="28" t="n">
        <x:v>1</x:v>
      </x:c>
      <x:c r="J279" s="39" t="n">
        <x:v>269</x:v>
      </x:c>
      <x:c r="K279" s="39" t="n">
        <x:v>7.3975</x:v>
      </x:c>
      <x:c r="L279" s="39" t="n">
        <x:v>27191.579999999998</x:v>
      </x:c>
      <x:c r="M279" s="39" t="n">
        <x:v>101.08394052044609</x:v>
      </x:c>
      <x:c r="N279" t="str">
        <x:v>OK</x:v>
      </x:c>
      <x:c r="O279" t="str">
        <x:v>Maintain plan</x:v>
      </x:c>
      <x:c r="P279" s="38" t="n">
        <x:v>0</x:v>
      </x:c>
    </x:row>
    <x:row r="280">
      <x:c r="A280" s="32" t="n">
        <x:v>46132</x:v>
      </x:c>
      <x:c r="B280" s="32" t="n">
        <x:v>46113</x:v>
      </x:c>
      <x:c r="C280" t="str">
        <x:v>Forecast</x:v>
      </x:c>
      <x:c r="D280" t="str">
        <x:v>DB-103</x:v>
      </x:c>
      <x:c r="E280" s="34" t="n">
        <x:v>27191.579999999998</x:v>
      </x:c>
      <x:c r="F280" s="34" t="n">
        <x:v>0</x:v>
      </x:c>
      <x:c r="G280" s="34" t="n">
        <x:v>269</x:v>
      </x:c>
      <x:c r="H280" s="34" t="n">
        <x:v>269</x:v>
      </x:c>
      <x:c r="I280" s="28" t="n">
        <x:v>1</x:v>
      </x:c>
      <x:c r="J280" s="39" t="n">
        <x:v>269</x:v>
      </x:c>
      <x:c r="K280" s="39" t="n">
        <x:v>7.3975</x:v>
      </x:c>
      <x:c r="L280" s="39" t="n">
        <x:v>26929.977499999997</x:v>
      </x:c>
      <x:c r="M280" s="39" t="n">
        <x:v>100.11144052044608</x:v>
      </x:c>
      <x:c r="N280" t="str">
        <x:v>OK</x:v>
      </x:c>
      <x:c r="O280" t="str">
        <x:v>Maintain plan</x:v>
      </x:c>
      <x:c r="P280" s="38" t="n">
        <x:v>0</x:v>
      </x:c>
    </x:row>
    <x:row r="281">
      <x:c r="A281" s="32" t="n">
        <x:v>46139</x:v>
      </x:c>
      <x:c r="B281" s="32" t="n">
        <x:v>46113</x:v>
      </x:c>
      <x:c r="C281" t="str">
        <x:v>Forecast</x:v>
      </x:c>
      <x:c r="D281" t="str">
        <x:v>DB-103</x:v>
      </x:c>
      <x:c r="E281" s="34" t="n">
        <x:v>26929.977499999997</x:v>
      </x:c>
      <x:c r="F281" s="34" t="n">
        <x:v>0</x:v>
      </x:c>
      <x:c r="G281" s="34" t="n">
        <x:v>269</x:v>
      </x:c>
      <x:c r="H281" s="34" t="n">
        <x:v>269</x:v>
      </x:c>
      <x:c r="I281" s="28" t="n">
        <x:v>1</x:v>
      </x:c>
      <x:c r="J281" s="39" t="n">
        <x:v>269</x:v>
      </x:c>
      <x:c r="K281" s="39" t="n">
        <x:v>7.3975</x:v>
      </x:c>
      <x:c r="L281" s="39" t="n">
        <x:v>26668.374999999996</x:v>
      </x:c>
      <x:c r="M281" s="39" t="n">
        <x:v>99.13894052044608</x:v>
      </x:c>
      <x:c r="N281" t="str">
        <x:v>OK</x:v>
      </x:c>
      <x:c r="O281" t="str">
        <x:v>Maintain plan</x:v>
      </x:c>
      <x:c r="P281" s="38" t="n">
        <x:v>0</x:v>
      </x:c>
    </x:row>
    <x:row r="282">
      <x:c r="A282" s="32" t="n">
        <x:v>46146</x:v>
      </x:c>
      <x:c r="B282" s="32" t="n">
        <x:v>46143</x:v>
      </x:c>
      <x:c r="C282" t="str">
        <x:v>Forecast</x:v>
      </x:c>
      <x:c r="D282" t="str">
        <x:v>DB-103</x:v>
      </x:c>
      <x:c r="E282" s="34" t="n">
        <x:v>26668.374999999996</x:v>
      </x:c>
      <x:c r="F282" s="34" t="n">
        <x:v>0</x:v>
      </x:c>
      <x:c r="G282" s="34" t="n">
        <x:v>256</x:v>
      </x:c>
      <x:c r="H282" s="34" t="n">
        <x:v>256</x:v>
      </x:c>
      <x:c r="I282" s="28" t="n">
        <x:v>1</x:v>
      </x:c>
      <x:c r="J282" s="39" t="n">
        <x:v>256</x:v>
      </x:c>
      <x:c r="K282" s="39" t="n">
        <x:v>7.04</x:v>
      </x:c>
      <x:c r="L282" s="39" t="n">
        <x:v>26419.414999999997</x:v>
      </x:c>
      <x:c r="M282" s="39" t="n">
        <x:v>103.20083984374999</x:v>
      </x:c>
      <x:c r="N282" t="str">
        <x:v>OK</x:v>
      </x:c>
      <x:c r="O282" t="str">
        <x:v>Maintain plan</x:v>
      </x:c>
      <x:c r="P282" s="38" t="n">
        <x:v>0</x:v>
      </x:c>
    </x:row>
    <x:row r="283">
      <x:c r="A283" s="32" t="n">
        <x:v>46153</x:v>
      </x:c>
      <x:c r="B283" s="32" t="n">
        <x:v>46143</x:v>
      </x:c>
      <x:c r="C283" t="str">
        <x:v>Forecast</x:v>
      </x:c>
      <x:c r="D283" t="str">
        <x:v>DB-103</x:v>
      </x:c>
      <x:c r="E283" s="34" t="n">
        <x:v>26419.414999999997</x:v>
      </x:c>
      <x:c r="F283" s="34" t="n">
        <x:v>0</x:v>
      </x:c>
      <x:c r="G283" s="34" t="n">
        <x:v>256</x:v>
      </x:c>
      <x:c r="H283" s="34" t="n">
        <x:v>256</x:v>
      </x:c>
      <x:c r="I283" s="28" t="n">
        <x:v>1</x:v>
      </x:c>
      <x:c r="J283" s="39" t="n">
        <x:v>256</x:v>
      </x:c>
      <x:c r="K283" s="39" t="n">
        <x:v>7.04</x:v>
      </x:c>
      <x:c r="L283" s="39" t="n">
        <x:v>26170.454999999998</x:v>
      </x:c>
      <x:c r="M283" s="39" t="n">
        <x:v>102.22833984374999</x:v>
      </x:c>
      <x:c r="N283" t="str">
        <x:v>OK</x:v>
      </x:c>
      <x:c r="O283" t="str">
        <x:v>Maintain plan</x:v>
      </x:c>
      <x:c r="P283" s="38" t="n">
        <x:v>0</x:v>
      </x:c>
    </x:row>
    <x:row r="284">
      <x:c r="A284" s="32" t="n">
        <x:v>46160</x:v>
      </x:c>
      <x:c r="B284" s="32" t="n">
        <x:v>46143</x:v>
      </x:c>
      <x:c r="C284" t="str">
        <x:v>Forecast</x:v>
      </x:c>
      <x:c r="D284" t="str">
        <x:v>DB-103</x:v>
      </x:c>
      <x:c r="E284" s="34" t="n">
        <x:v>26170.454999999998</x:v>
      </x:c>
      <x:c r="F284" s="34" t="n">
        <x:v>0</x:v>
      </x:c>
      <x:c r="G284" s="34" t="n">
        <x:v>256</x:v>
      </x:c>
      <x:c r="H284" s="34" t="n">
        <x:v>256</x:v>
      </x:c>
      <x:c r="I284" s="28" t="n">
        <x:v>1</x:v>
      </x:c>
      <x:c r="J284" s="39" t="n">
        <x:v>256</x:v>
      </x:c>
      <x:c r="K284" s="39" t="n">
        <x:v>7.04</x:v>
      </x:c>
      <x:c r="L284" s="39" t="n">
        <x:v>25921.495</x:v>
      </x:c>
      <x:c r="M284" s="39" t="n">
        <x:v>101.25583984375</x:v>
      </x:c>
      <x:c r="N284" t="str">
        <x:v>OK</x:v>
      </x:c>
      <x:c r="O284" t="str">
        <x:v>Maintain plan</x:v>
      </x:c>
      <x:c r="P284" s="38" t="n">
        <x:v>0</x:v>
      </x:c>
    </x:row>
    <x:row r="285">
      <x:c r="A285" s="32" t="n">
        <x:v>46167</x:v>
      </x:c>
      <x:c r="B285" s="32" t="n">
        <x:v>46143</x:v>
      </x:c>
      <x:c r="C285" t="str">
        <x:v>Forecast</x:v>
      </x:c>
      <x:c r="D285" t="str">
        <x:v>DB-103</x:v>
      </x:c>
      <x:c r="E285" s="34" t="n">
        <x:v>25921.495</x:v>
      </x:c>
      <x:c r="F285" s="34" t="n">
        <x:v>0</x:v>
      </x:c>
      <x:c r="G285" s="34" t="n">
        <x:v>256</x:v>
      </x:c>
      <x:c r="H285" s="34" t="n">
        <x:v>256</x:v>
      </x:c>
      <x:c r="I285" s="28" t="n">
        <x:v>1</x:v>
      </x:c>
      <x:c r="J285" s="39" t="n">
        <x:v>256</x:v>
      </x:c>
      <x:c r="K285" s="39" t="n">
        <x:v>7.04</x:v>
      </x:c>
      <x:c r="L285" s="39" t="n">
        <x:v>25672.535</x:v>
      </x:c>
      <x:c r="M285" s="39" t="n">
        <x:v>100.28333984375</x:v>
      </x:c>
      <x:c r="N285" t="str">
        <x:v>OK</x:v>
      </x:c>
      <x:c r="O285" t="str">
        <x:v>Maintain plan</x:v>
      </x:c>
      <x:c r="P285" s="38" t="n">
        <x:v>0</x:v>
      </x:c>
    </x:row>
    <x:row r="286">
      <x:c r="A286" s="32" t="n">
        <x:v>46174</x:v>
      </x:c>
      <x:c r="B286" s="32" t="n">
        <x:v>46174</x:v>
      </x:c>
      <x:c r="C286" t="str">
        <x:v>Forecast</x:v>
      </x:c>
      <x:c r="D286" t="str">
        <x:v>DB-103</x:v>
      </x:c>
      <x:c r="E286" s="34" t="n">
        <x:v>25672.535</x:v>
      </x:c>
      <x:c r="F286" s="34" t="n">
        <x:v>0</x:v>
      </x:c>
      <x:c r="G286" s="34" t="n">
        <x:v>246</x:v>
      </x:c>
      <x:c r="H286" s="34" t="n">
        <x:v>246</x:v>
      </x:c>
      <x:c r="I286" s="28" t="n">
        <x:v>1</x:v>
      </x:c>
      <x:c r="J286" s="39" t="n">
        <x:v>246</x:v>
      </x:c>
      <x:c r="K286" s="39" t="n">
        <x:v>6.765</x:v>
      </x:c>
      <x:c r="L286" s="39" t="n">
        <x:v>25433.3</x:v>
      </x:c>
      <x:c r="M286" s="39" t="n">
        <x:v>103.38739837398374</x:v>
      </x:c>
      <x:c r="N286" t="str">
        <x:v>OK</x:v>
      </x:c>
      <x:c r="O286" t="str">
        <x:v>Maintain plan</x:v>
      </x:c>
      <x:c r="P286" s="38" t="n">
        <x:v>0</x:v>
      </x:c>
    </x:row>
    <x:row r="287">
      <x:c r="A287" s="32" t="n">
        <x:v>46181</x:v>
      </x:c>
      <x:c r="B287" s="32" t="n">
        <x:v>46174</x:v>
      </x:c>
      <x:c r="C287" t="str">
        <x:v>Forecast</x:v>
      </x:c>
      <x:c r="D287" t="str">
        <x:v>DB-103</x:v>
      </x:c>
      <x:c r="E287" s="34" t="n">
        <x:v>25433.3</x:v>
      </x:c>
      <x:c r="F287" s="34" t="n">
        <x:v>0</x:v>
      </x:c>
      <x:c r="G287" s="34" t="n">
        <x:v>246</x:v>
      </x:c>
      <x:c r="H287" s="34" t="n">
        <x:v>246</x:v>
      </x:c>
      <x:c r="I287" s="28" t="n">
        <x:v>1</x:v>
      </x:c>
      <x:c r="J287" s="39" t="n">
        <x:v>246</x:v>
      </x:c>
      <x:c r="K287" s="39" t="n">
        <x:v>6.765</x:v>
      </x:c>
      <x:c r="L287" s="39" t="n">
        <x:v>25194.065</x:v>
      </x:c>
      <x:c r="M287" s="39" t="n">
        <x:v>102.41489837398373</x:v>
      </x:c>
      <x:c r="N287" t="str">
        <x:v>OK</x:v>
      </x:c>
      <x:c r="O287" t="str">
        <x:v>Maintain plan</x:v>
      </x:c>
      <x:c r="P287" s="38" t="n">
        <x:v>0</x:v>
      </x:c>
    </x:row>
    <x:row r="288">
      <x:c r="A288" s="32" t="n">
        <x:v>46188</x:v>
      </x:c>
      <x:c r="B288" s="32" t="n">
        <x:v>46174</x:v>
      </x:c>
      <x:c r="C288" t="str">
        <x:v>Forecast</x:v>
      </x:c>
      <x:c r="D288" t="str">
        <x:v>DB-103</x:v>
      </x:c>
      <x:c r="E288" s="34" t="n">
        <x:v>25194.065</x:v>
      </x:c>
      <x:c r="F288" s="34" t="n">
        <x:v>0</x:v>
      </x:c>
      <x:c r="G288" s="34" t="n">
        <x:v>246</x:v>
      </x:c>
      <x:c r="H288" s="34" t="n">
        <x:v>246</x:v>
      </x:c>
      <x:c r="I288" s="28" t="n">
        <x:v>1</x:v>
      </x:c>
      <x:c r="J288" s="39" t="n">
        <x:v>246</x:v>
      </x:c>
      <x:c r="K288" s="39" t="n">
        <x:v>6.765</x:v>
      </x:c>
      <x:c r="L288" s="39" t="n">
        <x:v>24954.829999999998</x:v>
      </x:c>
      <x:c r="M288" s="39" t="n">
        <x:v>101.44239837398374</x:v>
      </x:c>
      <x:c r="N288" t="str">
        <x:v>OK</x:v>
      </x:c>
      <x:c r="O288" t="str">
        <x:v>Maintain plan</x:v>
      </x:c>
      <x:c r="P288" s="38" t="n">
        <x:v>0</x:v>
      </x:c>
    </x:row>
    <x:row r="289">
      <x:c r="A289" s="32" t="n">
        <x:v>46195</x:v>
      </x:c>
      <x:c r="B289" s="32" t="n">
        <x:v>46174</x:v>
      </x:c>
      <x:c r="C289" t="str">
        <x:v>Forecast</x:v>
      </x:c>
      <x:c r="D289" t="str">
        <x:v>DB-103</x:v>
      </x:c>
      <x:c r="E289" s="34" t="n">
        <x:v>24954.829999999998</x:v>
      </x:c>
      <x:c r="F289" s="34" t="n">
        <x:v>0</x:v>
      </x:c>
      <x:c r="G289" s="34" t="n">
        <x:v>246</x:v>
      </x:c>
      <x:c r="H289" s="34" t="n">
        <x:v>246</x:v>
      </x:c>
      <x:c r="I289" s="28" t="n">
        <x:v>1</x:v>
      </x:c>
      <x:c r="J289" s="39" t="n">
        <x:v>246</x:v>
      </x:c>
      <x:c r="K289" s="39" t="n">
        <x:v>6.765</x:v>
      </x:c>
      <x:c r="L289" s="39" t="n">
        <x:v>24715.594999999998</x:v>
      </x:c>
      <x:c r="M289" s="39" t="n">
        <x:v>100.46989837398372</x:v>
      </x:c>
      <x:c r="N289" t="str">
        <x:v>OK</x:v>
      </x:c>
      <x:c r="O289" t="str">
        <x:v>Maintain plan</x:v>
      </x:c>
      <x:c r="P289" s="38" t="n">
        <x:v>0</x:v>
      </x:c>
    </x:row>
    <x:row r="290">
      <x:c r="A290" s="32" t="n">
        <x:v>46202</x:v>
      </x:c>
      <x:c r="B290" s="32" t="n">
        <x:v>46174</x:v>
      </x:c>
      <x:c r="C290" t="str">
        <x:v>Forecast</x:v>
      </x:c>
      <x:c r="D290" t="str">
        <x:v>DB-103</x:v>
      </x:c>
      <x:c r="E290" s="34" t="n">
        <x:v>24715.594999999998</x:v>
      </x:c>
      <x:c r="F290" s="34" t="n">
        <x:v>0</x:v>
      </x:c>
      <x:c r="G290" s="34" t="n">
        <x:v>246</x:v>
      </x:c>
      <x:c r="H290" s="34" t="n">
        <x:v>246</x:v>
      </x:c>
      <x:c r="I290" s="28" t="n">
        <x:v>1</x:v>
      </x:c>
      <x:c r="J290" s="39" t="n">
        <x:v>246</x:v>
      </x:c>
      <x:c r="K290" s="39" t="n">
        <x:v>6.765</x:v>
      </x:c>
      <x:c r="L290" s="39" t="n">
        <x:v>24476.359999999997</x:v>
      </x:c>
      <x:c r="M290" s="39" t="n">
        <x:v>99.49739837398373</x:v>
      </x:c>
      <x:c r="N290" t="str">
        <x:v>OK</x:v>
      </x:c>
      <x:c r="O290" t="str">
        <x:v>Maintain plan</x:v>
      </x:c>
      <x:c r="P290" s="38" t="n">
        <x:v>0</x:v>
      </x:c>
    </x:row>
    <x:row r="291">
      <x:c r="A291" s="32" t="n">
        <x:v>46209</x:v>
      </x:c>
      <x:c r="B291" s="32" t="n">
        <x:v>46204</x:v>
      </x:c>
      <x:c r="C291" t="str">
        <x:v>Forecast</x:v>
      </x:c>
      <x:c r="D291" t="str">
        <x:v>DB-103</x:v>
      </x:c>
      <x:c r="E291" s="34" t="n">
        <x:v>24476.359999999997</x:v>
      </x:c>
      <x:c r="F291" s="34" t="n">
        <x:v>0</x:v>
      </x:c>
      <x:c r="G291" s="34" t="n">
        <x:v>256</x:v>
      </x:c>
      <x:c r="H291" s="34" t="n">
        <x:v>256</x:v>
      </x:c>
      <x:c r="I291" s="28" t="n">
        <x:v>1</x:v>
      </x:c>
      <x:c r="J291" s="39" t="n">
        <x:v>256</x:v>
      </x:c>
      <x:c r="K291" s="39" t="n">
        <x:v>7.04</x:v>
      </x:c>
      <x:c r="L291" s="39" t="n">
        <x:v>24227.399999999998</x:v>
      </x:c>
      <x:c r="M291" s="39" t="n">
        <x:v>94.63828124999999</x:v>
      </x:c>
      <x:c r="N291" t="str">
        <x:v>OK</x:v>
      </x:c>
      <x:c r="O291" t="str">
        <x:v>Maintain plan</x:v>
      </x:c>
      <x:c r="P291" s="38" t="n">
        <x:v>0</x:v>
      </x:c>
    </x:row>
    <x:row r="292">
      <x:c r="A292" s="32" t="n">
        <x:v>46216</x:v>
      </x:c>
      <x:c r="B292" s="32" t="n">
        <x:v>46204</x:v>
      </x:c>
      <x:c r="C292" t="str">
        <x:v>Forecast</x:v>
      </x:c>
      <x:c r="D292" t="str">
        <x:v>DB-103</x:v>
      </x:c>
      <x:c r="E292" s="34" t="n">
        <x:v>24227.399999999998</x:v>
      </x:c>
      <x:c r="F292" s="34" t="n">
        <x:v>0</x:v>
      </x:c>
      <x:c r="G292" s="34" t="n">
        <x:v>256</x:v>
      </x:c>
      <x:c r="H292" s="34" t="n">
        <x:v>256</x:v>
      </x:c>
      <x:c r="I292" s="28" t="n">
        <x:v>1</x:v>
      </x:c>
      <x:c r="J292" s="39" t="n">
        <x:v>256</x:v>
      </x:c>
      <x:c r="K292" s="39" t="n">
        <x:v>7.04</x:v>
      </x:c>
      <x:c r="L292" s="39" t="n">
        <x:v>23978.44</x:v>
      </x:c>
      <x:c r="M292" s="39" t="n">
        <x:v>93.66578125</x:v>
      </x:c>
      <x:c r="N292" t="str">
        <x:v>OK</x:v>
      </x:c>
      <x:c r="O292" t="str">
        <x:v>Maintain plan</x:v>
      </x:c>
      <x:c r="P292" s="38" t="n">
        <x:v>0</x:v>
      </x:c>
    </x:row>
    <x:row r="293">
      <x:c r="A293" s="32" t="n">
        <x:v>46223</x:v>
      </x:c>
      <x:c r="B293" s="32" t="n">
        <x:v>46204</x:v>
      </x:c>
      <x:c r="C293" t="str">
        <x:v>Forecast</x:v>
      </x:c>
      <x:c r="D293" t="str">
        <x:v>DB-103</x:v>
      </x:c>
      <x:c r="E293" s="34" t="n">
        <x:v>23978.44</x:v>
      </x:c>
      <x:c r="F293" s="34" t="n">
        <x:v>0</x:v>
      </x:c>
      <x:c r="G293" s="34" t="n">
        <x:v>256</x:v>
      </x:c>
      <x:c r="H293" s="34" t="n">
        <x:v>256</x:v>
      </x:c>
      <x:c r="I293" s="28" t="n">
        <x:v>1</x:v>
      </x:c>
      <x:c r="J293" s="39" t="n">
        <x:v>256</x:v>
      </x:c>
      <x:c r="K293" s="39" t="n">
        <x:v>7.04</x:v>
      </x:c>
      <x:c r="L293" s="39" t="n">
        <x:v>23729.48</x:v>
      </x:c>
      <x:c r="M293" s="39" t="n">
        <x:v>92.69328125</x:v>
      </x:c>
      <x:c r="N293" t="str">
        <x:v>OK</x:v>
      </x:c>
      <x:c r="O293" t="str">
        <x:v>Maintain plan</x:v>
      </x:c>
      <x:c r="P293" s="38" t="n">
        <x:v>0</x:v>
      </x:c>
    </x:row>
    <x:row r="294">
      <x:c r="A294" s="32" t="n">
        <x:v>46230</x:v>
      </x:c>
      <x:c r="B294" s="32" t="n">
        <x:v>46204</x:v>
      </x:c>
      <x:c r="C294" t="str">
        <x:v>Forecast</x:v>
      </x:c>
      <x:c r="D294" t="str">
        <x:v>DB-103</x:v>
      </x:c>
      <x:c r="E294" s="34" t="n">
        <x:v>23729.48</x:v>
      </x:c>
      <x:c r="F294" s="34" t="n">
        <x:v>0</x:v>
      </x:c>
      <x:c r="G294" s="34" t="n">
        <x:v>256</x:v>
      </x:c>
      <x:c r="H294" s="34" t="n">
        <x:v>256</x:v>
      </x:c>
      <x:c r="I294" s="28" t="n">
        <x:v>1</x:v>
      </x:c>
      <x:c r="J294" s="39" t="n">
        <x:v>256</x:v>
      </x:c>
      <x:c r="K294" s="39" t="n">
        <x:v>7.04</x:v>
      </x:c>
      <x:c r="L294" s="39" t="n">
        <x:v>23480.52</x:v>
      </x:c>
      <x:c r="M294" s="39" t="n">
        <x:v>91.72078125</x:v>
      </x:c>
      <x:c r="N294" t="str">
        <x:v>OK</x:v>
      </x:c>
      <x:c r="O294" t="str">
        <x:v>Maintain plan</x:v>
      </x:c>
      <x:c r="P294" s="38" t="n">
        <x:v>0</x:v>
      </x:c>
    </x:row>
    <x:row r="295">
      <x:c r="A295" s="32" t="n">
        <x:v>46237</x:v>
      </x:c>
      <x:c r="B295" s="32" t="n">
        <x:v>46235</x:v>
      </x:c>
      <x:c r="C295" t="str">
        <x:v>Forecast</x:v>
      </x:c>
      <x:c r="D295" t="str">
        <x:v>DB-103</x:v>
      </x:c>
      <x:c r="E295" s="34" t="n">
        <x:v>23480.52</x:v>
      </x:c>
      <x:c r="F295" s="34" t="n">
        <x:v>0</x:v>
      </x:c>
      <x:c r="G295" s="34" t="n">
        <x:v>282</x:v>
      </x:c>
      <x:c r="H295" s="34" t="n">
        <x:v>282</x:v>
      </x:c>
      <x:c r="I295" s="28" t="n">
        <x:v>1</x:v>
      </x:c>
      <x:c r="J295" s="39" t="n">
        <x:v>282</x:v>
      </x:c>
      <x:c r="K295" s="39" t="n">
        <x:v>7.755</x:v>
      </x:c>
      <x:c r="L295" s="39" t="n">
        <x:v>23206.275</x:v>
      </x:c>
      <x:c r="M295" s="39" t="n">
        <x:v>82.29175531914895</x:v>
      </x:c>
      <x:c r="N295" t="str">
        <x:v>OK</x:v>
      </x:c>
      <x:c r="O295" t="str">
        <x:v>Maintain plan</x:v>
      </x:c>
      <x:c r="P295" s="38" t="n">
        <x:v>0</x:v>
      </x:c>
    </x:row>
    <x:row r="296">
      <x:c r="A296" s="32" t="n">
        <x:v>46244</x:v>
      </x:c>
      <x:c r="B296" s="32" t="n">
        <x:v>46235</x:v>
      </x:c>
      <x:c r="C296" t="str">
        <x:v>Forecast</x:v>
      </x:c>
      <x:c r="D296" t="str">
        <x:v>DB-103</x:v>
      </x:c>
      <x:c r="E296" s="34" t="n">
        <x:v>23206.275</x:v>
      </x:c>
      <x:c r="F296" s="34" t="n">
        <x:v>0</x:v>
      </x:c>
      <x:c r="G296" s="34" t="n">
        <x:v>282</x:v>
      </x:c>
      <x:c r="H296" s="34" t="n">
        <x:v>282</x:v>
      </x:c>
      <x:c r="I296" s="28" t="n">
        <x:v>1</x:v>
      </x:c>
      <x:c r="J296" s="39" t="n">
        <x:v>282</x:v>
      </x:c>
      <x:c r="K296" s="39" t="n">
        <x:v>7.755</x:v>
      </x:c>
      <x:c r="L296" s="39" t="n">
        <x:v>22932.030000000002</x:v>
      </x:c>
      <x:c r="M296" s="39" t="n">
        <x:v>81.31925531914895</x:v>
      </x:c>
      <x:c r="N296" t="str">
        <x:v>OK</x:v>
      </x:c>
      <x:c r="O296" t="str">
        <x:v>Maintain plan</x:v>
      </x:c>
      <x:c r="P296" s="38" t="n">
        <x:v>0</x:v>
      </x:c>
    </x:row>
    <x:row r="297">
      <x:c r="A297" s="32" t="n">
        <x:v>46251</x:v>
      </x:c>
      <x:c r="B297" s="32" t="n">
        <x:v>46235</x:v>
      </x:c>
      <x:c r="C297" t="str">
        <x:v>Forecast</x:v>
      </x:c>
      <x:c r="D297" t="str">
        <x:v>DB-103</x:v>
      </x:c>
      <x:c r="E297" s="34" t="n">
        <x:v>22932.030000000002</x:v>
      </x:c>
      <x:c r="F297" s="34" t="n">
        <x:v>0</x:v>
      </x:c>
      <x:c r="G297" s="34" t="n">
        <x:v>282</x:v>
      </x:c>
      <x:c r="H297" s="34" t="n">
        <x:v>282</x:v>
      </x:c>
      <x:c r="I297" s="28" t="n">
        <x:v>1</x:v>
      </x:c>
      <x:c r="J297" s="39" t="n">
        <x:v>282</x:v>
      </x:c>
      <x:c r="K297" s="39" t="n">
        <x:v>7.755</x:v>
      </x:c>
      <x:c r="L297" s="39" t="n">
        <x:v>22657.785000000003</x:v>
      </x:c>
      <x:c r="M297" s="39" t="n">
        <x:v>80.34675531914895</x:v>
      </x:c>
      <x:c r="N297" t="str">
        <x:v>OK</x:v>
      </x:c>
      <x:c r="O297" t="str">
        <x:v>Maintain plan</x:v>
      </x:c>
      <x:c r="P297" s="38" t="n">
        <x:v>0</x:v>
      </x:c>
    </x:row>
    <x:row r="298">
      <x:c r="A298" s="32" t="n">
        <x:v>46258</x:v>
      </x:c>
      <x:c r="B298" s="32" t="n">
        <x:v>46235</x:v>
      </x:c>
      <x:c r="C298" t="str">
        <x:v>Forecast</x:v>
      </x:c>
      <x:c r="D298" t="str">
        <x:v>DB-103</x:v>
      </x:c>
      <x:c r="E298" s="34" t="n">
        <x:v>22657.785000000003</x:v>
      </x:c>
      <x:c r="F298" s="34" t="n">
        <x:v>0</x:v>
      </x:c>
      <x:c r="G298" s="34" t="n">
        <x:v>282</x:v>
      </x:c>
      <x:c r="H298" s="34" t="n">
        <x:v>282</x:v>
      </x:c>
      <x:c r="I298" s="28" t="n">
        <x:v>1</x:v>
      </x:c>
      <x:c r="J298" s="39" t="n">
        <x:v>282</x:v>
      </x:c>
      <x:c r="K298" s="39" t="n">
        <x:v>7.755</x:v>
      </x:c>
      <x:c r="L298" s="39" t="n">
        <x:v>22383.540000000005</x:v>
      </x:c>
      <x:c r="M298" s="39" t="n">
        <x:v>79.37425531914896</x:v>
      </x:c>
      <x:c r="N298" t="str">
        <x:v>OK</x:v>
      </x:c>
      <x:c r="O298" t="str">
        <x:v>Maintain plan</x:v>
      </x:c>
      <x:c r="P298" s="38" t="n">
        <x:v>0</x:v>
      </x:c>
    </x:row>
    <x:row r="299">
      <x:c r="A299" s="32" t="n">
        <x:v>46265</x:v>
      </x:c>
      <x:c r="B299" s="32" t="n">
        <x:v>46235</x:v>
      </x:c>
      <x:c r="C299" t="str">
        <x:v>Forecast</x:v>
      </x:c>
      <x:c r="D299" t="str">
        <x:v>DB-103</x:v>
      </x:c>
      <x:c r="E299" s="34" t="n">
        <x:v>22383.540000000005</x:v>
      </x:c>
      <x:c r="F299" s="34" t="n">
        <x:v>0</x:v>
      </x:c>
      <x:c r="G299" s="34" t="n">
        <x:v>282</x:v>
      </x:c>
      <x:c r="H299" s="34" t="n">
        <x:v>282</x:v>
      </x:c>
      <x:c r="I299" s="28" t="n">
        <x:v>1</x:v>
      </x:c>
      <x:c r="J299" s="39" t="n">
        <x:v>282</x:v>
      </x:c>
      <x:c r="K299" s="39" t="n">
        <x:v>7.755</x:v>
      </x:c>
      <x:c r="L299" s="39" t="n">
        <x:v>22109.295000000006</x:v>
      </x:c>
      <x:c r="M299" s="39" t="n">
        <x:v>78.40175531914896</x:v>
      </x:c>
      <x:c r="N299" t="str">
        <x:v>OK</x:v>
      </x:c>
      <x:c r="O299" t="str">
        <x:v>Maintain plan</x:v>
      </x:c>
      <x:c r="P299" s="38" t="n">
        <x:v>0</x:v>
      </x:c>
    </x:row>
    <x:row r="300">
      <x:c r="A300" s="32" t="n">
        <x:v>46272</x:v>
      </x:c>
      <x:c r="B300" s="32" t="n">
        <x:v>46266</x:v>
      </x:c>
      <x:c r="C300" t="str">
        <x:v>Forecast</x:v>
      </x:c>
      <x:c r="D300" t="str">
        <x:v>DB-103</x:v>
      </x:c>
      <x:c r="E300" s="34" t="n">
        <x:v>22109.295000000006</x:v>
      </x:c>
      <x:c r="F300" s="34" t="n">
        <x:v>0</x:v>
      </x:c>
      <x:c r="G300" s="34" t="n">
        <x:v>321</x:v>
      </x:c>
      <x:c r="H300" s="34" t="n">
        <x:v>321</x:v>
      </x:c>
      <x:c r="I300" s="28" t="n">
        <x:v>1</x:v>
      </x:c>
      <x:c r="J300" s="39" t="n">
        <x:v>321</x:v>
      </x:c>
      <x:c r="K300" s="39" t="n">
        <x:v>8.8275</x:v>
      </x:c>
      <x:c r="L300" s="39" t="n">
        <x:v>21797.122500000005</x:v>
      </x:c>
      <x:c r="M300" s="39" t="n">
        <x:v>67.90380841121497</x:v>
      </x:c>
      <x:c r="N300" t="str">
        <x:v>OK</x:v>
      </x:c>
      <x:c r="O300" t="str">
        <x:v>Maintain plan</x:v>
      </x:c>
      <x:c r="P300" s="38" t="n">
        <x:v>0</x:v>
      </x:c>
    </x:row>
    <x:row r="301">
      <x:c r="A301" s="32" t="n">
        <x:v>46279</x:v>
      </x:c>
      <x:c r="B301" s="32" t="n">
        <x:v>46266</x:v>
      </x:c>
      <x:c r="C301" t="str">
        <x:v>Forecast</x:v>
      </x:c>
      <x:c r="D301" t="str">
        <x:v>DB-103</x:v>
      </x:c>
      <x:c r="E301" s="34" t="n">
        <x:v>21797.122500000005</x:v>
      </x:c>
      <x:c r="F301" s="34" t="n">
        <x:v>0</x:v>
      </x:c>
      <x:c r="G301" s="34" t="n">
        <x:v>321</x:v>
      </x:c>
      <x:c r="H301" s="34" t="n">
        <x:v>321</x:v>
      </x:c>
      <x:c r="I301" s="28" t="n">
        <x:v>1</x:v>
      </x:c>
      <x:c r="J301" s="39" t="n">
        <x:v>321</x:v>
      </x:c>
      <x:c r="K301" s="39" t="n">
        <x:v>8.8275</x:v>
      </x:c>
      <x:c r="L301" s="39" t="n">
        <x:v>21484.950000000004</x:v>
      </x:c>
      <x:c r="M301" s="39" t="n">
        <x:v>66.93130841121497</x:v>
      </x:c>
      <x:c r="N301" t="str">
        <x:v>OK</x:v>
      </x:c>
      <x:c r="O301" t="str">
        <x:v>Maintain plan</x:v>
      </x:c>
      <x:c r="P301" s="38" t="n">
        <x:v>0</x:v>
      </x:c>
    </x:row>
    <x:row r="302">
      <x:c r="A302" s="32" t="n">
        <x:v>46286</x:v>
      </x:c>
      <x:c r="B302" s="32" t="n">
        <x:v>46266</x:v>
      </x:c>
      <x:c r="C302" t="str">
        <x:v>Forecast</x:v>
      </x:c>
      <x:c r="D302" t="str">
        <x:v>DB-103</x:v>
      </x:c>
      <x:c r="E302" s="34" t="n">
        <x:v>21484.950000000004</x:v>
      </x:c>
      <x:c r="F302" s="34" t="n">
        <x:v>0</x:v>
      </x:c>
      <x:c r="G302" s="34" t="n">
        <x:v>321</x:v>
      </x:c>
      <x:c r="H302" s="34" t="n">
        <x:v>321</x:v>
      </x:c>
      <x:c r="I302" s="28" t="n">
        <x:v>1</x:v>
      </x:c>
      <x:c r="J302" s="39" t="n">
        <x:v>321</x:v>
      </x:c>
      <x:c r="K302" s="39" t="n">
        <x:v>8.8275</x:v>
      </x:c>
      <x:c r="L302" s="39" t="n">
        <x:v>21172.777500000004</x:v>
      </x:c>
      <x:c r="M302" s="39" t="n">
        <x:v>65.95880841121496</x:v>
      </x:c>
      <x:c r="N302" t="str">
        <x:v>OK</x:v>
      </x:c>
      <x:c r="O302" t="str">
        <x:v>Maintain plan</x:v>
      </x:c>
      <x:c r="P302" s="38" t="n">
        <x:v>0</x:v>
      </x:c>
    </x:row>
    <x:row r="303">
      <x:c r="A303" s="32" t="n">
        <x:v>46293</x:v>
      </x:c>
      <x:c r="B303" s="32" t="n">
        <x:v>46266</x:v>
      </x:c>
      <x:c r="C303" t="str">
        <x:v>Forecast</x:v>
      </x:c>
      <x:c r="D303" t="str">
        <x:v>DB-103</x:v>
      </x:c>
      <x:c r="E303" s="34" t="n">
        <x:v>21172.777500000004</x:v>
      </x:c>
      <x:c r="F303" s="34" t="n">
        <x:v>0</x:v>
      </x:c>
      <x:c r="G303" s="34" t="n">
        <x:v>321</x:v>
      </x:c>
      <x:c r="H303" s="34" t="n">
        <x:v>321</x:v>
      </x:c>
      <x:c r="I303" s="28" t="n">
        <x:v>1</x:v>
      </x:c>
      <x:c r="J303" s="39" t="n">
        <x:v>321</x:v>
      </x:c>
      <x:c r="K303" s="39" t="n">
        <x:v>8.8275</x:v>
      </x:c>
      <x:c r="L303" s="39" t="n">
        <x:v>20860.605000000003</x:v>
      </x:c>
      <x:c r="M303" s="39" t="n">
        <x:v>64.98630841121496</x:v>
      </x:c>
      <x:c r="N303" t="str">
        <x:v>OK</x:v>
      </x:c>
      <x:c r="O303" t="str">
        <x:v>Maintain plan</x:v>
      </x:c>
      <x:c r="P303" s="38" t="n">
        <x:v>0</x:v>
      </x:c>
    </x:row>
    <x:row r="304">
      <x:c r="A304" s="32" t="n">
        <x:v>46300</x:v>
      </x:c>
      <x:c r="B304" s="32" t="n">
        <x:v>46296</x:v>
      </x:c>
      <x:c r="C304" t="str">
        <x:v>Forecast</x:v>
      </x:c>
      <x:c r="D304" t="str">
        <x:v>DB-103</x:v>
      </x:c>
      <x:c r="E304" s="34" t="n">
        <x:v>20860.605000000003</x:v>
      </x:c>
      <x:c r="F304" s="34" t="n">
        <x:v>0</x:v>
      </x:c>
      <x:c r="G304" s="34" t="n">
        <x:v>388</x:v>
      </x:c>
      <x:c r="H304" s="34" t="n">
        <x:v>388</x:v>
      </x:c>
      <x:c r="I304" s="28" t="n">
        <x:v>1</x:v>
      </x:c>
      <x:c r="J304" s="39" t="n">
        <x:v>388</x:v>
      </x:c>
      <x:c r="K304" s="39" t="n">
        <x:v>10.67</x:v>
      </x:c>
      <x:c r="L304" s="39" t="n">
        <x:v>20483.275</x:v>
      </x:c>
      <x:c r="M304" s="39" t="n">
        <x:v>52.791945876288665</x:v>
      </x:c>
      <x:c r="N304" t="str">
        <x:v>OK</x:v>
      </x:c>
      <x:c r="O304" t="str">
        <x:v>Maintain plan</x:v>
      </x:c>
      <x:c r="P304" s="38" t="n">
        <x:v>0</x:v>
      </x:c>
    </x:row>
    <x:row r="305">
      <x:c r="A305" s="32" t="n">
        <x:v>46307</x:v>
      </x:c>
      <x:c r="B305" s="32" t="n">
        <x:v>46296</x:v>
      </x:c>
      <x:c r="C305" t="str">
        <x:v>Forecast</x:v>
      </x:c>
      <x:c r="D305" t="str">
        <x:v>DB-103</x:v>
      </x:c>
      <x:c r="E305" s="34" t="n">
        <x:v>20483.275</x:v>
      </x:c>
      <x:c r="F305" s="34" t="n">
        <x:v>0</x:v>
      </x:c>
      <x:c r="G305" s="34" t="n">
        <x:v>388</x:v>
      </x:c>
      <x:c r="H305" s="34" t="n">
        <x:v>388</x:v>
      </x:c>
      <x:c r="I305" s="28" t="n">
        <x:v>1</x:v>
      </x:c>
      <x:c r="J305" s="39" t="n">
        <x:v>388</x:v>
      </x:c>
      <x:c r="K305" s="39" t="n">
        <x:v>10.67</x:v>
      </x:c>
      <x:c r="L305" s="39" t="n">
        <x:v>20105.945</x:v>
      </x:c>
      <x:c r="M305" s="39" t="n">
        <x:v>51.81944587628866</x:v>
      </x:c>
      <x:c r="N305" t="str">
        <x:v>OK</x:v>
      </x:c>
      <x:c r="O305" t="str">
        <x:v>Maintain plan</x:v>
      </x:c>
      <x:c r="P305" s="38" t="n">
        <x:v>0</x:v>
      </x:c>
    </x:row>
    <x:row r="306">
      <x:c r="A306" s="32" t="n">
        <x:v>46314</x:v>
      </x:c>
      <x:c r="B306" s="32" t="n">
        <x:v>46296</x:v>
      </x:c>
      <x:c r="C306" t="str">
        <x:v>Forecast</x:v>
      </x:c>
      <x:c r="D306" t="str">
        <x:v>DB-103</x:v>
      </x:c>
      <x:c r="E306" s="34" t="n">
        <x:v>20105.945</x:v>
      </x:c>
      <x:c r="F306" s="34" t="n">
        <x:v>0</x:v>
      </x:c>
      <x:c r="G306" s="34" t="n">
        <x:v>388</x:v>
      </x:c>
      <x:c r="H306" s="34" t="n">
        <x:v>388</x:v>
      </x:c>
      <x:c r="I306" s="28" t="n">
        <x:v>1</x:v>
      </x:c>
      <x:c r="J306" s="39" t="n">
        <x:v>388</x:v>
      </x:c>
      <x:c r="K306" s="39" t="n">
        <x:v>10.67</x:v>
      </x:c>
      <x:c r="L306" s="39" t="n">
        <x:v>19728.614999999998</x:v>
      </x:c>
      <x:c r="M306" s="39" t="n">
        <x:v>50.84694587628866</x:v>
      </x:c>
      <x:c r="N306" t="str">
        <x:v>OK</x:v>
      </x:c>
      <x:c r="O306" t="str">
        <x:v>Maintain plan</x:v>
      </x:c>
      <x:c r="P306" s="38" t="n">
        <x:v>0</x:v>
      </x:c>
    </x:row>
    <x:row r="307">
      <x:c r="A307" s="32" t="n">
        <x:v>46321</x:v>
      </x:c>
      <x:c r="B307" s="32" t="n">
        <x:v>46296</x:v>
      </x:c>
      <x:c r="C307" t="str">
        <x:v>Forecast</x:v>
      </x:c>
      <x:c r="D307" t="str">
        <x:v>DB-103</x:v>
      </x:c>
      <x:c r="E307" s="34" t="n">
        <x:v>19728.614999999998</x:v>
      </x:c>
      <x:c r="F307" s="34" t="n">
        <x:v>0</x:v>
      </x:c>
      <x:c r="G307" s="34" t="n">
        <x:v>388</x:v>
      </x:c>
      <x:c r="H307" s="34" t="n">
        <x:v>388</x:v>
      </x:c>
      <x:c r="I307" s="28" t="n">
        <x:v>1</x:v>
      </x:c>
      <x:c r="J307" s="39" t="n">
        <x:v>388</x:v>
      </x:c>
      <x:c r="K307" s="39" t="n">
        <x:v>10.67</x:v>
      </x:c>
      <x:c r="L307" s="39" t="n">
        <x:v>19351.284999999996</x:v>
      </x:c>
      <x:c r="M307" s="39" t="n">
        <x:v>49.87444587628865</x:v>
      </x:c>
      <x:c r="N307" t="str">
        <x:v>OK</x:v>
      </x:c>
      <x:c r="O307" t="str">
        <x:v>Maintain plan</x:v>
      </x:c>
      <x:c r="P307" s="38" t="n">
        <x:v>0</x:v>
      </x:c>
    </x:row>
    <x:row r="308">
      <x:c r="A308" s="32" t="n">
        <x:v>46328</x:v>
      </x:c>
      <x:c r="B308" s="32" t="n">
        <x:v>46327</x:v>
      </x:c>
      <x:c r="C308" t="str">
        <x:v>Forecast</x:v>
      </x:c>
      <x:c r="D308" t="str">
        <x:v>DB-103</x:v>
      </x:c>
      <x:c r="E308" s="34" t="n">
        <x:v>19351.284999999996</x:v>
      </x:c>
      <x:c r="F308" s="34" t="n">
        <x:v>0</x:v>
      </x:c>
      <x:c r="G308" s="34" t="n">
        <x:v>466</x:v>
      </x:c>
      <x:c r="H308" s="34" t="n">
        <x:v>466</x:v>
      </x:c>
      <x:c r="I308" s="28" t="n">
        <x:v>1</x:v>
      </x:c>
      <x:c r="J308" s="39" t="n">
        <x:v>466</x:v>
      </x:c>
      <x:c r="K308" s="39" t="n">
        <x:v>12.815</x:v>
      </x:c>
      <x:c r="L308" s="39" t="n">
        <x:v>18898.099999999995</x:v>
      </x:c>
      <x:c r="M308" s="39" t="n">
        <x:v>40.5538626609442</x:v>
      </x:c>
      <x:c r="N308" t="str">
        <x:v>OK</x:v>
      </x:c>
      <x:c r="O308" t="str">
        <x:v>Maintain plan</x:v>
      </x:c>
      <x:c r="P308" s="38" t="n">
        <x:v>0</x:v>
      </x:c>
    </x:row>
    <x:row r="309">
      <x:c r="A309" s="32" t="n">
        <x:v>46335</x:v>
      </x:c>
      <x:c r="B309" s="32" t="n">
        <x:v>46327</x:v>
      </x:c>
      <x:c r="C309" t="str">
        <x:v>Forecast</x:v>
      </x:c>
      <x:c r="D309" t="str">
        <x:v>DB-103</x:v>
      </x:c>
      <x:c r="E309" s="34" t="n">
        <x:v>18898.099999999995</x:v>
      </x:c>
      <x:c r="F309" s="34" t="n">
        <x:v>0</x:v>
      </x:c>
      <x:c r="G309" s="34" t="n">
        <x:v>466</x:v>
      </x:c>
      <x:c r="H309" s="34" t="n">
        <x:v>466</x:v>
      </x:c>
      <x:c r="I309" s="28" t="n">
        <x:v>1</x:v>
      </x:c>
      <x:c r="J309" s="39" t="n">
        <x:v>466</x:v>
      </x:c>
      <x:c r="K309" s="39" t="n">
        <x:v>12.815</x:v>
      </x:c>
      <x:c r="L309" s="39" t="n">
        <x:v>18444.914999999994</x:v>
      </x:c>
      <x:c r="M309" s="39" t="n">
        <x:v>39.581362660944194</x:v>
      </x:c>
      <x:c r="N309" t="str">
        <x:v>OK</x:v>
      </x:c>
      <x:c r="O309" t="str">
        <x:v>Maintain plan</x:v>
      </x:c>
      <x:c r="P309" s="38" t="n">
        <x:v>0</x:v>
      </x:c>
    </x:row>
    <x:row r="310">
      <x:c r="A310" s="32" t="n">
        <x:v>46342</x:v>
      </x:c>
      <x:c r="B310" s="32" t="n">
        <x:v>46327</x:v>
      </x:c>
      <x:c r="C310" t="str">
        <x:v>Forecast</x:v>
      </x:c>
      <x:c r="D310" t="str">
        <x:v>DB-103</x:v>
      </x:c>
      <x:c r="E310" s="34" t="n">
        <x:v>18444.914999999994</x:v>
      </x:c>
      <x:c r="F310" s="34" t="n">
        <x:v>0</x:v>
      </x:c>
      <x:c r="G310" s="34" t="n">
        <x:v>466</x:v>
      </x:c>
      <x:c r="H310" s="34" t="n">
        <x:v>466</x:v>
      </x:c>
      <x:c r="I310" s="28" t="n">
        <x:v>1</x:v>
      </x:c>
      <x:c r="J310" s="39" t="n">
        <x:v>466</x:v>
      </x:c>
      <x:c r="K310" s="39" t="n">
        <x:v>12.815</x:v>
      </x:c>
      <x:c r="L310" s="39" t="n">
        <x:v>17991.729999999992</x:v>
      </x:c>
      <x:c r="M310" s="39" t="n">
        <x:v>38.60886266094419</x:v>
      </x:c>
      <x:c r="N310" t="str">
        <x:v>OK</x:v>
      </x:c>
      <x:c r="O310" t="str">
        <x:v>Maintain plan</x:v>
      </x:c>
      <x:c r="P310" s="38" t="n">
        <x:v>0</x:v>
      </x:c>
    </x:row>
    <x:row r="311">
      <x:c r="A311" s="32" t="n">
        <x:v>46349</x:v>
      </x:c>
      <x:c r="B311" s="32" t="n">
        <x:v>46327</x:v>
      </x:c>
      <x:c r="C311" t="str">
        <x:v>Forecast</x:v>
      </x:c>
      <x:c r="D311" t="str">
        <x:v>DB-103</x:v>
      </x:c>
      <x:c r="E311" s="34" t="n">
        <x:v>17991.729999999992</x:v>
      </x:c>
      <x:c r="F311" s="34" t="n">
        <x:v>0</x:v>
      </x:c>
      <x:c r="G311" s="34" t="n">
        <x:v>466</x:v>
      </x:c>
      <x:c r="H311" s="34" t="n">
        <x:v>466</x:v>
      </x:c>
      <x:c r="I311" s="28" t="n">
        <x:v>1</x:v>
      </x:c>
      <x:c r="J311" s="39" t="n">
        <x:v>466</x:v>
      </x:c>
      <x:c r="K311" s="39" t="n">
        <x:v>12.815</x:v>
      </x:c>
      <x:c r="L311" s="39" t="n">
        <x:v>17538.54499999999</x:v>
      </x:c>
      <x:c r="M311" s="39" t="n">
        <x:v>37.63636266094419</x:v>
      </x:c>
      <x:c r="N311" t="str">
        <x:v>OK</x:v>
      </x:c>
      <x:c r="O311" t="str">
        <x:v>Maintain plan</x:v>
      </x:c>
      <x:c r="P311" s="38" t="n">
        <x:v>0</x:v>
      </x:c>
    </x:row>
    <x:row r="312">
      <x:c r="A312" s="32" t="n">
        <x:v>46356</x:v>
      </x:c>
      <x:c r="B312" s="32" t="n">
        <x:v>46327</x:v>
      </x:c>
      <x:c r="C312" t="str">
        <x:v>Forecast</x:v>
      </x:c>
      <x:c r="D312" t="str">
        <x:v>DB-103</x:v>
      </x:c>
      <x:c r="E312" s="34" t="n">
        <x:v>17538.54499999999</x:v>
      </x:c>
      <x:c r="F312" s="34" t="n">
        <x:v>0</x:v>
      </x:c>
      <x:c r="G312" s="34" t="n">
        <x:v>466</x:v>
      </x:c>
      <x:c r="H312" s="34" t="n">
        <x:v>466</x:v>
      </x:c>
      <x:c r="I312" s="28" t="n">
        <x:v>1</x:v>
      </x:c>
      <x:c r="J312" s="39" t="n">
        <x:v>466</x:v>
      </x:c>
      <x:c r="K312" s="39" t="n">
        <x:v>12.815</x:v>
      </x:c>
      <x:c r="L312" s="39" t="n">
        <x:v>17085.35999999999</x:v>
      </x:c>
      <x:c r="M312" s="39" t="n">
        <x:v>36.66386266094418</x:v>
      </x:c>
      <x:c r="N312" t="str">
        <x:v>OK</x:v>
      </x:c>
      <x:c r="O312" t="str">
        <x:v>Maintain plan</x:v>
      </x:c>
      <x:c r="P312" s="38" t="n">
        <x:v>0</x:v>
      </x:c>
    </x:row>
    <x:row r="313">
      <x:c r="A313" s="32" t="n">
        <x:v>46363</x:v>
      </x:c>
      <x:c r="B313" s="32" t="n">
        <x:v>46357</x:v>
      </x:c>
      <x:c r="C313" t="str">
        <x:v>Forecast</x:v>
      </x:c>
      <x:c r="D313" t="str">
        <x:v>DB-103</x:v>
      </x:c>
      <x:c r="E313" s="34" t="n">
        <x:v>17085.35999999999</x:v>
      </x:c>
      <x:c r="F313" s="34" t="n">
        <x:v>0</x:v>
      </x:c>
      <x:c r="G313" s="34" t="n">
        <x:v>0</x:v>
      </x:c>
      <x:c r="H313" s="34" t="n">
        <x:v>0</x:v>
      </x:c>
      <x:c r="I313" s="28" t="n">
        <x:v>1</x:v>
      </x:c>
      <x:c r="J313" s="39" t="n">
        <x:v>0</x:v>
      </x:c>
      <x:c r="K313" s="39" t="n">
        <x:v>0</x:v>
      </x:c>
      <x:c r="L313" s="39" t="n">
        <x:v>17085.35999999999</x:v>
      </x:c>
      <x:c r="M313" s="39" t="n">
        <x:v>99</x:v>
      </x:c>
      <x:c r="N313" t="str">
        <x:v>OK</x:v>
      </x:c>
      <x:c r="O313" t="str">
        <x:v>Maintain plan</x:v>
      </x:c>
      <x:c r="P313" s="38" t="n">
        <x:v>0</x:v>
      </x:c>
    </x:row>
    <x:row r="314">
      <x:c r="A314" s="32" t="n">
        <x:v>46370</x:v>
      </x:c>
      <x:c r="B314" s="32" t="n">
        <x:v>46357</x:v>
      </x:c>
      <x:c r="C314" t="str">
        <x:v>Forecast</x:v>
      </x:c>
      <x:c r="D314" t="str">
        <x:v>DB-103</x:v>
      </x:c>
      <x:c r="E314" s="34" t="n">
        <x:v>17085.35999999999</x:v>
      </x:c>
      <x:c r="F314" s="34" t="n">
        <x:v>0</x:v>
      </x:c>
      <x:c r="G314" s="34" t="n">
        <x:v>0</x:v>
      </x:c>
      <x:c r="H314" s="34" t="n">
        <x:v>0</x:v>
      </x:c>
      <x:c r="I314" s="28" t="n">
        <x:v>1</x:v>
      </x:c>
      <x:c r="J314" s="39" t="n">
        <x:v>0</x:v>
      </x:c>
      <x:c r="K314" s="39" t="n">
        <x:v>0</x:v>
      </x:c>
      <x:c r="L314" s="39" t="n">
        <x:v>17085.35999999999</x:v>
      </x:c>
      <x:c r="M314" s="39" t="n">
        <x:v>99</x:v>
      </x:c>
      <x:c r="N314" t="str">
        <x:v>OK</x:v>
      </x:c>
      <x:c r="O314" t="str">
        <x:v>Maintain plan</x:v>
      </x:c>
      <x:c r="P314" s="38" t="n">
        <x:v>0</x:v>
      </x:c>
    </x:row>
    <x:row r="315">
      <x:c r="A315" s="32" t="n">
        <x:v>46377</x:v>
      </x:c>
      <x:c r="B315" s="32" t="n">
        <x:v>46357</x:v>
      </x:c>
      <x:c r="C315" t="str">
        <x:v>Forecast</x:v>
      </x:c>
      <x:c r="D315" t="str">
        <x:v>DB-103</x:v>
      </x:c>
      <x:c r="E315" s="34" t="n">
        <x:v>17085.35999999999</x:v>
      </x:c>
      <x:c r="F315" s="34" t="n">
        <x:v>0</x:v>
      </x:c>
      <x:c r="G315" s="34" t="n">
        <x:v>0</x:v>
      </x:c>
      <x:c r="H315" s="34" t="n">
        <x:v>0</x:v>
      </x:c>
      <x:c r="I315" s="28" t="n">
        <x:v>1</x:v>
      </x:c>
      <x:c r="J315" s="39" t="n">
        <x:v>0</x:v>
      </x:c>
      <x:c r="K315" s="39" t="n">
        <x:v>0</x:v>
      </x:c>
      <x:c r="L315" s="39" t="n">
        <x:v>17085.35999999999</x:v>
      </x:c>
      <x:c r="M315" s="39" t="n">
        <x:v>99</x:v>
      </x:c>
      <x:c r="N315" t="str">
        <x:v>OK</x:v>
      </x:c>
      <x:c r="O315" t="str">
        <x:v>Maintain plan</x:v>
      </x:c>
      <x:c r="P315" s="38" t="n">
        <x:v>0</x:v>
      </x:c>
    </x:row>
    <x:row r="316">
      <x:c r="A316" s="32" t="n">
        <x:v>46384</x:v>
      </x:c>
      <x:c r="B316" s="32" t="n">
        <x:v>46357</x:v>
      </x:c>
      <x:c r="C316" t="str">
        <x:v>Forecast</x:v>
      </x:c>
      <x:c r="D316" t="str">
        <x:v>DB-103</x:v>
      </x:c>
      <x:c r="E316" s="34" t="n">
        <x:v>17085.35999999999</x:v>
      </x:c>
      <x:c r="F316" s="34" t="n">
        <x:v>0</x:v>
      </x:c>
      <x:c r="G316" s="34" t="n">
        <x:v>0</x:v>
      </x:c>
      <x:c r="H316" s="34" t="n">
        <x:v>0</x:v>
      </x:c>
      <x:c r="I316" s="28" t="n">
        <x:v>1</x:v>
      </x:c>
      <x:c r="J316" s="39" t="n">
        <x:v>0</x:v>
      </x:c>
      <x:c r="K316" s="39" t="n">
        <x:v>0</x:v>
      </x:c>
      <x:c r="L316" s="39" t="n">
        <x:v>17085.35999999999</x:v>
      </x:c>
      <x:c r="M316" s="39" t="n">
        <x:v>99</x:v>
      </x:c>
      <x:c r="N316" t="str">
        <x:v>OK</x:v>
      </x:c>
      <x:c r="O316" t="str">
        <x:v>Maintain plan</x:v>
      </x:c>
      <x:c r="P316" s="38" t="n">
        <x:v>0</x:v>
      </x:c>
    </x:row>
    <x:row r="317">
      <x:c r="A317" s="32" t="n">
        <x:v>45663</x:v>
      </x:c>
      <x:c r="B317" s="32" t="n">
        <x:v>45658</x:v>
      </x:c>
      <x:c r="C317" t="str">
        <x:v>Actual</x:v>
      </x:c>
      <x:c r="D317" t="str">
        <x:v>DB-104</x:v>
      </x:c>
      <x:c r="E317" s="34" t="n">
        <x:v>9000</x:v>
      </x:c>
      <x:c r="F317" s="34" t="n">
        <x:v>4800</x:v>
      </x:c>
      <x:c r="G317" s="34" t="n">
        <x:v>160</x:v>
      </x:c>
      <x:c r="H317" s="34" t="n">
        <x:v>160</x:v>
      </x:c>
      <x:c r="I317" s="28" t="n">
        <x:v>1</x:v>
      </x:c>
      <x:c r="J317" s="39" t="n">
        <x:v>160</x:v>
      </x:c>
      <x:c r="K317" s="39" t="n">
        <x:v>4</x:v>
      </x:c>
      <x:c r="L317" s="39" t="n">
        <x:v>13644</x:v>
      </x:c>
      <x:c r="M317" s="39" t="n">
        <x:v>85.275</x:v>
      </x:c>
      <x:c r="N317" t="str">
        <x:v>OK</x:v>
      </x:c>
      <x:c r="O317" t="str">
        <x:v>Maintain plan</x:v>
      </x:c>
      <x:c r="P317" s="38" t="n">
        <x:v>72.24</x:v>
      </x:c>
    </x:row>
    <x:row r="318">
      <x:c r="A318" s="32" t="n">
        <x:v>45670</x:v>
      </x:c>
      <x:c r="B318" s="32" t="n">
        <x:v>45658</x:v>
      </x:c>
      <x:c r="C318" t="str">
        <x:v>Actual</x:v>
      </x:c>
      <x:c r="D318" t="str">
        <x:v>DB-104</x:v>
      </x:c>
      <x:c r="E318" s="34" t="n">
        <x:v>13644</x:v>
      </x:c>
      <x:c r="F318" s="34" t="n">
        <x:v>0</x:v>
      </x:c>
      <x:c r="G318" s="34" t="n">
        <x:v>160</x:v>
      </x:c>
      <x:c r="H318" s="34" t="n">
        <x:v>160</x:v>
      </x:c>
      <x:c r="I318" s="28" t="n">
        <x:v>1</x:v>
      </x:c>
      <x:c r="J318" s="39" t="n">
        <x:v>160</x:v>
      </x:c>
      <x:c r="K318" s="39" t="n">
        <x:v>4</x:v>
      </x:c>
      <x:c r="L318" s="39" t="n">
        <x:v>13488</x:v>
      </x:c>
      <x:c r="M318" s="39" t="n">
        <x:v>84.3</x:v>
      </x:c>
      <x:c r="N318" t="str">
        <x:v>OK</x:v>
      </x:c>
      <x:c r="O318" t="str">
        <x:v>Maintain plan</x:v>
      </x:c>
      <x:c r="P318" s="38" t="n">
        <x:v>0</x:v>
      </x:c>
    </x:row>
    <x:row r="319">
      <x:c r="A319" s="32" t="n">
        <x:v>45677</x:v>
      </x:c>
      <x:c r="B319" s="32" t="n">
        <x:v>45658</x:v>
      </x:c>
      <x:c r="C319" t="str">
        <x:v>Actual</x:v>
      </x:c>
      <x:c r="D319" t="str">
        <x:v>DB-104</x:v>
      </x:c>
      <x:c r="E319" s="34" t="n">
        <x:v>13488</x:v>
      </x:c>
      <x:c r="F319" s="34" t="n">
        <x:v>0</x:v>
      </x:c>
      <x:c r="G319" s="34" t="n">
        <x:v>162</x:v>
      </x:c>
      <x:c r="H319" s="34" t="n">
        <x:v>162</x:v>
      </x:c>
      <x:c r="I319" s="28" t="n">
        <x:v>1</x:v>
      </x:c>
      <x:c r="J319" s="39" t="n">
        <x:v>162</x:v>
      </x:c>
      <x:c r="K319" s="39" t="n">
        <x:v>4.05</x:v>
      </x:c>
      <x:c r="L319" s="39" t="n">
        <x:v>13330.05</x:v>
      </x:c>
      <x:c r="M319" s="39" t="n">
        <x:v>82.28425925925926</x:v>
      </x:c>
      <x:c r="N319" t="str">
        <x:v>OK</x:v>
      </x:c>
      <x:c r="O319" t="str">
        <x:v>Maintain plan</x:v>
      </x:c>
      <x:c r="P319" s="38" t="n">
        <x:v>0</x:v>
      </x:c>
    </x:row>
    <x:row r="320">
      <x:c r="A320" s="32" t="n">
        <x:v>45684</x:v>
      </x:c>
      <x:c r="B320" s="32" t="n">
        <x:v>45658</x:v>
      </x:c>
      <x:c r="C320" t="str">
        <x:v>Actual</x:v>
      </x:c>
      <x:c r="D320" t="str">
        <x:v>DB-104</x:v>
      </x:c>
      <x:c r="E320" s="34" t="n">
        <x:v>13330.05</x:v>
      </x:c>
      <x:c r="F320" s="34" t="n">
        <x:v>0</x:v>
      </x:c>
      <x:c r="G320" s="34" t="n">
        <x:v>162</x:v>
      </x:c>
      <x:c r="H320" s="34" t="n">
        <x:v>162</x:v>
      </x:c>
      <x:c r="I320" s="28" t="n">
        <x:v>1</x:v>
      </x:c>
      <x:c r="J320" s="39" t="n">
        <x:v>162</x:v>
      </x:c>
      <x:c r="K320" s="39" t="n">
        <x:v>4.05</x:v>
      </x:c>
      <x:c r="L320" s="39" t="n">
        <x:v>13172.099999999999</x:v>
      </x:c>
      <x:c r="M320" s="39" t="n">
        <x:v>81.30925925925925</x:v>
      </x:c>
      <x:c r="N320" t="str">
        <x:v>OK</x:v>
      </x:c>
      <x:c r="O320" t="str">
        <x:v>Maintain plan</x:v>
      </x:c>
      <x:c r="P320" s="38" t="n">
        <x:v>0</x:v>
      </x:c>
    </x:row>
    <x:row r="321">
      <x:c r="A321" s="32" t="n">
        <x:v>45691</x:v>
      </x:c>
      <x:c r="B321" s="32" t="n">
        <x:v>45689</x:v>
      </x:c>
      <x:c r="C321" t="str">
        <x:v>Actual</x:v>
      </x:c>
      <x:c r="D321" t="str">
        <x:v>DB-104</x:v>
      </x:c>
      <x:c r="E321" s="34" t="n">
        <x:v>13172.099999999999</x:v>
      </x:c>
      <x:c r="F321" s="34" t="n">
        <x:v>0</x:v>
      </x:c>
      <x:c r="G321" s="34" t="n">
        <x:v>170</x:v>
      </x:c>
      <x:c r="H321" s="34" t="n">
        <x:v>170</x:v>
      </x:c>
      <x:c r="I321" s="28" t="n">
        <x:v>1</x:v>
      </x:c>
      <x:c r="J321" s="39" t="n">
        <x:v>170</x:v>
      </x:c>
      <x:c r="K321" s="39" t="n">
        <x:v>4.25</x:v>
      </x:c>
      <x:c r="L321" s="39" t="n">
        <x:v>13006.349999999999</x:v>
      </x:c>
      <x:c r="M321" s="39" t="n">
        <x:v>76.50794117647058</x:v>
      </x:c>
      <x:c r="N321" t="str">
        <x:v>OK</x:v>
      </x:c>
      <x:c r="O321" t="str">
        <x:v>Maintain plan</x:v>
      </x:c>
      <x:c r="P321" s="38" t="n">
        <x:v>0</x:v>
      </x:c>
    </x:row>
    <x:row r="322">
      <x:c r="A322" s="32" t="n">
        <x:v>45698</x:v>
      </x:c>
      <x:c r="B322" s="32" t="n">
        <x:v>45689</x:v>
      </x:c>
      <x:c r="C322" t="str">
        <x:v>Actual</x:v>
      </x:c>
      <x:c r="D322" t="str">
        <x:v>DB-104</x:v>
      </x:c>
      <x:c r="E322" s="34" t="n">
        <x:v>13006.349999999999</x:v>
      </x:c>
      <x:c r="F322" s="34" t="n">
        <x:v>0</x:v>
      </x:c>
      <x:c r="G322" s="34" t="n">
        <x:v>170</x:v>
      </x:c>
      <x:c r="H322" s="34" t="n">
        <x:v>170</x:v>
      </x:c>
      <x:c r="I322" s="28" t="n">
        <x:v>1</x:v>
      </x:c>
      <x:c r="J322" s="39" t="n">
        <x:v>170</x:v>
      </x:c>
      <x:c r="K322" s="39" t="n">
        <x:v>4.25</x:v>
      </x:c>
      <x:c r="L322" s="39" t="n">
        <x:v>12840.599999999999</x:v>
      </x:c>
      <x:c r="M322" s="39" t="n">
        <x:v>75.53294117647059</x:v>
      </x:c>
      <x:c r="N322" t="str">
        <x:v>OK</x:v>
      </x:c>
      <x:c r="O322" t="str">
        <x:v>Maintain plan</x:v>
      </x:c>
      <x:c r="P322" s="38" t="n">
        <x:v>0</x:v>
      </x:c>
    </x:row>
    <x:row r="323">
      <x:c r="A323" s="32" t="n">
        <x:v>45705</x:v>
      </x:c>
      <x:c r="B323" s="32" t="n">
        <x:v>45689</x:v>
      </x:c>
      <x:c r="C323" t="str">
        <x:v>Actual</x:v>
      </x:c>
      <x:c r="D323" t="str">
        <x:v>DB-104</x:v>
      </x:c>
      <x:c r="E323" s="34" t="n">
        <x:v>12840.599999999999</x:v>
      </x:c>
      <x:c r="F323" s="34" t="n">
        <x:v>0</x:v>
      </x:c>
      <x:c r="G323" s="34" t="n">
        <x:v>170</x:v>
      </x:c>
      <x:c r="H323" s="34" t="n">
        <x:v>170</x:v>
      </x:c>
      <x:c r="I323" s="28" t="n">
        <x:v>1</x:v>
      </x:c>
      <x:c r="J323" s="39" t="n">
        <x:v>170</x:v>
      </x:c>
      <x:c r="K323" s="39" t="n">
        <x:v>4.25</x:v>
      </x:c>
      <x:c r="L323" s="39" t="n">
        <x:v>12674.849999999999</x:v>
      </x:c>
      <x:c r="M323" s="39" t="n">
        <x:v>74.55794117647058</x:v>
      </x:c>
      <x:c r="N323" t="str">
        <x:v>OK</x:v>
      </x:c>
      <x:c r="O323" t="str">
        <x:v>Maintain plan</x:v>
      </x:c>
      <x:c r="P323" s="38" t="n">
        <x:v>0</x:v>
      </x:c>
    </x:row>
    <x:row r="324">
      <x:c r="A324" s="32" t="n">
        <x:v>45712</x:v>
      </x:c>
      <x:c r="B324" s="32" t="n">
        <x:v>45689</x:v>
      </x:c>
      <x:c r="C324" t="str">
        <x:v>Actual</x:v>
      </x:c>
      <x:c r="D324" t="str">
        <x:v>DB-104</x:v>
      </x:c>
      <x:c r="E324" s="34" t="n">
        <x:v>12674.849999999999</x:v>
      </x:c>
      <x:c r="F324" s="34" t="n">
        <x:v>0</x:v>
      </x:c>
      <x:c r="G324" s="34" t="n">
        <x:v>173</x:v>
      </x:c>
      <x:c r="H324" s="34" t="n">
        <x:v>173</x:v>
      </x:c>
      <x:c r="I324" s="28" t="n">
        <x:v>1</x:v>
      </x:c>
      <x:c r="J324" s="39" t="n">
        <x:v>173</x:v>
      </x:c>
      <x:c r="K324" s="39" t="n">
        <x:v>4.325</x:v>
      </x:c>
      <x:c r="L324" s="39" t="n">
        <x:v>12506.175</x:v>
      </x:c>
      <x:c r="M324" s="39" t="n">
        <x:v>72.2900289017341</x:v>
      </x:c>
      <x:c r="N324" t="str">
        <x:v>OK</x:v>
      </x:c>
      <x:c r="O324" t="str">
        <x:v>Maintain plan</x:v>
      </x:c>
      <x:c r="P324" s="38" t="n">
        <x:v>0</x:v>
      </x:c>
    </x:row>
    <x:row r="325">
      <x:c r="A325" s="32" t="n">
        <x:v>45719</x:v>
      </x:c>
      <x:c r="B325" s="32" t="n">
        <x:v>45717</x:v>
      </x:c>
      <x:c r="C325" t="str">
        <x:v>Actual</x:v>
      </x:c>
      <x:c r="D325" t="str">
        <x:v>DB-104</x:v>
      </x:c>
      <x:c r="E325" s="34" t="n">
        <x:v>12506.175</x:v>
      </x:c>
      <x:c r="F325" s="34" t="n">
        <x:v>4800</x:v>
      </x:c>
      <x:c r="G325" s="34" t="n">
        <x:v>194</x:v>
      </x:c>
      <x:c r="H325" s="34" t="n">
        <x:v>194</x:v>
      </x:c>
      <x:c r="I325" s="28" t="n">
        <x:v>1</x:v>
      </x:c>
      <x:c r="J325" s="39" t="n">
        <x:v>194</x:v>
      </x:c>
      <x:c r="K325" s="39" t="n">
        <x:v>4.8500000000000005</x:v>
      </x:c>
      <x:c r="L325" s="39" t="n">
        <x:v>17117.024999999998</x:v>
      </x:c>
      <x:c r="M325" s="39" t="n">
        <x:v>88.23208762886597</x:v>
      </x:c>
      <x:c r="N325" t="str">
        <x:v>OK</x:v>
      </x:c>
      <x:c r="O325" t="str">
        <x:v>Maintain plan</x:v>
      </x:c>
      <x:c r="P325" s="38" t="n">
        <x:v>72.24</x:v>
      </x:c>
    </x:row>
    <x:row r="326">
      <x:c r="A326" s="32" t="n">
        <x:v>45726</x:v>
      </x:c>
      <x:c r="B326" s="32" t="n">
        <x:v>45717</x:v>
      </x:c>
      <x:c r="C326" t="str">
        <x:v>Actual</x:v>
      </x:c>
      <x:c r="D326" t="str">
        <x:v>DB-104</x:v>
      </x:c>
      <x:c r="E326" s="34" t="n">
        <x:v>17117.024999999998</x:v>
      </x:c>
      <x:c r="F326" s="34" t="n">
        <x:v>0</x:v>
      </x:c>
      <x:c r="G326" s="34" t="n">
        <x:v>195</x:v>
      </x:c>
      <x:c r="H326" s="34" t="n">
        <x:v>195</x:v>
      </x:c>
      <x:c r="I326" s="28" t="n">
        <x:v>1</x:v>
      </x:c>
      <x:c r="J326" s="39" t="n">
        <x:v>195</x:v>
      </x:c>
      <x:c r="K326" s="39" t="n">
        <x:v>4.875</x:v>
      </x:c>
      <x:c r="L326" s="39" t="n">
        <x:v>16926.899999999998</x:v>
      </x:c>
      <x:c r="M326" s="39" t="n">
        <x:v>86.80461538461537</x:v>
      </x:c>
      <x:c r="N326" t="str">
        <x:v>OK</x:v>
      </x:c>
      <x:c r="O326" t="str">
        <x:v>Maintain plan</x:v>
      </x:c>
      <x:c r="P326" s="38" t="n">
        <x:v>0</x:v>
      </x:c>
    </x:row>
    <x:row r="327">
      <x:c r="A327" s="32" t="n">
        <x:v>45733</x:v>
      </x:c>
      <x:c r="B327" s="32" t="n">
        <x:v>45717</x:v>
      </x:c>
      <x:c r="C327" t="str">
        <x:v>Actual</x:v>
      </x:c>
      <x:c r="D327" t="str">
        <x:v>DB-104</x:v>
      </x:c>
      <x:c r="E327" s="34" t="n">
        <x:v>16926.899999999998</x:v>
      </x:c>
      <x:c r="F327" s="34" t="n">
        <x:v>0</x:v>
      </x:c>
      <x:c r="G327" s="34" t="n">
        <x:v>197</x:v>
      </x:c>
      <x:c r="H327" s="34" t="n">
        <x:v>197</x:v>
      </x:c>
      <x:c r="I327" s="28" t="n">
        <x:v>1</x:v>
      </x:c>
      <x:c r="J327" s="39" t="n">
        <x:v>197</x:v>
      </x:c>
      <x:c r="K327" s="39" t="n">
        <x:v>4.925000000000001</x:v>
      </x:c>
      <x:c r="L327" s="39" t="n">
        <x:v>16734.824999999997</x:v>
      </x:c>
      <x:c r="M327" s="39" t="n">
        <x:v>84.94835025380709</x:v>
      </x:c>
      <x:c r="N327" t="str">
        <x:v>OK</x:v>
      </x:c>
      <x:c r="O327" t="str">
        <x:v>Maintain plan</x:v>
      </x:c>
      <x:c r="P327" s="38" t="n">
        <x:v>0</x:v>
      </x:c>
    </x:row>
    <x:row r="328">
      <x:c r="A328" s="32" t="n">
        <x:v>45740</x:v>
      </x:c>
      <x:c r="B328" s="32" t="n">
        <x:v>45717</x:v>
      </x:c>
      <x:c r="C328" t="str">
        <x:v>Actual</x:v>
      </x:c>
      <x:c r="D328" t="str">
        <x:v>DB-104</x:v>
      </x:c>
      <x:c r="E328" s="34" t="n">
        <x:v>16734.824999999997</x:v>
      </x:c>
      <x:c r="F328" s="34" t="n">
        <x:v>0</x:v>
      </x:c>
      <x:c r="G328" s="34" t="n">
        <x:v>197</x:v>
      </x:c>
      <x:c r="H328" s="34" t="n">
        <x:v>197</x:v>
      </x:c>
      <x:c r="I328" s="28" t="n">
        <x:v>1</x:v>
      </x:c>
      <x:c r="J328" s="39" t="n">
        <x:v>197</x:v>
      </x:c>
      <x:c r="K328" s="39" t="n">
        <x:v>4.925000000000001</x:v>
      </x:c>
      <x:c r="L328" s="39" t="n">
        <x:v>16542.749999999996</x:v>
      </x:c>
      <x:c r="M328" s="39" t="n">
        <x:v>83.97335025380708</x:v>
      </x:c>
      <x:c r="N328" t="str">
        <x:v>OK</x:v>
      </x:c>
      <x:c r="O328" t="str">
        <x:v>Maintain plan</x:v>
      </x:c>
      <x:c r="P328" s="38" t="n">
        <x:v>0</x:v>
      </x:c>
    </x:row>
    <x:row r="329">
      <x:c r="A329" s="32" t="n">
        <x:v>45747</x:v>
      </x:c>
      <x:c r="B329" s="32" t="n">
        <x:v>45717</x:v>
      </x:c>
      <x:c r="C329" t="str">
        <x:v>Actual</x:v>
      </x:c>
      <x:c r="D329" t="str">
        <x:v>DB-104</x:v>
      </x:c>
      <x:c r="E329" s="34" t="n">
        <x:v>16542.749999999996</x:v>
      </x:c>
      <x:c r="F329" s="34" t="n">
        <x:v>0</x:v>
      </x:c>
      <x:c r="G329" s="34" t="n">
        <x:v>198</x:v>
      </x:c>
      <x:c r="H329" s="34" t="n">
        <x:v>198</x:v>
      </x:c>
      <x:c r="I329" s="28" t="n">
        <x:v>1</x:v>
      </x:c>
      <x:c r="J329" s="39" t="n">
        <x:v>198</x:v>
      </x:c>
      <x:c r="K329" s="39" t="n">
        <x:v>4.95</x:v>
      </x:c>
      <x:c r="L329" s="39" t="n">
        <x:v>16349.699999999997</x:v>
      </x:c>
      <x:c r="M329" s="39" t="n">
        <x:v>82.57424242424241</x:v>
      </x:c>
      <x:c r="N329" t="str">
        <x:v>OK</x:v>
      </x:c>
      <x:c r="O329" t="str">
        <x:v>Maintain plan</x:v>
      </x:c>
      <x:c r="P329" s="38" t="n">
        <x:v>0</x:v>
      </x:c>
    </x:row>
    <x:row r="330">
      <x:c r="A330" s="32" t="n">
        <x:v>45754</x:v>
      </x:c>
      <x:c r="B330" s="32" t="n">
        <x:v>45748</x:v>
      </x:c>
      <x:c r="C330" t="str">
        <x:v>Actual</x:v>
      </x:c>
      <x:c r="D330" t="str">
        <x:v>DB-104</x:v>
      </x:c>
      <x:c r="E330" s="34" t="n">
        <x:v>16349.699999999997</x:v>
      </x:c>
      <x:c r="F330" s="34" t="n">
        <x:v>0</x:v>
      </x:c>
      <x:c r="G330" s="34" t="n">
        <x:v>237</x:v>
      </x:c>
      <x:c r="H330" s="34" t="n">
        <x:v>237</x:v>
      </x:c>
      <x:c r="I330" s="28" t="n">
        <x:v>1</x:v>
      </x:c>
      <x:c r="J330" s="39" t="n">
        <x:v>237</x:v>
      </x:c>
      <x:c r="K330" s="39" t="n">
        <x:v>5.925000000000001</x:v>
      </x:c>
      <x:c r="L330" s="39" t="n">
        <x:v>16118.624999999996</x:v>
      </x:c>
      <x:c r="M330" s="39" t="n">
        <x:v>68.01107594936707</x:v>
      </x:c>
      <x:c r="N330" t="str">
        <x:v>OK</x:v>
      </x:c>
      <x:c r="O330" t="str">
        <x:v>Maintain plan</x:v>
      </x:c>
      <x:c r="P330" s="38" t="n">
        <x:v>0</x:v>
      </x:c>
    </x:row>
    <x:row r="331">
      <x:c r="A331" s="32" t="n">
        <x:v>45761</x:v>
      </x:c>
      <x:c r="B331" s="32" t="n">
        <x:v>45748</x:v>
      </x:c>
      <x:c r="C331" t="str">
        <x:v>Actual</x:v>
      </x:c>
      <x:c r="D331" t="str">
        <x:v>DB-104</x:v>
      </x:c>
      <x:c r="E331" s="34" t="n">
        <x:v>16118.624999999996</x:v>
      </x:c>
      <x:c r="F331" s="34" t="n">
        <x:v>0</x:v>
      </x:c>
      <x:c r="G331" s="34" t="n">
        <x:v>239</x:v>
      </x:c>
      <x:c r="H331" s="34" t="n">
        <x:v>239</x:v>
      </x:c>
      <x:c r="I331" s="28" t="n">
        <x:v>1</x:v>
      </x:c>
      <x:c r="J331" s="39" t="n">
        <x:v>239</x:v>
      </x:c>
      <x:c r="K331" s="39" t="n">
        <x:v>5.9750000000000005</x:v>
      </x:c>
      <x:c r="L331" s="39" t="n">
        <x:v>15885.599999999997</x:v>
      </x:c>
      <x:c r="M331" s="39" t="n">
        <x:v>66.46694560669455</x:v>
      </x:c>
      <x:c r="N331" t="str">
        <x:v>OK</x:v>
      </x:c>
      <x:c r="O331" t="str">
        <x:v>Maintain plan</x:v>
      </x:c>
      <x:c r="P331" s="38" t="n">
        <x:v>0</x:v>
      </x:c>
    </x:row>
    <x:row r="332">
      <x:c r="A332" s="32" t="n">
        <x:v>45768</x:v>
      </x:c>
      <x:c r="B332" s="32" t="n">
        <x:v>45748</x:v>
      </x:c>
      <x:c r="C332" t="str">
        <x:v>Actual</x:v>
      </x:c>
      <x:c r="D332" t="str">
        <x:v>DB-104</x:v>
      </x:c>
      <x:c r="E332" s="34" t="n">
        <x:v>15885.599999999997</x:v>
      </x:c>
      <x:c r="F332" s="34" t="n">
        <x:v>0</x:v>
      </x:c>
      <x:c r="G332" s="34" t="n">
        <x:v>239</x:v>
      </x:c>
      <x:c r="H332" s="34" t="n">
        <x:v>239</x:v>
      </x:c>
      <x:c r="I332" s="28" t="n">
        <x:v>1</x:v>
      </x:c>
      <x:c r="J332" s="39" t="n">
        <x:v>239</x:v>
      </x:c>
      <x:c r="K332" s="39" t="n">
        <x:v>5.9750000000000005</x:v>
      </x:c>
      <x:c r="L332" s="39" t="n">
        <x:v>15652.574999999997</x:v>
      </x:c>
      <x:c r="M332" s="39" t="n">
        <x:v>65.49194560669454</x:v>
      </x:c>
      <x:c r="N332" t="str">
        <x:v>OK</x:v>
      </x:c>
      <x:c r="O332" t="str">
        <x:v>Maintain plan</x:v>
      </x:c>
      <x:c r="P332" s="38" t="n">
        <x:v>0</x:v>
      </x:c>
    </x:row>
    <x:row r="333">
      <x:c r="A333" s="32" t="n">
        <x:v>45775</x:v>
      </x:c>
      <x:c r="B333" s="32" t="n">
        <x:v>45748</x:v>
      </x:c>
      <x:c r="C333" t="str">
        <x:v>Actual</x:v>
      </x:c>
      <x:c r="D333" t="str">
        <x:v>DB-104</x:v>
      </x:c>
      <x:c r="E333" s="34" t="n">
        <x:v>15652.574999999997</x:v>
      </x:c>
      <x:c r="F333" s="34" t="n">
        <x:v>4800</x:v>
      </x:c>
      <x:c r="G333" s="34" t="n">
        <x:v>240</x:v>
      </x:c>
      <x:c r="H333" s="34" t="n">
        <x:v>240</x:v>
      </x:c>
      <x:c r="I333" s="28" t="n">
        <x:v>1</x:v>
      </x:c>
      <x:c r="J333" s="39" t="n">
        <x:v>240</x:v>
      </x:c>
      <x:c r="K333" s="39" t="n">
        <x:v>6</x:v>
      </x:c>
      <x:c r="L333" s="39" t="n">
        <x:v>20218.574999999997</x:v>
      </x:c>
      <x:c r="M333" s="39" t="n">
        <x:v>84.24406249999998</x:v>
      </x:c>
      <x:c r="N333" t="str">
        <x:v>OK</x:v>
      </x:c>
      <x:c r="O333" t="str">
        <x:v>Maintain plan</x:v>
      </x:c>
      <x:c r="P333" s="38" t="n">
        <x:v>72.24</x:v>
      </x:c>
    </x:row>
    <x:row r="334">
      <x:c r="A334" s="32" t="n">
        <x:v>45782</x:v>
      </x:c>
      <x:c r="B334" s="32" t="n">
        <x:v>45778</x:v>
      </x:c>
      <x:c r="C334" t="str">
        <x:v>Actual</x:v>
      </x:c>
      <x:c r="D334" t="str">
        <x:v>DB-104</x:v>
      </x:c>
      <x:c r="E334" s="34" t="n">
        <x:v>20218.574999999997</x:v>
      </x:c>
      <x:c r="F334" s="34" t="n">
        <x:v>0</x:v>
      </x:c>
      <x:c r="G334" s="34" t="n">
        <x:v>293</x:v>
      </x:c>
      <x:c r="H334" s="34" t="n">
        <x:v>293</x:v>
      </x:c>
      <x:c r="I334" s="28" t="n">
        <x:v>1</x:v>
      </x:c>
      <x:c r="J334" s="39" t="n">
        <x:v>293</x:v>
      </x:c>
      <x:c r="K334" s="39" t="n">
        <x:v>7.325</x:v>
      </x:c>
      <x:c r="L334" s="39" t="n">
        <x:v>19932.899999999998</x:v>
      </x:c>
      <x:c r="M334" s="39" t="n">
        <x:v>68.03037542662115</x:v>
      </x:c>
      <x:c r="N334" t="str">
        <x:v>OK</x:v>
      </x:c>
      <x:c r="O334" t="str">
        <x:v>Maintain plan</x:v>
      </x:c>
      <x:c r="P334" s="38" t="n">
        <x:v>0</x:v>
      </x:c>
    </x:row>
    <x:row r="335">
      <x:c r="A335" s="32" t="n">
        <x:v>45789</x:v>
      </x:c>
      <x:c r="B335" s="32" t="n">
        <x:v>45778</x:v>
      </x:c>
      <x:c r="C335" t="str">
        <x:v>Actual</x:v>
      </x:c>
      <x:c r="D335" t="str">
        <x:v>DB-104</x:v>
      </x:c>
      <x:c r="E335" s="34" t="n">
        <x:v>19932.899999999998</x:v>
      </x:c>
      <x:c r="F335" s="34" t="n">
        <x:v>0</x:v>
      </x:c>
      <x:c r="G335" s="34" t="n">
        <x:v>295</x:v>
      </x:c>
      <x:c r="H335" s="34" t="n">
        <x:v>295</x:v>
      </x:c>
      <x:c r="I335" s="28" t="n">
        <x:v>1</x:v>
      </x:c>
      <x:c r="J335" s="39" t="n">
        <x:v>295</x:v>
      </x:c>
      <x:c r="K335" s="39" t="n">
        <x:v>7.375</x:v>
      </x:c>
      <x:c r="L335" s="39" t="n">
        <x:v>19645.274999999998</x:v>
      </x:c>
      <x:c r="M335" s="39" t="n">
        <x:v>66.59415254237287</x:v>
      </x:c>
      <x:c r="N335" t="str">
        <x:v>OK</x:v>
      </x:c>
      <x:c r="O335" t="str">
        <x:v>Maintain plan</x:v>
      </x:c>
      <x:c r="P335" s="38" t="n">
        <x:v>0</x:v>
      </x:c>
    </x:row>
    <x:row r="336">
      <x:c r="A336" s="32" t="n">
        <x:v>45796</x:v>
      </x:c>
      <x:c r="B336" s="32" t="n">
        <x:v>45778</x:v>
      </x:c>
      <x:c r="C336" t="str">
        <x:v>Actual</x:v>
      </x:c>
      <x:c r="D336" t="str">
        <x:v>DB-104</x:v>
      </x:c>
      <x:c r="E336" s="34" t="n">
        <x:v>19645.274999999998</x:v>
      </x:c>
      <x:c r="F336" s="34" t="n">
        <x:v>0</x:v>
      </x:c>
      <x:c r="G336" s="34" t="n">
        <x:v>295</x:v>
      </x:c>
      <x:c r="H336" s="34" t="n">
        <x:v>295</x:v>
      </x:c>
      <x:c r="I336" s="28" t="n">
        <x:v>1</x:v>
      </x:c>
      <x:c r="J336" s="39" t="n">
        <x:v>295</x:v>
      </x:c>
      <x:c r="K336" s="39" t="n">
        <x:v>7.375</x:v>
      </x:c>
      <x:c r="L336" s="39" t="n">
        <x:v>19357.649999999998</x:v>
      </x:c>
      <x:c r="M336" s="39" t="n">
        <x:v>65.61915254237287</x:v>
      </x:c>
      <x:c r="N336" t="str">
        <x:v>OK</x:v>
      </x:c>
      <x:c r="O336" t="str">
        <x:v>Maintain plan</x:v>
      </x:c>
      <x:c r="P336" s="38" t="n">
        <x:v>0</x:v>
      </x:c>
    </x:row>
    <x:row r="337">
      <x:c r="A337" s="32" t="n">
        <x:v>45803</x:v>
      </x:c>
      <x:c r="B337" s="32" t="n">
        <x:v>45778</x:v>
      </x:c>
      <x:c r="C337" t="str">
        <x:v>Actual</x:v>
      </x:c>
      <x:c r="D337" t="str">
        <x:v>DB-104</x:v>
      </x:c>
      <x:c r="E337" s="34" t="n">
        <x:v>19357.649999999998</x:v>
      </x:c>
      <x:c r="F337" s="34" t="n">
        <x:v>0</x:v>
      </x:c>
      <x:c r="G337" s="34" t="n">
        <x:v>296</x:v>
      </x:c>
      <x:c r="H337" s="34" t="n">
        <x:v>296</x:v>
      </x:c>
      <x:c r="I337" s="28" t="n">
        <x:v>1</x:v>
      </x:c>
      <x:c r="J337" s="39" t="n">
        <x:v>296</x:v>
      </x:c>
      <x:c r="K337" s="39" t="n">
        <x:v>7.4</x:v>
      </x:c>
      <x:c r="L337" s="39" t="n">
        <x:v>19069.05</x:v>
      </x:c>
      <x:c r="M337" s="39" t="n">
        <x:v>64.42246621621621</x:v>
      </x:c>
      <x:c r="N337" t="str">
        <x:v>OK</x:v>
      </x:c>
      <x:c r="O337" t="str">
        <x:v>Maintain plan</x:v>
      </x:c>
      <x:c r="P337" s="38" t="n">
        <x:v>0</x:v>
      </x:c>
    </x:row>
    <x:row r="338">
      <x:c r="A338" s="32" t="n">
        <x:v>45810</x:v>
      </x:c>
      <x:c r="B338" s="32" t="n">
        <x:v>45809</x:v>
      </x:c>
      <x:c r="C338" t="str">
        <x:v>Actual</x:v>
      </x:c>
      <x:c r="D338" t="str">
        <x:v>DB-104</x:v>
      </x:c>
      <x:c r="E338" s="34" t="n">
        <x:v>19069.05</x:v>
      </x:c>
      <x:c r="F338" s="34" t="n">
        <x:v>0</x:v>
      </x:c>
      <x:c r="G338" s="34" t="n">
        <x:v>337</x:v>
      </x:c>
      <x:c r="H338" s="34" t="n">
        <x:v>337</x:v>
      </x:c>
      <x:c r="I338" s="28" t="n">
        <x:v>1</x:v>
      </x:c>
      <x:c r="J338" s="39" t="n">
        <x:v>337</x:v>
      </x:c>
      <x:c r="K338" s="39" t="n">
        <x:v>8.425</x:v>
      </x:c>
      <x:c r="L338" s="39" t="n">
        <x:v>18740.475</x:v>
      </x:c>
      <x:c r="M338" s="39" t="n">
        <x:v>55.609718100890206</x:v>
      </x:c>
      <x:c r="N338" t="str">
        <x:v>OK</x:v>
      </x:c>
      <x:c r="O338" t="str">
        <x:v>Maintain plan</x:v>
      </x:c>
      <x:c r="P338" s="38" t="n">
        <x:v>0</x:v>
      </x:c>
    </x:row>
    <x:row r="339">
      <x:c r="A339" s="32" t="n">
        <x:v>45817</x:v>
      </x:c>
      <x:c r="B339" s="32" t="n">
        <x:v>45809</x:v>
      </x:c>
      <x:c r="C339" t="str">
        <x:v>Actual</x:v>
      </x:c>
      <x:c r="D339" t="str">
        <x:v>DB-104</x:v>
      </x:c>
      <x:c r="E339" s="34" t="n">
        <x:v>18740.475</x:v>
      </x:c>
      <x:c r="F339" s="34" t="n">
        <x:v>0</x:v>
      </x:c>
      <x:c r="G339" s="34" t="n">
        <x:v>340</x:v>
      </x:c>
      <x:c r="H339" s="34" t="n">
        <x:v>340</x:v>
      </x:c>
      <x:c r="I339" s="28" t="n">
        <x:v>1</x:v>
      </x:c>
      <x:c r="J339" s="39" t="n">
        <x:v>340</x:v>
      </x:c>
      <x:c r="K339" s="39" t="n">
        <x:v>8.5</x:v>
      </x:c>
      <x:c r="L339" s="39" t="n">
        <x:v>18408.975</x:v>
      </x:c>
      <x:c r="M339" s="39" t="n">
        <x:v>54.144044117647056</x:v>
      </x:c>
      <x:c r="N339" t="str">
        <x:v>OK</x:v>
      </x:c>
      <x:c r="O339" t="str">
        <x:v>Maintain plan</x:v>
      </x:c>
      <x:c r="P339" s="38" t="n">
        <x:v>0</x:v>
      </x:c>
    </x:row>
    <x:row r="340">
      <x:c r="A340" s="32" t="n">
        <x:v>45824</x:v>
      </x:c>
      <x:c r="B340" s="32" t="n">
        <x:v>45809</x:v>
      </x:c>
      <x:c r="C340" t="str">
        <x:v>Actual</x:v>
      </x:c>
      <x:c r="D340" t="str">
        <x:v>DB-104</x:v>
      </x:c>
      <x:c r="E340" s="34" t="n">
        <x:v>18408.975</x:v>
      </x:c>
      <x:c r="F340" s="34" t="n">
        <x:v>0</x:v>
      </x:c>
      <x:c r="G340" s="34" t="n">
        <x:v>341</x:v>
      </x:c>
      <x:c r="H340" s="34" t="n">
        <x:v>341</x:v>
      </x:c>
      <x:c r="I340" s="28" t="n">
        <x:v>1</x:v>
      </x:c>
      <x:c r="J340" s="39" t="n">
        <x:v>341</x:v>
      </x:c>
      <x:c r="K340" s="39" t="n">
        <x:v>8.525</x:v>
      </x:c>
      <x:c r="L340" s="39" t="n">
        <x:v>18076.5</x:v>
      </x:c>
      <x:c r="M340" s="39" t="n">
        <x:v>53.010263929618766</x:v>
      </x:c>
      <x:c r="N340" t="str">
        <x:v>OK</x:v>
      </x:c>
      <x:c r="O340" t="str">
        <x:v>Maintain plan</x:v>
      </x:c>
      <x:c r="P340" s="38" t="n">
        <x:v>0</x:v>
      </x:c>
    </x:row>
    <x:row r="341">
      <x:c r="A341" s="32" t="n">
        <x:v>45831</x:v>
      </x:c>
      <x:c r="B341" s="32" t="n">
        <x:v>45809</x:v>
      </x:c>
      <x:c r="C341" t="str">
        <x:v>Actual</x:v>
      </x:c>
      <x:c r="D341" t="str">
        <x:v>DB-104</x:v>
      </x:c>
      <x:c r="E341" s="34" t="n">
        <x:v>18076.5</x:v>
      </x:c>
      <x:c r="F341" s="34" t="n">
        <x:v>4800</x:v>
      </x:c>
      <x:c r="G341" s="34" t="n">
        <x:v>341</x:v>
      </x:c>
      <x:c r="H341" s="34" t="n">
        <x:v>341</x:v>
      </x:c>
      <x:c r="I341" s="28" t="n">
        <x:v>1</x:v>
      </x:c>
      <x:c r="J341" s="39" t="n">
        <x:v>341</x:v>
      </x:c>
      <x:c r="K341" s="39" t="n">
        <x:v>8.525</x:v>
      </x:c>
      <x:c r="L341" s="39" t="n">
        <x:v>22544.025</x:v>
      </x:c>
      <x:c r="M341" s="39" t="n">
        <x:v>66.11151026392962</x:v>
      </x:c>
      <x:c r="N341" t="str">
        <x:v>OK</x:v>
      </x:c>
      <x:c r="O341" t="str">
        <x:v>Maintain plan</x:v>
      </x:c>
      <x:c r="P341" s="38" t="n">
        <x:v>72.24</x:v>
      </x:c>
    </x:row>
    <x:row r="342">
      <x:c r="A342" s="32" t="n">
        <x:v>45838</x:v>
      </x:c>
      <x:c r="B342" s="32" t="n">
        <x:v>45809</x:v>
      </x:c>
      <x:c r="C342" t="str">
        <x:v>Actual</x:v>
      </x:c>
      <x:c r="D342" t="str">
        <x:v>DB-104</x:v>
      </x:c>
      <x:c r="E342" s="34" t="n">
        <x:v>22544.025</x:v>
      </x:c>
      <x:c r="F342" s="34" t="n">
        <x:v>0</x:v>
      </x:c>
      <x:c r="G342" s="34" t="n">
        <x:v>343</x:v>
      </x:c>
      <x:c r="H342" s="34" t="n">
        <x:v>343</x:v>
      </x:c>
      <x:c r="I342" s="28" t="n">
        <x:v>1</x:v>
      </x:c>
      <x:c r="J342" s="39" t="n">
        <x:v>343</x:v>
      </x:c>
      <x:c r="K342" s="39" t="n">
        <x:v>8.575000000000001</x:v>
      </x:c>
      <x:c r="L342" s="39" t="n">
        <x:v>22209.600000000002</x:v>
      </x:c>
      <x:c r="M342" s="39" t="n">
        <x:v>64.75102040816327</x:v>
      </x:c>
      <x:c r="N342" t="str">
        <x:v>OK</x:v>
      </x:c>
      <x:c r="O342" t="str">
        <x:v>Maintain plan</x:v>
      </x:c>
      <x:c r="P342" s="38" t="n">
        <x:v>0</x:v>
      </x:c>
    </x:row>
    <x:row r="343">
      <x:c r="A343" s="32" t="n">
        <x:v>45845</x:v>
      </x:c>
      <x:c r="B343" s="32" t="n">
        <x:v>45839</x:v>
      </x:c>
      <x:c r="C343" t="str">
        <x:v>Actual</x:v>
      </x:c>
      <x:c r="D343" t="str">
        <x:v>DB-104</x:v>
      </x:c>
      <x:c r="E343" s="34" t="n">
        <x:v>22209.600000000002</x:v>
      </x:c>
      <x:c r="F343" s="34" t="n">
        <x:v>0</x:v>
      </x:c>
      <x:c r="G343" s="34" t="n">
        <x:v>337</x:v>
      </x:c>
      <x:c r="H343" s="34" t="n">
        <x:v>337</x:v>
      </x:c>
      <x:c r="I343" s="28" t="n">
        <x:v>1</x:v>
      </x:c>
      <x:c r="J343" s="39" t="n">
        <x:v>337</x:v>
      </x:c>
      <x:c r="K343" s="39" t="n">
        <x:v>8.425</x:v>
      </x:c>
      <x:c r="L343" s="39" t="n">
        <x:v>21881.025</x:v>
      </x:c>
      <x:c r="M343" s="39" t="n">
        <x:v>64.92885756676559</x:v>
      </x:c>
      <x:c r="N343" t="str">
        <x:v>OK</x:v>
      </x:c>
      <x:c r="O343" t="str">
        <x:v>Maintain plan</x:v>
      </x:c>
      <x:c r="P343" s="38" t="n">
        <x:v>0</x:v>
      </x:c>
    </x:row>
    <x:row r="344">
      <x:c r="A344" s="32" t="n">
        <x:v>45852</x:v>
      </x:c>
      <x:c r="B344" s="32" t="n">
        <x:v>45839</x:v>
      </x:c>
      <x:c r="C344" t="str">
        <x:v>Actual</x:v>
      </x:c>
      <x:c r="D344" t="str">
        <x:v>DB-104</x:v>
      </x:c>
      <x:c r="E344" s="34" t="n">
        <x:v>21881.025</x:v>
      </x:c>
      <x:c r="F344" s="34" t="n">
        <x:v>0</x:v>
      </x:c>
      <x:c r="G344" s="34" t="n">
        <x:v>338</x:v>
      </x:c>
      <x:c r="H344" s="34" t="n">
        <x:v>338</x:v>
      </x:c>
      <x:c r="I344" s="28" t="n">
        <x:v>1</x:v>
      </x:c>
      <x:c r="J344" s="39" t="n">
        <x:v>338</x:v>
      </x:c>
      <x:c r="K344" s="39" t="n">
        <x:v>8.450000000000001</x:v>
      </x:c>
      <x:c r="L344" s="39" t="n">
        <x:v>21551.475000000002</x:v>
      </x:c>
      <x:c r="M344" s="39" t="n">
        <x:v>63.761760355029594</x:v>
      </x:c>
      <x:c r="N344" t="str">
        <x:v>OK</x:v>
      </x:c>
      <x:c r="O344" t="str">
        <x:v>Maintain plan</x:v>
      </x:c>
      <x:c r="P344" s="38" t="n">
        <x:v>0</x:v>
      </x:c>
    </x:row>
    <x:row r="345">
      <x:c r="A345" s="32" t="n">
        <x:v>45859</x:v>
      </x:c>
      <x:c r="B345" s="32" t="n">
        <x:v>45839</x:v>
      </x:c>
      <x:c r="C345" t="str">
        <x:v>Actual</x:v>
      </x:c>
      <x:c r="D345" t="str">
        <x:v>DB-104</x:v>
      </x:c>
      <x:c r="E345" s="34" t="n">
        <x:v>21551.475000000002</x:v>
      </x:c>
      <x:c r="F345" s="34" t="n">
        <x:v>0</x:v>
      </x:c>
      <x:c r="G345" s="34" t="n">
        <x:v>340</x:v>
      </x:c>
      <x:c r="H345" s="34" t="n">
        <x:v>340</x:v>
      </x:c>
      <x:c r="I345" s="28" t="n">
        <x:v>1</x:v>
      </x:c>
      <x:c r="J345" s="39" t="n">
        <x:v>340</x:v>
      </x:c>
      <x:c r="K345" s="39" t="n">
        <x:v>8.5</x:v>
      </x:c>
      <x:c r="L345" s="39" t="n">
        <x:v>21219.975000000002</x:v>
      </x:c>
      <x:c r="M345" s="39" t="n">
        <x:v>62.4116911764706</x:v>
      </x:c>
      <x:c r="N345" t="str">
        <x:v>OK</x:v>
      </x:c>
      <x:c r="O345" t="str">
        <x:v>Maintain plan</x:v>
      </x:c>
      <x:c r="P345" s="38" t="n">
        <x:v>0</x:v>
      </x:c>
    </x:row>
    <x:row r="346">
      <x:c r="A346" s="32" t="n">
        <x:v>45866</x:v>
      </x:c>
      <x:c r="B346" s="32" t="n">
        <x:v>45839</x:v>
      </x:c>
      <x:c r="C346" t="str">
        <x:v>Actual</x:v>
      </x:c>
      <x:c r="D346" t="str">
        <x:v>DB-104</x:v>
      </x:c>
      <x:c r="E346" s="34" t="n">
        <x:v>21219.975000000002</x:v>
      </x:c>
      <x:c r="F346" s="34" t="n">
        <x:v>0</x:v>
      </x:c>
      <x:c r="G346" s="34" t="n">
        <x:v>341</x:v>
      </x:c>
      <x:c r="H346" s="34" t="n">
        <x:v>341</x:v>
      </x:c>
      <x:c r="I346" s="28" t="n">
        <x:v>1</x:v>
      </x:c>
      <x:c r="J346" s="39" t="n">
        <x:v>341</x:v>
      </x:c>
      <x:c r="K346" s="39" t="n">
        <x:v>8.525</x:v>
      </x:c>
      <x:c r="L346" s="39" t="n">
        <x:v>20887.500000000004</x:v>
      </x:c>
      <x:c r="M346" s="39" t="n">
        <x:v>61.25366568914957</x:v>
      </x:c>
      <x:c r="N346" t="str">
        <x:v>OK</x:v>
      </x:c>
      <x:c r="O346" t="str">
        <x:v>Maintain plan</x:v>
      </x:c>
      <x:c r="P346" s="38" t="n">
        <x:v>0</x:v>
      </x:c>
    </x:row>
    <x:row r="347">
      <x:c r="A347" s="32" t="n">
        <x:v>45873</x:v>
      </x:c>
      <x:c r="B347" s="32" t="n">
        <x:v>45870</x:v>
      </x:c>
      <x:c r="C347" t="str">
        <x:v>Actual</x:v>
      </x:c>
      <x:c r="D347" t="str">
        <x:v>DB-104</x:v>
      </x:c>
      <x:c r="E347" s="34" t="n">
        <x:v>20887.500000000004</x:v>
      </x:c>
      <x:c r="F347" s="34" t="n">
        <x:v>0</x:v>
      </x:c>
      <x:c r="G347" s="34" t="n">
        <x:v>285</x:v>
      </x:c>
      <x:c r="H347" s="34" t="n">
        <x:v>285</x:v>
      </x:c>
      <x:c r="I347" s="28" t="n">
        <x:v>1</x:v>
      </x:c>
      <x:c r="J347" s="39" t="n">
        <x:v>285</x:v>
      </x:c>
      <x:c r="K347" s="39" t="n">
        <x:v>7.125</x:v>
      </x:c>
      <x:c r="L347" s="39" t="n">
        <x:v>20609.625000000004</x:v>
      </x:c>
      <x:c r="M347" s="39" t="n">
        <x:v>72.31447368421054</x:v>
      </x:c>
      <x:c r="N347" t="str">
        <x:v>OK</x:v>
      </x:c>
      <x:c r="O347" t="str">
        <x:v>Maintain plan</x:v>
      </x:c>
      <x:c r="P347" s="38" t="n">
        <x:v>0</x:v>
      </x:c>
    </x:row>
    <x:row r="348">
      <x:c r="A348" s="32" t="n">
        <x:v>45880</x:v>
      </x:c>
      <x:c r="B348" s="32" t="n">
        <x:v>45870</x:v>
      </x:c>
      <x:c r="C348" t="str">
        <x:v>Actual</x:v>
      </x:c>
      <x:c r="D348" t="str">
        <x:v>DB-104</x:v>
      </x:c>
      <x:c r="E348" s="34" t="n">
        <x:v>20609.625000000004</x:v>
      </x:c>
      <x:c r="F348" s="34" t="n">
        <x:v>0</x:v>
      </x:c>
      <x:c r="G348" s="34" t="n">
        <x:v>285</x:v>
      </x:c>
      <x:c r="H348" s="34" t="n">
        <x:v>285</x:v>
      </x:c>
      <x:c r="I348" s="28" t="n">
        <x:v>1</x:v>
      </x:c>
      <x:c r="J348" s="39" t="n">
        <x:v>285</x:v>
      </x:c>
      <x:c r="K348" s="39" t="n">
        <x:v>7.125</x:v>
      </x:c>
      <x:c r="L348" s="39" t="n">
        <x:v>20331.750000000004</x:v>
      </x:c>
      <x:c r="M348" s="39" t="n">
        <x:v>71.33947368421055</x:v>
      </x:c>
      <x:c r="N348" t="str">
        <x:v>OK</x:v>
      </x:c>
      <x:c r="O348" t="str">
        <x:v>Maintain plan</x:v>
      </x:c>
      <x:c r="P348" s="38" t="n">
        <x:v>0</x:v>
      </x:c>
    </x:row>
    <x:row r="349">
      <x:c r="A349" s="32" t="n">
        <x:v>45887</x:v>
      </x:c>
      <x:c r="B349" s="32" t="n">
        <x:v>45870</x:v>
      </x:c>
      <x:c r="C349" t="str">
        <x:v>Actual</x:v>
      </x:c>
      <x:c r="D349" t="str">
        <x:v>DB-104</x:v>
      </x:c>
      <x:c r="E349" s="34" t="n">
        <x:v>20331.750000000004</x:v>
      </x:c>
      <x:c r="F349" s="34" t="n">
        <x:v>4800</x:v>
      </x:c>
      <x:c r="G349" s="34" t="n">
        <x:v>287</x:v>
      </x:c>
      <x:c r="H349" s="34" t="n">
        <x:v>287</x:v>
      </x:c>
      <x:c r="I349" s="28" t="n">
        <x:v>1</x:v>
      </x:c>
      <x:c r="J349" s="39" t="n">
        <x:v>287</x:v>
      </x:c>
      <x:c r="K349" s="39" t="n">
        <x:v>7.175000000000001</x:v>
      </x:c>
      <x:c r="L349" s="39" t="n">
        <x:v>24851.925000000003</x:v>
      </x:c>
      <x:c r="M349" s="39" t="n">
        <x:v>86.59207317073172</x:v>
      </x:c>
      <x:c r="N349" t="str">
        <x:v>OK</x:v>
      </x:c>
      <x:c r="O349" t="str">
        <x:v>Maintain plan</x:v>
      </x:c>
      <x:c r="P349" s="38" t="n">
        <x:v>72.24</x:v>
      </x:c>
    </x:row>
    <x:row r="350">
      <x:c r="A350" s="32" t="n">
        <x:v>45894</x:v>
      </x:c>
      <x:c r="B350" s="32" t="n">
        <x:v>45870</x:v>
      </x:c>
      <x:c r="C350" t="str">
        <x:v>Actual</x:v>
      </x:c>
      <x:c r="D350" t="str">
        <x:v>DB-104</x:v>
      </x:c>
      <x:c r="E350" s="34" t="n">
        <x:v>24851.925000000003</x:v>
      </x:c>
      <x:c r="F350" s="34" t="n">
        <x:v>0</x:v>
      </x:c>
      <x:c r="G350" s="34" t="n">
        <x:v>288</x:v>
      </x:c>
      <x:c r="H350" s="34" t="n">
        <x:v>288</x:v>
      </x:c>
      <x:c r="I350" s="28" t="n">
        <x:v>1</x:v>
      </x:c>
      <x:c r="J350" s="39" t="n">
        <x:v>288</x:v>
      </x:c>
      <x:c r="K350" s="39" t="n">
        <x:v>7.2</x:v>
      </x:c>
      <x:c r="L350" s="39" t="n">
        <x:v>24571.125000000004</x:v>
      </x:c>
      <x:c r="M350" s="39" t="n">
        <x:v>85.31640625000001</x:v>
      </x:c>
      <x:c r="N350" t="str">
        <x:v>OK</x:v>
      </x:c>
      <x:c r="O350" t="str">
        <x:v>Maintain plan</x:v>
      </x:c>
      <x:c r="P350" s="38" t="n">
        <x:v>0</x:v>
      </x:c>
    </x:row>
    <x:row r="351">
      <x:c r="A351" s="32" t="n">
        <x:v>45901</x:v>
      </x:c>
      <x:c r="B351" s="32" t="n">
        <x:v>45901</x:v>
      </x:c>
      <x:c r="C351" t="str">
        <x:v>Actual</x:v>
      </x:c>
      <x:c r="D351" t="str">
        <x:v>DB-104</x:v>
      </x:c>
      <x:c r="E351" s="34" t="n">
        <x:v>24571.125000000004</x:v>
      </x:c>
      <x:c r="F351" s="34" t="n">
        <x:v>0</x:v>
      </x:c>
      <x:c r="G351" s="34" t="n">
        <x:v>239</x:v>
      </x:c>
      <x:c r="H351" s="34" t="n">
        <x:v>239</x:v>
      </x:c>
      <x:c r="I351" s="28" t="n">
        <x:v>1</x:v>
      </x:c>
      <x:c r="J351" s="39" t="n">
        <x:v>239</x:v>
      </x:c>
      <x:c r="K351" s="39" t="n">
        <x:v>5.9750000000000005</x:v>
      </x:c>
      <x:c r="L351" s="39" t="n">
        <x:v>24338.100000000002</x:v>
      </x:c>
      <x:c r="M351" s="39" t="n">
        <x:v>101.83305439330545</x:v>
      </x:c>
      <x:c r="N351" t="str">
        <x:v>OK</x:v>
      </x:c>
      <x:c r="O351" t="str">
        <x:v>Maintain plan</x:v>
      </x:c>
      <x:c r="P351" s="38" t="n">
        <x:v>0</x:v>
      </x:c>
    </x:row>
    <x:row r="352">
      <x:c r="A352" s="32" t="n">
        <x:v>45908</x:v>
      </x:c>
      <x:c r="B352" s="32" t="n">
        <x:v>45901</x:v>
      </x:c>
      <x:c r="C352" t="str">
        <x:v>Actual</x:v>
      </x:c>
      <x:c r="D352" t="str">
        <x:v>DB-104</x:v>
      </x:c>
      <x:c r="E352" s="34" t="n">
        <x:v>24338.100000000002</x:v>
      </x:c>
      <x:c r="F352" s="34" t="n">
        <x:v>0</x:v>
      </x:c>
      <x:c r="G352" s="34" t="n">
        <x:v>241</x:v>
      </x:c>
      <x:c r="H352" s="34" t="n">
        <x:v>241</x:v>
      </x:c>
      <x:c r="I352" s="28" t="n">
        <x:v>1</x:v>
      </x:c>
      <x:c r="J352" s="39" t="n">
        <x:v>241</x:v>
      </x:c>
      <x:c r="K352" s="39" t="n">
        <x:v>6.025</x:v>
      </x:c>
      <x:c r="L352" s="39" t="n">
        <x:v>24103.125000000004</x:v>
      </x:c>
      <x:c r="M352" s="39" t="n">
        <x:v>100.01296680497927</x:v>
      </x:c>
      <x:c r="N352" t="str">
        <x:v>OK</x:v>
      </x:c>
      <x:c r="O352" t="str">
        <x:v>Maintain plan</x:v>
      </x:c>
      <x:c r="P352" s="38" t="n">
        <x:v>0</x:v>
      </x:c>
    </x:row>
    <x:row r="353">
      <x:c r="A353" s="32" t="n">
        <x:v>45915</x:v>
      </x:c>
      <x:c r="B353" s="32" t="n">
        <x:v>45901</x:v>
      </x:c>
      <x:c r="C353" t="str">
        <x:v>Actual</x:v>
      </x:c>
      <x:c r="D353" t="str">
        <x:v>DB-104</x:v>
      </x:c>
      <x:c r="E353" s="34" t="n">
        <x:v>24103.125000000004</x:v>
      </x:c>
      <x:c r="F353" s="34" t="n">
        <x:v>0</x:v>
      </x:c>
      <x:c r="G353" s="34" t="n">
        <x:v>241</x:v>
      </x:c>
      <x:c r="H353" s="34" t="n">
        <x:v>241</x:v>
      </x:c>
      <x:c r="I353" s="28" t="n">
        <x:v>1</x:v>
      </x:c>
      <x:c r="J353" s="39" t="n">
        <x:v>241</x:v>
      </x:c>
      <x:c r="K353" s="39" t="n">
        <x:v>6.025</x:v>
      </x:c>
      <x:c r="L353" s="39" t="n">
        <x:v>23868.150000000005</x:v>
      </x:c>
      <x:c r="M353" s="39" t="n">
        <x:v>99.03796680497928</x:v>
      </x:c>
      <x:c r="N353" t="str">
        <x:v>OK</x:v>
      </x:c>
      <x:c r="O353" t="str">
        <x:v>Maintain plan</x:v>
      </x:c>
      <x:c r="P353" s="38" t="n">
        <x:v>0</x:v>
      </x:c>
    </x:row>
    <x:row r="354">
      <x:c r="A354" s="32" t="n">
        <x:v>45922</x:v>
      </x:c>
      <x:c r="B354" s="32" t="n">
        <x:v>45901</x:v>
      </x:c>
      <x:c r="C354" t="str">
        <x:v>Actual</x:v>
      </x:c>
      <x:c r="D354" t="str">
        <x:v>DB-104</x:v>
      </x:c>
      <x:c r="E354" s="34" t="n">
        <x:v>23868.150000000005</x:v>
      </x:c>
      <x:c r="F354" s="34" t="n">
        <x:v>0</x:v>
      </x:c>
      <x:c r="G354" s="34" t="n">
        <x:v>242</x:v>
      </x:c>
      <x:c r="H354" s="34" t="n">
        <x:v>242</x:v>
      </x:c>
      <x:c r="I354" s="28" t="n">
        <x:v>1</x:v>
      </x:c>
      <x:c r="J354" s="39" t="n">
        <x:v>242</x:v>
      </x:c>
      <x:c r="K354" s="39" t="n">
        <x:v>6.050000000000001</x:v>
      </x:c>
      <x:c r="L354" s="39" t="n">
        <x:v>23632.200000000004</x:v>
      </x:c>
      <x:c r="M354" s="39" t="n">
        <x:v>97.65371900826447</x:v>
      </x:c>
      <x:c r="N354" t="str">
        <x:v>OK</x:v>
      </x:c>
      <x:c r="O354" t="str">
        <x:v>Maintain plan</x:v>
      </x:c>
      <x:c r="P354" s="38" t="n">
        <x:v>0</x:v>
      </x:c>
    </x:row>
    <x:row r="355">
      <x:c r="A355" s="32" t="n">
        <x:v>45929</x:v>
      </x:c>
      <x:c r="B355" s="32" t="n">
        <x:v>45901</x:v>
      </x:c>
      <x:c r="C355" t="str">
        <x:v>Actual</x:v>
      </x:c>
      <x:c r="D355" t="str">
        <x:v>DB-104</x:v>
      </x:c>
      <x:c r="E355" s="34" t="n">
        <x:v>23632.200000000004</x:v>
      </x:c>
      <x:c r="F355" s="34" t="n">
        <x:v>0</x:v>
      </x:c>
      <x:c r="G355" s="34" t="n">
        <x:v>244</x:v>
      </x:c>
      <x:c r="H355" s="34" t="n">
        <x:v>244</x:v>
      </x:c>
      <x:c r="I355" s="28" t="n">
        <x:v>1</x:v>
      </x:c>
      <x:c r="J355" s="39" t="n">
        <x:v>244</x:v>
      </x:c>
      <x:c r="K355" s="39" t="n">
        <x:v>6.1000000000000005</x:v>
      </x:c>
      <x:c r="L355" s="39" t="n">
        <x:v>23394.300000000003</x:v>
      </x:c>
      <x:c r="M355" s="39" t="n">
        <x:v>95.8782786885246</x:v>
      </x:c>
      <x:c r="N355" t="str">
        <x:v>OK</x:v>
      </x:c>
      <x:c r="O355" t="str">
        <x:v>Maintain plan</x:v>
      </x:c>
      <x:c r="P355" s="38" t="n">
        <x:v>0</x:v>
      </x:c>
    </x:row>
    <x:row r="356">
      <x:c r="A356" s="32" t="n">
        <x:v>45936</x:v>
      </x:c>
      <x:c r="B356" s="32" t="n">
        <x:v>45931</x:v>
      </x:c>
      <x:c r="C356" t="str">
        <x:v>Actual</x:v>
      </x:c>
      <x:c r="D356" t="str">
        <x:v>DB-104</x:v>
      </x:c>
      <x:c r="E356" s="34" t="n">
        <x:v>23394.300000000003</x:v>
      </x:c>
      <x:c r="F356" s="34" t="n">
        <x:v>0</x:v>
      </x:c>
      <x:c r="G356" s="34" t="n">
        <x:v>219</x:v>
      </x:c>
      <x:c r="H356" s="34" t="n">
        <x:v>219</x:v>
      </x:c>
      <x:c r="I356" s="28" t="n">
        <x:v>1</x:v>
      </x:c>
      <x:c r="J356" s="39" t="n">
        <x:v>219</x:v>
      </x:c>
      <x:c r="K356" s="39" t="n">
        <x:v>5.4750000000000005</x:v>
      </x:c>
      <x:c r="L356" s="39" t="n">
        <x:v>23180.775</x:v>
      </x:c>
      <x:c r="M356" s="39" t="n">
        <x:v>105.84828767123288</x:v>
      </x:c>
      <x:c r="N356" t="str">
        <x:v>OK</x:v>
      </x:c>
      <x:c r="O356" t="str">
        <x:v>Maintain plan</x:v>
      </x:c>
      <x:c r="P356" s="38" t="n">
        <x:v>0</x:v>
      </x:c>
    </x:row>
    <x:row r="357">
      <x:c r="A357" s="32" t="n">
        <x:v>45943</x:v>
      </x:c>
      <x:c r="B357" s="32" t="n">
        <x:v>45931</x:v>
      </x:c>
      <x:c r="C357" t="str">
        <x:v>Actual</x:v>
      </x:c>
      <x:c r="D357" t="str">
        <x:v>DB-104</x:v>
      </x:c>
      <x:c r="E357" s="34" t="n">
        <x:v>23180.775</x:v>
      </x:c>
      <x:c r="F357" s="34" t="n">
        <x:v>4800</x:v>
      </x:c>
      <x:c r="G357" s="34" t="n">
        <x:v>221</x:v>
      </x:c>
      <x:c r="H357" s="34" t="n">
        <x:v>221</x:v>
      </x:c>
      <x:c r="I357" s="28" t="n">
        <x:v>1</x:v>
      </x:c>
      <x:c r="J357" s="39" t="n">
        <x:v>221</x:v>
      </x:c>
      <x:c r="K357" s="39" t="n">
        <x:v>5.525</x:v>
      </x:c>
      <x:c r="L357" s="39" t="n">
        <x:v>27765.300000000003</x:v>
      </x:c>
      <x:c r="M357" s="39" t="n">
        <x:v>125.6348416289593</x:v>
      </x:c>
      <x:c r="N357" t="str">
        <x:v>OK</x:v>
      </x:c>
      <x:c r="O357" t="str">
        <x:v>Maintain plan</x:v>
      </x:c>
      <x:c r="P357" s="38" t="n">
        <x:v>72.24</x:v>
      </x:c>
    </x:row>
    <x:row r="358">
      <x:c r="A358" s="32" t="n">
        <x:v>45950</x:v>
      </x:c>
      <x:c r="B358" s="32" t="n">
        <x:v>45931</x:v>
      </x:c>
      <x:c r="C358" t="str">
        <x:v>Actual</x:v>
      </x:c>
      <x:c r="D358" t="str">
        <x:v>DB-104</x:v>
      </x:c>
      <x:c r="E358" s="34" t="n">
        <x:v>27765.300000000003</x:v>
      </x:c>
      <x:c r="F358" s="34" t="n">
        <x:v>0</x:v>
      </x:c>
      <x:c r="G358" s="34" t="n">
        <x:v>221</x:v>
      </x:c>
      <x:c r="H358" s="34" t="n">
        <x:v>221</x:v>
      </x:c>
      <x:c r="I358" s="28" t="n">
        <x:v>1</x:v>
      </x:c>
      <x:c r="J358" s="39" t="n">
        <x:v>221</x:v>
      </x:c>
      <x:c r="K358" s="39" t="n">
        <x:v>5.525</x:v>
      </x:c>
      <x:c r="L358" s="39" t="n">
        <x:v>27549.825000000004</x:v>
      </x:c>
      <x:c r="M358" s="39" t="n">
        <x:v>124.6598416289593</x:v>
      </x:c>
      <x:c r="N358" t="str">
        <x:v>OK</x:v>
      </x:c>
      <x:c r="O358" t="str">
        <x:v>Maintain plan</x:v>
      </x:c>
      <x:c r="P358" s="38" t="n">
        <x:v>0</x:v>
      </x:c>
    </x:row>
    <x:row r="359">
      <x:c r="A359" s="32" t="n">
        <x:v>45957</x:v>
      </x:c>
      <x:c r="B359" s="32" t="n">
        <x:v>45931</x:v>
      </x:c>
      <x:c r="C359" t="str">
        <x:v>Actual</x:v>
      </x:c>
      <x:c r="D359" t="str">
        <x:v>DB-104</x:v>
      </x:c>
      <x:c r="E359" s="34" t="n">
        <x:v>27549.825000000004</x:v>
      </x:c>
      <x:c r="F359" s="34" t="n">
        <x:v>0</x:v>
      </x:c>
      <x:c r="G359" s="34" t="n">
        <x:v>221</x:v>
      </x:c>
      <x:c r="H359" s="34" t="n">
        <x:v>221</x:v>
      </x:c>
      <x:c r="I359" s="28" t="n">
        <x:v>1</x:v>
      </x:c>
      <x:c r="J359" s="39" t="n">
        <x:v>221</x:v>
      </x:c>
      <x:c r="K359" s="39" t="n">
        <x:v>5.525</x:v>
      </x:c>
      <x:c r="L359" s="39" t="n">
        <x:v>27334.350000000006</x:v>
      </x:c>
      <x:c r="M359" s="39" t="n">
        <x:v>123.6848416289593</x:v>
      </x:c>
      <x:c r="N359" t="str">
        <x:v>OK</x:v>
      </x:c>
      <x:c r="O359" t="str">
        <x:v>Maintain plan</x:v>
      </x:c>
      <x:c r="P359" s="38" t="n">
        <x:v>0</x:v>
      </x:c>
    </x:row>
    <x:row r="360">
      <x:c r="A360" s="32" t="n">
        <x:v>45964</x:v>
      </x:c>
      <x:c r="B360" s="32" t="n">
        <x:v>45962</x:v>
      </x:c>
      <x:c r="C360" t="str">
        <x:v>Actual</x:v>
      </x:c>
      <x:c r="D360" t="str">
        <x:v>DB-104</x:v>
      </x:c>
      <x:c r="E360" s="34" t="n">
        <x:v>27334.350000000006</x:v>
      </x:c>
      <x:c r="F360" s="34" t="n">
        <x:v>0</x:v>
      </x:c>
      <x:c r="G360" s="34" t="n">
        <x:v>197</x:v>
      </x:c>
      <x:c r="H360" s="34" t="n">
        <x:v>197</x:v>
      </x:c>
      <x:c r="I360" s="28" t="n">
        <x:v>1</x:v>
      </x:c>
      <x:c r="J360" s="39" t="n">
        <x:v>197</x:v>
      </x:c>
      <x:c r="K360" s="39" t="n">
        <x:v>4.925000000000001</x:v>
      </x:c>
      <x:c r="L360" s="39" t="n">
        <x:v>27142.275000000005</x:v>
      </x:c>
      <x:c r="M360" s="39" t="n">
        <x:v>137.7780456852792</x:v>
      </x:c>
      <x:c r="N360" t="str">
        <x:v>OK</x:v>
      </x:c>
      <x:c r="O360" t="str">
        <x:v>Maintain plan</x:v>
      </x:c>
      <x:c r="P360" s="38" t="n">
        <x:v>0</x:v>
      </x:c>
    </x:row>
    <x:row r="361">
      <x:c r="A361" s="32" t="n">
        <x:v>45971</x:v>
      </x:c>
      <x:c r="B361" s="32" t="n">
        <x:v>45962</x:v>
      </x:c>
      <x:c r="C361" t="str">
        <x:v>Actual</x:v>
      </x:c>
      <x:c r="D361" t="str">
        <x:v>DB-104</x:v>
      </x:c>
      <x:c r="E361" s="34" t="n">
        <x:v>27142.275000000005</x:v>
      </x:c>
      <x:c r="F361" s="34" t="n">
        <x:v>0</x:v>
      </x:c>
      <x:c r="G361" s="34" t="n">
        <x:v>198</x:v>
      </x:c>
      <x:c r="H361" s="34" t="n">
        <x:v>198</x:v>
      </x:c>
      <x:c r="I361" s="28" t="n">
        <x:v>1</x:v>
      </x:c>
      <x:c r="J361" s="39" t="n">
        <x:v>198</x:v>
      </x:c>
      <x:c r="K361" s="39" t="n">
        <x:v>4.95</x:v>
      </x:c>
      <x:c r="L361" s="39" t="n">
        <x:v>26949.225000000006</x:v>
      </x:c>
      <x:c r="M361" s="39" t="n">
        <x:v>136.107196969697</x:v>
      </x:c>
      <x:c r="N361" t="str">
        <x:v>OK</x:v>
      </x:c>
      <x:c r="O361" t="str">
        <x:v>Maintain plan</x:v>
      </x:c>
      <x:c r="P361" s="38" t="n">
        <x:v>0</x:v>
      </x:c>
    </x:row>
    <x:row r="362">
      <x:c r="A362" s="32" t="n">
        <x:v>45978</x:v>
      </x:c>
      <x:c r="B362" s="32" t="n">
        <x:v>45962</x:v>
      </x:c>
      <x:c r="C362" t="str">
        <x:v>Actual</x:v>
      </x:c>
      <x:c r="D362" t="str">
        <x:v>DB-104</x:v>
      </x:c>
      <x:c r="E362" s="34" t="n">
        <x:v>26949.225000000006</x:v>
      </x:c>
      <x:c r="F362" s="34" t="n">
        <x:v>0</x:v>
      </x:c>
      <x:c r="G362" s="34" t="n">
        <x:v>198</x:v>
      </x:c>
      <x:c r="H362" s="34" t="n">
        <x:v>198</x:v>
      </x:c>
      <x:c r="I362" s="28" t="n">
        <x:v>1</x:v>
      </x:c>
      <x:c r="J362" s="39" t="n">
        <x:v>198</x:v>
      </x:c>
      <x:c r="K362" s="39" t="n">
        <x:v>4.95</x:v>
      </x:c>
      <x:c r="L362" s="39" t="n">
        <x:v>26756.175000000007</x:v>
      </x:c>
      <x:c r="M362" s="39" t="n">
        <x:v>135.132196969697</x:v>
      </x:c>
      <x:c r="N362" t="str">
        <x:v>OK</x:v>
      </x:c>
      <x:c r="O362" t="str">
        <x:v>Maintain plan</x:v>
      </x:c>
      <x:c r="P362" s="38" t="n">
        <x:v>0</x:v>
      </x:c>
    </x:row>
    <x:row r="363">
      <x:c r="A363" s="32" t="n">
        <x:v>45985</x:v>
      </x:c>
      <x:c r="B363" s="32" t="n">
        <x:v>45962</x:v>
      </x:c>
      <x:c r="C363" t="str">
        <x:v>Actual</x:v>
      </x:c>
      <x:c r="D363" t="str">
        <x:v>DB-104</x:v>
      </x:c>
      <x:c r="E363" s="34" t="n">
        <x:v>26756.175000000007</x:v>
      </x:c>
      <x:c r="F363" s="34" t="n">
        <x:v>0</x:v>
      </x:c>
      <x:c r="G363" s="34" t="n">
        <x:v>199</x:v>
      </x:c>
      <x:c r="H363" s="34" t="n">
        <x:v>199</x:v>
      </x:c>
      <x:c r="I363" s="28" t="n">
        <x:v>1</x:v>
      </x:c>
      <x:c r="J363" s="39" t="n">
        <x:v>199</x:v>
      </x:c>
      <x:c r="K363" s="39" t="n">
        <x:v>4.9750000000000005</x:v>
      </x:c>
      <x:c r="L363" s="39" t="n">
        <x:v>26562.150000000005</x:v>
      </x:c>
      <x:c r="M363" s="39" t="n">
        <x:v>133.47814070351762</x:v>
      </x:c>
      <x:c r="N363" t="str">
        <x:v>OK</x:v>
      </x:c>
      <x:c r="O363" t="str">
        <x:v>Maintain plan</x:v>
      </x:c>
      <x:c r="P363" s="38" t="n">
        <x:v>0</x:v>
      </x:c>
    </x:row>
    <x:row r="364">
      <x:c r="A364" s="32" t="n">
        <x:v>45992</x:v>
      </x:c>
      <x:c r="B364" s="32" t="n">
        <x:v>45992</x:v>
      </x:c>
      <x:c r="C364" t="str">
        <x:v>Actual</x:v>
      </x:c>
      <x:c r="D364" t="str">
        <x:v>DB-104</x:v>
      </x:c>
      <x:c r="E364" s="34" t="n">
        <x:v>26562.150000000005</x:v>
      </x:c>
      <x:c r="F364" s="34" t="n">
        <x:v>0</x:v>
      </x:c>
      <x:c r="G364" s="34" t="n">
        <x:v>184</x:v>
      </x:c>
      <x:c r="H364" s="34" t="n">
        <x:v>184</x:v>
      </x:c>
      <x:c r="I364" s="28" t="n">
        <x:v>1</x:v>
      </x:c>
      <x:c r="J364" s="39" t="n">
        <x:v>184</x:v>
      </x:c>
      <x:c r="K364" s="39" t="n">
        <x:v>4.6000000000000005</x:v>
      </x:c>
      <x:c r="L364" s="39" t="n">
        <x:v>26382.750000000004</x:v>
      </x:c>
      <x:c r="M364" s="39" t="n">
        <x:v>143.38451086956525</x:v>
      </x:c>
      <x:c r="N364" t="str">
        <x:v>OK</x:v>
      </x:c>
      <x:c r="O364" t="str">
        <x:v>Maintain plan</x:v>
      </x:c>
      <x:c r="P364" s="38" t="n">
        <x:v>0</x:v>
      </x:c>
    </x:row>
    <x:row r="365">
      <x:c r="A365" s="32" t="n">
        <x:v>45999</x:v>
      </x:c>
      <x:c r="B365" s="32" t="n">
        <x:v>45992</x:v>
      </x:c>
      <x:c r="C365" t="str">
        <x:v>Actual</x:v>
      </x:c>
      <x:c r="D365" t="str">
        <x:v>DB-104</x:v>
      </x:c>
      <x:c r="E365" s="34" t="n">
        <x:v>26382.750000000004</x:v>
      </x:c>
      <x:c r="F365" s="34" t="n">
        <x:v>4800</x:v>
      </x:c>
      <x:c r="G365" s="34" t="n">
        <x:v>184</x:v>
      </x:c>
      <x:c r="H365" s="34" t="n">
        <x:v>184</x:v>
      </x:c>
      <x:c r="I365" s="28" t="n">
        <x:v>1</x:v>
      </x:c>
      <x:c r="J365" s="39" t="n">
        <x:v>184</x:v>
      </x:c>
      <x:c r="K365" s="39" t="n">
        <x:v>4.6000000000000005</x:v>
      </x:c>
      <x:c r="L365" s="39" t="n">
        <x:v>31003.350000000002</x:v>
      </x:c>
      <x:c r="M365" s="39" t="n">
        <x:v>168.49646739130435</x:v>
      </x:c>
      <x:c r="N365" t="str">
        <x:v>OK</x:v>
      </x:c>
      <x:c r="O365" t="str">
        <x:v>Maintain plan</x:v>
      </x:c>
      <x:c r="P365" s="38" t="n">
        <x:v>72.24</x:v>
      </x:c>
    </x:row>
    <x:row r="366">
      <x:c r="A366" s="32" t="n">
        <x:v>46006</x:v>
      </x:c>
      <x:c r="B366" s="32" t="n">
        <x:v>45992</x:v>
      </x:c>
      <x:c r="C366" t="str">
        <x:v>Actual</x:v>
      </x:c>
      <x:c r="D366" t="str">
        <x:v>DB-104</x:v>
      </x:c>
      <x:c r="E366" s="34" t="n">
        <x:v>31003.350000000002</x:v>
      </x:c>
      <x:c r="F366" s="34" t="n">
        <x:v>0</x:v>
      </x:c>
      <x:c r="G366" s="34" t="n">
        <x:v>186</x:v>
      </x:c>
      <x:c r="H366" s="34" t="n">
        <x:v>186</x:v>
      </x:c>
      <x:c r="I366" s="28" t="n">
        <x:v>1</x:v>
      </x:c>
      <x:c r="J366" s="39" t="n">
        <x:v>186</x:v>
      </x:c>
      <x:c r="K366" s="39" t="n">
        <x:v>4.65</x:v>
      </x:c>
      <x:c r="L366" s="39" t="n">
        <x:v>30822.000000000004</x:v>
      </x:c>
      <x:c r="M366" s="39" t="n">
        <x:v>165.70967741935485</x:v>
      </x:c>
      <x:c r="N366" t="str">
        <x:v>OK</x:v>
      </x:c>
      <x:c r="O366" t="str">
        <x:v>Maintain plan</x:v>
      </x:c>
      <x:c r="P366" s="38" t="n">
        <x:v>0</x:v>
      </x:c>
    </x:row>
    <x:row r="367">
      <x:c r="A367" s="32" t="n">
        <x:v>46013</x:v>
      </x:c>
      <x:c r="B367" s="32" t="n">
        <x:v>45992</x:v>
      </x:c>
      <x:c r="C367" t="str">
        <x:v>Actual</x:v>
      </x:c>
      <x:c r="D367" t="str">
        <x:v>DB-104</x:v>
      </x:c>
      <x:c r="E367" s="34" t="n">
        <x:v>30822.000000000004</x:v>
      </x:c>
      <x:c r="F367" s="34" t="n">
        <x:v>0</x:v>
      </x:c>
      <x:c r="G367" s="34" t="n">
        <x:v>186</x:v>
      </x:c>
      <x:c r="H367" s="34" t="n">
        <x:v>186</x:v>
      </x:c>
      <x:c r="I367" s="28" t="n">
        <x:v>1</x:v>
      </x:c>
      <x:c r="J367" s="39" t="n">
        <x:v>186</x:v>
      </x:c>
      <x:c r="K367" s="39" t="n">
        <x:v>4.65</x:v>
      </x:c>
      <x:c r="L367" s="39" t="n">
        <x:v>30640.650000000005</x:v>
      </x:c>
      <x:c r="M367" s="39" t="n">
        <x:v>164.73467741935485</x:v>
      </x:c>
      <x:c r="N367" t="str">
        <x:v>OK</x:v>
      </x:c>
      <x:c r="O367" t="str">
        <x:v>Maintain plan</x:v>
      </x:c>
      <x:c r="P367" s="38" t="n">
        <x:v>0</x:v>
      </x:c>
    </x:row>
    <x:row r="368">
      <x:c r="A368" s="32" t="n">
        <x:v>46020</x:v>
      </x:c>
      <x:c r="B368" s="32" t="n">
        <x:v>45992</x:v>
      </x:c>
      <x:c r="C368" t="str">
        <x:v>Actual</x:v>
      </x:c>
      <x:c r="D368" t="str">
        <x:v>DB-104</x:v>
      </x:c>
      <x:c r="E368" s="34" t="n">
        <x:v>30640.650000000005</x:v>
      </x:c>
      <x:c r="F368" s="34" t="n">
        <x:v>0</x:v>
      </x:c>
      <x:c r="G368" s="34" t="n">
        <x:v>186</x:v>
      </x:c>
      <x:c r="H368" s="34" t="n">
        <x:v>186</x:v>
      </x:c>
      <x:c r="I368" s="28" t="n">
        <x:v>1</x:v>
      </x:c>
      <x:c r="J368" s="39" t="n">
        <x:v>186</x:v>
      </x:c>
      <x:c r="K368" s="39" t="n">
        <x:v>4.65</x:v>
      </x:c>
      <x:c r="L368" s="39" t="n">
        <x:v>30459.300000000007</x:v>
      </x:c>
      <x:c r="M368" s="39" t="n">
        <x:v>163.7596774193549</x:v>
      </x:c>
      <x:c r="N368" t="str">
        <x:v>OK</x:v>
      </x:c>
      <x:c r="O368" t="str">
        <x:v>Maintain plan</x:v>
      </x:c>
      <x:c r="P368" s="38" t="n">
        <x:v>0</x:v>
      </x:c>
    </x:row>
    <x:row r="369">
      <x:c r="A369" s="32" t="n">
        <x:v>46027</x:v>
      </x:c>
      <x:c r="B369" s="32" t="n">
        <x:v>46023</x:v>
      </x:c>
      <x:c r="C369" t="str">
        <x:v>Forecast</x:v>
      </x:c>
      <x:c r="D369" t="str">
        <x:v>DB-104</x:v>
      </x:c>
      <x:c r="E369" s="34" t="n">
        <x:v>30459.300000000007</x:v>
      </x:c>
      <x:c r="F369" s="34" t="n">
        <x:v>0</x:v>
      </x:c>
      <x:c r="G369" s="34" t="n">
        <x:v>239</x:v>
      </x:c>
      <x:c r="H369" s="34" t="n">
        <x:v>239</x:v>
      </x:c>
      <x:c r="I369" s="28" t="n">
        <x:v>1</x:v>
      </x:c>
      <x:c r="J369" s="39" t="n">
        <x:v>239</x:v>
      </x:c>
      <x:c r="K369" s="39" t="n">
        <x:v>5.9750000000000005</x:v>
      </x:c>
      <x:c r="L369" s="39" t="n">
        <x:v>30226.275000000005</x:v>
      </x:c>
      <x:c r="M369" s="39" t="n">
        <x:v>126.46976987447701</x:v>
      </x:c>
      <x:c r="N369" t="str">
        <x:v>OK</x:v>
      </x:c>
      <x:c r="O369" t="str">
        <x:v>Maintain plan</x:v>
      </x:c>
      <x:c r="P369" s="38" t="n">
        <x:v>0</x:v>
      </x:c>
    </x:row>
    <x:row r="370">
      <x:c r="A370" s="32" t="n">
        <x:v>46034</x:v>
      </x:c>
      <x:c r="B370" s="32" t="n">
        <x:v>46023</x:v>
      </x:c>
      <x:c r="C370" t="str">
        <x:v>Forecast</x:v>
      </x:c>
      <x:c r="D370" t="str">
        <x:v>DB-104</x:v>
      </x:c>
      <x:c r="E370" s="34" t="n">
        <x:v>30226.275000000005</x:v>
      </x:c>
      <x:c r="F370" s="34" t="n">
        <x:v>0</x:v>
      </x:c>
      <x:c r="G370" s="34" t="n">
        <x:v>239</x:v>
      </x:c>
      <x:c r="H370" s="34" t="n">
        <x:v>239</x:v>
      </x:c>
      <x:c r="I370" s="28" t="n">
        <x:v>1</x:v>
      </x:c>
      <x:c r="J370" s="39" t="n">
        <x:v>239</x:v>
      </x:c>
      <x:c r="K370" s="39" t="n">
        <x:v>5.9750000000000005</x:v>
      </x:c>
      <x:c r="L370" s="39" t="n">
        <x:v>29993.250000000004</x:v>
      </x:c>
      <x:c r="M370" s="39" t="n">
        <x:v>125.494769874477</x:v>
      </x:c>
      <x:c r="N370" t="str">
        <x:v>OK</x:v>
      </x:c>
      <x:c r="O370" t="str">
        <x:v>Maintain plan</x:v>
      </x:c>
      <x:c r="P370" s="38" t="n">
        <x:v>0</x:v>
      </x:c>
    </x:row>
    <x:row r="371">
      <x:c r="A371" s="32" t="n">
        <x:v>46041</x:v>
      </x:c>
      <x:c r="B371" s="32" t="n">
        <x:v>46023</x:v>
      </x:c>
      <x:c r="C371" t="str">
        <x:v>Forecast</x:v>
      </x:c>
      <x:c r="D371" t="str">
        <x:v>DB-104</x:v>
      </x:c>
      <x:c r="E371" s="34" t="n">
        <x:v>29993.250000000004</x:v>
      </x:c>
      <x:c r="F371" s="34" t="n">
        <x:v>0</x:v>
      </x:c>
      <x:c r="G371" s="34" t="n">
        <x:v>239</x:v>
      </x:c>
      <x:c r="H371" s="34" t="n">
        <x:v>239</x:v>
      </x:c>
      <x:c r="I371" s="28" t="n">
        <x:v>1</x:v>
      </x:c>
      <x:c r="J371" s="39" t="n">
        <x:v>239</x:v>
      </x:c>
      <x:c r="K371" s="39" t="n">
        <x:v>5.9750000000000005</x:v>
      </x:c>
      <x:c r="L371" s="39" t="n">
        <x:v>29760.225000000002</x:v>
      </x:c>
      <x:c r="M371" s="39" t="n">
        <x:v>124.51976987447699</x:v>
      </x:c>
      <x:c r="N371" t="str">
        <x:v>OK</x:v>
      </x:c>
      <x:c r="O371" t="str">
        <x:v>Maintain plan</x:v>
      </x:c>
      <x:c r="P371" s="38" t="n">
        <x:v>0</x:v>
      </x:c>
    </x:row>
    <x:row r="372">
      <x:c r="A372" s="32" t="n">
        <x:v>46048</x:v>
      </x:c>
      <x:c r="B372" s="32" t="n">
        <x:v>46023</x:v>
      </x:c>
      <x:c r="C372" t="str">
        <x:v>Forecast</x:v>
      </x:c>
      <x:c r="D372" t="str">
        <x:v>DB-104</x:v>
      </x:c>
      <x:c r="E372" s="34" t="n">
        <x:v>29760.225000000002</x:v>
      </x:c>
      <x:c r="F372" s="34" t="n">
        <x:v>0</x:v>
      </x:c>
      <x:c r="G372" s="34" t="n">
        <x:v>239</x:v>
      </x:c>
      <x:c r="H372" s="34" t="n">
        <x:v>239</x:v>
      </x:c>
      <x:c r="I372" s="28" t="n">
        <x:v>1</x:v>
      </x:c>
      <x:c r="J372" s="39" t="n">
        <x:v>239</x:v>
      </x:c>
      <x:c r="K372" s="39" t="n">
        <x:v>5.9750000000000005</x:v>
      </x:c>
      <x:c r="L372" s="39" t="n">
        <x:v>29527.2</x:v>
      </x:c>
      <x:c r="M372" s="39" t="n">
        <x:v>123.54476987447698</x:v>
      </x:c>
      <x:c r="N372" t="str">
        <x:v>OK</x:v>
      </x:c>
      <x:c r="O372" t="str">
        <x:v>Maintain plan</x:v>
      </x:c>
      <x:c r="P372" s="38" t="n">
        <x:v>0</x:v>
      </x:c>
    </x:row>
    <x:row r="373">
      <x:c r="A373" s="32" t="n">
        <x:v>46055</x:v>
      </x:c>
      <x:c r="B373" s="32" t="n">
        <x:v>46054</x:v>
      </x:c>
      <x:c r="C373" t="str">
        <x:v>Forecast</x:v>
      </x:c>
      <x:c r="D373" t="str">
        <x:v>DB-104</x:v>
      </x:c>
      <x:c r="E373" s="34" t="n">
        <x:v>29527.2</x:v>
      </x:c>
      <x:c r="F373" s="34" t="n">
        <x:v>0</x:v>
      </x:c>
      <x:c r="G373" s="34" t="n">
        <x:v>247</x:v>
      </x:c>
      <x:c r="H373" s="34" t="n">
        <x:v>247</x:v>
      </x:c>
      <x:c r="I373" s="28" t="n">
        <x:v>1</x:v>
      </x:c>
      <x:c r="J373" s="39" t="n">
        <x:v>247</x:v>
      </x:c>
      <x:c r="K373" s="39" t="n">
        <x:v>6.175000000000001</x:v>
      </x:c>
      <x:c r="L373" s="39" t="n">
        <x:v>29286.375</x:v>
      </x:c>
      <x:c r="M373" s="39" t="n">
        <x:v>118.56831983805668</x:v>
      </x:c>
      <x:c r="N373" t="str">
        <x:v>OK</x:v>
      </x:c>
      <x:c r="O373" t="str">
        <x:v>Maintain plan</x:v>
      </x:c>
      <x:c r="P373" s="38" t="n">
        <x:v>0</x:v>
      </x:c>
    </x:row>
    <x:row r="374">
      <x:c r="A374" s="32" t="n">
        <x:v>46062</x:v>
      </x:c>
      <x:c r="B374" s="32" t="n">
        <x:v>46054</x:v>
      </x:c>
      <x:c r="C374" t="str">
        <x:v>Forecast</x:v>
      </x:c>
      <x:c r="D374" t="str">
        <x:v>DB-104</x:v>
      </x:c>
      <x:c r="E374" s="34" t="n">
        <x:v>29286.375</x:v>
      </x:c>
      <x:c r="F374" s="34" t="n">
        <x:v>0</x:v>
      </x:c>
      <x:c r="G374" s="34" t="n">
        <x:v>247</x:v>
      </x:c>
      <x:c r="H374" s="34" t="n">
        <x:v>247</x:v>
      </x:c>
      <x:c r="I374" s="28" t="n">
        <x:v>1</x:v>
      </x:c>
      <x:c r="J374" s="39" t="n">
        <x:v>247</x:v>
      </x:c>
      <x:c r="K374" s="39" t="n">
        <x:v>6.175000000000001</x:v>
      </x:c>
      <x:c r="L374" s="39" t="n">
        <x:v>29045.55</x:v>
      </x:c>
      <x:c r="M374" s="39" t="n">
        <x:v>117.59331983805667</x:v>
      </x:c>
      <x:c r="N374" t="str">
        <x:v>OK</x:v>
      </x:c>
      <x:c r="O374" t="str">
        <x:v>Maintain plan</x:v>
      </x:c>
      <x:c r="P374" s="38" t="n">
        <x:v>0</x:v>
      </x:c>
    </x:row>
    <x:row r="375">
      <x:c r="A375" s="32" t="n">
        <x:v>46069</x:v>
      </x:c>
      <x:c r="B375" s="32" t="n">
        <x:v>46054</x:v>
      </x:c>
      <x:c r="C375" t="str">
        <x:v>Forecast</x:v>
      </x:c>
      <x:c r="D375" t="str">
        <x:v>DB-104</x:v>
      </x:c>
      <x:c r="E375" s="34" t="n">
        <x:v>29045.55</x:v>
      </x:c>
      <x:c r="F375" s="34" t="n">
        <x:v>0</x:v>
      </x:c>
      <x:c r="G375" s="34" t="n">
        <x:v>247</x:v>
      </x:c>
      <x:c r="H375" s="34" t="n">
        <x:v>247</x:v>
      </x:c>
      <x:c r="I375" s="28" t="n">
        <x:v>1</x:v>
      </x:c>
      <x:c r="J375" s="39" t="n">
        <x:v>247</x:v>
      </x:c>
      <x:c r="K375" s="39" t="n">
        <x:v>6.175000000000001</x:v>
      </x:c>
      <x:c r="L375" s="39" t="n">
        <x:v>28804.725</x:v>
      </x:c>
      <x:c r="M375" s="39" t="n">
        <x:v>116.61831983805668</x:v>
      </x:c>
      <x:c r="N375" t="str">
        <x:v>OK</x:v>
      </x:c>
      <x:c r="O375" t="str">
        <x:v>Maintain plan</x:v>
      </x:c>
      <x:c r="P375" s="38" t="n">
        <x:v>0</x:v>
      </x:c>
    </x:row>
    <x:row r="376">
      <x:c r="A376" s="32" t="n">
        <x:v>46076</x:v>
      </x:c>
      <x:c r="B376" s="32" t="n">
        <x:v>46054</x:v>
      </x:c>
      <x:c r="C376" t="str">
        <x:v>Forecast</x:v>
      </x:c>
      <x:c r="D376" t="str">
        <x:v>DB-104</x:v>
      </x:c>
      <x:c r="E376" s="34" t="n">
        <x:v>28804.725</x:v>
      </x:c>
      <x:c r="F376" s="34" t="n">
        <x:v>0</x:v>
      </x:c>
      <x:c r="G376" s="34" t="n">
        <x:v>247</x:v>
      </x:c>
      <x:c r="H376" s="34" t="n">
        <x:v>247</x:v>
      </x:c>
      <x:c r="I376" s="28" t="n">
        <x:v>1</x:v>
      </x:c>
      <x:c r="J376" s="39" t="n">
        <x:v>247</x:v>
      </x:c>
      <x:c r="K376" s="39" t="n">
        <x:v>6.175000000000001</x:v>
      </x:c>
      <x:c r="L376" s="39" t="n">
        <x:v>28563.899999999998</x:v>
      </x:c>
      <x:c r="M376" s="39" t="n">
        <x:v>115.64331983805667</x:v>
      </x:c>
      <x:c r="N376" t="str">
        <x:v>OK</x:v>
      </x:c>
      <x:c r="O376" t="str">
        <x:v>Maintain plan</x:v>
      </x:c>
      <x:c r="P376" s="38" t="n">
        <x:v>0</x:v>
      </x:c>
    </x:row>
    <x:row r="377">
      <x:c r="A377" s="32" t="n">
        <x:v>46083</x:v>
      </x:c>
      <x:c r="B377" s="32" t="n">
        <x:v>46082</x:v>
      </x:c>
      <x:c r="C377" t="str">
        <x:v>Forecast</x:v>
      </x:c>
      <x:c r="D377" t="str">
        <x:v>DB-104</x:v>
      </x:c>
      <x:c r="E377" s="34" t="n">
        <x:v>28563.899999999998</x:v>
      </x:c>
      <x:c r="F377" s="34" t="n">
        <x:v>0</x:v>
      </x:c>
      <x:c r="G377" s="34" t="n">
        <x:v>279</x:v>
      </x:c>
      <x:c r="H377" s="34" t="n">
        <x:v>279</x:v>
      </x:c>
      <x:c r="I377" s="28" t="n">
        <x:v>1</x:v>
      </x:c>
      <x:c r="J377" s="39" t="n">
        <x:v>279</x:v>
      </x:c>
      <x:c r="K377" s="39" t="n">
        <x:v>6.9750000000000005</x:v>
      </x:c>
      <x:c r="L377" s="39" t="n">
        <x:v>28291.874999999996</x:v>
      </x:c>
      <x:c r="M377" s="39" t="n">
        <x:v>101.4045698924731</x:v>
      </x:c>
      <x:c r="N377" t="str">
        <x:v>OK</x:v>
      </x:c>
      <x:c r="O377" t="str">
        <x:v>Maintain plan</x:v>
      </x:c>
      <x:c r="P377" s="38" t="n">
        <x:v>0</x:v>
      </x:c>
    </x:row>
    <x:row r="378">
      <x:c r="A378" s="32" t="n">
        <x:v>46090</x:v>
      </x:c>
      <x:c r="B378" s="32" t="n">
        <x:v>46082</x:v>
      </x:c>
      <x:c r="C378" t="str">
        <x:v>Forecast</x:v>
      </x:c>
      <x:c r="D378" t="str">
        <x:v>DB-104</x:v>
      </x:c>
      <x:c r="E378" s="34" t="n">
        <x:v>28291.874999999996</x:v>
      </x:c>
      <x:c r="F378" s="34" t="n">
        <x:v>0</x:v>
      </x:c>
      <x:c r="G378" s="34" t="n">
        <x:v>279</x:v>
      </x:c>
      <x:c r="H378" s="34" t="n">
        <x:v>279</x:v>
      </x:c>
      <x:c r="I378" s="28" t="n">
        <x:v>1</x:v>
      </x:c>
      <x:c r="J378" s="39" t="n">
        <x:v>279</x:v>
      </x:c>
      <x:c r="K378" s="39" t="n">
        <x:v>6.9750000000000005</x:v>
      </x:c>
      <x:c r="L378" s="39" t="n">
        <x:v>28019.849999999995</x:v>
      </x:c>
      <x:c r="M378" s="39" t="n">
        <x:v>100.4295698924731</x:v>
      </x:c>
      <x:c r="N378" t="str">
        <x:v>OK</x:v>
      </x:c>
      <x:c r="O378" t="str">
        <x:v>Maintain plan</x:v>
      </x:c>
      <x:c r="P378" s="38" t="n">
        <x:v>0</x:v>
      </x:c>
    </x:row>
    <x:row r="379">
      <x:c r="A379" s="32" t="n">
        <x:v>46097</x:v>
      </x:c>
      <x:c r="B379" s="32" t="n">
        <x:v>46082</x:v>
      </x:c>
      <x:c r="C379" t="str">
        <x:v>Forecast</x:v>
      </x:c>
      <x:c r="D379" t="str">
        <x:v>DB-104</x:v>
      </x:c>
      <x:c r="E379" s="34" t="n">
        <x:v>28019.849999999995</x:v>
      </x:c>
      <x:c r="F379" s="34" t="n">
        <x:v>0</x:v>
      </x:c>
      <x:c r="G379" s="34" t="n">
        <x:v>279</x:v>
      </x:c>
      <x:c r="H379" s="34" t="n">
        <x:v>279</x:v>
      </x:c>
      <x:c r="I379" s="28" t="n">
        <x:v>1</x:v>
      </x:c>
      <x:c r="J379" s="39" t="n">
        <x:v>279</x:v>
      </x:c>
      <x:c r="K379" s="39" t="n">
        <x:v>6.9750000000000005</x:v>
      </x:c>
      <x:c r="L379" s="39" t="n">
        <x:v>27747.824999999993</x:v>
      </x:c>
      <x:c r="M379" s="39" t="n">
        <x:v>99.45456989247309</x:v>
      </x:c>
      <x:c r="N379" t="str">
        <x:v>OK</x:v>
      </x:c>
      <x:c r="O379" t="str">
        <x:v>Maintain plan</x:v>
      </x:c>
      <x:c r="P379" s="38" t="n">
        <x:v>0</x:v>
      </x:c>
    </x:row>
    <x:row r="380">
      <x:c r="A380" s="32" t="n">
        <x:v>46104</x:v>
      </x:c>
      <x:c r="B380" s="32" t="n">
        <x:v>46082</x:v>
      </x:c>
      <x:c r="C380" t="str">
        <x:v>Forecast</x:v>
      </x:c>
      <x:c r="D380" t="str">
        <x:v>DB-104</x:v>
      </x:c>
      <x:c r="E380" s="34" t="n">
        <x:v>27747.824999999993</x:v>
      </x:c>
      <x:c r="F380" s="34" t="n">
        <x:v>0</x:v>
      </x:c>
      <x:c r="G380" s="34" t="n">
        <x:v>279</x:v>
      </x:c>
      <x:c r="H380" s="34" t="n">
        <x:v>279</x:v>
      </x:c>
      <x:c r="I380" s="28" t="n">
        <x:v>1</x:v>
      </x:c>
      <x:c r="J380" s="39" t="n">
        <x:v>279</x:v>
      </x:c>
      <x:c r="K380" s="39" t="n">
        <x:v>6.9750000000000005</x:v>
      </x:c>
      <x:c r="L380" s="39" t="n">
        <x:v>27475.799999999992</x:v>
      </x:c>
      <x:c r="M380" s="39" t="n">
        <x:v>98.4795698924731</x:v>
      </x:c>
      <x:c r="N380" t="str">
        <x:v>OK</x:v>
      </x:c>
      <x:c r="O380" t="str">
        <x:v>Maintain plan</x:v>
      </x:c>
      <x:c r="P380" s="38" t="n">
        <x:v>0</x:v>
      </x:c>
    </x:row>
    <x:row r="381">
      <x:c r="A381" s="32" t="n">
        <x:v>46111</x:v>
      </x:c>
      <x:c r="B381" s="32" t="n">
        <x:v>46082</x:v>
      </x:c>
      <x:c r="C381" t="str">
        <x:v>Forecast</x:v>
      </x:c>
      <x:c r="D381" t="str">
        <x:v>DB-104</x:v>
      </x:c>
      <x:c r="E381" s="34" t="n">
        <x:v>27475.799999999992</x:v>
      </x:c>
      <x:c r="F381" s="34" t="n">
        <x:v>0</x:v>
      </x:c>
      <x:c r="G381" s="34" t="n">
        <x:v>279</x:v>
      </x:c>
      <x:c r="H381" s="34" t="n">
        <x:v>279</x:v>
      </x:c>
      <x:c r="I381" s="28" t="n">
        <x:v>1</x:v>
      </x:c>
      <x:c r="J381" s="39" t="n">
        <x:v>279</x:v>
      </x:c>
      <x:c r="K381" s="39" t="n">
        <x:v>6.9750000000000005</x:v>
      </x:c>
      <x:c r="L381" s="39" t="n">
        <x:v>27203.77499999999</x:v>
      </x:c>
      <x:c r="M381" s="39" t="n">
        <x:v>97.50456989247309</x:v>
      </x:c>
      <x:c r="N381" t="str">
        <x:v>OK</x:v>
      </x:c>
      <x:c r="O381" t="str">
        <x:v>Maintain plan</x:v>
      </x:c>
      <x:c r="P381" s="38" t="n">
        <x:v>0</x:v>
      </x:c>
    </x:row>
    <x:row r="382">
      <x:c r="A382" s="32" t="n">
        <x:v>46118</x:v>
      </x:c>
      <x:c r="B382" s="32" t="n">
        <x:v>46113</x:v>
      </x:c>
      <x:c r="C382" t="str">
        <x:v>Forecast</x:v>
      </x:c>
      <x:c r="D382" t="str">
        <x:v>DB-104</x:v>
      </x:c>
      <x:c r="E382" s="34" t="n">
        <x:v>27203.77499999999</x:v>
      </x:c>
      <x:c r="F382" s="34" t="n">
        <x:v>0</x:v>
      </x:c>
      <x:c r="G382" s="34" t="n">
        <x:v>333</x:v>
      </x:c>
      <x:c r="H382" s="34" t="n">
        <x:v>333</x:v>
      </x:c>
      <x:c r="I382" s="28" t="n">
        <x:v>1</x:v>
      </x:c>
      <x:c r="J382" s="39" t="n">
        <x:v>333</x:v>
      </x:c>
      <x:c r="K382" s="39" t="n">
        <x:v>8.325000000000001</x:v>
      </x:c>
      <x:c r="L382" s="39" t="n">
        <x:v>26879.09999999999</x:v>
      </x:c>
      <x:c r="M382" s="39" t="n">
        <x:v>80.71801801801799</x:v>
      </x:c>
      <x:c r="N382" t="str">
        <x:v>OK</x:v>
      </x:c>
      <x:c r="O382" t="str">
        <x:v>Maintain plan</x:v>
      </x:c>
      <x:c r="P382" s="38" t="n">
        <x:v>0</x:v>
      </x:c>
    </x:row>
    <x:row r="383">
      <x:c r="A383" s="32" t="n">
        <x:v>46125</x:v>
      </x:c>
      <x:c r="B383" s="32" t="n">
        <x:v>46113</x:v>
      </x:c>
      <x:c r="C383" t="str">
        <x:v>Forecast</x:v>
      </x:c>
      <x:c r="D383" t="str">
        <x:v>DB-104</x:v>
      </x:c>
      <x:c r="E383" s="34" t="n">
        <x:v>26879.09999999999</x:v>
      </x:c>
      <x:c r="F383" s="34" t="n">
        <x:v>0</x:v>
      </x:c>
      <x:c r="G383" s="34" t="n">
        <x:v>333</x:v>
      </x:c>
      <x:c r="H383" s="34" t="n">
        <x:v>333</x:v>
      </x:c>
      <x:c r="I383" s="28" t="n">
        <x:v>1</x:v>
      </x:c>
      <x:c r="J383" s="39" t="n">
        <x:v>333</x:v>
      </x:c>
      <x:c r="K383" s="39" t="n">
        <x:v>8.325000000000001</x:v>
      </x:c>
      <x:c r="L383" s="39" t="n">
        <x:v>26554.424999999992</x:v>
      </x:c>
      <x:c r="M383" s="39" t="n">
        <x:v>79.74301801801799</x:v>
      </x:c>
      <x:c r="N383" t="str">
        <x:v>OK</x:v>
      </x:c>
      <x:c r="O383" t="str">
        <x:v>Maintain plan</x:v>
      </x:c>
      <x:c r="P383" s="38" t="n">
        <x:v>0</x:v>
      </x:c>
    </x:row>
    <x:row r="384">
      <x:c r="A384" s="32" t="n">
        <x:v>46132</x:v>
      </x:c>
      <x:c r="B384" s="32" t="n">
        <x:v>46113</x:v>
      </x:c>
      <x:c r="C384" t="str">
        <x:v>Forecast</x:v>
      </x:c>
      <x:c r="D384" t="str">
        <x:v>DB-104</x:v>
      </x:c>
      <x:c r="E384" s="34" t="n">
        <x:v>26554.424999999992</x:v>
      </x:c>
      <x:c r="F384" s="34" t="n">
        <x:v>0</x:v>
      </x:c>
      <x:c r="G384" s="34" t="n">
        <x:v>333</x:v>
      </x:c>
      <x:c r="H384" s="34" t="n">
        <x:v>333</x:v>
      </x:c>
      <x:c r="I384" s="28" t="n">
        <x:v>1</x:v>
      </x:c>
      <x:c r="J384" s="39" t="n">
        <x:v>333</x:v>
      </x:c>
      <x:c r="K384" s="39" t="n">
        <x:v>8.325000000000001</x:v>
      </x:c>
      <x:c r="L384" s="39" t="n">
        <x:v>26229.749999999993</x:v>
      </x:c>
      <x:c r="M384" s="39" t="n">
        <x:v>78.768018018018</x:v>
      </x:c>
      <x:c r="N384" t="str">
        <x:v>OK</x:v>
      </x:c>
      <x:c r="O384" t="str">
        <x:v>Maintain plan</x:v>
      </x:c>
      <x:c r="P384" s="38" t="n">
        <x:v>0</x:v>
      </x:c>
    </x:row>
    <x:row r="385">
      <x:c r="A385" s="32" t="n">
        <x:v>46139</x:v>
      </x:c>
      <x:c r="B385" s="32" t="n">
        <x:v>46113</x:v>
      </x:c>
      <x:c r="C385" t="str">
        <x:v>Forecast</x:v>
      </x:c>
      <x:c r="D385" t="str">
        <x:v>DB-104</x:v>
      </x:c>
      <x:c r="E385" s="34" t="n">
        <x:v>26229.749999999993</x:v>
      </x:c>
      <x:c r="F385" s="34" t="n">
        <x:v>0</x:v>
      </x:c>
      <x:c r="G385" s="34" t="n">
        <x:v>333</x:v>
      </x:c>
      <x:c r="H385" s="34" t="n">
        <x:v>333</x:v>
      </x:c>
      <x:c r="I385" s="28" t="n">
        <x:v>1</x:v>
      </x:c>
      <x:c r="J385" s="39" t="n">
        <x:v>333</x:v>
      </x:c>
      <x:c r="K385" s="39" t="n">
        <x:v>8.325000000000001</x:v>
      </x:c>
      <x:c r="L385" s="39" t="n">
        <x:v>25905.074999999993</x:v>
      </x:c>
      <x:c r="M385" s="39" t="n">
        <x:v>77.793018018018</x:v>
      </x:c>
      <x:c r="N385" t="str">
        <x:v>OK</x:v>
      </x:c>
      <x:c r="O385" t="str">
        <x:v>Maintain plan</x:v>
      </x:c>
      <x:c r="P385" s="38" t="n">
        <x:v>0</x:v>
      </x:c>
    </x:row>
    <x:row r="386">
      <x:c r="A386" s="32" t="n">
        <x:v>46146</x:v>
      </x:c>
      <x:c r="B386" s="32" t="n">
        <x:v>46143</x:v>
      </x:c>
      <x:c r="C386" t="str">
        <x:v>Forecast</x:v>
      </x:c>
      <x:c r="D386" t="str">
        <x:v>DB-104</x:v>
      </x:c>
      <x:c r="E386" s="34" t="n">
        <x:v>25905.074999999993</x:v>
      </x:c>
      <x:c r="F386" s="34" t="n">
        <x:v>0</x:v>
      </x:c>
      <x:c r="G386" s="34" t="n">
        <x:v>405</x:v>
      </x:c>
      <x:c r="H386" s="34" t="n">
        <x:v>405</x:v>
      </x:c>
      <x:c r="I386" s="28" t="n">
        <x:v>1</x:v>
      </x:c>
      <x:c r="J386" s="39" t="n">
        <x:v>405</x:v>
      </x:c>
      <x:c r="K386" s="39" t="n">
        <x:v>10.125</x:v>
      </x:c>
      <x:c r="L386" s="39" t="n">
        <x:v>25510.199999999993</x:v>
      </x:c>
      <x:c r="M386" s="39" t="n">
        <x:v>62.988148148148134</x:v>
      </x:c>
      <x:c r="N386" t="str">
        <x:v>OK</x:v>
      </x:c>
      <x:c r="O386" t="str">
        <x:v>Maintain plan</x:v>
      </x:c>
      <x:c r="P386" s="38" t="n">
        <x:v>0</x:v>
      </x:c>
    </x:row>
    <x:row r="387">
      <x:c r="A387" s="32" t="n">
        <x:v>46153</x:v>
      </x:c>
      <x:c r="B387" s="32" t="n">
        <x:v>46143</x:v>
      </x:c>
      <x:c r="C387" t="str">
        <x:v>Forecast</x:v>
      </x:c>
      <x:c r="D387" t="str">
        <x:v>DB-104</x:v>
      </x:c>
      <x:c r="E387" s="34" t="n">
        <x:v>25510.199999999993</x:v>
      </x:c>
      <x:c r="F387" s="34" t="n">
        <x:v>0</x:v>
      </x:c>
      <x:c r="G387" s="34" t="n">
        <x:v>405</x:v>
      </x:c>
      <x:c r="H387" s="34" t="n">
        <x:v>405</x:v>
      </x:c>
      <x:c r="I387" s="28" t="n">
        <x:v>1</x:v>
      </x:c>
      <x:c r="J387" s="39" t="n">
        <x:v>405</x:v>
      </x:c>
      <x:c r="K387" s="39" t="n">
        <x:v>10.125</x:v>
      </x:c>
      <x:c r="L387" s="39" t="n">
        <x:v>25115.324999999993</x:v>
      </x:c>
      <x:c r="M387" s="39" t="n">
        <x:v>62.01314814814813</x:v>
      </x:c>
      <x:c r="N387" t="str">
        <x:v>OK</x:v>
      </x:c>
      <x:c r="O387" t="str">
        <x:v>Maintain plan</x:v>
      </x:c>
      <x:c r="P387" s="38" t="n">
        <x:v>0</x:v>
      </x:c>
    </x:row>
    <x:row r="388">
      <x:c r="A388" s="32" t="n">
        <x:v>46160</x:v>
      </x:c>
      <x:c r="B388" s="32" t="n">
        <x:v>46143</x:v>
      </x:c>
      <x:c r="C388" t="str">
        <x:v>Forecast</x:v>
      </x:c>
      <x:c r="D388" t="str">
        <x:v>DB-104</x:v>
      </x:c>
      <x:c r="E388" s="34" t="n">
        <x:v>25115.324999999993</x:v>
      </x:c>
      <x:c r="F388" s="34" t="n">
        <x:v>0</x:v>
      </x:c>
      <x:c r="G388" s="34" t="n">
        <x:v>405</x:v>
      </x:c>
      <x:c r="H388" s="34" t="n">
        <x:v>405</x:v>
      </x:c>
      <x:c r="I388" s="28" t="n">
        <x:v>1</x:v>
      </x:c>
      <x:c r="J388" s="39" t="n">
        <x:v>405</x:v>
      </x:c>
      <x:c r="K388" s="39" t="n">
        <x:v>10.125</x:v>
      </x:c>
      <x:c r="L388" s="39" t="n">
        <x:v>24720.449999999993</x:v>
      </x:c>
      <x:c r="M388" s="39" t="n">
        <x:v>61.03814814814813</x:v>
      </x:c>
      <x:c r="N388" t="str">
        <x:v>OK</x:v>
      </x:c>
      <x:c r="O388" t="str">
        <x:v>Maintain plan</x:v>
      </x:c>
      <x:c r="P388" s="38" t="n">
        <x:v>0</x:v>
      </x:c>
    </x:row>
    <x:row r="389">
      <x:c r="A389" s="32" t="n">
        <x:v>46167</x:v>
      </x:c>
      <x:c r="B389" s="32" t="n">
        <x:v>46143</x:v>
      </x:c>
      <x:c r="C389" t="str">
        <x:v>Forecast</x:v>
      </x:c>
      <x:c r="D389" t="str">
        <x:v>DB-104</x:v>
      </x:c>
      <x:c r="E389" s="34" t="n">
        <x:v>24720.449999999993</x:v>
      </x:c>
      <x:c r="F389" s="34" t="n">
        <x:v>0</x:v>
      </x:c>
      <x:c r="G389" s="34" t="n">
        <x:v>405</x:v>
      </x:c>
      <x:c r="H389" s="34" t="n">
        <x:v>405</x:v>
      </x:c>
      <x:c r="I389" s="28" t="n">
        <x:v>1</x:v>
      </x:c>
      <x:c r="J389" s="39" t="n">
        <x:v>405</x:v>
      </x:c>
      <x:c r="K389" s="39" t="n">
        <x:v>10.125</x:v>
      </x:c>
      <x:c r="L389" s="39" t="n">
        <x:v>24325.574999999993</x:v>
      </x:c>
      <x:c r="M389" s="39" t="n">
        <x:v>60.06314814814813</x:v>
      </x:c>
      <x:c r="N389" t="str">
        <x:v>OK</x:v>
      </x:c>
      <x:c r="O389" t="str">
        <x:v>Maintain plan</x:v>
      </x:c>
      <x:c r="P389" s="38" t="n">
        <x:v>0</x:v>
      </x:c>
    </x:row>
    <x:row r="390">
      <x:c r="A390" s="32" t="n">
        <x:v>46174</x:v>
      </x:c>
      <x:c r="B390" s="32" t="n">
        <x:v>46174</x:v>
      </x:c>
      <x:c r="C390" t="str">
        <x:v>Forecast</x:v>
      </x:c>
      <x:c r="D390" t="str">
        <x:v>DB-104</x:v>
      </x:c>
      <x:c r="E390" s="34" t="n">
        <x:v>24325.574999999993</x:v>
      </x:c>
      <x:c r="F390" s="34" t="n">
        <x:v>0</x:v>
      </x:c>
      <x:c r="G390" s="34" t="n">
        <x:v>460</x:v>
      </x:c>
      <x:c r="H390" s="34" t="n">
        <x:v>460</x:v>
      </x:c>
      <x:c r="I390" s="28" t="n">
        <x:v>1</x:v>
      </x:c>
      <x:c r="J390" s="39" t="n">
        <x:v>460</x:v>
      </x:c>
      <x:c r="K390" s="39" t="n">
        <x:v>11.5</x:v>
      </x:c>
      <x:c r="L390" s="39" t="n">
        <x:v>23877.074999999993</x:v>
      </x:c>
      <x:c r="M390" s="39" t="n">
        <x:v>51.90668478260868</x:v>
      </x:c>
      <x:c r="N390" t="str">
        <x:v>OK</x:v>
      </x:c>
      <x:c r="O390" t="str">
        <x:v>Maintain plan</x:v>
      </x:c>
      <x:c r="P390" s="38" t="n">
        <x:v>0</x:v>
      </x:c>
    </x:row>
    <x:row r="391">
      <x:c r="A391" s="32" t="n">
        <x:v>46181</x:v>
      </x:c>
      <x:c r="B391" s="32" t="n">
        <x:v>46174</x:v>
      </x:c>
      <x:c r="C391" t="str">
        <x:v>Forecast</x:v>
      </x:c>
      <x:c r="D391" t="str">
        <x:v>DB-104</x:v>
      </x:c>
      <x:c r="E391" s="34" t="n">
        <x:v>23877.074999999993</x:v>
      </x:c>
      <x:c r="F391" s="34" t="n">
        <x:v>0</x:v>
      </x:c>
      <x:c r="G391" s="34" t="n">
        <x:v>460</x:v>
      </x:c>
      <x:c r="H391" s="34" t="n">
        <x:v>460</x:v>
      </x:c>
      <x:c r="I391" s="28" t="n">
        <x:v>1</x:v>
      </x:c>
      <x:c r="J391" s="39" t="n">
        <x:v>460</x:v>
      </x:c>
      <x:c r="K391" s="39" t="n">
        <x:v>11.5</x:v>
      </x:c>
      <x:c r="L391" s="39" t="n">
        <x:v>23428.574999999993</x:v>
      </x:c>
      <x:c r="M391" s="39" t="n">
        <x:v>50.931684782608684</x:v>
      </x:c>
      <x:c r="N391" t="str">
        <x:v>OK</x:v>
      </x:c>
      <x:c r="O391" t="str">
        <x:v>Maintain plan</x:v>
      </x:c>
      <x:c r="P391" s="38" t="n">
        <x:v>0</x:v>
      </x:c>
    </x:row>
    <x:row r="392">
      <x:c r="A392" s="32" t="n">
        <x:v>46188</x:v>
      </x:c>
      <x:c r="B392" s="32" t="n">
        <x:v>46174</x:v>
      </x:c>
      <x:c r="C392" t="str">
        <x:v>Forecast</x:v>
      </x:c>
      <x:c r="D392" t="str">
        <x:v>DB-104</x:v>
      </x:c>
      <x:c r="E392" s="34" t="n">
        <x:v>23428.574999999993</x:v>
      </x:c>
      <x:c r="F392" s="34" t="n">
        <x:v>0</x:v>
      </x:c>
      <x:c r="G392" s="34" t="n">
        <x:v>460</x:v>
      </x:c>
      <x:c r="H392" s="34" t="n">
        <x:v>460</x:v>
      </x:c>
      <x:c r="I392" s="28" t="n">
        <x:v>1</x:v>
      </x:c>
      <x:c r="J392" s="39" t="n">
        <x:v>460</x:v>
      </x:c>
      <x:c r="K392" s="39" t="n">
        <x:v>11.5</x:v>
      </x:c>
      <x:c r="L392" s="39" t="n">
        <x:v>22980.074999999993</x:v>
      </x:c>
      <x:c r="M392" s="39" t="n">
        <x:v>49.95668478260868</x:v>
      </x:c>
      <x:c r="N392" t="str">
        <x:v>OK</x:v>
      </x:c>
      <x:c r="O392" t="str">
        <x:v>Maintain plan</x:v>
      </x:c>
      <x:c r="P392" s="38" t="n">
        <x:v>0</x:v>
      </x:c>
    </x:row>
    <x:row r="393">
      <x:c r="A393" s="32" t="n">
        <x:v>46195</x:v>
      </x:c>
      <x:c r="B393" s="32" t="n">
        <x:v>46174</x:v>
      </x:c>
      <x:c r="C393" t="str">
        <x:v>Forecast</x:v>
      </x:c>
      <x:c r="D393" t="str">
        <x:v>DB-104</x:v>
      </x:c>
      <x:c r="E393" s="34" t="n">
        <x:v>22980.074999999993</x:v>
      </x:c>
      <x:c r="F393" s="34" t="n">
        <x:v>0</x:v>
      </x:c>
      <x:c r="G393" s="34" t="n">
        <x:v>460</x:v>
      </x:c>
      <x:c r="H393" s="34" t="n">
        <x:v>460</x:v>
      </x:c>
      <x:c r="I393" s="28" t="n">
        <x:v>1</x:v>
      </x:c>
      <x:c r="J393" s="39" t="n">
        <x:v>460</x:v>
      </x:c>
      <x:c r="K393" s="39" t="n">
        <x:v>11.5</x:v>
      </x:c>
      <x:c r="L393" s="39" t="n">
        <x:v>22531.574999999993</x:v>
      </x:c>
      <x:c r="M393" s="39" t="n">
        <x:v>48.98168478260868</x:v>
      </x:c>
      <x:c r="N393" t="str">
        <x:v>OK</x:v>
      </x:c>
      <x:c r="O393" t="str">
        <x:v>Maintain plan</x:v>
      </x:c>
      <x:c r="P393" s="38" t="n">
        <x:v>0</x:v>
      </x:c>
    </x:row>
    <x:row r="394">
      <x:c r="A394" s="32" t="n">
        <x:v>46202</x:v>
      </x:c>
      <x:c r="B394" s="32" t="n">
        <x:v>46174</x:v>
      </x:c>
      <x:c r="C394" t="str">
        <x:v>Forecast</x:v>
      </x:c>
      <x:c r="D394" t="str">
        <x:v>DB-104</x:v>
      </x:c>
      <x:c r="E394" s="34" t="n">
        <x:v>22531.574999999993</x:v>
      </x:c>
      <x:c r="F394" s="34" t="n">
        <x:v>0</x:v>
      </x:c>
      <x:c r="G394" s="34" t="n">
        <x:v>460</x:v>
      </x:c>
      <x:c r="H394" s="34" t="n">
        <x:v>460</x:v>
      </x:c>
      <x:c r="I394" s="28" t="n">
        <x:v>1</x:v>
      </x:c>
      <x:c r="J394" s="39" t="n">
        <x:v>460</x:v>
      </x:c>
      <x:c r="K394" s="39" t="n">
        <x:v>11.5</x:v>
      </x:c>
      <x:c r="L394" s="39" t="n">
        <x:v>22083.074999999993</x:v>
      </x:c>
      <x:c r="M394" s="39" t="n">
        <x:v>48.00668478260868</x:v>
      </x:c>
      <x:c r="N394" t="str">
        <x:v>OK</x:v>
      </x:c>
      <x:c r="O394" t="str">
        <x:v>Maintain plan</x:v>
      </x:c>
      <x:c r="P394" s="38" t="n">
        <x:v>0</x:v>
      </x:c>
    </x:row>
    <x:row r="395">
      <x:c r="A395" s="32" t="n">
        <x:v>46209</x:v>
      </x:c>
      <x:c r="B395" s="32" t="n">
        <x:v>46204</x:v>
      </x:c>
      <x:c r="C395" t="str">
        <x:v>Forecast</x:v>
      </x:c>
      <x:c r="D395" t="str">
        <x:v>DB-104</x:v>
      </x:c>
      <x:c r="E395" s="34" t="n">
        <x:v>22083.074999999993</x:v>
      </x:c>
      <x:c r="F395" s="34" t="n">
        <x:v>0</x:v>
      </x:c>
      <x:c r="G395" s="34" t="n">
        <x:v>450</x:v>
      </x:c>
      <x:c r="H395" s="34" t="n">
        <x:v>450</x:v>
      </x:c>
      <x:c r="I395" s="28" t="n">
        <x:v>1</x:v>
      </x:c>
      <x:c r="J395" s="39" t="n">
        <x:v>450</x:v>
      </x:c>
      <x:c r="K395" s="39" t="n">
        <x:v>11.25</x:v>
      </x:c>
      <x:c r="L395" s="39" t="n">
        <x:v>21644.324999999993</x:v>
      </x:c>
      <x:c r="M395" s="39" t="n">
        <x:v>48.09849999999999</x:v>
      </x:c>
      <x:c r="N395" t="str">
        <x:v>OK</x:v>
      </x:c>
      <x:c r="O395" t="str">
        <x:v>Maintain plan</x:v>
      </x:c>
      <x:c r="P395" s="38" t="n">
        <x:v>0</x:v>
      </x:c>
    </x:row>
    <x:row r="396">
      <x:c r="A396" s="32" t="n">
        <x:v>46216</x:v>
      </x:c>
      <x:c r="B396" s="32" t="n">
        <x:v>46204</x:v>
      </x:c>
      <x:c r="C396" t="str">
        <x:v>Forecast</x:v>
      </x:c>
      <x:c r="D396" t="str">
        <x:v>DB-104</x:v>
      </x:c>
      <x:c r="E396" s="34" t="n">
        <x:v>21644.324999999993</x:v>
      </x:c>
      <x:c r="F396" s="34" t="n">
        <x:v>0</x:v>
      </x:c>
      <x:c r="G396" s="34" t="n">
        <x:v>450</x:v>
      </x:c>
      <x:c r="H396" s="34" t="n">
        <x:v>450</x:v>
      </x:c>
      <x:c r="I396" s="28" t="n">
        <x:v>1</x:v>
      </x:c>
      <x:c r="J396" s="39" t="n">
        <x:v>450</x:v>
      </x:c>
      <x:c r="K396" s="39" t="n">
        <x:v>11.25</x:v>
      </x:c>
      <x:c r="L396" s="39" t="n">
        <x:v>21205.574999999993</x:v>
      </x:c>
      <x:c r="M396" s="39" t="n">
        <x:v>47.123499999999986</x:v>
      </x:c>
      <x:c r="N396" t="str">
        <x:v>OK</x:v>
      </x:c>
      <x:c r="O396" t="str">
        <x:v>Maintain plan</x:v>
      </x:c>
      <x:c r="P396" s="38" t="n">
        <x:v>0</x:v>
      </x:c>
    </x:row>
    <x:row r="397">
      <x:c r="A397" s="32" t="n">
        <x:v>46223</x:v>
      </x:c>
      <x:c r="B397" s="32" t="n">
        <x:v>46204</x:v>
      </x:c>
      <x:c r="C397" t="str">
        <x:v>Forecast</x:v>
      </x:c>
      <x:c r="D397" t="str">
        <x:v>DB-104</x:v>
      </x:c>
      <x:c r="E397" s="34" t="n">
        <x:v>21205.574999999993</x:v>
      </x:c>
      <x:c r="F397" s="34" t="n">
        <x:v>0</x:v>
      </x:c>
      <x:c r="G397" s="34" t="n">
        <x:v>450</x:v>
      </x:c>
      <x:c r="H397" s="34" t="n">
        <x:v>450</x:v>
      </x:c>
      <x:c r="I397" s="28" t="n">
        <x:v>1</x:v>
      </x:c>
      <x:c r="J397" s="39" t="n">
        <x:v>450</x:v>
      </x:c>
      <x:c r="K397" s="39" t="n">
        <x:v>11.25</x:v>
      </x:c>
      <x:c r="L397" s="39" t="n">
        <x:v>20766.824999999993</x:v>
      </x:c>
      <x:c r="M397" s="39" t="n">
        <x:v>46.148499999999984</x:v>
      </x:c>
      <x:c r="N397" t="str">
        <x:v>OK</x:v>
      </x:c>
      <x:c r="O397" t="str">
        <x:v>Maintain plan</x:v>
      </x:c>
      <x:c r="P397" s="38" t="n">
        <x:v>0</x:v>
      </x:c>
    </x:row>
    <x:row r="398">
      <x:c r="A398" s="32" t="n">
        <x:v>46230</x:v>
      </x:c>
      <x:c r="B398" s="32" t="n">
        <x:v>46204</x:v>
      </x:c>
      <x:c r="C398" t="str">
        <x:v>Forecast</x:v>
      </x:c>
      <x:c r="D398" t="str">
        <x:v>DB-104</x:v>
      </x:c>
      <x:c r="E398" s="34" t="n">
        <x:v>20766.824999999993</x:v>
      </x:c>
      <x:c r="F398" s="34" t="n">
        <x:v>0</x:v>
      </x:c>
      <x:c r="G398" s="34" t="n">
        <x:v>450</x:v>
      </x:c>
      <x:c r="H398" s="34" t="n">
        <x:v>450</x:v>
      </x:c>
      <x:c r="I398" s="28" t="n">
        <x:v>1</x:v>
      </x:c>
      <x:c r="J398" s="39" t="n">
        <x:v>450</x:v>
      </x:c>
      <x:c r="K398" s="39" t="n">
        <x:v>11.25</x:v>
      </x:c>
      <x:c r="L398" s="39" t="n">
        <x:v>20328.074999999993</x:v>
      </x:c>
      <x:c r="M398" s="39" t="n">
        <x:v>45.17349999999998</x:v>
      </x:c>
      <x:c r="N398" t="str">
        <x:v>OK</x:v>
      </x:c>
      <x:c r="O398" t="str">
        <x:v>Maintain plan</x:v>
      </x:c>
      <x:c r="P398" s="38" t="n">
        <x:v>0</x:v>
      </x:c>
    </x:row>
    <x:row r="399">
      <x:c r="A399" s="32" t="n">
        <x:v>46237</x:v>
      </x:c>
      <x:c r="B399" s="32" t="n">
        <x:v>46235</x:v>
      </x:c>
      <x:c r="C399" t="str">
        <x:v>Forecast</x:v>
      </x:c>
      <x:c r="D399" t="str">
        <x:v>DB-104</x:v>
      </x:c>
      <x:c r="E399" s="34" t="n">
        <x:v>20328.074999999993</x:v>
      </x:c>
      <x:c r="F399" s="34" t="n">
        <x:v>0</x:v>
      </x:c>
      <x:c r="G399" s="34" t="n">
        <x:v>374</x:v>
      </x:c>
      <x:c r="H399" s="34" t="n">
        <x:v>374</x:v>
      </x:c>
      <x:c r="I399" s="28" t="n">
        <x:v>1</x:v>
      </x:c>
      <x:c r="J399" s="39" t="n">
        <x:v>374</x:v>
      </x:c>
      <x:c r="K399" s="39" t="n">
        <x:v>9.35</x:v>
      </x:c>
      <x:c r="L399" s="39" t="n">
        <x:v>19963.424999999992</x:v>
      </x:c>
      <x:c r="M399" s="39" t="n">
        <x:v>53.37814171122992</x:v>
      </x:c>
      <x:c r="N399" t="str">
        <x:v>OK</x:v>
      </x:c>
      <x:c r="O399" t="str">
        <x:v>Maintain plan</x:v>
      </x:c>
      <x:c r="P399" s="38" t="n">
        <x:v>0</x:v>
      </x:c>
    </x:row>
    <x:row r="400">
      <x:c r="A400" s="32" t="n">
        <x:v>46244</x:v>
      </x:c>
      <x:c r="B400" s="32" t="n">
        <x:v>46235</x:v>
      </x:c>
      <x:c r="C400" t="str">
        <x:v>Forecast</x:v>
      </x:c>
      <x:c r="D400" t="str">
        <x:v>DB-104</x:v>
      </x:c>
      <x:c r="E400" s="34" t="n">
        <x:v>19963.424999999992</x:v>
      </x:c>
      <x:c r="F400" s="34" t="n">
        <x:v>0</x:v>
      </x:c>
      <x:c r="G400" s="34" t="n">
        <x:v>374</x:v>
      </x:c>
      <x:c r="H400" s="34" t="n">
        <x:v>374</x:v>
      </x:c>
      <x:c r="I400" s="28" t="n">
        <x:v>1</x:v>
      </x:c>
      <x:c r="J400" s="39" t="n">
        <x:v>374</x:v>
      </x:c>
      <x:c r="K400" s="39" t="n">
        <x:v>9.35</x:v>
      </x:c>
      <x:c r="L400" s="39" t="n">
        <x:v>19598.77499999999</x:v>
      </x:c>
      <x:c r="M400" s="39" t="n">
        <x:v>52.40314171122992</x:v>
      </x:c>
      <x:c r="N400" t="str">
        <x:v>OK</x:v>
      </x:c>
      <x:c r="O400" t="str">
        <x:v>Maintain plan</x:v>
      </x:c>
      <x:c r="P400" s="38" t="n">
        <x:v>0</x:v>
      </x:c>
    </x:row>
    <x:row r="401">
      <x:c r="A401" s="32" t="n">
        <x:v>46251</x:v>
      </x:c>
      <x:c r="B401" s="32" t="n">
        <x:v>46235</x:v>
      </x:c>
      <x:c r="C401" t="str">
        <x:v>Forecast</x:v>
      </x:c>
      <x:c r="D401" t="str">
        <x:v>DB-104</x:v>
      </x:c>
      <x:c r="E401" s="34" t="n">
        <x:v>19598.77499999999</x:v>
      </x:c>
      <x:c r="F401" s="34" t="n">
        <x:v>0</x:v>
      </x:c>
      <x:c r="G401" s="34" t="n">
        <x:v>374</x:v>
      </x:c>
      <x:c r="H401" s="34" t="n">
        <x:v>374</x:v>
      </x:c>
      <x:c r="I401" s="28" t="n">
        <x:v>1</x:v>
      </x:c>
      <x:c r="J401" s="39" t="n">
        <x:v>374</x:v>
      </x:c>
      <x:c r="K401" s="39" t="n">
        <x:v>9.35</x:v>
      </x:c>
      <x:c r="L401" s="39" t="n">
        <x:v>19234.12499999999</x:v>
      </x:c>
      <x:c r="M401" s="39" t="n">
        <x:v>51.42814171122992</x:v>
      </x:c>
      <x:c r="N401" t="str">
        <x:v>OK</x:v>
      </x:c>
      <x:c r="O401" t="str">
        <x:v>Maintain plan</x:v>
      </x:c>
      <x:c r="P401" s="38" t="n">
        <x:v>0</x:v>
      </x:c>
    </x:row>
    <x:row r="402">
      <x:c r="A402" s="32" t="n">
        <x:v>46258</x:v>
      </x:c>
      <x:c r="B402" s="32" t="n">
        <x:v>46235</x:v>
      </x:c>
      <x:c r="C402" t="str">
        <x:v>Forecast</x:v>
      </x:c>
      <x:c r="D402" t="str">
        <x:v>DB-104</x:v>
      </x:c>
      <x:c r="E402" s="34" t="n">
        <x:v>19234.12499999999</x:v>
      </x:c>
      <x:c r="F402" s="34" t="n">
        <x:v>0</x:v>
      </x:c>
      <x:c r="G402" s="34" t="n">
        <x:v>374</x:v>
      </x:c>
      <x:c r="H402" s="34" t="n">
        <x:v>374</x:v>
      </x:c>
      <x:c r="I402" s="28" t="n">
        <x:v>1</x:v>
      </x:c>
      <x:c r="J402" s="39" t="n">
        <x:v>374</x:v>
      </x:c>
      <x:c r="K402" s="39" t="n">
        <x:v>9.35</x:v>
      </x:c>
      <x:c r="L402" s="39" t="n">
        <x:v>18869.474999999988</x:v>
      </x:c>
      <x:c r="M402" s="39" t="n">
        <x:v>50.45314171122991</x:v>
      </x:c>
      <x:c r="N402" t="str">
        <x:v>OK</x:v>
      </x:c>
      <x:c r="O402" t="str">
        <x:v>Maintain plan</x:v>
      </x:c>
      <x:c r="P402" s="38" t="n">
        <x:v>0</x:v>
      </x:c>
    </x:row>
    <x:row r="403">
      <x:c r="A403" s="32" t="n">
        <x:v>46265</x:v>
      </x:c>
      <x:c r="B403" s="32" t="n">
        <x:v>46235</x:v>
      </x:c>
      <x:c r="C403" t="str">
        <x:v>Forecast</x:v>
      </x:c>
      <x:c r="D403" t="str">
        <x:v>DB-104</x:v>
      </x:c>
      <x:c r="E403" s="34" t="n">
        <x:v>18869.474999999988</x:v>
      </x:c>
      <x:c r="F403" s="34" t="n">
        <x:v>0</x:v>
      </x:c>
      <x:c r="G403" s="34" t="n">
        <x:v>374</x:v>
      </x:c>
      <x:c r="H403" s="34" t="n">
        <x:v>374</x:v>
      </x:c>
      <x:c r="I403" s="28" t="n">
        <x:v>1</x:v>
      </x:c>
      <x:c r="J403" s="39" t="n">
        <x:v>374</x:v>
      </x:c>
      <x:c r="K403" s="39" t="n">
        <x:v>9.35</x:v>
      </x:c>
      <x:c r="L403" s="39" t="n">
        <x:v>18504.824999999986</x:v>
      </x:c>
      <x:c r="M403" s="39" t="n">
        <x:v>49.47814171122991</x:v>
      </x:c>
      <x:c r="N403" t="str">
        <x:v>OK</x:v>
      </x:c>
      <x:c r="O403" t="str">
        <x:v>Maintain plan</x:v>
      </x:c>
      <x:c r="P403" s="38" t="n">
        <x:v>0</x:v>
      </x:c>
    </x:row>
    <x:row r="404">
      <x:c r="A404" s="32" t="n">
        <x:v>46272</x:v>
      </x:c>
      <x:c r="B404" s="32" t="n">
        <x:v>46266</x:v>
      </x:c>
      <x:c r="C404" t="str">
        <x:v>Forecast</x:v>
      </x:c>
      <x:c r="D404" t="str">
        <x:v>DB-104</x:v>
      </x:c>
      <x:c r="E404" s="34" t="n">
        <x:v>18504.824999999986</x:v>
      </x:c>
      <x:c r="F404" s="34" t="n">
        <x:v>0</x:v>
      </x:c>
      <x:c r="G404" s="34" t="n">
        <x:v>0</x:v>
      </x:c>
      <x:c r="H404" s="34" t="n">
        <x:v>0</x:v>
      </x:c>
      <x:c r="I404" s="28" t="n">
        <x:v>1</x:v>
      </x:c>
      <x:c r="J404" s="39" t="n">
        <x:v>0</x:v>
      </x:c>
      <x:c r="K404" s="39" t="n">
        <x:v>0</x:v>
      </x:c>
      <x:c r="L404" s="39" t="n">
        <x:v>18504.824999999986</x:v>
      </x:c>
      <x:c r="M404" s="39" t="n">
        <x:v>99</x:v>
      </x:c>
      <x:c r="N404" t="str">
        <x:v>OK</x:v>
      </x:c>
      <x:c r="O404" t="str">
        <x:v>Maintain plan</x:v>
      </x:c>
      <x:c r="P404" s="38" t="n">
        <x:v>0</x:v>
      </x:c>
    </x:row>
    <x:row r="405">
      <x:c r="A405" s="32" t="n">
        <x:v>46279</x:v>
      </x:c>
      <x:c r="B405" s="32" t="n">
        <x:v>46266</x:v>
      </x:c>
      <x:c r="C405" t="str">
        <x:v>Forecast</x:v>
      </x:c>
      <x:c r="D405" t="str">
        <x:v>DB-104</x:v>
      </x:c>
      <x:c r="E405" s="34" t="n">
        <x:v>18504.824999999986</x:v>
      </x:c>
      <x:c r="F405" s="34" t="n">
        <x:v>0</x:v>
      </x:c>
      <x:c r="G405" s="34" t="n">
        <x:v>0</x:v>
      </x:c>
      <x:c r="H405" s="34" t="n">
        <x:v>0</x:v>
      </x:c>
      <x:c r="I405" s="28" t="n">
        <x:v>1</x:v>
      </x:c>
      <x:c r="J405" s="39" t="n">
        <x:v>0</x:v>
      </x:c>
      <x:c r="K405" s="39" t="n">
        <x:v>0</x:v>
      </x:c>
      <x:c r="L405" s="39" t="n">
        <x:v>18504.824999999986</x:v>
      </x:c>
      <x:c r="M405" s="39" t="n">
        <x:v>99</x:v>
      </x:c>
      <x:c r="N405" t="str">
        <x:v>OK</x:v>
      </x:c>
      <x:c r="O405" t="str">
        <x:v>Maintain plan</x:v>
      </x:c>
      <x:c r="P405" s="38" t="n">
        <x:v>0</x:v>
      </x:c>
    </x:row>
    <x:row r="406">
      <x:c r="A406" s="32" t="n">
        <x:v>46286</x:v>
      </x:c>
      <x:c r="B406" s="32" t="n">
        <x:v>46266</x:v>
      </x:c>
      <x:c r="C406" t="str">
        <x:v>Forecast</x:v>
      </x:c>
      <x:c r="D406" t="str">
        <x:v>DB-104</x:v>
      </x:c>
      <x:c r="E406" s="34" t="n">
        <x:v>18504.824999999986</x:v>
      </x:c>
      <x:c r="F406" s="34" t="n">
        <x:v>0</x:v>
      </x:c>
      <x:c r="G406" s="34" t="n">
        <x:v>0</x:v>
      </x:c>
      <x:c r="H406" s="34" t="n">
        <x:v>0</x:v>
      </x:c>
      <x:c r="I406" s="28" t="n">
        <x:v>1</x:v>
      </x:c>
      <x:c r="J406" s="39" t="n">
        <x:v>0</x:v>
      </x:c>
      <x:c r="K406" s="39" t="n">
        <x:v>0</x:v>
      </x:c>
      <x:c r="L406" s="39" t="n">
        <x:v>18504.824999999986</x:v>
      </x:c>
      <x:c r="M406" s="39" t="n">
        <x:v>99</x:v>
      </x:c>
      <x:c r="N406" t="str">
        <x:v>OK</x:v>
      </x:c>
      <x:c r="O406" t="str">
        <x:v>Maintain plan</x:v>
      </x:c>
      <x:c r="P406" s="38" t="n">
        <x:v>0</x:v>
      </x:c>
    </x:row>
    <x:row r="407">
      <x:c r="A407" s="32" t="n">
        <x:v>46293</x:v>
      </x:c>
      <x:c r="B407" s="32" t="n">
        <x:v>46266</x:v>
      </x:c>
      <x:c r="C407" t="str">
        <x:v>Forecast</x:v>
      </x:c>
      <x:c r="D407" t="str">
        <x:v>DB-104</x:v>
      </x:c>
      <x:c r="E407" s="34" t="n">
        <x:v>18504.824999999986</x:v>
      </x:c>
      <x:c r="F407" s="34" t="n">
        <x:v>0</x:v>
      </x:c>
      <x:c r="G407" s="34" t="n">
        <x:v>0</x:v>
      </x:c>
      <x:c r="H407" s="34" t="n">
        <x:v>0</x:v>
      </x:c>
      <x:c r="I407" s="28" t="n">
        <x:v>1</x:v>
      </x:c>
      <x:c r="J407" s="39" t="n">
        <x:v>0</x:v>
      </x:c>
      <x:c r="K407" s="39" t="n">
        <x:v>0</x:v>
      </x:c>
      <x:c r="L407" s="39" t="n">
        <x:v>18504.824999999986</x:v>
      </x:c>
      <x:c r="M407" s="39" t="n">
        <x:v>99</x:v>
      </x:c>
      <x:c r="N407" t="str">
        <x:v>OK</x:v>
      </x:c>
      <x:c r="O407" t="str">
        <x:v>Maintain plan</x:v>
      </x:c>
      <x:c r="P407" s="38" t="n">
        <x:v>0</x:v>
      </x:c>
    </x:row>
    <x:row r="408">
      <x:c r="A408" s="32" t="n">
        <x:v>46300</x:v>
      </x:c>
      <x:c r="B408" s="32" t="n">
        <x:v>46296</x:v>
      </x:c>
      <x:c r="C408" t="str">
        <x:v>Forecast</x:v>
      </x:c>
      <x:c r="D408" t="str">
        <x:v>DB-104</x:v>
      </x:c>
      <x:c r="E408" s="34" t="n">
        <x:v>18504.824999999986</x:v>
      </x:c>
      <x:c r="F408" s="34" t="n">
        <x:v>0</x:v>
      </x:c>
      <x:c r="G408" s="34" t="n">
        <x:v>0</x:v>
      </x:c>
      <x:c r="H408" s="34" t="n">
        <x:v>0</x:v>
      </x:c>
      <x:c r="I408" s="28" t="n">
        <x:v>1</x:v>
      </x:c>
      <x:c r="J408" s="39" t="n">
        <x:v>0</x:v>
      </x:c>
      <x:c r="K408" s="39" t="n">
        <x:v>0</x:v>
      </x:c>
      <x:c r="L408" s="39" t="n">
        <x:v>18504.824999999986</x:v>
      </x:c>
      <x:c r="M408" s="39" t="n">
        <x:v>99</x:v>
      </x:c>
      <x:c r="N408" t="str">
        <x:v>OK</x:v>
      </x:c>
      <x:c r="O408" t="str">
        <x:v>Maintain plan</x:v>
      </x:c>
      <x:c r="P408" s="38" t="n">
        <x:v>0</x:v>
      </x:c>
    </x:row>
    <x:row r="409">
      <x:c r="A409" s="32" t="n">
        <x:v>46307</x:v>
      </x:c>
      <x:c r="B409" s="32" t="n">
        <x:v>46296</x:v>
      </x:c>
      <x:c r="C409" t="str">
        <x:v>Forecast</x:v>
      </x:c>
      <x:c r="D409" t="str">
        <x:v>DB-104</x:v>
      </x:c>
      <x:c r="E409" s="34" t="n">
        <x:v>18504.824999999986</x:v>
      </x:c>
      <x:c r="F409" s="34" t="n">
        <x:v>0</x:v>
      </x:c>
      <x:c r="G409" s="34" t="n">
        <x:v>0</x:v>
      </x:c>
      <x:c r="H409" s="34" t="n">
        <x:v>0</x:v>
      </x:c>
      <x:c r="I409" s="28" t="n">
        <x:v>1</x:v>
      </x:c>
      <x:c r="J409" s="39" t="n">
        <x:v>0</x:v>
      </x:c>
      <x:c r="K409" s="39" t="n">
        <x:v>0</x:v>
      </x:c>
      <x:c r="L409" s="39" t="n">
        <x:v>18504.824999999986</x:v>
      </x:c>
      <x:c r="M409" s="39" t="n">
        <x:v>99</x:v>
      </x:c>
      <x:c r="N409" t="str">
        <x:v>OK</x:v>
      </x:c>
      <x:c r="O409" t="str">
        <x:v>Maintain plan</x:v>
      </x:c>
      <x:c r="P409" s="38" t="n">
        <x:v>0</x:v>
      </x:c>
    </x:row>
    <x:row r="410">
      <x:c r="A410" s="32" t="n">
        <x:v>46314</x:v>
      </x:c>
      <x:c r="B410" s="32" t="n">
        <x:v>46296</x:v>
      </x:c>
      <x:c r="C410" t="str">
        <x:v>Forecast</x:v>
      </x:c>
      <x:c r="D410" t="str">
        <x:v>DB-104</x:v>
      </x:c>
      <x:c r="E410" s="34" t="n">
        <x:v>18504.824999999986</x:v>
      </x:c>
      <x:c r="F410" s="34" t="n">
        <x:v>0</x:v>
      </x:c>
      <x:c r="G410" s="34" t="n">
        <x:v>0</x:v>
      </x:c>
      <x:c r="H410" s="34" t="n">
        <x:v>0</x:v>
      </x:c>
      <x:c r="I410" s="28" t="n">
        <x:v>1</x:v>
      </x:c>
      <x:c r="J410" s="39" t="n">
        <x:v>0</x:v>
      </x:c>
      <x:c r="K410" s="39" t="n">
        <x:v>0</x:v>
      </x:c>
      <x:c r="L410" s="39" t="n">
        <x:v>18504.824999999986</x:v>
      </x:c>
      <x:c r="M410" s="39" t="n">
        <x:v>99</x:v>
      </x:c>
      <x:c r="N410" t="str">
        <x:v>OK</x:v>
      </x:c>
      <x:c r="O410" t="str">
        <x:v>Maintain plan</x:v>
      </x:c>
      <x:c r="P410" s="38" t="n">
        <x:v>0</x:v>
      </x:c>
    </x:row>
    <x:row r="411">
      <x:c r="A411" s="32" t="n">
        <x:v>46321</x:v>
      </x:c>
      <x:c r="B411" s="32" t="n">
        <x:v>46296</x:v>
      </x:c>
      <x:c r="C411" t="str">
        <x:v>Forecast</x:v>
      </x:c>
      <x:c r="D411" t="str">
        <x:v>DB-104</x:v>
      </x:c>
      <x:c r="E411" s="34" t="n">
        <x:v>18504.824999999986</x:v>
      </x:c>
      <x:c r="F411" s="34" t="n">
        <x:v>0</x:v>
      </x:c>
      <x:c r="G411" s="34" t="n">
        <x:v>0</x:v>
      </x:c>
      <x:c r="H411" s="34" t="n">
        <x:v>0</x:v>
      </x:c>
      <x:c r="I411" s="28" t="n">
        <x:v>1</x:v>
      </x:c>
      <x:c r="J411" s="39" t="n">
        <x:v>0</x:v>
      </x:c>
      <x:c r="K411" s="39" t="n">
        <x:v>0</x:v>
      </x:c>
      <x:c r="L411" s="39" t="n">
        <x:v>18504.824999999986</x:v>
      </x:c>
      <x:c r="M411" s="39" t="n">
        <x:v>99</x:v>
      </x:c>
      <x:c r="N411" t="str">
        <x:v>OK</x:v>
      </x:c>
      <x:c r="O411" t="str">
        <x:v>Maintain plan</x:v>
      </x:c>
      <x:c r="P411" s="38" t="n">
        <x:v>0</x:v>
      </x:c>
    </x:row>
    <x:row r="412">
      <x:c r="A412" s="32" t="n">
        <x:v>46328</x:v>
      </x:c>
      <x:c r="B412" s="32" t="n">
        <x:v>46327</x:v>
      </x:c>
      <x:c r="C412" t="str">
        <x:v>Forecast</x:v>
      </x:c>
      <x:c r="D412" t="str">
        <x:v>DB-104</x:v>
      </x:c>
      <x:c r="E412" s="34" t="n">
        <x:v>18504.824999999986</x:v>
      </x:c>
      <x:c r="F412" s="34" t="n">
        <x:v>0</x:v>
      </x:c>
      <x:c r="G412" s="34" t="n">
        <x:v>0</x:v>
      </x:c>
      <x:c r="H412" s="34" t="n">
        <x:v>0</x:v>
      </x:c>
      <x:c r="I412" s="28" t="n">
        <x:v>1</x:v>
      </x:c>
      <x:c r="J412" s="39" t="n">
        <x:v>0</x:v>
      </x:c>
      <x:c r="K412" s="39" t="n">
        <x:v>0</x:v>
      </x:c>
      <x:c r="L412" s="39" t="n">
        <x:v>18504.824999999986</x:v>
      </x:c>
      <x:c r="M412" s="39" t="n">
        <x:v>99</x:v>
      </x:c>
      <x:c r="N412" t="str">
        <x:v>OK</x:v>
      </x:c>
      <x:c r="O412" t="str">
        <x:v>Maintain plan</x:v>
      </x:c>
      <x:c r="P412" s="38" t="n">
        <x:v>0</x:v>
      </x:c>
    </x:row>
    <x:row r="413">
      <x:c r="A413" s="32" t="n">
        <x:v>46335</x:v>
      </x:c>
      <x:c r="B413" s="32" t="n">
        <x:v>46327</x:v>
      </x:c>
      <x:c r="C413" t="str">
        <x:v>Forecast</x:v>
      </x:c>
      <x:c r="D413" t="str">
        <x:v>DB-104</x:v>
      </x:c>
      <x:c r="E413" s="34" t="n">
        <x:v>18504.824999999986</x:v>
      </x:c>
      <x:c r="F413" s="34" t="n">
        <x:v>0</x:v>
      </x:c>
      <x:c r="G413" s="34" t="n">
        <x:v>0</x:v>
      </x:c>
      <x:c r="H413" s="34" t="n">
        <x:v>0</x:v>
      </x:c>
      <x:c r="I413" s="28" t="n">
        <x:v>1</x:v>
      </x:c>
      <x:c r="J413" s="39" t="n">
        <x:v>0</x:v>
      </x:c>
      <x:c r="K413" s="39" t="n">
        <x:v>0</x:v>
      </x:c>
      <x:c r="L413" s="39" t="n">
        <x:v>18504.824999999986</x:v>
      </x:c>
      <x:c r="M413" s="39" t="n">
        <x:v>99</x:v>
      </x:c>
      <x:c r="N413" t="str">
        <x:v>OK</x:v>
      </x:c>
      <x:c r="O413" t="str">
        <x:v>Maintain plan</x:v>
      </x:c>
      <x:c r="P413" s="38" t="n">
        <x:v>0</x:v>
      </x:c>
    </x:row>
    <x:row r="414">
      <x:c r="A414" s="32" t="n">
        <x:v>46342</x:v>
      </x:c>
      <x:c r="B414" s="32" t="n">
        <x:v>46327</x:v>
      </x:c>
      <x:c r="C414" t="str">
        <x:v>Forecast</x:v>
      </x:c>
      <x:c r="D414" t="str">
        <x:v>DB-104</x:v>
      </x:c>
      <x:c r="E414" s="34" t="n">
        <x:v>18504.824999999986</x:v>
      </x:c>
      <x:c r="F414" s="34" t="n">
        <x:v>0</x:v>
      </x:c>
      <x:c r="G414" s="34" t="n">
        <x:v>0</x:v>
      </x:c>
      <x:c r="H414" s="34" t="n">
        <x:v>0</x:v>
      </x:c>
      <x:c r="I414" s="28" t="n">
        <x:v>1</x:v>
      </x:c>
      <x:c r="J414" s="39" t="n">
        <x:v>0</x:v>
      </x:c>
      <x:c r="K414" s="39" t="n">
        <x:v>0</x:v>
      </x:c>
      <x:c r="L414" s="39" t="n">
        <x:v>18504.824999999986</x:v>
      </x:c>
      <x:c r="M414" s="39" t="n">
        <x:v>99</x:v>
      </x:c>
      <x:c r="N414" t="str">
        <x:v>OK</x:v>
      </x:c>
      <x:c r="O414" t="str">
        <x:v>Maintain plan</x:v>
      </x:c>
      <x:c r="P414" s="38" t="n">
        <x:v>0</x:v>
      </x:c>
    </x:row>
    <x:row r="415">
      <x:c r="A415" s="32" t="n">
        <x:v>46349</x:v>
      </x:c>
      <x:c r="B415" s="32" t="n">
        <x:v>46327</x:v>
      </x:c>
      <x:c r="C415" t="str">
        <x:v>Forecast</x:v>
      </x:c>
      <x:c r="D415" t="str">
        <x:v>DB-104</x:v>
      </x:c>
      <x:c r="E415" s="34" t="n">
        <x:v>18504.824999999986</x:v>
      </x:c>
      <x:c r="F415" s="34" t="n">
        <x:v>0</x:v>
      </x:c>
      <x:c r="G415" s="34" t="n">
        <x:v>0</x:v>
      </x:c>
      <x:c r="H415" s="34" t="n">
        <x:v>0</x:v>
      </x:c>
      <x:c r="I415" s="28" t="n">
        <x:v>1</x:v>
      </x:c>
      <x:c r="J415" s="39" t="n">
        <x:v>0</x:v>
      </x:c>
      <x:c r="K415" s="39" t="n">
        <x:v>0</x:v>
      </x:c>
      <x:c r="L415" s="39" t="n">
        <x:v>18504.824999999986</x:v>
      </x:c>
      <x:c r="M415" s="39" t="n">
        <x:v>99</x:v>
      </x:c>
      <x:c r="N415" t="str">
        <x:v>OK</x:v>
      </x:c>
      <x:c r="O415" t="str">
        <x:v>Maintain plan</x:v>
      </x:c>
      <x:c r="P415" s="38" t="n">
        <x:v>0</x:v>
      </x:c>
    </x:row>
    <x:row r="416">
      <x:c r="A416" s="32" t="n">
        <x:v>46356</x:v>
      </x:c>
      <x:c r="B416" s="32" t="n">
        <x:v>46327</x:v>
      </x:c>
      <x:c r="C416" t="str">
        <x:v>Forecast</x:v>
      </x:c>
      <x:c r="D416" t="str">
        <x:v>DB-104</x:v>
      </x:c>
      <x:c r="E416" s="34" t="n">
        <x:v>18504.824999999986</x:v>
      </x:c>
      <x:c r="F416" s="34" t="n">
        <x:v>0</x:v>
      </x:c>
      <x:c r="G416" s="34" t="n">
        <x:v>0</x:v>
      </x:c>
      <x:c r="H416" s="34" t="n">
        <x:v>0</x:v>
      </x:c>
      <x:c r="I416" s="28" t="n">
        <x:v>1</x:v>
      </x:c>
      <x:c r="J416" s="39" t="n">
        <x:v>0</x:v>
      </x:c>
      <x:c r="K416" s="39" t="n">
        <x:v>0</x:v>
      </x:c>
      <x:c r="L416" s="39" t="n">
        <x:v>18504.824999999986</x:v>
      </x:c>
      <x:c r="M416" s="39" t="n">
        <x:v>99</x:v>
      </x:c>
      <x:c r="N416" t="str">
        <x:v>OK</x:v>
      </x:c>
      <x:c r="O416" t="str">
        <x:v>Maintain plan</x:v>
      </x:c>
      <x:c r="P416" s="38" t="n">
        <x:v>0</x:v>
      </x:c>
    </x:row>
    <x:row r="417">
      <x:c r="A417" s="32" t="n">
        <x:v>46363</x:v>
      </x:c>
      <x:c r="B417" s="32" t="n">
        <x:v>46357</x:v>
      </x:c>
      <x:c r="C417" t="str">
        <x:v>Forecast</x:v>
      </x:c>
      <x:c r="D417" t="str">
        <x:v>DB-104</x:v>
      </x:c>
      <x:c r="E417" s="34" t="n">
        <x:v>18504.824999999986</x:v>
      </x:c>
      <x:c r="F417" s="34" t="n">
        <x:v>0</x:v>
      </x:c>
      <x:c r="G417" s="34" t="n">
        <x:v>0</x:v>
      </x:c>
      <x:c r="H417" s="34" t="n">
        <x:v>0</x:v>
      </x:c>
      <x:c r="I417" s="28" t="n">
        <x:v>1</x:v>
      </x:c>
      <x:c r="J417" s="39" t="n">
        <x:v>0</x:v>
      </x:c>
      <x:c r="K417" s="39" t="n">
        <x:v>0</x:v>
      </x:c>
      <x:c r="L417" s="39" t="n">
        <x:v>18504.824999999986</x:v>
      </x:c>
      <x:c r="M417" s="39" t="n">
        <x:v>99</x:v>
      </x:c>
      <x:c r="N417" t="str">
        <x:v>OK</x:v>
      </x:c>
      <x:c r="O417" t="str">
        <x:v>Maintain plan</x:v>
      </x:c>
      <x:c r="P417" s="38" t="n">
        <x:v>0</x:v>
      </x:c>
    </x:row>
    <x:row r="418">
      <x:c r="A418" s="32" t="n">
        <x:v>46370</x:v>
      </x:c>
      <x:c r="B418" s="32" t="n">
        <x:v>46357</x:v>
      </x:c>
      <x:c r="C418" t="str">
        <x:v>Forecast</x:v>
      </x:c>
      <x:c r="D418" t="str">
        <x:v>DB-104</x:v>
      </x:c>
      <x:c r="E418" s="34" t="n">
        <x:v>18504.824999999986</x:v>
      </x:c>
      <x:c r="F418" s="34" t="n">
        <x:v>0</x:v>
      </x:c>
      <x:c r="G418" s="34" t="n">
        <x:v>0</x:v>
      </x:c>
      <x:c r="H418" s="34" t="n">
        <x:v>0</x:v>
      </x:c>
      <x:c r="I418" s="28" t="n">
        <x:v>1</x:v>
      </x:c>
      <x:c r="J418" s="39" t="n">
        <x:v>0</x:v>
      </x:c>
      <x:c r="K418" s="39" t="n">
        <x:v>0</x:v>
      </x:c>
      <x:c r="L418" s="39" t="n">
        <x:v>18504.824999999986</x:v>
      </x:c>
      <x:c r="M418" s="39" t="n">
        <x:v>99</x:v>
      </x:c>
      <x:c r="N418" t="str">
        <x:v>OK</x:v>
      </x:c>
      <x:c r="O418" t="str">
        <x:v>Maintain plan</x:v>
      </x:c>
      <x:c r="P418" s="38" t="n">
        <x:v>0</x:v>
      </x:c>
    </x:row>
    <x:row r="419">
      <x:c r="A419" s="32" t="n">
        <x:v>46377</x:v>
      </x:c>
      <x:c r="B419" s="32" t="n">
        <x:v>46357</x:v>
      </x:c>
      <x:c r="C419" t="str">
        <x:v>Forecast</x:v>
      </x:c>
      <x:c r="D419" t="str">
        <x:v>DB-104</x:v>
      </x:c>
      <x:c r="E419" s="34" t="n">
        <x:v>18504.824999999986</x:v>
      </x:c>
      <x:c r="F419" s="34" t="n">
        <x:v>0</x:v>
      </x:c>
      <x:c r="G419" s="34" t="n">
        <x:v>0</x:v>
      </x:c>
      <x:c r="H419" s="34" t="n">
        <x:v>0</x:v>
      </x:c>
      <x:c r="I419" s="28" t="n">
        <x:v>1</x:v>
      </x:c>
      <x:c r="J419" s="39" t="n">
        <x:v>0</x:v>
      </x:c>
      <x:c r="K419" s="39" t="n">
        <x:v>0</x:v>
      </x:c>
      <x:c r="L419" s="39" t="n">
        <x:v>18504.824999999986</x:v>
      </x:c>
      <x:c r="M419" s="39" t="n">
        <x:v>99</x:v>
      </x:c>
      <x:c r="N419" t="str">
        <x:v>OK</x:v>
      </x:c>
      <x:c r="O419" t="str">
        <x:v>Maintain plan</x:v>
      </x:c>
      <x:c r="P419" s="38" t="n">
        <x:v>0</x:v>
      </x:c>
    </x:row>
    <x:row r="420">
      <x:c r="A420" s="32" t="n">
        <x:v>46384</x:v>
      </x:c>
      <x:c r="B420" s="32" t="n">
        <x:v>46357</x:v>
      </x:c>
      <x:c r="C420" t="str">
        <x:v>Forecast</x:v>
      </x:c>
      <x:c r="D420" t="str">
        <x:v>DB-104</x:v>
      </x:c>
      <x:c r="E420" s="34" t="n">
        <x:v>18504.824999999986</x:v>
      </x:c>
      <x:c r="F420" s="34" t="n">
        <x:v>0</x:v>
      </x:c>
      <x:c r="G420" s="34" t="n">
        <x:v>0</x:v>
      </x:c>
      <x:c r="H420" s="34" t="n">
        <x:v>0</x:v>
      </x:c>
      <x:c r="I420" s="28" t="n">
        <x:v>1</x:v>
      </x:c>
      <x:c r="J420" s="39" t="n">
        <x:v>0</x:v>
      </x:c>
      <x:c r="K420" s="39" t="n">
        <x:v>0</x:v>
      </x:c>
      <x:c r="L420" s="39" t="n">
        <x:v>18504.824999999986</x:v>
      </x:c>
      <x:c r="M420" s="39" t="n">
        <x:v>99</x:v>
      </x:c>
      <x:c r="N420" t="str">
        <x:v>OK</x:v>
      </x:c>
      <x:c r="O420" t="str">
        <x:v>Maintain plan</x:v>
      </x:c>
      <x:c r="P420" s="38" t="n">
        <x:v>0</x:v>
      </x:c>
    </x:row>
    <x:row r="421">
      <x:c r="A421" s="32" t="n">
        <x:v>45663</x:v>
      </x:c>
      <x:c r="B421" s="32" t="n">
        <x:v>45658</x:v>
      </x:c>
      <x:c r="C421" t="str">
        <x:v>Actual</x:v>
      </x:c>
      <x:c r="D421" t="str">
        <x:v>DB-105</x:v>
      </x:c>
      <x:c r="E421" s="34" t="n">
        <x:v>8500</x:v>
      </x:c>
      <x:c r="F421" s="34" t="n">
        <x:v>6000</x:v>
      </x:c>
      <x:c r="G421" s="34" t="n">
        <x:v>266</x:v>
      </x:c>
      <x:c r="H421" s="34" t="n">
        <x:v>266</x:v>
      </x:c>
      <x:c r="I421" s="28" t="n">
        <x:v>1</x:v>
      </x:c>
      <x:c r="J421" s="39" t="n">
        <x:v>266</x:v>
      </x:c>
      <x:c r="K421" s="39" t="n">
        <x:v>2.66</x:v>
      </x:c>
      <x:c r="L421" s="39" t="n">
        <x:v>14236.66</x:v>
      </x:c>
      <x:c r="M421" s="39" t="n">
        <x:v>53.52127819548872</x:v>
      </x:c>
      <x:c r="N421" t="str">
        <x:v>OK</x:v>
      </x:c>
      <x:c r="O421" t="str">
        <x:v>Maintain plan</x:v>
      </x:c>
      <x:c r="P421" s="38" t="n">
        <x:v>111.72</x:v>
      </x:c>
    </x:row>
    <x:row r="422">
      <x:c r="A422" s="32" t="n">
        <x:v>45670</x:v>
      </x:c>
      <x:c r="B422" s="32" t="n">
        <x:v>45658</x:v>
      </x:c>
      <x:c r="C422" t="str">
        <x:v>Actual</x:v>
      </x:c>
      <x:c r="D422" t="str">
        <x:v>DB-105</x:v>
      </x:c>
      <x:c r="E422" s="34" t="n">
        <x:v>14236.66</x:v>
      </x:c>
      <x:c r="F422" s="34" t="n">
        <x:v>0</x:v>
      </x:c>
      <x:c r="G422" s="34" t="n">
        <x:v>268</x:v>
      </x:c>
      <x:c r="H422" s="34" t="n">
        <x:v>268</x:v>
      </x:c>
      <x:c r="I422" s="28" t="n">
        <x:v>1</x:v>
      </x:c>
      <x:c r="J422" s="39" t="n">
        <x:v>268</x:v>
      </x:c>
      <x:c r="K422" s="39" t="n">
        <x:v>2.68</x:v>
      </x:c>
      <x:c r="L422" s="39" t="n">
        <x:v>13971.34</x:v>
      </x:c>
      <x:c r="M422" s="39" t="n">
        <x:v>52.13186567164179</x:v>
      </x:c>
      <x:c r="N422" t="str">
        <x:v>OK</x:v>
      </x:c>
      <x:c r="O422" t="str">
        <x:v>Maintain plan</x:v>
      </x:c>
      <x:c r="P422" s="38" t="n">
        <x:v>0</x:v>
      </x:c>
    </x:row>
    <x:row r="423">
      <x:c r="A423" s="32" t="n">
        <x:v>45677</x:v>
      </x:c>
      <x:c r="B423" s="32" t="n">
        <x:v>45658</x:v>
      </x:c>
      <x:c r="C423" t="str">
        <x:v>Actual</x:v>
      </x:c>
      <x:c r="D423" t="str">
        <x:v>DB-105</x:v>
      </x:c>
      <x:c r="E423" s="34" t="n">
        <x:v>13971.34</x:v>
      </x:c>
      <x:c r="F423" s="34" t="n">
        <x:v>0</x:v>
      </x:c>
      <x:c r="G423" s="34" t="n">
        <x:v>269</x:v>
      </x:c>
      <x:c r="H423" s="34" t="n">
        <x:v>269</x:v>
      </x:c>
      <x:c r="I423" s="28" t="n">
        <x:v>1</x:v>
      </x:c>
      <x:c r="J423" s="39" t="n">
        <x:v>269</x:v>
      </x:c>
      <x:c r="K423" s="39" t="n">
        <x:v>2.69</x:v>
      </x:c>
      <x:c r="L423" s="39" t="n">
        <x:v>13705.03</x:v>
      </x:c>
      <x:c r="M423" s="39" t="n">
        <x:v>50.94806691449814</x:v>
      </x:c>
      <x:c r="N423" t="str">
        <x:v>OK</x:v>
      </x:c>
      <x:c r="O423" t="str">
        <x:v>Maintain plan</x:v>
      </x:c>
      <x:c r="P423" s="38" t="n">
        <x:v>0</x:v>
      </x:c>
    </x:row>
    <x:row r="424">
      <x:c r="A424" s="32" t="n">
        <x:v>45684</x:v>
      </x:c>
      <x:c r="B424" s="32" t="n">
        <x:v>45658</x:v>
      </x:c>
      <x:c r="C424" t="str">
        <x:v>Actual</x:v>
      </x:c>
      <x:c r="D424" t="str">
        <x:v>DB-105</x:v>
      </x:c>
      <x:c r="E424" s="34" t="n">
        <x:v>13705.03</x:v>
      </x:c>
      <x:c r="F424" s="34" t="n">
        <x:v>0</x:v>
      </x:c>
      <x:c r="G424" s="34" t="n">
        <x:v>269</x:v>
      </x:c>
      <x:c r="H424" s="34" t="n">
        <x:v>269</x:v>
      </x:c>
      <x:c r="I424" s="28" t="n">
        <x:v>1</x:v>
      </x:c>
      <x:c r="J424" s="39" t="n">
        <x:v>269</x:v>
      </x:c>
      <x:c r="K424" s="39" t="n">
        <x:v>2.69</x:v>
      </x:c>
      <x:c r="L424" s="39" t="n">
        <x:v>13438.720000000001</x:v>
      </x:c>
      <x:c r="M424" s="39" t="n">
        <x:v>49.95806691449815</x:v>
      </x:c>
      <x:c r="N424" t="str">
        <x:v>OK</x:v>
      </x:c>
      <x:c r="O424" t="str">
        <x:v>Maintain plan</x:v>
      </x:c>
      <x:c r="P424" s="38" t="n">
        <x:v>0</x:v>
      </x:c>
    </x:row>
    <x:row r="425">
      <x:c r="A425" s="32" t="n">
        <x:v>45691</x:v>
      </x:c>
      <x:c r="B425" s="32" t="n">
        <x:v>45689</x:v>
      </x:c>
      <x:c r="C425" t="str">
        <x:v>Actual</x:v>
      </x:c>
      <x:c r="D425" t="str">
        <x:v>DB-105</x:v>
      </x:c>
      <x:c r="E425" s="34" t="n">
        <x:v>13438.720000000001</x:v>
      </x:c>
      <x:c r="F425" s="34" t="n">
        <x:v>0</x:v>
      </x:c>
      <x:c r="G425" s="34" t="n">
        <x:v>271</x:v>
      </x:c>
      <x:c r="H425" s="34" t="n">
        <x:v>271</x:v>
      </x:c>
      <x:c r="I425" s="28" t="n">
        <x:v>1</x:v>
      </x:c>
      <x:c r="J425" s="39" t="n">
        <x:v>271</x:v>
      </x:c>
      <x:c r="K425" s="39" t="n">
        <x:v>2.71</x:v>
      </x:c>
      <x:c r="L425" s="39" t="n">
        <x:v>13170.43</x:v>
      </x:c>
      <x:c r="M425" s="39" t="n">
        <x:v>48.59937269372694</x:v>
      </x:c>
      <x:c r="N425" t="str">
        <x:v>OK</x:v>
      </x:c>
      <x:c r="O425" t="str">
        <x:v>Maintain plan</x:v>
      </x:c>
      <x:c r="P425" s="38" t="n">
        <x:v>0</x:v>
      </x:c>
    </x:row>
    <x:row r="426">
      <x:c r="A426" s="32" t="n">
        <x:v>45698</x:v>
      </x:c>
      <x:c r="B426" s="32" t="n">
        <x:v>45689</x:v>
      </x:c>
      <x:c r="C426" t="str">
        <x:v>Actual</x:v>
      </x:c>
      <x:c r="D426" t="str">
        <x:v>DB-105</x:v>
      </x:c>
      <x:c r="E426" s="34" t="n">
        <x:v>13170.43</x:v>
      </x:c>
      <x:c r="F426" s="34" t="n">
        <x:v>0</x:v>
      </x:c>
      <x:c r="G426" s="34" t="n">
        <x:v>271</x:v>
      </x:c>
      <x:c r="H426" s="34" t="n">
        <x:v>271</x:v>
      </x:c>
      <x:c r="I426" s="28" t="n">
        <x:v>1</x:v>
      </x:c>
      <x:c r="J426" s="39" t="n">
        <x:v>271</x:v>
      </x:c>
      <x:c r="K426" s="39" t="n">
        <x:v>2.71</x:v>
      </x:c>
      <x:c r="L426" s="39" t="n">
        <x:v>12902.14</x:v>
      </x:c>
      <x:c r="M426" s="39" t="n">
        <x:v>47.60937269372693</x:v>
      </x:c>
      <x:c r="N426" t="str">
        <x:v>OK</x:v>
      </x:c>
      <x:c r="O426" t="str">
        <x:v>Maintain plan</x:v>
      </x:c>
      <x:c r="P426" s="38" t="n">
        <x:v>0</x:v>
      </x:c>
    </x:row>
    <x:row r="427">
      <x:c r="A427" s="32" t="n">
        <x:v>45705</x:v>
      </x:c>
      <x:c r="B427" s="32" t="n">
        <x:v>45689</x:v>
      </x:c>
      <x:c r="C427" t="str">
        <x:v>Actual</x:v>
      </x:c>
      <x:c r="D427" t="str">
        <x:v>DB-105</x:v>
      </x:c>
      <x:c r="E427" s="34" t="n">
        <x:v>12902.14</x:v>
      </x:c>
      <x:c r="F427" s="34" t="n">
        <x:v>0</x:v>
      </x:c>
      <x:c r="G427" s="34" t="n">
        <x:v>272</x:v>
      </x:c>
      <x:c r="H427" s="34" t="n">
        <x:v>272</x:v>
      </x:c>
      <x:c r="I427" s="28" t="n">
        <x:v>1</x:v>
      </x:c>
      <x:c r="J427" s="39" t="n">
        <x:v>272</x:v>
      </x:c>
      <x:c r="K427" s="39" t="n">
        <x:v>2.72</x:v>
      </x:c>
      <x:c r="L427" s="39" t="n">
        <x:v>12632.859999999999</x:v>
      </x:c>
      <x:c r="M427" s="39" t="n">
        <x:v>46.44433823529411</x:v>
      </x:c>
      <x:c r="N427" t="str">
        <x:v>OK</x:v>
      </x:c>
      <x:c r="O427" t="str">
        <x:v>Maintain plan</x:v>
      </x:c>
      <x:c r="P427" s="38" t="n">
        <x:v>0</x:v>
      </x:c>
    </x:row>
    <x:row r="428">
      <x:c r="A428" s="32" t="n">
        <x:v>45712</x:v>
      </x:c>
      <x:c r="B428" s="32" t="n">
        <x:v>45689</x:v>
      </x:c>
      <x:c r="C428" t="str">
        <x:v>Actual</x:v>
      </x:c>
      <x:c r="D428" t="str">
        <x:v>DB-105</x:v>
      </x:c>
      <x:c r="E428" s="34" t="n">
        <x:v>12632.859999999999</x:v>
      </x:c>
      <x:c r="F428" s="34" t="n">
        <x:v>0</x:v>
      </x:c>
      <x:c r="G428" s="34" t="n">
        <x:v>274</x:v>
      </x:c>
      <x:c r="H428" s="34" t="n">
        <x:v>274</x:v>
      </x:c>
      <x:c r="I428" s="28" t="n">
        <x:v>1</x:v>
      </x:c>
      <x:c r="J428" s="39" t="n">
        <x:v>274</x:v>
      </x:c>
      <x:c r="K428" s="39" t="n">
        <x:v>2.74</x:v>
      </x:c>
      <x:c r="L428" s="39" t="n">
        <x:v>12361.599999999999</x:v>
      </x:c>
      <x:c r="M428" s="39" t="n">
        <x:v>45.115328467153276</x:v>
      </x:c>
      <x:c r="N428" t="str">
        <x:v>OK</x:v>
      </x:c>
      <x:c r="O428" t="str">
        <x:v>Maintain plan</x:v>
      </x:c>
      <x:c r="P428" s="38" t="n">
        <x:v>0</x:v>
      </x:c>
    </x:row>
    <x:row r="429">
      <x:c r="A429" s="32" t="n">
        <x:v>45719</x:v>
      </x:c>
      <x:c r="B429" s="32" t="n">
        <x:v>45717</x:v>
      </x:c>
      <x:c r="C429" t="str">
        <x:v>Actual</x:v>
      </x:c>
      <x:c r="D429" t="str">
        <x:v>DB-105</x:v>
      </x:c>
      <x:c r="E429" s="34" t="n">
        <x:v>12361.599999999999</x:v>
      </x:c>
      <x:c r="F429" s="34" t="n">
        <x:v>6000</x:v>
      </x:c>
      <x:c r="G429" s="34" t="n">
        <x:v>276</x:v>
      </x:c>
      <x:c r="H429" s="34" t="n">
        <x:v>276</x:v>
      </x:c>
      <x:c r="I429" s="28" t="n">
        <x:v>1</x:v>
      </x:c>
      <x:c r="J429" s="39" t="n">
        <x:v>276</x:v>
      </x:c>
      <x:c r="K429" s="39" t="n">
        <x:v>2.7600000000000002</x:v>
      </x:c>
      <x:c r="L429" s="39" t="n">
        <x:v>18088.359999999997</x:v>
      </x:c>
      <x:c r="M429" s="39" t="n">
        <x:v>65.53753623188405</x:v>
      </x:c>
      <x:c r="N429" t="str">
        <x:v>OK</x:v>
      </x:c>
      <x:c r="O429" t="str">
        <x:v>Maintain plan</x:v>
      </x:c>
      <x:c r="P429" s="38" t="n">
        <x:v>111.72</x:v>
      </x:c>
    </x:row>
    <x:row r="430">
      <x:c r="A430" s="32" t="n">
        <x:v>45726</x:v>
      </x:c>
      <x:c r="B430" s="32" t="n">
        <x:v>45717</x:v>
      </x:c>
      <x:c r="C430" t="str">
        <x:v>Actual</x:v>
      </x:c>
      <x:c r="D430" t="str">
        <x:v>DB-105</x:v>
      </x:c>
      <x:c r="E430" s="34" t="n">
        <x:v>18088.359999999997</x:v>
      </x:c>
      <x:c r="F430" s="34" t="n">
        <x:v>0</x:v>
      </x:c>
      <x:c r="G430" s="34" t="n">
        <x:v>277</x:v>
      </x:c>
      <x:c r="H430" s="34" t="n">
        <x:v>277</x:v>
      </x:c>
      <x:c r="I430" s="28" t="n">
        <x:v>1</x:v>
      </x:c>
      <x:c r="J430" s="39" t="n">
        <x:v>277</x:v>
      </x:c>
      <x:c r="K430" s="39" t="n">
        <x:v>2.77</x:v>
      </x:c>
      <x:c r="L430" s="39" t="n">
        <x:v>17814.129999999997</x:v>
      </x:c>
      <x:c r="M430" s="39" t="n">
        <x:v>64.31093862815884</x:v>
      </x:c>
      <x:c r="N430" t="str">
        <x:v>OK</x:v>
      </x:c>
      <x:c r="O430" t="str">
        <x:v>Maintain plan</x:v>
      </x:c>
      <x:c r="P430" s="38" t="n">
        <x:v>0</x:v>
      </x:c>
    </x:row>
    <x:row r="431">
      <x:c r="A431" s="32" t="n">
        <x:v>45733</x:v>
      </x:c>
      <x:c r="B431" s="32" t="n">
        <x:v>45717</x:v>
      </x:c>
      <x:c r="C431" t="str">
        <x:v>Actual</x:v>
      </x:c>
      <x:c r="D431" t="str">
        <x:v>DB-105</x:v>
      </x:c>
      <x:c r="E431" s="34" t="n">
        <x:v>17814.129999999997</x:v>
      </x:c>
      <x:c r="F431" s="34" t="n">
        <x:v>0</x:v>
      </x:c>
      <x:c r="G431" s="34" t="n">
        <x:v>277</x:v>
      </x:c>
      <x:c r="H431" s="34" t="n">
        <x:v>277</x:v>
      </x:c>
      <x:c r="I431" s="28" t="n">
        <x:v>1</x:v>
      </x:c>
      <x:c r="J431" s="39" t="n">
        <x:v>277</x:v>
      </x:c>
      <x:c r="K431" s="39" t="n">
        <x:v>2.77</x:v>
      </x:c>
      <x:c r="L431" s="39" t="n">
        <x:v>17539.899999999998</x:v>
      </x:c>
      <x:c r="M431" s="39" t="n">
        <x:v>63.320938628158835</x:v>
      </x:c>
      <x:c r="N431" t="str">
        <x:v>OK</x:v>
      </x:c>
      <x:c r="O431" t="str">
        <x:v>Maintain plan</x:v>
      </x:c>
      <x:c r="P431" s="38" t="n">
        <x:v>0</x:v>
      </x:c>
    </x:row>
    <x:row r="432">
      <x:c r="A432" s="32" t="n">
        <x:v>45740</x:v>
      </x:c>
      <x:c r="B432" s="32" t="n">
        <x:v>45717</x:v>
      </x:c>
      <x:c r="C432" t="str">
        <x:v>Actual</x:v>
      </x:c>
      <x:c r="D432" t="str">
        <x:v>DB-105</x:v>
      </x:c>
      <x:c r="E432" s="34" t="n">
        <x:v>17539.899999999998</x:v>
      </x:c>
      <x:c r="F432" s="34" t="n">
        <x:v>0</x:v>
      </x:c>
      <x:c r="G432" s="34" t="n">
        <x:v>279</x:v>
      </x:c>
      <x:c r="H432" s="34" t="n">
        <x:v>279</x:v>
      </x:c>
      <x:c r="I432" s="28" t="n">
        <x:v>1</x:v>
      </x:c>
      <x:c r="J432" s="39" t="n">
        <x:v>279</x:v>
      </x:c>
      <x:c r="K432" s="39" t="n">
        <x:v>2.79</x:v>
      </x:c>
      <x:c r="L432" s="39" t="n">
        <x:v>17263.69</x:v>
      </x:c>
      <x:c r="M432" s="39" t="n">
        <x:v>61.87702508960573</x:v>
      </x:c>
      <x:c r="N432" t="str">
        <x:v>OK</x:v>
      </x:c>
      <x:c r="O432" t="str">
        <x:v>Maintain plan</x:v>
      </x:c>
      <x:c r="P432" s="38" t="n">
        <x:v>0</x:v>
      </x:c>
    </x:row>
    <x:row r="433">
      <x:c r="A433" s="32" t="n">
        <x:v>45747</x:v>
      </x:c>
      <x:c r="B433" s="32" t="n">
        <x:v>45717</x:v>
      </x:c>
      <x:c r="C433" t="str">
        <x:v>Actual</x:v>
      </x:c>
      <x:c r="D433" t="str">
        <x:v>DB-105</x:v>
      </x:c>
      <x:c r="E433" s="34" t="n">
        <x:v>17263.69</x:v>
      </x:c>
      <x:c r="F433" s="34" t="n">
        <x:v>0</x:v>
      </x:c>
      <x:c r="G433" s="34" t="n">
        <x:v>279</x:v>
      </x:c>
      <x:c r="H433" s="34" t="n">
        <x:v>279</x:v>
      </x:c>
      <x:c r="I433" s="28" t="n">
        <x:v>1</x:v>
      </x:c>
      <x:c r="J433" s="39" t="n">
        <x:v>279</x:v>
      </x:c>
      <x:c r="K433" s="39" t="n">
        <x:v>2.79</x:v>
      </x:c>
      <x:c r="L433" s="39" t="n">
        <x:v>16987.48</x:v>
      </x:c>
      <x:c r="M433" s="39" t="n">
        <x:v>60.887025089605736</x:v>
      </x:c>
      <x:c r="N433" t="str">
        <x:v>OK</x:v>
      </x:c>
      <x:c r="O433" t="str">
        <x:v>Maintain plan</x:v>
      </x:c>
      <x:c r="P433" s="38" t="n">
        <x:v>0</x:v>
      </x:c>
    </x:row>
    <x:row r="434">
      <x:c r="A434" s="32" t="n">
        <x:v>45754</x:v>
      </x:c>
      <x:c r="B434" s="32" t="n">
        <x:v>45748</x:v>
      </x:c>
      <x:c r="C434" t="str">
        <x:v>Actual</x:v>
      </x:c>
      <x:c r="D434" t="str">
        <x:v>DB-105</x:v>
      </x:c>
      <x:c r="E434" s="34" t="n">
        <x:v>16987.48</x:v>
      </x:c>
      <x:c r="F434" s="34" t="n">
        <x:v>0</x:v>
      </x:c>
      <x:c r="G434" s="34" t="n">
        <x:v>280</x:v>
      </x:c>
      <x:c r="H434" s="34" t="n">
        <x:v>280</x:v>
      </x:c>
      <x:c r="I434" s="28" t="n">
        <x:v>1</x:v>
      </x:c>
      <x:c r="J434" s="39" t="n">
        <x:v>280</x:v>
      </x:c>
      <x:c r="K434" s="39" t="n">
        <x:v>2.8000000000000003</x:v>
      </x:c>
      <x:c r="L434" s="39" t="n">
        <x:v>16710.28</x:v>
      </x:c>
      <x:c r="M434" s="39" t="n">
        <x:v>59.67957142857142</x:v>
      </x:c>
      <x:c r="N434" t="str">
        <x:v>OK</x:v>
      </x:c>
      <x:c r="O434" t="str">
        <x:v>Maintain plan</x:v>
      </x:c>
      <x:c r="P434" s="38" t="n">
        <x:v>0</x:v>
      </x:c>
    </x:row>
    <x:row r="435">
      <x:c r="A435" s="32" t="n">
        <x:v>45761</x:v>
      </x:c>
      <x:c r="B435" s="32" t="n">
        <x:v>45748</x:v>
      </x:c>
      <x:c r="C435" t="str">
        <x:v>Actual</x:v>
      </x:c>
      <x:c r="D435" t="str">
        <x:v>DB-105</x:v>
      </x:c>
      <x:c r="E435" s="34" t="n">
        <x:v>16710.28</x:v>
      </x:c>
      <x:c r="F435" s="34" t="n">
        <x:v>0</x:v>
      </x:c>
      <x:c r="G435" s="34" t="n">
        <x:v>281</x:v>
      </x:c>
      <x:c r="H435" s="34" t="n">
        <x:v>281</x:v>
      </x:c>
      <x:c r="I435" s="28" t="n">
        <x:v>1</x:v>
      </x:c>
      <x:c r="J435" s="39" t="n">
        <x:v>281</x:v>
      </x:c>
      <x:c r="K435" s="39" t="n">
        <x:v>2.81</x:v>
      </x:c>
      <x:c r="L435" s="39" t="n">
        <x:v>16432.09</x:v>
      </x:c>
      <x:c r="M435" s="39" t="n">
        <x:v>58.477188612099646</x:v>
      </x:c>
      <x:c r="N435" t="str">
        <x:v>OK</x:v>
      </x:c>
      <x:c r="O435" t="str">
        <x:v>Maintain plan</x:v>
      </x:c>
      <x:c r="P435" s="38" t="n">
        <x:v>0</x:v>
      </x:c>
    </x:row>
    <x:row r="436">
      <x:c r="A436" s="32" t="n">
        <x:v>45768</x:v>
      </x:c>
      <x:c r="B436" s="32" t="n">
        <x:v>45748</x:v>
      </x:c>
      <x:c r="C436" t="str">
        <x:v>Actual</x:v>
      </x:c>
      <x:c r="D436" t="str">
        <x:v>DB-105</x:v>
      </x:c>
      <x:c r="E436" s="34" t="n">
        <x:v>16432.09</x:v>
      </x:c>
      <x:c r="F436" s="34" t="n">
        <x:v>0</x:v>
      </x:c>
      <x:c r="G436" s="34" t="n">
        <x:v>283</x:v>
      </x:c>
      <x:c r="H436" s="34" t="n">
        <x:v>283</x:v>
      </x:c>
      <x:c r="I436" s="28" t="n">
        <x:v>1</x:v>
      </x:c>
      <x:c r="J436" s="39" t="n">
        <x:v>283</x:v>
      </x:c>
      <x:c r="K436" s="39" t="n">
        <x:v>2.83</x:v>
      </x:c>
      <x:c r="L436" s="39" t="n">
        <x:v>16151.92</x:v>
      </x:c>
      <x:c r="M436" s="39" t="n">
        <x:v>57.0739222614841</x:v>
      </x:c>
      <x:c r="N436" t="str">
        <x:v>OK</x:v>
      </x:c>
      <x:c r="O436" t="str">
        <x:v>Maintain plan</x:v>
      </x:c>
      <x:c r="P436" s="38" t="n">
        <x:v>0</x:v>
      </x:c>
    </x:row>
    <x:row r="437">
      <x:c r="A437" s="32" t="n">
        <x:v>45775</x:v>
      </x:c>
      <x:c r="B437" s="32" t="n">
        <x:v>45748</x:v>
      </x:c>
      <x:c r="C437" t="str">
        <x:v>Actual</x:v>
      </x:c>
      <x:c r="D437" t="str">
        <x:v>DB-105</x:v>
      </x:c>
      <x:c r="E437" s="34" t="n">
        <x:v>16151.92</x:v>
      </x:c>
      <x:c r="F437" s="34" t="n">
        <x:v>6000</x:v>
      </x:c>
      <x:c r="G437" s="34" t="n">
        <x:v>283</x:v>
      </x:c>
      <x:c r="H437" s="34" t="n">
        <x:v>283</x:v>
      </x:c>
      <x:c r="I437" s="28" t="n">
        <x:v>1</x:v>
      </x:c>
      <x:c r="J437" s="39" t="n">
        <x:v>283</x:v>
      </x:c>
      <x:c r="K437" s="39" t="n">
        <x:v>2.83</x:v>
      </x:c>
      <x:c r="L437" s="39" t="n">
        <x:v>21871.75</x:v>
      </x:c>
      <x:c r="M437" s="39" t="n">
        <x:v>77.28533568904594</x:v>
      </x:c>
      <x:c r="N437" t="str">
        <x:v>OK</x:v>
      </x:c>
      <x:c r="O437" t="str">
        <x:v>Maintain plan</x:v>
      </x:c>
      <x:c r="P437" s="38" t="n">
        <x:v>111.72</x:v>
      </x:c>
    </x:row>
    <x:row r="438">
      <x:c r="A438" s="32" t="n">
        <x:v>45782</x:v>
      </x:c>
      <x:c r="B438" s="32" t="n">
        <x:v>45778</x:v>
      </x:c>
      <x:c r="C438" t="str">
        <x:v>Actual</x:v>
      </x:c>
      <x:c r="D438" t="str">
        <x:v>DB-105</x:v>
      </x:c>
      <x:c r="E438" s="34" t="n">
        <x:v>21871.75</x:v>
      </x:c>
      <x:c r="F438" s="34" t="n">
        <x:v>0</x:v>
      </x:c>
      <x:c r="G438" s="34" t="n">
        <x:v>285</x:v>
      </x:c>
      <x:c r="H438" s="34" t="n">
        <x:v>285</x:v>
      </x:c>
      <x:c r="I438" s="28" t="n">
        <x:v>1</x:v>
      </x:c>
      <x:c r="J438" s="39" t="n">
        <x:v>285</x:v>
      </x:c>
      <x:c r="K438" s="39" t="n">
        <x:v>2.85</x:v>
      </x:c>
      <x:c r="L438" s="39" t="n">
        <x:v>21589.6</x:v>
      </x:c>
      <x:c r="M438" s="39" t="n">
        <x:v>75.75298245614034</x:v>
      </x:c>
      <x:c r="N438" t="str">
        <x:v>OK</x:v>
      </x:c>
      <x:c r="O438" t="str">
        <x:v>Maintain plan</x:v>
      </x:c>
      <x:c r="P438" s="38" t="n">
        <x:v>0</x:v>
      </x:c>
    </x:row>
    <x:row r="439">
      <x:c r="A439" s="32" t="n">
        <x:v>45789</x:v>
      </x:c>
      <x:c r="B439" s="32" t="n">
        <x:v>45778</x:v>
      </x:c>
      <x:c r="C439" t="str">
        <x:v>Actual</x:v>
      </x:c>
      <x:c r="D439" t="str">
        <x:v>DB-105</x:v>
      </x:c>
      <x:c r="E439" s="34" t="n">
        <x:v>21589.6</x:v>
      </x:c>
      <x:c r="F439" s="34" t="n">
        <x:v>0</x:v>
      </x:c>
      <x:c r="G439" s="34" t="n">
        <x:v>287</x:v>
      </x:c>
      <x:c r="H439" s="34" t="n">
        <x:v>287</x:v>
      </x:c>
      <x:c r="I439" s="28" t="n">
        <x:v>1</x:v>
      </x:c>
      <x:c r="J439" s="39" t="n">
        <x:v>287</x:v>
      </x:c>
      <x:c r="K439" s="39" t="n">
        <x:v>2.87</x:v>
      </x:c>
      <x:c r="L439" s="39" t="n">
        <x:v>21305.469999999998</x:v>
      </x:c>
      <x:c r="M439" s="39" t="n">
        <x:v>74.23508710801393</x:v>
      </x:c>
      <x:c r="N439" t="str">
        <x:v>OK</x:v>
      </x:c>
      <x:c r="O439" t="str">
        <x:v>Maintain plan</x:v>
      </x:c>
      <x:c r="P439" s="38" t="n">
        <x:v>0</x:v>
      </x:c>
    </x:row>
    <x:row r="440">
      <x:c r="A440" s="32" t="n">
        <x:v>45796</x:v>
      </x:c>
      <x:c r="B440" s="32" t="n">
        <x:v>45778</x:v>
      </x:c>
      <x:c r="C440" t="str">
        <x:v>Actual</x:v>
      </x:c>
      <x:c r="D440" t="str">
        <x:v>DB-105</x:v>
      </x:c>
      <x:c r="E440" s="34" t="n">
        <x:v>21305.469999999998</x:v>
      </x:c>
      <x:c r="F440" s="34" t="n">
        <x:v>0</x:v>
      </x:c>
      <x:c r="G440" s="34" t="n">
        <x:v>287</x:v>
      </x:c>
      <x:c r="H440" s="34" t="n">
        <x:v>287</x:v>
      </x:c>
      <x:c r="I440" s="28" t="n">
        <x:v>1</x:v>
      </x:c>
      <x:c r="J440" s="39" t="n">
        <x:v>287</x:v>
      </x:c>
      <x:c r="K440" s="39" t="n">
        <x:v>2.87</x:v>
      </x:c>
      <x:c r="L440" s="39" t="n">
        <x:v>21021.339999999997</x:v>
      </x:c>
      <x:c r="M440" s="39" t="n">
        <x:v>73.24508710801392</x:v>
      </x:c>
      <x:c r="N440" t="str">
        <x:v>OK</x:v>
      </x:c>
      <x:c r="O440" t="str">
        <x:v>Maintain plan</x:v>
      </x:c>
      <x:c r="P440" s="38" t="n">
        <x:v>0</x:v>
      </x:c>
    </x:row>
    <x:row r="441">
      <x:c r="A441" s="32" t="n">
        <x:v>45803</x:v>
      </x:c>
      <x:c r="B441" s="32" t="n">
        <x:v>45778</x:v>
      </x:c>
      <x:c r="C441" t="str">
        <x:v>Actual</x:v>
      </x:c>
      <x:c r="D441" t="str">
        <x:v>DB-105</x:v>
      </x:c>
      <x:c r="E441" s="34" t="n">
        <x:v>21021.339999999997</x:v>
      </x:c>
      <x:c r="F441" s="34" t="n">
        <x:v>0</x:v>
      </x:c>
      <x:c r="G441" s="34" t="n">
        <x:v>289</x:v>
      </x:c>
      <x:c r="H441" s="34" t="n">
        <x:v>289</x:v>
      </x:c>
      <x:c r="I441" s="28" t="n">
        <x:v>1</x:v>
      </x:c>
      <x:c r="J441" s="39" t="n">
        <x:v>289</x:v>
      </x:c>
      <x:c r="K441" s="39" t="n">
        <x:v>2.89</x:v>
      </x:c>
      <x:c r="L441" s="39" t="n">
        <x:v>20735.229999999996</x:v>
      </x:c>
      <x:c r="M441" s="39" t="n">
        <x:v>71.74820069204151</x:v>
      </x:c>
      <x:c r="N441" t="str">
        <x:v>OK</x:v>
      </x:c>
      <x:c r="O441" t="str">
        <x:v>Maintain plan</x:v>
      </x:c>
      <x:c r="P441" s="38" t="n">
        <x:v>0</x:v>
      </x:c>
    </x:row>
    <x:row r="442">
      <x:c r="A442" s="32" t="n">
        <x:v>45810</x:v>
      </x:c>
      <x:c r="B442" s="32" t="n">
        <x:v>45809</x:v>
      </x:c>
      <x:c r="C442" t="str">
        <x:v>Actual</x:v>
      </x:c>
      <x:c r="D442" t="str">
        <x:v>DB-105</x:v>
      </x:c>
      <x:c r="E442" s="34" t="n">
        <x:v>20735.229999999996</x:v>
      </x:c>
      <x:c r="F442" s="34" t="n">
        <x:v>0</x:v>
      </x:c>
      <x:c r="G442" s="34" t="n">
        <x:v>289</x:v>
      </x:c>
      <x:c r="H442" s="34" t="n">
        <x:v>289</x:v>
      </x:c>
      <x:c r="I442" s="28" t="n">
        <x:v>1</x:v>
      </x:c>
      <x:c r="J442" s="39" t="n">
        <x:v>289</x:v>
      </x:c>
      <x:c r="K442" s="39" t="n">
        <x:v>2.89</x:v>
      </x:c>
      <x:c r="L442" s="39" t="n">
        <x:v>20449.119999999995</x:v>
      </x:c>
      <x:c r="M442" s="39" t="n">
        <x:v>70.75820069204151</x:v>
      </x:c>
      <x:c r="N442" t="str">
        <x:v>OK</x:v>
      </x:c>
      <x:c r="O442" t="str">
        <x:v>Maintain plan</x:v>
      </x:c>
      <x:c r="P442" s="38" t="n">
        <x:v>0</x:v>
      </x:c>
    </x:row>
    <x:row r="443">
      <x:c r="A443" s="32" t="n">
        <x:v>45817</x:v>
      </x:c>
      <x:c r="B443" s="32" t="n">
        <x:v>45809</x:v>
      </x:c>
      <x:c r="C443" t="str">
        <x:v>Actual</x:v>
      </x:c>
      <x:c r="D443" t="str">
        <x:v>DB-105</x:v>
      </x:c>
      <x:c r="E443" s="34" t="n">
        <x:v>20449.119999999995</x:v>
      </x:c>
      <x:c r="F443" s="34" t="n">
        <x:v>0</x:v>
      </x:c>
      <x:c r="G443" s="34" t="n">
        <x:v>290</x:v>
      </x:c>
      <x:c r="H443" s="34" t="n">
        <x:v>290</x:v>
      </x:c>
      <x:c r="I443" s="28" t="n">
        <x:v>1</x:v>
      </x:c>
      <x:c r="J443" s="39" t="n">
        <x:v>290</x:v>
      </x:c>
      <x:c r="K443" s="39" t="n">
        <x:v>2.9</x:v>
      </x:c>
      <x:c r="L443" s="39" t="n">
        <x:v>20162.019999999997</x:v>
      </x:c>
      <x:c r="M443" s="39" t="n">
        <x:v>69.52420689655172</x:v>
      </x:c>
      <x:c r="N443" t="str">
        <x:v>OK</x:v>
      </x:c>
      <x:c r="O443" t="str">
        <x:v>Maintain plan</x:v>
      </x:c>
      <x:c r="P443" s="38" t="n">
        <x:v>0</x:v>
      </x:c>
    </x:row>
    <x:row r="444">
      <x:c r="A444" s="32" t="n">
        <x:v>45824</x:v>
      </x:c>
      <x:c r="B444" s="32" t="n">
        <x:v>45809</x:v>
      </x:c>
      <x:c r="C444" t="str">
        <x:v>Actual</x:v>
      </x:c>
      <x:c r="D444" t="str">
        <x:v>DB-105</x:v>
      </x:c>
      <x:c r="E444" s="34" t="n">
        <x:v>20162.019999999997</x:v>
      </x:c>
      <x:c r="F444" s="34" t="n">
        <x:v>0</x:v>
      </x:c>
      <x:c r="G444" s="34" t="n">
        <x:v>292</x:v>
      </x:c>
      <x:c r="H444" s="34" t="n">
        <x:v>292</x:v>
      </x:c>
      <x:c r="I444" s="28" t="n">
        <x:v>1</x:v>
      </x:c>
      <x:c r="J444" s="39" t="n">
        <x:v>292</x:v>
      </x:c>
      <x:c r="K444" s="39" t="n">
        <x:v>2.92</x:v>
      </x:c>
      <x:c r="L444" s="39" t="n">
        <x:v>19872.939999999995</x:v>
      </x:c>
      <x:c r="M444" s="39" t="n">
        <x:v>68.05801369863012</x:v>
      </x:c>
      <x:c r="N444" t="str">
        <x:v>OK</x:v>
      </x:c>
      <x:c r="O444" t="str">
        <x:v>Maintain plan</x:v>
      </x:c>
      <x:c r="P444" s="38" t="n">
        <x:v>0</x:v>
      </x:c>
    </x:row>
    <x:row r="445">
      <x:c r="A445" s="32" t="n">
        <x:v>45831</x:v>
      </x:c>
      <x:c r="B445" s="32" t="n">
        <x:v>45809</x:v>
      </x:c>
      <x:c r="C445" t="str">
        <x:v>Actual</x:v>
      </x:c>
      <x:c r="D445" t="str">
        <x:v>DB-105</x:v>
      </x:c>
      <x:c r="E445" s="34" t="n">
        <x:v>19872.939999999995</x:v>
      </x:c>
      <x:c r="F445" s="34" t="n">
        <x:v>6000</x:v>
      </x:c>
      <x:c r="G445" s="34" t="n">
        <x:v>293</x:v>
      </x:c>
      <x:c r="H445" s="34" t="n">
        <x:v>293</x:v>
      </x:c>
      <x:c r="I445" s="28" t="n">
        <x:v>1</x:v>
      </x:c>
      <x:c r="J445" s="39" t="n">
        <x:v>293</x:v>
      </x:c>
      <x:c r="K445" s="39" t="n">
        <x:v>2.93</x:v>
      </x:c>
      <x:c r="L445" s="39" t="n">
        <x:v>25582.869999999995</x:v>
      </x:c>
      <x:c r="M445" s="39" t="n">
        <x:v>87.31354948805459</x:v>
      </x:c>
      <x:c r="N445" t="str">
        <x:v>OK</x:v>
      </x:c>
      <x:c r="O445" t="str">
        <x:v>Maintain plan</x:v>
      </x:c>
      <x:c r="P445" s="38" t="n">
        <x:v>111.72</x:v>
      </x:c>
    </x:row>
    <x:row r="446">
      <x:c r="A446" s="32" t="n">
        <x:v>45838</x:v>
      </x:c>
      <x:c r="B446" s="32" t="n">
        <x:v>45809</x:v>
      </x:c>
      <x:c r="C446" t="str">
        <x:v>Actual</x:v>
      </x:c>
      <x:c r="D446" t="str">
        <x:v>DB-105</x:v>
      </x:c>
      <x:c r="E446" s="34" t="n">
        <x:v>25582.869999999995</x:v>
      </x:c>
      <x:c r="F446" s="34" t="n">
        <x:v>0</x:v>
      </x:c>
      <x:c r="G446" s="34" t="n">
        <x:v>293</x:v>
      </x:c>
      <x:c r="H446" s="34" t="n">
        <x:v>293</x:v>
      </x:c>
      <x:c r="I446" s="28" t="n">
        <x:v>1</x:v>
      </x:c>
      <x:c r="J446" s="39" t="n">
        <x:v>293</x:v>
      </x:c>
      <x:c r="K446" s="39" t="n">
        <x:v>2.93</x:v>
      </x:c>
      <x:c r="L446" s="39" t="n">
        <x:v>25292.799999999996</x:v>
      </x:c>
      <x:c r="M446" s="39" t="n">
        <x:v>86.3235494880546</x:v>
      </x:c>
      <x:c r="N446" t="str">
        <x:v>OK</x:v>
      </x:c>
      <x:c r="O446" t="str">
        <x:v>Maintain plan</x:v>
      </x:c>
      <x:c r="P446" s="38" t="n">
        <x:v>0</x:v>
      </x:c>
    </x:row>
    <x:row r="447">
      <x:c r="A447" s="32" t="n">
        <x:v>45845</x:v>
      </x:c>
      <x:c r="B447" s="32" t="n">
        <x:v>45839</x:v>
      </x:c>
      <x:c r="C447" t="str">
        <x:v>Actual</x:v>
      </x:c>
      <x:c r="D447" t="str">
        <x:v>DB-105</x:v>
      </x:c>
      <x:c r="E447" s="34" t="n">
        <x:v>25292.799999999996</x:v>
      </x:c>
      <x:c r="F447" s="34" t="n">
        <x:v>0</x:v>
      </x:c>
      <x:c r="G447" s="34" t="n">
        <x:v>295</x:v>
      </x:c>
      <x:c r="H447" s="34" t="n">
        <x:v>295</x:v>
      </x:c>
      <x:c r="I447" s="28" t="n">
        <x:v>1</x:v>
      </x:c>
      <x:c r="J447" s="39" t="n">
        <x:v>295</x:v>
      </x:c>
      <x:c r="K447" s="39" t="n">
        <x:v>2.95</x:v>
      </x:c>
      <x:c r="L447" s="39" t="n">
        <x:v>25000.749999999996</x:v>
      </x:c>
      <x:c r="M447" s="39" t="n">
        <x:v>84.74830508474575</x:v>
      </x:c>
      <x:c r="N447" t="str">
        <x:v>OK</x:v>
      </x:c>
      <x:c r="O447" t="str">
        <x:v>Maintain plan</x:v>
      </x:c>
      <x:c r="P447" s="38" t="n">
        <x:v>0</x:v>
      </x:c>
    </x:row>
    <x:row r="448">
      <x:c r="A448" s="32" t="n">
        <x:v>45852</x:v>
      </x:c>
      <x:c r="B448" s="32" t="n">
        <x:v>45839</x:v>
      </x:c>
      <x:c r="C448" t="str">
        <x:v>Actual</x:v>
      </x:c>
      <x:c r="D448" t="str">
        <x:v>DB-105</x:v>
      </x:c>
      <x:c r="E448" s="34" t="n">
        <x:v>25000.749999999996</x:v>
      </x:c>
      <x:c r="F448" s="34" t="n">
        <x:v>0</x:v>
      </x:c>
      <x:c r="G448" s="34" t="n">
        <x:v>296</x:v>
      </x:c>
      <x:c r="H448" s="34" t="n">
        <x:v>296</x:v>
      </x:c>
      <x:c r="I448" s="28" t="n">
        <x:v>1</x:v>
      </x:c>
      <x:c r="J448" s="39" t="n">
        <x:v>296</x:v>
      </x:c>
      <x:c r="K448" s="39" t="n">
        <x:v>2.96</x:v>
      </x:c>
      <x:c r="L448" s="39" t="n">
        <x:v>24707.709999999995</x:v>
      </x:c>
      <x:c r="M448" s="39" t="n">
        <x:v>83.47199324324323</x:v>
      </x:c>
      <x:c r="N448" t="str">
        <x:v>OK</x:v>
      </x:c>
      <x:c r="O448" t="str">
        <x:v>Maintain plan</x:v>
      </x:c>
      <x:c r="P448" s="38" t="n">
        <x:v>0</x:v>
      </x:c>
    </x:row>
    <x:row r="449">
      <x:c r="A449" s="32" t="n">
        <x:v>45859</x:v>
      </x:c>
      <x:c r="B449" s="32" t="n">
        <x:v>45839</x:v>
      </x:c>
      <x:c r="C449" t="str">
        <x:v>Actual</x:v>
      </x:c>
      <x:c r="D449" t="str">
        <x:v>DB-105</x:v>
      </x:c>
      <x:c r="E449" s="34" t="n">
        <x:v>24707.709999999995</x:v>
      </x:c>
      <x:c r="F449" s="34" t="n">
        <x:v>0</x:v>
      </x:c>
      <x:c r="G449" s="34" t="n">
        <x:v>296</x:v>
      </x:c>
      <x:c r="H449" s="34" t="n">
        <x:v>296</x:v>
      </x:c>
      <x:c r="I449" s="28" t="n">
        <x:v>1</x:v>
      </x:c>
      <x:c r="J449" s="39" t="n">
        <x:v>296</x:v>
      </x:c>
      <x:c r="K449" s="39" t="n">
        <x:v>2.96</x:v>
      </x:c>
      <x:c r="L449" s="39" t="n">
        <x:v>24414.669999999995</x:v>
      </x:c>
      <x:c r="M449" s="39" t="n">
        <x:v>82.48199324324322</x:v>
      </x:c>
      <x:c r="N449" t="str">
        <x:v>OK</x:v>
      </x:c>
      <x:c r="O449" t="str">
        <x:v>Maintain plan</x:v>
      </x:c>
      <x:c r="P449" s="38" t="n">
        <x:v>0</x:v>
      </x:c>
    </x:row>
    <x:row r="450">
      <x:c r="A450" s="32" t="n">
        <x:v>45866</x:v>
      </x:c>
      <x:c r="B450" s="32" t="n">
        <x:v>45839</x:v>
      </x:c>
      <x:c r="C450" t="str">
        <x:v>Actual</x:v>
      </x:c>
      <x:c r="D450" t="str">
        <x:v>DB-105</x:v>
      </x:c>
      <x:c r="E450" s="34" t="n">
        <x:v>24414.669999999995</x:v>
      </x:c>
      <x:c r="F450" s="34" t="n">
        <x:v>0</x:v>
      </x:c>
      <x:c r="G450" s="34" t="n">
        <x:v>299</x:v>
      </x:c>
      <x:c r="H450" s="34" t="n">
        <x:v>299</x:v>
      </x:c>
      <x:c r="I450" s="28" t="n">
        <x:v>1</x:v>
      </x:c>
      <x:c r="J450" s="39" t="n">
        <x:v>299</x:v>
      </x:c>
      <x:c r="K450" s="39" t="n">
        <x:v>2.99</x:v>
      </x:c>
      <x:c r="L450" s="39" t="n">
        <x:v>24118.659999999996</x:v>
      </x:c>
      <x:c r="M450" s="39" t="n">
        <x:v>80.66441471571905</x:v>
      </x:c>
      <x:c r="N450" t="str">
        <x:v>OK</x:v>
      </x:c>
      <x:c r="O450" t="str">
        <x:v>Maintain plan</x:v>
      </x:c>
      <x:c r="P450" s="38" t="n">
        <x:v>0</x:v>
      </x:c>
    </x:row>
    <x:row r="451">
      <x:c r="A451" s="32" t="n">
        <x:v>45873</x:v>
      </x:c>
      <x:c r="B451" s="32" t="n">
        <x:v>45870</x:v>
      </x:c>
      <x:c r="C451" t="str">
        <x:v>Actual</x:v>
      </x:c>
      <x:c r="D451" t="str">
        <x:v>DB-105</x:v>
      </x:c>
      <x:c r="E451" s="34" t="n">
        <x:v>24118.659999999996</x:v>
      </x:c>
      <x:c r="F451" s="34" t="n">
        <x:v>0</x:v>
      </x:c>
      <x:c r="G451" s="34" t="n">
        <x:v>300</x:v>
      </x:c>
      <x:c r="H451" s="34" t="n">
        <x:v>300</x:v>
      </x:c>
      <x:c r="I451" s="28" t="n">
        <x:v>1</x:v>
      </x:c>
      <x:c r="J451" s="39" t="n">
        <x:v>300</x:v>
      </x:c>
      <x:c r="K451" s="39" t="n">
        <x:v>3</x:v>
      </x:c>
      <x:c r="L451" s="39" t="n">
        <x:v>23821.659999999996</x:v>
      </x:c>
      <x:c r="M451" s="39" t="n">
        <x:v>79.40553333333332</x:v>
      </x:c>
      <x:c r="N451" t="str">
        <x:v>OK</x:v>
      </x:c>
      <x:c r="O451" t="str">
        <x:v>Maintain plan</x:v>
      </x:c>
      <x:c r="P451" s="38" t="n">
        <x:v>0</x:v>
      </x:c>
    </x:row>
    <x:row r="452">
      <x:c r="A452" s="32" t="n">
        <x:v>45880</x:v>
      </x:c>
      <x:c r="B452" s="32" t="n">
        <x:v>45870</x:v>
      </x:c>
      <x:c r="C452" t="str">
        <x:v>Actual</x:v>
      </x:c>
      <x:c r="D452" t="str">
        <x:v>DB-105</x:v>
      </x:c>
      <x:c r="E452" s="34" t="n">
        <x:v>23821.659999999996</x:v>
      </x:c>
      <x:c r="F452" s="34" t="n">
        <x:v>0</x:v>
      </x:c>
      <x:c r="G452" s="34" t="n">
        <x:v>301</x:v>
      </x:c>
      <x:c r="H452" s="34" t="n">
        <x:v>301</x:v>
      </x:c>
      <x:c r="I452" s="28" t="n">
        <x:v>1</x:v>
      </x:c>
      <x:c r="J452" s="39" t="n">
        <x:v>301</x:v>
      </x:c>
      <x:c r="K452" s="39" t="n">
        <x:v>3.0100000000000002</x:v>
      </x:c>
      <x:c r="L452" s="39" t="n">
        <x:v>23523.669999999995</x:v>
      </x:c>
      <x:c r="M452" s="39" t="n">
        <x:v>78.15172757475081</x:v>
      </x:c>
      <x:c r="N452" t="str">
        <x:v>OK</x:v>
      </x:c>
      <x:c r="O452" t="str">
        <x:v>Maintain plan</x:v>
      </x:c>
      <x:c r="P452" s="38" t="n">
        <x:v>0</x:v>
      </x:c>
    </x:row>
    <x:row r="453">
      <x:c r="A453" s="32" t="n">
        <x:v>45887</x:v>
      </x:c>
      <x:c r="B453" s="32" t="n">
        <x:v>45870</x:v>
      </x:c>
      <x:c r="C453" t="str">
        <x:v>Actual</x:v>
      </x:c>
      <x:c r="D453" t="str">
        <x:v>DB-105</x:v>
      </x:c>
      <x:c r="E453" s="34" t="n">
        <x:v>23523.669999999995</x:v>
      </x:c>
      <x:c r="F453" s="34" t="n">
        <x:v>6000</x:v>
      </x:c>
      <x:c r="G453" s="34" t="n">
        <x:v>302</x:v>
      </x:c>
      <x:c r="H453" s="34" t="n">
        <x:v>302</x:v>
      </x:c>
      <x:c r="I453" s="28" t="n">
        <x:v>1</x:v>
      </x:c>
      <x:c r="J453" s="39" t="n">
        <x:v>302</x:v>
      </x:c>
      <x:c r="K453" s="39" t="n">
        <x:v>3.02</x:v>
      </x:c>
      <x:c r="L453" s="39" t="n">
        <x:v>29224.689999999995</x:v>
      </x:c>
      <x:c r="M453" s="39" t="n">
        <x:v>96.7704966887417</x:v>
      </x:c>
      <x:c r="N453" t="str">
        <x:v>OK</x:v>
      </x:c>
      <x:c r="O453" t="str">
        <x:v>Maintain plan</x:v>
      </x:c>
      <x:c r="P453" s="38" t="n">
        <x:v>111.72</x:v>
      </x:c>
    </x:row>
    <x:row r="454">
      <x:c r="A454" s="32" t="n">
        <x:v>45894</x:v>
      </x:c>
      <x:c r="B454" s="32" t="n">
        <x:v>45870</x:v>
      </x:c>
      <x:c r="C454" t="str">
        <x:v>Actual</x:v>
      </x:c>
      <x:c r="D454" t="str">
        <x:v>DB-105</x:v>
      </x:c>
      <x:c r="E454" s="34" t="n">
        <x:v>29224.689999999995</x:v>
      </x:c>
      <x:c r="F454" s="34" t="n">
        <x:v>0</x:v>
      </x:c>
      <x:c r="G454" s="34" t="n">
        <x:v>303</x:v>
      </x:c>
      <x:c r="H454" s="34" t="n">
        <x:v>303</x:v>
      </x:c>
      <x:c r="I454" s="28" t="n">
        <x:v>1</x:v>
      </x:c>
      <x:c r="J454" s="39" t="n">
        <x:v>303</x:v>
      </x:c>
      <x:c r="K454" s="39" t="n">
        <x:v>3.0300000000000002</x:v>
      </x:c>
      <x:c r="L454" s="39" t="n">
        <x:v>28924.719999999994</x:v>
      </x:c>
      <x:c r="M454" s="39" t="n">
        <x:v>95.4611221122112</x:v>
      </x:c>
      <x:c r="N454" t="str">
        <x:v>OK</x:v>
      </x:c>
      <x:c r="O454" t="str">
        <x:v>Maintain plan</x:v>
      </x:c>
      <x:c r="P454" s="38" t="n">
        <x:v>0</x:v>
      </x:c>
    </x:row>
    <x:row r="455">
      <x:c r="A455" s="32" t="n">
        <x:v>45901</x:v>
      </x:c>
      <x:c r="B455" s="32" t="n">
        <x:v>45901</x:v>
      </x:c>
      <x:c r="C455" t="str">
        <x:v>Actual</x:v>
      </x:c>
      <x:c r="D455" t="str">
        <x:v>DB-105</x:v>
      </x:c>
      <x:c r="E455" s="34" t="n">
        <x:v>28924.719999999994</x:v>
      </x:c>
      <x:c r="F455" s="34" t="n">
        <x:v>0</x:v>
      </x:c>
      <x:c r="G455" s="34" t="n">
        <x:v>303</x:v>
      </x:c>
      <x:c r="H455" s="34" t="n">
        <x:v>303</x:v>
      </x:c>
      <x:c r="I455" s="28" t="n">
        <x:v>1</x:v>
      </x:c>
      <x:c r="J455" s="39" t="n">
        <x:v>303</x:v>
      </x:c>
      <x:c r="K455" s="39" t="n">
        <x:v>3.0300000000000002</x:v>
      </x:c>
      <x:c r="L455" s="39" t="n">
        <x:v>28624.749999999993</x:v>
      </x:c>
      <x:c r="M455" s="39" t="n">
        <x:v>94.47112211221119</x:v>
      </x:c>
      <x:c r="N455" t="str">
        <x:v>OK</x:v>
      </x:c>
      <x:c r="O455" t="str">
        <x:v>Maintain plan</x:v>
      </x:c>
      <x:c r="P455" s="38" t="n">
        <x:v>0</x:v>
      </x:c>
    </x:row>
    <x:row r="456">
      <x:c r="A456" s="32" t="n">
        <x:v>45908</x:v>
      </x:c>
      <x:c r="B456" s="32" t="n">
        <x:v>45901</x:v>
      </x:c>
      <x:c r="C456" t="str">
        <x:v>Actual</x:v>
      </x:c>
      <x:c r="D456" t="str">
        <x:v>DB-105</x:v>
      </x:c>
      <x:c r="E456" s="34" t="n">
        <x:v>28624.749999999993</x:v>
      </x:c>
      <x:c r="F456" s="34" t="n">
        <x:v>0</x:v>
      </x:c>
      <x:c r="G456" s="34" t="n">
        <x:v>305</x:v>
      </x:c>
      <x:c r="H456" s="34" t="n">
        <x:v>305</x:v>
      </x:c>
      <x:c r="I456" s="28" t="n">
        <x:v>1</x:v>
      </x:c>
      <x:c r="J456" s="39" t="n">
        <x:v>305</x:v>
      </x:c>
      <x:c r="K456" s="39" t="n">
        <x:v>3.0500000000000003</x:v>
      </x:c>
      <x:c r="L456" s="39" t="n">
        <x:v>28322.799999999992</x:v>
      </x:c>
      <x:c r="M456" s="39" t="n">
        <x:v>92.86163934426227</x:v>
      </x:c>
      <x:c r="N456" t="str">
        <x:v>OK</x:v>
      </x:c>
      <x:c r="O456" t="str">
        <x:v>Maintain plan</x:v>
      </x:c>
      <x:c r="P456" s="38" t="n">
        <x:v>0</x:v>
      </x:c>
    </x:row>
    <x:row r="457">
      <x:c r="A457" s="32" t="n">
        <x:v>45915</x:v>
      </x:c>
      <x:c r="B457" s="32" t="n">
        <x:v>45901</x:v>
      </x:c>
      <x:c r="C457" t="str">
        <x:v>Actual</x:v>
      </x:c>
      <x:c r="D457" t="str">
        <x:v>DB-105</x:v>
      </x:c>
      <x:c r="E457" s="34" t="n">
        <x:v>28322.799999999992</x:v>
      </x:c>
      <x:c r="F457" s="34" t="n">
        <x:v>0</x:v>
      </x:c>
      <x:c r="G457" s="34" t="n">
        <x:v>306</x:v>
      </x:c>
      <x:c r="H457" s="34" t="n">
        <x:v>306</x:v>
      </x:c>
      <x:c r="I457" s="28" t="n">
        <x:v>1</x:v>
      </x:c>
      <x:c r="J457" s="39" t="n">
        <x:v>306</x:v>
      </x:c>
      <x:c r="K457" s="39" t="n">
        <x:v>3.06</x:v>
      </x:c>
      <x:c r="L457" s="39" t="n">
        <x:v>28019.859999999993</x:v>
      </x:c>
      <x:c r="M457" s="39" t="n">
        <x:v>91.5681699346405</x:v>
      </x:c>
      <x:c r="N457" t="str">
        <x:v>OK</x:v>
      </x:c>
      <x:c r="O457" t="str">
        <x:v>Maintain plan</x:v>
      </x:c>
      <x:c r="P457" s="38" t="n">
        <x:v>0</x:v>
      </x:c>
    </x:row>
    <x:row r="458">
      <x:c r="A458" s="32" t="n">
        <x:v>45922</x:v>
      </x:c>
      <x:c r="B458" s="32" t="n">
        <x:v>45901</x:v>
      </x:c>
      <x:c r="C458" t="str">
        <x:v>Actual</x:v>
      </x:c>
      <x:c r="D458" t="str">
        <x:v>DB-105</x:v>
      </x:c>
      <x:c r="E458" s="34" t="n">
        <x:v>28019.859999999993</x:v>
      </x:c>
      <x:c r="F458" s="34" t="n">
        <x:v>0</x:v>
      </x:c>
      <x:c r="G458" s="34" t="n">
        <x:v>307</x:v>
      </x:c>
      <x:c r="H458" s="34" t="n">
        <x:v>307</x:v>
      </x:c>
      <x:c r="I458" s="28" t="n">
        <x:v>1</x:v>
      </x:c>
      <x:c r="J458" s="39" t="n">
        <x:v>307</x:v>
      </x:c>
      <x:c r="K458" s="39" t="n">
        <x:v>3.0700000000000003</x:v>
      </x:c>
      <x:c r="L458" s="39" t="n">
        <x:v>27715.929999999993</x:v>
      </x:c>
      <x:c r="M458" s="39" t="n">
        <x:v>90.27990228013027</x:v>
      </x:c>
      <x:c r="N458" t="str">
        <x:v>OK</x:v>
      </x:c>
      <x:c r="O458" t="str">
        <x:v>Maintain plan</x:v>
      </x:c>
      <x:c r="P458" s="38" t="n">
        <x:v>0</x:v>
      </x:c>
    </x:row>
    <x:row r="459">
      <x:c r="A459" s="32" t="n">
        <x:v>45929</x:v>
      </x:c>
      <x:c r="B459" s="32" t="n">
        <x:v>45901</x:v>
      </x:c>
      <x:c r="C459" t="str">
        <x:v>Actual</x:v>
      </x:c>
      <x:c r="D459" t="str">
        <x:v>DB-105</x:v>
      </x:c>
      <x:c r="E459" s="34" t="n">
        <x:v>27715.929999999993</x:v>
      </x:c>
      <x:c r="F459" s="34" t="n">
        <x:v>0</x:v>
      </x:c>
      <x:c r="G459" s="34" t="n">
        <x:v>309</x:v>
      </x:c>
      <x:c r="H459" s="34" t="n">
        <x:v>309</x:v>
      </x:c>
      <x:c r="I459" s="28" t="n">
        <x:v>1</x:v>
      </x:c>
      <x:c r="J459" s="39" t="n">
        <x:v>309</x:v>
      </x:c>
      <x:c r="K459" s="39" t="n">
        <x:v>3.09</x:v>
      </x:c>
      <x:c r="L459" s="39" t="n">
        <x:v>27410.019999999993</x:v>
      </x:c>
      <x:c r="M459" s="39" t="n">
        <x:v>88.70556634304205</x:v>
      </x:c>
      <x:c r="N459" t="str">
        <x:v>OK</x:v>
      </x:c>
      <x:c r="O459" t="str">
        <x:v>Maintain plan</x:v>
      </x:c>
      <x:c r="P459" s="38" t="n">
        <x:v>0</x:v>
      </x:c>
    </x:row>
    <x:row r="460">
      <x:c r="A460" s="32" t="n">
        <x:v>45936</x:v>
      </x:c>
      <x:c r="B460" s="32" t="n">
        <x:v>45931</x:v>
      </x:c>
      <x:c r="C460" t="str">
        <x:v>Actual</x:v>
      </x:c>
      <x:c r="D460" t="str">
        <x:v>DB-105</x:v>
      </x:c>
      <x:c r="E460" s="34" t="n">
        <x:v>27410.019999999993</x:v>
      </x:c>
      <x:c r="F460" s="34" t="n">
        <x:v>0</x:v>
      </x:c>
      <x:c r="G460" s="34" t="n">
        <x:v>309</x:v>
      </x:c>
      <x:c r="H460" s="34" t="n">
        <x:v>309</x:v>
      </x:c>
      <x:c r="I460" s="28" t="n">
        <x:v>1</x:v>
      </x:c>
      <x:c r="J460" s="39" t="n">
        <x:v>309</x:v>
      </x:c>
      <x:c r="K460" s="39" t="n">
        <x:v>3.09</x:v>
      </x:c>
      <x:c r="L460" s="39" t="n">
        <x:v>27104.109999999993</x:v>
      </x:c>
      <x:c r="M460" s="39" t="n">
        <x:v>87.71556634304206</x:v>
      </x:c>
      <x:c r="N460" t="str">
        <x:v>OK</x:v>
      </x:c>
      <x:c r="O460" t="str">
        <x:v>Maintain plan</x:v>
      </x:c>
      <x:c r="P460" s="38" t="n">
        <x:v>0</x:v>
      </x:c>
    </x:row>
    <x:row r="461">
      <x:c r="A461" s="32" t="n">
        <x:v>45943</x:v>
      </x:c>
      <x:c r="B461" s="32" t="n">
        <x:v>45931</x:v>
      </x:c>
      <x:c r="C461" t="str">
        <x:v>Actual</x:v>
      </x:c>
      <x:c r="D461" t="str">
        <x:v>DB-105</x:v>
      </x:c>
      <x:c r="E461" s="34" t="n">
        <x:v>27104.109999999993</x:v>
      </x:c>
      <x:c r="F461" s="34" t="n">
        <x:v>6000</x:v>
      </x:c>
      <x:c r="G461" s="34" t="n">
        <x:v>311</x:v>
      </x:c>
      <x:c r="H461" s="34" t="n">
        <x:v>311</x:v>
      </x:c>
      <x:c r="I461" s="28" t="n">
        <x:v>1</x:v>
      </x:c>
      <x:c r="J461" s="39" t="n">
        <x:v>311</x:v>
      </x:c>
      <x:c r="K461" s="39" t="n">
        <x:v>3.11</x:v>
      </x:c>
      <x:c r="L461" s="39" t="n">
        <x:v>32796.219999999994</x:v>
      </x:c>
      <x:c r="M461" s="39" t="n">
        <x:v>105.45408360128616</x:v>
      </x:c>
      <x:c r="N461" t="str">
        <x:v>OK</x:v>
      </x:c>
      <x:c r="O461" t="str">
        <x:v>Maintain plan</x:v>
      </x:c>
      <x:c r="P461" s="38" t="n">
        <x:v>111.72</x:v>
      </x:c>
    </x:row>
    <x:row r="462">
      <x:c r="A462" s="32" t="n">
        <x:v>45950</x:v>
      </x:c>
      <x:c r="B462" s="32" t="n">
        <x:v>45931</x:v>
      </x:c>
      <x:c r="C462" t="str">
        <x:v>Actual</x:v>
      </x:c>
      <x:c r="D462" t="str">
        <x:v>DB-105</x:v>
      </x:c>
      <x:c r="E462" s="34" t="n">
        <x:v>32796.219999999994</x:v>
      </x:c>
      <x:c r="F462" s="34" t="n">
        <x:v>0</x:v>
      </x:c>
      <x:c r="G462" s="34" t="n">
        <x:v>312</x:v>
      </x:c>
      <x:c r="H462" s="34" t="n">
        <x:v>312</x:v>
      </x:c>
      <x:c r="I462" s="28" t="n">
        <x:v>1</x:v>
      </x:c>
      <x:c r="J462" s="39" t="n">
        <x:v>312</x:v>
      </x:c>
      <x:c r="K462" s="39" t="n">
        <x:v>3.12</x:v>
      </x:c>
      <x:c r="L462" s="39" t="n">
        <x:v>32487.339999999993</x:v>
      </x:c>
      <x:c r="M462" s="39" t="n">
        <x:v>104.12608974358972</x:v>
      </x:c>
      <x:c r="N462" t="str">
        <x:v>OK</x:v>
      </x:c>
      <x:c r="O462" t="str">
        <x:v>Maintain plan</x:v>
      </x:c>
      <x:c r="P462" s="38" t="n">
        <x:v>0</x:v>
      </x:c>
    </x:row>
    <x:row r="463">
      <x:c r="A463" s="32" t="n">
        <x:v>45957</x:v>
      </x:c>
      <x:c r="B463" s="32" t="n">
        <x:v>45931</x:v>
      </x:c>
      <x:c r="C463" t="str">
        <x:v>Actual</x:v>
      </x:c>
      <x:c r="D463" t="str">
        <x:v>DB-105</x:v>
      </x:c>
      <x:c r="E463" s="34" t="n">
        <x:v>32487.339999999993</x:v>
      </x:c>
      <x:c r="F463" s="34" t="n">
        <x:v>0</x:v>
      </x:c>
      <x:c r="G463" s="34" t="n">
        <x:v>313</x:v>
      </x:c>
      <x:c r="H463" s="34" t="n">
        <x:v>313</x:v>
      </x:c>
      <x:c r="I463" s="28" t="n">
        <x:v>1</x:v>
      </x:c>
      <x:c r="J463" s="39" t="n">
        <x:v>313</x:v>
      </x:c>
      <x:c r="K463" s="39" t="n">
        <x:v>3.13</x:v>
      </x:c>
      <x:c r="L463" s="39" t="n">
        <x:v>32177.469999999994</x:v>
      </x:c>
      <x:c r="M463" s="39" t="n">
        <x:v>102.80341853035142</x:v>
      </x:c>
      <x:c r="N463" t="str">
        <x:v>OK</x:v>
      </x:c>
      <x:c r="O463" t="str">
        <x:v>Maintain plan</x:v>
      </x:c>
      <x:c r="P463" s="38" t="n">
        <x:v>0</x:v>
      </x:c>
    </x:row>
    <x:row r="464">
      <x:c r="A464" s="32" t="n">
        <x:v>45964</x:v>
      </x:c>
      <x:c r="B464" s="32" t="n">
        <x:v>45962</x:v>
      </x:c>
      <x:c r="C464" t="str">
        <x:v>Actual</x:v>
      </x:c>
      <x:c r="D464" t="str">
        <x:v>DB-105</x:v>
      </x:c>
      <x:c r="E464" s="34" t="n">
        <x:v>32177.469999999994</x:v>
      </x:c>
      <x:c r="F464" s="34" t="n">
        <x:v>0</x:v>
      </x:c>
      <x:c r="G464" s="34" t="n">
        <x:v>313</x:v>
      </x:c>
      <x:c r="H464" s="34" t="n">
        <x:v>313</x:v>
      </x:c>
      <x:c r="I464" s="28" t="n">
        <x:v>1</x:v>
      </x:c>
      <x:c r="J464" s="39" t="n">
        <x:v>313</x:v>
      </x:c>
      <x:c r="K464" s="39" t="n">
        <x:v>3.13</x:v>
      </x:c>
      <x:c r="L464" s="39" t="n">
        <x:v>31867.599999999995</x:v>
      </x:c>
      <x:c r="M464" s="39" t="n">
        <x:v>101.81341853035143</x:v>
      </x:c>
      <x:c r="N464" t="str">
        <x:v>OK</x:v>
      </x:c>
      <x:c r="O464" t="str">
        <x:v>Maintain plan</x:v>
      </x:c>
      <x:c r="P464" s="38" t="n">
        <x:v>0</x:v>
      </x:c>
    </x:row>
    <x:row r="465">
      <x:c r="A465" s="32" t="n">
        <x:v>45971</x:v>
      </x:c>
      <x:c r="B465" s="32" t="n">
        <x:v>45962</x:v>
      </x:c>
      <x:c r="C465" t="str">
        <x:v>Actual</x:v>
      </x:c>
      <x:c r="D465" t="str">
        <x:v>DB-105</x:v>
      </x:c>
      <x:c r="E465" s="34" t="n">
        <x:v>31867.599999999995</x:v>
      </x:c>
      <x:c r="F465" s="34" t="n">
        <x:v>0</x:v>
      </x:c>
      <x:c r="G465" s="34" t="n">
        <x:v>316</x:v>
      </x:c>
      <x:c r="H465" s="34" t="n">
        <x:v>316</x:v>
      </x:c>
      <x:c r="I465" s="28" t="n">
        <x:v>1</x:v>
      </x:c>
      <x:c r="J465" s="39" t="n">
        <x:v>316</x:v>
      </x:c>
      <x:c r="K465" s="39" t="n">
        <x:v>3.16</x:v>
      </x:c>
      <x:c r="L465" s="39" t="n">
        <x:v>31554.759999999995</x:v>
      </x:c>
      <x:c r="M465" s="39" t="n">
        <x:v>99.85683544303795</x:v>
      </x:c>
      <x:c r="N465" t="str">
        <x:v>OK</x:v>
      </x:c>
      <x:c r="O465" t="str">
        <x:v>Maintain plan</x:v>
      </x:c>
      <x:c r="P465" s="38" t="n">
        <x:v>0</x:v>
      </x:c>
    </x:row>
    <x:row r="466">
      <x:c r="A466" s="32" t="n">
        <x:v>45978</x:v>
      </x:c>
      <x:c r="B466" s="32" t="n">
        <x:v>45962</x:v>
      </x:c>
      <x:c r="C466" t="str">
        <x:v>Actual</x:v>
      </x:c>
      <x:c r="D466" t="str">
        <x:v>DB-105</x:v>
      </x:c>
      <x:c r="E466" s="34" t="n">
        <x:v>31554.759999999995</x:v>
      </x:c>
      <x:c r="F466" s="34" t="n">
        <x:v>0</x:v>
      </x:c>
      <x:c r="G466" s="34" t="n">
        <x:v>317</x:v>
      </x:c>
      <x:c r="H466" s="34" t="n">
        <x:v>317</x:v>
      </x:c>
      <x:c r="I466" s="28" t="n">
        <x:v>1</x:v>
      </x:c>
      <x:c r="J466" s="39" t="n">
        <x:v>317</x:v>
      </x:c>
      <x:c r="K466" s="39" t="n">
        <x:v>3.17</x:v>
      </x:c>
      <x:c r="L466" s="39" t="n">
        <x:v>31240.929999999993</x:v>
      </x:c>
      <x:c r="M466" s="39" t="n">
        <x:v>98.55182965299683</x:v>
      </x:c>
      <x:c r="N466" t="str">
        <x:v>OK</x:v>
      </x:c>
      <x:c r="O466" t="str">
        <x:v>Maintain plan</x:v>
      </x:c>
      <x:c r="P466" s="38" t="n">
        <x:v>0</x:v>
      </x:c>
    </x:row>
    <x:row r="467">
      <x:c r="A467" s="32" t="n">
        <x:v>45985</x:v>
      </x:c>
      <x:c r="B467" s="32" t="n">
        <x:v>45962</x:v>
      </x:c>
      <x:c r="C467" t="str">
        <x:v>Actual</x:v>
      </x:c>
      <x:c r="D467" t="str">
        <x:v>DB-105</x:v>
      </x:c>
      <x:c r="E467" s="34" t="n">
        <x:v>31240.929999999993</x:v>
      </x:c>
      <x:c r="F467" s="34" t="n">
        <x:v>0</x:v>
      </x:c>
      <x:c r="G467" s="34" t="n">
        <x:v>317</x:v>
      </x:c>
      <x:c r="H467" s="34" t="n">
        <x:v>317</x:v>
      </x:c>
      <x:c r="I467" s="28" t="n">
        <x:v>1</x:v>
      </x:c>
      <x:c r="J467" s="39" t="n">
        <x:v>317</x:v>
      </x:c>
      <x:c r="K467" s="39" t="n">
        <x:v>3.17</x:v>
      </x:c>
      <x:c r="L467" s="39" t="n">
        <x:v>30927.09999999999</x:v>
      </x:c>
      <x:c r="M467" s="39" t="n">
        <x:v>97.56182965299682</x:v>
      </x:c>
      <x:c r="N467" t="str">
        <x:v>OK</x:v>
      </x:c>
      <x:c r="O467" t="str">
        <x:v>Maintain plan</x:v>
      </x:c>
      <x:c r="P467" s="38" t="n">
        <x:v>0</x:v>
      </x:c>
    </x:row>
    <x:row r="468">
      <x:c r="A468" s="32" t="n">
        <x:v>45992</x:v>
      </x:c>
      <x:c r="B468" s="32" t="n">
        <x:v>45992</x:v>
      </x:c>
      <x:c r="C468" t="str">
        <x:v>Actual</x:v>
      </x:c>
      <x:c r="D468" t="str">
        <x:v>DB-105</x:v>
      </x:c>
      <x:c r="E468" s="34" t="n">
        <x:v>30927.09999999999</x:v>
      </x:c>
      <x:c r="F468" s="34" t="n">
        <x:v>0</x:v>
      </x:c>
      <x:c r="G468" s="34" t="n">
        <x:v>319</x:v>
      </x:c>
      <x:c r="H468" s="34" t="n">
        <x:v>319</x:v>
      </x:c>
      <x:c r="I468" s="28" t="n">
        <x:v>1</x:v>
      </x:c>
      <x:c r="J468" s="39" t="n">
        <x:v>319</x:v>
      </x:c>
      <x:c r="K468" s="39" t="n">
        <x:v>3.19</x:v>
      </x:c>
      <x:c r="L468" s="39" t="n">
        <x:v>30611.28999999999</x:v>
      </x:c>
      <x:c r="M468" s="39" t="n">
        <x:v>95.96015673981188</x:v>
      </x:c>
      <x:c r="N468" t="str">
        <x:v>OK</x:v>
      </x:c>
      <x:c r="O468" t="str">
        <x:v>Maintain plan</x:v>
      </x:c>
      <x:c r="P468" s="38" t="n">
        <x:v>0</x:v>
      </x:c>
    </x:row>
    <x:row r="469">
      <x:c r="A469" s="32" t="n">
        <x:v>45999</x:v>
      </x:c>
      <x:c r="B469" s="32" t="n">
        <x:v>45992</x:v>
      </x:c>
      <x:c r="C469" t="str">
        <x:v>Actual</x:v>
      </x:c>
      <x:c r="D469" t="str">
        <x:v>DB-105</x:v>
      </x:c>
      <x:c r="E469" s="34" t="n">
        <x:v>30611.28999999999</x:v>
      </x:c>
      <x:c r="F469" s="34" t="n">
        <x:v>6000</x:v>
      </x:c>
      <x:c r="G469" s="34" t="n">
        <x:v>319</x:v>
      </x:c>
      <x:c r="H469" s="34" t="n">
        <x:v>319</x:v>
      </x:c>
      <x:c r="I469" s="28" t="n">
        <x:v>1</x:v>
      </x:c>
      <x:c r="J469" s="39" t="n">
        <x:v>319</x:v>
      </x:c>
      <x:c r="K469" s="39" t="n">
        <x:v>3.19</x:v>
      </x:c>
      <x:c r="L469" s="39" t="n">
        <x:v>36295.479999999996</x:v>
      </x:c>
      <x:c r="M469" s="39" t="n">
        <x:v>113.77893416927898</x:v>
      </x:c>
      <x:c r="N469" t="str">
        <x:v>OK</x:v>
      </x:c>
      <x:c r="O469" t="str">
        <x:v>Maintain plan</x:v>
      </x:c>
      <x:c r="P469" s="38" t="n">
        <x:v>111.72</x:v>
      </x:c>
    </x:row>
    <x:row r="470">
      <x:c r="A470" s="32" t="n">
        <x:v>46006</x:v>
      </x:c>
      <x:c r="B470" s="32" t="n">
        <x:v>45992</x:v>
      </x:c>
      <x:c r="C470" t="str">
        <x:v>Actual</x:v>
      </x:c>
      <x:c r="D470" t="str">
        <x:v>DB-105</x:v>
      </x:c>
      <x:c r="E470" s="34" t="n">
        <x:v>36295.479999999996</x:v>
      </x:c>
      <x:c r="F470" s="34" t="n">
        <x:v>0</x:v>
      </x:c>
      <x:c r="G470" s="34" t="n">
        <x:v>320</x:v>
      </x:c>
      <x:c r="H470" s="34" t="n">
        <x:v>320</x:v>
      </x:c>
      <x:c r="I470" s="28" t="n">
        <x:v>1</x:v>
      </x:c>
      <x:c r="J470" s="39" t="n">
        <x:v>320</x:v>
      </x:c>
      <x:c r="K470" s="39" t="n">
        <x:v>3.2</x:v>
      </x:c>
      <x:c r="L470" s="39" t="n">
        <x:v>35978.67999999999</x:v>
      </x:c>
      <x:c r="M470" s="39" t="n">
        <x:v>112.43337499999998</x:v>
      </x:c>
      <x:c r="N470" t="str">
        <x:v>OK</x:v>
      </x:c>
      <x:c r="O470" t="str">
        <x:v>Maintain plan</x:v>
      </x:c>
      <x:c r="P470" s="38" t="n">
        <x:v>0</x:v>
      </x:c>
    </x:row>
    <x:row r="471">
      <x:c r="A471" s="32" t="n">
        <x:v>46013</x:v>
      </x:c>
      <x:c r="B471" s="32" t="n">
        <x:v>45992</x:v>
      </x:c>
      <x:c r="C471" t="str">
        <x:v>Actual</x:v>
      </x:c>
      <x:c r="D471" t="str">
        <x:v>DB-105</x:v>
      </x:c>
      <x:c r="E471" s="34" t="n">
        <x:v>35978.67999999999</x:v>
      </x:c>
      <x:c r="F471" s="34" t="n">
        <x:v>0</x:v>
      </x:c>
      <x:c r="G471" s="34" t="n">
        <x:v>321</x:v>
      </x:c>
      <x:c r="H471" s="34" t="n">
        <x:v>321</x:v>
      </x:c>
      <x:c r="I471" s="28" t="n">
        <x:v>1</x:v>
      </x:c>
      <x:c r="J471" s="39" t="n">
        <x:v>321</x:v>
      </x:c>
      <x:c r="K471" s="39" t="n">
        <x:v>3.21</x:v>
      </x:c>
      <x:c r="L471" s="39" t="n">
        <x:v>35660.88999999999</x:v>
      </x:c>
      <x:c r="M471" s="39" t="n">
        <x:v>111.09311526479749</x:v>
      </x:c>
      <x:c r="N471" t="str">
        <x:v>OK</x:v>
      </x:c>
      <x:c r="O471" t="str">
        <x:v>Maintain plan</x:v>
      </x:c>
      <x:c r="P471" s="38" t="n">
        <x:v>0</x:v>
      </x:c>
    </x:row>
    <x:row r="472">
      <x:c r="A472" s="32" t="n">
        <x:v>46020</x:v>
      </x:c>
      <x:c r="B472" s="32" t="n">
        <x:v>45992</x:v>
      </x:c>
      <x:c r="C472" t="str">
        <x:v>Actual</x:v>
      </x:c>
      <x:c r="D472" t="str">
        <x:v>DB-105</x:v>
      </x:c>
      <x:c r="E472" s="34" t="n">
        <x:v>35660.88999999999</x:v>
      </x:c>
      <x:c r="F472" s="34" t="n">
        <x:v>0</x:v>
      </x:c>
      <x:c r="G472" s="34" t="n">
        <x:v>324</x:v>
      </x:c>
      <x:c r="H472" s="34" t="n">
        <x:v>324</x:v>
      </x:c>
      <x:c r="I472" s="28" t="n">
        <x:v>1</x:v>
      </x:c>
      <x:c r="J472" s="39" t="n">
        <x:v>324</x:v>
      </x:c>
      <x:c r="K472" s="39" t="n">
        <x:v>3.24</x:v>
      </x:c>
      <x:c r="L472" s="39" t="n">
        <x:v>35340.12999999999</x:v>
      </x:c>
      <x:c r="M472" s="39" t="n">
        <x:v>109.07447530864195</x:v>
      </x:c>
      <x:c r="N472" t="str">
        <x:v>OK</x:v>
      </x:c>
      <x:c r="O472" t="str">
        <x:v>Maintain plan</x:v>
      </x:c>
      <x:c r="P472" s="38" t="n">
        <x:v>0</x:v>
      </x:c>
    </x:row>
    <x:row r="473">
      <x:c r="A473" s="32" t="n">
        <x:v>46027</x:v>
      </x:c>
      <x:c r="B473" s="32" t="n">
        <x:v>46023</x:v>
      </x:c>
      <x:c r="C473" t="str">
        <x:v>Forecast</x:v>
      </x:c>
      <x:c r="D473" t="str">
        <x:v>DB-105</x:v>
      </x:c>
      <x:c r="E473" s="34" t="n">
        <x:v>35340.12999999999</x:v>
      </x:c>
      <x:c r="F473" s="34" t="n">
        <x:v>0</x:v>
      </x:c>
      <x:c r="G473" s="34" t="n">
        <x:v>393</x:v>
      </x:c>
      <x:c r="H473" s="34" t="n">
        <x:v>393</x:v>
      </x:c>
      <x:c r="I473" s="28" t="n">
        <x:v>1</x:v>
      </x:c>
      <x:c r="J473" s="39" t="n">
        <x:v>393</x:v>
      </x:c>
      <x:c r="K473" s="39" t="n">
        <x:v>3.93</x:v>
      </x:c>
      <x:c r="L473" s="39" t="n">
        <x:v>34951.05999999999</x:v>
      </x:c>
      <x:c r="M473" s="39" t="n">
        <x:v>88.93399491094145</x:v>
      </x:c>
      <x:c r="N473" t="str">
        <x:v>OK</x:v>
      </x:c>
      <x:c r="O473" t="str">
        <x:v>Maintain plan</x:v>
      </x:c>
      <x:c r="P473" s="38" t="n">
        <x:v>0</x:v>
      </x:c>
    </x:row>
    <x:row r="474">
      <x:c r="A474" s="32" t="n">
        <x:v>46034</x:v>
      </x:c>
      <x:c r="B474" s="32" t="n">
        <x:v>46023</x:v>
      </x:c>
      <x:c r="C474" t="str">
        <x:v>Forecast</x:v>
      </x:c>
      <x:c r="D474" t="str">
        <x:v>DB-105</x:v>
      </x:c>
      <x:c r="E474" s="34" t="n">
        <x:v>34951.05999999999</x:v>
      </x:c>
      <x:c r="F474" s="34" t="n">
        <x:v>0</x:v>
      </x:c>
      <x:c r="G474" s="34" t="n">
        <x:v>393</x:v>
      </x:c>
      <x:c r="H474" s="34" t="n">
        <x:v>393</x:v>
      </x:c>
      <x:c r="I474" s="28" t="n">
        <x:v>1</x:v>
      </x:c>
      <x:c r="J474" s="39" t="n">
        <x:v>393</x:v>
      </x:c>
      <x:c r="K474" s="39" t="n">
        <x:v>3.93</x:v>
      </x:c>
      <x:c r="L474" s="39" t="n">
        <x:v>34561.98999999999</x:v>
      </x:c>
      <x:c r="M474" s="39" t="n">
        <x:v>87.94399491094146</x:v>
      </x:c>
      <x:c r="N474" t="str">
        <x:v>OK</x:v>
      </x:c>
      <x:c r="O474" t="str">
        <x:v>Maintain plan</x:v>
      </x:c>
      <x:c r="P474" s="38" t="n">
        <x:v>0</x:v>
      </x:c>
    </x:row>
    <x:row r="475">
      <x:c r="A475" s="32" t="n">
        <x:v>46041</x:v>
      </x:c>
      <x:c r="B475" s="32" t="n">
        <x:v>46023</x:v>
      </x:c>
      <x:c r="C475" t="str">
        <x:v>Forecast</x:v>
      </x:c>
      <x:c r="D475" t="str">
        <x:v>DB-105</x:v>
      </x:c>
      <x:c r="E475" s="34" t="n">
        <x:v>34561.98999999999</x:v>
      </x:c>
      <x:c r="F475" s="34" t="n">
        <x:v>0</x:v>
      </x:c>
      <x:c r="G475" s="34" t="n">
        <x:v>393</x:v>
      </x:c>
      <x:c r="H475" s="34" t="n">
        <x:v>393</x:v>
      </x:c>
      <x:c r="I475" s="28" t="n">
        <x:v>1</x:v>
      </x:c>
      <x:c r="J475" s="39" t="n">
        <x:v>393</x:v>
      </x:c>
      <x:c r="K475" s="39" t="n">
        <x:v>3.93</x:v>
      </x:c>
      <x:c r="L475" s="39" t="n">
        <x:v>34172.91999999999</x:v>
      </x:c>
      <x:c r="M475" s="39" t="n">
        <x:v>86.95399491094145</x:v>
      </x:c>
      <x:c r="N475" t="str">
        <x:v>OK</x:v>
      </x:c>
      <x:c r="O475" t="str">
        <x:v>Maintain plan</x:v>
      </x:c>
      <x:c r="P475" s="38" t="n">
        <x:v>0</x:v>
      </x:c>
    </x:row>
    <x:row r="476">
      <x:c r="A476" s="32" t="n">
        <x:v>46048</x:v>
      </x:c>
      <x:c r="B476" s="32" t="n">
        <x:v>46023</x:v>
      </x:c>
      <x:c r="C476" t="str">
        <x:v>Forecast</x:v>
      </x:c>
      <x:c r="D476" t="str">
        <x:v>DB-105</x:v>
      </x:c>
      <x:c r="E476" s="34" t="n">
        <x:v>34172.91999999999</x:v>
      </x:c>
      <x:c r="F476" s="34" t="n">
        <x:v>0</x:v>
      </x:c>
      <x:c r="G476" s="34" t="n">
        <x:v>393</x:v>
      </x:c>
      <x:c r="H476" s="34" t="n">
        <x:v>393</x:v>
      </x:c>
      <x:c r="I476" s="28" t="n">
        <x:v>1</x:v>
      </x:c>
      <x:c r="J476" s="39" t="n">
        <x:v>393</x:v>
      </x:c>
      <x:c r="K476" s="39" t="n">
        <x:v>3.93</x:v>
      </x:c>
      <x:c r="L476" s="39" t="n">
        <x:v>33783.84999999999</x:v>
      </x:c>
      <x:c r="M476" s="39" t="n">
        <x:v>85.96399491094145</x:v>
      </x:c>
      <x:c r="N476" t="str">
        <x:v>OK</x:v>
      </x:c>
      <x:c r="O476" t="str">
        <x:v>Maintain plan</x:v>
      </x:c>
      <x:c r="P476" s="38" t="n">
        <x:v>0</x:v>
      </x:c>
    </x:row>
    <x:row r="477">
      <x:c r="A477" s="32" t="n">
        <x:v>46055</x:v>
      </x:c>
      <x:c r="B477" s="32" t="n">
        <x:v>46054</x:v>
      </x:c>
      <x:c r="C477" t="str">
        <x:v>Forecast</x:v>
      </x:c>
      <x:c r="D477" t="str">
        <x:v>DB-105</x:v>
      </x:c>
      <x:c r="E477" s="34" t="n">
        <x:v>33783.84999999999</x:v>
      </x:c>
      <x:c r="F477" s="34" t="n">
        <x:v>0</x:v>
      </x:c>
      <x:c r="G477" s="34" t="n">
        <x:v>393</x:v>
      </x:c>
      <x:c r="H477" s="34" t="n">
        <x:v>393</x:v>
      </x:c>
      <x:c r="I477" s="28" t="n">
        <x:v>1</x:v>
      </x:c>
      <x:c r="J477" s="39" t="n">
        <x:v>393</x:v>
      </x:c>
      <x:c r="K477" s="39" t="n">
        <x:v>3.93</x:v>
      </x:c>
      <x:c r="L477" s="39" t="n">
        <x:v>33394.77999999999</x:v>
      </x:c>
      <x:c r="M477" s="39" t="n">
        <x:v>84.97399491094146</x:v>
      </x:c>
      <x:c r="N477" t="str">
        <x:v>OK</x:v>
      </x:c>
      <x:c r="O477" t="str">
        <x:v>Maintain plan</x:v>
      </x:c>
      <x:c r="P477" s="38" t="n">
        <x:v>0</x:v>
      </x:c>
    </x:row>
    <x:row r="478">
      <x:c r="A478" s="32" t="n">
        <x:v>46062</x:v>
      </x:c>
      <x:c r="B478" s="32" t="n">
        <x:v>46054</x:v>
      </x:c>
      <x:c r="C478" t="str">
        <x:v>Forecast</x:v>
      </x:c>
      <x:c r="D478" t="str">
        <x:v>DB-105</x:v>
      </x:c>
      <x:c r="E478" s="34" t="n">
        <x:v>33394.77999999999</x:v>
      </x:c>
      <x:c r="F478" s="34" t="n">
        <x:v>0</x:v>
      </x:c>
      <x:c r="G478" s="34" t="n">
        <x:v>393</x:v>
      </x:c>
      <x:c r="H478" s="34" t="n">
        <x:v>393</x:v>
      </x:c>
      <x:c r="I478" s="28" t="n">
        <x:v>1</x:v>
      </x:c>
      <x:c r="J478" s="39" t="n">
        <x:v>393</x:v>
      </x:c>
      <x:c r="K478" s="39" t="n">
        <x:v>3.93</x:v>
      </x:c>
      <x:c r="L478" s="39" t="n">
        <x:v>33005.70999999999</x:v>
      </x:c>
      <x:c r="M478" s="39" t="n">
        <x:v>83.98399491094146</x:v>
      </x:c>
      <x:c r="N478" t="str">
        <x:v>OK</x:v>
      </x:c>
      <x:c r="O478" t="str">
        <x:v>Maintain plan</x:v>
      </x:c>
      <x:c r="P478" s="38" t="n">
        <x:v>0</x:v>
      </x:c>
    </x:row>
    <x:row r="479">
      <x:c r="A479" s="32" t="n">
        <x:v>46069</x:v>
      </x:c>
      <x:c r="B479" s="32" t="n">
        <x:v>46054</x:v>
      </x:c>
      <x:c r="C479" t="str">
        <x:v>Forecast</x:v>
      </x:c>
      <x:c r="D479" t="str">
        <x:v>DB-105</x:v>
      </x:c>
      <x:c r="E479" s="34" t="n">
        <x:v>33005.70999999999</x:v>
      </x:c>
      <x:c r="F479" s="34" t="n">
        <x:v>0</x:v>
      </x:c>
      <x:c r="G479" s="34" t="n">
        <x:v>393</x:v>
      </x:c>
      <x:c r="H479" s="34" t="n">
        <x:v>393</x:v>
      </x:c>
      <x:c r="I479" s="28" t="n">
        <x:v>1</x:v>
      </x:c>
      <x:c r="J479" s="39" t="n">
        <x:v>393</x:v>
      </x:c>
      <x:c r="K479" s="39" t="n">
        <x:v>3.93</x:v>
      </x:c>
      <x:c r="L479" s="39" t="n">
        <x:v>32616.639999999992</x:v>
      </x:c>
      <x:c r="M479" s="39" t="n">
        <x:v>82.99399491094145</x:v>
      </x:c>
      <x:c r="N479" t="str">
        <x:v>OK</x:v>
      </x:c>
      <x:c r="O479" t="str">
        <x:v>Maintain plan</x:v>
      </x:c>
      <x:c r="P479" s="38" t="n">
        <x:v>0</x:v>
      </x:c>
    </x:row>
    <x:row r="480">
      <x:c r="A480" s="32" t="n">
        <x:v>46076</x:v>
      </x:c>
      <x:c r="B480" s="32" t="n">
        <x:v>46054</x:v>
      </x:c>
      <x:c r="C480" t="str">
        <x:v>Forecast</x:v>
      </x:c>
      <x:c r="D480" t="str">
        <x:v>DB-105</x:v>
      </x:c>
      <x:c r="E480" s="34" t="n">
        <x:v>32616.639999999992</x:v>
      </x:c>
      <x:c r="F480" s="34" t="n">
        <x:v>0</x:v>
      </x:c>
      <x:c r="G480" s="34" t="n">
        <x:v>393</x:v>
      </x:c>
      <x:c r="H480" s="34" t="n">
        <x:v>393</x:v>
      </x:c>
      <x:c r="I480" s="28" t="n">
        <x:v>1</x:v>
      </x:c>
      <x:c r="J480" s="39" t="n">
        <x:v>393</x:v>
      </x:c>
      <x:c r="K480" s="39" t="n">
        <x:v>3.93</x:v>
      </x:c>
      <x:c r="L480" s="39" t="n">
        <x:v>32227.569999999992</x:v>
      </x:c>
      <x:c r="M480" s="39" t="n">
        <x:v>82.00399491094146</x:v>
      </x:c>
      <x:c r="N480" t="str">
        <x:v>OK</x:v>
      </x:c>
      <x:c r="O480" t="str">
        <x:v>Maintain plan</x:v>
      </x:c>
      <x:c r="P480" s="38" t="n">
        <x:v>0</x:v>
      </x:c>
    </x:row>
    <x:row r="481">
      <x:c r="A481" s="32" t="n">
        <x:v>46083</x:v>
      </x:c>
      <x:c r="B481" s="32" t="n">
        <x:v>46082</x:v>
      </x:c>
      <x:c r="C481" t="str">
        <x:v>Forecast</x:v>
      </x:c>
      <x:c r="D481" t="str">
        <x:v>DB-105</x:v>
      </x:c>
      <x:c r="E481" s="34" t="n">
        <x:v>32227.569999999992</x:v>
      </x:c>
      <x:c r="F481" s="34" t="n">
        <x:v>0</x:v>
      </x:c>
      <x:c r="G481" s="34" t="n">
        <x:v>393</x:v>
      </x:c>
      <x:c r="H481" s="34" t="n">
        <x:v>393</x:v>
      </x:c>
      <x:c r="I481" s="28" t="n">
        <x:v>1</x:v>
      </x:c>
      <x:c r="J481" s="39" t="n">
        <x:v>393</x:v>
      </x:c>
      <x:c r="K481" s="39" t="n">
        <x:v>3.93</x:v>
      </x:c>
      <x:c r="L481" s="39" t="n">
        <x:v>31838.499999999993</x:v>
      </x:c>
      <x:c r="M481" s="39" t="n">
        <x:v>81.01399491094146</x:v>
      </x:c>
      <x:c r="N481" t="str">
        <x:v>OK</x:v>
      </x:c>
      <x:c r="O481" t="str">
        <x:v>Maintain plan</x:v>
      </x:c>
      <x:c r="P481" s="38" t="n">
        <x:v>0</x:v>
      </x:c>
    </x:row>
    <x:row r="482">
      <x:c r="A482" s="32" t="n">
        <x:v>46090</x:v>
      </x:c>
      <x:c r="B482" s="32" t="n">
        <x:v>46082</x:v>
      </x:c>
      <x:c r="C482" t="str">
        <x:v>Forecast</x:v>
      </x:c>
      <x:c r="D482" t="str">
        <x:v>DB-105</x:v>
      </x:c>
      <x:c r="E482" s="34" t="n">
        <x:v>31838.499999999993</x:v>
      </x:c>
      <x:c r="F482" s="34" t="n">
        <x:v>0</x:v>
      </x:c>
      <x:c r="G482" s="34" t="n">
        <x:v>393</x:v>
      </x:c>
      <x:c r="H482" s="34" t="n">
        <x:v>393</x:v>
      </x:c>
      <x:c r="I482" s="28" t="n">
        <x:v>1</x:v>
      </x:c>
      <x:c r="J482" s="39" t="n">
        <x:v>393</x:v>
      </x:c>
      <x:c r="K482" s="39" t="n">
        <x:v>3.93</x:v>
      </x:c>
      <x:c r="L482" s="39" t="n">
        <x:v>31449.429999999993</x:v>
      </x:c>
      <x:c r="M482" s="39" t="n">
        <x:v>80.02399491094145</x:v>
      </x:c>
      <x:c r="N482" t="str">
        <x:v>OK</x:v>
      </x:c>
      <x:c r="O482" t="str">
        <x:v>Maintain plan</x:v>
      </x:c>
      <x:c r="P482" s="38" t="n">
        <x:v>0</x:v>
      </x:c>
    </x:row>
    <x:row r="483">
      <x:c r="A483" s="32" t="n">
        <x:v>46097</x:v>
      </x:c>
      <x:c r="B483" s="32" t="n">
        <x:v>46082</x:v>
      </x:c>
      <x:c r="C483" t="str">
        <x:v>Forecast</x:v>
      </x:c>
      <x:c r="D483" t="str">
        <x:v>DB-105</x:v>
      </x:c>
      <x:c r="E483" s="34" t="n">
        <x:v>31449.429999999993</x:v>
      </x:c>
      <x:c r="F483" s="34" t="n">
        <x:v>0</x:v>
      </x:c>
      <x:c r="G483" s="34" t="n">
        <x:v>393</x:v>
      </x:c>
      <x:c r="H483" s="34" t="n">
        <x:v>393</x:v>
      </x:c>
      <x:c r="I483" s="28" t="n">
        <x:v>1</x:v>
      </x:c>
      <x:c r="J483" s="39" t="n">
        <x:v>393</x:v>
      </x:c>
      <x:c r="K483" s="39" t="n">
        <x:v>3.93</x:v>
      </x:c>
      <x:c r="L483" s="39" t="n">
        <x:v>31060.359999999993</x:v>
      </x:c>
      <x:c r="M483" s="39" t="n">
        <x:v>79.03399491094146</x:v>
      </x:c>
      <x:c r="N483" t="str">
        <x:v>OK</x:v>
      </x:c>
      <x:c r="O483" t="str">
        <x:v>Maintain plan</x:v>
      </x:c>
      <x:c r="P483" s="38" t="n">
        <x:v>0</x:v>
      </x:c>
    </x:row>
    <x:row r="484">
      <x:c r="A484" s="32" t="n">
        <x:v>46104</x:v>
      </x:c>
      <x:c r="B484" s="32" t="n">
        <x:v>46082</x:v>
      </x:c>
      <x:c r="C484" t="str">
        <x:v>Forecast</x:v>
      </x:c>
      <x:c r="D484" t="str">
        <x:v>DB-105</x:v>
      </x:c>
      <x:c r="E484" s="34" t="n">
        <x:v>31060.359999999993</x:v>
      </x:c>
      <x:c r="F484" s="34" t="n">
        <x:v>0</x:v>
      </x:c>
      <x:c r="G484" s="34" t="n">
        <x:v>393</x:v>
      </x:c>
      <x:c r="H484" s="34" t="n">
        <x:v>393</x:v>
      </x:c>
      <x:c r="I484" s="28" t="n">
        <x:v>1</x:v>
      </x:c>
      <x:c r="J484" s="39" t="n">
        <x:v>393</x:v>
      </x:c>
      <x:c r="K484" s="39" t="n">
        <x:v>3.93</x:v>
      </x:c>
      <x:c r="L484" s="39" t="n">
        <x:v>30671.289999999994</x:v>
      </x:c>
      <x:c r="M484" s="39" t="n">
        <x:v>78.04399491094146</x:v>
      </x:c>
      <x:c r="N484" t="str">
        <x:v>OK</x:v>
      </x:c>
      <x:c r="O484" t="str">
        <x:v>Maintain plan</x:v>
      </x:c>
      <x:c r="P484" s="38" t="n">
        <x:v>0</x:v>
      </x:c>
    </x:row>
    <x:row r="485">
      <x:c r="A485" s="32" t="n">
        <x:v>46111</x:v>
      </x:c>
      <x:c r="B485" s="32" t="n">
        <x:v>46082</x:v>
      </x:c>
      <x:c r="C485" t="str">
        <x:v>Forecast</x:v>
      </x:c>
      <x:c r="D485" t="str">
        <x:v>DB-105</x:v>
      </x:c>
      <x:c r="E485" s="34" t="n">
        <x:v>30671.289999999994</x:v>
      </x:c>
      <x:c r="F485" s="34" t="n">
        <x:v>0</x:v>
      </x:c>
      <x:c r="G485" s="34" t="n">
        <x:v>393</x:v>
      </x:c>
      <x:c r="H485" s="34" t="n">
        <x:v>393</x:v>
      </x:c>
      <x:c r="I485" s="28" t="n">
        <x:v>1</x:v>
      </x:c>
      <x:c r="J485" s="39" t="n">
        <x:v>393</x:v>
      </x:c>
      <x:c r="K485" s="39" t="n">
        <x:v>3.93</x:v>
      </x:c>
      <x:c r="L485" s="39" t="n">
        <x:v>30282.219999999994</x:v>
      </x:c>
      <x:c r="M485" s="39" t="n">
        <x:v>77.05399491094146</x:v>
      </x:c>
      <x:c r="N485" t="str">
        <x:v>OK</x:v>
      </x:c>
      <x:c r="O485" t="str">
        <x:v>Maintain plan</x:v>
      </x:c>
      <x:c r="P485" s="38" t="n">
        <x:v>0</x:v>
      </x:c>
    </x:row>
    <x:row r="486">
      <x:c r="A486" s="32" t="n">
        <x:v>46118</x:v>
      </x:c>
      <x:c r="B486" s="32" t="n">
        <x:v>46113</x:v>
      </x:c>
      <x:c r="C486" t="str">
        <x:v>Forecast</x:v>
      </x:c>
      <x:c r="D486" t="str">
        <x:v>DB-105</x:v>
      </x:c>
      <x:c r="E486" s="34" t="n">
        <x:v>30282.219999999994</x:v>
      </x:c>
      <x:c r="F486" s="34" t="n">
        <x:v>0</x:v>
      </x:c>
      <x:c r="G486" s="34" t="n">
        <x:v>393</x:v>
      </x:c>
      <x:c r="H486" s="34" t="n">
        <x:v>393</x:v>
      </x:c>
      <x:c r="I486" s="28" t="n">
        <x:v>1</x:v>
      </x:c>
      <x:c r="J486" s="39" t="n">
        <x:v>393</x:v>
      </x:c>
      <x:c r="K486" s="39" t="n">
        <x:v>3.93</x:v>
      </x:c>
      <x:c r="L486" s="39" t="n">
        <x:v>29893.149999999994</x:v>
      </x:c>
      <x:c r="M486" s="39" t="n">
        <x:v>76.06399491094146</x:v>
      </x:c>
      <x:c r="N486" t="str">
        <x:v>OK</x:v>
      </x:c>
      <x:c r="O486" t="str">
        <x:v>Maintain plan</x:v>
      </x:c>
      <x:c r="P486" s="38" t="n">
        <x:v>0</x:v>
      </x:c>
    </x:row>
    <x:row r="487">
      <x:c r="A487" s="32" t="n">
        <x:v>46125</x:v>
      </x:c>
      <x:c r="B487" s="32" t="n">
        <x:v>46113</x:v>
      </x:c>
      <x:c r="C487" t="str">
        <x:v>Forecast</x:v>
      </x:c>
      <x:c r="D487" t="str">
        <x:v>DB-105</x:v>
      </x:c>
      <x:c r="E487" s="34" t="n">
        <x:v>29893.149999999994</x:v>
      </x:c>
      <x:c r="F487" s="34" t="n">
        <x:v>0</x:v>
      </x:c>
      <x:c r="G487" s="34" t="n">
        <x:v>393</x:v>
      </x:c>
      <x:c r="H487" s="34" t="n">
        <x:v>393</x:v>
      </x:c>
      <x:c r="I487" s="28" t="n">
        <x:v>1</x:v>
      </x:c>
      <x:c r="J487" s="39" t="n">
        <x:v>393</x:v>
      </x:c>
      <x:c r="K487" s="39" t="n">
        <x:v>3.93</x:v>
      </x:c>
      <x:c r="L487" s="39" t="n">
        <x:v>29504.079999999994</x:v>
      </x:c>
      <x:c r="M487" s="39" t="n">
        <x:v>75.07399491094147</x:v>
      </x:c>
      <x:c r="N487" t="str">
        <x:v>OK</x:v>
      </x:c>
      <x:c r="O487" t="str">
        <x:v>Maintain plan</x:v>
      </x:c>
      <x:c r="P487" s="38" t="n">
        <x:v>0</x:v>
      </x:c>
    </x:row>
    <x:row r="488">
      <x:c r="A488" s="32" t="n">
        <x:v>46132</x:v>
      </x:c>
      <x:c r="B488" s="32" t="n">
        <x:v>46113</x:v>
      </x:c>
      <x:c r="C488" t="str">
        <x:v>Forecast</x:v>
      </x:c>
      <x:c r="D488" t="str">
        <x:v>DB-105</x:v>
      </x:c>
      <x:c r="E488" s="34" t="n">
        <x:v>29504.079999999994</x:v>
      </x:c>
      <x:c r="F488" s="34" t="n">
        <x:v>0</x:v>
      </x:c>
      <x:c r="G488" s="34" t="n">
        <x:v>393</x:v>
      </x:c>
      <x:c r="H488" s="34" t="n">
        <x:v>393</x:v>
      </x:c>
      <x:c r="I488" s="28" t="n">
        <x:v>1</x:v>
      </x:c>
      <x:c r="J488" s="39" t="n">
        <x:v>393</x:v>
      </x:c>
      <x:c r="K488" s="39" t="n">
        <x:v>3.93</x:v>
      </x:c>
      <x:c r="L488" s="39" t="n">
        <x:v>29115.009999999995</x:v>
      </x:c>
      <x:c r="M488" s="39" t="n">
        <x:v>74.08399491094146</x:v>
      </x:c>
      <x:c r="N488" t="str">
        <x:v>OK</x:v>
      </x:c>
      <x:c r="O488" t="str">
        <x:v>Maintain plan</x:v>
      </x:c>
      <x:c r="P488" s="38" t="n">
        <x:v>0</x:v>
      </x:c>
    </x:row>
    <x:row r="489">
      <x:c r="A489" s="32" t="n">
        <x:v>46139</x:v>
      </x:c>
      <x:c r="B489" s="32" t="n">
        <x:v>46113</x:v>
      </x:c>
      <x:c r="C489" t="str">
        <x:v>Forecast</x:v>
      </x:c>
      <x:c r="D489" t="str">
        <x:v>DB-105</x:v>
      </x:c>
      <x:c r="E489" s="34" t="n">
        <x:v>29115.009999999995</x:v>
      </x:c>
      <x:c r="F489" s="34" t="n">
        <x:v>0</x:v>
      </x:c>
      <x:c r="G489" s="34" t="n">
        <x:v>393</x:v>
      </x:c>
      <x:c r="H489" s="34" t="n">
        <x:v>393</x:v>
      </x:c>
      <x:c r="I489" s="28" t="n">
        <x:v>1</x:v>
      </x:c>
      <x:c r="J489" s="39" t="n">
        <x:v>393</x:v>
      </x:c>
      <x:c r="K489" s="39" t="n">
        <x:v>3.93</x:v>
      </x:c>
      <x:c r="L489" s="39" t="n">
        <x:v>28725.939999999995</x:v>
      </x:c>
      <x:c r="M489" s="39" t="n">
        <x:v>73.09399491094146</x:v>
      </x:c>
      <x:c r="N489" t="str">
        <x:v>OK</x:v>
      </x:c>
      <x:c r="O489" t="str">
        <x:v>Maintain plan</x:v>
      </x:c>
      <x:c r="P489" s="38" t="n">
        <x:v>0</x:v>
      </x:c>
    </x:row>
    <x:row r="490">
      <x:c r="A490" s="32" t="n">
        <x:v>46146</x:v>
      </x:c>
      <x:c r="B490" s="32" t="n">
        <x:v>46143</x:v>
      </x:c>
      <x:c r="C490" t="str">
        <x:v>Forecast</x:v>
      </x:c>
      <x:c r="D490" t="str">
        <x:v>DB-105</x:v>
      </x:c>
      <x:c r="E490" s="34" t="n">
        <x:v>28725.939999999995</x:v>
      </x:c>
      <x:c r="F490" s="34" t="n">
        <x:v>0</x:v>
      </x:c>
      <x:c r="G490" s="34" t="n">
        <x:v>393</x:v>
      </x:c>
      <x:c r="H490" s="34" t="n">
        <x:v>393</x:v>
      </x:c>
      <x:c r="I490" s="28" t="n">
        <x:v>1</x:v>
      </x:c>
      <x:c r="J490" s="39" t="n">
        <x:v>393</x:v>
      </x:c>
      <x:c r="K490" s="39" t="n">
        <x:v>3.93</x:v>
      </x:c>
      <x:c r="L490" s="39" t="n">
        <x:v>28336.869999999995</x:v>
      </x:c>
      <x:c r="M490" s="39" t="n">
        <x:v>72.10399491094147</x:v>
      </x:c>
      <x:c r="N490" t="str">
        <x:v>OK</x:v>
      </x:c>
      <x:c r="O490" t="str">
        <x:v>Maintain plan</x:v>
      </x:c>
      <x:c r="P490" s="38" t="n">
        <x:v>0</x:v>
      </x:c>
    </x:row>
    <x:row r="491">
      <x:c r="A491" s="32" t="n">
        <x:v>46153</x:v>
      </x:c>
      <x:c r="B491" s="32" t="n">
        <x:v>46143</x:v>
      </x:c>
      <x:c r="C491" t="str">
        <x:v>Forecast</x:v>
      </x:c>
      <x:c r="D491" t="str">
        <x:v>DB-105</x:v>
      </x:c>
      <x:c r="E491" s="34" t="n">
        <x:v>28336.869999999995</x:v>
      </x:c>
      <x:c r="F491" s="34" t="n">
        <x:v>0</x:v>
      </x:c>
      <x:c r="G491" s="34" t="n">
        <x:v>393</x:v>
      </x:c>
      <x:c r="H491" s="34" t="n">
        <x:v>393</x:v>
      </x:c>
      <x:c r="I491" s="28" t="n">
        <x:v>1</x:v>
      </x:c>
      <x:c r="J491" s="39" t="n">
        <x:v>393</x:v>
      </x:c>
      <x:c r="K491" s="39" t="n">
        <x:v>3.93</x:v>
      </x:c>
      <x:c r="L491" s="39" t="n">
        <x:v>27947.799999999996</x:v>
      </x:c>
      <x:c r="M491" s="39" t="n">
        <x:v>71.11399491094147</x:v>
      </x:c>
      <x:c r="N491" t="str">
        <x:v>OK</x:v>
      </x:c>
      <x:c r="O491" t="str">
        <x:v>Maintain plan</x:v>
      </x:c>
      <x:c r="P491" s="38" t="n">
        <x:v>0</x:v>
      </x:c>
    </x:row>
    <x:row r="492">
      <x:c r="A492" s="32" t="n">
        <x:v>46160</x:v>
      </x:c>
      <x:c r="B492" s="32" t="n">
        <x:v>46143</x:v>
      </x:c>
      <x:c r="C492" t="str">
        <x:v>Forecast</x:v>
      </x:c>
      <x:c r="D492" t="str">
        <x:v>DB-105</x:v>
      </x:c>
      <x:c r="E492" s="34" t="n">
        <x:v>27947.799999999996</x:v>
      </x:c>
      <x:c r="F492" s="34" t="n">
        <x:v>0</x:v>
      </x:c>
      <x:c r="G492" s="34" t="n">
        <x:v>393</x:v>
      </x:c>
      <x:c r="H492" s="34" t="n">
        <x:v>393</x:v>
      </x:c>
      <x:c r="I492" s="28" t="n">
        <x:v>1</x:v>
      </x:c>
      <x:c r="J492" s="39" t="n">
        <x:v>393</x:v>
      </x:c>
      <x:c r="K492" s="39" t="n">
        <x:v>3.93</x:v>
      </x:c>
      <x:c r="L492" s="39" t="n">
        <x:v>27558.729999999996</x:v>
      </x:c>
      <x:c r="M492" s="39" t="n">
        <x:v>70.12399491094146</x:v>
      </x:c>
      <x:c r="N492" t="str">
        <x:v>OK</x:v>
      </x:c>
      <x:c r="O492" t="str">
        <x:v>Maintain plan</x:v>
      </x:c>
      <x:c r="P492" s="38" t="n">
        <x:v>0</x:v>
      </x:c>
    </x:row>
    <x:row r="493">
      <x:c r="A493" s="32" t="n">
        <x:v>46167</x:v>
      </x:c>
      <x:c r="B493" s="32" t="n">
        <x:v>46143</x:v>
      </x:c>
      <x:c r="C493" t="str">
        <x:v>Forecast</x:v>
      </x:c>
      <x:c r="D493" t="str">
        <x:v>DB-105</x:v>
      </x:c>
      <x:c r="E493" s="34" t="n">
        <x:v>27558.729999999996</x:v>
      </x:c>
      <x:c r="F493" s="34" t="n">
        <x:v>0</x:v>
      </x:c>
      <x:c r="G493" s="34" t="n">
        <x:v>393</x:v>
      </x:c>
      <x:c r="H493" s="34" t="n">
        <x:v>393</x:v>
      </x:c>
      <x:c r="I493" s="28" t="n">
        <x:v>1</x:v>
      </x:c>
      <x:c r="J493" s="39" t="n">
        <x:v>393</x:v>
      </x:c>
      <x:c r="K493" s="39" t="n">
        <x:v>3.93</x:v>
      </x:c>
      <x:c r="L493" s="39" t="n">
        <x:v>27169.659999999996</x:v>
      </x:c>
      <x:c r="M493" s="39" t="n">
        <x:v>69.13399491094147</x:v>
      </x:c>
      <x:c r="N493" t="str">
        <x:v>OK</x:v>
      </x:c>
      <x:c r="O493" t="str">
        <x:v>Maintain plan</x:v>
      </x:c>
      <x:c r="P493" s="38" t="n">
        <x:v>0</x:v>
      </x:c>
    </x:row>
    <x:row r="494">
      <x:c r="A494" s="32" t="n">
        <x:v>46174</x:v>
      </x:c>
      <x:c r="B494" s="32" t="n">
        <x:v>46174</x:v>
      </x:c>
      <x:c r="C494" t="str">
        <x:v>Forecast</x:v>
      </x:c>
      <x:c r="D494" t="str">
        <x:v>DB-105</x:v>
      </x:c>
      <x:c r="E494" s="34" t="n">
        <x:v>27169.659999999996</x:v>
      </x:c>
      <x:c r="F494" s="34" t="n">
        <x:v>0</x:v>
      </x:c>
      <x:c r="G494" s="34" t="n">
        <x:v>393</x:v>
      </x:c>
      <x:c r="H494" s="34" t="n">
        <x:v>393</x:v>
      </x:c>
      <x:c r="I494" s="28" t="n">
        <x:v>1</x:v>
      </x:c>
      <x:c r="J494" s="39" t="n">
        <x:v>393</x:v>
      </x:c>
      <x:c r="K494" s="39" t="n">
        <x:v>3.93</x:v>
      </x:c>
      <x:c r="L494" s="39" t="n">
        <x:v>26780.589999999997</x:v>
      </x:c>
      <x:c r="M494" s="39" t="n">
        <x:v>68.14399491094147</x:v>
      </x:c>
      <x:c r="N494" t="str">
        <x:v>OK</x:v>
      </x:c>
      <x:c r="O494" t="str">
        <x:v>Maintain plan</x:v>
      </x:c>
      <x:c r="P494" s="38" t="n">
        <x:v>0</x:v>
      </x:c>
    </x:row>
    <x:row r="495">
      <x:c r="A495" s="32" t="n">
        <x:v>46181</x:v>
      </x:c>
      <x:c r="B495" s="32" t="n">
        <x:v>46174</x:v>
      </x:c>
      <x:c r="C495" t="str">
        <x:v>Forecast</x:v>
      </x:c>
      <x:c r="D495" t="str">
        <x:v>DB-105</x:v>
      </x:c>
      <x:c r="E495" s="34" t="n">
        <x:v>26780.589999999997</x:v>
      </x:c>
      <x:c r="F495" s="34" t="n">
        <x:v>0</x:v>
      </x:c>
      <x:c r="G495" s="34" t="n">
        <x:v>393</x:v>
      </x:c>
      <x:c r="H495" s="34" t="n">
        <x:v>393</x:v>
      </x:c>
      <x:c r="I495" s="28" t="n">
        <x:v>1</x:v>
      </x:c>
      <x:c r="J495" s="39" t="n">
        <x:v>393</x:v>
      </x:c>
      <x:c r="K495" s="39" t="n">
        <x:v>3.93</x:v>
      </x:c>
      <x:c r="L495" s="39" t="n">
        <x:v>26391.519999999997</x:v>
      </x:c>
      <x:c r="M495" s="39" t="n">
        <x:v>67.15399491094146</x:v>
      </x:c>
      <x:c r="N495" t="str">
        <x:v>OK</x:v>
      </x:c>
      <x:c r="O495" t="str">
        <x:v>Maintain plan</x:v>
      </x:c>
      <x:c r="P495" s="38" t="n">
        <x:v>0</x:v>
      </x:c>
    </x:row>
    <x:row r="496">
      <x:c r="A496" s="32" t="n">
        <x:v>46188</x:v>
      </x:c>
      <x:c r="B496" s="32" t="n">
        <x:v>46174</x:v>
      </x:c>
      <x:c r="C496" t="str">
        <x:v>Forecast</x:v>
      </x:c>
      <x:c r="D496" t="str">
        <x:v>DB-105</x:v>
      </x:c>
      <x:c r="E496" s="34" t="n">
        <x:v>26391.519999999997</x:v>
      </x:c>
      <x:c r="F496" s="34" t="n">
        <x:v>0</x:v>
      </x:c>
      <x:c r="G496" s="34" t="n">
        <x:v>393</x:v>
      </x:c>
      <x:c r="H496" s="34" t="n">
        <x:v>393</x:v>
      </x:c>
      <x:c r="I496" s="28" t="n">
        <x:v>1</x:v>
      </x:c>
      <x:c r="J496" s="39" t="n">
        <x:v>393</x:v>
      </x:c>
      <x:c r="K496" s="39" t="n">
        <x:v>3.93</x:v>
      </x:c>
      <x:c r="L496" s="39" t="n">
        <x:v>26002.449999999997</x:v>
      </x:c>
      <x:c r="M496" s="39" t="n">
        <x:v>66.16399491094147</x:v>
      </x:c>
      <x:c r="N496" t="str">
        <x:v>OK</x:v>
      </x:c>
      <x:c r="O496" t="str">
        <x:v>Maintain plan</x:v>
      </x:c>
      <x:c r="P496" s="38" t="n">
        <x:v>0</x:v>
      </x:c>
    </x:row>
    <x:row r="497">
      <x:c r="A497" s="32" t="n">
        <x:v>46195</x:v>
      </x:c>
      <x:c r="B497" s="32" t="n">
        <x:v>46174</x:v>
      </x:c>
      <x:c r="C497" t="str">
        <x:v>Forecast</x:v>
      </x:c>
      <x:c r="D497" t="str">
        <x:v>DB-105</x:v>
      </x:c>
      <x:c r="E497" s="34" t="n">
        <x:v>26002.449999999997</x:v>
      </x:c>
      <x:c r="F497" s="34" t="n">
        <x:v>0</x:v>
      </x:c>
      <x:c r="G497" s="34" t="n">
        <x:v>393</x:v>
      </x:c>
      <x:c r="H497" s="34" t="n">
        <x:v>393</x:v>
      </x:c>
      <x:c r="I497" s="28" t="n">
        <x:v>1</x:v>
      </x:c>
      <x:c r="J497" s="39" t="n">
        <x:v>393</x:v>
      </x:c>
      <x:c r="K497" s="39" t="n">
        <x:v>3.93</x:v>
      </x:c>
      <x:c r="L497" s="39" t="n">
        <x:v>25613.379999999997</x:v>
      </x:c>
      <x:c r="M497" s="39" t="n">
        <x:v>65.17399491094147</x:v>
      </x:c>
      <x:c r="N497" t="str">
        <x:v>OK</x:v>
      </x:c>
      <x:c r="O497" t="str">
        <x:v>Maintain plan</x:v>
      </x:c>
      <x:c r="P497" s="38" t="n">
        <x:v>0</x:v>
      </x:c>
    </x:row>
    <x:row r="498">
      <x:c r="A498" s="32" t="n">
        <x:v>46202</x:v>
      </x:c>
      <x:c r="B498" s="32" t="n">
        <x:v>46174</x:v>
      </x:c>
      <x:c r="C498" t="str">
        <x:v>Forecast</x:v>
      </x:c>
      <x:c r="D498" t="str">
        <x:v>DB-105</x:v>
      </x:c>
      <x:c r="E498" s="34" t="n">
        <x:v>25613.379999999997</x:v>
      </x:c>
      <x:c r="F498" s="34" t="n">
        <x:v>0</x:v>
      </x:c>
      <x:c r="G498" s="34" t="n">
        <x:v>393</x:v>
      </x:c>
      <x:c r="H498" s="34" t="n">
        <x:v>393</x:v>
      </x:c>
      <x:c r="I498" s="28" t="n">
        <x:v>1</x:v>
      </x:c>
      <x:c r="J498" s="39" t="n">
        <x:v>393</x:v>
      </x:c>
      <x:c r="K498" s="39" t="n">
        <x:v>3.93</x:v>
      </x:c>
      <x:c r="L498" s="39" t="n">
        <x:v>25224.309999999998</x:v>
      </x:c>
      <x:c r="M498" s="39" t="n">
        <x:v>64.18399491094146</x:v>
      </x:c>
      <x:c r="N498" t="str">
        <x:v>OK</x:v>
      </x:c>
      <x:c r="O498" t="str">
        <x:v>Maintain plan</x:v>
      </x:c>
      <x:c r="P498" s="38" t="n">
        <x:v>0</x:v>
      </x:c>
    </x:row>
    <x:row r="499">
      <x:c r="A499" s="32" t="n">
        <x:v>46209</x:v>
      </x:c>
      <x:c r="B499" s="32" t="n">
        <x:v>46204</x:v>
      </x:c>
      <x:c r="C499" t="str">
        <x:v>Forecast</x:v>
      </x:c>
      <x:c r="D499" t="str">
        <x:v>DB-105</x:v>
      </x:c>
      <x:c r="E499" s="34" t="n">
        <x:v>25224.309999999998</x:v>
      </x:c>
      <x:c r="F499" s="34" t="n">
        <x:v>0</x:v>
      </x:c>
      <x:c r="G499" s="34" t="n">
        <x:v>393</x:v>
      </x:c>
      <x:c r="H499" s="34" t="n">
        <x:v>393</x:v>
      </x:c>
      <x:c r="I499" s="28" t="n">
        <x:v>1</x:v>
      </x:c>
      <x:c r="J499" s="39" t="n">
        <x:v>393</x:v>
      </x:c>
      <x:c r="K499" s="39" t="n">
        <x:v>3.93</x:v>
      </x:c>
      <x:c r="L499" s="39" t="n">
        <x:v>24835.239999999998</x:v>
      </x:c>
      <x:c r="M499" s="39" t="n">
        <x:v>63.19399491094147</x:v>
      </x:c>
      <x:c r="N499" t="str">
        <x:v>OK</x:v>
      </x:c>
      <x:c r="O499" t="str">
        <x:v>Maintain plan</x:v>
      </x:c>
      <x:c r="P499" s="38" t="n">
        <x:v>0</x:v>
      </x:c>
    </x:row>
    <x:row r="500">
      <x:c r="A500" s="32" t="n">
        <x:v>46216</x:v>
      </x:c>
      <x:c r="B500" s="32" t="n">
        <x:v>46204</x:v>
      </x:c>
      <x:c r="C500" t="str">
        <x:v>Forecast</x:v>
      </x:c>
      <x:c r="D500" t="str">
        <x:v>DB-105</x:v>
      </x:c>
      <x:c r="E500" s="34" t="n">
        <x:v>24835.239999999998</x:v>
      </x:c>
      <x:c r="F500" s="34" t="n">
        <x:v>0</x:v>
      </x:c>
      <x:c r="G500" s="34" t="n">
        <x:v>393</x:v>
      </x:c>
      <x:c r="H500" s="34" t="n">
        <x:v>393</x:v>
      </x:c>
      <x:c r="I500" s="28" t="n">
        <x:v>1</x:v>
      </x:c>
      <x:c r="J500" s="39" t="n">
        <x:v>393</x:v>
      </x:c>
      <x:c r="K500" s="39" t="n">
        <x:v>3.93</x:v>
      </x:c>
      <x:c r="L500" s="39" t="n">
        <x:v>24446.17</x:v>
      </x:c>
      <x:c r="M500" s="39" t="n">
        <x:v>62.203994910941475</x:v>
      </x:c>
      <x:c r="N500" t="str">
        <x:v>OK</x:v>
      </x:c>
      <x:c r="O500" t="str">
        <x:v>Maintain plan</x:v>
      </x:c>
      <x:c r="P500" s="38" t="n">
        <x:v>0</x:v>
      </x:c>
    </x:row>
    <x:row r="501">
      <x:c r="A501" s="32" t="n">
        <x:v>46223</x:v>
      </x:c>
      <x:c r="B501" s="32" t="n">
        <x:v>46204</x:v>
      </x:c>
      <x:c r="C501" t="str">
        <x:v>Forecast</x:v>
      </x:c>
      <x:c r="D501" t="str">
        <x:v>DB-105</x:v>
      </x:c>
      <x:c r="E501" s="34" t="n">
        <x:v>24446.17</x:v>
      </x:c>
      <x:c r="F501" s="34" t="n">
        <x:v>0</x:v>
      </x:c>
      <x:c r="G501" s="34" t="n">
        <x:v>393</x:v>
      </x:c>
      <x:c r="H501" s="34" t="n">
        <x:v>393</x:v>
      </x:c>
      <x:c r="I501" s="28" t="n">
        <x:v>1</x:v>
      </x:c>
      <x:c r="J501" s="39" t="n">
        <x:v>393</x:v>
      </x:c>
      <x:c r="K501" s="39" t="n">
        <x:v>3.93</x:v>
      </x:c>
      <x:c r="L501" s="39" t="n">
        <x:v>24057.1</x:v>
      </x:c>
      <x:c r="M501" s="39" t="n">
        <x:v>61.21399491094147</x:v>
      </x:c>
      <x:c r="N501" t="str">
        <x:v>OK</x:v>
      </x:c>
      <x:c r="O501" t="str">
        <x:v>Maintain plan</x:v>
      </x:c>
      <x:c r="P501" s="38" t="n">
        <x:v>0</x:v>
      </x:c>
    </x:row>
    <x:row r="502">
      <x:c r="A502" s="32" t="n">
        <x:v>46230</x:v>
      </x:c>
      <x:c r="B502" s="32" t="n">
        <x:v>46204</x:v>
      </x:c>
      <x:c r="C502" t="str">
        <x:v>Forecast</x:v>
      </x:c>
      <x:c r="D502" t="str">
        <x:v>DB-105</x:v>
      </x:c>
      <x:c r="E502" s="34" t="n">
        <x:v>24057.1</x:v>
      </x:c>
      <x:c r="F502" s="34" t="n">
        <x:v>0</x:v>
      </x:c>
      <x:c r="G502" s="34" t="n">
        <x:v>393</x:v>
      </x:c>
      <x:c r="H502" s="34" t="n">
        <x:v>393</x:v>
      </x:c>
      <x:c r="I502" s="28" t="n">
        <x:v>1</x:v>
      </x:c>
      <x:c r="J502" s="39" t="n">
        <x:v>393</x:v>
      </x:c>
      <x:c r="K502" s="39" t="n">
        <x:v>3.93</x:v>
      </x:c>
      <x:c r="L502" s="39" t="n">
        <x:v>23668.03</x:v>
      </x:c>
      <x:c r="M502" s="39" t="n">
        <x:v>60.22399491094147</x:v>
      </x:c>
      <x:c r="N502" t="str">
        <x:v>OK</x:v>
      </x:c>
      <x:c r="O502" t="str">
        <x:v>Maintain plan</x:v>
      </x:c>
      <x:c r="P502" s="38" t="n">
        <x:v>0</x:v>
      </x:c>
    </x:row>
    <x:row r="503">
      <x:c r="A503" s="32" t="n">
        <x:v>46237</x:v>
      </x:c>
      <x:c r="B503" s="32" t="n">
        <x:v>46235</x:v>
      </x:c>
      <x:c r="C503" t="str">
        <x:v>Forecast</x:v>
      </x:c>
      <x:c r="D503" t="str">
        <x:v>DB-105</x:v>
      </x:c>
      <x:c r="E503" s="34" t="n">
        <x:v>23668.03</x:v>
      </x:c>
      <x:c r="F503" s="34" t="n">
        <x:v>0</x:v>
      </x:c>
      <x:c r="G503" s="34" t="n">
        <x:v>393</x:v>
      </x:c>
      <x:c r="H503" s="34" t="n">
        <x:v>393</x:v>
      </x:c>
      <x:c r="I503" s="28" t="n">
        <x:v>1</x:v>
      </x:c>
      <x:c r="J503" s="39" t="n">
        <x:v>393</x:v>
      </x:c>
      <x:c r="K503" s="39" t="n">
        <x:v>3.93</x:v>
      </x:c>
      <x:c r="L503" s="39" t="n">
        <x:v>23278.96</x:v>
      </x:c>
      <x:c r="M503" s="39" t="n">
        <x:v>59.233994910941476</x:v>
      </x:c>
      <x:c r="N503" t="str">
        <x:v>OK</x:v>
      </x:c>
      <x:c r="O503" t="str">
        <x:v>Maintain plan</x:v>
      </x:c>
      <x:c r="P503" s="38" t="n">
        <x:v>0</x:v>
      </x:c>
    </x:row>
    <x:row r="504">
      <x:c r="A504" s="32" t="n">
        <x:v>46244</x:v>
      </x:c>
      <x:c r="B504" s="32" t="n">
        <x:v>46235</x:v>
      </x:c>
      <x:c r="C504" t="str">
        <x:v>Forecast</x:v>
      </x:c>
      <x:c r="D504" t="str">
        <x:v>DB-105</x:v>
      </x:c>
      <x:c r="E504" s="34" t="n">
        <x:v>23278.96</x:v>
      </x:c>
      <x:c r="F504" s="34" t="n">
        <x:v>0</x:v>
      </x:c>
      <x:c r="G504" s="34" t="n">
        <x:v>393</x:v>
      </x:c>
      <x:c r="H504" s="34" t="n">
        <x:v>393</x:v>
      </x:c>
      <x:c r="I504" s="28" t="n">
        <x:v>1</x:v>
      </x:c>
      <x:c r="J504" s="39" t="n">
        <x:v>393</x:v>
      </x:c>
      <x:c r="K504" s="39" t="n">
        <x:v>3.93</x:v>
      </x:c>
      <x:c r="L504" s="39" t="n">
        <x:v>22889.89</x:v>
      </x:c>
      <x:c r="M504" s="39" t="n">
        <x:v>58.243994910941474</x:v>
      </x:c>
      <x:c r="N504" t="str">
        <x:v>OK</x:v>
      </x:c>
      <x:c r="O504" t="str">
        <x:v>Maintain plan</x:v>
      </x:c>
      <x:c r="P504" s="38" t="n">
        <x:v>0</x:v>
      </x:c>
    </x:row>
    <x:row r="505">
      <x:c r="A505" s="32" t="n">
        <x:v>46251</x:v>
      </x:c>
      <x:c r="B505" s="32" t="n">
        <x:v>46235</x:v>
      </x:c>
      <x:c r="C505" t="str">
        <x:v>Forecast</x:v>
      </x:c>
      <x:c r="D505" t="str">
        <x:v>DB-105</x:v>
      </x:c>
      <x:c r="E505" s="34" t="n">
        <x:v>22889.89</x:v>
      </x:c>
      <x:c r="F505" s="34" t="n">
        <x:v>0</x:v>
      </x:c>
      <x:c r="G505" s="34" t="n">
        <x:v>393</x:v>
      </x:c>
      <x:c r="H505" s="34" t="n">
        <x:v>393</x:v>
      </x:c>
      <x:c r="I505" s="28" t="n">
        <x:v>1</x:v>
      </x:c>
      <x:c r="J505" s="39" t="n">
        <x:v>393</x:v>
      </x:c>
      <x:c r="K505" s="39" t="n">
        <x:v>3.93</x:v>
      </x:c>
      <x:c r="L505" s="39" t="n">
        <x:v>22500.82</x:v>
      </x:c>
      <x:c r="M505" s="39" t="n">
        <x:v>57.25399491094147</x:v>
      </x:c>
      <x:c r="N505" t="str">
        <x:v>OK</x:v>
      </x:c>
      <x:c r="O505" t="str">
        <x:v>Maintain plan</x:v>
      </x:c>
      <x:c r="P505" s="38" t="n">
        <x:v>0</x:v>
      </x:c>
    </x:row>
    <x:row r="506">
      <x:c r="A506" s="32" t="n">
        <x:v>46258</x:v>
      </x:c>
      <x:c r="B506" s="32" t="n">
        <x:v>46235</x:v>
      </x:c>
      <x:c r="C506" t="str">
        <x:v>Forecast</x:v>
      </x:c>
      <x:c r="D506" t="str">
        <x:v>DB-105</x:v>
      </x:c>
      <x:c r="E506" s="34" t="n">
        <x:v>22500.82</x:v>
      </x:c>
      <x:c r="F506" s="34" t="n">
        <x:v>0</x:v>
      </x:c>
      <x:c r="G506" s="34" t="n">
        <x:v>393</x:v>
      </x:c>
      <x:c r="H506" s="34" t="n">
        <x:v>393</x:v>
      </x:c>
      <x:c r="I506" s="28" t="n">
        <x:v>1</x:v>
      </x:c>
      <x:c r="J506" s="39" t="n">
        <x:v>393</x:v>
      </x:c>
      <x:c r="K506" s="39" t="n">
        <x:v>3.93</x:v>
      </x:c>
      <x:c r="L506" s="39" t="n">
        <x:v>22111.75</x:v>
      </x:c>
      <x:c r="M506" s="39" t="n">
        <x:v>56.26399491094148</x:v>
      </x:c>
      <x:c r="N506" t="str">
        <x:v>OK</x:v>
      </x:c>
      <x:c r="O506" t="str">
        <x:v>Maintain plan</x:v>
      </x:c>
      <x:c r="P506" s="38" t="n">
        <x:v>0</x:v>
      </x:c>
    </x:row>
    <x:row r="507">
      <x:c r="A507" s="32" t="n">
        <x:v>46265</x:v>
      </x:c>
      <x:c r="B507" s="32" t="n">
        <x:v>46235</x:v>
      </x:c>
      <x:c r="C507" t="str">
        <x:v>Forecast</x:v>
      </x:c>
      <x:c r="D507" t="str">
        <x:v>DB-105</x:v>
      </x:c>
      <x:c r="E507" s="34" t="n">
        <x:v>22111.75</x:v>
      </x:c>
      <x:c r="F507" s="34" t="n">
        <x:v>0</x:v>
      </x:c>
      <x:c r="G507" s="34" t="n">
        <x:v>393</x:v>
      </x:c>
      <x:c r="H507" s="34" t="n">
        <x:v>393</x:v>
      </x:c>
      <x:c r="I507" s="28" t="n">
        <x:v>1</x:v>
      </x:c>
      <x:c r="J507" s="39" t="n">
        <x:v>393</x:v>
      </x:c>
      <x:c r="K507" s="39" t="n">
        <x:v>3.93</x:v>
      </x:c>
      <x:c r="L507" s="39" t="n">
        <x:v>21722.68</x:v>
      </x:c>
      <x:c r="M507" s="39" t="n">
        <x:v>55.273994910941475</x:v>
      </x:c>
      <x:c r="N507" t="str">
        <x:v>OK</x:v>
      </x:c>
      <x:c r="O507" t="str">
        <x:v>Maintain plan</x:v>
      </x:c>
      <x:c r="P507" s="38" t="n">
        <x:v>0</x:v>
      </x:c>
    </x:row>
    <x:row r="508">
      <x:c r="A508" s="32" t="n">
        <x:v>46272</x:v>
      </x:c>
      <x:c r="B508" s="32" t="n">
        <x:v>46266</x:v>
      </x:c>
      <x:c r="C508" t="str">
        <x:v>Forecast</x:v>
      </x:c>
      <x:c r="D508" t="str">
        <x:v>DB-105</x:v>
      </x:c>
      <x:c r="E508" s="34" t="n">
        <x:v>21722.68</x:v>
      </x:c>
      <x:c r="F508" s="34" t="n">
        <x:v>0</x:v>
      </x:c>
      <x:c r="G508" s="34" t="n">
        <x:v>393</x:v>
      </x:c>
      <x:c r="H508" s="34" t="n">
        <x:v>393</x:v>
      </x:c>
      <x:c r="I508" s="28" t="n">
        <x:v>1</x:v>
      </x:c>
      <x:c r="J508" s="39" t="n">
        <x:v>393</x:v>
      </x:c>
      <x:c r="K508" s="39" t="n">
        <x:v>3.93</x:v>
      </x:c>
      <x:c r="L508" s="39" t="n">
        <x:v>21333.61</x:v>
      </x:c>
      <x:c r="M508" s="39" t="n">
        <x:v>54.28399491094148</x:v>
      </x:c>
      <x:c r="N508" t="str">
        <x:v>OK</x:v>
      </x:c>
      <x:c r="O508" t="str">
        <x:v>Maintain plan</x:v>
      </x:c>
      <x:c r="P508" s="38" t="n">
        <x:v>0</x:v>
      </x:c>
    </x:row>
    <x:row r="509">
      <x:c r="A509" s="32" t="n">
        <x:v>46279</x:v>
      </x:c>
      <x:c r="B509" s="32" t="n">
        <x:v>46266</x:v>
      </x:c>
      <x:c r="C509" t="str">
        <x:v>Forecast</x:v>
      </x:c>
      <x:c r="D509" t="str">
        <x:v>DB-105</x:v>
      </x:c>
      <x:c r="E509" s="34" t="n">
        <x:v>21333.61</x:v>
      </x:c>
      <x:c r="F509" s="34" t="n">
        <x:v>0</x:v>
      </x:c>
      <x:c r="G509" s="34" t="n">
        <x:v>393</x:v>
      </x:c>
      <x:c r="H509" s="34" t="n">
        <x:v>393</x:v>
      </x:c>
      <x:c r="I509" s="28" t="n">
        <x:v>1</x:v>
      </x:c>
      <x:c r="J509" s="39" t="n">
        <x:v>393</x:v>
      </x:c>
      <x:c r="K509" s="39" t="n">
        <x:v>3.93</x:v>
      </x:c>
      <x:c r="L509" s="39" t="n">
        <x:v>20944.54</x:v>
      </x:c>
      <x:c r="M509" s="39" t="n">
        <x:v>53.29399491094148</x:v>
      </x:c>
      <x:c r="N509" t="str">
        <x:v>OK</x:v>
      </x:c>
      <x:c r="O509" t="str">
        <x:v>Maintain plan</x:v>
      </x:c>
      <x:c r="P509" s="38" t="n">
        <x:v>0</x:v>
      </x:c>
    </x:row>
    <x:row r="510">
      <x:c r="A510" s="32" t="n">
        <x:v>46286</x:v>
      </x:c>
      <x:c r="B510" s="32" t="n">
        <x:v>46266</x:v>
      </x:c>
      <x:c r="C510" t="str">
        <x:v>Forecast</x:v>
      </x:c>
      <x:c r="D510" t="str">
        <x:v>DB-105</x:v>
      </x:c>
      <x:c r="E510" s="34" t="n">
        <x:v>20944.54</x:v>
      </x:c>
      <x:c r="F510" s="34" t="n">
        <x:v>0</x:v>
      </x:c>
      <x:c r="G510" s="34" t="n">
        <x:v>393</x:v>
      </x:c>
      <x:c r="H510" s="34" t="n">
        <x:v>393</x:v>
      </x:c>
      <x:c r="I510" s="28" t="n">
        <x:v>1</x:v>
      </x:c>
      <x:c r="J510" s="39" t="n">
        <x:v>393</x:v>
      </x:c>
      <x:c r="K510" s="39" t="n">
        <x:v>3.93</x:v>
      </x:c>
      <x:c r="L510" s="39" t="n">
        <x:v>20555.47</x:v>
      </x:c>
      <x:c r="M510" s="39" t="n">
        <x:v>52.303994910941476</x:v>
      </x:c>
      <x:c r="N510" t="str">
        <x:v>OK</x:v>
      </x:c>
      <x:c r="O510" t="str">
        <x:v>Maintain plan</x:v>
      </x:c>
      <x:c r="P510" s="38" t="n">
        <x:v>0</x:v>
      </x:c>
    </x:row>
    <x:row r="511">
      <x:c r="A511" s="32" t="n">
        <x:v>46293</x:v>
      </x:c>
      <x:c r="B511" s="32" t="n">
        <x:v>46266</x:v>
      </x:c>
      <x:c r="C511" t="str">
        <x:v>Forecast</x:v>
      </x:c>
      <x:c r="D511" t="str">
        <x:v>DB-105</x:v>
      </x:c>
      <x:c r="E511" s="34" t="n">
        <x:v>20555.47</x:v>
      </x:c>
      <x:c r="F511" s="34" t="n">
        <x:v>0</x:v>
      </x:c>
      <x:c r="G511" s="34" t="n">
        <x:v>393</x:v>
      </x:c>
      <x:c r="H511" s="34" t="n">
        <x:v>393</x:v>
      </x:c>
      <x:c r="I511" s="28" t="n">
        <x:v>1</x:v>
      </x:c>
      <x:c r="J511" s="39" t="n">
        <x:v>393</x:v>
      </x:c>
      <x:c r="K511" s="39" t="n">
        <x:v>3.93</x:v>
      </x:c>
      <x:c r="L511" s="39" t="n">
        <x:v>20166.4</x:v>
      </x:c>
      <x:c r="M511" s="39" t="n">
        <x:v>51.31399491094148</x:v>
      </x:c>
      <x:c r="N511" t="str">
        <x:v>OK</x:v>
      </x:c>
      <x:c r="O511" t="str">
        <x:v>Maintain plan</x:v>
      </x:c>
      <x:c r="P511" s="38" t="n">
        <x:v>0</x:v>
      </x:c>
    </x:row>
    <x:row r="512">
      <x:c r="A512" s="32" t="n">
        <x:v>46300</x:v>
      </x:c>
      <x:c r="B512" s="32" t="n">
        <x:v>46296</x:v>
      </x:c>
      <x:c r="C512" t="str">
        <x:v>Forecast</x:v>
      </x:c>
      <x:c r="D512" t="str">
        <x:v>DB-105</x:v>
      </x:c>
      <x:c r="E512" s="34" t="n">
        <x:v>20166.4</x:v>
      </x:c>
      <x:c r="F512" s="34" t="n">
        <x:v>0</x:v>
      </x:c>
      <x:c r="G512" s="34" t="n">
        <x:v>393</x:v>
      </x:c>
      <x:c r="H512" s="34" t="n">
        <x:v>393</x:v>
      </x:c>
      <x:c r="I512" s="28" t="n">
        <x:v>1</x:v>
      </x:c>
      <x:c r="J512" s="39" t="n">
        <x:v>393</x:v>
      </x:c>
      <x:c r="K512" s="39" t="n">
        <x:v>3.93</x:v>
      </x:c>
      <x:c r="L512" s="39" t="n">
        <x:v>19777.33</x:v>
      </x:c>
      <x:c r="M512" s="39" t="n">
        <x:v>50.32399491094148</x:v>
      </x:c>
      <x:c r="N512" t="str">
        <x:v>OK</x:v>
      </x:c>
      <x:c r="O512" t="str">
        <x:v>Maintain plan</x:v>
      </x:c>
      <x:c r="P512" s="38" t="n">
        <x:v>0</x:v>
      </x:c>
    </x:row>
    <x:row r="513">
      <x:c r="A513" s="32" t="n">
        <x:v>46307</x:v>
      </x:c>
      <x:c r="B513" s="32" t="n">
        <x:v>46296</x:v>
      </x:c>
      <x:c r="C513" t="str">
        <x:v>Forecast</x:v>
      </x:c>
      <x:c r="D513" t="str">
        <x:v>DB-105</x:v>
      </x:c>
      <x:c r="E513" s="34" t="n">
        <x:v>19777.33</x:v>
      </x:c>
      <x:c r="F513" s="34" t="n">
        <x:v>0</x:v>
      </x:c>
      <x:c r="G513" s="34" t="n">
        <x:v>393</x:v>
      </x:c>
      <x:c r="H513" s="34" t="n">
        <x:v>393</x:v>
      </x:c>
      <x:c r="I513" s="28" t="n">
        <x:v>1</x:v>
      </x:c>
      <x:c r="J513" s="39" t="n">
        <x:v>393</x:v>
      </x:c>
      <x:c r="K513" s="39" t="n">
        <x:v>3.93</x:v>
      </x:c>
      <x:c r="L513" s="39" t="n">
        <x:v>19388.260000000002</x:v>
      </x:c>
      <x:c r="M513" s="39" t="n">
        <x:v>49.33399491094148</x:v>
      </x:c>
      <x:c r="N513" t="str">
        <x:v>OK</x:v>
      </x:c>
      <x:c r="O513" t="str">
        <x:v>Maintain plan</x:v>
      </x:c>
      <x:c r="P513" s="38" t="n">
        <x:v>0</x:v>
      </x:c>
    </x:row>
    <x:row r="514">
      <x:c r="A514" s="32" t="n">
        <x:v>46314</x:v>
      </x:c>
      <x:c r="B514" s="32" t="n">
        <x:v>46296</x:v>
      </x:c>
      <x:c r="C514" t="str">
        <x:v>Forecast</x:v>
      </x:c>
      <x:c r="D514" t="str">
        <x:v>DB-105</x:v>
      </x:c>
      <x:c r="E514" s="34" t="n">
        <x:v>19388.260000000002</x:v>
      </x:c>
      <x:c r="F514" s="34" t="n">
        <x:v>0</x:v>
      </x:c>
      <x:c r="G514" s="34" t="n">
        <x:v>393</x:v>
      </x:c>
      <x:c r="H514" s="34" t="n">
        <x:v>393</x:v>
      </x:c>
      <x:c r="I514" s="28" t="n">
        <x:v>1</x:v>
      </x:c>
      <x:c r="J514" s="39" t="n">
        <x:v>393</x:v>
      </x:c>
      <x:c r="K514" s="39" t="n">
        <x:v>3.93</x:v>
      </x:c>
      <x:c r="L514" s="39" t="n">
        <x:v>18999.190000000002</x:v>
      </x:c>
      <x:c r="M514" s="39" t="n">
        <x:v>48.34399491094148</x:v>
      </x:c>
      <x:c r="N514" t="str">
        <x:v>OK</x:v>
      </x:c>
      <x:c r="O514" t="str">
        <x:v>Maintain plan</x:v>
      </x:c>
      <x:c r="P514" s="38" t="n">
        <x:v>0</x:v>
      </x:c>
    </x:row>
    <x:row r="515">
      <x:c r="A515" s="32" t="n">
        <x:v>46321</x:v>
      </x:c>
      <x:c r="B515" s="32" t="n">
        <x:v>46296</x:v>
      </x:c>
      <x:c r="C515" t="str">
        <x:v>Forecast</x:v>
      </x:c>
      <x:c r="D515" t="str">
        <x:v>DB-105</x:v>
      </x:c>
      <x:c r="E515" s="34" t="n">
        <x:v>18999.190000000002</x:v>
      </x:c>
      <x:c r="F515" s="34" t="n">
        <x:v>0</x:v>
      </x:c>
      <x:c r="G515" s="34" t="n">
        <x:v>393</x:v>
      </x:c>
      <x:c r="H515" s="34" t="n">
        <x:v>393</x:v>
      </x:c>
      <x:c r="I515" s="28" t="n">
        <x:v>1</x:v>
      </x:c>
      <x:c r="J515" s="39" t="n">
        <x:v>393</x:v>
      </x:c>
      <x:c r="K515" s="39" t="n">
        <x:v>3.93</x:v>
      </x:c>
      <x:c r="L515" s="39" t="n">
        <x:v>18610.120000000003</x:v>
      </x:c>
      <x:c r="M515" s="39" t="n">
        <x:v>47.35399491094148</x:v>
      </x:c>
      <x:c r="N515" t="str">
        <x:v>OK</x:v>
      </x:c>
      <x:c r="O515" t="str">
        <x:v>Maintain plan</x:v>
      </x:c>
      <x:c r="P515" s="38" t="n">
        <x:v>0</x:v>
      </x:c>
    </x:row>
    <x:row r="516">
      <x:c r="A516" s="32" t="n">
        <x:v>46328</x:v>
      </x:c>
      <x:c r="B516" s="32" t="n">
        <x:v>46327</x:v>
      </x:c>
      <x:c r="C516" t="str">
        <x:v>Forecast</x:v>
      </x:c>
      <x:c r="D516" t="str">
        <x:v>DB-105</x:v>
      </x:c>
      <x:c r="E516" s="34" t="n">
        <x:v>18610.120000000003</x:v>
      </x:c>
      <x:c r="F516" s="34" t="n">
        <x:v>0</x:v>
      </x:c>
      <x:c r="G516" s="34" t="n">
        <x:v>393</x:v>
      </x:c>
      <x:c r="H516" s="34" t="n">
        <x:v>393</x:v>
      </x:c>
      <x:c r="I516" s="28" t="n">
        <x:v>1</x:v>
      </x:c>
      <x:c r="J516" s="39" t="n">
        <x:v>393</x:v>
      </x:c>
      <x:c r="K516" s="39" t="n">
        <x:v>3.93</x:v>
      </x:c>
      <x:c r="L516" s="39" t="n">
        <x:v>18221.050000000003</x:v>
      </x:c>
      <x:c r="M516" s="39" t="n">
        <x:v>46.363994910941486</x:v>
      </x:c>
      <x:c r="N516" t="str">
        <x:v>OK</x:v>
      </x:c>
      <x:c r="O516" t="str">
        <x:v>Maintain plan</x:v>
      </x:c>
      <x:c r="P516" s="38" t="n">
        <x:v>0</x:v>
      </x:c>
    </x:row>
    <x:row r="517">
      <x:c r="A517" s="32" t="n">
        <x:v>46335</x:v>
      </x:c>
      <x:c r="B517" s="32" t="n">
        <x:v>46327</x:v>
      </x:c>
      <x:c r="C517" t="str">
        <x:v>Forecast</x:v>
      </x:c>
      <x:c r="D517" t="str">
        <x:v>DB-105</x:v>
      </x:c>
      <x:c r="E517" s="34" t="n">
        <x:v>18221.050000000003</x:v>
      </x:c>
      <x:c r="F517" s="34" t="n">
        <x:v>0</x:v>
      </x:c>
      <x:c r="G517" s="34" t="n">
        <x:v>393</x:v>
      </x:c>
      <x:c r="H517" s="34" t="n">
        <x:v>393</x:v>
      </x:c>
      <x:c r="I517" s="28" t="n">
        <x:v>1</x:v>
      </x:c>
      <x:c r="J517" s="39" t="n">
        <x:v>393</x:v>
      </x:c>
      <x:c r="K517" s="39" t="n">
        <x:v>3.93</x:v>
      </x:c>
      <x:c r="L517" s="39" t="n">
        <x:v>17831.980000000003</x:v>
      </x:c>
      <x:c r="M517" s="39" t="n">
        <x:v>45.373994910941484</x:v>
      </x:c>
      <x:c r="N517" t="str">
        <x:v>OK</x:v>
      </x:c>
      <x:c r="O517" t="str">
        <x:v>Maintain plan</x:v>
      </x:c>
      <x:c r="P517" s="38" t="n">
        <x:v>0</x:v>
      </x:c>
    </x:row>
    <x:row r="518">
      <x:c r="A518" s="32" t="n">
        <x:v>46342</x:v>
      </x:c>
      <x:c r="B518" s="32" t="n">
        <x:v>46327</x:v>
      </x:c>
      <x:c r="C518" t="str">
        <x:v>Forecast</x:v>
      </x:c>
      <x:c r="D518" t="str">
        <x:v>DB-105</x:v>
      </x:c>
      <x:c r="E518" s="34" t="n">
        <x:v>17831.980000000003</x:v>
      </x:c>
      <x:c r="F518" s="34" t="n">
        <x:v>0</x:v>
      </x:c>
      <x:c r="G518" s="34" t="n">
        <x:v>393</x:v>
      </x:c>
      <x:c r="H518" s="34" t="n">
        <x:v>393</x:v>
      </x:c>
      <x:c r="I518" s="28" t="n">
        <x:v>1</x:v>
      </x:c>
      <x:c r="J518" s="39" t="n">
        <x:v>393</x:v>
      </x:c>
      <x:c r="K518" s="39" t="n">
        <x:v>3.93</x:v>
      </x:c>
      <x:c r="L518" s="39" t="n">
        <x:v>17442.910000000003</x:v>
      </x:c>
      <x:c r="M518" s="39" t="n">
        <x:v>44.38399491094148</x:v>
      </x:c>
      <x:c r="N518" t="str">
        <x:v>OK</x:v>
      </x:c>
      <x:c r="O518" t="str">
        <x:v>Maintain plan</x:v>
      </x:c>
      <x:c r="P518" s="38" t="n">
        <x:v>0</x:v>
      </x:c>
    </x:row>
    <x:row r="519">
      <x:c r="A519" s="32" t="n">
        <x:v>46349</x:v>
      </x:c>
      <x:c r="B519" s="32" t="n">
        <x:v>46327</x:v>
      </x:c>
      <x:c r="C519" t="str">
        <x:v>Forecast</x:v>
      </x:c>
      <x:c r="D519" t="str">
        <x:v>DB-105</x:v>
      </x:c>
      <x:c r="E519" s="34" t="n">
        <x:v>17442.910000000003</x:v>
      </x:c>
      <x:c r="F519" s="34" t="n">
        <x:v>0</x:v>
      </x:c>
      <x:c r="G519" s="34" t="n">
        <x:v>393</x:v>
      </x:c>
      <x:c r="H519" s="34" t="n">
        <x:v>393</x:v>
      </x:c>
      <x:c r="I519" s="28" t="n">
        <x:v>1</x:v>
      </x:c>
      <x:c r="J519" s="39" t="n">
        <x:v>393</x:v>
      </x:c>
      <x:c r="K519" s="39" t="n">
        <x:v>3.93</x:v>
      </x:c>
      <x:c r="L519" s="39" t="n">
        <x:v>17053.840000000004</x:v>
      </x:c>
      <x:c r="M519" s="39" t="n">
        <x:v>43.39399491094149</x:v>
      </x:c>
      <x:c r="N519" t="str">
        <x:v>OK</x:v>
      </x:c>
      <x:c r="O519" t="str">
        <x:v>Maintain plan</x:v>
      </x:c>
      <x:c r="P519" s="38" t="n">
        <x:v>0</x:v>
      </x:c>
    </x:row>
    <x:row r="520">
      <x:c r="A520" s="32" t="n">
        <x:v>46356</x:v>
      </x:c>
      <x:c r="B520" s="32" t="n">
        <x:v>46327</x:v>
      </x:c>
      <x:c r="C520" t="str">
        <x:v>Forecast</x:v>
      </x:c>
      <x:c r="D520" t="str">
        <x:v>DB-105</x:v>
      </x:c>
      <x:c r="E520" s="34" t="n">
        <x:v>17053.840000000004</x:v>
      </x:c>
      <x:c r="F520" s="34" t="n">
        <x:v>0</x:v>
      </x:c>
      <x:c r="G520" s="34" t="n">
        <x:v>393</x:v>
      </x:c>
      <x:c r="H520" s="34" t="n">
        <x:v>393</x:v>
      </x:c>
      <x:c r="I520" s="28" t="n">
        <x:v>1</x:v>
      </x:c>
      <x:c r="J520" s="39" t="n">
        <x:v>393</x:v>
      </x:c>
      <x:c r="K520" s="39" t="n">
        <x:v>3.93</x:v>
      </x:c>
      <x:c r="L520" s="39" t="n">
        <x:v>16664.770000000004</x:v>
      </x:c>
      <x:c r="M520" s="39" t="n">
        <x:v>42.403994910941485</x:v>
      </x:c>
      <x:c r="N520" t="str">
        <x:v>OK</x:v>
      </x:c>
      <x:c r="O520" t="str">
        <x:v>Maintain plan</x:v>
      </x:c>
      <x:c r="P520" s="38" t="n">
        <x:v>0</x:v>
      </x:c>
    </x:row>
    <x:row r="521">
      <x:c r="A521" s="32" t="n">
        <x:v>46363</x:v>
      </x:c>
      <x:c r="B521" s="32" t="n">
        <x:v>46357</x:v>
      </x:c>
      <x:c r="C521" t="str">
        <x:v>Forecast</x:v>
      </x:c>
      <x:c r="D521" t="str">
        <x:v>DB-105</x:v>
      </x:c>
      <x:c r="E521" s="34" t="n">
        <x:v>16664.770000000004</x:v>
      </x:c>
      <x:c r="F521" s="34" t="n">
        <x:v>0</x:v>
      </x:c>
      <x:c r="G521" s="34" t="n">
        <x:v>393</x:v>
      </x:c>
      <x:c r="H521" s="34" t="n">
        <x:v>393</x:v>
      </x:c>
      <x:c r="I521" s="28" t="n">
        <x:v>1</x:v>
      </x:c>
      <x:c r="J521" s="39" t="n">
        <x:v>393</x:v>
      </x:c>
      <x:c r="K521" s="39" t="n">
        <x:v>3.93</x:v>
      </x:c>
      <x:c r="L521" s="39" t="n">
        <x:v>16275.700000000004</x:v>
      </x:c>
      <x:c r="M521" s="39" t="n">
        <x:v>41.41399491094149</x:v>
      </x:c>
      <x:c r="N521" t="str">
        <x:v>OK</x:v>
      </x:c>
      <x:c r="O521" t="str">
        <x:v>Maintain plan</x:v>
      </x:c>
      <x:c r="P521" s="38" t="n">
        <x:v>0</x:v>
      </x:c>
    </x:row>
    <x:row r="522">
      <x:c r="A522" s="32" t="n">
        <x:v>46370</x:v>
      </x:c>
      <x:c r="B522" s="32" t="n">
        <x:v>46357</x:v>
      </x:c>
      <x:c r="C522" t="str">
        <x:v>Forecast</x:v>
      </x:c>
      <x:c r="D522" t="str">
        <x:v>DB-105</x:v>
      </x:c>
      <x:c r="E522" s="34" t="n">
        <x:v>16275.700000000004</x:v>
      </x:c>
      <x:c r="F522" s="34" t="n">
        <x:v>0</x:v>
      </x:c>
      <x:c r="G522" s="34" t="n">
        <x:v>393</x:v>
      </x:c>
      <x:c r="H522" s="34" t="n">
        <x:v>393</x:v>
      </x:c>
      <x:c r="I522" s="28" t="n">
        <x:v>1</x:v>
      </x:c>
      <x:c r="J522" s="39" t="n">
        <x:v>393</x:v>
      </x:c>
      <x:c r="K522" s="39" t="n">
        <x:v>3.93</x:v>
      </x:c>
      <x:c r="L522" s="39" t="n">
        <x:v>15886.630000000005</x:v>
      </x:c>
      <x:c r="M522" s="39" t="n">
        <x:v>40.42399491094149</x:v>
      </x:c>
      <x:c r="N522" t="str">
        <x:v>OK</x:v>
      </x:c>
      <x:c r="O522" t="str">
        <x:v>Maintain plan</x:v>
      </x:c>
      <x:c r="P522" s="38" t="n">
        <x:v>0</x:v>
      </x:c>
    </x:row>
    <x:row r="523">
      <x:c r="A523" s="32" t="n">
        <x:v>46377</x:v>
      </x:c>
      <x:c r="B523" s="32" t="n">
        <x:v>46357</x:v>
      </x:c>
      <x:c r="C523" t="str">
        <x:v>Forecast</x:v>
      </x:c>
      <x:c r="D523" t="str">
        <x:v>DB-105</x:v>
      </x:c>
      <x:c r="E523" s="34" t="n">
        <x:v>15886.630000000005</x:v>
      </x:c>
      <x:c r="F523" s="34" t="n">
        <x:v>0</x:v>
      </x:c>
      <x:c r="G523" s="34" t="n">
        <x:v>393</x:v>
      </x:c>
      <x:c r="H523" s="34" t="n">
        <x:v>393</x:v>
      </x:c>
      <x:c r="I523" s="28" t="n">
        <x:v>1</x:v>
      </x:c>
      <x:c r="J523" s="39" t="n">
        <x:v>393</x:v>
      </x:c>
      <x:c r="K523" s="39" t="n">
        <x:v>3.93</x:v>
      </x:c>
      <x:c r="L523" s="39" t="n">
        <x:v>15497.560000000005</x:v>
      </x:c>
      <x:c r="M523" s="39" t="n">
        <x:v>39.433994910941486</x:v>
      </x:c>
      <x:c r="N523" t="str">
        <x:v>OK</x:v>
      </x:c>
      <x:c r="O523" t="str">
        <x:v>Maintain plan</x:v>
      </x:c>
      <x:c r="P523" s="38" t="n">
        <x:v>0</x:v>
      </x:c>
    </x:row>
    <x:row r="524">
      <x:c r="A524" s="32" t="n">
        <x:v>46384</x:v>
      </x:c>
      <x:c r="B524" s="32" t="n">
        <x:v>46357</x:v>
      </x:c>
      <x:c r="C524" t="str">
        <x:v>Forecast</x:v>
      </x:c>
      <x:c r="D524" t="str">
        <x:v>DB-105</x:v>
      </x:c>
      <x:c r="E524" s="34" t="n">
        <x:v>15497.560000000005</x:v>
      </x:c>
      <x:c r="F524" s="34" t="n">
        <x:v>0</x:v>
      </x:c>
      <x:c r="G524" s="34" t="n">
        <x:v>393</x:v>
      </x:c>
      <x:c r="H524" s="34" t="n">
        <x:v>393</x:v>
      </x:c>
      <x:c r="I524" s="28" t="n">
        <x:v>1</x:v>
      </x:c>
      <x:c r="J524" s="39" t="n">
        <x:v>393</x:v>
      </x:c>
      <x:c r="K524" s="39" t="n">
        <x:v>3.93</x:v>
      </x:c>
      <x:c r="L524" s="39" t="n">
        <x:v>15108.490000000005</x:v>
      </x:c>
      <x:c r="M524" s="39" t="n">
        <x:v>38.44399491094149</x:v>
      </x:c>
      <x:c r="N524" t="str">
        <x:v>OK</x:v>
      </x:c>
      <x:c r="O524" t="str">
        <x:v>Maintain plan</x:v>
      </x:c>
      <x:c r="P524" s="38" t="n">
        <x:v>0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298a37aba96f4a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3" t="str">
        <x:v>Shipping and Warehousing</x:v>
      </x:c>
    </x:row>
    <x:row r="2">
      <x:c r="A2" s="6" t="str">
        <x:v>Monthly cost rollup by major logistics cost type. Values are formula-driven from revenue and inventory detail.</x:v>
      </x:c>
    </x:row>
    <x:row r="4">
      <x:c r="A4" s="11" t="str">
        <x:v>Month</x:v>
      </x:c>
      <x:c r="B4" s="12" t="str">
        <x:v>Month Label</x:v>
      </x:c>
      <x:c r="C4" s="12" t="str">
        <x:v>Period</x:v>
      </x:c>
      <x:c r="D4" s="12" t="str">
        <x:v>Cost Type</x:v>
      </x:c>
      <x:c r="E4" s="12" t="str">
        <x:v>Cost Basis</x:v>
      </x:c>
      <x:c r="F4" s="12" t="str">
        <x:v>Amount $000s</x:v>
      </x:c>
      <x:c r="G4" s="12" t="str">
        <x:v>Driver</x:v>
      </x:c>
      <x:c r="H4" s="12" t="str">
        <x:v>Owner</x:v>
      </x:c>
      <x:c r="I4" s="13" t="str">
        <x:v>Notes</x:v>
      </x:c>
    </x:row>
    <x:row r="5">
      <x:c r="A5" s="32" t="n">
        <x:v>45658</x:v>
      </x:c>
      <x:c r="B5" t="str">
        <x:v>Jan 2025</x:v>
      </x:c>
      <x:c r="C5" t="str">
        <x:v>Actual</x:v>
      </x:c>
      <x:c r="D5" t="str">
        <x:v>Outbound Shipping</x:v>
      </x:c>
      <x:c r="E5" t="str">
        <x:v>Variable per fulfilled unit</x:v>
      </x:c>
      <x:c r="F5" s="38" t="n">
        <x:v>24.484300000000005</x:v>
      </x:c>
      <x:c r="G5" t="str">
        <x:v>Ops</x:v>
      </x:c>
      <x:c r="H5" t="str"/>
      <x:c r="I5" t="str">
        <x:v>Formula rollup</x:v>
      </x:c>
    </x:row>
    <x:row r="6">
      <x:c r="A6" s="32" t="n">
        <x:v>45658</x:v>
      </x:c>
      <x:c r="B6" t="str">
        <x:v>Jan 2025</x:v>
      </x:c>
      <x:c r="C6" t="str">
        <x:v>Actual</x:v>
      </x:c>
      <x:c r="D6" t="str">
        <x:v>Pick/Pack</x:v>
      </x:c>
      <x:c r="E6" t="str">
        <x:v>Variable per fulfilled unit</x:v>
      </x:c>
      <x:c r="F6" s="38" t="n">
        <x:v>9.647149999999996</x:v>
      </x:c>
      <x:c r="G6" t="str">
        <x:v>Ops</x:v>
      </x:c>
      <x:c r="H6" t="str"/>
      <x:c r="I6" t="str">
        <x:v>Formula rollup</x:v>
      </x:c>
    </x:row>
    <x:row r="7">
      <x:c r="A7" s="32" t="n">
        <x:v>45658</x:v>
      </x:c>
      <x:c r="B7" t="str">
        <x:v>Jan 2025</x:v>
      </x:c>
      <x:c r="C7" t="str">
        <x:v>Actual</x:v>
      </x:c>
      <x:c r="D7" t="str">
        <x:v>Storage</x:v>
      </x:c>
      <x:c r="E7" t="str">
        <x:v>Average ending units</x:v>
      </x:c>
      <x:c r="F7" s="38" t="n">
        <x:v>14.306461200000001</x:v>
      </x:c>
      <x:c r="G7" t="str">
        <x:v>Ops</x:v>
      </x:c>
      <x:c r="H7" t="str"/>
      <x:c r="I7" t="str">
        <x:v>Formula rollup</x:v>
      </x:c>
    </x:row>
    <x:row r="8">
      <x:c r="A8" s="32" t="n">
        <x:v>45658</x:v>
      </x:c>
      <x:c r="B8" t="str">
        <x:v>Jan 2025</x:v>
      </x:c>
      <x:c r="C8" t="str">
        <x:v>Actual</x:v>
      </x:c>
      <x:c r="D8" t="str">
        <x:v>Inbound Freight</x:v>
      </x:c>
      <x:c r="E8" t="str">
        <x:v>Production receipts</x:v>
      </x:c>
      <x:c r="F8" s="38" t="n">
        <x:v>5.3291728</x:v>
      </x:c>
      <x:c r="G8" t="str">
        <x:v>Ops</x:v>
      </x:c>
      <x:c r="H8" t="str"/>
      <x:c r="I8" t="str">
        <x:v>Formula rollup</x:v>
      </x:c>
    </x:row>
    <x:row r="9">
      <x:c r="A9" s="32" t="n">
        <x:v>45658</x:v>
      </x:c>
      <x:c r="B9" t="str">
        <x:v>Jan 2025</x:v>
      </x:c>
      <x:c r="C9" t="str">
        <x:v>Actual</x:v>
      </x:c>
      <x:c r="D9" t="str">
        <x:v>Warehouse Rent</x:v>
      </x:c>
      <x:c r="E9" t="str">
        <x:v>Fixed monthly</x:v>
      </x:c>
      <x:c r="F9" s="38" t="n">
        <x:v>25.94666666666667</x:v>
      </x:c>
      <x:c r="G9" t="str">
        <x:v>Ops</x:v>
      </x:c>
      <x:c r="H9" t="str"/>
      <x:c r="I9" t="str">
        <x:v>Formula rollup</x:v>
      </x:c>
    </x:row>
    <x:row r="10">
      <x:c r="A10" s="32" t="n">
        <x:v>45689</x:v>
      </x:c>
      <x:c r="B10" t="str">
        <x:v>Feb 2025</x:v>
      </x:c>
      <x:c r="C10" t="str">
        <x:v>Actual</x:v>
      </x:c>
      <x:c r="D10" t="str">
        <x:v>Outbound Shipping</x:v>
      </x:c>
      <x:c r="E10" t="str">
        <x:v>Variable per fulfilled unit</x:v>
      </x:c>
      <x:c r="F10" s="38" t="n">
        <x:v>24.4395</x:v>
      </x:c>
      <x:c r="G10" t="str">
        <x:v>Ops</x:v>
      </x:c>
      <x:c r="H10" t="str"/>
      <x:c r="I10" t="str">
        <x:v>Formula rollup</x:v>
      </x:c>
    </x:row>
    <x:row r="11">
      <x:c r="A11" s="32" t="n">
        <x:v>45689</x:v>
      </x:c>
      <x:c r="B11" t="str">
        <x:v>Feb 2025</x:v>
      </x:c>
      <x:c r="C11" t="str">
        <x:v>Actual</x:v>
      </x:c>
      <x:c r="D11" t="str">
        <x:v>Pick/Pack</x:v>
      </x:c>
      <x:c r="E11" t="str">
        <x:v>Variable per fulfilled unit</x:v>
      </x:c>
      <x:c r="F11" s="38" t="n">
        <x:v>9.629349999999995</x:v>
      </x:c>
      <x:c r="G11" t="str">
        <x:v>Ops</x:v>
      </x:c>
      <x:c r="H11" t="str"/>
      <x:c r="I11" t="str">
        <x:v>Formula rollup</x:v>
      </x:c>
    </x:row>
    <x:row r="12">
      <x:c r="A12" s="32" t="n">
        <x:v>45689</x:v>
      </x:c>
      <x:c r="B12" t="str">
        <x:v>Feb 2025</x:v>
      </x:c>
      <x:c r="C12" t="str">
        <x:v>Actual</x:v>
      </x:c>
      <x:c r="D12" t="str">
        <x:v>Storage</x:v>
      </x:c>
      <x:c r="E12" t="str">
        <x:v>Average ending units</x:v>
      </x:c>
      <x:c r="F12" s="38" t="n">
        <x:v>13.439222099999997</x:v>
      </x:c>
      <x:c r="G12" t="str">
        <x:v>Ops</x:v>
      </x:c>
      <x:c r="H12" t="str"/>
      <x:c r="I12" t="str">
        <x:v>Formula rollup</x:v>
      </x:c>
    </x:row>
    <x:row r="13">
      <x:c r="A13" s="32" t="n">
        <x:v>45689</x:v>
      </x:c>
      <x:c r="B13" t="str">
        <x:v>Feb 2025</x:v>
      </x:c>
      <x:c r="C13" t="str">
        <x:v>Actual</x:v>
      </x:c>
      <x:c r="D13" t="str">
        <x:v>Inbound Freight</x:v>
      </x:c>
      <x:c r="E13" t="str">
        <x:v>Production receipts</x:v>
      </x:c>
      <x:c r="F13" s="38" t="n">
        <x:v>5.309519199999999</x:v>
      </x:c>
      <x:c r="G13" t="str">
        <x:v>Ops</x:v>
      </x:c>
      <x:c r="H13" t="str"/>
      <x:c r="I13" t="str">
        <x:v>Formula rollup</x:v>
      </x:c>
    </x:row>
    <x:row r="14">
      <x:c r="A14" s="32" t="n">
        <x:v>45689</x:v>
      </x:c>
      <x:c r="B14" t="str">
        <x:v>Feb 2025</x:v>
      </x:c>
      <x:c r="C14" t="str">
        <x:v>Actual</x:v>
      </x:c>
      <x:c r="D14" t="str">
        <x:v>Warehouse Rent</x:v>
      </x:c>
      <x:c r="E14" t="str">
        <x:v>Fixed monthly</x:v>
      </x:c>
      <x:c r="F14" s="38" t="n">
        <x:v>26.133333333333333</x:v>
      </x:c>
      <x:c r="G14" t="str">
        <x:v>Ops</x:v>
      </x:c>
      <x:c r="H14" t="str"/>
      <x:c r="I14" t="str">
        <x:v>Formula rollup</x:v>
      </x:c>
    </x:row>
    <x:row r="15">
      <x:c r="A15" s="32" t="n">
        <x:v>45717</x:v>
      </x:c>
      <x:c r="B15" t="str">
        <x:v>Mar 2025</x:v>
      </x:c>
      <x:c r="C15" t="str">
        <x:v>Actual</x:v>
      </x:c>
      <x:c r="D15" t="str">
        <x:v>Outbound Shipping</x:v>
      </x:c>
      <x:c r="E15" t="str">
        <x:v>Variable per fulfilled unit</x:v>
      </x:c>
      <x:c r="F15" s="38" t="n">
        <x:v>30.795900000000014</x:v>
      </x:c>
      <x:c r="G15" t="str">
        <x:v>Ops</x:v>
      </x:c>
      <x:c r="H15" t="str"/>
      <x:c r="I15" t="str">
        <x:v>Formula rollup</x:v>
      </x:c>
    </x:row>
    <x:row r="16">
      <x:c r="A16" s="32" t="n">
        <x:v>45717</x:v>
      </x:c>
      <x:c r="B16" t="str">
        <x:v>Mar 2025</x:v>
      </x:c>
      <x:c r="C16" t="str">
        <x:v>Actual</x:v>
      </x:c>
      <x:c r="D16" t="str">
        <x:v>Pick/Pack</x:v>
      </x:c>
      <x:c r="E16" t="str">
        <x:v>Variable per fulfilled unit</x:v>
      </x:c>
      <x:c r="F16" s="38" t="n">
        <x:v>12.132699999999994</x:v>
      </x:c>
      <x:c r="G16" t="str">
        <x:v>Ops</x:v>
      </x:c>
      <x:c r="H16" t="str"/>
      <x:c r="I16" t="str">
        <x:v>Formula rollup</x:v>
      </x:c>
    </x:row>
    <x:row r="17">
      <x:c r="A17" s="32" t="n">
        <x:v>45717</x:v>
      </x:c>
      <x:c r="B17" t="str">
        <x:v>Mar 2025</x:v>
      </x:c>
      <x:c r="C17" t="str">
        <x:v>Actual</x:v>
      </x:c>
      <x:c r="D17" t="str">
        <x:v>Storage</x:v>
      </x:c>
      <x:c r="E17" t="str">
        <x:v>Average ending units</x:v>
      </x:c>
      <x:c r="F17" s="38" t="n">
        <x:v>21.433949100000007</x:v>
      </x:c>
      <x:c r="G17" t="str">
        <x:v>Ops</x:v>
      </x:c>
      <x:c r="H17" t="str"/>
      <x:c r="I17" t="str">
        <x:v>Formula rollup</x:v>
      </x:c>
    </x:row>
    <x:row r="18">
      <x:c r="A18" s="32" t="n">
        <x:v>45717</x:v>
      </x:c>
      <x:c r="B18" t="str">
        <x:v>Mar 2025</x:v>
      </x:c>
      <x:c r="C18" t="str">
        <x:v>Actual</x:v>
      </x:c>
      <x:c r="D18" t="str">
        <x:v>Inbound Freight</x:v>
      </x:c>
      <x:c r="E18" t="str">
        <x:v>Production receipts</x:v>
      </x:c>
      <x:c r="F18" s="38" t="n">
        <x:v>6.695920799999999</x:v>
      </x:c>
      <x:c r="G18" t="str">
        <x:v>Ops</x:v>
      </x:c>
      <x:c r="H18" t="str"/>
      <x:c r="I18" t="str">
        <x:v>Formula rollup</x:v>
      </x:c>
    </x:row>
    <x:row r="19">
      <x:c r="A19" s="32" t="n">
        <x:v>45717</x:v>
      </x:c>
      <x:c r="B19" t="str">
        <x:v>Mar 2025</x:v>
      </x:c>
      <x:c r="C19" t="str">
        <x:v>Actual</x:v>
      </x:c>
      <x:c r="D19" t="str">
        <x:v>Warehouse Rent</x:v>
      </x:c>
      <x:c r="E19" t="str">
        <x:v>Fixed monthly</x:v>
      </x:c>
      <x:c r="F19" s="38" t="n">
        <x:v>26.32</x:v>
      </x:c>
      <x:c r="G19" t="str">
        <x:v>Ops</x:v>
      </x:c>
      <x:c r="H19" t="str"/>
      <x:c r="I19" t="str">
        <x:v>Formula rollup</x:v>
      </x:c>
    </x:row>
    <x:row r="20">
      <x:c r="A20" s="32" t="n">
        <x:v>45748</x:v>
      </x:c>
      <x:c r="B20" t="str">
        <x:v>Apr 2025</x:v>
      </x:c>
      <x:c r="C20" t="str">
        <x:v>Actual</x:v>
      </x:c>
      <x:c r="D20" t="str">
        <x:v>Outbound Shipping</x:v>
      </x:c>
      <x:c r="E20" t="str">
        <x:v>Variable per fulfilled unit</x:v>
      </x:c>
      <x:c r="F20" s="38" t="n">
        <x:v>25.348299999999988</x:v>
      </x:c>
      <x:c r="G20" t="str">
        <x:v>Ops</x:v>
      </x:c>
      <x:c r="H20" t="str"/>
      <x:c r="I20" t="str">
        <x:v>Formula rollup</x:v>
      </x:c>
    </x:row>
    <x:row r="21">
      <x:c r="A21" s="32" t="n">
        <x:v>45748</x:v>
      </x:c>
      <x:c r="B21" t="str">
        <x:v>Apr 2025</x:v>
      </x:c>
      <x:c r="C21" t="str">
        <x:v>Actual</x:v>
      </x:c>
      <x:c r="D21" t="str">
        <x:v>Pick/Pack</x:v>
      </x:c>
      <x:c r="E21" t="str">
        <x:v>Variable per fulfilled unit</x:v>
      </x:c>
      <x:c r="F21" s="38" t="n">
        <x:v>9.9874</x:v>
      </x:c>
      <x:c r="G21" t="str">
        <x:v>Ops</x:v>
      </x:c>
      <x:c r="H21" t="str"/>
      <x:c r="I21" t="str">
        <x:v>Formula rollup</x:v>
      </x:c>
    </x:row>
    <x:row r="22">
      <x:c r="A22" s="32" t="n">
        <x:v>45748</x:v>
      </x:c>
      <x:c r="B22" t="str">
        <x:v>Apr 2025</x:v>
      </x:c>
      <x:c r="C22" t="str">
        <x:v>Actual</x:v>
      </x:c>
      <x:c r="D22" t="str">
        <x:v>Storage</x:v>
      </x:c>
      <x:c r="E22" t="str">
        <x:v>Average ending units</x:v>
      </x:c>
      <x:c r="F22" s="38" t="n">
        <x:v>17.3192602</x:v>
      </x:c>
      <x:c r="G22" t="str">
        <x:v>Ops</x:v>
      </x:c>
      <x:c r="H22" t="str"/>
      <x:c r="I22" t="str">
        <x:v>Formula rollup</x:v>
      </x:c>
    </x:row>
    <x:row r="23">
      <x:c r="A23" s="32" t="n">
        <x:v>45748</x:v>
      </x:c>
      <x:c r="B23" t="str">
        <x:v>Apr 2025</x:v>
      </x:c>
      <x:c r="C23" t="str">
        <x:v>Actual</x:v>
      </x:c>
      <x:c r="D23" t="str">
        <x:v>Inbound Freight</x:v>
      </x:c>
      <x:c r="E23" t="str">
        <x:v>Production receipts</x:v>
      </x:c>
      <x:c r="F23" s="38" t="n">
        <x:v>5.5354976</x:v>
      </x:c>
      <x:c r="G23" t="str">
        <x:v>Ops</x:v>
      </x:c>
      <x:c r="H23" t="str"/>
      <x:c r="I23" t="str">
        <x:v>Formula rollup</x:v>
      </x:c>
    </x:row>
    <x:row r="24">
      <x:c r="A24" s="32" t="n">
        <x:v>45748</x:v>
      </x:c>
      <x:c r="B24" t="str">
        <x:v>Apr 2025</x:v>
      </x:c>
      <x:c r="C24" t="str">
        <x:v>Actual</x:v>
      </x:c>
      <x:c r="D24" t="str">
        <x:v>Warehouse Rent</x:v>
      </x:c>
      <x:c r="E24" t="str">
        <x:v>Fixed monthly</x:v>
      </x:c>
      <x:c r="F24" s="38" t="n">
        <x:v>26.506666666666668</x:v>
      </x:c>
      <x:c r="G24" t="str">
        <x:v>Ops</x:v>
      </x:c>
      <x:c r="H24" t="str"/>
      <x:c r="I24" t="str">
        <x:v>Formula rollup</x:v>
      </x:c>
    </x:row>
    <x:row r="25">
      <x:c r="A25" s="32" t="n">
        <x:v>45778</x:v>
      </x:c>
      <x:c r="B25" t="str">
        <x:v>May 2025</x:v>
      </x:c>
      <x:c r="C25" t="str">
        <x:v>Actual</x:v>
      </x:c>
      <x:c r="D25" t="str">
        <x:v>Outbound Shipping</x:v>
      </x:c>
      <x:c r="E25" t="str">
        <x:v>Variable per fulfilled unit</x:v>
      </x:c>
      <x:c r="F25" s="38" t="n">
        <x:v>26.509450000000005</x:v>
      </x:c>
      <x:c r="G25" t="str">
        <x:v>Ops</x:v>
      </x:c>
      <x:c r="H25" t="str"/>
      <x:c r="I25" t="str">
        <x:v>Formula rollup</x:v>
      </x:c>
    </x:row>
    <x:row r="26">
      <x:c r="A26" s="32" t="n">
        <x:v>45778</x:v>
      </x:c>
      <x:c r="B26" t="str">
        <x:v>May 2025</x:v>
      </x:c>
      <x:c r="C26" t="str">
        <x:v>Actual</x:v>
      </x:c>
      <x:c r="D26" t="str">
        <x:v>Pick/Pack</x:v>
      </x:c>
      <x:c r="E26" t="str">
        <x:v>Variable per fulfilled unit</x:v>
      </x:c>
      <x:c r="F26" s="38" t="n">
        <x:v>10.44475</x:v>
      </x:c>
      <x:c r="G26" t="str">
        <x:v>Ops</x:v>
      </x:c>
      <x:c r="H26" t="str"/>
      <x:c r="I26" t="str">
        <x:v>Formula rollup</x:v>
      </x:c>
    </x:row>
    <x:row r="27">
      <x:c r="A27" s="32" t="n">
        <x:v>45778</x:v>
      </x:c>
      <x:c r="B27" t="str">
        <x:v>May 2025</x:v>
      </x:c>
      <x:c r="C27" t="str">
        <x:v>Actual</x:v>
      </x:c>
      <x:c r="D27" t="str">
        <x:v>Storage</x:v>
      </x:c>
      <x:c r="E27" t="str">
        <x:v>Average ending units</x:v>
      </x:c>
      <x:c r="F27" s="38" t="n">
        <x:v>19.910420799999997</x:v>
      </x:c>
      <x:c r="G27" t="str">
        <x:v>Ops</x:v>
      </x:c>
      <x:c r="H27" t="str"/>
      <x:c r="I27" t="str">
        <x:v>Formula rollup</x:v>
      </x:c>
    </x:row>
    <x:row r="28">
      <x:c r="A28" s="32" t="n">
        <x:v>45778</x:v>
      </x:c>
      <x:c r="B28" t="str">
        <x:v>May 2025</x:v>
      </x:c>
      <x:c r="C28" t="str">
        <x:v>Actual</x:v>
      </x:c>
      <x:c r="D28" t="str">
        <x:v>Inbound Freight</x:v>
      </x:c>
      <x:c r="E28" t="str">
        <x:v>Production receipts</x:v>
      </x:c>
      <x:c r="F28" s="38" t="n">
        <x:v>5.833723199999999</x:v>
      </x:c>
      <x:c r="G28" t="str">
        <x:v>Ops</x:v>
      </x:c>
      <x:c r="H28" t="str"/>
      <x:c r="I28" t="str">
        <x:v>Formula rollup</x:v>
      </x:c>
    </x:row>
    <x:row r="29">
      <x:c r="A29" s="32" t="n">
        <x:v>45778</x:v>
      </x:c>
      <x:c r="B29" t="str">
        <x:v>May 2025</x:v>
      </x:c>
      <x:c r="C29" t="str">
        <x:v>Actual</x:v>
      </x:c>
      <x:c r="D29" t="str">
        <x:v>Warehouse Rent</x:v>
      </x:c>
      <x:c r="E29" t="str">
        <x:v>Fixed monthly</x:v>
      </x:c>
      <x:c r="F29" s="38" t="n">
        <x:v>26.693333333333335</x:v>
      </x:c>
      <x:c r="G29" t="str">
        <x:v>Ops</x:v>
      </x:c>
      <x:c r="H29" t="str"/>
      <x:c r="I29" t="str">
        <x:v>Formula rollup</x:v>
      </x:c>
    </x:row>
    <x:row r="30">
      <x:c r="A30" s="32" t="n">
        <x:v>45809</x:v>
      </x:c>
      <x:c r="B30" t="str">
        <x:v>Jun 2025</x:v>
      </x:c>
      <x:c r="C30" t="str">
        <x:v>Actual</x:v>
      </x:c>
      <x:c r="D30" t="str">
        <x:v>Outbound Shipping</x:v>
      </x:c>
      <x:c r="E30" t="str">
        <x:v>Variable per fulfilled unit</x:v>
      </x:c>
      <x:c r="F30" s="38" t="n">
        <x:v>34.450999999999986</x:v>
      </x:c>
      <x:c r="G30" t="str">
        <x:v>Ops</x:v>
      </x:c>
      <x:c r="H30" t="str"/>
      <x:c r="I30" t="str">
        <x:v>Formula rollup</x:v>
      </x:c>
    </x:row>
    <x:row r="31">
      <x:c r="A31" s="32" t="n">
        <x:v>45809</x:v>
      </x:c>
      <x:c r="B31" t="str">
        <x:v>Jun 2025</x:v>
      </x:c>
      <x:c r="C31" t="str">
        <x:v>Actual</x:v>
      </x:c>
      <x:c r="D31" t="str">
        <x:v>Pick/Pack</x:v>
      </x:c>
      <x:c r="E31" t="str">
        <x:v>Variable per fulfilled unit</x:v>
      </x:c>
      <x:c r="F31" s="38" t="n">
        <x:v>13.573000000000008</x:v>
      </x:c>
      <x:c r="G31" t="str">
        <x:v>Ops</x:v>
      </x:c>
      <x:c r="H31" t="str"/>
      <x:c r="I31" t="str">
        <x:v>Formula rollup</x:v>
      </x:c>
    </x:row>
    <x:row r="32">
      <x:c r="A32" s="32" t="n">
        <x:v>45809</x:v>
      </x:c>
      <x:c r="B32" t="str">
        <x:v>Jun 2025</x:v>
      </x:c>
      <x:c r="C32" t="str">
        <x:v>Actual</x:v>
      </x:c>
      <x:c r="D32" t="str">
        <x:v>Storage</x:v>
      </x:c>
      <x:c r="E32" t="str">
        <x:v>Average ending units</x:v>
      </x:c>
      <x:c r="F32" s="38" t="n">
        <x:v>25.876005099999997</x:v>
      </x:c>
      <x:c r="G32" t="str">
        <x:v>Ops</x:v>
      </x:c>
      <x:c r="H32" t="str"/>
      <x:c r="I32" t="str">
        <x:v>Formula rollup</x:v>
      </x:c>
    </x:row>
    <x:row r="33">
      <x:c r="A33" s="32" t="n">
        <x:v>45809</x:v>
      </x:c>
      <x:c r="B33" t="str">
        <x:v>Jun 2025</x:v>
      </x:c>
      <x:c r="C33" t="str">
        <x:v>Actual</x:v>
      </x:c>
      <x:c r="D33" t="str">
        <x:v>Inbound Freight</x:v>
      </x:c>
      <x:c r="E33" t="str">
        <x:v>Production receipts</x:v>
      </x:c>
      <x:c r="F33" s="38" t="n">
        <x:v>7.622918399999995</x:v>
      </x:c>
      <x:c r="G33" t="str">
        <x:v>Ops</x:v>
      </x:c>
      <x:c r="H33" t="str"/>
      <x:c r="I33" t="str">
        <x:v>Formula rollup</x:v>
      </x:c>
    </x:row>
    <x:row r="34">
      <x:c r="A34" s="32" t="n">
        <x:v>45809</x:v>
      </x:c>
      <x:c r="B34" t="str">
        <x:v>Jun 2025</x:v>
      </x:c>
      <x:c r="C34" t="str">
        <x:v>Actual</x:v>
      </x:c>
      <x:c r="D34" t="str">
        <x:v>Warehouse Rent</x:v>
      </x:c>
      <x:c r="E34" t="str">
        <x:v>Fixed monthly</x:v>
      </x:c>
      <x:c r="F34" s="38" t="n">
        <x:v>26.880000000000003</x:v>
      </x:c>
      <x:c r="G34" t="str">
        <x:v>Ops</x:v>
      </x:c>
      <x:c r="H34" t="str"/>
      <x:c r="I34" t="str">
        <x:v>Formula rollup</x:v>
      </x:c>
    </x:row>
    <x:row r="35">
      <x:c r="A35" s="32" t="n">
        <x:v>45839</x:v>
      </x:c>
      <x:c r="B35" t="str">
        <x:v>Jul 2025</x:v>
      </x:c>
      <x:c r="C35" t="str">
        <x:v>Actual</x:v>
      </x:c>
      <x:c r="D35" t="str">
        <x:v>Outbound Shipping</x:v>
      </x:c>
      <x:c r="E35" t="str">
        <x:v>Variable per fulfilled unit</x:v>
      </x:c>
      <x:c r="F35" s="38" t="n">
        <x:v>28.034850000000006</x:v>
      </x:c>
      <x:c r="G35" t="str">
        <x:v>Ops</x:v>
      </x:c>
      <x:c r="H35" t="str"/>
      <x:c r="I35" t="str">
        <x:v>Formula rollup</x:v>
      </x:c>
    </x:row>
    <x:row r="36">
      <x:c r="A36" s="32" t="n">
        <x:v>45839</x:v>
      </x:c>
      <x:c r="B36" t="str">
        <x:v>Jul 2025</x:v>
      </x:c>
      <x:c r="C36" t="str">
        <x:v>Actual</x:v>
      </x:c>
      <x:c r="D36" t="str">
        <x:v>Pick/Pack</x:v>
      </x:c>
      <x:c r="E36" t="str">
        <x:v>Variable per fulfilled unit</x:v>
      </x:c>
      <x:c r="F36" s="38" t="n">
        <x:v>11.046250000000002</x:v>
      </x:c>
      <x:c r="G36" t="str">
        <x:v>Ops</x:v>
      </x:c>
      <x:c r="H36" t="str"/>
      <x:c r="I36" t="str">
        <x:v>Formula rollup</x:v>
      </x:c>
    </x:row>
    <x:row r="37">
      <x:c r="A37" s="32" t="n">
        <x:v>45839</x:v>
      </x:c>
      <x:c r="B37" t="str">
        <x:v>Jul 2025</x:v>
      </x:c>
      <x:c r="C37" t="str">
        <x:v>Actual</x:v>
      </x:c>
      <x:c r="D37" t="str">
        <x:v>Storage</x:v>
      </x:c>
      <x:c r="E37" t="str">
        <x:v>Average ending units</x:v>
      </x:c>
      <x:c r="F37" s="38" t="n">
        <x:v>22.402454100000003</x:v>
      </x:c>
      <x:c r="G37" t="str">
        <x:v>Ops</x:v>
      </x:c>
      <x:c r="H37" t="str"/>
      <x:c r="I37" t="str">
        <x:v>Formula rollup</x:v>
      </x:c>
    </x:row>
    <x:row r="38">
      <x:c r="A38" s="32" t="n">
        <x:v>45839</x:v>
      </x:c>
      <x:c r="B38" t="str">
        <x:v>Jul 2025</x:v>
      </x:c>
      <x:c r="C38" t="str">
        <x:v>Actual</x:v>
      </x:c>
      <x:c r="D38" t="str">
        <x:v>Inbound Freight</x:v>
      </x:c>
      <x:c r="E38" t="str">
        <x:v>Production receipts</x:v>
      </x:c>
      <x:c r="F38" s="38" t="n">
        <x:v>6.2012872</x:v>
      </x:c>
      <x:c r="G38" t="str">
        <x:v>Ops</x:v>
      </x:c>
      <x:c r="H38" t="str"/>
      <x:c r="I38" t="str">
        <x:v>Formula rollup</x:v>
      </x:c>
    </x:row>
    <x:row r="39">
      <x:c r="A39" s="32" t="n">
        <x:v>45839</x:v>
      </x:c>
      <x:c r="B39" t="str">
        <x:v>Jul 2025</x:v>
      </x:c>
      <x:c r="C39" t="str">
        <x:v>Actual</x:v>
      </x:c>
      <x:c r="D39" t="str">
        <x:v>Warehouse Rent</x:v>
      </x:c>
      <x:c r="E39" t="str">
        <x:v>Fixed monthly</x:v>
      </x:c>
      <x:c r="F39" s="38" t="n">
        <x:v>27.066666666666666</x:v>
      </x:c>
      <x:c r="G39" t="str">
        <x:v>Ops</x:v>
      </x:c>
      <x:c r="H39" t="str"/>
      <x:c r="I39" t="str">
        <x:v>Formula rollup</x:v>
      </x:c>
    </x:row>
    <x:row r="40">
      <x:c r="A40" s="32" t="n">
        <x:v>45870</x:v>
      </x:c>
      <x:c r="B40" t="str">
        <x:v>Aug 2025</x:v>
      </x:c>
      <x:c r="C40" t="str">
        <x:v>Actual</x:v>
      </x:c>
      <x:c r="D40" t="str">
        <x:v>Outbound Shipping</x:v>
      </x:c>
      <x:c r="E40" t="str">
        <x:v>Variable per fulfilled unit</x:v>
      </x:c>
      <x:c r="F40" s="38" t="n">
        <x:v>27.798099999999998</x:v>
      </x:c>
      <x:c r="G40" t="str">
        <x:v>Ops</x:v>
      </x:c>
      <x:c r="H40" t="str"/>
      <x:c r="I40" t="str">
        <x:v>Formula rollup</x:v>
      </x:c>
    </x:row>
    <x:row r="41">
      <x:c r="A41" s="32" t="n">
        <x:v>45870</x:v>
      </x:c>
      <x:c r="B41" t="str">
        <x:v>Aug 2025</x:v>
      </x:c>
      <x:c r="C41" t="str">
        <x:v>Actual</x:v>
      </x:c>
      <x:c r="D41" t="str">
        <x:v>Pick/Pack</x:v>
      </x:c>
      <x:c r="E41" t="str">
        <x:v>Variable per fulfilled unit</x:v>
      </x:c>
      <x:c r="F41" s="38" t="n">
        <x:v>10.952400000000004</x:v>
      </x:c>
      <x:c r="G41" t="str">
        <x:v>Ops</x:v>
      </x:c>
      <x:c r="H41" t="str"/>
      <x:c r="I41" t="str">
        <x:v>Formula rollup</x:v>
      </x:c>
    </x:row>
    <x:row r="42">
      <x:c r="A42" s="32" t="n">
        <x:v>45870</x:v>
      </x:c>
      <x:c r="B42" t="str">
        <x:v>Aug 2025</x:v>
      </x:c>
      <x:c r="C42" t="str">
        <x:v>Actual</x:v>
      </x:c>
      <x:c r="D42" t="str">
        <x:v>Storage</x:v>
      </x:c>
      <x:c r="E42" t="str">
        <x:v>Average ending units</x:v>
      </x:c>
      <x:c r="F42" s="38" t="n">
        <x:v>23.757132999999996</x:v>
      </x:c>
      <x:c r="G42" t="str">
        <x:v>Ops</x:v>
      </x:c>
      <x:c r="H42" t="str"/>
      <x:c r="I42" t="str">
        <x:v>Formula rollup</x:v>
      </x:c>
    </x:row>
    <x:row r="43">
      <x:c r="A43" s="32" t="n">
        <x:v>45870</x:v>
      </x:c>
      <x:c r="B43" t="str">
        <x:v>Aug 2025</x:v>
      </x:c>
      <x:c r="C43" t="str">
        <x:v>Actual</x:v>
      </x:c>
      <x:c r="D43" t="str">
        <x:v>Inbound Freight</x:v>
      </x:c>
      <x:c r="E43" t="str">
        <x:v>Production receipts</x:v>
      </x:c>
      <x:c r="F43" s="38" t="n">
        <x:v>6.107472800000001</x:v>
      </x:c>
      <x:c r="G43" t="str">
        <x:v>Ops</x:v>
      </x:c>
      <x:c r="H43" t="str"/>
      <x:c r="I43" t="str">
        <x:v>Formula rollup</x:v>
      </x:c>
    </x:row>
    <x:row r="44">
      <x:c r="A44" s="32" t="n">
        <x:v>45870</x:v>
      </x:c>
      <x:c r="B44" t="str">
        <x:v>Aug 2025</x:v>
      </x:c>
      <x:c r="C44" t="str">
        <x:v>Actual</x:v>
      </x:c>
      <x:c r="D44" t="str">
        <x:v>Warehouse Rent</x:v>
      </x:c>
      <x:c r="E44" t="str">
        <x:v>Fixed monthly</x:v>
      </x:c>
      <x:c r="F44" s="38" t="n">
        <x:v>27.253333333333334</x:v>
      </x:c>
      <x:c r="G44" t="str">
        <x:v>Ops</x:v>
      </x:c>
      <x:c r="H44" t="str"/>
      <x:c r="I44" t="str">
        <x:v>Formula rollup</x:v>
      </x:c>
    </x:row>
    <x:row r="45">
      <x:c r="A45" s="32" t="n">
        <x:v>45901</x:v>
      </x:c>
      <x:c r="B45" t="str">
        <x:v>Sep 2025</x:v>
      </x:c>
      <x:c r="C45" t="str">
        <x:v>Actual</x:v>
      </x:c>
      <x:c r="D45" t="str">
        <x:v>Outbound Shipping</x:v>
      </x:c>
      <x:c r="E45" t="str">
        <x:v>Variable per fulfilled unit</x:v>
      </x:c>
      <x:c r="F45" s="38" t="n">
        <x:v>34.907699999999984</x:v>
      </x:c>
      <x:c r="G45" t="str">
        <x:v>Ops</x:v>
      </x:c>
      <x:c r="H45" t="str"/>
      <x:c r="I45" t="str">
        <x:v>Formula rollup</x:v>
      </x:c>
    </x:row>
    <x:row r="46">
      <x:c r="A46" s="32" t="n">
        <x:v>45901</x:v>
      </x:c>
      <x:c r="B46" t="str">
        <x:v>Sep 2025</x:v>
      </x:c>
      <x:c r="C46" t="str">
        <x:v>Actual</x:v>
      </x:c>
      <x:c r="D46" t="str">
        <x:v>Pick/Pack</x:v>
      </x:c>
      <x:c r="E46" t="str">
        <x:v>Variable per fulfilled unit</x:v>
      </x:c>
      <x:c r="F46" s="38" t="n">
        <x:v>13.75365</x:v>
      </x:c>
      <x:c r="G46" t="str">
        <x:v>Ops</x:v>
      </x:c>
      <x:c r="H46" t="str"/>
      <x:c r="I46" t="str">
        <x:v>Formula rollup</x:v>
      </x:c>
    </x:row>
    <x:row r="47">
      <x:c r="A47" s="32" t="n">
        <x:v>45901</x:v>
      </x:c>
      <x:c r="B47" t="str">
        <x:v>Sep 2025</x:v>
      </x:c>
      <x:c r="C47" t="str">
        <x:v>Actual</x:v>
      </x:c>
      <x:c r="D47" t="str">
        <x:v>Storage</x:v>
      </x:c>
      <x:c r="E47" t="str">
        <x:v>Average ending units</x:v>
      </x:c>
      <x:c r="F47" s="38" t="n">
        <x:v>31.236414399999994</x:v>
      </x:c>
      <x:c r="G47" t="str">
        <x:v>Ops</x:v>
      </x:c>
      <x:c r="H47" t="str"/>
      <x:c r="I47" t="str">
        <x:v>Formula rollup</x:v>
      </x:c>
    </x:row>
    <x:row r="48">
      <x:c r="A48" s="32" t="n">
        <x:v>45901</x:v>
      </x:c>
      <x:c r="B48" t="str">
        <x:v>Sep 2025</x:v>
      </x:c>
      <x:c r="C48" t="str">
        <x:v>Actual</x:v>
      </x:c>
      <x:c r="D48" t="str">
        <x:v>Inbound Freight</x:v>
      </x:c>
      <x:c r="E48" t="str">
        <x:v>Production receipts</x:v>
      </x:c>
      <x:c r="F48" s="38" t="n">
        <x:v>7.6276728</x:v>
      </x:c>
      <x:c r="G48" t="str">
        <x:v>Ops</x:v>
      </x:c>
      <x:c r="H48" t="str"/>
      <x:c r="I48" t="str">
        <x:v>Formula rollup</x:v>
      </x:c>
    </x:row>
    <x:row r="49">
      <x:c r="A49" s="32" t="n">
        <x:v>45901</x:v>
      </x:c>
      <x:c r="B49" t="str">
        <x:v>Sep 2025</x:v>
      </x:c>
      <x:c r="C49" t="str">
        <x:v>Actual</x:v>
      </x:c>
      <x:c r="D49" t="str">
        <x:v>Warehouse Rent</x:v>
      </x:c>
      <x:c r="E49" t="str">
        <x:v>Fixed monthly</x:v>
      </x:c>
      <x:c r="F49" s="38" t="n">
        <x:v>27.439999999999998</x:v>
      </x:c>
      <x:c r="G49" t="str">
        <x:v>Ops</x:v>
      </x:c>
      <x:c r="H49" t="str"/>
      <x:c r="I49" t="str">
        <x:v>Formula rollup</x:v>
      </x:c>
    </x:row>
    <x:row r="50">
      <x:c r="A50" s="32" t="n">
        <x:v>45931</x:v>
      </x:c>
      <x:c r="B50" t="str">
        <x:v>Oct 2025</x:v>
      </x:c>
      <x:c r="C50" t="str">
        <x:v>Actual</x:v>
      </x:c>
      <x:c r="D50" t="str">
        <x:v>Outbound Shipping</x:v>
      </x:c>
      <x:c r="E50" t="str">
        <x:v>Variable per fulfilled unit</x:v>
      </x:c>
      <x:c r="F50" s="38" t="n">
        <x:v>28.862399999999994</x:v>
      </x:c>
      <x:c r="G50" t="str">
        <x:v>Ops</x:v>
      </x:c>
      <x:c r="H50" t="str"/>
      <x:c r="I50" t="str">
        <x:v>Formula rollup</x:v>
      </x:c>
    </x:row>
    <x:row r="51">
      <x:c r="A51" s="32" t="n">
        <x:v>45931</x:v>
      </x:c>
      <x:c r="B51" t="str">
        <x:v>Oct 2025</x:v>
      </x:c>
      <x:c r="C51" t="str">
        <x:v>Actual</x:v>
      </x:c>
      <x:c r="D51" t="str">
        <x:v>Pick/Pack</x:v>
      </x:c>
      <x:c r="E51" t="str">
        <x:v>Variable per fulfilled unit</x:v>
      </x:c>
      <x:c r="F51" s="38" t="n">
        <x:v>11.371350000000007</x:v>
      </x:c>
      <x:c r="G51" t="str">
        <x:v>Ops</x:v>
      </x:c>
      <x:c r="H51" t="str"/>
      <x:c r="I51" t="str">
        <x:v>Formula rollup</x:v>
      </x:c>
    </x:row>
    <x:row r="52">
      <x:c r="A52" s="32" t="n">
        <x:v>45931</x:v>
      </x:c>
      <x:c r="B52" t="str">
        <x:v>Oct 2025</x:v>
      </x:c>
      <x:c r="C52" t="str">
        <x:v>Actual</x:v>
      </x:c>
      <x:c r="D52" t="str">
        <x:v>Storage</x:v>
      </x:c>
      <x:c r="E52" t="str">
        <x:v>Average ending units</x:v>
      </x:c>
      <x:c r="F52" s="38" t="n">
        <x:v>27.36927499999999</x:v>
      </x:c>
      <x:c r="G52" t="str">
        <x:v>Ops</x:v>
      </x:c>
      <x:c r="H52" t="str"/>
      <x:c r="I52" t="str">
        <x:v>Formula rollup</x:v>
      </x:c>
    </x:row>
    <x:row r="53">
      <x:c r="A53" s="32" t="n">
        <x:v>45931</x:v>
      </x:c>
      <x:c r="B53" t="str">
        <x:v>Oct 2025</x:v>
      </x:c>
      <x:c r="C53" t="str">
        <x:v>Actual</x:v>
      </x:c>
      <x:c r="D53" t="str">
        <x:v>Inbound Freight</x:v>
      </x:c>
      <x:c r="E53" t="str">
        <x:v>Production receipts</x:v>
      </x:c>
      <x:c r="F53" s="38" t="n">
        <x:v>6.308951199999998</x:v>
      </x:c>
      <x:c r="G53" t="str">
        <x:v>Ops</x:v>
      </x:c>
      <x:c r="H53" t="str"/>
      <x:c r="I53" t="str">
        <x:v>Formula rollup</x:v>
      </x:c>
    </x:row>
    <x:row r="54">
      <x:c r="A54" s="32" t="n">
        <x:v>45931</x:v>
      </x:c>
      <x:c r="B54" t="str">
        <x:v>Oct 2025</x:v>
      </x:c>
      <x:c r="C54" t="str">
        <x:v>Actual</x:v>
      </x:c>
      <x:c r="D54" t="str">
        <x:v>Warehouse Rent</x:v>
      </x:c>
      <x:c r="E54" t="str">
        <x:v>Fixed monthly</x:v>
      </x:c>
      <x:c r="F54" s="38" t="n">
        <x:v>27.62666666666667</x:v>
      </x:c>
      <x:c r="G54" t="str">
        <x:v>Ops</x:v>
      </x:c>
      <x:c r="H54" t="str"/>
      <x:c r="I54" t="str">
        <x:v>Formula rollup</x:v>
      </x:c>
    </x:row>
    <x:row r="55">
      <x:c r="A55" s="32" t="n">
        <x:v>45962</x:v>
      </x:c>
      <x:c r="B55" t="str">
        <x:v>Nov 2025</x:v>
      </x:c>
      <x:c r="C55" t="str">
        <x:v>Actual</x:v>
      </x:c>
      <x:c r="D55" t="str">
        <x:v>Outbound Shipping</x:v>
      </x:c>
      <x:c r="E55" t="str">
        <x:v>Variable per fulfilled unit</x:v>
      </x:c>
      <x:c r="F55" s="38" t="n">
        <x:v>29.94625000000001</x:v>
      </x:c>
      <x:c r="G55" t="str">
        <x:v>Ops</x:v>
      </x:c>
      <x:c r="H55" t="str"/>
      <x:c r="I55" t="str">
        <x:v>Formula rollup</x:v>
      </x:c>
    </x:row>
    <x:row r="56">
      <x:c r="A56" s="32" t="n">
        <x:v>45962</x:v>
      </x:c>
      <x:c r="B56" t="str">
        <x:v>Nov 2025</x:v>
      </x:c>
      <x:c r="C56" t="str">
        <x:v>Actual</x:v>
      </x:c>
      <x:c r="D56" t="str">
        <x:v>Pick/Pack</x:v>
      </x:c>
      <x:c r="E56" t="str">
        <x:v>Variable per fulfilled unit</x:v>
      </x:c>
      <x:c r="F56" s="38" t="n">
        <x:v>11.798600000000002</x:v>
      </x:c>
      <x:c r="G56" t="str">
        <x:v>Ops</x:v>
      </x:c>
      <x:c r="H56" t="str"/>
      <x:c r="I56" t="str">
        <x:v>Formula rollup</x:v>
      </x:c>
    </x:row>
    <x:row r="57">
      <x:c r="A57" s="32" t="n">
        <x:v>45962</x:v>
      </x:c>
      <x:c r="B57" t="str">
        <x:v>Nov 2025</x:v>
      </x:c>
      <x:c r="C57" t="str">
        <x:v>Actual</x:v>
      </x:c>
      <x:c r="D57" t="str">
        <x:v>Storage</x:v>
      </x:c>
      <x:c r="E57" t="str">
        <x:v>Average ending units</x:v>
      </x:c>
      <x:c r="F57" s="38" t="n">
        <x:v>27.493909999999996</x:v>
      </x:c>
      <x:c r="G57" t="str">
        <x:v>Ops</x:v>
      </x:c>
      <x:c r="H57" t="str"/>
      <x:c r="I57" t="str">
        <x:v>Formula rollup</x:v>
      </x:c>
    </x:row>
    <x:row r="58">
      <x:c r="A58" s="32" t="n">
        <x:v>45962</x:v>
      </x:c>
      <x:c r="B58" t="str">
        <x:v>Nov 2025</x:v>
      </x:c>
      <x:c r="C58" t="str">
        <x:v>Actual</x:v>
      </x:c>
      <x:c r="D58" t="str">
        <x:v>Inbound Freight</x:v>
      </x:c>
      <x:c r="E58" t="str">
        <x:v>Production receipts</x:v>
      </x:c>
      <x:c r="F58" s="38" t="n">
        <x:v>6.5544863999999965</x:v>
      </x:c>
      <x:c r="G58" t="str">
        <x:v>Ops</x:v>
      </x:c>
      <x:c r="H58" t="str"/>
      <x:c r="I58" t="str">
        <x:v>Formula rollup</x:v>
      </x:c>
    </x:row>
    <x:row r="59">
      <x:c r="A59" s="32" t="n">
        <x:v>45962</x:v>
      </x:c>
      <x:c r="B59" t="str">
        <x:v>Nov 2025</x:v>
      </x:c>
      <x:c r="C59" t="str">
        <x:v>Actual</x:v>
      </x:c>
      <x:c r="D59" t="str">
        <x:v>Warehouse Rent</x:v>
      </x:c>
      <x:c r="E59" t="str">
        <x:v>Fixed monthly</x:v>
      </x:c>
      <x:c r="F59" s="38" t="n">
        <x:v>27.813333333333336</x:v>
      </x:c>
      <x:c r="G59" t="str">
        <x:v>Ops</x:v>
      </x:c>
      <x:c r="H59" t="str"/>
      <x:c r="I59" t="str">
        <x:v>Formula rollup</x:v>
      </x:c>
    </x:row>
    <x:row r="60">
      <x:c r="A60" s="32" t="n">
        <x:v>45992</x:v>
      </x:c>
      <x:c r="B60" t="str">
        <x:v>Dec 2025</x:v>
      </x:c>
      <x:c r="C60" t="str">
        <x:v>Actual</x:v>
      </x:c>
      <x:c r="D60" t="str">
        <x:v>Outbound Shipping</x:v>
      </x:c>
      <x:c r="E60" t="str">
        <x:v>Variable per fulfilled unit</x:v>
      </x:c>
      <x:c r="F60" s="38" t="n">
        <x:v>38.43580000000001</x:v>
      </x:c>
      <x:c r="G60" t="str">
        <x:v>Ops</x:v>
      </x:c>
      <x:c r="H60" t="str"/>
      <x:c r="I60" t="str">
        <x:v>Formula rollup</x:v>
      </x:c>
    </x:row>
    <x:row r="61">
      <x:c r="A61" s="32" t="n">
        <x:v>45992</x:v>
      </x:c>
      <x:c r="B61" t="str">
        <x:v>Dec 2025</x:v>
      </x:c>
      <x:c r="C61" t="str">
        <x:v>Actual</x:v>
      </x:c>
      <x:c r="D61" t="str">
        <x:v>Pick/Pack</x:v>
      </x:c>
      <x:c r="E61" t="str">
        <x:v>Variable per fulfilled unit</x:v>
      </x:c>
      <x:c r="F61" s="38" t="n">
        <x:v>15.144099999999996</x:v>
      </x:c>
      <x:c r="G61" t="str">
        <x:v>Ops</x:v>
      </x:c>
      <x:c r="H61" t="str"/>
      <x:c r="I61" t="str">
        <x:v>Formula rollup</x:v>
      </x:c>
    </x:row>
    <x:row r="62">
      <x:c r="A62" s="32" t="n">
        <x:v>45992</x:v>
      </x:c>
      <x:c r="B62" t="str">
        <x:v>Dec 2025</x:v>
      </x:c>
      <x:c r="C62" t="str">
        <x:v>Actual</x:v>
      </x:c>
      <x:c r="D62" t="str">
        <x:v>Storage</x:v>
      </x:c>
      <x:c r="E62" t="str">
        <x:v>Average ending units</x:v>
      </x:c>
      <x:c r="F62" s="38" t="n">
        <x:v>37.536731</x:v>
      </x:c>
      <x:c r="G62" t="str">
        <x:v>Ops</x:v>
      </x:c>
      <x:c r="H62" t="str"/>
      <x:c r="I62" t="str">
        <x:v>Formula rollup</x:v>
      </x:c>
    </x:row>
    <x:row r="63">
      <x:c r="A63" s="32" t="n">
        <x:v>45992</x:v>
      </x:c>
      <x:c r="B63" t="str">
        <x:v>Dec 2025</x:v>
      </x:c>
      <x:c r="C63" t="str">
        <x:v>Actual</x:v>
      </x:c>
      <x:c r="D63" t="str">
        <x:v>Inbound Freight</x:v>
      </x:c>
      <x:c r="E63" t="str">
        <x:v>Production receipts</x:v>
      </x:c>
      <x:c r="F63" s="38" t="n">
        <x:v>8.4143504</x:v>
      </x:c>
      <x:c r="G63" t="str">
        <x:v>Ops</x:v>
      </x:c>
      <x:c r="H63" t="str"/>
      <x:c r="I63" t="str">
        <x:v>Formula rollup</x:v>
      </x:c>
    </x:row>
    <x:row r="64">
      <x:c r="A64" s="32" t="n">
        <x:v>45992</x:v>
      </x:c>
      <x:c r="B64" t="str">
        <x:v>Dec 2025</x:v>
      </x:c>
      <x:c r="C64" t="str">
        <x:v>Actual</x:v>
      </x:c>
      <x:c r="D64" t="str">
        <x:v>Warehouse Rent</x:v>
      </x:c>
      <x:c r="E64" t="str">
        <x:v>Fixed monthly</x:v>
      </x:c>
      <x:c r="F64" s="38" t="n">
        <x:v>28</x:v>
      </x:c>
      <x:c r="G64" t="str">
        <x:v>Ops</x:v>
      </x:c>
      <x:c r="H64" t="str"/>
      <x:c r="I64" t="str">
        <x:v>Formula rollup</x:v>
      </x:c>
    </x:row>
    <x:row r="65">
      <x:c r="A65" s="32" t="n">
        <x:v>46023</x:v>
      </x:c>
      <x:c r="B65" t="str">
        <x:v>Jan 2026</x:v>
      </x:c>
      <x:c r="C65" t="str">
        <x:v>Forecast</x:v>
      </x:c>
      <x:c r="D65" t="str">
        <x:v>Outbound Shipping</x:v>
      </x:c>
      <x:c r="E65" t="str">
        <x:v>Variable per fulfilled unit</x:v>
      </x:c>
      <x:c r="F65" s="38" t="n">
        <x:v>36.046600000000005</x:v>
      </x:c>
      <x:c r="G65" t="str">
        <x:v>Ops</x:v>
      </x:c>
      <x:c r="H65" t="str"/>
      <x:c r="I65" t="str">
        <x:v>Formula rollup</x:v>
      </x:c>
    </x:row>
    <x:row r="66">
      <x:c r="A66" s="32" t="n">
        <x:v>46023</x:v>
      </x:c>
      <x:c r="B66" t="str">
        <x:v>Jan 2026</x:v>
      </x:c>
      <x:c r="C66" t="str">
        <x:v>Forecast</x:v>
      </x:c>
      <x:c r="D66" t="str">
        <x:v>Pick/Pack</x:v>
      </x:c>
      <x:c r="E66" t="str">
        <x:v>Variable per fulfilled unit</x:v>
      </x:c>
      <x:c r="F66" s="38" t="n">
        <x:v>14.203200000000002</x:v>
      </x:c>
      <x:c r="G66" t="str">
        <x:v>Ops</x:v>
      </x:c>
      <x:c r="H66" t="str"/>
      <x:c r="I66" t="str">
        <x:v>Formula rollup</x:v>
      </x:c>
    </x:row>
    <x:row r="67">
      <x:c r="A67" s="32" t="n">
        <x:v>46023</x:v>
      </x:c>
      <x:c r="B67" t="str">
        <x:v>Jan 2026</x:v>
      </x:c>
      <x:c r="C67" t="str">
        <x:v>Forecast</x:v>
      </x:c>
      <x:c r="D67" t="str">
        <x:v>Storage</x:v>
      </x:c>
      <x:c r="E67" t="str">
        <x:v>Average ending units</x:v>
      </x:c>
      <x:c r="F67" s="38" t="n">
        <x:v>29.62088439999999</x:v>
      </x:c>
      <x:c r="G67" t="str">
        <x:v>Ops</x:v>
      </x:c>
      <x:c r="H67" t="str"/>
      <x:c r="I67" t="str">
        <x:v>Formula rollup</x:v>
      </x:c>
    </x:row>
    <x:row r="68">
      <x:c r="A68" s="32" t="n">
        <x:v>46023</x:v>
      </x:c>
      <x:c r="B68" t="str">
        <x:v>Jan 2026</x:v>
      </x:c>
      <x:c r="C68" t="str">
        <x:v>Forecast</x:v>
      </x:c>
      <x:c r="D68" t="str">
        <x:v>Inbound Freight</x:v>
      </x:c>
      <x:c r="E68" t="str">
        <x:v>Production receipts</x:v>
      </x:c>
      <x:c r="F68" s="38" t="n">
        <x:v>7.847327999999998</x:v>
      </x:c>
      <x:c r="G68" t="str">
        <x:v>Ops</x:v>
      </x:c>
      <x:c r="H68" t="str"/>
      <x:c r="I68" t="str">
        <x:v>Formula rollup</x:v>
      </x:c>
    </x:row>
    <x:row r="69">
      <x:c r="A69" s="32" t="n">
        <x:v>46023</x:v>
      </x:c>
      <x:c r="B69" t="str">
        <x:v>Jan 2026</x:v>
      </x:c>
      <x:c r="C69" t="str">
        <x:v>Forecast</x:v>
      </x:c>
      <x:c r="D69" t="str">
        <x:v>Warehouse Rent</x:v>
      </x:c>
      <x:c r="E69" t="str">
        <x:v>Fixed monthly</x:v>
      </x:c>
      <x:c r="F69" s="38" t="n">
        <x:v>28</x:v>
      </x:c>
      <x:c r="G69" t="str">
        <x:v>Ops</x:v>
      </x:c>
      <x:c r="H69" t="str"/>
      <x:c r="I69" t="str">
        <x:v>Formula rollup</x:v>
      </x:c>
    </x:row>
    <x:row r="70">
      <x:c r="A70" s="32" t="n">
        <x:v>46054</x:v>
      </x:c>
      <x:c r="B70" t="str">
        <x:v>Feb 2026</x:v>
      </x:c>
      <x:c r="C70" t="str">
        <x:v>Forecast</x:v>
      </x:c>
      <x:c r="D70" t="str">
        <x:v>Outbound Shipping</x:v>
      </x:c>
      <x:c r="E70" t="str">
        <x:v>Variable per fulfilled unit</x:v>
      </x:c>
      <x:c r="F70" s="38" t="n">
        <x:v>35.38400000000001</x:v>
      </x:c>
      <x:c r="G70" t="str">
        <x:v>Ops</x:v>
      </x:c>
      <x:c r="H70" t="str"/>
      <x:c r="I70" t="str">
        <x:v>Formula rollup</x:v>
      </x:c>
    </x:row>
    <x:row r="71">
      <x:c r="A71" s="32" t="n">
        <x:v>46054</x:v>
      </x:c>
      <x:c r="B71" t="str">
        <x:v>Feb 2026</x:v>
      </x:c>
      <x:c r="C71" t="str">
        <x:v>Forecast</x:v>
      </x:c>
      <x:c r="D71" t="str">
        <x:v>Pick/Pack</x:v>
      </x:c>
      <x:c r="E71" t="str">
        <x:v>Variable per fulfilled unit</x:v>
      </x:c>
      <x:c r="F71" s="38" t="n">
        <x:v>13.941599999999994</x:v>
      </x:c>
      <x:c r="G71" t="str">
        <x:v>Ops</x:v>
      </x:c>
      <x:c r="H71" t="str"/>
      <x:c r="I71" t="str">
        <x:v>Formula rollup</x:v>
      </x:c>
    </x:row>
    <x:row r="72">
      <x:c r="A72" s="32" t="n">
        <x:v>46054</x:v>
      </x:c>
      <x:c r="B72" t="str">
        <x:v>Feb 2026</x:v>
      </x:c>
      <x:c r="C72" t="str">
        <x:v>Forecast</x:v>
      </x:c>
      <x:c r="D72" t="str">
        <x:v>Storage</x:v>
      </x:c>
      <x:c r="E72" t="str">
        <x:v>Average ending units</x:v>
      </x:c>
      <x:c r="F72" s="38" t="n">
        <x:v>28.357245599999988</x:v>
      </x:c>
      <x:c r="G72" t="str">
        <x:v>Ops</x:v>
      </x:c>
      <x:c r="H72" t="str"/>
      <x:c r="I72" t="str">
        <x:v>Formula rollup</x:v>
      </x:c>
    </x:row>
    <x:row r="73">
      <x:c r="A73" s="32" t="n">
        <x:v>46054</x:v>
      </x:c>
      <x:c r="B73" t="str">
        <x:v>Feb 2026</x:v>
      </x:c>
      <x:c r="C73" t="str">
        <x:v>Forecast</x:v>
      </x:c>
      <x:c r="D73" t="str">
        <x:v>Inbound Freight</x:v>
      </x:c>
      <x:c r="E73" t="str">
        <x:v>Production receipts</x:v>
      </x:c>
      <x:c r="F73" s="38" t="n">
        <x:v>7.684633599999999</x:v>
      </x:c>
      <x:c r="G73" t="str">
        <x:v>Ops</x:v>
      </x:c>
      <x:c r="H73" t="str"/>
      <x:c r="I73" t="str">
        <x:v>Formula rollup</x:v>
      </x:c>
    </x:row>
    <x:row r="74">
      <x:c r="A74" s="32" t="n">
        <x:v>46054</x:v>
      </x:c>
      <x:c r="B74" t="str">
        <x:v>Feb 2026</x:v>
      </x:c>
      <x:c r="C74" t="str">
        <x:v>Forecast</x:v>
      </x:c>
      <x:c r="D74" t="str">
        <x:v>Warehouse Rent</x:v>
      </x:c>
      <x:c r="E74" t="str">
        <x:v>Fixed monthly</x:v>
      </x:c>
      <x:c r="F74" s="38" t="n">
        <x:v>28</x:v>
      </x:c>
      <x:c r="G74" t="str">
        <x:v>Ops</x:v>
      </x:c>
      <x:c r="H74" t="str"/>
      <x:c r="I74" t="str">
        <x:v>Formula rollup</x:v>
      </x:c>
    </x:row>
    <x:row r="75">
      <x:c r="A75" s="32" t="n">
        <x:v>46082</x:v>
      </x:c>
      <x:c r="B75" t="str">
        <x:v>Mar 2026</x:v>
      </x:c>
      <x:c r="C75" t="str">
        <x:v>Forecast</x:v>
      </x:c>
      <x:c r="D75" t="str">
        <x:v>Outbound Shipping</x:v>
      </x:c>
      <x:c r="E75" t="str">
        <x:v>Variable per fulfilled unit</x:v>
      </x:c>
      <x:c r="F75" s="38" t="n">
        <x:v>43.778500000000015</x:v>
      </x:c>
      <x:c r="G75" t="str">
        <x:v>Ops</x:v>
      </x:c>
      <x:c r="H75" t="str"/>
      <x:c r="I75" t="str">
        <x:v>Formula rollup</x:v>
      </x:c>
    </x:row>
    <x:row r="76">
      <x:c r="A76" s="32" t="n">
        <x:v>46082</x:v>
      </x:c>
      <x:c r="B76" t="str">
        <x:v>Mar 2026</x:v>
      </x:c>
      <x:c r="C76" t="str">
        <x:v>Forecast</x:v>
      </x:c>
      <x:c r="D76" t="str">
        <x:v>Pick/Pack</x:v>
      </x:c>
      <x:c r="E76" t="str">
        <x:v>Variable per fulfilled unit</x:v>
      </x:c>
      <x:c r="F76" s="38" t="n">
        <x:v>17.249500000000005</x:v>
      </x:c>
      <x:c r="G76" t="str">
        <x:v>Ops</x:v>
      </x:c>
      <x:c r="H76" t="str"/>
      <x:c r="I76" t="str">
        <x:v>Formula rollup</x:v>
      </x:c>
    </x:row>
    <x:row r="77">
      <x:c r="A77" s="32" t="n">
        <x:v>46082</x:v>
      </x:c>
      <x:c r="B77" t="str">
        <x:v>Mar 2026</x:v>
      </x:c>
      <x:c r="C77" t="str">
        <x:v>Forecast</x:v>
      </x:c>
      <x:c r="D77" t="str">
        <x:v>Storage</x:v>
      </x:c>
      <x:c r="E77" t="str">
        <x:v>Average ending units</x:v>
      </x:c>
      <x:c r="F77" s="38" t="n">
        <x:v>33.69365249999999</x:v>
      </x:c>
      <x:c r="G77" t="str">
        <x:v>Ops</x:v>
      </x:c>
      <x:c r="H77" t="str"/>
      <x:c r="I77" t="str">
        <x:v>Formula rollup</x:v>
      </x:c>
    </x:row>
    <x:row r="78">
      <x:c r="A78" s="32" t="n">
        <x:v>46082</x:v>
      </x:c>
      <x:c r="B78" t="str">
        <x:v>Mar 2026</x:v>
      </x:c>
      <x:c r="C78" t="str">
        <x:v>Forecast</x:v>
      </x:c>
      <x:c r="D78" t="str">
        <x:v>Inbound Freight</x:v>
      </x:c>
      <x:c r="E78" t="str">
        <x:v>Production receipts</x:v>
      </x:c>
      <x:c r="F78" s="38" t="n">
        <x:v>9.514095999999999</x:v>
      </x:c>
      <x:c r="G78" t="str">
        <x:v>Ops</x:v>
      </x:c>
      <x:c r="H78" t="str"/>
      <x:c r="I78" t="str">
        <x:v>Formula rollup</x:v>
      </x:c>
    </x:row>
    <x:row r="79">
      <x:c r="A79" s="32" t="n">
        <x:v>46082</x:v>
      </x:c>
      <x:c r="B79" t="str">
        <x:v>Mar 2026</x:v>
      </x:c>
      <x:c r="C79" t="str">
        <x:v>Forecast</x:v>
      </x:c>
      <x:c r="D79" t="str">
        <x:v>Warehouse Rent</x:v>
      </x:c>
      <x:c r="E79" t="str">
        <x:v>Fixed monthly</x:v>
      </x:c>
      <x:c r="F79" s="38" t="n">
        <x:v>28</x:v>
      </x:c>
      <x:c r="G79" t="str">
        <x:v>Ops</x:v>
      </x:c>
      <x:c r="H79" t="str"/>
      <x:c r="I79" t="str">
        <x:v>Formula rollup</x:v>
      </x:c>
    </x:row>
    <x:row r="80">
      <x:c r="A80" s="32" t="n">
        <x:v>46113</x:v>
      </x:c>
      <x:c r="B80" t="str">
        <x:v>Apr 2026</x:v>
      </x:c>
      <x:c r="C80" t="str">
        <x:v>Forecast</x:v>
      </x:c>
      <x:c r="D80" t="str">
        <x:v>Outbound Shipping</x:v>
      </x:c>
      <x:c r="E80" t="str">
        <x:v>Variable per fulfilled unit</x:v>
      </x:c>
      <x:c r="F80" s="38" t="n">
        <x:v>35.38400000000001</x:v>
      </x:c>
      <x:c r="G80" t="str">
        <x:v>Ops</x:v>
      </x:c>
      <x:c r="H80" t="str"/>
      <x:c r="I80" t="str">
        <x:v>Formula rollup</x:v>
      </x:c>
    </x:row>
    <x:row r="81">
      <x:c r="A81" s="32" t="n">
        <x:v>46113</x:v>
      </x:c>
      <x:c r="B81" t="str">
        <x:v>Apr 2026</x:v>
      </x:c>
      <x:c r="C81" t="str">
        <x:v>Forecast</x:v>
      </x:c>
      <x:c r="D81" t="str">
        <x:v>Pick/Pack</x:v>
      </x:c>
      <x:c r="E81" t="str">
        <x:v>Variable per fulfilled unit</x:v>
      </x:c>
      <x:c r="F81" s="38" t="n">
        <x:v>13.941599999999996</x:v>
      </x:c>
      <x:c r="G81" t="str">
        <x:v>Ops</x:v>
      </x:c>
      <x:c r="H81" t="str"/>
      <x:c r="I81" t="str">
        <x:v>Formula rollup</x:v>
      </x:c>
    </x:row>
    <x:row r="82">
      <x:c r="A82" s="32" t="n">
        <x:v>46113</x:v>
      </x:c>
      <x:c r="B82" t="str">
        <x:v>Apr 2026</x:v>
      </x:c>
      <x:c r="C82" t="str">
        <x:v>Forecast</x:v>
      </x:c>
      <x:c r="D82" t="str">
        <x:v>Storage</x:v>
      </x:c>
      <x:c r="E82" t="str">
        <x:v>Average ending units</x:v>
      </x:c>
      <x:c r="F82" s="38" t="n">
        <x:v>25.549413199999986</x:v>
      </x:c>
      <x:c r="G82" t="str">
        <x:v>Ops</x:v>
      </x:c>
      <x:c r="H82" t="str"/>
      <x:c r="I82" t="str">
        <x:v>Formula rollup</x:v>
      </x:c>
    </x:row>
    <x:row r="83">
      <x:c r="A83" s="32" t="n">
        <x:v>46113</x:v>
      </x:c>
      <x:c r="B83" t="str">
        <x:v>Apr 2026</x:v>
      </x:c>
      <x:c r="C83" t="str">
        <x:v>Forecast</x:v>
      </x:c>
      <x:c r="D83" t="str">
        <x:v>Inbound Freight</x:v>
      </x:c>
      <x:c r="E83" t="str">
        <x:v>Production receipts</x:v>
      </x:c>
      <x:c r="F83" s="38" t="n">
        <x:v>7.722611199999999</x:v>
      </x:c>
      <x:c r="G83" t="str">
        <x:v>Ops</x:v>
      </x:c>
      <x:c r="H83" t="str"/>
      <x:c r="I83" t="str">
        <x:v>Formula rollup</x:v>
      </x:c>
    </x:row>
    <x:row r="84">
      <x:c r="A84" s="32" t="n">
        <x:v>46113</x:v>
      </x:c>
      <x:c r="B84" t="str">
        <x:v>Apr 2026</x:v>
      </x:c>
      <x:c r="C84" t="str">
        <x:v>Forecast</x:v>
      </x:c>
      <x:c r="D84" t="str">
        <x:v>Warehouse Rent</x:v>
      </x:c>
      <x:c r="E84" t="str">
        <x:v>Fixed monthly</x:v>
      </x:c>
      <x:c r="F84" s="38" t="n">
        <x:v>28</x:v>
      </x:c>
      <x:c r="G84" t="str">
        <x:v>Ops</x:v>
      </x:c>
      <x:c r="H84" t="str"/>
      <x:c r="I84" t="str">
        <x:v>Formula rollup</x:v>
      </x:c>
    </x:row>
    <x:row r="85">
      <x:c r="A85" s="32" t="n">
        <x:v>46143</x:v>
      </x:c>
      <x:c r="B85" t="str">
        <x:v>May 2026</x:v>
      </x:c>
      <x:c r="C85" t="str">
        <x:v>Forecast</x:v>
      </x:c>
      <x:c r="D85" t="str">
        <x:v>Outbound Shipping</x:v>
      </x:c>
      <x:c r="E85" t="str">
        <x:v>Variable per fulfilled unit</x:v>
      </x:c>
      <x:c r="F85" s="38" t="n">
        <x:v>36.42440000000001</x:v>
      </x:c>
      <x:c r="G85" t="str">
        <x:v>Ops</x:v>
      </x:c>
      <x:c r="H85" t="str"/>
      <x:c r="I85" t="str">
        <x:v>Formula rollup</x:v>
      </x:c>
    </x:row>
    <x:row r="86">
      <x:c r="A86" s="32" t="n">
        <x:v>46143</x:v>
      </x:c>
      <x:c r="B86" t="str">
        <x:v>May 2026</x:v>
      </x:c>
      <x:c r="C86" t="str">
        <x:v>Forecast</x:v>
      </x:c>
      <x:c r="D86" t="str">
        <x:v>Pick/Pack</x:v>
      </x:c>
      <x:c r="E86" t="str">
        <x:v>Variable per fulfilled unit</x:v>
      </x:c>
      <x:c r="F86" s="38" t="n">
        <x:v>14.351799999999997</x:v>
      </x:c>
      <x:c r="G86" t="str">
        <x:v>Ops</x:v>
      </x:c>
      <x:c r="H86" t="str"/>
      <x:c r="I86" t="str">
        <x:v>Formula rollup</x:v>
      </x:c>
    </x:row>
    <x:row r="87">
      <x:c r="A87" s="32" t="n">
        <x:v>46143</x:v>
      </x:c>
      <x:c r="B87" t="str">
        <x:v>May 2026</x:v>
      </x:c>
      <x:c r="C87" t="str">
        <x:v>Forecast</x:v>
      </x:c>
      <x:c r="D87" t="str">
        <x:v>Storage</x:v>
      </x:c>
      <x:c r="E87" t="str">
        <x:v>Average ending units</x:v>
      </x:c>
      <x:c r="F87" s="38" t="n">
        <x:v>24.271478199999994</x:v>
      </x:c>
      <x:c r="G87" t="str">
        <x:v>Ops</x:v>
      </x:c>
      <x:c r="H87" t="str"/>
      <x:c r="I87" t="str">
        <x:v>Formula rollup</x:v>
      </x:c>
    </x:row>
    <x:row r="88">
      <x:c r="A88" s="32" t="n">
        <x:v>46143</x:v>
      </x:c>
      <x:c r="B88" t="str">
        <x:v>May 2026</x:v>
      </x:c>
      <x:c r="C88" t="str">
        <x:v>Forecast</x:v>
      </x:c>
      <x:c r="D88" t="str">
        <x:v>Inbound Freight</x:v>
      </x:c>
      <x:c r="E88" t="str">
        <x:v>Production receipts</x:v>
      </x:c>
      <x:c r="F88" s="38" t="n">
        <x:v>8.012495999999997</x:v>
      </x:c>
      <x:c r="G88" t="str">
        <x:v>Ops</x:v>
      </x:c>
      <x:c r="H88" t="str"/>
      <x:c r="I88" t="str">
        <x:v>Formula rollup</x:v>
      </x:c>
    </x:row>
    <x:row r="89">
      <x:c r="A89" s="32" t="n">
        <x:v>46143</x:v>
      </x:c>
      <x:c r="B89" t="str">
        <x:v>May 2026</x:v>
      </x:c>
      <x:c r="C89" t="str">
        <x:v>Forecast</x:v>
      </x:c>
      <x:c r="D89" t="str">
        <x:v>Warehouse Rent</x:v>
      </x:c>
      <x:c r="E89" t="str">
        <x:v>Fixed monthly</x:v>
      </x:c>
      <x:c r="F89" s="38" t="n">
        <x:v>28</x:v>
      </x:c>
      <x:c r="G89" t="str">
        <x:v>Ops</x:v>
      </x:c>
      <x:c r="H89" t="str"/>
      <x:c r="I89" t="str">
        <x:v>Formula rollup</x:v>
      </x:c>
    </x:row>
    <x:row r="90">
      <x:c r="A90" s="32" t="n">
        <x:v>46174</x:v>
      </x:c>
      <x:c r="B90" t="str">
        <x:v>Jun 2026</x:v>
      </x:c>
      <x:c r="C90" t="str">
        <x:v>Forecast</x:v>
      </x:c>
      <x:c r="D90" t="str">
        <x:v>Outbound Shipping</x:v>
      </x:c>
      <x:c r="E90" t="str">
        <x:v>Variable per fulfilled unit</x:v>
      </x:c>
      <x:c r="F90" s="38" t="n">
        <x:v>46.524</x:v>
      </x:c>
      <x:c r="G90" t="str">
        <x:v>Ops</x:v>
      </x:c>
      <x:c r="H90" t="str"/>
      <x:c r="I90" t="str">
        <x:v>Formula rollup</x:v>
      </x:c>
    </x:row>
    <x:row r="91">
      <x:c r="A91" s="32" t="n">
        <x:v>46174</x:v>
      </x:c>
      <x:c r="B91" t="str">
        <x:v>Jun 2026</x:v>
      </x:c>
      <x:c r="C91" t="str">
        <x:v>Forecast</x:v>
      </x:c>
      <x:c r="D91" t="str">
        <x:v>Pick/Pack</x:v>
      </x:c>
      <x:c r="E91" t="str">
        <x:v>Variable per fulfilled unit</x:v>
      </x:c>
      <x:c r="F91" s="38" t="n">
        <x:v>18.3305</x:v>
      </x:c>
      <x:c r="G91" t="str">
        <x:v>Ops</x:v>
      </x:c>
      <x:c r="H91" t="str"/>
      <x:c r="I91" t="str">
        <x:v>Formula rollup</x:v>
      </x:c>
    </x:row>
    <x:row r="92">
      <x:c r="A92" s="32" t="n">
        <x:v>46174</x:v>
      </x:c>
      <x:c r="B92" t="str">
        <x:v>Jun 2026</x:v>
      </x:c>
      <x:c r="C92" t="str">
        <x:v>Forecast</x:v>
      </x:c>
      <x:c r="D92" t="str">
        <x:v>Storage</x:v>
      </x:c>
      <x:c r="E92" t="str">
        <x:v>Average ending units</x:v>
      </x:c>
      <x:c r="F92" s="38" t="n">
        <x:v>28.49648599999998</x:v>
      </x:c>
      <x:c r="G92" t="str">
        <x:v>Ops</x:v>
      </x:c>
      <x:c r="H92" t="str"/>
      <x:c r="I92" t="str">
        <x:v>Formula rollup</x:v>
      </x:c>
    </x:row>
    <x:row r="93">
      <x:c r="A93" s="32" t="n">
        <x:v>46174</x:v>
      </x:c>
      <x:c r="B93" t="str">
        <x:v>Jun 2026</x:v>
      </x:c>
      <x:c r="C93" t="str">
        <x:v>Forecast</x:v>
      </x:c>
      <x:c r="D93" t="str">
        <x:v>Inbound Freight</x:v>
      </x:c>
      <x:c r="E93" t="str">
        <x:v>Production receipts</x:v>
      </x:c>
      <x:c r="F93" s="38" t="n">
        <x:v>10.29204</x:v>
      </x:c>
      <x:c r="G93" t="str">
        <x:v>Ops</x:v>
      </x:c>
      <x:c r="H93" t="str"/>
      <x:c r="I93" t="str">
        <x:v>Formula rollup</x:v>
      </x:c>
    </x:row>
    <x:row r="94">
      <x:c r="A94" s="32" t="n">
        <x:v>46174</x:v>
      </x:c>
      <x:c r="B94" t="str">
        <x:v>Jun 2026</x:v>
      </x:c>
      <x:c r="C94" t="str">
        <x:v>Forecast</x:v>
      </x:c>
      <x:c r="D94" t="str">
        <x:v>Warehouse Rent</x:v>
      </x:c>
      <x:c r="E94" t="str">
        <x:v>Fixed monthly</x:v>
      </x:c>
      <x:c r="F94" s="38" t="n">
        <x:v>28</x:v>
      </x:c>
      <x:c r="G94" t="str">
        <x:v>Ops</x:v>
      </x:c>
      <x:c r="H94" t="str"/>
      <x:c r="I94" t="str">
        <x:v>Formula rollup</x:v>
      </x:c>
    </x:row>
    <x:row r="95">
      <x:c r="A95" s="32" t="n">
        <x:v>46204</x:v>
      </x:c>
      <x:c r="B95" t="str">
        <x:v>Jul 2026</x:v>
      </x:c>
      <x:c r="C95" t="str">
        <x:v>Forecast</x:v>
      </x:c>
      <x:c r="D95" t="str">
        <x:v>Outbound Shipping</x:v>
      </x:c>
      <x:c r="E95" t="str">
        <x:v>Variable per fulfilled unit</x:v>
      </x:c>
      <x:c r="F95" s="38" t="n">
        <x:v>37.219200000000015</x:v>
      </x:c>
      <x:c r="G95" t="str">
        <x:v>Ops</x:v>
      </x:c>
      <x:c r="H95" t="str"/>
      <x:c r="I95" t="str">
        <x:v>Formula rollup</x:v>
      </x:c>
    </x:row>
    <x:row r="96">
      <x:c r="A96" s="32" t="n">
        <x:v>46204</x:v>
      </x:c>
      <x:c r="B96" t="str">
        <x:v>Jul 2026</x:v>
      </x:c>
      <x:c r="C96" t="str">
        <x:v>Forecast</x:v>
      </x:c>
      <x:c r="D96" t="str">
        <x:v>Pick/Pack</x:v>
      </x:c>
      <x:c r="E96" t="str">
        <x:v>Variable per fulfilled unit</x:v>
      </x:c>
      <x:c r="F96" s="38" t="n">
        <x:v>14.664399999999999</x:v>
      </x:c>
      <x:c r="G96" t="str">
        <x:v>Ops</x:v>
      </x:c>
      <x:c r="H96" t="str"/>
      <x:c r="I96" t="str">
        <x:v>Formula rollup</x:v>
      </x:c>
    </x:row>
    <x:row r="97">
      <x:c r="A97" s="32" t="n">
        <x:v>46204</x:v>
      </x:c>
      <x:c r="B97" t="str">
        <x:v>Jul 2026</x:v>
      </x:c>
      <x:c r="C97" t="str">
        <x:v>Forecast</x:v>
      </x:c>
      <x:c r="D97" t="str">
        <x:v>Storage</x:v>
      </x:c>
      <x:c r="E97" t="str">
        <x:v>Average ending units</x:v>
      </x:c>
      <x:c r="F97" s="38" t="n">
        <x:v>21.31237339999999</x:v>
      </x:c>
      <x:c r="G97" t="str">
        <x:v>Ops</x:v>
      </x:c>
      <x:c r="H97" t="str"/>
      <x:c r="I97" t="str">
        <x:v>Formula rollup</x:v>
      </x:c>
    </x:row>
    <x:row r="98">
      <x:c r="A98" s="32" t="n">
        <x:v>46204</x:v>
      </x:c>
      <x:c r="B98" t="str">
        <x:v>Jul 2026</x:v>
      </x:c>
      <x:c r="C98" t="str">
        <x:v>Forecast</x:v>
      </x:c>
      <x:c r="D98" t="str">
        <x:v>Inbound Freight</x:v>
      </x:c>
      <x:c r="E98" t="str">
        <x:v>Production receipts</x:v>
      </x:c>
      <x:c r="F98" s="38" t="n">
        <x:v>8.229215999999997</x:v>
      </x:c>
      <x:c r="G98" t="str">
        <x:v>Ops</x:v>
      </x:c>
      <x:c r="H98" t="str"/>
      <x:c r="I98" t="str">
        <x:v>Formula rollup</x:v>
      </x:c>
    </x:row>
    <x:row r="99">
      <x:c r="A99" s="32" t="n">
        <x:v>46204</x:v>
      </x:c>
      <x:c r="B99" t="str">
        <x:v>Jul 2026</x:v>
      </x:c>
      <x:c r="C99" t="str">
        <x:v>Forecast</x:v>
      </x:c>
      <x:c r="D99" t="str">
        <x:v>Warehouse Rent</x:v>
      </x:c>
      <x:c r="E99" t="str">
        <x:v>Fixed monthly</x:v>
      </x:c>
      <x:c r="F99" s="38" t="n">
        <x:v>28</x:v>
      </x:c>
      <x:c r="G99" t="str">
        <x:v>Ops</x:v>
      </x:c>
      <x:c r="H99" t="str"/>
      <x:c r="I99" t="str">
        <x:v>Formula rollup</x:v>
      </x:c>
    </x:row>
    <x:row r="100">
      <x:c r="A100" s="32" t="n">
        <x:v>46235</x:v>
      </x:c>
      <x:c r="B100" t="str">
        <x:v>Aug 2026</x:v>
      </x:c>
      <x:c r="C100" t="str">
        <x:v>Forecast</x:v>
      </x:c>
      <x:c r="D100" t="str">
        <x:v>Outbound Shipping</x:v>
      </x:c>
      <x:c r="E100" t="str">
        <x:v>Variable per fulfilled unit</x:v>
      </x:c>
      <x:c r="F100" s="38" t="n">
        <x:v>45.41675000000002</x:v>
      </x:c>
      <x:c r="G100" t="str">
        <x:v>Ops</x:v>
      </x:c>
      <x:c r="H100" t="str"/>
      <x:c r="I100" t="str">
        <x:v>Formula rollup</x:v>
      </x:c>
    </x:row>
    <x:row r="101">
      <x:c r="A101" s="32" t="n">
        <x:v>46235</x:v>
      </x:c>
      <x:c r="B101" t="str">
        <x:v>Aug 2026</x:v>
      </x:c>
      <x:c r="C101" t="str">
        <x:v>Forecast</x:v>
      </x:c>
      <x:c r="D101" t="str">
        <x:v>Pick/Pack</x:v>
      </x:c>
      <x:c r="E101" t="str">
        <x:v>Variable per fulfilled unit</x:v>
      </x:c>
      <x:c r="F101" s="38" t="n">
        <x:v>17.895500000000002</x:v>
      </x:c>
      <x:c r="G101" t="str">
        <x:v>Ops</x:v>
      </x:c>
      <x:c r="H101" t="str"/>
      <x:c r="I101" t="str">
        <x:v>Formula rollup</x:v>
      </x:c>
    </x:row>
    <x:row r="102">
      <x:c r="A102" s="32" t="n">
        <x:v>46235</x:v>
      </x:c>
      <x:c r="B102" t="str">
        <x:v>Aug 2026</x:v>
      </x:c>
      <x:c r="C102" t="str">
        <x:v>Forecast</x:v>
      </x:c>
      <x:c r="D102" t="str">
        <x:v>Storage</x:v>
      </x:c>
      <x:c r="E102" t="str">
        <x:v>Average ending units</x:v>
      </x:c>
      <x:c r="F102" s="38" t="n">
        <x:v>24.81374649999999</x:v>
      </x:c>
      <x:c r="G102" t="str">
        <x:v>Ops</x:v>
      </x:c>
      <x:c r="H102" t="str"/>
      <x:c r="I102" t="str">
        <x:v>Formula rollup</x:v>
      </x:c>
    </x:row>
    <x:row r="103">
      <x:c r="A103" s="32" t="n">
        <x:v>46235</x:v>
      </x:c>
      <x:c r="B103" t="str">
        <x:v>Aug 2026</x:v>
      </x:c>
      <x:c r="C103" t="str">
        <x:v>Forecast</x:v>
      </x:c>
      <x:c r="D103" t="str">
        <x:v>Inbound Freight</x:v>
      </x:c>
      <x:c r="E103" t="str">
        <x:v>Production receipts</x:v>
      </x:c>
      <x:c r="F103" s="38" t="n">
        <x:v>9.971167999999999</x:v>
      </x:c>
      <x:c r="G103" t="str">
        <x:v>Ops</x:v>
      </x:c>
      <x:c r="H103" t="str"/>
      <x:c r="I103" t="str">
        <x:v>Formula rollup</x:v>
      </x:c>
    </x:row>
    <x:row r="104">
      <x:c r="A104" s="32" t="n">
        <x:v>46235</x:v>
      </x:c>
      <x:c r="B104" t="str">
        <x:v>Aug 2026</x:v>
      </x:c>
      <x:c r="C104" t="str">
        <x:v>Forecast</x:v>
      </x:c>
      <x:c r="D104" t="str">
        <x:v>Warehouse Rent</x:v>
      </x:c>
      <x:c r="E104" t="str">
        <x:v>Fixed monthly</x:v>
      </x:c>
      <x:c r="F104" s="38" t="n">
        <x:v>28</x:v>
      </x:c>
      <x:c r="G104" t="str">
        <x:v>Ops</x:v>
      </x:c>
      <x:c r="H104" t="str"/>
      <x:c r="I104" t="str">
        <x:v>Formula rollup</x:v>
      </x:c>
    </x:row>
    <x:row r="105">
      <x:c r="A105" s="32" t="n">
        <x:v>46266</x:v>
      </x:c>
      <x:c r="B105" t="str">
        <x:v>Sep 2026</x:v>
      </x:c>
      <x:c r="C105" t="str">
        <x:v>Forecast</x:v>
      </x:c>
      <x:c r="D105" t="str">
        <x:v>Outbound Shipping</x:v>
      </x:c>
      <x:c r="E105" t="str">
        <x:v>Variable per fulfilled unit</x:v>
      </x:c>
      <x:c r="F105" s="38" t="n">
        <x:v>30.408400000000015</x:v>
      </x:c>
      <x:c r="G105" t="str">
        <x:v>Ops</x:v>
      </x:c>
      <x:c r="H105" t="str"/>
      <x:c r="I105" t="str">
        <x:v>Formula rollup</x:v>
      </x:c>
    </x:row>
    <x:row r="106">
      <x:c r="A106" s="32" t="n">
        <x:v>46266</x:v>
      </x:c>
      <x:c r="B106" t="str">
        <x:v>Sep 2026</x:v>
      </x:c>
      <x:c r="C106" t="str">
        <x:v>Forecast</x:v>
      </x:c>
      <x:c r="D106" t="str">
        <x:v>Pick/Pack</x:v>
      </x:c>
      <x:c r="E106" t="str">
        <x:v>Variable per fulfilled unit</x:v>
      </x:c>
      <x:c r="F106" s="38" t="n">
        <x:v>11.9822</x:v>
      </x:c>
      <x:c r="G106" t="str">
        <x:v>Ops</x:v>
      </x:c>
      <x:c r="H106" t="str"/>
      <x:c r="I106" t="str">
        <x:v>Formula rollup</x:v>
      </x:c>
    </x:row>
    <x:row r="107">
      <x:c r="A107" s="32" t="n">
        <x:v>46266</x:v>
      </x:c>
      <x:c r="B107" t="str">
        <x:v>Sep 2026</x:v>
      </x:c>
      <x:c r="C107" t="str">
        <x:v>Forecast</x:v>
      </x:c>
      <x:c r="D107" t="str">
        <x:v>Storage</x:v>
      </x:c>
      <x:c r="E107" t="str">
        <x:v>Average ending units</x:v>
      </x:c>
      <x:c r="F107" s="38" t="n">
        <x:v>18.532025599999997</x:v>
      </x:c>
      <x:c r="G107" t="str">
        <x:v>Ops</x:v>
      </x:c>
      <x:c r="H107" t="str"/>
      <x:c r="I107" t="str">
        <x:v>Formula rollup</x:v>
      </x:c>
    </x:row>
    <x:row r="108">
      <x:c r="A108" s="32" t="n">
        <x:v>46266</x:v>
      </x:c>
      <x:c r="B108" t="str">
        <x:v>Sep 2026</x:v>
      </x:c>
      <x:c r="C108" t="str">
        <x:v>Forecast</x:v>
      </x:c>
      <x:c r="D108" t="str">
        <x:v>Inbound Freight</x:v>
      </x:c>
      <x:c r="E108" t="str">
        <x:v>Production receipts</x:v>
      </x:c>
      <x:c r="F108" s="38" t="n">
        <x:v>6.346352</x:v>
      </x:c>
      <x:c r="G108" t="str">
        <x:v>Ops</x:v>
      </x:c>
      <x:c r="H108" t="str"/>
      <x:c r="I108" t="str">
        <x:v>Formula rollup</x:v>
      </x:c>
    </x:row>
    <x:row r="109">
      <x:c r="A109" s="32" t="n">
        <x:v>46266</x:v>
      </x:c>
      <x:c r="B109" t="str">
        <x:v>Sep 2026</x:v>
      </x:c>
      <x:c r="C109" t="str">
        <x:v>Forecast</x:v>
      </x:c>
      <x:c r="D109" t="str">
        <x:v>Warehouse Rent</x:v>
      </x:c>
      <x:c r="E109" t="str">
        <x:v>Fixed monthly</x:v>
      </x:c>
      <x:c r="F109" s="38" t="n">
        <x:v>28</x:v>
      </x:c>
      <x:c r="G109" t="str">
        <x:v>Ops</x:v>
      </x:c>
      <x:c r="H109" t="str"/>
      <x:c r="I109" t="str">
        <x:v>Formula rollup</x:v>
      </x:c>
    </x:row>
    <x:row r="110">
      <x:c r="A110" s="32" t="n">
        <x:v>46296</x:v>
      </x:c>
      <x:c r="B110" t="str">
        <x:v>Oct 2026</x:v>
      </x:c>
      <x:c r="C110" t="str">
        <x:v>Forecast</x:v>
      </x:c>
      <x:c r="D110" t="str">
        <x:v>Outbound Shipping</x:v>
      </x:c>
      <x:c r="E110" t="str">
        <x:v>Variable per fulfilled unit</x:v>
      </x:c>
      <x:c r="F110" s="38" t="n">
        <x:v>31.590200000000017</x:v>
      </x:c>
      <x:c r="G110" t="str">
        <x:v>Ops</x:v>
      </x:c>
      <x:c r="H110" t="str"/>
      <x:c r="I110" t="str">
        <x:v>Formula rollup</x:v>
      </x:c>
    </x:row>
    <x:row r="111">
      <x:c r="A111" s="32" t="n">
        <x:v>46296</x:v>
      </x:c>
      <x:c r="B111" t="str">
        <x:v>Oct 2026</x:v>
      </x:c>
      <x:c r="C111" t="str">
        <x:v>Forecast</x:v>
      </x:c>
      <x:c r="D111" t="str">
        <x:v>Pick/Pack</x:v>
      </x:c>
      <x:c r="E111" t="str">
        <x:v>Variable per fulfilled unit</x:v>
      </x:c>
      <x:c r="F111" s="38" t="n">
        <x:v>12.446800000000005</x:v>
      </x:c>
      <x:c r="G111" t="str">
        <x:v>Ops</x:v>
      </x:c>
      <x:c r="H111" t="str"/>
      <x:c r="I111" t="str">
        <x:v>Formula rollup</x:v>
      </x:c>
    </x:row>
    <x:row r="112">
      <x:c r="A112" s="32" t="n">
        <x:v>46296</x:v>
      </x:c>
      <x:c r="B112" t="str">
        <x:v>Oct 2026</x:v>
      </x:c>
      <x:c r="C112" t="str">
        <x:v>Forecast</x:v>
      </x:c>
      <x:c r="D112" t="str">
        <x:v>Storage</x:v>
      </x:c>
      <x:c r="E112" t="str">
        <x:v>Average ending units</x:v>
      </x:c>
      <x:c r="F112" s="38" t="n">
        <x:v>17.426477799999997</x:v>
      </x:c>
      <x:c r="G112" t="str">
        <x:v>Ops</x:v>
      </x:c>
      <x:c r="H112" t="str"/>
      <x:c r="I112" t="str">
        <x:v>Formula rollup</x:v>
      </x:c>
    </x:row>
    <x:row r="113">
      <x:c r="A113" s="32" t="n">
        <x:v>46296</x:v>
      </x:c>
      <x:c r="B113" t="str">
        <x:v>Oct 2026</x:v>
      </x:c>
      <x:c r="C113" t="str">
        <x:v>Forecast</x:v>
      </x:c>
      <x:c r="D113" t="str">
        <x:v>Inbound Freight</x:v>
      </x:c>
      <x:c r="E113" t="str">
        <x:v>Production receipts</x:v>
      </x:c>
      <x:c r="F113" s="38" t="n">
        <x:v>6.6394367999999995</x:v>
      </x:c>
      <x:c r="G113" t="str">
        <x:v>Ops</x:v>
      </x:c>
      <x:c r="H113" t="str"/>
      <x:c r="I113" t="str">
        <x:v>Formula rollup</x:v>
      </x:c>
    </x:row>
    <x:row r="114">
      <x:c r="A114" s="32" t="n">
        <x:v>46296</x:v>
      </x:c>
      <x:c r="B114" t="str">
        <x:v>Oct 2026</x:v>
      </x:c>
      <x:c r="C114" t="str">
        <x:v>Forecast</x:v>
      </x:c>
      <x:c r="D114" t="str">
        <x:v>Warehouse Rent</x:v>
      </x:c>
      <x:c r="E114" t="str">
        <x:v>Fixed monthly</x:v>
      </x:c>
      <x:c r="F114" s="38" t="n">
        <x:v>28</x:v>
      </x:c>
      <x:c r="G114" t="str">
        <x:v>Ops</x:v>
      </x:c>
      <x:c r="H114" t="str"/>
      <x:c r="I114" t="str">
        <x:v>Formula rollup</x:v>
      </x:c>
    </x:row>
    <x:row r="115">
      <x:c r="A115" s="32" t="n">
        <x:v>46327</x:v>
      </x:c>
      <x:c r="B115" t="str">
        <x:v>Nov 2026</x:v>
      </x:c>
      <x:c r="C115" t="str">
        <x:v>Forecast</x:v>
      </x:c>
      <x:c r="D115" t="str">
        <x:v>Outbound Shipping</x:v>
      </x:c>
      <x:c r="E115" t="str">
        <x:v>Variable per fulfilled unit</x:v>
      </x:c>
      <x:c r="F115" s="38" t="n">
        <x:v>41.21900000000001</x:v>
      </x:c>
      <x:c r="G115" t="str">
        <x:v>Ops</x:v>
      </x:c>
      <x:c r="H115" t="str"/>
      <x:c r="I115" t="str">
        <x:v>Formula rollup</x:v>
      </x:c>
    </x:row>
    <x:row r="116">
      <x:c r="A116" s="32" t="n">
        <x:v>46327</x:v>
      </x:c>
      <x:c r="B116" t="str">
        <x:v>Nov 2026</x:v>
      </x:c>
      <x:c r="C116" t="str">
        <x:v>Forecast</x:v>
      </x:c>
      <x:c r="D116" t="str">
        <x:v>Pick/Pack</x:v>
      </x:c>
      <x:c r="E116" t="str">
        <x:v>Variable per fulfilled unit</x:v>
      </x:c>
      <x:c r="F116" s="38" t="n">
        <x:v>16.240499999999994</x:v>
      </x:c>
      <x:c r="G116" t="str">
        <x:v>Ops</x:v>
      </x:c>
      <x:c r="H116" t="str"/>
      <x:c r="I116" t="str">
        <x:v>Formula rollup</x:v>
      </x:c>
    </x:row>
    <x:row r="117">
      <x:c r="A117" s="32" t="n">
        <x:v>46327</x:v>
      </x:c>
      <x:c r="B117" t="str">
        <x:v>Nov 2026</x:v>
      </x:c>
      <x:c r="C117" t="str">
        <x:v>Forecast</x:v>
      </x:c>
      <x:c r="D117" t="str">
        <x:v>Storage</x:v>
      </x:c>
      <x:c r="E117" t="str">
        <x:v>Average ending units</x:v>
      </x:c>
      <x:c r="F117" s="38" t="n">
        <x:v>20.880916999999993</x:v>
      </x:c>
      <x:c r="G117" t="str">
        <x:v>Ops</x:v>
      </x:c>
      <x:c r="H117" t="str"/>
      <x:c r="I117" t="str">
        <x:v>Formula rollup</x:v>
      </x:c>
    </x:row>
    <x:row r="118">
      <x:c r="A118" s="32" t="n">
        <x:v>46327</x:v>
      </x:c>
      <x:c r="B118" t="str">
        <x:v>Nov 2026</x:v>
      </x:c>
      <x:c r="C118" t="str">
        <x:v>Forecast</x:v>
      </x:c>
      <x:c r="D118" t="str">
        <x:v>Inbound Freight</x:v>
      </x:c>
      <x:c r="E118" t="str">
        <x:v>Production receipts</x:v>
      </x:c>
      <x:c r="F118" s="38" t="n">
        <x:v>8.7258</x:v>
      </x:c>
      <x:c r="G118" t="str">
        <x:v>Ops</x:v>
      </x:c>
      <x:c r="H118" t="str"/>
      <x:c r="I118" t="str">
        <x:v>Formula rollup</x:v>
      </x:c>
    </x:row>
    <x:row r="119">
      <x:c r="A119" s="32" t="n">
        <x:v>46327</x:v>
      </x:c>
      <x:c r="B119" t="str">
        <x:v>Nov 2026</x:v>
      </x:c>
      <x:c r="C119" t="str">
        <x:v>Forecast</x:v>
      </x:c>
      <x:c r="D119" t="str">
        <x:v>Warehouse Rent</x:v>
      </x:c>
      <x:c r="E119" t="str">
        <x:v>Fixed monthly</x:v>
      </x:c>
      <x:c r="F119" s="38" t="n">
        <x:v>28</x:v>
      </x:c>
      <x:c r="G119" t="str">
        <x:v>Ops</x:v>
      </x:c>
      <x:c r="H119" t="str"/>
      <x:c r="I119" t="str">
        <x:v>Formula rollup</x:v>
      </x:c>
    </x:row>
    <x:row r="120">
      <x:c r="A120" s="32" t="n">
        <x:v>46357</x:v>
      </x:c>
      <x:c r="B120" t="str">
        <x:v>Dec 2026</x:v>
      </x:c>
      <x:c r="C120" t="str">
        <x:v>Forecast</x:v>
      </x:c>
      <x:c r="D120" t="str">
        <x:v>Outbound Shipping</x:v>
      </x:c>
      <x:c r="E120" t="str">
        <x:v>Variable per fulfilled unit</x:v>
      </x:c>
      <x:c r="F120" s="38" t="n">
        <x:v>24.721200000000014</x:v>
      </x:c>
      <x:c r="G120" t="str">
        <x:v>Ops</x:v>
      </x:c>
      <x:c r="H120" t="str"/>
      <x:c r="I120" t="str">
        <x:v>Formula rollup</x:v>
      </x:c>
    </x:row>
    <x:row r="121">
      <x:c r="A121" s="32" t="n">
        <x:v>46357</x:v>
      </x:c>
      <x:c r="B121" t="str">
        <x:v>Dec 2026</x:v>
      </x:c>
      <x:c r="C121" t="str">
        <x:v>Forecast</x:v>
      </x:c>
      <x:c r="D121" t="str">
        <x:v>Pick/Pack</x:v>
      </x:c>
      <x:c r="E121" t="str">
        <x:v>Variable per fulfilled unit</x:v>
      </x:c>
      <x:c r="F121" s="38" t="n">
        <x:v>9.740799999999998</x:v>
      </x:c>
      <x:c r="G121" t="str">
        <x:v>Ops</x:v>
      </x:c>
      <x:c r="H121" t="str"/>
      <x:c r="I121" t="str">
        <x:v>Formula rollup</x:v>
      </x:c>
    </x:row>
    <x:row r="122">
      <x:c r="A122" s="32" t="n">
        <x:v>46357</x:v>
      </x:c>
      <x:c r="B122" t="str">
        <x:v>Dec 2026</x:v>
      </x:c>
      <x:c r="C122" t="str">
        <x:v>Forecast</x:v>
      </x:c>
      <x:c r="D122" t="str">
        <x:v>Storage</x:v>
      </x:c>
      <x:c r="E122" t="str">
        <x:v>Average ending units</x:v>
      </x:c>
      <x:c r="F122" s="38" t="n">
        <x:v>15.714058199999997</x:v>
      </x:c>
      <x:c r="G122" t="str">
        <x:v>Ops</x:v>
      </x:c>
      <x:c r="H122" t="str"/>
      <x:c r="I122" t="str">
        <x:v>Formula rollup</x:v>
      </x:c>
    </x:row>
    <x:row r="123">
      <x:c r="A123" s="32" t="n">
        <x:v>46357</x:v>
      </x:c>
      <x:c r="B123" t="str">
        <x:v>Dec 2026</x:v>
      </x:c>
      <x:c r="C123" t="str">
        <x:v>Forecast</x:v>
      </x:c>
      <x:c r="D123" t="str">
        <x:v>Inbound Freight</x:v>
      </x:c>
      <x:c r="E123" t="str">
        <x:v>Production receipts</x:v>
      </x:c>
      <x:c r="F123" s="38" t="n">
        <x:v>4.942169599999999</x:v>
      </x:c>
      <x:c r="G123" t="str">
        <x:v>Ops</x:v>
      </x:c>
      <x:c r="H123" t="str"/>
      <x:c r="I123" t="str">
        <x:v>Formula rollup</x:v>
      </x:c>
    </x:row>
    <x:row r="124">
      <x:c r="A124" s="32" t="n">
        <x:v>46357</x:v>
      </x:c>
      <x:c r="B124" t="str">
        <x:v>Dec 2026</x:v>
      </x:c>
      <x:c r="C124" t="str">
        <x:v>Forecast</x:v>
      </x:c>
      <x:c r="D124" t="str">
        <x:v>Warehouse Rent</x:v>
      </x:c>
      <x:c r="E124" t="str">
        <x:v>Fixed monthly</x:v>
      </x:c>
      <x:c r="F124" s="38" t="n">
        <x:v>28</x:v>
      </x:c>
      <x:c r="G124" t="str">
        <x:v>Ops</x:v>
      </x:c>
      <x:c r="H124" t="str"/>
      <x:c r="I124" t="str">
        <x:v>Formula rollup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3b0eed1db1749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8" customHeight="1">
      <x:c r="A1" s="3" t="str">
        <x:v>Weekly Marketing</x:v>
      </x:c>
    </x:row>
    <x:row r="2">
      <x:c r="A2" s="6" t="str">
        <x:v>Traffic-driven spend model by channel. CPC and traffic are sourced from assumptions and revenue detail.</x:v>
      </x:c>
    </x:row>
    <x:row r="4">
      <x:c r="A4" s="11" t="str">
        <x:v>Week Start</x:v>
      </x:c>
      <x:c r="B4" s="12" t="str">
        <x:v>Month</x:v>
      </x:c>
      <x:c r="C4" s="12" t="str">
        <x:v>Month Label</x:v>
      </x:c>
      <x:c r="D4" s="12" t="str">
        <x:v>Period</x:v>
      </x:c>
      <x:c r="E4" s="12" t="str">
        <x:v>Channel</x:v>
      </x:c>
      <x:c r="F4" s="12" t="str">
        <x:v>Traffic</x:v>
      </x:c>
      <x:c r="G4" s="12" t="str">
        <x:v>CPC $</x:v>
      </x:c>
      <x:c r="H4" s="12" t="str">
        <x:v>Ad Spend $000s</x:v>
      </x:c>
      <x:c r="I4" s="12" t="str">
        <x:v>Units Sold</x:v>
      </x:c>
      <x:c r="J4" s="12" t="str">
        <x:v>CAC $</x:v>
      </x:c>
      <x:c r="K4" s="13" t="str">
        <x:v>Notes</x:v>
      </x:c>
    </x:row>
    <x:row r="5">
      <x:c r="A5" s="32" t="n">
        <x:v>45663</x:v>
      </x:c>
      <x:c r="B5" s="32" t="n">
        <x:v>45658</x:v>
      </x:c>
      <x:c r="C5" t="str">
        <x:v>Jan 2025</x:v>
      </x:c>
      <x:c r="D5" t="str">
        <x:v>Actual</x:v>
      </x:c>
      <x:c r="E5" t="str">
        <x:v>Shopify DTC</x:v>
      </x:c>
      <x:c r="F5" s="34" t="n">
        <x:v>18884</x:v>
      </x:c>
      <x:c r="G5" s="33" t="n">
        <x:v>0.78</x:v>
      </x:c>
      <x:c r="H5" s="38" t="n">
        <x:v>14.72952</x:v>
      </x:c>
      <x:c r="I5" s="34" t="n">
        <x:v>685</x:v>
      </x:c>
      <x:c r="J5" s="33" t="n">
        <x:v>21.50294890510949</x:v>
      </x:c>
      <x:c r="K5" t="str">
        <x:v>Seeded historic marketing actual</x:v>
      </x:c>
    </x:row>
    <x:row r="6">
      <x:c r="A6" s="32" t="n">
        <x:v>45663</x:v>
      </x:c>
      <x:c r="B6" s="32" t="n">
        <x:v>45658</x:v>
      </x:c>
      <x:c r="C6" t="str">
        <x:v>Jan 2025</x:v>
      </x:c>
      <x:c r="D6" t="str">
        <x:v>Actual</x:v>
      </x:c>
      <x:c r="E6" t="str">
        <x:v>Amazon Marketplace</x:v>
      </x:c>
      <x:c r="F6" s="34" t="n">
        <x:v>9443</x:v>
      </x:c>
      <x:c r="G6" s="33" t="n">
        <x:v>0.92</x:v>
      </x:c>
      <x:c r="H6" s="38" t="n">
        <x:v>8.68756</x:v>
      </x:c>
      <x:c r="I6" s="34" t="n">
        <x:v>404</x:v>
      </x:c>
      <x:c r="J6" s="33" t="n">
        <x:v>21.503861386138613</x:v>
      </x:c>
      <x:c r="K6" t="str">
        <x:v>Seeded historic marketing actual</x:v>
      </x:c>
    </x:row>
    <x:row r="7">
      <x:c r="A7" s="32" t="n">
        <x:v>45663</x:v>
      </x:c>
      <x:c r="B7" s="32" t="n">
        <x:v>45658</x:v>
      </x:c>
      <x:c r="C7" t="str">
        <x:v>Jan 2025</x:v>
      </x:c>
      <x:c r="D7" t="str">
        <x:v>Actual</x:v>
      </x:c>
      <x:c r="E7" t="str">
        <x:v>Wholesale</x:v>
      </x:c>
      <x:c r="F7" s="34" t="n">
        <x:v>5665</x:v>
      </x:c>
      <x:c r="G7" s="33" t="n">
        <x:v>0.2</x:v>
      </x:c>
      <x:c r="H7" s="38" t="n">
        <x:v>1.133</x:v>
      </x:c>
      <x:c r="I7" s="34" t="n">
        <x:v>113</x:v>
      </x:c>
      <x:c r="J7" s="33" t="n">
        <x:v>10.026548672566372</x:v>
      </x:c>
      <x:c r="K7" t="str">
        <x:v>Seeded historic marketing actual</x:v>
      </x:c>
    </x:row>
    <x:row r="8">
      <x:c r="A8" s="32" t="n">
        <x:v>45663</x:v>
      </x:c>
      <x:c r="B8" s="32" t="n">
        <x:v>45658</x:v>
      </x:c>
      <x:c r="C8" t="str">
        <x:v>Jan 2025</x:v>
      </x:c>
      <x:c r="D8" t="str">
        <x:v>Actual</x:v>
      </x:c>
      <x:c r="E8" t="str">
        <x:v>TikTok Shop</x:v>
      </x:c>
      <x:c r="F8" s="34" t="n">
        <x:v>3777</x:v>
      </x:c>
      <x:c r="G8" s="33" t="n">
        <x:v>0.62</x:v>
      </x:c>
      <x:c r="H8" s="38" t="n">
        <x:v>2.3417399999999997</x:v>
      </x:c>
      <x:c r="I8" s="34" t="n">
        <x:v>172</x:v>
      </x:c>
      <x:c r="J8" s="33" t="n">
        <x:v>13.614767441860463</x:v>
      </x:c>
      <x:c r="K8" t="str">
        <x:v>Seeded historic marketing actual</x:v>
      </x:c>
    </x:row>
    <x:row r="9">
      <x:c r="A9" s="32" t="n">
        <x:v>45670</x:v>
      </x:c>
      <x:c r="B9" s="32" t="n">
        <x:v>45658</x:v>
      </x:c>
      <x:c r="C9" t="str">
        <x:v>Jan 2025</x:v>
      </x:c>
      <x:c r="D9" t="str">
        <x:v>Actual</x:v>
      </x:c>
      <x:c r="E9" t="str">
        <x:v>Shopify DTC</x:v>
      </x:c>
      <x:c r="F9" s="34" t="n">
        <x:v>18964</x:v>
      </x:c>
      <x:c r="G9" s="33" t="n">
        <x:v>0.78</x:v>
      </x:c>
      <x:c r="H9" s="38" t="n">
        <x:v>14.79192</x:v>
      </x:c>
      <x:c r="I9" s="34" t="n">
        <x:v>687</x:v>
      </x:c>
      <x:c r="J9" s="33" t="n">
        <x:v>21.53117903930131</x:v>
      </x:c>
      <x:c r="K9" t="str">
        <x:v>Seeded historic marketing actual</x:v>
      </x:c>
    </x:row>
    <x:row r="10">
      <x:c r="A10" s="32" t="n">
        <x:v>45670</x:v>
      </x:c>
      <x:c r="B10" s="32" t="n">
        <x:v>45658</x:v>
      </x:c>
      <x:c r="C10" t="str">
        <x:v>Jan 2025</x:v>
      </x:c>
      <x:c r="D10" t="str">
        <x:v>Actual</x:v>
      </x:c>
      <x:c r="E10" t="str">
        <x:v>Amazon Marketplace</x:v>
      </x:c>
      <x:c r="F10" s="34" t="n">
        <x:v>9482</x:v>
      </x:c>
      <x:c r="G10" s="33" t="n">
        <x:v>0.92</x:v>
      </x:c>
      <x:c r="H10" s="38" t="n">
        <x:v>8.72344</x:v>
      </x:c>
      <x:c r="I10" s="34" t="n">
        <x:v>406</x:v>
      </x:c>
      <x:c r="J10" s="33" t="n">
        <x:v>21.486305418719212</x:v>
      </x:c>
      <x:c r="K10" t="str">
        <x:v>Seeded historic marketing actual</x:v>
      </x:c>
    </x:row>
    <x:row r="11">
      <x:c r="A11" s="32" t="n">
        <x:v>45670</x:v>
      </x:c>
      <x:c r="B11" s="32" t="n">
        <x:v>45658</x:v>
      </x:c>
      <x:c r="C11" t="str">
        <x:v>Jan 2025</x:v>
      </x:c>
      <x:c r="D11" t="str">
        <x:v>Actual</x:v>
      </x:c>
      <x:c r="E11" t="str">
        <x:v>Wholesale</x:v>
      </x:c>
      <x:c r="F11" s="34" t="n">
        <x:v>5689</x:v>
      </x:c>
      <x:c r="G11" s="33" t="n">
        <x:v>0.2</x:v>
      </x:c>
      <x:c r="H11" s="38" t="n">
        <x:v>1.1378</x:v>
      </x:c>
      <x:c r="I11" s="34" t="n">
        <x:v>113</x:v>
      </x:c>
      <x:c r="J11" s="33" t="n">
        <x:v>10.069026548672566</x:v>
      </x:c>
      <x:c r="K11" t="str">
        <x:v>Seeded historic marketing actual</x:v>
      </x:c>
    </x:row>
    <x:row r="12">
      <x:c r="A12" s="32" t="n">
        <x:v>45670</x:v>
      </x:c>
      <x:c r="B12" s="32" t="n">
        <x:v>45658</x:v>
      </x:c>
      <x:c r="C12" t="str">
        <x:v>Jan 2025</x:v>
      </x:c>
      <x:c r="D12" t="str">
        <x:v>Actual</x:v>
      </x:c>
      <x:c r="E12" t="str">
        <x:v>TikTok Shop</x:v>
      </x:c>
      <x:c r="F12" s="34" t="n">
        <x:v>3793</x:v>
      </x:c>
      <x:c r="G12" s="33" t="n">
        <x:v>0.62</x:v>
      </x:c>
      <x:c r="H12" s="38" t="n">
        <x:v>2.35166</x:v>
      </x:c>
      <x:c r="I12" s="34" t="n">
        <x:v>174</x:v>
      </x:c>
      <x:c r="J12" s="33" t="n">
        <x:v>13.515287356321839</x:v>
      </x:c>
      <x:c r="K12" t="str">
        <x:v>Seeded historic marketing actual</x:v>
      </x:c>
    </x:row>
    <x:row r="13">
      <x:c r="A13" s="32" t="n">
        <x:v>45677</x:v>
      </x:c>
      <x:c r="B13" s="32" t="n">
        <x:v>45658</x:v>
      </x:c>
      <x:c r="C13" t="str">
        <x:v>Jan 2025</x:v>
      </x:c>
      <x:c r="D13" t="str">
        <x:v>Actual</x:v>
      </x:c>
      <x:c r="E13" t="str">
        <x:v>Shopify DTC</x:v>
      </x:c>
      <x:c r="F13" s="34" t="n">
        <x:v>19044</x:v>
      </x:c>
      <x:c r="G13" s="33" t="n">
        <x:v>0.78</x:v>
      </x:c>
      <x:c r="H13" s="38" t="n">
        <x:v>14.85432</x:v>
      </x:c>
      <x:c r="I13" s="34" t="n">
        <x:v>691</x:v>
      </x:c>
      <x:c r="J13" s="33" t="n">
        <x:v>21.49684515195369</x:v>
      </x:c>
      <x:c r="K13" t="str">
        <x:v>Seeded historic marketing actual</x:v>
      </x:c>
    </x:row>
    <x:row r="14">
      <x:c r="A14" s="32" t="n">
        <x:v>45677</x:v>
      </x:c>
      <x:c r="B14" s="32" t="n">
        <x:v>45658</x:v>
      </x:c>
      <x:c r="C14" t="str">
        <x:v>Jan 2025</x:v>
      </x:c>
      <x:c r="D14" t="str">
        <x:v>Actual</x:v>
      </x:c>
      <x:c r="E14" t="str">
        <x:v>Amazon Marketplace</x:v>
      </x:c>
      <x:c r="F14" s="34" t="n">
        <x:v>9522</x:v>
      </x:c>
      <x:c r="G14" s="33" t="n">
        <x:v>0.92</x:v>
      </x:c>
      <x:c r="H14" s="38" t="n">
        <x:v>8.76024</x:v>
      </x:c>
      <x:c r="I14" s="34" t="n">
        <x:v>408</x:v>
      </x:c>
      <x:c r="J14" s="33" t="n">
        <x:v>21.471176470588233</x:v>
      </x:c>
      <x:c r="K14" t="str">
        <x:v>Seeded historic marketing actual</x:v>
      </x:c>
    </x:row>
    <x:row r="15">
      <x:c r="A15" s="32" t="n">
        <x:v>45677</x:v>
      </x:c>
      <x:c r="B15" s="32" t="n">
        <x:v>45658</x:v>
      </x:c>
      <x:c r="C15" t="str">
        <x:v>Jan 2025</x:v>
      </x:c>
      <x:c r="D15" t="str">
        <x:v>Actual</x:v>
      </x:c>
      <x:c r="E15" t="str">
        <x:v>Wholesale</x:v>
      </x:c>
      <x:c r="F15" s="34" t="n">
        <x:v>5713</x:v>
      </x:c>
      <x:c r="G15" s="33" t="n">
        <x:v>0.2</x:v>
      </x:c>
      <x:c r="H15" s="38" t="n">
        <x:v>1.1426</x:v>
      </x:c>
      <x:c r="I15" s="34" t="n">
        <x:v>113</x:v>
      </x:c>
      <x:c r="J15" s="33" t="n">
        <x:v>10.111504424778762</x:v>
      </x:c>
      <x:c r="K15" t="str">
        <x:v>Seeded historic marketing actual</x:v>
      </x:c>
    </x:row>
    <x:row r="16">
      <x:c r="A16" s="32" t="n">
        <x:v>45677</x:v>
      </x:c>
      <x:c r="B16" s="32" t="n">
        <x:v>45658</x:v>
      </x:c>
      <x:c r="C16" t="str">
        <x:v>Jan 2025</x:v>
      </x:c>
      <x:c r="D16" t="str">
        <x:v>Actual</x:v>
      </x:c>
      <x:c r="E16" t="str">
        <x:v>TikTok Shop</x:v>
      </x:c>
      <x:c r="F16" s="34" t="n">
        <x:v>3809</x:v>
      </x:c>
      <x:c r="G16" s="33" t="n">
        <x:v>0.62</x:v>
      </x:c>
      <x:c r="H16" s="38" t="n">
        <x:v>2.36158</x:v>
      </x:c>
      <x:c r="I16" s="34" t="n">
        <x:v>174</x:v>
      </x:c>
      <x:c r="J16" s="33" t="n">
        <x:v>13.572298850574713</x:v>
      </x:c>
      <x:c r="K16" t="str">
        <x:v>Seeded historic marketing actual</x:v>
      </x:c>
    </x:row>
    <x:row r="17">
      <x:c r="A17" s="32" t="n">
        <x:v>45684</x:v>
      </x:c>
      <x:c r="B17" s="32" t="n">
        <x:v>45658</x:v>
      </x:c>
      <x:c r="C17" t="str">
        <x:v>Jan 2025</x:v>
      </x:c>
      <x:c r="D17" t="str">
        <x:v>Actual</x:v>
      </x:c>
      <x:c r="E17" t="str">
        <x:v>Shopify DTC</x:v>
      </x:c>
      <x:c r="F17" s="34" t="n">
        <x:v>19122</x:v>
      </x:c>
      <x:c r="G17" s="33" t="n">
        <x:v>0.78</x:v>
      </x:c>
      <x:c r="H17" s="38" t="n">
        <x:v>14.91516</x:v>
      </x:c>
      <x:c r="I17" s="34" t="n">
        <x:v>693</x:v>
      </x:c>
      <x:c r="J17" s="33" t="n">
        <x:v>21.522597402597402</x:v>
      </x:c>
      <x:c r="K17" t="str">
        <x:v>Seeded historic marketing actual</x:v>
      </x:c>
    </x:row>
    <x:row r="18">
      <x:c r="A18" s="32" t="n">
        <x:v>45684</x:v>
      </x:c>
      <x:c r="B18" s="32" t="n">
        <x:v>45658</x:v>
      </x:c>
      <x:c r="C18" t="str">
        <x:v>Jan 2025</x:v>
      </x:c>
      <x:c r="D18" t="str">
        <x:v>Actual</x:v>
      </x:c>
      <x:c r="E18" t="str">
        <x:v>Amazon Marketplace</x:v>
      </x:c>
      <x:c r="F18" s="34" t="n">
        <x:v>9562</x:v>
      </x:c>
      <x:c r="G18" s="33" t="n">
        <x:v>0.92</x:v>
      </x:c>
      <x:c r="H18" s="38" t="n">
        <x:v>8.79704</x:v>
      </x:c>
      <x:c r="I18" s="34" t="n">
        <x:v>410</x:v>
      </x:c>
      <x:c r="J18" s="33" t="n">
        <x:v>21.45619512195122</x:v>
      </x:c>
      <x:c r="K18" t="str">
        <x:v>Seeded historic marketing actual</x:v>
      </x:c>
    </x:row>
    <x:row r="19">
      <x:c r="A19" s="32" t="n">
        <x:v>45684</x:v>
      </x:c>
      <x:c r="B19" s="32" t="n">
        <x:v>45658</x:v>
      </x:c>
      <x:c r="C19" t="str">
        <x:v>Jan 2025</x:v>
      </x:c>
      <x:c r="D19" t="str">
        <x:v>Actual</x:v>
      </x:c>
      <x:c r="E19" t="str">
        <x:v>Wholesale</x:v>
      </x:c>
      <x:c r="F19" s="34" t="n">
        <x:v>5737</x:v>
      </x:c>
      <x:c r="G19" s="33" t="n">
        <x:v>0.2</x:v>
      </x:c>
      <x:c r="H19" s="38" t="n">
        <x:v>1.1474000000000002</x:v>
      </x:c>
      <x:c r="I19" s="34" t="n">
        <x:v>114</x:v>
      </x:c>
      <x:c r="J19" s="33" t="n">
        <x:v>10.064912280701755</x:v>
      </x:c>
      <x:c r="K19" t="str">
        <x:v>Seeded historic marketing actual</x:v>
      </x:c>
    </x:row>
    <x:row r="20">
      <x:c r="A20" s="32" t="n">
        <x:v>45684</x:v>
      </x:c>
      <x:c r="B20" s="32" t="n">
        <x:v>45658</x:v>
      </x:c>
      <x:c r="C20" t="str">
        <x:v>Jan 2025</x:v>
      </x:c>
      <x:c r="D20" t="str">
        <x:v>Actual</x:v>
      </x:c>
      <x:c r="E20" t="str">
        <x:v>TikTok Shop</x:v>
      </x:c>
      <x:c r="F20" s="34" t="n">
        <x:v>3823</x:v>
      </x:c>
      <x:c r="G20" s="33" t="n">
        <x:v>0.62</x:v>
      </x:c>
      <x:c r="H20" s="38" t="n">
        <x:v>2.3702599999999996</x:v>
      </x:c>
      <x:c r="I20" s="34" t="n">
        <x:v>174</x:v>
      </x:c>
      <x:c r="J20" s="33" t="n">
        <x:v>13.622183908045976</x:v>
      </x:c>
      <x:c r="K20" t="str">
        <x:v>Seeded historic marketing actual</x:v>
      </x:c>
    </x:row>
    <x:row r="21">
      <x:c r="A21" s="32" t="n">
        <x:v>45691</x:v>
      </x:c>
      <x:c r="B21" s="32" t="n">
        <x:v>45689</x:v>
      </x:c>
      <x:c r="C21" t="str">
        <x:v>Feb 2025</x:v>
      </x:c>
      <x:c r="D21" t="str">
        <x:v>Actual</x:v>
      </x:c>
      <x:c r="E21" t="str">
        <x:v>Shopify DTC</x:v>
      </x:c>
      <x:c r="F21" s="34" t="n">
        <x:v>18815</x:v>
      </x:c>
      <x:c r="G21" s="33" t="n">
        <x:v>0.78</x:v>
      </x:c>
      <x:c r="H21" s="38" t="n">
        <x:v>14.6757</x:v>
      </x:c>
      <x:c r="I21" s="34" t="n">
        <x:v>684</x:v>
      </x:c>
      <x:c r="J21" s="33" t="n">
        <x:v>21.455701754385966</x:v>
      </x:c>
      <x:c r="K21" t="str">
        <x:v>Seeded historic marketing actual</x:v>
      </x:c>
    </x:row>
    <x:row r="22">
      <x:c r="A22" s="32" t="n">
        <x:v>45691</x:v>
      </x:c>
      <x:c r="B22" s="32" t="n">
        <x:v>45689</x:v>
      </x:c>
      <x:c r="C22" t="str">
        <x:v>Feb 2025</x:v>
      </x:c>
      <x:c r="D22" t="str">
        <x:v>Actual</x:v>
      </x:c>
      <x:c r="E22" t="str">
        <x:v>Amazon Marketplace</x:v>
      </x:c>
      <x:c r="F22" s="34" t="n">
        <x:v>9408</x:v>
      </x:c>
      <x:c r="G22" s="33" t="n">
        <x:v>0.92</x:v>
      </x:c>
      <x:c r="H22" s="38" t="n">
        <x:v>8.65536</x:v>
      </x:c>
      <x:c r="I22" s="34" t="n">
        <x:v>404</x:v>
      </x:c>
      <x:c r="J22" s="33" t="n">
        <x:v>21.424158415841585</x:v>
      </x:c>
      <x:c r="K22" t="str">
        <x:v>Seeded historic marketing actual</x:v>
      </x:c>
    </x:row>
    <x:row r="23">
      <x:c r="A23" s="32" t="n">
        <x:v>45691</x:v>
      </x:c>
      <x:c r="B23" s="32" t="n">
        <x:v>45689</x:v>
      </x:c>
      <x:c r="C23" t="str">
        <x:v>Feb 2025</x:v>
      </x:c>
      <x:c r="D23" t="str">
        <x:v>Actual</x:v>
      </x:c>
      <x:c r="E23" t="str">
        <x:v>Wholesale</x:v>
      </x:c>
      <x:c r="F23" s="34" t="n">
        <x:v>5644</x:v>
      </x:c>
      <x:c r="G23" s="33" t="n">
        <x:v>0.2</x:v>
      </x:c>
      <x:c r="H23" s="38" t="n">
        <x:v>1.1288</x:v>
      </x:c>
      <x:c r="I23" s="34" t="n">
        <x:v>112</x:v>
      </x:c>
      <x:c r="J23" s="33" t="n">
        <x:v>10.078571428571427</x:v>
      </x:c>
      <x:c r="K23" t="str">
        <x:v>Seeded historic marketing actual</x:v>
      </x:c>
    </x:row>
    <x:row r="24">
      <x:c r="A24" s="32" t="n">
        <x:v>45691</x:v>
      </x:c>
      <x:c r="B24" s="32" t="n">
        <x:v>45689</x:v>
      </x:c>
      <x:c r="C24" t="str">
        <x:v>Feb 2025</x:v>
      </x:c>
      <x:c r="D24" t="str">
        <x:v>Actual</x:v>
      </x:c>
      <x:c r="E24" t="str">
        <x:v>TikTok Shop</x:v>
      </x:c>
      <x:c r="F24" s="34" t="n">
        <x:v>3763</x:v>
      </x:c>
      <x:c r="G24" s="33" t="n">
        <x:v>0.62</x:v>
      </x:c>
      <x:c r="H24" s="38" t="n">
        <x:v>2.33306</x:v>
      </x:c>
      <x:c r="I24" s="34" t="n">
        <x:v>172</x:v>
      </x:c>
      <x:c r="J24" s="33" t="n">
        <x:v>13.564302325581394</x:v>
      </x:c>
      <x:c r="K24" t="str">
        <x:v>Seeded historic marketing actual</x:v>
      </x:c>
    </x:row>
    <x:row r="25">
      <x:c r="A25" s="32" t="n">
        <x:v>45698</x:v>
      </x:c>
      <x:c r="B25" s="32" t="n">
        <x:v>45689</x:v>
      </x:c>
      <x:c r="C25" t="str">
        <x:v>Feb 2025</x:v>
      </x:c>
      <x:c r="D25" t="str">
        <x:v>Actual</x:v>
      </x:c>
      <x:c r="E25" t="str">
        <x:v>Shopify DTC</x:v>
      </x:c>
      <x:c r="F25" s="34" t="n">
        <x:v>18893</x:v>
      </x:c>
      <x:c r="G25" s="33" t="n">
        <x:v>0.78</x:v>
      </x:c>
      <x:c r="H25" s="38" t="n">
        <x:v>14.736540000000002</x:v>
      </x:c>
      <x:c r="I25" s="34" t="n">
        <x:v>687</x:v>
      </x:c>
      <x:c r="J25" s="33" t="n">
        <x:v>21.450567685589522</x:v>
      </x:c>
      <x:c r="K25" t="str">
        <x:v>Seeded historic marketing actual</x:v>
      </x:c>
    </x:row>
    <x:row r="26">
      <x:c r="A26" s="32" t="n">
        <x:v>45698</x:v>
      </x:c>
      <x:c r="B26" s="32" t="n">
        <x:v>45689</x:v>
      </x:c>
      <x:c r="C26" t="str">
        <x:v>Feb 2025</x:v>
      </x:c>
      <x:c r="D26" t="str">
        <x:v>Actual</x:v>
      </x:c>
      <x:c r="E26" t="str">
        <x:v>Amazon Marketplace</x:v>
      </x:c>
      <x:c r="F26" s="34" t="n">
        <x:v>9446</x:v>
      </x:c>
      <x:c r="G26" s="33" t="n">
        <x:v>0.92</x:v>
      </x:c>
      <x:c r="H26" s="38" t="n">
        <x:v>8.69032</x:v>
      </x:c>
      <x:c r="I26" s="34" t="n">
        <x:v>405</x:v>
      </x:c>
      <x:c r="J26" s="33" t="n">
        <x:v>21.45758024691358</x:v>
      </x:c>
      <x:c r="K26" t="str">
        <x:v>Seeded historic marketing actual</x:v>
      </x:c>
    </x:row>
    <x:row r="27">
      <x:c r="A27" s="32" t="n">
        <x:v>45698</x:v>
      </x:c>
      <x:c r="B27" s="32" t="n">
        <x:v>45689</x:v>
      </x:c>
      <x:c r="C27" t="str">
        <x:v>Feb 2025</x:v>
      </x:c>
      <x:c r="D27" t="str">
        <x:v>Actual</x:v>
      </x:c>
      <x:c r="E27" t="str">
        <x:v>Wholesale</x:v>
      </x:c>
      <x:c r="F27" s="34" t="n">
        <x:v>5667</x:v>
      </x:c>
      <x:c r="G27" s="33" t="n">
        <x:v>0.2</x:v>
      </x:c>
      <x:c r="H27" s="38" t="n">
        <x:v>1.1334000000000002</x:v>
      </x:c>
      <x:c r="I27" s="34" t="n">
        <x:v>112</x:v>
      </x:c>
      <x:c r="J27" s="33" t="n">
        <x:v>10.119642857142859</x:v>
      </x:c>
      <x:c r="K27" t="str">
        <x:v>Seeded historic marketing actual</x:v>
      </x:c>
    </x:row>
    <x:row r="28">
      <x:c r="A28" s="32" t="n">
        <x:v>45698</x:v>
      </x:c>
      <x:c r="B28" s="32" t="n">
        <x:v>45689</x:v>
      </x:c>
      <x:c r="C28" t="str">
        <x:v>Feb 2025</x:v>
      </x:c>
      <x:c r="D28" t="str">
        <x:v>Actual</x:v>
      </x:c>
      <x:c r="E28" t="str">
        <x:v>TikTok Shop</x:v>
      </x:c>
      <x:c r="F28" s="34" t="n">
        <x:v>3779</x:v>
      </x:c>
      <x:c r="G28" s="33" t="n">
        <x:v>0.62</x:v>
      </x:c>
      <x:c r="H28" s="38" t="n">
        <x:v>2.34298</x:v>
      </x:c>
      <x:c r="I28" s="34" t="n">
        <x:v>172</x:v>
      </x:c>
      <x:c r="J28" s="33" t="n">
        <x:v>13.621976744186046</x:v>
      </x:c>
      <x:c r="K28" t="str">
        <x:v>Seeded historic marketing actual</x:v>
      </x:c>
    </x:row>
    <x:row r="29">
      <x:c r="A29" s="32" t="n">
        <x:v>45705</x:v>
      </x:c>
      <x:c r="B29" s="32" t="n">
        <x:v>45689</x:v>
      </x:c>
      <x:c r="C29" t="str">
        <x:v>Feb 2025</x:v>
      </x:c>
      <x:c r="D29" t="str">
        <x:v>Actual</x:v>
      </x:c>
      <x:c r="E29" t="str">
        <x:v>Shopify DTC</x:v>
      </x:c>
      <x:c r="F29" s="34" t="n">
        <x:v>18972</x:v>
      </x:c>
      <x:c r="G29" s="33" t="n">
        <x:v>0.78</x:v>
      </x:c>
      <x:c r="H29" s="38" t="n">
        <x:v>14.79816</x:v>
      </x:c>
      <x:c r="I29" s="34" t="n">
        <x:v>689</x:v>
      </x:c>
      <x:c r="J29" s="33" t="n">
        <x:v>21.477735849056604</x:v>
      </x:c>
      <x:c r="K29" t="str">
        <x:v>Seeded historic marketing actual</x:v>
      </x:c>
    </x:row>
    <x:row r="30">
      <x:c r="A30" s="32" t="n">
        <x:v>45705</x:v>
      </x:c>
      <x:c r="B30" s="32" t="n">
        <x:v>45689</x:v>
      </x:c>
      <x:c r="C30" t="str">
        <x:v>Feb 2025</x:v>
      </x:c>
      <x:c r="D30" t="str">
        <x:v>Actual</x:v>
      </x:c>
      <x:c r="E30" t="str">
        <x:v>Amazon Marketplace</x:v>
      </x:c>
      <x:c r="F30" s="34" t="n">
        <x:v>9485</x:v>
      </x:c>
      <x:c r="G30" s="33" t="n">
        <x:v>0.92</x:v>
      </x:c>
      <x:c r="H30" s="38" t="n">
        <x:v>8.7262</x:v>
      </x:c>
      <x:c r="I30" s="34" t="n">
        <x:v>406</x:v>
      </x:c>
      <x:c r="J30" s="33" t="n">
        <x:v>21.493103448275864</x:v>
      </x:c>
      <x:c r="K30" t="str">
        <x:v>Seeded historic marketing actual</x:v>
      </x:c>
    </x:row>
    <x:row r="31">
      <x:c r="A31" s="32" t="n">
        <x:v>45705</x:v>
      </x:c>
      <x:c r="B31" s="32" t="n">
        <x:v>45689</x:v>
      </x:c>
      <x:c r="C31" t="str">
        <x:v>Feb 2025</x:v>
      </x:c>
      <x:c r="D31" t="str">
        <x:v>Actual</x:v>
      </x:c>
      <x:c r="E31" t="str">
        <x:v>Wholesale</x:v>
      </x:c>
      <x:c r="F31" s="34" t="n">
        <x:v>5691</x:v>
      </x:c>
      <x:c r="G31" s="33" t="n">
        <x:v>0.2</x:v>
      </x:c>
      <x:c r="H31" s="38" t="n">
        <x:v>1.1382</x:v>
      </x:c>
      <x:c r="I31" s="34" t="n">
        <x:v>113</x:v>
      </x:c>
      <x:c r="J31" s="33" t="n">
        <x:v>10.072566371681416</x:v>
      </x:c>
      <x:c r="K31" t="str">
        <x:v>Seeded historic marketing actual</x:v>
      </x:c>
    </x:row>
    <x:row r="32">
      <x:c r="A32" s="32" t="n">
        <x:v>45705</x:v>
      </x:c>
      <x:c r="B32" s="32" t="n">
        <x:v>45689</x:v>
      </x:c>
      <x:c r="C32" t="str">
        <x:v>Feb 2025</x:v>
      </x:c>
      <x:c r="D32" t="str">
        <x:v>Actual</x:v>
      </x:c>
      <x:c r="E32" t="str">
        <x:v>TikTok Shop</x:v>
      </x:c>
      <x:c r="F32" s="34" t="n">
        <x:v>3795</x:v>
      </x:c>
      <x:c r="G32" s="33" t="n">
        <x:v>0.62</x:v>
      </x:c>
      <x:c r="H32" s="38" t="n">
        <x:v>2.3529</x:v>
      </x:c>
      <x:c r="I32" s="34" t="n">
        <x:v>174</x:v>
      </x:c>
      <x:c r="J32" s="33" t="n">
        <x:v>13.522413793103448</x:v>
      </x:c>
      <x:c r="K32" t="str">
        <x:v>Seeded historic marketing actual</x:v>
      </x:c>
    </x:row>
    <x:row r="33">
      <x:c r="A33" s="32" t="n">
        <x:v>45712</x:v>
      </x:c>
      <x:c r="B33" s="32" t="n">
        <x:v>45689</x:v>
      </x:c>
      <x:c r="C33" t="str">
        <x:v>Feb 2025</x:v>
      </x:c>
      <x:c r="D33" t="str">
        <x:v>Actual</x:v>
      </x:c>
      <x:c r="E33" t="str">
        <x:v>Shopify DTC</x:v>
      </x:c>
      <x:c r="F33" s="34" t="n">
        <x:v>19047</x:v>
      </x:c>
      <x:c r="G33" s="33" t="n">
        <x:v>0.78</x:v>
      </x:c>
      <x:c r="H33" s="38" t="n">
        <x:v>14.85666</x:v>
      </x:c>
      <x:c r="I33" s="34" t="n">
        <x:v>692</x:v>
      </x:c>
      <x:c r="J33" s="33" t="n">
        <x:v>21.469161849710982</x:v>
      </x:c>
      <x:c r="K33" t="str">
        <x:v>Seeded historic marketing actual</x:v>
      </x:c>
    </x:row>
    <x:row r="34">
      <x:c r="A34" s="32" t="n">
        <x:v>45712</x:v>
      </x:c>
      <x:c r="B34" s="32" t="n">
        <x:v>45689</x:v>
      </x:c>
      <x:c r="C34" t="str">
        <x:v>Feb 2025</x:v>
      </x:c>
      <x:c r="D34" t="str">
        <x:v>Actual</x:v>
      </x:c>
      <x:c r="E34" t="str">
        <x:v>Amazon Marketplace</x:v>
      </x:c>
      <x:c r="F34" s="34" t="n">
        <x:v>9525</x:v>
      </x:c>
      <x:c r="G34" s="33" t="n">
        <x:v>0.92</x:v>
      </x:c>
      <x:c r="H34" s="38" t="n">
        <x:v>8.763</x:v>
      </x:c>
      <x:c r="I34" s="34" t="n">
        <x:v>409</x:v>
      </x:c>
      <x:c r="J34" s="33" t="n">
        <x:v>21.425427872860634</x:v>
      </x:c>
      <x:c r="K34" t="str">
        <x:v>Seeded historic marketing actual</x:v>
      </x:c>
    </x:row>
    <x:row r="35">
      <x:c r="A35" s="32" t="n">
        <x:v>45712</x:v>
      </x:c>
      <x:c r="B35" s="32" t="n">
        <x:v>45689</x:v>
      </x:c>
      <x:c r="C35" t="str">
        <x:v>Feb 2025</x:v>
      </x:c>
      <x:c r="D35" t="str">
        <x:v>Actual</x:v>
      </x:c>
      <x:c r="E35" t="str">
        <x:v>Wholesale</x:v>
      </x:c>
      <x:c r="F35" s="34" t="n">
        <x:v>5715</x:v>
      </x:c>
      <x:c r="G35" s="33" t="n">
        <x:v>0.2</x:v>
      </x:c>
      <x:c r="H35" s="38" t="n">
        <x:v>1.143</x:v>
      </x:c>
      <x:c r="I35" s="34" t="n">
        <x:v>115</x:v>
      </x:c>
      <x:c r="J35" s="33" t="n">
        <x:v>9.939130434782609</x:v>
      </x:c>
      <x:c r="K35" t="str">
        <x:v>Seeded historic marketing actual</x:v>
      </x:c>
    </x:row>
    <x:row r="36">
      <x:c r="A36" s="32" t="n">
        <x:v>45712</x:v>
      </x:c>
      <x:c r="B36" s="32" t="n">
        <x:v>45689</x:v>
      </x:c>
      <x:c r="C36" t="str">
        <x:v>Feb 2025</x:v>
      </x:c>
      <x:c r="D36" t="str">
        <x:v>Actual</x:v>
      </x:c>
      <x:c r="E36" t="str">
        <x:v>TikTok Shop</x:v>
      </x:c>
      <x:c r="F36" s="34" t="n">
        <x:v>3810</x:v>
      </x:c>
      <x:c r="G36" s="33" t="n">
        <x:v>0.62</x:v>
      </x:c>
      <x:c r="H36" s="38" t="n">
        <x:v>2.3621999999999996</x:v>
      </x:c>
      <x:c r="I36" s="34" t="n">
        <x:v>175</x:v>
      </x:c>
      <x:c r="J36" s="33" t="n">
        <x:v>13.498285714285712</x:v>
      </x:c>
      <x:c r="K36" t="str">
        <x:v>Seeded historic marketing actual</x:v>
      </x:c>
    </x:row>
    <x:row r="37">
      <x:c r="A37" s="32" t="n">
        <x:v>45719</x:v>
      </x:c>
      <x:c r="B37" s="32" t="n">
        <x:v>45717</x:v>
      </x:c>
      <x:c r="C37" t="str">
        <x:v>Mar 2025</x:v>
      </x:c>
      <x:c r="D37" t="str">
        <x:v>Actual</x:v>
      </x:c>
      <x:c r="E37" t="str">
        <x:v>Shopify DTC</x:v>
      </x:c>
      <x:c r="F37" s="34" t="n">
        <x:v>18896</x:v>
      </x:c>
      <x:c r="G37" s="33" t="n">
        <x:v>0.78</x:v>
      </x:c>
      <x:c r="H37" s="38" t="n">
        <x:v>14.738880000000002</x:v>
      </x:c>
      <x:c r="I37" s="34" t="n">
        <x:v>688</x:v>
      </x:c>
      <x:c r="J37" s="33" t="n">
        <x:v>21.42279069767442</x:v>
      </x:c>
      <x:c r="K37" t="str">
        <x:v>Seeded historic marketing actual</x:v>
      </x:c>
    </x:row>
    <x:row r="38">
      <x:c r="A38" s="32" t="n">
        <x:v>45719</x:v>
      </x:c>
      <x:c r="B38" s="32" t="n">
        <x:v>45717</x:v>
      </x:c>
      <x:c r="C38" t="str">
        <x:v>Mar 2025</x:v>
      </x:c>
      <x:c r="D38" t="str">
        <x:v>Actual</x:v>
      </x:c>
      <x:c r="E38" t="str">
        <x:v>Amazon Marketplace</x:v>
      </x:c>
      <x:c r="F38" s="34" t="n">
        <x:v>9448</x:v>
      </x:c>
      <x:c r="G38" s="33" t="n">
        <x:v>0.92</x:v>
      </x:c>
      <x:c r="H38" s="38" t="n">
        <x:v>8.69216</x:v>
      </x:c>
      <x:c r="I38" s="34" t="n">
        <x:v>406</x:v>
      </x:c>
      <x:c r="J38" s="33" t="n">
        <x:v>21.409261083743843</x:v>
      </x:c>
      <x:c r="K38" t="str">
        <x:v>Seeded historic marketing actual</x:v>
      </x:c>
    </x:row>
    <x:row r="39">
      <x:c r="A39" s="32" t="n">
        <x:v>45719</x:v>
      </x:c>
      <x:c r="B39" s="32" t="n">
        <x:v>45717</x:v>
      </x:c>
      <x:c r="C39" t="str">
        <x:v>Mar 2025</x:v>
      </x:c>
      <x:c r="D39" t="str">
        <x:v>Actual</x:v>
      </x:c>
      <x:c r="E39" t="str">
        <x:v>Wholesale</x:v>
      </x:c>
      <x:c r="F39" s="34" t="n">
        <x:v>5669</x:v>
      </x:c>
      <x:c r="G39" s="33" t="n">
        <x:v>0.2</x:v>
      </x:c>
      <x:c r="H39" s="38" t="n">
        <x:v>1.1338</x:v>
      </x:c>
      <x:c r="I39" s="34" t="n">
        <x:v>114</x:v>
      </x:c>
      <x:c r="J39" s="33" t="n">
        <x:v>9.945614035087718</x:v>
      </x:c>
      <x:c r="K39" t="str">
        <x:v>Seeded historic marketing actual</x:v>
      </x:c>
    </x:row>
    <x:row r="40">
      <x:c r="A40" s="32" t="n">
        <x:v>45719</x:v>
      </x:c>
      <x:c r="B40" s="32" t="n">
        <x:v>45717</x:v>
      </x:c>
      <x:c r="C40" t="str">
        <x:v>Mar 2025</x:v>
      </x:c>
      <x:c r="D40" t="str">
        <x:v>Actual</x:v>
      </x:c>
      <x:c r="E40" t="str">
        <x:v>TikTok Shop</x:v>
      </x:c>
      <x:c r="F40" s="34" t="n">
        <x:v>3779</x:v>
      </x:c>
      <x:c r="G40" s="33" t="n">
        <x:v>0.62</x:v>
      </x:c>
      <x:c r="H40" s="38" t="n">
        <x:v>2.34298</x:v>
      </x:c>
      <x:c r="I40" s="34" t="n">
        <x:v>173</x:v>
      </x:c>
      <x:c r="J40" s="33" t="n">
        <x:v>13.543236994219653</x:v>
      </x:c>
      <x:c r="K40" t="str">
        <x:v>Seeded historic marketing actual</x:v>
      </x:c>
    </x:row>
    <x:row r="41">
      <x:c r="A41" s="32" t="n">
        <x:v>45726</x:v>
      </x:c>
      <x:c r="B41" s="32" t="n">
        <x:v>45717</x:v>
      </x:c>
      <x:c r="C41" t="str">
        <x:v>Mar 2025</x:v>
      </x:c>
      <x:c r="D41" t="str">
        <x:v>Actual</x:v>
      </x:c>
      <x:c r="E41" t="str">
        <x:v>Shopify DTC</x:v>
      </x:c>
      <x:c r="F41" s="34" t="n">
        <x:v>18973</x:v>
      </x:c>
      <x:c r="G41" s="33" t="n">
        <x:v>0.78</x:v>
      </x:c>
      <x:c r="H41" s="38" t="n">
        <x:v>14.79894</x:v>
      </x:c>
      <x:c r="I41" s="34" t="n">
        <x:v>690</x:v>
      </x:c>
      <x:c r="J41" s="33" t="n">
        <x:v>21.447739130434783</x:v>
      </x:c>
      <x:c r="K41" t="str">
        <x:v>Seeded historic marketing actual</x:v>
      </x:c>
    </x:row>
    <x:row r="42">
      <x:c r="A42" s="32" t="n">
        <x:v>45726</x:v>
      </x:c>
      <x:c r="B42" s="32" t="n">
        <x:v>45717</x:v>
      </x:c>
      <x:c r="C42" t="str">
        <x:v>Mar 2025</x:v>
      </x:c>
      <x:c r="D42" t="str">
        <x:v>Actual</x:v>
      </x:c>
      <x:c r="E42" t="str">
        <x:v>Amazon Marketplace</x:v>
      </x:c>
      <x:c r="F42" s="34" t="n">
        <x:v>9486</x:v>
      </x:c>
      <x:c r="G42" s="33" t="n">
        <x:v>0.92</x:v>
      </x:c>
      <x:c r="H42" s="38" t="n">
        <x:v>8.727120000000001</x:v>
      </x:c>
      <x:c r="I42" s="34" t="n">
        <x:v>406</x:v>
      </x:c>
      <x:c r="J42" s="33" t="n">
        <x:v>21.49536945812808</x:v>
      </x:c>
      <x:c r="K42" t="str">
        <x:v>Seeded historic marketing actual</x:v>
      </x:c>
    </x:row>
    <x:row r="43">
      <x:c r="A43" s="32" t="n">
        <x:v>45726</x:v>
      </x:c>
      <x:c r="B43" s="32" t="n">
        <x:v>45717</x:v>
      </x:c>
      <x:c r="C43" t="str">
        <x:v>Mar 2025</x:v>
      </x:c>
      <x:c r="D43" t="str">
        <x:v>Actual</x:v>
      </x:c>
      <x:c r="E43" t="str">
        <x:v>Wholesale</x:v>
      </x:c>
      <x:c r="F43" s="34" t="n">
        <x:v>5691</x:v>
      </x:c>
      <x:c r="G43" s="33" t="n">
        <x:v>0.2</x:v>
      </x:c>
      <x:c r="H43" s="38" t="n">
        <x:v>1.1382</x:v>
      </x:c>
      <x:c r="I43" s="34" t="n">
        <x:v>114</x:v>
      </x:c>
      <x:c r="J43" s="33" t="n">
        <x:v>9.98421052631579</x:v>
      </x:c>
      <x:c r="K43" t="str">
        <x:v>Seeded historic marketing actual</x:v>
      </x:c>
    </x:row>
    <x:row r="44">
      <x:c r="A44" s="32" t="n">
        <x:v>45726</x:v>
      </x:c>
      <x:c r="B44" s="32" t="n">
        <x:v>45717</x:v>
      </x:c>
      <x:c r="C44" t="str">
        <x:v>Mar 2025</x:v>
      </x:c>
      <x:c r="D44" t="str">
        <x:v>Actual</x:v>
      </x:c>
      <x:c r="E44" t="str">
        <x:v>TikTok Shop</x:v>
      </x:c>
      <x:c r="F44" s="34" t="n">
        <x:v>3795</x:v>
      </x:c>
      <x:c r="G44" s="33" t="n">
        <x:v>0.62</x:v>
      </x:c>
      <x:c r="H44" s="38" t="n">
        <x:v>2.3529</x:v>
      </x:c>
      <x:c r="I44" s="34" t="n">
        <x:v>175</x:v>
      </x:c>
      <x:c r="J44" s="33" t="n">
        <x:v>13.445142857142857</x:v>
      </x:c>
      <x:c r="K44" t="str">
        <x:v>Seeded historic marketing actual</x:v>
      </x:c>
    </x:row>
    <x:row r="45">
      <x:c r="A45" s="32" t="n">
        <x:v>45733</x:v>
      </x:c>
      <x:c r="B45" s="32" t="n">
        <x:v>45717</x:v>
      </x:c>
      <x:c r="C45" t="str">
        <x:v>Mar 2025</x:v>
      </x:c>
      <x:c r="D45" t="str">
        <x:v>Actual</x:v>
      </x:c>
      <x:c r="E45" t="str">
        <x:v>Shopify DTC</x:v>
      </x:c>
      <x:c r="F45" s="34" t="n">
        <x:v>19048</x:v>
      </x:c>
      <x:c r="G45" s="33" t="n">
        <x:v>0.78</x:v>
      </x:c>
      <x:c r="H45" s="38" t="n">
        <x:v>14.85744</x:v>
      </x:c>
      <x:c r="I45" s="34" t="n">
        <x:v>693</x:v>
      </x:c>
      <x:c r="J45" s="33" t="n">
        <x:v>21.43930735930736</x:v>
      </x:c>
      <x:c r="K45" t="str">
        <x:v>Seeded historic marketing actual</x:v>
      </x:c>
    </x:row>
    <x:row r="46">
      <x:c r="A46" s="32" t="n">
        <x:v>45733</x:v>
      </x:c>
      <x:c r="B46" s="32" t="n">
        <x:v>45717</x:v>
      </x:c>
      <x:c r="C46" t="str">
        <x:v>Mar 2025</x:v>
      </x:c>
      <x:c r="D46" t="str">
        <x:v>Actual</x:v>
      </x:c>
      <x:c r="E46" t="str">
        <x:v>Amazon Marketplace</x:v>
      </x:c>
      <x:c r="F46" s="34" t="n">
        <x:v>9524</x:v>
      </x:c>
      <x:c r="G46" s="33" t="n">
        <x:v>0.92</x:v>
      </x:c>
      <x:c r="H46" s="38" t="n">
        <x:v>8.76208</x:v>
      </x:c>
      <x:c r="I46" s="34" t="n">
        <x:v>409</x:v>
      </x:c>
      <x:c r="J46" s="33" t="n">
        <x:v>21.42317848410758</x:v>
      </x:c>
      <x:c r="K46" t="str">
        <x:v>Seeded historic marketing actual</x:v>
      </x:c>
    </x:row>
    <x:row r="47">
      <x:c r="A47" s="32" t="n">
        <x:v>45733</x:v>
      </x:c>
      <x:c r="B47" s="32" t="n">
        <x:v>45717</x:v>
      </x:c>
      <x:c r="C47" t="str">
        <x:v>Mar 2025</x:v>
      </x:c>
      <x:c r="D47" t="str">
        <x:v>Actual</x:v>
      </x:c>
      <x:c r="E47" t="str">
        <x:v>Wholesale</x:v>
      </x:c>
      <x:c r="F47" s="34" t="n">
        <x:v>5714</x:v>
      </x:c>
      <x:c r="G47" s="33" t="n">
        <x:v>0.2</x:v>
      </x:c>
      <x:c r="H47" s="38" t="n">
        <x:v>1.1428</x:v>
      </x:c>
      <x:c r="I47" s="34" t="n">
        <x:v>114</x:v>
      </x:c>
      <x:c r="J47" s="33" t="n">
        <x:v>10.024561403508772</x:v>
      </x:c>
      <x:c r="K47" t="str">
        <x:v>Seeded historic marketing actual</x:v>
      </x:c>
    </x:row>
    <x:row r="48">
      <x:c r="A48" s="32" t="n">
        <x:v>45733</x:v>
      </x:c>
      <x:c r="B48" s="32" t="n">
        <x:v>45717</x:v>
      </x:c>
      <x:c r="C48" t="str">
        <x:v>Mar 2025</x:v>
      </x:c>
      <x:c r="D48" t="str">
        <x:v>Actual</x:v>
      </x:c>
      <x:c r="E48" t="str">
        <x:v>TikTok Shop</x:v>
      </x:c>
      <x:c r="F48" s="34" t="n">
        <x:v>3809</x:v>
      </x:c>
      <x:c r="G48" s="33" t="n">
        <x:v>0.62</x:v>
      </x:c>
      <x:c r="H48" s="38" t="n">
        <x:v>2.36158</x:v>
      </x:c>
      <x:c r="I48" s="34" t="n">
        <x:v>175</x:v>
      </x:c>
      <x:c r="J48" s="33" t="n">
        <x:v>13.494742857142857</x:v>
      </x:c>
      <x:c r="K48" t="str">
        <x:v>Seeded historic marketing actual</x:v>
      </x:c>
    </x:row>
    <x:row r="49">
      <x:c r="A49" s="32" t="n">
        <x:v>45740</x:v>
      </x:c>
      <x:c r="B49" s="32" t="n">
        <x:v>45717</x:v>
      </x:c>
      <x:c r="C49" t="str">
        <x:v>Mar 2025</x:v>
      </x:c>
      <x:c r="D49" t="str">
        <x:v>Actual</x:v>
      </x:c>
      <x:c r="E49" t="str">
        <x:v>Shopify DTC</x:v>
      </x:c>
      <x:c r="F49" s="34" t="n">
        <x:v>19125</x:v>
      </x:c>
      <x:c r="G49" s="33" t="n">
        <x:v>0.78</x:v>
      </x:c>
      <x:c r="H49" s="38" t="n">
        <x:v>14.9175</x:v>
      </x:c>
      <x:c r="I49" s="34" t="n">
        <x:v>696</x:v>
      </x:c>
      <x:c r="J49" s="33" t="n">
        <x:v>21.433189655172413</x:v>
      </x:c>
      <x:c r="K49" t="str">
        <x:v>Seeded historic marketing actual</x:v>
      </x:c>
    </x:row>
    <x:row r="50">
      <x:c r="A50" s="32" t="n">
        <x:v>45740</x:v>
      </x:c>
      <x:c r="B50" s="32" t="n">
        <x:v>45717</x:v>
      </x:c>
      <x:c r="C50" t="str">
        <x:v>Mar 2025</x:v>
      </x:c>
      <x:c r="D50" t="str">
        <x:v>Actual</x:v>
      </x:c>
      <x:c r="E50" t="str">
        <x:v>Amazon Marketplace</x:v>
      </x:c>
      <x:c r="F50" s="34" t="n">
        <x:v>9563</x:v>
      </x:c>
      <x:c r="G50" s="33" t="n">
        <x:v>0.92</x:v>
      </x:c>
      <x:c r="H50" s="38" t="n">
        <x:v>8.797960000000002</x:v>
      </x:c>
      <x:c r="I50" s="34" t="n">
        <x:v>411</x:v>
      </x:c>
      <x:c r="J50" s="33" t="n">
        <x:v>21.40622871046229</x:v>
      </x:c>
      <x:c r="K50" t="str">
        <x:v>Seeded historic marketing actual</x:v>
      </x:c>
    </x:row>
    <x:row r="51">
      <x:c r="A51" s="32" t="n">
        <x:v>45740</x:v>
      </x:c>
      <x:c r="B51" s="32" t="n">
        <x:v>45717</x:v>
      </x:c>
      <x:c r="C51" t="str">
        <x:v>Mar 2025</x:v>
      </x:c>
      <x:c r="D51" t="str">
        <x:v>Actual</x:v>
      </x:c>
      <x:c r="E51" t="str">
        <x:v>Wholesale</x:v>
      </x:c>
      <x:c r="F51" s="34" t="n">
        <x:v>5737</x:v>
      </x:c>
      <x:c r="G51" s="33" t="n">
        <x:v>0.2</x:v>
      </x:c>
      <x:c r="H51" s="38" t="n">
        <x:v>1.1474000000000002</x:v>
      </x:c>
      <x:c r="I51" s="34" t="n">
        <x:v>115</x:v>
      </x:c>
      <x:c r="J51" s="33" t="n">
        <x:v>9.977391304347828</x:v>
      </x:c>
      <x:c r="K51" t="str">
        <x:v>Seeded historic marketing actual</x:v>
      </x:c>
    </x:row>
    <x:row r="52">
      <x:c r="A52" s="32" t="n">
        <x:v>45740</x:v>
      </x:c>
      <x:c r="B52" s="32" t="n">
        <x:v>45717</x:v>
      </x:c>
      <x:c r="C52" t="str">
        <x:v>Mar 2025</x:v>
      </x:c>
      <x:c r="D52" t="str">
        <x:v>Actual</x:v>
      </x:c>
      <x:c r="E52" t="str">
        <x:v>TikTok Shop</x:v>
      </x:c>
      <x:c r="F52" s="34" t="n">
        <x:v>3824</x:v>
      </x:c>
      <x:c r="G52" s="33" t="n">
        <x:v>0.62</x:v>
      </x:c>
      <x:c r="H52" s="38" t="n">
        <x:v>2.37088</x:v>
      </x:c>
      <x:c r="I52" s="34" t="n">
        <x:v>176</x:v>
      </x:c>
      <x:c r="J52" s="33" t="n">
        <x:v>13.47090909090909</x:v>
      </x:c>
      <x:c r="K52" t="str">
        <x:v>Seeded historic marketing actual</x:v>
      </x:c>
    </x:row>
    <x:row r="53">
      <x:c r="A53" s="32" t="n">
        <x:v>45747</x:v>
      </x:c>
      <x:c r="B53" s="32" t="n">
        <x:v>45717</x:v>
      </x:c>
      <x:c r="C53" t="str">
        <x:v>Mar 2025</x:v>
      </x:c>
      <x:c r="D53" t="str">
        <x:v>Actual</x:v>
      </x:c>
      <x:c r="E53" t="str">
        <x:v>Shopify DTC</x:v>
      </x:c>
      <x:c r="F53" s="34" t="n">
        <x:v>19203</x:v>
      </x:c>
      <x:c r="G53" s="33" t="n">
        <x:v>0.78</x:v>
      </x:c>
      <x:c r="H53" s="38" t="n">
        <x:v>14.97834</x:v>
      </x:c>
      <x:c r="I53" s="34" t="n">
        <x:v>699</x:v>
      </x:c>
      <x:c r="J53" s="33" t="n">
        <x:v>21.42824034334764</x:v>
      </x:c>
      <x:c r="K53" t="str">
        <x:v>Seeded historic marketing actual</x:v>
      </x:c>
    </x:row>
    <x:row r="54">
      <x:c r="A54" s="32" t="n">
        <x:v>45747</x:v>
      </x:c>
      <x:c r="B54" s="32" t="n">
        <x:v>45717</x:v>
      </x:c>
      <x:c r="C54" t="str">
        <x:v>Mar 2025</x:v>
      </x:c>
      <x:c r="D54" t="str">
        <x:v>Actual</x:v>
      </x:c>
      <x:c r="E54" t="str">
        <x:v>Amazon Marketplace</x:v>
      </x:c>
      <x:c r="F54" s="34" t="n">
        <x:v>9601</x:v>
      </x:c>
      <x:c r="G54" s="33" t="n">
        <x:v>0.92</x:v>
      </x:c>
      <x:c r="H54" s="38" t="n">
        <x:v>8.83292</x:v>
      </x:c>
      <x:c r="I54" s="34" t="n">
        <x:v>412</x:v>
      </x:c>
      <x:c r="J54" s="33" t="n">
        <x:v>21.439126213592232</x:v>
      </x:c>
      <x:c r="K54" t="str">
        <x:v>Seeded historic marketing actual</x:v>
      </x:c>
    </x:row>
    <x:row r="55">
      <x:c r="A55" s="32" t="n">
        <x:v>45747</x:v>
      </x:c>
      <x:c r="B55" s="32" t="n">
        <x:v>45717</x:v>
      </x:c>
      <x:c r="C55" t="str">
        <x:v>Mar 2025</x:v>
      </x:c>
      <x:c r="D55" t="str">
        <x:v>Actual</x:v>
      </x:c>
      <x:c r="E55" t="str">
        <x:v>Wholesale</x:v>
      </x:c>
      <x:c r="F55" s="34" t="n">
        <x:v>5760</x:v>
      </x:c>
      <x:c r="G55" s="33" t="n">
        <x:v>0.2</x:v>
      </x:c>
      <x:c r="H55" s="38" t="n">
        <x:v>1.152</x:v>
      </x:c>
      <x:c r="I55" s="34" t="n">
        <x:v>115</x:v>
      </x:c>
      <x:c r="J55" s="33" t="n">
        <x:v>10.017391304347827</x:v>
      </x:c>
      <x:c r="K55" t="str">
        <x:v>Seeded historic marketing actual</x:v>
      </x:c>
    </x:row>
    <x:row r="56">
      <x:c r="A56" s="32" t="n">
        <x:v>45747</x:v>
      </x:c>
      <x:c r="B56" s="32" t="n">
        <x:v>45717</x:v>
      </x:c>
      <x:c r="C56" t="str">
        <x:v>Mar 2025</x:v>
      </x:c>
      <x:c r="D56" t="str">
        <x:v>Actual</x:v>
      </x:c>
      <x:c r="E56" t="str">
        <x:v>TikTok Shop</x:v>
      </x:c>
      <x:c r="F56" s="34" t="n">
        <x:v>3841</x:v>
      </x:c>
      <x:c r="G56" s="33" t="n">
        <x:v>0.62</x:v>
      </x:c>
      <x:c r="H56" s="38" t="n">
        <x:v>2.38142</x:v>
      </x:c>
      <x:c r="I56" s="34" t="n">
        <x:v>177</x:v>
      </x:c>
      <x:c r="J56" s="33" t="n">
        <x:v>13.454350282485876</x:v>
      </x:c>
      <x:c r="K56" t="str">
        <x:v>Seeded historic marketing actual</x:v>
      </x:c>
    </x:row>
    <x:row r="57">
      <x:c r="A57" s="32" t="n">
        <x:v>45754</x:v>
      </x:c>
      <x:c r="B57" s="32" t="n">
        <x:v>45748</x:v>
      </x:c>
      <x:c r="C57" t="str">
        <x:v>Apr 2025</x:v>
      </x:c>
      <x:c r="D57" t="str">
        <x:v>Actual</x:v>
      </x:c>
      <x:c r="E57" t="str">
        <x:v>Shopify DTC</x:v>
      </x:c>
      <x:c r="F57" s="34" t="n">
        <x:v>19496</x:v>
      </x:c>
      <x:c r="G57" s="33" t="n">
        <x:v>0.78</x:v>
      </x:c>
      <x:c r="H57" s="38" t="n">
        <x:v>15.206880000000002</x:v>
      </x:c>
      <x:c r="I57" s="34" t="n">
        <x:v>710</x:v>
      </x:c>
      <x:c r="J57" s="33" t="n">
        <x:v>21.418140845070425</x:v>
      </x:c>
      <x:c r="K57" t="str">
        <x:v>Seeded historic marketing actual</x:v>
      </x:c>
    </x:row>
    <x:row r="58">
      <x:c r="A58" s="32" t="n">
        <x:v>45754</x:v>
      </x:c>
      <x:c r="B58" s="32" t="n">
        <x:v>45748</x:v>
      </x:c>
      <x:c r="C58" t="str">
        <x:v>Apr 2025</x:v>
      </x:c>
      <x:c r="D58" t="str">
        <x:v>Actual</x:v>
      </x:c>
      <x:c r="E58" t="str">
        <x:v>Amazon Marketplace</x:v>
      </x:c>
      <x:c r="F58" s="34" t="n">
        <x:v>9749</x:v>
      </x:c>
      <x:c r="G58" s="33" t="n">
        <x:v>0.92</x:v>
      </x:c>
      <x:c r="H58" s="38" t="n">
        <x:v>8.96908</x:v>
      </x:c>
      <x:c r="I58" s="34" t="n">
        <x:v>418</x:v>
      </x:c>
      <x:c r="J58" s="33" t="n">
        <x:v>21.45712918660287</x:v>
      </x:c>
      <x:c r="K58" t="str">
        <x:v>Seeded historic marketing actual</x:v>
      </x:c>
    </x:row>
    <x:row r="59">
      <x:c r="A59" s="32" t="n">
        <x:v>45754</x:v>
      </x:c>
      <x:c r="B59" s="32" t="n">
        <x:v>45748</x:v>
      </x:c>
      <x:c r="C59" t="str">
        <x:v>Apr 2025</x:v>
      </x:c>
      <x:c r="D59" t="str">
        <x:v>Actual</x:v>
      </x:c>
      <x:c r="E59" t="str">
        <x:v>Wholesale</x:v>
      </x:c>
      <x:c r="F59" s="34" t="n">
        <x:v>5849</x:v>
      </x:c>
      <x:c r="G59" s="33" t="n">
        <x:v>0.2</x:v>
      </x:c>
      <x:c r="H59" s="38" t="n">
        <x:v>1.1698</x:v>
      </x:c>
      <x:c r="I59" s="34" t="n">
        <x:v>116</x:v>
      </x:c>
      <x:c r="J59" s="33" t="n">
        <x:v>10.08448275862069</x:v>
      </x:c>
      <x:c r="K59" t="str">
        <x:v>Seeded historic marketing actual</x:v>
      </x:c>
    </x:row>
    <x:row r="60">
      <x:c r="A60" s="32" t="n">
        <x:v>45754</x:v>
      </x:c>
      <x:c r="B60" s="32" t="n">
        <x:v>45748</x:v>
      </x:c>
      <x:c r="C60" t="str">
        <x:v>Apr 2025</x:v>
      </x:c>
      <x:c r="D60" t="str">
        <x:v>Actual</x:v>
      </x:c>
      <x:c r="E60" t="str">
        <x:v>TikTok Shop</x:v>
      </x:c>
      <x:c r="F60" s="34" t="n">
        <x:v>3900</x:v>
      </x:c>
      <x:c r="G60" s="33" t="n">
        <x:v>0.62</x:v>
      </x:c>
      <x:c r="H60" s="38" t="n">
        <x:v>2.418</x:v>
      </x:c>
      <x:c r="I60" s="34" t="n">
        <x:v>179</x:v>
      </x:c>
      <x:c r="J60" s="33" t="n">
        <x:v>13.508379888268156</x:v>
      </x:c>
      <x:c r="K60" t="str">
        <x:v>Seeded historic marketing actual</x:v>
      </x:c>
    </x:row>
    <x:row r="61">
      <x:c r="A61" s="32" t="n">
        <x:v>45761</x:v>
      </x:c>
      <x:c r="B61" s="32" t="n">
        <x:v>45748</x:v>
      </x:c>
      <x:c r="C61" t="str">
        <x:v>Apr 2025</x:v>
      </x:c>
      <x:c r="D61" t="str">
        <x:v>Actual</x:v>
      </x:c>
      <x:c r="E61" t="str">
        <x:v>Shopify DTC</x:v>
      </x:c>
      <x:c r="F61" s="34" t="n">
        <x:v>19575</x:v>
      </x:c>
      <x:c r="G61" s="33" t="n">
        <x:v>0.78</x:v>
      </x:c>
      <x:c r="H61" s="38" t="n">
        <x:v>15.2685</x:v>
      </x:c>
      <x:c r="I61" s="34" t="n">
        <x:v>712</x:v>
      </x:c>
      <x:c r="J61" s="33" t="n">
        <x:v>21.444522471910112</x:v>
      </x:c>
      <x:c r="K61" t="str">
        <x:v>Seeded historic marketing actual</x:v>
      </x:c>
    </x:row>
    <x:row r="62">
      <x:c r="A62" s="32" t="n">
        <x:v>45761</x:v>
      </x:c>
      <x:c r="B62" s="32" t="n">
        <x:v>45748</x:v>
      </x:c>
      <x:c r="C62" t="str">
        <x:v>Apr 2025</x:v>
      </x:c>
      <x:c r="D62" t="str">
        <x:v>Actual</x:v>
      </x:c>
      <x:c r="E62" t="str">
        <x:v>Amazon Marketplace</x:v>
      </x:c>
      <x:c r="F62" s="34" t="n">
        <x:v>9788</x:v>
      </x:c>
      <x:c r="G62" s="33" t="n">
        <x:v>0.92</x:v>
      </x:c>
      <x:c r="H62" s="38" t="n">
        <x:v>9.00496</x:v>
      </x:c>
      <x:c r="I62" s="34" t="n">
        <x:v>421</x:v>
      </x:c>
      <x:c r="J62" s="33" t="n">
        <x:v>21.389453681710215</x:v>
      </x:c>
      <x:c r="K62" t="str">
        <x:v>Seeded historic marketing actual</x:v>
      </x:c>
    </x:row>
    <x:row r="63">
      <x:c r="A63" s="32" t="n">
        <x:v>45761</x:v>
      </x:c>
      <x:c r="B63" s="32" t="n">
        <x:v>45748</x:v>
      </x:c>
      <x:c r="C63" t="str">
        <x:v>Apr 2025</x:v>
      </x:c>
      <x:c r="D63" t="str">
        <x:v>Actual</x:v>
      </x:c>
      <x:c r="E63" t="str">
        <x:v>Wholesale</x:v>
      </x:c>
      <x:c r="F63" s="34" t="n">
        <x:v>5872</x:v>
      </x:c>
      <x:c r="G63" s="33" t="n">
        <x:v>0.2</x:v>
      </x:c>
      <x:c r="H63" s="38" t="n">
        <x:v>1.1744</x:v>
      </x:c>
      <x:c r="I63" s="34" t="n">
        <x:v>118</x:v>
      </x:c>
      <x:c r="J63" s="33" t="n">
        <x:v>9.952542372881357</x:v>
      </x:c>
      <x:c r="K63" t="str">
        <x:v>Seeded historic marketing actual</x:v>
      </x:c>
    </x:row>
    <x:row r="64">
      <x:c r="A64" s="32" t="n">
        <x:v>45761</x:v>
      </x:c>
      <x:c r="B64" s="32" t="n">
        <x:v>45748</x:v>
      </x:c>
      <x:c r="C64" t="str">
        <x:v>Apr 2025</x:v>
      </x:c>
      <x:c r="D64" t="str">
        <x:v>Actual</x:v>
      </x:c>
      <x:c r="E64" t="str">
        <x:v>TikTok Shop</x:v>
      </x:c>
      <x:c r="F64" s="34" t="n">
        <x:v>3915</x:v>
      </x:c>
      <x:c r="G64" s="33" t="n">
        <x:v>0.62</x:v>
      </x:c>
      <x:c r="H64" s="38" t="n">
        <x:v>2.4273000000000002</x:v>
      </x:c>
      <x:c r="I64" s="34" t="n">
        <x:v>179</x:v>
      </x:c>
      <x:c r="J64" s="33" t="n">
        <x:v>13.560335195530728</x:v>
      </x:c>
      <x:c r="K64" t="str">
        <x:v>Seeded historic marketing actual</x:v>
      </x:c>
    </x:row>
    <x:row r="65">
      <x:c r="A65" s="32" t="n">
        <x:v>45768</x:v>
      </x:c>
      <x:c r="B65" s="32" t="n">
        <x:v>45748</x:v>
      </x:c>
      <x:c r="C65" t="str">
        <x:v>Apr 2025</x:v>
      </x:c>
      <x:c r="D65" t="str">
        <x:v>Actual</x:v>
      </x:c>
      <x:c r="E65" t="str">
        <x:v>Shopify DTC</x:v>
      </x:c>
      <x:c r="F65" s="34" t="n">
        <x:v>19653</x:v>
      </x:c>
      <x:c r="G65" s="33" t="n">
        <x:v>0.78</x:v>
      </x:c>
      <x:c r="H65" s="38" t="n">
        <x:v>15.32934</x:v>
      </x:c>
      <x:c r="I65" s="34" t="n">
        <x:v>715</x:v>
      </x:c>
      <x:c r="J65" s="33" t="n">
        <x:v>21.439636363636364</x:v>
      </x:c>
      <x:c r="K65" t="str">
        <x:v>Seeded historic marketing actual</x:v>
      </x:c>
    </x:row>
    <x:row r="66">
      <x:c r="A66" s="32" t="n">
        <x:v>45768</x:v>
      </x:c>
      <x:c r="B66" s="32" t="n">
        <x:v>45748</x:v>
      </x:c>
      <x:c r="C66" t="str">
        <x:v>Apr 2025</x:v>
      </x:c>
      <x:c r="D66" t="str">
        <x:v>Actual</x:v>
      </x:c>
      <x:c r="E66" t="str">
        <x:v>Amazon Marketplace</x:v>
      </x:c>
      <x:c r="F66" s="34" t="n">
        <x:v>9826</x:v>
      </x:c>
      <x:c r="G66" s="33" t="n">
        <x:v>0.92</x:v>
      </x:c>
      <x:c r="H66" s="38" t="n">
        <x:v>9.03992</x:v>
      </x:c>
      <x:c r="I66" s="34" t="n">
        <x:v>422</x:v>
      </x:c>
      <x:c r="J66" s="33" t="n">
        <x:v>21.421611374407583</x:v>
      </x:c>
      <x:c r="K66" t="str">
        <x:v>Seeded historic marketing actual</x:v>
      </x:c>
    </x:row>
    <x:row r="67">
      <x:c r="A67" s="32" t="n">
        <x:v>45768</x:v>
      </x:c>
      <x:c r="B67" s="32" t="n">
        <x:v>45748</x:v>
      </x:c>
      <x:c r="C67" t="str">
        <x:v>Apr 2025</x:v>
      </x:c>
      <x:c r="D67" t="str">
        <x:v>Actual</x:v>
      </x:c>
      <x:c r="E67" t="str">
        <x:v>Wholesale</x:v>
      </x:c>
      <x:c r="F67" s="34" t="n">
        <x:v>5895</x:v>
      </x:c>
      <x:c r="G67" s="33" t="n">
        <x:v>0.2</x:v>
      </x:c>
      <x:c r="H67" s="38" t="n">
        <x:v>1.179</x:v>
      </x:c>
      <x:c r="I67" s="34" t="n">
        <x:v>119</x:v>
      </x:c>
      <x:c r="J67" s="33" t="n">
        <x:v>9.907563025210084</x:v>
      </x:c>
      <x:c r="K67" t="str">
        <x:v>Seeded historic marketing actual</x:v>
      </x:c>
    </x:row>
    <x:row r="68">
      <x:c r="A68" s="32" t="n">
        <x:v>45768</x:v>
      </x:c>
      <x:c r="B68" s="32" t="n">
        <x:v>45748</x:v>
      </x:c>
      <x:c r="C68" t="str">
        <x:v>Apr 2025</x:v>
      </x:c>
      <x:c r="D68" t="str">
        <x:v>Actual</x:v>
      </x:c>
      <x:c r="E68" t="str">
        <x:v>TikTok Shop</x:v>
      </x:c>
      <x:c r="F68" s="34" t="n">
        <x:v>3931</x:v>
      </x:c>
      <x:c r="G68" s="33" t="n">
        <x:v>0.62</x:v>
      </x:c>
      <x:c r="H68" s="38" t="n">
        <x:v>2.43722</x:v>
      </x:c>
      <x:c r="I68" s="34" t="n">
        <x:v>180</x:v>
      </x:c>
      <x:c r="J68" s="33" t="n">
        <x:v>13.54011111111111</x:v>
      </x:c>
      <x:c r="K68" t="str">
        <x:v>Seeded historic marketing actual</x:v>
      </x:c>
    </x:row>
    <x:row r="69">
      <x:c r="A69" s="32" t="n">
        <x:v>45775</x:v>
      </x:c>
      <x:c r="B69" s="32" t="n">
        <x:v>45748</x:v>
      </x:c>
      <x:c r="C69" t="str">
        <x:v>Apr 2025</x:v>
      </x:c>
      <x:c r="D69" t="str">
        <x:v>Actual</x:v>
      </x:c>
      <x:c r="E69" t="str">
        <x:v>Shopify DTC</x:v>
      </x:c>
      <x:c r="F69" s="34" t="n">
        <x:v>19731</x:v>
      </x:c>
      <x:c r="G69" s="33" t="n">
        <x:v>0.78</x:v>
      </x:c>
      <x:c r="H69" s="38" t="n">
        <x:v>15.39018</x:v>
      </x:c>
      <x:c r="I69" s="34" t="n">
        <x:v>717</x:v>
      </x:c>
      <x:c r="J69" s="33" t="n">
        <x:v>21.46468619246862</x:v>
      </x:c>
      <x:c r="K69" t="str">
        <x:v>Seeded historic marketing actual</x:v>
      </x:c>
    </x:row>
    <x:row r="70">
      <x:c r="A70" s="32" t="n">
        <x:v>45775</x:v>
      </x:c>
      <x:c r="B70" s="32" t="n">
        <x:v>45748</x:v>
      </x:c>
      <x:c r="C70" t="str">
        <x:v>Apr 2025</x:v>
      </x:c>
      <x:c r="D70" t="str">
        <x:v>Actual</x:v>
      </x:c>
      <x:c r="E70" t="str">
        <x:v>Amazon Marketplace</x:v>
      </x:c>
      <x:c r="F70" s="34" t="n">
        <x:v>9865</x:v>
      </x:c>
      <x:c r="G70" s="33" t="n">
        <x:v>0.92</x:v>
      </x:c>
      <x:c r="H70" s="38" t="n">
        <x:v>9.075800000000001</x:v>
      </x:c>
      <x:c r="I70" s="34" t="n">
        <x:v>423</x:v>
      </x:c>
      <x:c r="J70" s="33" t="n">
        <x:v>21.455791962174942</x:v>
      </x:c>
      <x:c r="K70" t="str">
        <x:v>Seeded historic marketing actual</x:v>
      </x:c>
    </x:row>
    <x:row r="71">
      <x:c r="A71" s="32" t="n">
        <x:v>45775</x:v>
      </x:c>
      <x:c r="B71" s="32" t="n">
        <x:v>45748</x:v>
      </x:c>
      <x:c r="C71" t="str">
        <x:v>Apr 2025</x:v>
      </x:c>
      <x:c r="D71" t="str">
        <x:v>Actual</x:v>
      </x:c>
      <x:c r="E71" t="str">
        <x:v>Wholesale</x:v>
      </x:c>
      <x:c r="F71" s="34" t="n">
        <x:v>5919</x:v>
      </x:c>
      <x:c r="G71" s="33" t="n">
        <x:v>0.2</x:v>
      </x:c>
      <x:c r="H71" s="38" t="n">
        <x:v>1.1838</x:v>
      </x:c>
      <x:c r="I71" s="34" t="n">
        <x:v>119</x:v>
      </x:c>
      <x:c r="J71" s="33" t="n">
        <x:v>9.947899159663866</x:v>
      </x:c>
      <x:c r="K71" t="str">
        <x:v>Seeded historic marketing actual</x:v>
      </x:c>
    </x:row>
    <x:row r="72">
      <x:c r="A72" s="32" t="n">
        <x:v>45775</x:v>
      </x:c>
      <x:c r="B72" s="32" t="n">
        <x:v>45748</x:v>
      </x:c>
      <x:c r="C72" t="str">
        <x:v>Apr 2025</x:v>
      </x:c>
      <x:c r="D72" t="str">
        <x:v>Actual</x:v>
      </x:c>
      <x:c r="E72" t="str">
        <x:v>TikTok Shop</x:v>
      </x:c>
      <x:c r="F72" s="34" t="n">
        <x:v>3947</x:v>
      </x:c>
      <x:c r="G72" s="33" t="n">
        <x:v>0.62</x:v>
      </x:c>
      <x:c r="H72" s="38" t="n">
        <x:v>2.44714</x:v>
      </x:c>
      <x:c r="I72" s="34" t="n">
        <x:v>180</x:v>
      </x:c>
      <x:c r="J72" s="33" t="n">
        <x:v>13.59522222222222</x:v>
      </x:c>
      <x:c r="K72" t="str">
        <x:v>Seeded historic marketing actual</x:v>
      </x:c>
    </x:row>
    <x:row r="73">
      <x:c r="A73" s="32" t="n">
        <x:v>45782</x:v>
      </x:c>
      <x:c r="B73" s="32" t="n">
        <x:v>45778</x:v>
      </x:c>
      <x:c r="C73" t="str">
        <x:v>May 2025</x:v>
      </x:c>
      <x:c r="D73" t="str">
        <x:v>Actual</x:v>
      </x:c>
      <x:c r="E73" t="str">
        <x:v>Shopify DTC</x:v>
      </x:c>
      <x:c r="F73" s="34" t="n">
        <x:v>20456</x:v>
      </x:c>
      <x:c r="G73" s="33" t="n">
        <x:v>0.78</x:v>
      </x:c>
      <x:c r="H73" s="38" t="n">
        <x:v>15.955680000000001</x:v>
      </x:c>
      <x:c r="I73" s="34" t="n">
        <x:v>741</x:v>
      </x:c>
      <x:c r="J73" s="33" t="n">
        <x:v>21.53263157894737</x:v>
      </x:c>
      <x:c r="K73" t="str">
        <x:v>Seeded historic marketing actual</x:v>
      </x:c>
    </x:row>
    <x:row r="74">
      <x:c r="A74" s="32" t="n">
        <x:v>45782</x:v>
      </x:c>
      <x:c r="B74" s="32" t="n">
        <x:v>45778</x:v>
      </x:c>
      <x:c r="C74" t="str">
        <x:v>May 2025</x:v>
      </x:c>
      <x:c r="D74" t="str">
        <x:v>Actual</x:v>
      </x:c>
      <x:c r="E74" t="str">
        <x:v>Amazon Marketplace</x:v>
      </x:c>
      <x:c r="F74" s="34" t="n">
        <x:v>10228</x:v>
      </x:c>
      <x:c r="G74" s="33" t="n">
        <x:v>0.92</x:v>
      </x:c>
      <x:c r="H74" s="38" t="n">
        <x:v>9.40976</x:v>
      </x:c>
      <x:c r="I74" s="34" t="n">
        <x:v>437</x:v>
      </x:c>
      <x:c r="J74" s="33" t="n">
        <x:v>21.53263157894737</x:v>
      </x:c>
      <x:c r="K74" t="str">
        <x:v>Seeded historic marketing actual</x:v>
      </x:c>
    </x:row>
    <x:row r="75">
      <x:c r="A75" s="32" t="n">
        <x:v>45782</x:v>
      </x:c>
      <x:c r="B75" s="32" t="n">
        <x:v>45778</x:v>
      </x:c>
      <x:c r="C75" t="str">
        <x:v>May 2025</x:v>
      </x:c>
      <x:c r="D75" t="str">
        <x:v>Actual</x:v>
      </x:c>
      <x:c r="E75" t="str">
        <x:v>Wholesale</x:v>
      </x:c>
      <x:c r="F75" s="34" t="n">
        <x:v>6137</x:v>
      </x:c>
      <x:c r="G75" s="33" t="n">
        <x:v>0.2</x:v>
      </x:c>
      <x:c r="H75" s="38" t="n">
        <x:v>1.2274</x:v>
      </x:c>
      <x:c r="I75" s="34" t="n">
        <x:v>122</x:v>
      </x:c>
      <x:c r="J75" s="33" t="n">
        <x:v>10.060655737704918</x:v>
      </x:c>
      <x:c r="K75" t="str">
        <x:v>Seeded historic marketing actual</x:v>
      </x:c>
    </x:row>
    <x:row r="76">
      <x:c r="A76" s="32" t="n">
        <x:v>45782</x:v>
      </x:c>
      <x:c r="B76" s="32" t="n">
        <x:v>45778</x:v>
      </x:c>
      <x:c r="C76" t="str">
        <x:v>May 2025</x:v>
      </x:c>
      <x:c r="D76" t="str">
        <x:v>Actual</x:v>
      </x:c>
      <x:c r="E76" t="str">
        <x:v>TikTok Shop</x:v>
      </x:c>
      <x:c r="F76" s="34" t="n">
        <x:v>4091</x:v>
      </x:c>
      <x:c r="G76" s="33" t="n">
        <x:v>0.62</x:v>
      </x:c>
      <x:c r="H76" s="38" t="n">
        <x:v>2.53642</x:v>
      </x:c>
      <x:c r="I76" s="34" t="n">
        <x:v>187</x:v>
      </x:c>
      <x:c r="J76" s="33" t="n">
        <x:v>13.563743315508022</x:v>
      </x:c>
      <x:c r="K76" t="str">
        <x:v>Seeded historic marketing actual</x:v>
      </x:c>
    </x:row>
    <x:row r="77">
      <x:c r="A77" s="32" t="n">
        <x:v>45789</x:v>
      </x:c>
      <x:c r="B77" s="32" t="n">
        <x:v>45778</x:v>
      </x:c>
      <x:c r="C77" t="str">
        <x:v>May 2025</x:v>
      </x:c>
      <x:c r="D77" t="str">
        <x:v>Actual</x:v>
      </x:c>
      <x:c r="E77" t="str">
        <x:v>Shopify DTC</x:v>
      </x:c>
      <x:c r="F77" s="34" t="n">
        <x:v>20535</x:v>
      </x:c>
      <x:c r="G77" s="33" t="n">
        <x:v>0.78</x:v>
      </x:c>
      <x:c r="H77" s="38" t="n">
        <x:v>16.017300000000002</x:v>
      </x:c>
      <x:c r="I77" s="34" t="n">
        <x:v>746</x:v>
      </x:c>
      <x:c r="J77" s="33" t="n">
        <x:v>21.47091152815014</x:v>
      </x:c>
      <x:c r="K77" t="str">
        <x:v>Seeded historic marketing actual</x:v>
      </x:c>
    </x:row>
    <x:row r="78">
      <x:c r="A78" s="32" t="n">
        <x:v>45789</x:v>
      </x:c>
      <x:c r="B78" s="32" t="n">
        <x:v>45778</x:v>
      </x:c>
      <x:c r="C78" t="str">
        <x:v>May 2025</x:v>
      </x:c>
      <x:c r="D78" t="str">
        <x:v>Actual</x:v>
      </x:c>
      <x:c r="E78" t="str">
        <x:v>Amazon Marketplace</x:v>
      </x:c>
      <x:c r="F78" s="34" t="n">
        <x:v>10268</x:v>
      </x:c>
      <x:c r="G78" s="33" t="n">
        <x:v>0.92</x:v>
      </x:c>
      <x:c r="H78" s="38" t="n">
        <x:v>9.446560000000002</x:v>
      </x:c>
      <x:c r="I78" s="34" t="n">
        <x:v>440</x:v>
      </x:c>
      <x:c r="J78" s="33" t="n">
        <x:v>21.46945454545455</x:v>
      </x:c>
      <x:c r="K78" t="str">
        <x:v>Seeded historic marketing actual</x:v>
      </x:c>
    </x:row>
    <x:row r="79">
      <x:c r="A79" s="32" t="n">
        <x:v>45789</x:v>
      </x:c>
      <x:c r="B79" s="32" t="n">
        <x:v>45778</x:v>
      </x:c>
      <x:c r="C79" t="str">
        <x:v>May 2025</x:v>
      </x:c>
      <x:c r="D79" t="str">
        <x:v>Actual</x:v>
      </x:c>
      <x:c r="E79" t="str">
        <x:v>Wholesale</x:v>
      </x:c>
      <x:c r="F79" s="34" t="n">
        <x:v>6160</x:v>
      </x:c>
      <x:c r="G79" s="33" t="n">
        <x:v>0.2</x:v>
      </x:c>
      <x:c r="H79" s="38" t="n">
        <x:v>1.232</x:v>
      </x:c>
      <x:c r="I79" s="34" t="n">
        <x:v>123</x:v>
      </x:c>
      <x:c r="J79" s="33" t="n">
        <x:v>10.016260162601625</x:v>
      </x:c>
      <x:c r="K79" t="str">
        <x:v>Seeded historic marketing actual</x:v>
      </x:c>
    </x:row>
    <x:row r="80">
      <x:c r="A80" s="32" t="n">
        <x:v>45789</x:v>
      </x:c>
      <x:c r="B80" s="32" t="n">
        <x:v>45778</x:v>
      </x:c>
      <x:c r="C80" t="str">
        <x:v>May 2025</x:v>
      </x:c>
      <x:c r="D80" t="str">
        <x:v>Actual</x:v>
      </x:c>
      <x:c r="E80" t="str">
        <x:v>TikTok Shop</x:v>
      </x:c>
      <x:c r="F80" s="34" t="n">
        <x:v>4107</x:v>
      </x:c>
      <x:c r="G80" s="33" t="n">
        <x:v>0.62</x:v>
      </x:c>
      <x:c r="H80" s="38" t="n">
        <x:v>2.5463400000000003</x:v>
      </x:c>
      <x:c r="I80" s="34" t="n">
        <x:v>188</x:v>
      </x:c>
      <x:c r="J80" s="33" t="n">
        <x:v>13.544361702127661</x:v>
      </x:c>
      <x:c r="K80" t="str">
        <x:v>Seeded historic marketing actual</x:v>
      </x:c>
    </x:row>
    <x:row r="81">
      <x:c r="A81" s="32" t="n">
        <x:v>45796</x:v>
      </x:c>
      <x:c r="B81" s="32" t="n">
        <x:v>45778</x:v>
      </x:c>
      <x:c r="C81" t="str">
        <x:v>May 2025</x:v>
      </x:c>
      <x:c r="D81" t="str">
        <x:v>Actual</x:v>
      </x:c>
      <x:c r="E81" t="str">
        <x:v>Shopify DTC</x:v>
      </x:c>
      <x:c r="F81" s="34" t="n">
        <x:v>20616</x:v>
      </x:c>
      <x:c r="G81" s="33" t="n">
        <x:v>0.78</x:v>
      </x:c>
      <x:c r="H81" s="38" t="n">
        <x:v>16.08048</x:v>
      </x:c>
      <x:c r="I81" s="34" t="n">
        <x:v>747</x:v>
      </x:c>
      <x:c r="J81" s="33" t="n">
        <x:v>21.52674698795181</x:v>
      </x:c>
      <x:c r="K81" t="str">
        <x:v>Seeded historic marketing actual</x:v>
      </x:c>
    </x:row>
    <x:row r="82">
      <x:c r="A82" s="32" t="n">
        <x:v>45796</x:v>
      </x:c>
      <x:c r="B82" s="32" t="n">
        <x:v>45778</x:v>
      </x:c>
      <x:c r="C82" t="str">
        <x:v>May 2025</x:v>
      </x:c>
      <x:c r="D82" t="str">
        <x:v>Actual</x:v>
      </x:c>
      <x:c r="E82" t="str">
        <x:v>Amazon Marketplace</x:v>
      </x:c>
      <x:c r="F82" s="34" t="n">
        <x:v>10308</x:v>
      </x:c>
      <x:c r="G82" s="33" t="n">
        <x:v>0.92</x:v>
      </x:c>
      <x:c r="H82" s="38" t="n">
        <x:v>9.483360000000001</x:v>
      </x:c>
      <x:c r="I82" s="34" t="n">
        <x:v>441</x:v>
      </x:c>
      <x:c r="J82" s="33" t="n">
        <x:v>21.50421768707483</x:v>
      </x:c>
      <x:c r="K82" t="str">
        <x:v>Seeded historic marketing actual</x:v>
      </x:c>
    </x:row>
    <x:row r="83">
      <x:c r="A83" s="32" t="n">
        <x:v>45796</x:v>
      </x:c>
      <x:c r="B83" s="32" t="n">
        <x:v>45778</x:v>
      </x:c>
      <x:c r="C83" t="str">
        <x:v>May 2025</x:v>
      </x:c>
      <x:c r="D83" t="str">
        <x:v>Actual</x:v>
      </x:c>
      <x:c r="E83" t="str">
        <x:v>Wholesale</x:v>
      </x:c>
      <x:c r="F83" s="34" t="n">
        <x:v>6183</x:v>
      </x:c>
      <x:c r="G83" s="33" t="n">
        <x:v>0.2</x:v>
      </x:c>
      <x:c r="H83" s="38" t="n">
        <x:v>1.2366000000000001</x:v>
      </x:c>
      <x:c r="I83" s="34" t="n">
        <x:v>123</x:v>
      </x:c>
      <x:c r="J83" s="33" t="n">
        <x:v>10.053658536585367</x:v>
      </x:c>
      <x:c r="K83" t="str">
        <x:v>Seeded historic marketing actual</x:v>
      </x:c>
    </x:row>
    <x:row r="84">
      <x:c r="A84" s="32" t="n">
        <x:v>45796</x:v>
      </x:c>
      <x:c r="B84" s="32" t="n">
        <x:v>45778</x:v>
      </x:c>
      <x:c r="C84" t="str">
        <x:v>May 2025</x:v>
      </x:c>
      <x:c r="D84" t="str">
        <x:v>Actual</x:v>
      </x:c>
      <x:c r="E84" t="str">
        <x:v>TikTok Shop</x:v>
      </x:c>
      <x:c r="F84" s="34" t="n">
        <x:v>4123</x:v>
      </x:c>
      <x:c r="G84" s="33" t="n">
        <x:v>0.62</x:v>
      </x:c>
      <x:c r="H84" s="38" t="n">
        <x:v>2.55626</x:v>
      </x:c>
      <x:c r="I84" s="34" t="n">
        <x:v>188</x:v>
      </x:c>
      <x:c r="J84" s="33" t="n">
        <x:v>13.597127659574467</x:v>
      </x:c>
      <x:c r="K84" t="str">
        <x:v>Seeded historic marketing actual</x:v>
      </x:c>
    </x:row>
    <x:row r="85">
      <x:c r="A85" s="32" t="n">
        <x:v>45803</x:v>
      </x:c>
      <x:c r="B85" s="32" t="n">
        <x:v>45778</x:v>
      </x:c>
      <x:c r="C85" t="str">
        <x:v>May 2025</x:v>
      </x:c>
      <x:c r="D85" t="str">
        <x:v>Actual</x:v>
      </x:c>
      <x:c r="E85" t="str">
        <x:v>Shopify DTC</x:v>
      </x:c>
      <x:c r="F85" s="34" t="n">
        <x:v>20697</x:v>
      </x:c>
      <x:c r="G85" s="33" t="n">
        <x:v>0.78</x:v>
      </x:c>
      <x:c r="H85" s="38" t="n">
        <x:v>16.14366</x:v>
      </x:c>
      <x:c r="I85" s="34" t="n">
        <x:v>751</x:v>
      </x:c>
      <x:c r="J85" s="33" t="n">
        <x:v>21.496218375499335</x:v>
      </x:c>
      <x:c r="K85" t="str">
        <x:v>Seeded historic marketing actual</x:v>
      </x:c>
    </x:row>
    <x:row r="86">
      <x:c r="A86" s="32" t="n">
        <x:v>45803</x:v>
      </x:c>
      <x:c r="B86" s="32" t="n">
        <x:v>45778</x:v>
      </x:c>
      <x:c r="C86" t="str">
        <x:v>May 2025</x:v>
      </x:c>
      <x:c r="D86" t="str">
        <x:v>Actual</x:v>
      </x:c>
      <x:c r="E86" t="str">
        <x:v>Amazon Marketplace</x:v>
      </x:c>
      <x:c r="F86" s="34" t="n">
        <x:v>10348</x:v>
      </x:c>
      <x:c r="G86" s="33" t="n">
        <x:v>0.92</x:v>
      </x:c>
      <x:c r="H86" s="38" t="n">
        <x:v>9.52016</x:v>
      </x:c>
      <x:c r="I86" s="34" t="n">
        <x:v>443</x:v>
      </x:c>
      <x:c r="J86" s="33" t="n">
        <x:v>21.49020316027088</x:v>
      </x:c>
      <x:c r="K86" t="str">
        <x:v>Seeded historic marketing actual</x:v>
      </x:c>
    </x:row>
    <x:row r="87">
      <x:c r="A87" s="32" t="n">
        <x:v>45803</x:v>
      </x:c>
      <x:c r="B87" s="32" t="n">
        <x:v>45778</x:v>
      </x:c>
      <x:c r="C87" t="str">
        <x:v>May 2025</x:v>
      </x:c>
      <x:c r="D87" t="str">
        <x:v>Actual</x:v>
      </x:c>
      <x:c r="E87" t="str">
        <x:v>Wholesale</x:v>
      </x:c>
      <x:c r="F87" s="34" t="n">
        <x:v>6209</x:v>
      </x:c>
      <x:c r="G87" s="33" t="n">
        <x:v>0.2</x:v>
      </x:c>
      <x:c r="H87" s="38" t="n">
        <x:v>1.2418000000000002</x:v>
      </x:c>
      <x:c r="I87" s="34" t="n">
        <x:v>123</x:v>
      </x:c>
      <x:c r="J87" s="33" t="n">
        <x:v>10.095934959349595</x:v>
      </x:c>
      <x:c r="K87" t="str">
        <x:v>Seeded historic marketing actual</x:v>
      </x:c>
    </x:row>
    <x:row r="88">
      <x:c r="A88" s="32" t="n">
        <x:v>45803</x:v>
      </x:c>
      <x:c r="B88" s="32" t="n">
        <x:v>45778</x:v>
      </x:c>
      <x:c r="C88" t="str">
        <x:v>May 2025</x:v>
      </x:c>
      <x:c r="D88" t="str">
        <x:v>Actual</x:v>
      </x:c>
      <x:c r="E88" t="str">
        <x:v>TikTok Shop</x:v>
      </x:c>
      <x:c r="F88" s="34" t="n">
        <x:v>4140</x:v>
      </x:c>
      <x:c r="G88" s="33" t="n">
        <x:v>0.62</x:v>
      </x:c>
      <x:c r="H88" s="38" t="n">
        <x:v>2.5668</x:v>
      </x:c>
      <x:c r="I88" s="34" t="n">
        <x:v>189</x:v>
      </x:c>
      <x:c r="J88" s="33" t="n">
        <x:v>13.580952380952382</x:v>
      </x:c>
      <x:c r="K88" t="str">
        <x:v>Seeded historic marketing actual</x:v>
      </x:c>
    </x:row>
    <x:row r="89">
      <x:c r="A89" s="32" t="n">
        <x:v>45810</x:v>
      </x:c>
      <x:c r="B89" s="32" t="n">
        <x:v>45809</x:v>
      </x:c>
      <x:c r="C89" t="str">
        <x:v>Jun 2025</x:v>
      </x:c>
      <x:c r="D89" t="str">
        <x:v>Actual</x:v>
      </x:c>
      <x:c r="E89" t="str">
        <x:v>Shopify DTC</x:v>
      </x:c>
      <x:c r="F89" s="34" t="n">
        <x:v>21261</x:v>
      </x:c>
      <x:c r="G89" s="33" t="n">
        <x:v>0.78</x:v>
      </x:c>
      <x:c r="H89" s="38" t="n">
        <x:v>16.58358</x:v>
      </x:c>
      <x:c r="I89" s="34" t="n">
        <x:v>769</x:v>
      </x:c>
      <x:c r="J89" s="33" t="n">
        <x:v>21.56512353706112</x:v>
      </x:c>
      <x:c r="K89" t="str">
        <x:v>Seeded historic marketing actual</x:v>
      </x:c>
    </x:row>
    <x:row r="90">
      <x:c r="A90" s="32" t="n">
        <x:v>45810</x:v>
      </x:c>
      <x:c r="B90" s="32" t="n">
        <x:v>45809</x:v>
      </x:c>
      <x:c r="C90" t="str">
        <x:v>Jun 2025</x:v>
      </x:c>
      <x:c r="D90" t="str">
        <x:v>Actual</x:v>
      </x:c>
      <x:c r="E90" t="str">
        <x:v>Amazon Marketplace</x:v>
      </x:c>
      <x:c r="F90" s="34" t="n">
        <x:v>10630</x:v>
      </x:c>
      <x:c r="G90" s="33" t="n">
        <x:v>0.92</x:v>
      </x:c>
      <x:c r="H90" s="38" t="n">
        <x:v>9.7796</x:v>
      </x:c>
      <x:c r="I90" s="34" t="n">
        <x:v>453</x:v>
      </x:c>
      <x:c r="J90" s="33" t="n">
        <x:v>21.58852097130243</x:v>
      </x:c>
      <x:c r="K90" t="str">
        <x:v>Seeded historic marketing actual</x:v>
      </x:c>
    </x:row>
    <x:row r="91">
      <x:c r="A91" s="32" t="n">
        <x:v>45810</x:v>
      </x:c>
      <x:c r="B91" s="32" t="n">
        <x:v>45809</x:v>
      </x:c>
      <x:c r="C91" t="str">
        <x:v>Jun 2025</x:v>
      </x:c>
      <x:c r="D91" t="str">
        <x:v>Actual</x:v>
      </x:c>
      <x:c r="E91" t="str">
        <x:v>Wholesale</x:v>
      </x:c>
      <x:c r="F91" s="34" t="n">
        <x:v>6379</x:v>
      </x:c>
      <x:c r="G91" s="33" t="n">
        <x:v>0.2</x:v>
      </x:c>
      <x:c r="H91" s="38" t="n">
        <x:v>1.2758000000000003</x:v>
      </x:c>
      <x:c r="I91" s="34" t="n">
        <x:v>127</x:v>
      </x:c>
      <x:c r="J91" s="33" t="n">
        <x:v>10.045669291338584</x:v>
      </x:c>
      <x:c r="K91" t="str">
        <x:v>Seeded historic marketing actual</x:v>
      </x:c>
    </x:row>
    <x:row r="92">
      <x:c r="A92" s="32" t="n">
        <x:v>45810</x:v>
      </x:c>
      <x:c r="B92" s="32" t="n">
        <x:v>45809</x:v>
      </x:c>
      <x:c r="C92" t="str">
        <x:v>Jun 2025</x:v>
      </x:c>
      <x:c r="D92" t="str">
        <x:v>Actual</x:v>
      </x:c>
      <x:c r="E92" t="str">
        <x:v>TikTok Shop</x:v>
      </x:c>
      <x:c r="F92" s="34" t="n">
        <x:v>4253</x:v>
      </x:c>
      <x:c r="G92" s="33" t="n">
        <x:v>0.62</x:v>
      </x:c>
      <x:c r="H92" s="38" t="n">
        <x:v>2.63686</x:v>
      </x:c>
      <x:c r="I92" s="34" t="n">
        <x:v>193</x:v>
      </x:c>
      <x:c r="J92" s="33" t="n">
        <x:v>13.662487046632124</x:v>
      </x:c>
      <x:c r="K92" t="str">
        <x:v>Seeded historic marketing actual</x:v>
      </x:c>
    </x:row>
    <x:row r="93">
      <x:c r="A93" s="32" t="n">
        <x:v>45817</x:v>
      </x:c>
      <x:c r="B93" s="32" t="n">
        <x:v>45809</x:v>
      </x:c>
      <x:c r="C93" t="str">
        <x:v>Jun 2025</x:v>
      </x:c>
      <x:c r="D93" t="str">
        <x:v>Actual</x:v>
      </x:c>
      <x:c r="E93" t="str">
        <x:v>Shopify DTC</x:v>
      </x:c>
      <x:c r="F93" s="34" t="n">
        <x:v>21342</x:v>
      </x:c>
      <x:c r="G93" s="33" t="n">
        <x:v>0.78</x:v>
      </x:c>
      <x:c r="H93" s="38" t="n">
        <x:v>16.64676</x:v>
      </x:c>
      <x:c r="I93" s="34" t="n">
        <x:v>773</x:v>
      </x:c>
      <x:c r="J93" s="33" t="n">
        <x:v>21.53526520051747</x:v>
      </x:c>
      <x:c r="K93" t="str">
        <x:v>Seeded historic marketing actual</x:v>
      </x:c>
    </x:row>
    <x:row r="94">
      <x:c r="A94" s="32" t="n">
        <x:v>45817</x:v>
      </x:c>
      <x:c r="B94" s="32" t="n">
        <x:v>45809</x:v>
      </x:c>
      <x:c r="C94" t="str">
        <x:v>Jun 2025</x:v>
      </x:c>
      <x:c r="D94" t="str">
        <x:v>Actual</x:v>
      </x:c>
      <x:c r="E94" t="str">
        <x:v>Amazon Marketplace</x:v>
      </x:c>
      <x:c r="F94" s="34" t="n">
        <x:v>10672</x:v>
      </x:c>
      <x:c r="G94" s="33" t="n">
        <x:v>0.92</x:v>
      </x:c>
      <x:c r="H94" s="38" t="n">
        <x:v>9.81824</x:v>
      </x:c>
      <x:c r="I94" s="34" t="n">
        <x:v>456</x:v>
      </x:c>
      <x:c r="J94" s="33" t="n">
        <x:v>21.531228070175437</x:v>
      </x:c>
      <x:c r="K94" t="str">
        <x:v>Seeded historic marketing actual</x:v>
      </x:c>
    </x:row>
    <x:row r="95">
      <x:c r="A95" s="32" t="n">
        <x:v>45817</x:v>
      </x:c>
      <x:c r="B95" s="32" t="n">
        <x:v>45809</x:v>
      </x:c>
      <x:c r="C95" t="str">
        <x:v>Jun 2025</x:v>
      </x:c>
      <x:c r="D95" t="str">
        <x:v>Actual</x:v>
      </x:c>
      <x:c r="E95" t="str">
        <x:v>Wholesale</x:v>
      </x:c>
      <x:c r="F95" s="34" t="n">
        <x:v>6403</x:v>
      </x:c>
      <x:c r="G95" s="33" t="n">
        <x:v>0.2</x:v>
      </x:c>
      <x:c r="H95" s="38" t="n">
        <x:v>1.2806000000000002</x:v>
      </x:c>
      <x:c r="I95" s="34" t="n">
        <x:v>127</x:v>
      </x:c>
      <x:c r="J95" s="33" t="n">
        <x:v>10.083464566929134</x:v>
      </x:c>
      <x:c r="K95" t="str">
        <x:v>Seeded historic marketing actual</x:v>
      </x:c>
    </x:row>
    <x:row r="96">
      <x:c r="A96" s="32" t="n">
        <x:v>45817</x:v>
      </x:c>
      <x:c r="B96" s="32" t="n">
        <x:v>45809</x:v>
      </x:c>
      <x:c r="C96" t="str">
        <x:v>Jun 2025</x:v>
      </x:c>
      <x:c r="D96" t="str">
        <x:v>Actual</x:v>
      </x:c>
      <x:c r="E96" t="str">
        <x:v>TikTok Shop</x:v>
      </x:c>
      <x:c r="F96" s="34" t="n">
        <x:v>4269</x:v>
      </x:c>
      <x:c r="G96" s="33" t="n">
        <x:v>0.62</x:v>
      </x:c>
      <x:c r="H96" s="38" t="n">
        <x:v>2.64678</x:v>
      </x:c>
      <x:c r="I96" s="34" t="n">
        <x:v>195</x:v>
      </x:c>
      <x:c r="J96" s="33" t="n">
        <x:v>13.57323076923077</x:v>
      </x:c>
      <x:c r="K96" t="str">
        <x:v>Seeded historic marketing actual</x:v>
      </x:c>
    </x:row>
    <x:row r="97">
      <x:c r="A97" s="32" t="n">
        <x:v>45824</x:v>
      </x:c>
      <x:c r="B97" s="32" t="n">
        <x:v>45809</x:v>
      </x:c>
      <x:c r="C97" t="str">
        <x:v>Jun 2025</x:v>
      </x:c>
      <x:c r="D97" t="str">
        <x:v>Actual</x:v>
      </x:c>
      <x:c r="E97" t="str">
        <x:v>Shopify DTC</x:v>
      </x:c>
      <x:c r="F97" s="34" t="n">
        <x:v>21425</x:v>
      </x:c>
      <x:c r="G97" s="33" t="n">
        <x:v>0.78</x:v>
      </x:c>
      <x:c r="H97" s="38" t="n">
        <x:v>16.7115</x:v>
      </x:c>
      <x:c r="I97" s="34" t="n">
        <x:v>776</x:v>
      </x:c>
      <x:c r="J97" s="33" t="n">
        <x:v>21.5354381443299</x:v>
      </x:c>
      <x:c r="K97" t="str">
        <x:v>Seeded historic marketing actual</x:v>
      </x:c>
    </x:row>
    <x:row r="98">
      <x:c r="A98" s="32" t="n">
        <x:v>45824</x:v>
      </x:c>
      <x:c r="B98" s="32" t="n">
        <x:v>45809</x:v>
      </x:c>
      <x:c r="C98" t="str">
        <x:v>Jun 2025</x:v>
      </x:c>
      <x:c r="D98" t="str">
        <x:v>Actual</x:v>
      </x:c>
      <x:c r="E98" t="str">
        <x:v>Amazon Marketplace</x:v>
      </x:c>
      <x:c r="F98" s="34" t="n">
        <x:v>10712</x:v>
      </x:c>
      <x:c r="G98" s="33" t="n">
        <x:v>0.92</x:v>
      </x:c>
      <x:c r="H98" s="38" t="n">
        <x:v>9.85504</x:v>
      </x:c>
      <x:c r="I98" s="34" t="n">
        <x:v>458</x:v>
      </x:c>
      <x:c r="J98" s="33" t="n">
        <x:v>21.51755458515284</x:v>
      </x:c>
      <x:c r="K98" t="str">
        <x:v>Seeded historic marketing actual</x:v>
      </x:c>
    </x:row>
    <x:row r="99">
      <x:c r="A99" s="32" t="n">
        <x:v>45824</x:v>
      </x:c>
      <x:c r="B99" s="32" t="n">
        <x:v>45809</x:v>
      </x:c>
      <x:c r="C99" t="str">
        <x:v>Jun 2025</x:v>
      </x:c>
      <x:c r="D99" t="str">
        <x:v>Actual</x:v>
      </x:c>
      <x:c r="E99" t="str">
        <x:v>Wholesale</x:v>
      </x:c>
      <x:c r="F99" s="34" t="n">
        <x:v>6428</x:v>
      </x:c>
      <x:c r="G99" s="33" t="n">
        <x:v>0.2</x:v>
      </x:c>
      <x:c r="H99" s="38" t="n">
        <x:v>1.2856</x:v>
      </x:c>
      <x:c r="I99" s="34" t="n">
        <x:v>128</x:v>
      </x:c>
      <x:c r="J99" s="33" t="n">
        <x:v>10.043750000000001</x:v>
      </x:c>
      <x:c r="K99" t="str">
        <x:v>Seeded historic marketing actual</x:v>
      </x:c>
    </x:row>
    <x:row r="100">
      <x:c r="A100" s="32" t="n">
        <x:v>45824</x:v>
      </x:c>
      <x:c r="B100" s="32" t="n">
        <x:v>45809</x:v>
      </x:c>
      <x:c r="C100" t="str">
        <x:v>Jun 2025</x:v>
      </x:c>
      <x:c r="D100" t="str">
        <x:v>Actual</x:v>
      </x:c>
      <x:c r="E100" t="str">
        <x:v>TikTok Shop</x:v>
      </x:c>
      <x:c r="F100" s="34" t="n">
        <x:v>4285</x:v>
      </x:c>
      <x:c r="G100" s="33" t="n">
        <x:v>0.62</x:v>
      </x:c>
      <x:c r="H100" s="38" t="n">
        <x:v>2.6567</x:v>
      </x:c>
      <x:c r="I100" s="34" t="n">
        <x:v>197</x:v>
      </x:c>
      <x:c r="J100" s="33" t="n">
        <x:v>13.485786802030455</x:v>
      </x:c>
      <x:c r="K100" t="str">
        <x:v>Seeded historic marketing actual</x:v>
      </x:c>
    </x:row>
    <x:row r="101">
      <x:c r="A101" s="32" t="n">
        <x:v>45831</x:v>
      </x:c>
      <x:c r="B101" s="32" t="n">
        <x:v>45809</x:v>
      </x:c>
      <x:c r="C101" t="str">
        <x:v>Jun 2025</x:v>
      </x:c>
      <x:c r="D101" t="str">
        <x:v>Actual</x:v>
      </x:c>
      <x:c r="E101" t="str">
        <x:v>Shopify DTC</x:v>
      </x:c>
      <x:c r="F101" s="34" t="n">
        <x:v>21508</x:v>
      </x:c>
      <x:c r="G101" s="33" t="n">
        <x:v>0.78</x:v>
      </x:c>
      <x:c r="H101" s="38" t="n">
        <x:v>16.77624</x:v>
      </x:c>
      <x:c r="I101" s="34" t="n">
        <x:v>778</x:v>
      </x:c>
      <x:c r="J101" s="33" t="n">
        <x:v>21.56329048843188</x:v>
      </x:c>
      <x:c r="K101" t="str">
        <x:v>Seeded historic marketing actual</x:v>
      </x:c>
    </x:row>
    <x:row r="102">
      <x:c r="A102" s="32" t="n">
        <x:v>45831</x:v>
      </x:c>
      <x:c r="B102" s="32" t="n">
        <x:v>45809</x:v>
      </x:c>
      <x:c r="C102" t="str">
        <x:v>Jun 2025</x:v>
      </x:c>
      <x:c r="D102" t="str">
        <x:v>Actual</x:v>
      </x:c>
      <x:c r="E102" t="str">
        <x:v>Amazon Marketplace</x:v>
      </x:c>
      <x:c r="F102" s="34" t="n">
        <x:v>10754</x:v>
      </x:c>
      <x:c r="G102" s="33" t="n">
        <x:v>0.92</x:v>
      </x:c>
      <x:c r="H102" s="38" t="n">
        <x:v>9.89368</x:v>
      </x:c>
      <x:c r="I102" s="34" t="n">
        <x:v>459</x:v>
      </x:c>
      <x:c r="J102" s="33" t="n">
        <x:v>21.554858387799566</x:v>
      </x:c>
      <x:c r="K102" t="str">
        <x:v>Seeded historic marketing actual</x:v>
      </x:c>
    </x:row>
    <x:row r="103">
      <x:c r="A103" s="32" t="n">
        <x:v>45831</x:v>
      </x:c>
      <x:c r="B103" s="32" t="n">
        <x:v>45809</x:v>
      </x:c>
      <x:c r="C103" t="str">
        <x:v>Jun 2025</x:v>
      </x:c>
      <x:c r="D103" t="str">
        <x:v>Actual</x:v>
      </x:c>
      <x:c r="E103" t="str">
        <x:v>Wholesale</x:v>
      </x:c>
      <x:c r="F103" s="34" t="n">
        <x:v>6452</x:v>
      </x:c>
      <x:c r="G103" s="33" t="n">
        <x:v>0.2</x:v>
      </x:c>
      <x:c r="H103" s="38" t="n">
        <x:v>1.2904</x:v>
      </x:c>
      <x:c r="I103" s="34" t="n">
        <x:v>129</x:v>
      </x:c>
      <x:c r="J103" s="33" t="n">
        <x:v>10.003100775193799</x:v>
      </x:c>
      <x:c r="K103" t="str">
        <x:v>Seeded historic marketing actual</x:v>
      </x:c>
    </x:row>
    <x:row r="104">
      <x:c r="A104" s="32" t="n">
        <x:v>45831</x:v>
      </x:c>
      <x:c r="B104" s="32" t="n">
        <x:v>45809</x:v>
      </x:c>
      <x:c r="C104" t="str">
        <x:v>Jun 2025</x:v>
      </x:c>
      <x:c r="D104" t="str">
        <x:v>Actual</x:v>
      </x:c>
      <x:c r="E104" t="str">
        <x:v>TikTok Shop</x:v>
      </x:c>
      <x:c r="F104" s="34" t="n">
        <x:v>4302</x:v>
      </x:c>
      <x:c r="G104" s="33" t="n">
        <x:v>0.62</x:v>
      </x:c>
      <x:c r="H104" s="38" t="n">
        <x:v>2.6672399999999996</x:v>
      </x:c>
      <x:c r="I104" s="34" t="n">
        <x:v>197</x:v>
      </x:c>
      <x:c r="J104" s="33" t="n">
        <x:v>13.539289340101522</x:v>
      </x:c>
      <x:c r="K104" t="str">
        <x:v>Seeded historic marketing actual</x:v>
      </x:c>
    </x:row>
    <x:row r="105">
      <x:c r="A105" s="32" t="n">
        <x:v>45838</x:v>
      </x:c>
      <x:c r="B105" s="32" t="n">
        <x:v>45809</x:v>
      </x:c>
      <x:c r="C105" t="str">
        <x:v>Jun 2025</x:v>
      </x:c>
      <x:c r="D105" t="str">
        <x:v>Actual</x:v>
      </x:c>
      <x:c r="E105" t="str">
        <x:v>Shopify DTC</x:v>
      </x:c>
      <x:c r="F105" s="34" t="n">
        <x:v>21589</x:v>
      </x:c>
      <x:c r="G105" s="33" t="n">
        <x:v>0.78</x:v>
      </x:c>
      <x:c r="H105" s="38" t="n">
        <x:v>16.83942</x:v>
      </x:c>
      <x:c r="I105" s="34" t="n">
        <x:v>782</x:v>
      </x:c>
      <x:c r="J105" s="33" t="n">
        <x:v>21.533785166240413</x:v>
      </x:c>
      <x:c r="K105" t="str">
        <x:v>Seeded historic marketing actual</x:v>
      </x:c>
    </x:row>
    <x:row r="106">
      <x:c r="A106" s="32" t="n">
        <x:v>45838</x:v>
      </x:c>
      <x:c r="B106" s="32" t="n">
        <x:v>45809</x:v>
      </x:c>
      <x:c r="C106" t="str">
        <x:v>Jun 2025</x:v>
      </x:c>
      <x:c r="D106" t="str">
        <x:v>Actual</x:v>
      </x:c>
      <x:c r="E106" t="str">
        <x:v>Amazon Marketplace</x:v>
      </x:c>
      <x:c r="F106" s="34" t="n">
        <x:v>10796</x:v>
      </x:c>
      <x:c r="G106" s="33" t="n">
        <x:v>0.92</x:v>
      </x:c>
      <x:c r="H106" s="38" t="n">
        <x:v>9.932319999999999</x:v>
      </x:c>
      <x:c r="I106" s="34" t="n">
        <x:v>461</x:v>
      </x:c>
      <x:c r="J106" s="33" t="n">
        <x:v>21.545162689804773</x:v>
      </x:c>
      <x:c r="K106" t="str">
        <x:v>Seeded historic marketing actual</x:v>
      </x:c>
    </x:row>
    <x:row r="107">
      <x:c r="A107" s="32" t="n">
        <x:v>45838</x:v>
      </x:c>
      <x:c r="B107" s="32" t="n">
        <x:v>45809</x:v>
      </x:c>
      <x:c r="C107" t="str">
        <x:v>Jun 2025</x:v>
      </x:c>
      <x:c r="D107" t="str">
        <x:v>Actual</x:v>
      </x:c>
      <x:c r="E107" t="str">
        <x:v>Wholesale</x:v>
      </x:c>
      <x:c r="F107" s="34" t="n">
        <x:v>6478</x:v>
      </x:c>
      <x:c r="G107" s="33" t="n">
        <x:v>0.2</x:v>
      </x:c>
      <x:c r="H107" s="38" t="n">
        <x:v>1.2956</x:v>
      </x:c>
      <x:c r="I107" s="34" t="n">
        <x:v>129</x:v>
      </x:c>
      <x:c r="J107" s="33" t="n">
        <x:v>10.04341085271318</x:v>
      </x:c>
      <x:c r="K107" t="str">
        <x:v>Seeded historic marketing actual</x:v>
      </x:c>
    </x:row>
    <x:row r="108">
      <x:c r="A108" s="32" t="n">
        <x:v>45838</x:v>
      </x:c>
      <x:c r="B108" s="32" t="n">
        <x:v>45809</x:v>
      </x:c>
      <x:c r="C108" t="str">
        <x:v>Jun 2025</x:v>
      </x:c>
      <x:c r="D108" t="str">
        <x:v>Actual</x:v>
      </x:c>
      <x:c r="E108" t="str">
        <x:v>TikTok Shop</x:v>
      </x:c>
      <x:c r="F108" s="34" t="n">
        <x:v>4317</x:v>
      </x:c>
      <x:c r="G108" s="33" t="n">
        <x:v>0.62</x:v>
      </x:c>
      <x:c r="H108" s="38" t="n">
        <x:v>2.67654</x:v>
      </x:c>
      <x:c r="I108" s="34" t="n">
        <x:v>197</x:v>
      </x:c>
      <x:c r="J108" s="33" t="n">
        <x:v>13.586497461928934</x:v>
      </x:c>
      <x:c r="K108" t="str">
        <x:v>Seeded historic marketing actual</x:v>
      </x:c>
    </x:row>
    <x:row r="109">
      <x:c r="A109" s="32" t="n">
        <x:v>45845</x:v>
      </x:c>
      <x:c r="B109" s="32" t="n">
        <x:v>45839</x:v>
      </x:c>
      <x:c r="C109" t="str">
        <x:v>Jul 2025</x:v>
      </x:c>
      <x:c r="D109" t="str">
        <x:v>Actual</x:v>
      </x:c>
      <x:c r="E109" t="str">
        <x:v>Shopify DTC</x:v>
      </x:c>
      <x:c r="F109" s="34" t="n">
        <x:v>21679</x:v>
      </x:c>
      <x:c r="G109" s="33" t="n">
        <x:v>0.78</x:v>
      </x:c>
      <x:c r="H109" s="38" t="n">
        <x:v>16.90962</x:v>
      </x:c>
      <x:c r="I109" s="34" t="n">
        <x:v>785</x:v>
      </x:c>
      <x:c r="J109" s="33" t="n">
        <x:v>21.540917197452227</x:v>
      </x:c>
      <x:c r="K109" t="str">
        <x:v>Seeded historic marketing actual</x:v>
      </x:c>
    </x:row>
    <x:row r="110">
      <x:c r="A110" s="32" t="n">
        <x:v>45845</x:v>
      </x:c>
      <x:c r="B110" s="32" t="n">
        <x:v>45839</x:v>
      </x:c>
      <x:c r="C110" t="str">
        <x:v>Jul 2025</x:v>
      </x:c>
      <x:c r="D110" t="str">
        <x:v>Actual</x:v>
      </x:c>
      <x:c r="E110" t="str">
        <x:v>Amazon Marketplace</x:v>
      </x:c>
      <x:c r="F110" s="34" t="n">
        <x:v>10839</x:v>
      </x:c>
      <x:c r="G110" s="33" t="n">
        <x:v>0.92</x:v>
      </x:c>
      <x:c r="H110" s="38" t="n">
        <x:v>9.97188</x:v>
      </x:c>
      <x:c r="I110" s="34" t="n">
        <x:v>463</x:v>
      </x:c>
      <x:c r="J110" s="33" t="n">
        <x:v>21.537537796976245</x:v>
      </x:c>
      <x:c r="K110" t="str">
        <x:v>Seeded historic marketing actual</x:v>
      </x:c>
    </x:row>
    <x:row r="111">
      <x:c r="A111" s="32" t="n">
        <x:v>45845</x:v>
      </x:c>
      <x:c r="B111" s="32" t="n">
        <x:v>45839</x:v>
      </x:c>
      <x:c r="C111" t="str">
        <x:v>Jul 2025</x:v>
      </x:c>
      <x:c r="D111" t="str">
        <x:v>Actual</x:v>
      </x:c>
      <x:c r="E111" t="str">
        <x:v>Wholesale</x:v>
      </x:c>
      <x:c r="F111" s="34" t="n">
        <x:v>6505</x:v>
      </x:c>
      <x:c r="G111" s="33" t="n">
        <x:v>0.2</x:v>
      </x:c>
      <x:c r="H111" s="38" t="n">
        <x:v>1.301</x:v>
      </x:c>
      <x:c r="I111" s="34" t="n">
        <x:v>130</x:v>
      </x:c>
      <x:c r="J111" s="33" t="n">
        <x:v>10.007692307692308</x:v>
      </x:c>
      <x:c r="K111" t="str">
        <x:v>Seeded historic marketing actual</x:v>
      </x:c>
    </x:row>
    <x:row r="112">
      <x:c r="A112" s="32" t="n">
        <x:v>45845</x:v>
      </x:c>
      <x:c r="B112" s="32" t="n">
        <x:v>45839</x:v>
      </x:c>
      <x:c r="C112" t="str">
        <x:v>Jul 2025</x:v>
      </x:c>
      <x:c r="D112" t="str">
        <x:v>Actual</x:v>
      </x:c>
      <x:c r="E112" t="str">
        <x:v>TikTok Shop</x:v>
      </x:c>
      <x:c r="F112" s="34" t="n">
        <x:v>4335</x:v>
      </x:c>
      <x:c r="G112" s="33" t="n">
        <x:v>0.62</x:v>
      </x:c>
      <x:c r="H112" s="38" t="n">
        <x:v>2.6877</x:v>
      </x:c>
      <x:c r="I112" s="34" t="n">
        <x:v>197</x:v>
      </x:c>
      <x:c r="J112" s="33" t="n">
        <x:v>13.643147208121826</x:v>
      </x:c>
      <x:c r="K112" t="str">
        <x:v>Seeded historic marketing actual</x:v>
      </x:c>
    </x:row>
    <x:row r="113">
      <x:c r="A113" s="32" t="n">
        <x:v>45852</x:v>
      </x:c>
      <x:c r="B113" s="32" t="n">
        <x:v>45839</x:v>
      </x:c>
      <x:c r="C113" t="str">
        <x:v>Jul 2025</x:v>
      </x:c>
      <x:c r="D113" t="str">
        <x:v>Actual</x:v>
      </x:c>
      <x:c r="E113" t="str">
        <x:v>Shopify DTC</x:v>
      </x:c>
      <x:c r="F113" s="34" t="n">
        <x:v>21760</x:v>
      </x:c>
      <x:c r="G113" s="33" t="n">
        <x:v>0.78</x:v>
      </x:c>
      <x:c r="H113" s="38" t="n">
        <x:v>16.9728</x:v>
      </x:c>
      <x:c r="I113" s="34" t="n">
        <x:v>789</x:v>
      </x:c>
      <x:c r="J113" s="33" t="n">
        <x:v>21.511787072243344</x:v>
      </x:c>
      <x:c r="K113" t="str">
        <x:v>Seeded historic marketing actual</x:v>
      </x:c>
    </x:row>
    <x:row r="114">
      <x:c r="A114" s="32" t="n">
        <x:v>45852</x:v>
      </x:c>
      <x:c r="B114" s="32" t="n">
        <x:v>45839</x:v>
      </x:c>
      <x:c r="C114" t="str">
        <x:v>Jul 2025</x:v>
      </x:c>
      <x:c r="D114" t="str">
        <x:v>Actual</x:v>
      </x:c>
      <x:c r="E114" t="str">
        <x:v>Amazon Marketplace</x:v>
      </x:c>
      <x:c r="F114" s="34" t="n">
        <x:v>10879</x:v>
      </x:c>
      <x:c r="G114" s="33" t="n">
        <x:v>0.92</x:v>
      </x:c>
      <x:c r="H114" s="38" t="n">
        <x:v>10.00868</x:v>
      </x:c>
      <x:c r="I114" s="34" t="n">
        <x:v>465</x:v>
      </x:c>
      <x:c r="J114" s="33" t="n">
        <x:v>21.52404301075269</x:v>
      </x:c>
      <x:c r="K114" t="str">
        <x:v>Seeded historic marketing actual</x:v>
      </x:c>
    </x:row>
    <x:row r="115">
      <x:c r="A115" s="32" t="n">
        <x:v>45852</x:v>
      </x:c>
      <x:c r="B115" s="32" t="n">
        <x:v>45839</x:v>
      </x:c>
      <x:c r="C115" t="str">
        <x:v>Jul 2025</x:v>
      </x:c>
      <x:c r="D115" t="str">
        <x:v>Actual</x:v>
      </x:c>
      <x:c r="E115" t="str">
        <x:v>Wholesale</x:v>
      </x:c>
      <x:c r="F115" s="34" t="n">
        <x:v>6528</x:v>
      </x:c>
      <x:c r="G115" s="33" t="n">
        <x:v>0.2</x:v>
      </x:c>
      <x:c r="H115" s="38" t="n">
        <x:v>1.3056</x:v>
      </x:c>
      <x:c r="I115" s="34" t="n">
        <x:v>130</x:v>
      </x:c>
      <x:c r="J115" s="33" t="n">
        <x:v>10.043076923076924</x:v>
      </x:c>
      <x:c r="K115" t="str">
        <x:v>Seeded historic marketing actual</x:v>
      </x:c>
    </x:row>
    <x:row r="116">
      <x:c r="A116" s="32" t="n">
        <x:v>45852</x:v>
      </x:c>
      <x:c r="B116" s="32" t="n">
        <x:v>45839</x:v>
      </x:c>
      <x:c r="C116" t="str">
        <x:v>Jul 2025</x:v>
      </x:c>
      <x:c r="D116" t="str">
        <x:v>Actual</x:v>
      </x:c>
      <x:c r="E116" t="str">
        <x:v>TikTok Shop</x:v>
      </x:c>
      <x:c r="F116" s="34" t="n">
        <x:v>4352</x:v>
      </x:c>
      <x:c r="G116" s="33" t="n">
        <x:v>0.62</x:v>
      </x:c>
      <x:c r="H116" s="38" t="n">
        <x:v>2.6982399999999997</x:v>
      </x:c>
      <x:c r="I116" s="34" t="n">
        <x:v>197</x:v>
      </x:c>
      <x:c r="J116" s="33" t="n">
        <x:v>13.696649746192893</x:v>
      </x:c>
      <x:c r="K116" t="str">
        <x:v>Seeded historic marketing actual</x:v>
      </x:c>
    </x:row>
    <x:row r="117">
      <x:c r="A117" s="32" t="n">
        <x:v>45859</x:v>
      </x:c>
      <x:c r="B117" s="32" t="n">
        <x:v>45839</x:v>
      </x:c>
      <x:c r="C117" t="str">
        <x:v>Jul 2025</x:v>
      </x:c>
      <x:c r="D117" t="str">
        <x:v>Actual</x:v>
      </x:c>
      <x:c r="E117" t="str">
        <x:v>Shopify DTC</x:v>
      </x:c>
      <x:c r="F117" s="34" t="n">
        <x:v>21841</x:v>
      </x:c>
      <x:c r="G117" s="33" t="n">
        <x:v>0.78</x:v>
      </x:c>
      <x:c r="H117" s="38" t="n">
        <x:v>17.03598</x:v>
      </x:c>
      <x:c r="I117" s="34" t="n">
        <x:v>790</x:v>
      </x:c>
      <x:c r="J117" s="33" t="n">
        <x:v>21.56453164556962</x:v>
      </x:c>
      <x:c r="K117" t="str">
        <x:v>Seeded historic marketing actual</x:v>
      </x:c>
    </x:row>
    <x:row r="118">
      <x:c r="A118" s="32" t="n">
        <x:v>45859</x:v>
      </x:c>
      <x:c r="B118" s="32" t="n">
        <x:v>45839</x:v>
      </x:c>
      <x:c r="C118" t="str">
        <x:v>Jul 2025</x:v>
      </x:c>
      <x:c r="D118" t="str">
        <x:v>Actual</x:v>
      </x:c>
      <x:c r="E118" t="str">
        <x:v>Amazon Marketplace</x:v>
      </x:c>
      <x:c r="F118" s="34" t="n">
        <x:v>10921</x:v>
      </x:c>
      <x:c r="G118" s="33" t="n">
        <x:v>0.92</x:v>
      </x:c>
      <x:c r="H118" s="38" t="n">
        <x:v>10.04732</x:v>
      </x:c>
      <x:c r="I118" s="34" t="n">
        <x:v>466</x:v>
      </x:c>
      <x:c r="J118" s="33" t="n">
        <x:v>21.56077253218884</x:v>
      </x:c>
      <x:c r="K118" t="str">
        <x:v>Seeded historic marketing actual</x:v>
      </x:c>
    </x:row>
    <x:row r="119">
      <x:c r="A119" s="32" t="n">
        <x:v>45859</x:v>
      </x:c>
      <x:c r="B119" s="32" t="n">
        <x:v>45839</x:v>
      </x:c>
      <x:c r="C119" t="str">
        <x:v>Jul 2025</x:v>
      </x:c>
      <x:c r="D119" t="str">
        <x:v>Actual</x:v>
      </x:c>
      <x:c r="E119" t="str">
        <x:v>Wholesale</x:v>
      </x:c>
      <x:c r="F119" s="34" t="n">
        <x:v>6553</x:v>
      </x:c>
      <x:c r="G119" s="33" t="n">
        <x:v>0.2</x:v>
      </x:c>
      <x:c r="H119" s="38" t="n">
        <x:v>1.3106000000000002</x:v>
      </x:c>
      <x:c r="I119" s="34" t="n">
        <x:v>130</x:v>
      </x:c>
      <x:c r="J119" s="33" t="n">
        <x:v>10.081538461538463</x:v>
      </x:c>
      <x:c r="K119" t="str">
        <x:v>Seeded historic marketing actual</x:v>
      </x:c>
    </x:row>
    <x:row r="120">
      <x:c r="A120" s="32" t="n">
        <x:v>45859</x:v>
      </x:c>
      <x:c r="B120" s="32" t="n">
        <x:v>45839</x:v>
      </x:c>
      <x:c r="C120" t="str">
        <x:v>Jul 2025</x:v>
      </x:c>
      <x:c r="D120" t="str">
        <x:v>Actual</x:v>
      </x:c>
      <x:c r="E120" t="str">
        <x:v>TikTok Shop</x:v>
      </x:c>
      <x:c r="F120" s="34" t="n">
        <x:v>4368</x:v>
      </x:c>
      <x:c r="G120" s="33" t="n">
        <x:v>0.62</x:v>
      </x:c>
      <x:c r="H120" s="38" t="n">
        <x:v>2.70816</x:v>
      </x:c>
      <x:c r="I120" s="34" t="n">
        <x:v>199</x:v>
      </x:c>
      <x:c r="J120" s="33" t="n">
        <x:v>13.608844221105526</x:v>
      </x:c>
      <x:c r="K120" t="str">
        <x:v>Seeded historic marketing actual</x:v>
      </x:c>
    </x:row>
    <x:row r="121">
      <x:c r="A121" s="32" t="n">
        <x:v>45866</x:v>
      </x:c>
      <x:c r="B121" s="32" t="n">
        <x:v>45839</x:v>
      </x:c>
      <x:c r="C121" t="str">
        <x:v>Jul 2025</x:v>
      </x:c>
      <x:c r="D121" t="str">
        <x:v>Actual</x:v>
      </x:c>
      <x:c r="E121" t="str">
        <x:v>Shopify DTC</x:v>
      </x:c>
      <x:c r="F121" s="34" t="n">
        <x:v>21924</x:v>
      </x:c>
      <x:c r="G121" s="33" t="n">
        <x:v>0.78</x:v>
      </x:c>
      <x:c r="H121" s="38" t="n">
        <x:v>17.100720000000003</x:v>
      </x:c>
      <x:c r="I121" s="34" t="n">
        <x:v>795</x:v>
      </x:c>
      <x:c r="J121" s="33" t="n">
        <x:v>21.51033962264151</x:v>
      </x:c>
      <x:c r="K121" t="str">
        <x:v>Seeded historic marketing actual</x:v>
      </x:c>
    </x:row>
    <x:row r="122">
      <x:c r="A122" s="32" t="n">
        <x:v>45866</x:v>
      </x:c>
      <x:c r="B122" s="32" t="n">
        <x:v>45839</x:v>
      </x:c>
      <x:c r="C122" t="str">
        <x:v>Jul 2025</x:v>
      </x:c>
      <x:c r="D122" t="str">
        <x:v>Actual</x:v>
      </x:c>
      <x:c r="E122" t="str">
        <x:v>Amazon Marketplace</x:v>
      </x:c>
      <x:c r="F122" s="34" t="n">
        <x:v>10962</x:v>
      </x:c>
      <x:c r="G122" s="33" t="n">
        <x:v>0.92</x:v>
      </x:c>
      <x:c r="H122" s="38" t="n">
        <x:v>10.085040000000001</x:v>
      </x:c>
      <x:c r="I122" s="34" t="n">
        <x:v>468</x:v>
      </x:c>
      <x:c r="J122" s="33" t="n">
        <x:v>21.54923076923077</x:v>
      </x:c>
      <x:c r="K122" t="str">
        <x:v>Seeded historic marketing actual</x:v>
      </x:c>
    </x:row>
    <x:row r="123">
      <x:c r="A123" s="32" t="n">
        <x:v>45866</x:v>
      </x:c>
      <x:c r="B123" s="32" t="n">
        <x:v>45839</x:v>
      </x:c>
      <x:c r="C123" t="str">
        <x:v>Jul 2025</x:v>
      </x:c>
      <x:c r="D123" t="str">
        <x:v>Actual</x:v>
      </x:c>
      <x:c r="E123" t="str">
        <x:v>Wholesale</x:v>
      </x:c>
      <x:c r="F123" s="34" t="n">
        <x:v>6577</x:v>
      </x:c>
      <x:c r="G123" s="33" t="n">
        <x:v>0.2</x:v>
      </x:c>
      <x:c r="H123" s="38" t="n">
        <x:v>1.3154000000000001</x:v>
      </x:c>
      <x:c r="I123" s="34" t="n">
        <x:v>131</x:v>
      </x:c>
      <x:c r="J123" s="33" t="n">
        <x:v>10.041221374045803</x:v>
      </x:c>
      <x:c r="K123" t="str">
        <x:v>Seeded historic marketing actual</x:v>
      </x:c>
    </x:row>
    <x:row r="124">
      <x:c r="A124" s="32" t="n">
        <x:v>45866</x:v>
      </x:c>
      <x:c r="B124" s="32" t="n">
        <x:v>45839</x:v>
      </x:c>
      <x:c r="C124" t="str">
        <x:v>Jul 2025</x:v>
      </x:c>
      <x:c r="D124" t="str">
        <x:v>Actual</x:v>
      </x:c>
      <x:c r="E124" t="str">
        <x:v>TikTok Shop</x:v>
      </x:c>
      <x:c r="F124" s="34" t="n">
        <x:v>4385</x:v>
      </x:c>
      <x:c r="G124" s="33" t="n">
        <x:v>0.62</x:v>
      </x:c>
      <x:c r="H124" s="38" t="n">
        <x:v>2.7186999999999997</x:v>
      </x:c>
      <x:c r="I124" s="34" t="n">
        <x:v>200</x:v>
      </x:c>
      <x:c r="J124" s="33" t="n">
        <x:v>13.593499999999999</x:v>
      </x:c>
      <x:c r="K124" t="str">
        <x:v>Seeded historic marketing actual</x:v>
      </x:c>
    </x:row>
    <x:row r="125">
      <x:c r="A125" s="32" t="n">
        <x:v>45873</x:v>
      </x:c>
      <x:c r="B125" s="32" t="n">
        <x:v>45870</x:v>
      </x:c>
      <x:c r="C125" t="str">
        <x:v>Aug 2025</x:v>
      </x:c>
      <x:c r="D125" t="str">
        <x:v>Actual</x:v>
      </x:c>
      <x:c r="E125" t="str">
        <x:v>Shopify DTC</x:v>
      </x:c>
      <x:c r="F125" s="34" t="n">
        <x:v>21443</x:v>
      </x:c>
      <x:c r="G125" s="33" t="n">
        <x:v>0.78</x:v>
      </x:c>
      <x:c r="H125" s="38" t="n">
        <x:v>16.725540000000002</x:v>
      </x:c>
      <x:c r="I125" s="34" t="n">
        <x:v>778</x:v>
      </x:c>
      <x:c r="J125" s="33" t="n">
        <x:v>21.498123393316195</x:v>
      </x:c>
      <x:c r="K125" t="str">
        <x:v>Seeded historic marketing actual</x:v>
      </x:c>
    </x:row>
    <x:row r="126">
      <x:c r="A126" s="32" t="n">
        <x:v>45873</x:v>
      </x:c>
      <x:c r="B126" s="32" t="n">
        <x:v>45870</x:v>
      </x:c>
      <x:c r="C126" t="str">
        <x:v>Aug 2025</x:v>
      </x:c>
      <x:c r="D126" t="str">
        <x:v>Actual</x:v>
      </x:c>
      <x:c r="E126" t="str">
        <x:v>Amazon Marketplace</x:v>
      </x:c>
      <x:c r="F126" s="34" t="n">
        <x:v>10722</x:v>
      </x:c>
      <x:c r="G126" s="33" t="n">
        <x:v>0.92</x:v>
      </x:c>
      <x:c r="H126" s="38" t="n">
        <x:v>9.86424</x:v>
      </x:c>
      <x:c r="I126" s="34" t="n">
        <x:v>459</x:v>
      </x:c>
      <x:c r="J126" s="33" t="n">
        <x:v>21.490718954248365</x:v>
      </x:c>
      <x:c r="K126" t="str">
        <x:v>Seeded historic marketing actual</x:v>
      </x:c>
    </x:row>
    <x:row r="127">
      <x:c r="A127" s="32" t="n">
        <x:v>45873</x:v>
      </x:c>
      <x:c r="B127" s="32" t="n">
        <x:v>45870</x:v>
      </x:c>
      <x:c r="C127" t="str">
        <x:v>Aug 2025</x:v>
      </x:c>
      <x:c r="D127" t="str">
        <x:v>Actual</x:v>
      </x:c>
      <x:c r="E127" t="str">
        <x:v>Wholesale</x:v>
      </x:c>
      <x:c r="F127" s="34" t="n">
        <x:v>6434</x:v>
      </x:c>
      <x:c r="G127" s="33" t="n">
        <x:v>0.2</x:v>
      </x:c>
      <x:c r="H127" s="38" t="n">
        <x:v>1.2868000000000002</x:v>
      </x:c>
      <x:c r="I127" s="34" t="n">
        <x:v>128</x:v>
      </x:c>
      <x:c r="J127" s="33" t="n">
        <x:v>10.053125000000001</x:v>
      </x:c>
      <x:c r="K127" t="str">
        <x:v>Seeded historic marketing actual</x:v>
      </x:c>
    </x:row>
    <x:row r="128">
      <x:c r="A128" s="32" t="n">
        <x:v>45873</x:v>
      </x:c>
      <x:c r="B128" s="32" t="n">
        <x:v>45870</x:v>
      </x:c>
      <x:c r="C128" t="str">
        <x:v>Aug 2025</x:v>
      </x:c>
      <x:c r="D128" t="str">
        <x:v>Actual</x:v>
      </x:c>
      <x:c r="E128" t="str">
        <x:v>TikTok Shop</x:v>
      </x:c>
      <x:c r="F128" s="34" t="n">
        <x:v>4289</x:v>
      </x:c>
      <x:c r="G128" s="33" t="n">
        <x:v>0.62</x:v>
      </x:c>
      <x:c r="H128" s="38" t="n">
        <x:v>2.6591799999999997</x:v>
      </x:c>
      <x:c r="I128" s="34" t="n">
        <x:v>197</x:v>
      </x:c>
      <x:c r="J128" s="33" t="n">
        <x:v>13.498375634517766</x:v>
      </x:c>
      <x:c r="K128" t="str">
        <x:v>Seeded historic marketing actual</x:v>
      </x:c>
    </x:row>
    <x:row r="129">
      <x:c r="A129" s="32" t="n">
        <x:v>45880</x:v>
      </x:c>
      <x:c r="B129" s="32" t="n">
        <x:v>45870</x:v>
      </x:c>
      <x:c r="C129" t="str">
        <x:v>Aug 2025</x:v>
      </x:c>
      <x:c r="D129" t="str">
        <x:v>Actual</x:v>
      </x:c>
      <x:c r="E129" t="str">
        <x:v>Shopify DTC</x:v>
      </x:c>
      <x:c r="F129" s="34" t="n">
        <x:v>21523</x:v>
      </x:c>
      <x:c r="G129" s="33" t="n">
        <x:v>0.78</x:v>
      </x:c>
      <x:c r="H129" s="38" t="n">
        <x:v>16.787940000000003</x:v>
      </x:c>
      <x:c r="I129" s="34" t="n">
        <x:v>780</x:v>
      </x:c>
      <x:c r="J129" s="33" t="n">
        <x:v>21.523000000000003</x:v>
      </x:c>
      <x:c r="K129" t="str">
        <x:v>Seeded historic marketing actual</x:v>
      </x:c>
    </x:row>
    <x:row r="130">
      <x:c r="A130" s="32" t="n">
        <x:v>45880</x:v>
      </x:c>
      <x:c r="B130" s="32" t="n">
        <x:v>45870</x:v>
      </x:c>
      <x:c r="C130" t="str">
        <x:v>Aug 2025</x:v>
      </x:c>
      <x:c r="D130" t="str">
        <x:v>Actual</x:v>
      </x:c>
      <x:c r="E130" t="str">
        <x:v>Amazon Marketplace</x:v>
      </x:c>
      <x:c r="F130" s="34" t="n">
        <x:v>10762</x:v>
      </x:c>
      <x:c r="G130" s="33" t="n">
        <x:v>0.92</x:v>
      </x:c>
      <x:c r="H130" s="38" t="n">
        <x:v>9.90104</x:v>
      </x:c>
      <x:c r="I130" s="34" t="n">
        <x:v>460</x:v>
      </x:c>
      <x:c r="J130" s="33" t="n">
        <x:v>21.524</x:v>
      </x:c>
      <x:c r="K130" t="str">
        <x:v>Seeded historic marketing actual</x:v>
      </x:c>
    </x:row>
    <x:row r="131">
      <x:c r="A131" s="32" t="n">
        <x:v>45880</x:v>
      </x:c>
      <x:c r="B131" s="32" t="n">
        <x:v>45870</x:v>
      </x:c>
      <x:c r="C131" t="str">
        <x:v>Aug 2025</x:v>
      </x:c>
      <x:c r="D131" t="str">
        <x:v>Actual</x:v>
      </x:c>
      <x:c r="E131" t="str">
        <x:v>Wholesale</x:v>
      </x:c>
      <x:c r="F131" s="34" t="n">
        <x:v>6457</x:v>
      </x:c>
      <x:c r="G131" s="33" t="n">
        <x:v>0.2</x:v>
      </x:c>
      <x:c r="H131" s="38" t="n">
        <x:v>1.2914</x:v>
      </x:c>
      <x:c r="I131" s="34" t="n">
        <x:v>129</x:v>
      </x:c>
      <x:c r="J131" s="33" t="n">
        <x:v>10.010852713178295</x:v>
      </x:c>
      <x:c r="K131" t="str">
        <x:v>Seeded historic marketing actual</x:v>
      </x:c>
    </x:row>
    <x:row r="132">
      <x:c r="A132" s="32" t="n">
        <x:v>45880</x:v>
      </x:c>
      <x:c r="B132" s="32" t="n">
        <x:v>45870</x:v>
      </x:c>
      <x:c r="C132" t="str">
        <x:v>Aug 2025</x:v>
      </x:c>
      <x:c r="D132" t="str">
        <x:v>Actual</x:v>
      </x:c>
      <x:c r="E132" t="str">
        <x:v>TikTok Shop</x:v>
      </x:c>
      <x:c r="F132" s="34" t="n">
        <x:v>4305</x:v>
      </x:c>
      <x:c r="G132" s="33" t="n">
        <x:v>0.62</x:v>
      </x:c>
      <x:c r="H132" s="38" t="n">
        <x:v>2.6691</x:v>
      </x:c>
      <x:c r="I132" s="34" t="n">
        <x:v>197</x:v>
      </x:c>
      <x:c r="J132" s="33" t="n">
        <x:v>13.548730964467005</x:v>
      </x:c>
      <x:c r="K132" t="str">
        <x:v>Seeded historic marketing actual</x:v>
      </x:c>
    </x:row>
    <x:row r="133">
      <x:c r="A133" s="32" t="n">
        <x:v>45887</x:v>
      </x:c>
      <x:c r="B133" s="32" t="n">
        <x:v>45870</x:v>
      </x:c>
      <x:c r="C133" t="str">
        <x:v>Aug 2025</x:v>
      </x:c>
      <x:c r="D133" t="str">
        <x:v>Actual</x:v>
      </x:c>
      <x:c r="E133" t="str">
        <x:v>Shopify DTC</x:v>
      </x:c>
      <x:c r="F133" s="34" t="n">
        <x:v>21603</x:v>
      </x:c>
      <x:c r="G133" s="33" t="n">
        <x:v>0.78</x:v>
      </x:c>
      <x:c r="H133" s="38" t="n">
        <x:v>16.85034</x:v>
      </x:c>
      <x:c r="I133" s="34" t="n">
        <x:v>784</x:v>
      </x:c>
      <x:c r="J133" s="33" t="n">
        <x:v>21.4927806122449</x:v>
      </x:c>
      <x:c r="K133" t="str">
        <x:v>Seeded historic marketing actual</x:v>
      </x:c>
    </x:row>
    <x:row r="134">
      <x:c r="A134" s="32" t="n">
        <x:v>45887</x:v>
      </x:c>
      <x:c r="B134" s="32" t="n">
        <x:v>45870</x:v>
      </x:c>
      <x:c r="C134" t="str">
        <x:v>Aug 2025</x:v>
      </x:c>
      <x:c r="D134" t="str">
        <x:v>Actual</x:v>
      </x:c>
      <x:c r="E134" t="str">
        <x:v>Amazon Marketplace</x:v>
      </x:c>
      <x:c r="F134" s="34" t="n">
        <x:v>10801</x:v>
      </x:c>
      <x:c r="G134" s="33" t="n">
        <x:v>0.92</x:v>
      </x:c>
      <x:c r="H134" s="38" t="n">
        <x:v>9.93692</x:v>
      </x:c>
      <x:c r="I134" s="34" t="n">
        <x:v>463</x:v>
      </x:c>
      <x:c r="J134" s="33" t="n">
        <x:v>21.462030237580993</x:v>
      </x:c>
      <x:c r="K134" t="str">
        <x:v>Seeded historic marketing actual</x:v>
      </x:c>
    </x:row>
    <x:row r="135">
      <x:c r="A135" s="32" t="n">
        <x:v>45887</x:v>
      </x:c>
      <x:c r="B135" s="32" t="n">
        <x:v>45870</x:v>
      </x:c>
      <x:c r="C135" t="str">
        <x:v>Aug 2025</x:v>
      </x:c>
      <x:c r="D135" t="str">
        <x:v>Actual</x:v>
      </x:c>
      <x:c r="E135" t="str">
        <x:v>Wholesale</x:v>
      </x:c>
      <x:c r="F135" s="34" t="n">
        <x:v>6481</x:v>
      </x:c>
      <x:c r="G135" s="33" t="n">
        <x:v>0.2</x:v>
      </x:c>
      <x:c r="H135" s="38" t="n">
        <x:v>1.2962</x:v>
      </x:c>
      <x:c r="I135" s="34" t="n">
        <x:v>131</x:v>
      </x:c>
      <x:c r="J135" s="33" t="n">
        <x:v>9.894656488549618</x:v>
      </x:c>
      <x:c r="K135" t="str">
        <x:v>Seeded historic marketing actual</x:v>
      </x:c>
    </x:row>
    <x:row r="136">
      <x:c r="A136" s="32" t="n">
        <x:v>45887</x:v>
      </x:c>
      <x:c r="B136" s="32" t="n">
        <x:v>45870</x:v>
      </x:c>
      <x:c r="C136" t="str">
        <x:v>Aug 2025</x:v>
      </x:c>
      <x:c r="D136" t="str">
        <x:v>Actual</x:v>
      </x:c>
      <x:c r="E136" t="str">
        <x:v>TikTok Shop</x:v>
      </x:c>
      <x:c r="F136" s="34" t="n">
        <x:v>4320</x:v>
      </x:c>
      <x:c r="G136" s="33" t="n">
        <x:v>0.62</x:v>
      </x:c>
      <x:c r="H136" s="38" t="n">
        <x:v>2.6784</x:v>
      </x:c>
      <x:c r="I136" s="34" t="n">
        <x:v>197</x:v>
      </x:c>
      <x:c r="J136" s="33" t="n">
        <x:v>13.595939086294416</x:v>
      </x:c>
      <x:c r="K136" t="str">
        <x:v>Seeded historic marketing actual</x:v>
      </x:c>
    </x:row>
    <x:row r="137">
      <x:c r="A137" s="32" t="n">
        <x:v>45894</x:v>
      </x:c>
      <x:c r="B137" s="32" t="n">
        <x:v>45870</x:v>
      </x:c>
      <x:c r="C137" t="str">
        <x:v>Aug 2025</x:v>
      </x:c>
      <x:c r="D137" t="str">
        <x:v>Actual</x:v>
      </x:c>
      <x:c r="E137" t="str">
        <x:v>Shopify DTC</x:v>
      </x:c>
      <x:c r="F137" s="34" t="n">
        <x:v>21683</x:v>
      </x:c>
      <x:c r="G137" s="33" t="n">
        <x:v>0.78</x:v>
      </x:c>
      <x:c r="H137" s="38" t="n">
        <x:v>16.912740000000003</x:v>
      </x:c>
      <x:c r="I137" s="34" t="n">
        <x:v>786</x:v>
      </x:c>
      <x:c r="J137" s="33" t="n">
        <x:v>21.517480916030536</x:v>
      </x:c>
      <x:c r="K137" t="str">
        <x:v>Seeded historic marketing actual</x:v>
      </x:c>
    </x:row>
    <x:row r="138">
      <x:c r="A138" s="32" t="n">
        <x:v>45894</x:v>
      </x:c>
      <x:c r="B138" s="32" t="n">
        <x:v>45870</x:v>
      </x:c>
      <x:c r="C138" t="str">
        <x:v>Aug 2025</x:v>
      </x:c>
      <x:c r="D138" t="str">
        <x:v>Actual</x:v>
      </x:c>
      <x:c r="E138" t="str">
        <x:v>Amazon Marketplace</x:v>
      </x:c>
      <x:c r="F138" s="34" t="n">
        <x:v>10842</x:v>
      </x:c>
      <x:c r="G138" s="33" t="n">
        <x:v>0.92</x:v>
      </x:c>
      <x:c r="H138" s="38" t="n">
        <x:v>9.97464</x:v>
      </x:c>
      <x:c r="I138" s="34" t="n">
        <x:v>465</x:v>
      </x:c>
      <x:c r="J138" s="33" t="n">
        <x:v>21.450838709677424</x:v>
      </x:c>
      <x:c r="K138" t="str">
        <x:v>Seeded historic marketing actual</x:v>
      </x:c>
    </x:row>
    <x:row r="139">
      <x:c r="A139" s="32" t="n">
        <x:v>45894</x:v>
      </x:c>
      <x:c r="B139" s="32" t="n">
        <x:v>45870</x:v>
      </x:c>
      <x:c r="C139" t="str">
        <x:v>Aug 2025</x:v>
      </x:c>
      <x:c r="D139" t="str">
        <x:v>Actual</x:v>
      </x:c>
      <x:c r="E139" t="str">
        <x:v>Wholesale</x:v>
      </x:c>
      <x:c r="F139" s="34" t="n">
        <x:v>6506</x:v>
      </x:c>
      <x:c r="G139" s="33" t="n">
        <x:v>0.2</x:v>
      </x:c>
      <x:c r="H139" s="38" t="n">
        <x:v>1.3012000000000001</x:v>
      </x:c>
      <x:c r="I139" s="34" t="n">
        <x:v>131</x:v>
      </x:c>
      <x:c r="J139" s="33" t="n">
        <x:v>9.932824427480917</x:v>
      </x:c>
      <x:c r="K139" t="str">
        <x:v>Seeded historic marketing actual</x:v>
      </x:c>
    </x:row>
    <x:row r="140">
      <x:c r="A140" s="32" t="n">
        <x:v>45894</x:v>
      </x:c>
      <x:c r="B140" s="32" t="n">
        <x:v>45870</x:v>
      </x:c>
      <x:c r="C140" t="str">
        <x:v>Aug 2025</x:v>
      </x:c>
      <x:c r="D140" t="str">
        <x:v>Actual</x:v>
      </x:c>
      <x:c r="E140" t="str">
        <x:v>TikTok Shop</x:v>
      </x:c>
      <x:c r="F140" s="34" t="n">
        <x:v>4336</x:v>
      </x:c>
      <x:c r="G140" s="33" t="n">
        <x:v>0.62</x:v>
      </x:c>
      <x:c r="H140" s="38" t="n">
        <x:v>2.68832</x:v>
      </x:c>
      <x:c r="I140" s="34" t="n">
        <x:v>197</x:v>
      </x:c>
      <x:c r="J140" s="33" t="n">
        <x:v>13.646294416243656</x:v>
      </x:c>
      <x:c r="K140" t="str">
        <x:v>Seeded historic marketing actual</x:v>
      </x:c>
    </x:row>
    <x:row r="141">
      <x:c r="A141" s="32" t="n">
        <x:v>45901</x:v>
      </x:c>
      <x:c r="B141" s="32" t="n">
        <x:v>45901</x:v>
      </x:c>
      <x:c r="C141" t="str">
        <x:v>Sep 2025</x:v>
      </x:c>
      <x:c r="D141" t="str">
        <x:v>Actual</x:v>
      </x:c>
      <x:c r="E141" t="str">
        <x:v>Shopify DTC</x:v>
      </x:c>
      <x:c r="F141" s="34" t="n">
        <x:v>21494</x:v>
      </x:c>
      <x:c r="G141" s="33" t="n">
        <x:v>0.78</x:v>
      </x:c>
      <x:c r="H141" s="38" t="n">
        <x:v>16.76532</x:v>
      </x:c>
      <x:c r="I141" s="34" t="n">
        <x:v>779</x:v>
      </x:c>
      <x:c r="J141" s="33" t="n">
        <x:v>21.521591784338895</x:v>
      </x:c>
      <x:c r="K141" t="str">
        <x:v>Seeded historic marketing actual</x:v>
      </x:c>
    </x:row>
    <x:row r="142">
      <x:c r="A142" s="32" t="n">
        <x:v>45901</x:v>
      </x:c>
      <x:c r="B142" s="32" t="n">
        <x:v>45901</x:v>
      </x:c>
      <x:c r="C142" t="str">
        <x:v>Sep 2025</x:v>
      </x:c>
      <x:c r="D142" t="str">
        <x:v>Actual</x:v>
      </x:c>
      <x:c r="E142" t="str">
        <x:v>Amazon Marketplace</x:v>
      </x:c>
      <x:c r="F142" s="34" t="n">
        <x:v>10747</x:v>
      </x:c>
      <x:c r="G142" s="33" t="n">
        <x:v>0.92</x:v>
      </x:c>
      <x:c r="H142" s="38" t="n">
        <x:v>9.88724</x:v>
      </x:c>
      <x:c r="I142" s="34" t="n">
        <x:v>460</x:v>
      </x:c>
      <x:c r="J142" s="33" t="n">
        <x:v>21.494</x:v>
      </x:c>
      <x:c r="K142" t="str">
        <x:v>Seeded historic marketing actual</x:v>
      </x:c>
    </x:row>
    <x:row r="143">
      <x:c r="A143" s="32" t="n">
        <x:v>45901</x:v>
      </x:c>
      <x:c r="B143" s="32" t="n">
        <x:v>45901</x:v>
      </x:c>
      <x:c r="C143" t="str">
        <x:v>Sep 2025</x:v>
      </x:c>
      <x:c r="D143" t="str">
        <x:v>Actual</x:v>
      </x:c>
      <x:c r="E143" t="str">
        <x:v>Wholesale</x:v>
      </x:c>
      <x:c r="F143" s="34" t="n">
        <x:v>6449</x:v>
      </x:c>
      <x:c r="G143" s="33" t="n">
        <x:v>0.2</x:v>
      </x:c>
      <x:c r="H143" s="38" t="n">
        <x:v>1.2898000000000003</x:v>
      </x:c>
      <x:c r="I143" s="34" t="n">
        <x:v>129</x:v>
      </x:c>
      <x:c r="J143" s="33" t="n">
        <x:v>9.998449612403101</x:v>
      </x:c>
      <x:c r="K143" t="str">
        <x:v>Seeded historic marketing actual</x:v>
      </x:c>
    </x:row>
    <x:row r="144">
      <x:c r="A144" s="32" t="n">
        <x:v>45901</x:v>
      </x:c>
      <x:c r="B144" s="32" t="n">
        <x:v>45901</x:v>
      </x:c>
      <x:c r="C144" t="str">
        <x:v>Sep 2025</x:v>
      </x:c>
      <x:c r="D144" t="str">
        <x:v>Actual</x:v>
      </x:c>
      <x:c r="E144" t="str">
        <x:v>TikTok Shop</x:v>
      </x:c>
      <x:c r="F144" s="34" t="n">
        <x:v>4299</x:v>
      </x:c>
      <x:c r="G144" s="33" t="n">
        <x:v>0.62</x:v>
      </x:c>
      <x:c r="H144" s="38" t="n">
        <x:v>2.6653800000000003</x:v>
      </x:c>
      <x:c r="I144" s="34" t="n">
        <x:v>197</x:v>
      </x:c>
      <x:c r="J144" s="33" t="n">
        <x:v>13.529847715736041</x:v>
      </x:c>
      <x:c r="K144" t="str">
        <x:v>Seeded historic marketing actual</x:v>
      </x:c>
    </x:row>
    <x:row r="145">
      <x:c r="A145" s="32" t="n">
        <x:v>45908</x:v>
      </x:c>
      <x:c r="B145" s="32" t="n">
        <x:v>45901</x:v>
      </x:c>
      <x:c r="C145" t="str">
        <x:v>Sep 2025</x:v>
      </x:c>
      <x:c r="D145" t="str">
        <x:v>Actual</x:v>
      </x:c>
      <x:c r="E145" t="str">
        <x:v>Shopify DTC</x:v>
      </x:c>
      <x:c r="F145" s="34" t="n">
        <x:v>21574</x:v>
      </x:c>
      <x:c r="G145" s="33" t="n">
        <x:v>0.78</x:v>
      </x:c>
      <x:c r="H145" s="38" t="n">
        <x:v>16.827720000000003</x:v>
      </x:c>
      <x:c r="I145" s="34" t="n">
        <x:v>783</x:v>
      </x:c>
      <x:c r="J145" s="33" t="n">
        <x:v>21.491340996168585</x:v>
      </x:c>
      <x:c r="K145" t="str">
        <x:v>Seeded historic marketing actual</x:v>
      </x:c>
    </x:row>
    <x:row r="146">
      <x:c r="A146" s="32" t="n">
        <x:v>45908</x:v>
      </x:c>
      <x:c r="B146" s="32" t="n">
        <x:v>45901</x:v>
      </x:c>
      <x:c r="C146" t="str">
        <x:v>Sep 2025</x:v>
      </x:c>
      <x:c r="D146" t="str">
        <x:v>Actual</x:v>
      </x:c>
      <x:c r="E146" t="str">
        <x:v>Amazon Marketplace</x:v>
      </x:c>
      <x:c r="F146" s="34" t="n">
        <x:v>10786</x:v>
      </x:c>
      <x:c r="G146" s="33" t="n">
        <x:v>0.92</x:v>
      </x:c>
      <x:c r="H146" s="38" t="n">
        <x:v>9.92312</x:v>
      </x:c>
      <x:c r="I146" s="34" t="n">
        <x:v>462</x:v>
      </x:c>
      <x:c r="J146" s="33" t="n">
        <x:v>21.478614718614722</x:v>
      </x:c>
      <x:c r="K146" t="str">
        <x:v>Seeded historic marketing actual</x:v>
      </x:c>
    </x:row>
    <x:row r="147">
      <x:c r="A147" s="32" t="n">
        <x:v>45908</x:v>
      </x:c>
      <x:c r="B147" s="32" t="n">
        <x:v>45901</x:v>
      </x:c>
      <x:c r="C147" t="str">
        <x:v>Sep 2025</x:v>
      </x:c>
      <x:c r="D147" t="str">
        <x:v>Actual</x:v>
      </x:c>
      <x:c r="E147" t="str">
        <x:v>Wholesale</x:v>
      </x:c>
      <x:c r="F147" s="34" t="n">
        <x:v>6473</x:v>
      </x:c>
      <x:c r="G147" s="33" t="n">
        <x:v>0.2</x:v>
      </x:c>
      <x:c r="H147" s="38" t="n">
        <x:v>1.2946000000000002</x:v>
      </x:c>
      <x:c r="I147" s="34" t="n">
        <x:v>129</x:v>
      </x:c>
      <x:c r="J147" s="33" t="n">
        <x:v>10.035658914728684</x:v>
      </x:c>
      <x:c r="K147" t="str">
        <x:v>Seeded historic marketing actual</x:v>
      </x:c>
    </x:row>
    <x:row r="148">
      <x:c r="A148" s="32" t="n">
        <x:v>45908</x:v>
      </x:c>
      <x:c r="B148" s="32" t="n">
        <x:v>45901</x:v>
      </x:c>
      <x:c r="C148" t="str">
        <x:v>Sep 2025</x:v>
      </x:c>
      <x:c r="D148" t="str">
        <x:v>Actual</x:v>
      </x:c>
      <x:c r="E148" t="str">
        <x:v>TikTok Shop</x:v>
      </x:c>
      <x:c r="F148" s="34" t="n">
        <x:v>4314</x:v>
      </x:c>
      <x:c r="G148" s="33" t="n">
        <x:v>0.62</x:v>
      </x:c>
      <x:c r="H148" s="38" t="n">
        <x:v>2.67468</x:v>
      </x:c>
      <x:c r="I148" s="34" t="n">
        <x:v>197</x:v>
      </x:c>
      <x:c r="J148" s="33" t="n">
        <x:v>13.577055837563451</x:v>
      </x:c>
      <x:c r="K148" t="str">
        <x:v>Seeded historic marketing actual</x:v>
      </x:c>
    </x:row>
    <x:row r="149">
      <x:c r="A149" s="32" t="n">
        <x:v>45915</x:v>
      </x:c>
      <x:c r="B149" s="32" t="n">
        <x:v>45901</x:v>
      </x:c>
      <x:c r="C149" t="str">
        <x:v>Sep 2025</x:v>
      </x:c>
      <x:c r="D149" t="str">
        <x:v>Actual</x:v>
      </x:c>
      <x:c r="E149" t="str">
        <x:v>Shopify DTC</x:v>
      </x:c>
      <x:c r="F149" s="34" t="n">
        <x:v>21654</x:v>
      </x:c>
      <x:c r="G149" s="33" t="n">
        <x:v>0.78</x:v>
      </x:c>
      <x:c r="H149" s="38" t="n">
        <x:v>16.89012</x:v>
      </x:c>
      <x:c r="I149" s="34" t="n">
        <x:v>787</x:v>
      </x:c>
      <x:c r="J149" s="33" t="n">
        <x:v>21.461397712833545</x:v>
      </x:c>
      <x:c r="K149" t="str">
        <x:v>Seeded historic marketing actual</x:v>
      </x:c>
    </x:row>
    <x:row r="150">
      <x:c r="A150" s="32" t="n">
        <x:v>45915</x:v>
      </x:c>
      <x:c r="B150" s="32" t="n">
        <x:v>45901</x:v>
      </x:c>
      <x:c r="C150" t="str">
        <x:v>Sep 2025</x:v>
      </x:c>
      <x:c r="D150" t="str">
        <x:v>Actual</x:v>
      </x:c>
      <x:c r="E150" t="str">
        <x:v>Amazon Marketplace</x:v>
      </x:c>
      <x:c r="F150" s="34" t="n">
        <x:v>10827</x:v>
      </x:c>
      <x:c r="G150" s="33" t="n">
        <x:v>0.92</x:v>
      </x:c>
      <x:c r="H150" s="38" t="n">
        <x:v>9.960840000000001</x:v>
      </x:c>
      <x:c r="I150" s="34" t="n">
        <x:v>464</x:v>
      </x:c>
      <x:c r="J150" s="33" t="n">
        <x:v>21.467327586206896</x:v>
      </x:c>
      <x:c r="K150" t="str">
        <x:v>Seeded historic marketing actual</x:v>
      </x:c>
    </x:row>
    <x:row r="151">
      <x:c r="A151" s="32" t="n">
        <x:v>45915</x:v>
      </x:c>
      <x:c r="B151" s="32" t="n">
        <x:v>45901</x:v>
      </x:c>
      <x:c r="C151" t="str">
        <x:v>Sep 2025</x:v>
      </x:c>
      <x:c r="D151" t="str">
        <x:v>Actual</x:v>
      </x:c>
      <x:c r="E151" t="str">
        <x:v>Wholesale</x:v>
      </x:c>
      <x:c r="F151" s="34" t="n">
        <x:v>6497</x:v>
      </x:c>
      <x:c r="G151" s="33" t="n">
        <x:v>0.2</x:v>
      </x:c>
      <x:c r="H151" s="38" t="n">
        <x:v>1.2994</x:v>
      </x:c>
      <x:c r="I151" s="34" t="n">
        <x:v>130</x:v>
      </x:c>
      <x:c r="J151" s="33" t="n">
        <x:v>9.995384615384616</x:v>
      </x:c>
      <x:c r="K151" t="str">
        <x:v>Seeded historic marketing actual</x:v>
      </x:c>
    </x:row>
    <x:row r="152">
      <x:c r="A152" s="32" t="n">
        <x:v>45915</x:v>
      </x:c>
      <x:c r="B152" s="32" t="n">
        <x:v>45901</x:v>
      </x:c>
      <x:c r="C152" t="str">
        <x:v>Sep 2025</x:v>
      </x:c>
      <x:c r="D152" t="str">
        <x:v>Actual</x:v>
      </x:c>
      <x:c r="E152" t="str">
        <x:v>TikTok Shop</x:v>
      </x:c>
      <x:c r="F152" s="34" t="n">
        <x:v>4331</x:v>
      </x:c>
      <x:c r="G152" s="33" t="n">
        <x:v>0.62</x:v>
      </x:c>
      <x:c r="H152" s="38" t="n">
        <x:v>2.6852199999999997</x:v>
      </x:c>
      <x:c r="I152" s="34" t="n">
        <x:v>197</x:v>
      </x:c>
      <x:c r="J152" s="33" t="n">
        <x:v>13.630558375634516</x:v>
      </x:c>
      <x:c r="K152" t="str">
        <x:v>Seeded historic marketing actual</x:v>
      </x:c>
    </x:row>
    <x:row r="153">
      <x:c r="A153" s="32" t="n">
        <x:v>45922</x:v>
      </x:c>
      <x:c r="B153" s="32" t="n">
        <x:v>45901</x:v>
      </x:c>
      <x:c r="C153" t="str">
        <x:v>Sep 2025</x:v>
      </x:c>
      <x:c r="D153" t="str">
        <x:v>Actual</x:v>
      </x:c>
      <x:c r="E153" t="str">
        <x:v>Shopify DTC</x:v>
      </x:c>
      <x:c r="F153" s="34" t="n">
        <x:v>21732</x:v>
      </x:c>
      <x:c r="G153" s="33" t="n">
        <x:v>0.78</x:v>
      </x:c>
      <x:c r="H153" s="38" t="n">
        <x:v>16.95096</x:v>
      </x:c>
      <x:c r="I153" s="34" t="n">
        <x:v>789</x:v>
      </x:c>
      <x:c r="J153" s="33" t="n">
        <x:v>21.484106463878327</x:v>
      </x:c>
      <x:c r="K153" t="str">
        <x:v>Seeded historic marketing actual</x:v>
      </x:c>
    </x:row>
    <x:row r="154">
      <x:c r="A154" s="32" t="n">
        <x:v>45922</x:v>
      </x:c>
      <x:c r="B154" s="32" t="n">
        <x:v>45901</x:v>
      </x:c>
      <x:c r="C154" t="str">
        <x:v>Sep 2025</x:v>
      </x:c>
      <x:c r="D154" t="str">
        <x:v>Actual</x:v>
      </x:c>
      <x:c r="E154" t="str">
        <x:v>Amazon Marketplace</x:v>
      </x:c>
      <x:c r="F154" s="34" t="n">
        <x:v>10866</x:v>
      </x:c>
      <x:c r="G154" s="33" t="n">
        <x:v>0.92</x:v>
      </x:c>
      <x:c r="H154" s="38" t="n">
        <x:v>9.996720000000002</x:v>
      </x:c>
      <x:c r="I154" s="34" t="n">
        <x:v>465</x:v>
      </x:c>
      <x:c r="J154" s="33" t="n">
        <x:v>21.498322580645162</x:v>
      </x:c>
      <x:c r="K154" t="str">
        <x:v>Seeded historic marketing actual</x:v>
      </x:c>
    </x:row>
    <x:row r="155">
      <x:c r="A155" s="32" t="n">
        <x:v>45922</x:v>
      </x:c>
      <x:c r="B155" s="32" t="n">
        <x:v>45901</x:v>
      </x:c>
      <x:c r="C155" t="str">
        <x:v>Sep 2025</x:v>
      </x:c>
      <x:c r="D155" t="str">
        <x:v>Actual</x:v>
      </x:c>
      <x:c r="E155" t="str">
        <x:v>Wholesale</x:v>
      </x:c>
      <x:c r="F155" s="34" t="n">
        <x:v>6520</x:v>
      </x:c>
      <x:c r="G155" s="33" t="n">
        <x:v>0.2</x:v>
      </x:c>
      <x:c r="H155" s="38" t="n">
        <x:v>1.304</x:v>
      </x:c>
      <x:c r="I155" s="34" t="n">
        <x:v>130</x:v>
      </x:c>
      <x:c r="J155" s="33" t="n">
        <x:v>10.03076923076923</x:v>
      </x:c>
      <x:c r="K155" t="str">
        <x:v>Seeded historic marketing actual</x:v>
      </x:c>
    </x:row>
    <x:row r="156">
      <x:c r="A156" s="32" t="n">
        <x:v>45922</x:v>
      </x:c>
      <x:c r="B156" s="32" t="n">
        <x:v>45901</x:v>
      </x:c>
      <x:c r="C156" t="str">
        <x:v>Sep 2025</x:v>
      </x:c>
      <x:c r="D156" t="str">
        <x:v>Actual</x:v>
      </x:c>
      <x:c r="E156" t="str">
        <x:v>TikTok Shop</x:v>
      </x:c>
      <x:c r="F156" s="34" t="n">
        <x:v>4346</x:v>
      </x:c>
      <x:c r="G156" s="33" t="n">
        <x:v>0.62</x:v>
      </x:c>
      <x:c r="H156" s="38" t="n">
        <x:v>2.69452</x:v>
      </x:c>
      <x:c r="I156" s="34" t="n">
        <x:v>199</x:v>
      </x:c>
      <x:c r="J156" s="33" t="n">
        <x:v>13.540301507537688</x:v>
      </x:c>
      <x:c r="K156" t="str">
        <x:v>Seeded historic marketing actual</x:v>
      </x:c>
    </x:row>
    <x:row r="157">
      <x:c r="A157" s="32" t="n">
        <x:v>45929</x:v>
      </x:c>
      <x:c r="B157" s="32" t="n">
        <x:v>45901</x:v>
      </x:c>
      <x:c r="C157" t="str">
        <x:v>Sep 2025</x:v>
      </x:c>
      <x:c r="D157" t="str">
        <x:v>Actual</x:v>
      </x:c>
      <x:c r="E157" t="str">
        <x:v>Shopify DTC</x:v>
      </x:c>
      <x:c r="F157" s="34" t="n">
        <x:v>21812</x:v>
      </x:c>
      <x:c r="G157" s="33" t="n">
        <x:v>0.78</x:v>
      </x:c>
      <x:c r="H157" s="38" t="n">
        <x:v>17.013360000000002</x:v>
      </x:c>
      <x:c r="I157" s="34" t="n">
        <x:v>792</x:v>
      </x:c>
      <x:c r="J157" s="33" t="n">
        <x:v>21.48151515151515</x:v>
      </x:c>
      <x:c r="K157" t="str">
        <x:v>Seeded historic marketing actual</x:v>
      </x:c>
    </x:row>
    <x:row r="158">
      <x:c r="A158" s="32" t="n">
        <x:v>45929</x:v>
      </x:c>
      <x:c r="B158" s="32" t="n">
        <x:v>45901</x:v>
      </x:c>
      <x:c r="C158" t="str">
        <x:v>Sep 2025</x:v>
      </x:c>
      <x:c r="D158" t="str">
        <x:v>Actual</x:v>
      </x:c>
      <x:c r="E158" t="str">
        <x:v>Amazon Marketplace</x:v>
      </x:c>
      <x:c r="F158" s="34" t="n">
        <x:v>10905</x:v>
      </x:c>
      <x:c r="G158" s="33" t="n">
        <x:v>0.92</x:v>
      </x:c>
      <x:c r="H158" s="38" t="n">
        <x:v>10.0326</x:v>
      </x:c>
      <x:c r="I158" s="34" t="n">
        <x:v>468</x:v>
      </x:c>
      <x:c r="J158" s="33" t="n">
        <x:v>21.43717948717949</x:v>
      </x:c>
      <x:c r="K158" t="str">
        <x:v>Seeded historic marketing actual</x:v>
      </x:c>
    </x:row>
    <x:row r="159">
      <x:c r="A159" s="32" t="n">
        <x:v>45929</x:v>
      </x:c>
      <x:c r="B159" s="32" t="n">
        <x:v>45901</x:v>
      </x:c>
      <x:c r="C159" t="str">
        <x:v>Sep 2025</x:v>
      </x:c>
      <x:c r="D159" t="str">
        <x:v>Actual</x:v>
      </x:c>
      <x:c r="E159" t="str">
        <x:v>Wholesale</x:v>
      </x:c>
      <x:c r="F159" s="34" t="n">
        <x:v>6543</x:v>
      </x:c>
      <x:c r="G159" s="33" t="n">
        <x:v>0.2</x:v>
      </x:c>
      <x:c r="H159" s="38" t="n">
        <x:v>1.3086000000000002</x:v>
      </x:c>
      <x:c r="I159" s="34" t="n">
        <x:v>130</x:v>
      </x:c>
      <x:c r="J159" s="33" t="n">
        <x:v>10.066153846153847</x:v>
      </x:c>
      <x:c r="K159" t="str">
        <x:v>Seeded historic marketing actual</x:v>
      </x:c>
    </x:row>
    <x:row r="160">
      <x:c r="A160" s="32" t="n">
        <x:v>45929</x:v>
      </x:c>
      <x:c r="B160" s="32" t="n">
        <x:v>45901</x:v>
      </x:c>
      <x:c r="C160" t="str">
        <x:v>Sep 2025</x:v>
      </x:c>
      <x:c r="D160" t="str">
        <x:v>Actual</x:v>
      </x:c>
      <x:c r="E160" t="str">
        <x:v>TikTok Shop</x:v>
      </x:c>
      <x:c r="F160" s="34" t="n">
        <x:v>4363</x:v>
      </x:c>
      <x:c r="G160" s="33" t="n">
        <x:v>0.62</x:v>
      </x:c>
      <x:c r="H160" s="38" t="n">
        <x:v>2.70506</x:v>
      </x:c>
      <x:c r="I160" s="34" t="n">
        <x:v>200</x:v>
      </x:c>
      <x:c r="J160" s="33" t="n">
        <x:v>13.5253</x:v>
      </x:c>
      <x:c r="K160" t="str">
        <x:v>Seeded historic marketing actual</x:v>
      </x:c>
    </x:row>
    <x:row r="161">
      <x:c r="A161" s="32" t="n">
        <x:v>45936</x:v>
      </x:c>
      <x:c r="B161" s="32" t="n">
        <x:v>45931</x:v>
      </x:c>
      <x:c r="C161" t="str">
        <x:v>Oct 2025</x:v>
      </x:c>
      <x:c r="D161" t="str">
        <x:v>Actual</x:v>
      </x:c>
      <x:c r="E161" t="str">
        <x:v>Shopify DTC</x:v>
      </x:c>
      <x:c r="F161" s="34" t="n">
        <x:v>22309</x:v>
      </x:c>
      <x:c r="G161" s="33" t="n">
        <x:v>0.78</x:v>
      </x:c>
      <x:c r="H161" s="38" t="n">
        <x:v>17.40102</x:v>
      </x:c>
      <x:c r="I161" s="34" t="n">
        <x:v>808</x:v>
      </x:c>
      <x:c r="J161" s="33" t="n">
        <x:v>21.53591584158416</x:v>
      </x:c>
      <x:c r="K161" t="str">
        <x:v>Seeded historic marketing actual</x:v>
      </x:c>
    </x:row>
    <x:row r="162">
      <x:c r="A162" s="32" t="n">
        <x:v>45936</x:v>
      </x:c>
      <x:c r="B162" s="32" t="n">
        <x:v>45931</x:v>
      </x:c>
      <x:c r="C162" t="str">
        <x:v>Oct 2025</x:v>
      </x:c>
      <x:c r="D162" t="str">
        <x:v>Actual</x:v>
      </x:c>
      <x:c r="E162" t="str">
        <x:v>Amazon Marketplace</x:v>
      </x:c>
      <x:c r="F162" s="34" t="n">
        <x:v>11155</x:v>
      </x:c>
      <x:c r="G162" s="33" t="n">
        <x:v>0.92</x:v>
      </x:c>
      <x:c r="H162" s="38" t="n">
        <x:v>10.2626</x:v>
      </x:c>
      <x:c r="I162" s="34" t="n">
        <x:v>477</x:v>
      </x:c>
      <x:c r="J162" s="33" t="n">
        <x:v>21.51488469601677</x:v>
      </x:c>
      <x:c r="K162" t="str">
        <x:v>Seeded historic marketing actual</x:v>
      </x:c>
    </x:row>
    <x:row r="163">
      <x:c r="A163" s="32" t="n">
        <x:v>45936</x:v>
      </x:c>
      <x:c r="B163" s="32" t="n">
        <x:v>45931</x:v>
      </x:c>
      <x:c r="C163" t="str">
        <x:v>Oct 2025</x:v>
      </x:c>
      <x:c r="D163" t="str">
        <x:v>Actual</x:v>
      </x:c>
      <x:c r="E163" t="str">
        <x:v>Wholesale</x:v>
      </x:c>
      <x:c r="F163" s="34" t="n">
        <x:v>6692</x:v>
      </x:c>
      <x:c r="G163" s="33" t="n">
        <x:v>0.2</x:v>
      </x:c>
      <x:c r="H163" s="38" t="n">
        <x:v>1.3384</x:v>
      </x:c>
      <x:c r="I163" s="34" t="n">
        <x:v>132</x:v>
      </x:c>
      <x:c r="J163" s="33" t="n">
        <x:v>10.13939393939394</x:v>
      </x:c>
      <x:c r="K163" t="str">
        <x:v>Seeded historic marketing actual</x:v>
      </x:c>
    </x:row>
    <x:row r="164">
      <x:c r="A164" s="32" t="n">
        <x:v>45936</x:v>
      </x:c>
      <x:c r="B164" s="32" t="n">
        <x:v>45931</x:v>
      </x:c>
      <x:c r="C164" t="str">
        <x:v>Oct 2025</x:v>
      </x:c>
      <x:c r="D164" t="str">
        <x:v>Actual</x:v>
      </x:c>
      <x:c r="E164" t="str">
        <x:v>TikTok Shop</x:v>
      </x:c>
      <x:c r="F164" s="34" t="n">
        <x:v>4462</x:v>
      </x:c>
      <x:c r="G164" s="33" t="n">
        <x:v>0.62</x:v>
      </x:c>
      <x:c r="H164" s="38" t="n">
        <x:v>2.7664400000000002</x:v>
      </x:c>
      <x:c r="I164" s="34" t="n">
        <x:v>204</x:v>
      </x:c>
      <x:c r="J164" s="33" t="n">
        <x:v>13.560980392156862</x:v>
      </x:c>
      <x:c r="K164" t="str">
        <x:v>Seeded historic marketing actual</x:v>
      </x:c>
    </x:row>
    <x:row r="165">
      <x:c r="A165" s="32" t="n">
        <x:v>45943</x:v>
      </x:c>
      <x:c r="B165" s="32" t="n">
        <x:v>45931</x:v>
      </x:c>
      <x:c r="C165" t="str">
        <x:v>Oct 2025</x:v>
      </x:c>
      <x:c r="D165" t="str">
        <x:v>Actual</x:v>
      </x:c>
      <x:c r="E165" t="str">
        <x:v>Shopify DTC</x:v>
      </x:c>
      <x:c r="F165" s="34" t="n">
        <x:v>22389</x:v>
      </x:c>
      <x:c r="G165" s="33" t="n">
        <x:v>0.78</x:v>
      </x:c>
      <x:c r="H165" s="38" t="n">
        <x:v>17.463420000000003</x:v>
      </x:c>
      <x:c r="I165" s="34" t="n">
        <x:v>811</x:v>
      </x:c>
      <x:c r="J165" s="33" t="n">
        <x:v>21.533193588162764</x:v>
      </x:c>
      <x:c r="K165" t="str">
        <x:v>Seeded historic marketing actual</x:v>
      </x:c>
    </x:row>
    <x:row r="166">
      <x:c r="A166" s="32" t="n">
        <x:v>45943</x:v>
      </x:c>
      <x:c r="B166" s="32" t="n">
        <x:v>45931</x:v>
      </x:c>
      <x:c r="C166" t="str">
        <x:v>Oct 2025</x:v>
      </x:c>
      <x:c r="D166" t="str">
        <x:v>Actual</x:v>
      </x:c>
      <x:c r="E166" t="str">
        <x:v>Amazon Marketplace</x:v>
      </x:c>
      <x:c r="F166" s="34" t="n">
        <x:v>11195</x:v>
      </x:c>
      <x:c r="G166" s="33" t="n">
        <x:v>0.92</x:v>
      </x:c>
      <x:c r="H166" s="38" t="n">
        <x:v>10.2994</x:v>
      </x:c>
      <x:c r="I166" s="34" t="n">
        <x:v>478</x:v>
      </x:c>
      <x:c r="J166" s="33" t="n">
        <x:v>21.54686192468619</x:v>
      </x:c>
      <x:c r="K166" t="str">
        <x:v>Seeded historic marketing actual</x:v>
      </x:c>
    </x:row>
    <x:row r="167">
      <x:c r="A167" s="32" t="n">
        <x:v>45943</x:v>
      </x:c>
      <x:c r="B167" s="32" t="n">
        <x:v>45931</x:v>
      </x:c>
      <x:c r="C167" t="str">
        <x:v>Oct 2025</x:v>
      </x:c>
      <x:c r="D167" t="str">
        <x:v>Actual</x:v>
      </x:c>
      <x:c r="E167" t="str">
        <x:v>Wholesale</x:v>
      </x:c>
      <x:c r="F167" s="34" t="n">
        <x:v>6718</x:v>
      </x:c>
      <x:c r="G167" s="33" t="n">
        <x:v>0.2</x:v>
      </x:c>
      <x:c r="H167" s="38" t="n">
        <x:v>1.3436000000000001</x:v>
      </x:c>
      <x:c r="I167" s="34" t="n">
        <x:v>134</x:v>
      </x:c>
      <x:c r="J167" s="33" t="n">
        <x:v>10.026865671641792</x:v>
      </x:c>
      <x:c r="K167" t="str">
        <x:v>Seeded historic marketing actual</x:v>
      </x:c>
    </x:row>
    <x:row r="168">
      <x:c r="A168" s="32" t="n">
        <x:v>45943</x:v>
      </x:c>
      <x:c r="B168" s="32" t="n">
        <x:v>45931</x:v>
      </x:c>
      <x:c r="C168" t="str">
        <x:v>Oct 2025</x:v>
      </x:c>
      <x:c r="D168" t="str">
        <x:v>Actual</x:v>
      </x:c>
      <x:c r="E168" t="str">
        <x:v>TikTok Shop</x:v>
      </x:c>
      <x:c r="F168" s="34" t="n">
        <x:v>4477</x:v>
      </x:c>
      <x:c r="G168" s="33" t="n">
        <x:v>0.62</x:v>
      </x:c>
      <x:c r="H168" s="38" t="n">
        <x:v>2.77574</x:v>
      </x:c>
      <x:c r="I168" s="34" t="n">
        <x:v>205</x:v>
      </x:c>
      <x:c r="J168" s="33" t="n">
        <x:v>13.540195121951218</x:v>
      </x:c>
      <x:c r="K168" t="str">
        <x:v>Seeded historic marketing actual</x:v>
      </x:c>
    </x:row>
    <x:row r="169">
      <x:c r="A169" s="32" t="n">
        <x:v>45950</x:v>
      </x:c>
      <x:c r="B169" s="32" t="n">
        <x:v>45931</x:v>
      </x:c>
      <x:c r="C169" t="str">
        <x:v>Oct 2025</x:v>
      </x:c>
      <x:c r="D169" t="str">
        <x:v>Actual</x:v>
      </x:c>
      <x:c r="E169" t="str">
        <x:v>Shopify DTC</x:v>
      </x:c>
      <x:c r="F169" s="34" t="n">
        <x:v>22471</x:v>
      </x:c>
      <x:c r="G169" s="33" t="n">
        <x:v>0.78</x:v>
      </x:c>
      <x:c r="H169" s="38" t="n">
        <x:v>17.52738</x:v>
      </x:c>
      <x:c r="I169" s="34" t="n">
        <x:v>813</x:v>
      </x:c>
      <x:c r="J169" s="33" t="n">
        <x:v>21.55889298892989</x:v>
      </x:c>
      <x:c r="K169" t="str">
        <x:v>Seeded historic marketing actual</x:v>
      </x:c>
    </x:row>
    <x:row r="170">
      <x:c r="A170" s="32" t="n">
        <x:v>45950</x:v>
      </x:c>
      <x:c r="B170" s="32" t="n">
        <x:v>45931</x:v>
      </x:c>
      <x:c r="C170" t="str">
        <x:v>Oct 2025</x:v>
      </x:c>
      <x:c r="D170" t="str">
        <x:v>Actual</x:v>
      </x:c>
      <x:c r="E170" t="str">
        <x:v>Amazon Marketplace</x:v>
      </x:c>
      <x:c r="F170" s="34" t="n">
        <x:v>11235</x:v>
      </x:c>
      <x:c r="G170" s="33" t="n">
        <x:v>0.92</x:v>
      </x:c>
      <x:c r="H170" s="38" t="n">
        <x:v>10.336200000000002</x:v>
      </x:c>
      <x:c r="I170" s="34" t="n">
        <x:v>481</x:v>
      </x:c>
      <x:c r="J170" s="33" t="n">
        <x:v>21.48898128898129</x:v>
      </x:c>
      <x:c r="K170" t="str">
        <x:v>Seeded historic marketing actual</x:v>
      </x:c>
    </x:row>
    <x:row r="171">
      <x:c r="A171" s="32" t="n">
        <x:v>45950</x:v>
      </x:c>
      <x:c r="B171" s="32" t="n">
        <x:v>45931</x:v>
      </x:c>
      <x:c r="C171" t="str">
        <x:v>Oct 2025</x:v>
      </x:c>
      <x:c r="D171" t="str">
        <x:v>Actual</x:v>
      </x:c>
      <x:c r="E171" t="str">
        <x:v>Wholesale</x:v>
      </x:c>
      <x:c r="F171" s="34" t="n">
        <x:v>6742</x:v>
      </x:c>
      <x:c r="G171" s="33" t="n">
        <x:v>0.2</x:v>
      </x:c>
      <x:c r="H171" s="38" t="n">
        <x:v>1.3484</x:v>
      </x:c>
      <x:c r="I171" s="34" t="n">
        <x:v>135</x:v>
      </x:c>
      <x:c r="J171" s="33" t="n">
        <x:v>9.988148148148149</x:v>
      </x:c>
      <x:c r="K171" t="str">
        <x:v>Seeded historic marketing actual</x:v>
      </x:c>
    </x:row>
    <x:row r="172">
      <x:c r="A172" s="32" t="n">
        <x:v>45950</x:v>
      </x:c>
      <x:c r="B172" s="32" t="n">
        <x:v>45931</x:v>
      </x:c>
      <x:c r="C172" t="str">
        <x:v>Oct 2025</x:v>
      </x:c>
      <x:c r="D172" t="str">
        <x:v>Actual</x:v>
      </x:c>
      <x:c r="E172" t="str">
        <x:v>TikTok Shop</x:v>
      </x:c>
      <x:c r="F172" s="34" t="n">
        <x:v>4494</x:v>
      </x:c>
      <x:c r="G172" s="33" t="n">
        <x:v>0.62</x:v>
      </x:c>
      <x:c r="H172" s="38" t="n">
        <x:v>2.78628</x:v>
      </x:c>
      <x:c r="I172" s="34" t="n">
        <x:v>205</x:v>
      </x:c>
      <x:c r="J172" s="33" t="n">
        <x:v>13.591609756097562</x:v>
      </x:c>
      <x:c r="K172" t="str">
        <x:v>Seeded historic marketing actual</x:v>
      </x:c>
    </x:row>
    <x:row r="173">
      <x:c r="A173" s="32" t="n">
        <x:v>45957</x:v>
      </x:c>
      <x:c r="B173" s="32" t="n">
        <x:v>45931</x:v>
      </x:c>
      <x:c r="C173" t="str">
        <x:v>Oct 2025</x:v>
      </x:c>
      <x:c r="D173" t="str">
        <x:v>Actual</x:v>
      </x:c>
      <x:c r="E173" t="str">
        <x:v>Shopify DTC</x:v>
      </x:c>
      <x:c r="F173" s="34" t="n">
        <x:v>22552</x:v>
      </x:c>
      <x:c r="G173" s="33" t="n">
        <x:v>0.78</x:v>
      </x:c>
      <x:c r="H173" s="38" t="n">
        <x:v>17.59056</x:v>
      </x:c>
      <x:c r="I173" s="34" t="n">
        <x:v>816</x:v>
      </x:c>
      <x:c r="J173" s="33" t="n">
        <x:v>21.557058823529413</x:v>
      </x:c>
      <x:c r="K173" t="str">
        <x:v>Seeded historic marketing actual</x:v>
      </x:c>
    </x:row>
    <x:row r="174">
      <x:c r="A174" s="32" t="n">
        <x:v>45957</x:v>
      </x:c>
      <x:c r="B174" s="32" t="n">
        <x:v>45931</x:v>
      </x:c>
      <x:c r="C174" t="str">
        <x:v>Oct 2025</x:v>
      </x:c>
      <x:c r="D174" t="str">
        <x:v>Actual</x:v>
      </x:c>
      <x:c r="E174" t="str">
        <x:v>Amazon Marketplace</x:v>
      </x:c>
      <x:c r="F174" s="34" t="n">
        <x:v>11277</x:v>
      </x:c>
      <x:c r="G174" s="33" t="n">
        <x:v>0.92</x:v>
      </x:c>
      <x:c r="H174" s="38" t="n">
        <x:v>10.37484</x:v>
      </x:c>
      <x:c r="I174" s="34" t="n">
        <x:v>481</x:v>
      </x:c>
      <x:c r="J174" s="33" t="n">
        <x:v>21.569313929313928</x:v>
      </x:c>
      <x:c r="K174" t="str">
        <x:v>Seeded historic marketing actual</x:v>
      </x:c>
    </x:row>
    <x:row r="175">
      <x:c r="A175" s="32" t="n">
        <x:v>45957</x:v>
      </x:c>
      <x:c r="B175" s="32" t="n">
        <x:v>45931</x:v>
      </x:c>
      <x:c r="C175" t="str">
        <x:v>Oct 2025</x:v>
      </x:c>
      <x:c r="D175" t="str">
        <x:v>Actual</x:v>
      </x:c>
      <x:c r="E175" t="str">
        <x:v>Wholesale</x:v>
      </x:c>
      <x:c r="F175" s="34" t="n">
        <x:v>6765</x:v>
      </x:c>
      <x:c r="G175" s="33" t="n">
        <x:v>0.2</x:v>
      </x:c>
      <x:c r="H175" s="38" t="n">
        <x:v>1.353</x:v>
      </x:c>
      <x:c r="I175" s="34" t="n">
        <x:v>135</x:v>
      </x:c>
      <x:c r="J175" s="33" t="n">
        <x:v>10.022222222222222</x:v>
      </x:c>
      <x:c r="K175" t="str">
        <x:v>Seeded historic marketing actual</x:v>
      </x:c>
    </x:row>
    <x:row r="176">
      <x:c r="A176" s="32" t="n">
        <x:v>45957</x:v>
      </x:c>
      <x:c r="B176" s="32" t="n">
        <x:v>45931</x:v>
      </x:c>
      <x:c r="C176" t="str">
        <x:v>Oct 2025</x:v>
      </x:c>
      <x:c r="D176" t="str">
        <x:v>Actual</x:v>
      </x:c>
      <x:c r="E176" t="str">
        <x:v>TikTok Shop</x:v>
      </x:c>
      <x:c r="F176" s="34" t="n">
        <x:v>4511</x:v>
      </x:c>
      <x:c r="G176" s="33" t="n">
        <x:v>0.62</x:v>
      </x:c>
      <x:c r="H176" s="38" t="n">
        <x:v>2.7968200000000003</x:v>
      </x:c>
      <x:c r="I176" s="34" t="n">
        <x:v>206</x:v>
      </x:c>
      <x:c r="J176" s="33" t="n">
        <x:v>13.576796116504855</x:v>
      </x:c>
      <x:c r="K176" t="str">
        <x:v>Seeded historic marketing actual</x:v>
      </x:c>
    </x:row>
    <x:row r="177">
      <x:c r="A177" s="32" t="n">
        <x:v>45964</x:v>
      </x:c>
      <x:c r="B177" s="32" t="n">
        <x:v>45962</x:v>
      </x:c>
      <x:c r="C177" t="str">
        <x:v>Nov 2025</x:v>
      </x:c>
      <x:c r="D177" t="str">
        <x:v>Actual</x:v>
      </x:c>
      <x:c r="E177" t="str">
        <x:v>Shopify DTC</x:v>
      </x:c>
      <x:c r="F177" s="34" t="n">
        <x:v>23216</x:v>
      </x:c>
      <x:c r="G177" s="33" t="n">
        <x:v>0.78</x:v>
      </x:c>
      <x:c r="H177" s="38" t="n">
        <x:v>18.10848</x:v>
      </x:c>
      <x:c r="I177" s="34" t="n">
        <x:v>837</x:v>
      </x:c>
      <x:c r="J177" s="33" t="n">
        <x:v>21.634982078853046</x:v>
      </x:c>
      <x:c r="K177" t="str">
        <x:v>Seeded historic marketing actual</x:v>
      </x:c>
    </x:row>
    <x:row r="178">
      <x:c r="A178" s="32" t="n">
        <x:v>45964</x:v>
      </x:c>
      <x:c r="B178" s="32" t="n">
        <x:v>45962</x:v>
      </x:c>
      <x:c r="C178" t="str">
        <x:v>Nov 2025</x:v>
      </x:c>
      <x:c r="D178" t="str">
        <x:v>Actual</x:v>
      </x:c>
      <x:c r="E178" t="str">
        <x:v>Amazon Marketplace</x:v>
      </x:c>
      <x:c r="F178" s="34" t="n">
        <x:v>11609</x:v>
      </x:c>
      <x:c r="G178" s="33" t="n">
        <x:v>0.92</x:v>
      </x:c>
      <x:c r="H178" s="38" t="n">
        <x:v>10.68028</x:v>
      </x:c>
      <x:c r="I178" s="34" t="n">
        <x:v>494</x:v>
      </x:c>
      <x:c r="J178" s="33" t="n">
        <x:v>21.62</x:v>
      </x:c>
      <x:c r="K178" t="str">
        <x:v>Seeded historic marketing actual</x:v>
      </x:c>
    </x:row>
    <x:row r="179">
      <x:c r="A179" s="32" t="n">
        <x:v>45964</x:v>
      </x:c>
      <x:c r="B179" s="32" t="n">
        <x:v>45962</x:v>
      </x:c>
      <x:c r="C179" t="str">
        <x:v>Nov 2025</x:v>
      </x:c>
      <x:c r="D179" t="str">
        <x:v>Actual</x:v>
      </x:c>
      <x:c r="E179" t="str">
        <x:v>Wholesale</x:v>
      </x:c>
      <x:c r="F179" s="34" t="n">
        <x:v>6966</x:v>
      </x:c>
      <x:c r="G179" s="33" t="n">
        <x:v>0.2</x:v>
      </x:c>
      <x:c r="H179" s="38" t="n">
        <x:v>1.3932</x:v>
      </x:c>
      <x:c r="I179" s="34" t="n">
        <x:v>139</x:v>
      </x:c>
      <x:c r="J179" s="33" t="n">
        <x:v>10.023021582733813</x:v>
      </x:c>
      <x:c r="K179" t="str">
        <x:v>Seeded historic marketing actual</x:v>
      </x:c>
    </x:row>
    <x:row r="180">
      <x:c r="A180" s="32" t="n">
        <x:v>45964</x:v>
      </x:c>
      <x:c r="B180" s="32" t="n">
        <x:v>45962</x:v>
      </x:c>
      <x:c r="C180" t="str">
        <x:v>Nov 2025</x:v>
      </x:c>
      <x:c r="D180" t="str">
        <x:v>Actual</x:v>
      </x:c>
      <x:c r="E180" t="str">
        <x:v>TikTok Shop</x:v>
      </x:c>
      <x:c r="F180" s="34" t="n">
        <x:v>4643</x:v>
      </x:c>
      <x:c r="G180" s="33" t="n">
        <x:v>0.62</x:v>
      </x:c>
      <x:c r="H180" s="38" t="n">
        <x:v>2.87866</x:v>
      </x:c>
      <x:c r="I180" s="34" t="n">
        <x:v>211</x:v>
      </x:c>
      <x:c r="J180" s="33" t="n">
        <x:v>13.642938388625591</x:v>
      </x:c>
      <x:c r="K180" t="str">
        <x:v>Seeded historic marketing actual</x:v>
      </x:c>
    </x:row>
    <x:row r="181">
      <x:c r="A181" s="32" t="n">
        <x:v>45971</x:v>
      </x:c>
      <x:c r="B181" s="32" t="n">
        <x:v>45962</x:v>
      </x:c>
      <x:c r="C181" t="str">
        <x:v>Nov 2025</x:v>
      </x:c>
      <x:c r="D181" t="str">
        <x:v>Actual</x:v>
      </x:c>
      <x:c r="E181" t="str">
        <x:v>Shopify DTC</x:v>
      </x:c>
      <x:c r="F181" s="34" t="n">
        <x:v>23300</x:v>
      </x:c>
      <x:c r="G181" s="33" t="n">
        <x:v>0.78</x:v>
      </x:c>
      <x:c r="H181" s="38" t="n">
        <x:v>18.174</x:v>
      </x:c>
      <x:c r="I181" s="34" t="n">
        <x:v>842</x:v>
      </x:c>
      <x:c r="J181" s="33" t="n">
        <x:v>21.58432304038005</x:v>
      </x:c>
      <x:c r="K181" t="str">
        <x:v>Seeded historic marketing actual</x:v>
      </x:c>
    </x:row>
    <x:row r="182">
      <x:c r="A182" s="32" t="n">
        <x:v>45971</x:v>
      </x:c>
      <x:c r="B182" s="32" t="n">
        <x:v>45962</x:v>
      </x:c>
      <x:c r="C182" t="str">
        <x:v>Nov 2025</x:v>
      </x:c>
      <x:c r="D182" t="str">
        <x:v>Actual</x:v>
      </x:c>
      <x:c r="E182" t="str">
        <x:v>Amazon Marketplace</x:v>
      </x:c>
      <x:c r="F182" s="34" t="n">
        <x:v>11650</x:v>
      </x:c>
      <x:c r="G182" s="33" t="n">
        <x:v>0.92</x:v>
      </x:c>
      <x:c r="H182" s="38" t="n">
        <x:v>10.718</x:v>
      </x:c>
      <x:c r="I182" s="34" t="n">
        <x:v>497</x:v>
      </x:c>
      <x:c r="J182" s="33" t="n">
        <x:v>21.56539235412475</x:v>
      </x:c>
      <x:c r="K182" t="str">
        <x:v>Seeded historic marketing actual</x:v>
      </x:c>
    </x:row>
    <x:row r="183">
      <x:c r="A183" s="32" t="n">
        <x:v>45971</x:v>
      </x:c>
      <x:c r="B183" s="32" t="n">
        <x:v>45962</x:v>
      </x:c>
      <x:c r="C183" t="str">
        <x:v>Nov 2025</x:v>
      </x:c>
      <x:c r="D183" t="str">
        <x:v>Actual</x:v>
      </x:c>
      <x:c r="E183" t="str">
        <x:v>Wholesale</x:v>
      </x:c>
      <x:c r="F183" s="34" t="n">
        <x:v>6991</x:v>
      </x:c>
      <x:c r="G183" s="33" t="n">
        <x:v>0.2</x:v>
      </x:c>
      <x:c r="H183" s="38" t="n">
        <x:v>1.3982</x:v>
      </x:c>
      <x:c r="I183" s="34" t="n">
        <x:v>139</x:v>
      </x:c>
      <x:c r="J183" s="33" t="n">
        <x:v>10.058992805755397</x:v>
      </x:c>
      <x:c r="K183" t="str">
        <x:v>Seeded historic marketing actual</x:v>
      </x:c>
    </x:row>
    <x:row r="184">
      <x:c r="A184" s="32" t="n">
        <x:v>45971</x:v>
      </x:c>
      <x:c r="B184" s="32" t="n">
        <x:v>45962</x:v>
      </x:c>
      <x:c r="C184" t="str">
        <x:v>Nov 2025</x:v>
      </x:c>
      <x:c r="D184" t="str">
        <x:v>Actual</x:v>
      </x:c>
      <x:c r="E184" t="str">
        <x:v>TikTok Shop</x:v>
      </x:c>
      <x:c r="F184" s="34" t="n">
        <x:v>4660</x:v>
      </x:c>
      <x:c r="G184" s="33" t="n">
        <x:v>0.62</x:v>
      </x:c>
      <x:c r="H184" s="38" t="n">
        <x:v>2.8891999999999998</x:v>
      </x:c>
      <x:c r="I184" s="34" t="n">
        <x:v>212</x:v>
      </x:c>
      <x:c r="J184" s="33" t="n">
        <x:v>13.628301886792451</x:v>
      </x:c>
      <x:c r="K184" t="str">
        <x:v>Seeded historic marketing actual</x:v>
      </x:c>
    </x:row>
    <x:row r="185">
      <x:c r="A185" s="32" t="n">
        <x:v>45978</x:v>
      </x:c>
      <x:c r="B185" s="32" t="n">
        <x:v>45962</x:v>
      </x:c>
      <x:c r="C185" t="str">
        <x:v>Nov 2025</x:v>
      </x:c>
      <x:c r="D185" t="str">
        <x:v>Actual</x:v>
      </x:c>
      <x:c r="E185" t="str">
        <x:v>Shopify DTC</x:v>
      </x:c>
      <x:c r="F185" s="34" t="n">
        <x:v>23383</x:v>
      </x:c>
      <x:c r="G185" s="33" t="n">
        <x:v>0.78</x:v>
      </x:c>
      <x:c r="H185" s="38" t="n">
        <x:v>18.23874</x:v>
      </x:c>
      <x:c r="I185" s="34" t="n">
        <x:v>845</x:v>
      </x:c>
      <x:c r="J185" s="33" t="n">
        <x:v>21.584307692307693</x:v>
      </x:c>
      <x:c r="K185" t="str">
        <x:v>Seeded historic marketing actual</x:v>
      </x:c>
    </x:row>
    <x:row r="186">
      <x:c r="A186" s="32" t="n">
        <x:v>45978</x:v>
      </x:c>
      <x:c r="B186" s="32" t="n">
        <x:v>45962</x:v>
      </x:c>
      <x:c r="C186" t="str">
        <x:v>Nov 2025</x:v>
      </x:c>
      <x:c r="D186" t="str">
        <x:v>Actual</x:v>
      </x:c>
      <x:c r="E186" t="str">
        <x:v>Amazon Marketplace</x:v>
      </x:c>
      <x:c r="F186" s="34" t="n">
        <x:v>11691</x:v>
      </x:c>
      <x:c r="G186" s="33" t="n">
        <x:v>0.92</x:v>
      </x:c>
      <x:c r="H186" s="38" t="n">
        <x:v>10.755720000000002</x:v>
      </x:c>
      <x:c r="I186" s="34" t="n">
        <x:v>498</x:v>
      </x:c>
      <x:c r="J186" s="33" t="n">
        <x:v>21.597831325301208</x:v>
      </x:c>
      <x:c r="K186" t="str">
        <x:v>Seeded historic marketing actual</x:v>
      </x:c>
    </x:row>
    <x:row r="187">
      <x:c r="A187" s="32" t="n">
        <x:v>45978</x:v>
      </x:c>
      <x:c r="B187" s="32" t="n">
        <x:v>45962</x:v>
      </x:c>
      <x:c r="C187" t="str">
        <x:v>Nov 2025</x:v>
      </x:c>
      <x:c r="D187" t="str">
        <x:v>Actual</x:v>
      </x:c>
      <x:c r="E187" t="str">
        <x:v>Wholesale</x:v>
      </x:c>
      <x:c r="F187" s="34" t="n">
        <x:v>7015</x:v>
      </x:c>
      <x:c r="G187" s="33" t="n">
        <x:v>0.2</x:v>
      </x:c>
      <x:c r="H187" s="38" t="n">
        <x:v>1.403</x:v>
      </x:c>
      <x:c r="I187" s="34" t="n">
        <x:v>139</x:v>
      </x:c>
      <x:c r="J187" s="33" t="n">
        <x:v>10.093525179856115</x:v>
      </x:c>
      <x:c r="K187" t="str">
        <x:v>Seeded historic marketing actual</x:v>
      </x:c>
    </x:row>
    <x:row r="188">
      <x:c r="A188" s="32" t="n">
        <x:v>45978</x:v>
      </x:c>
      <x:c r="B188" s="32" t="n">
        <x:v>45962</x:v>
      </x:c>
      <x:c r="C188" t="str">
        <x:v>Nov 2025</x:v>
      </x:c>
      <x:c r="D188" t="str">
        <x:v>Actual</x:v>
      </x:c>
      <x:c r="E188" t="str">
        <x:v>TikTok Shop</x:v>
      </x:c>
      <x:c r="F188" s="34" t="n">
        <x:v>4676</x:v>
      </x:c>
      <x:c r="G188" s="33" t="n">
        <x:v>0.62</x:v>
      </x:c>
      <x:c r="H188" s="38" t="n">
        <x:v>2.89912</x:v>
      </x:c>
      <x:c r="I188" s="34" t="n">
        <x:v>213</x:v>
      </x:c>
      <x:c r="J188" s="33" t="n">
        <x:v>13.610892018779342</x:v>
      </x:c>
      <x:c r="K188" t="str">
        <x:v>Seeded historic marketing actual</x:v>
      </x:c>
    </x:row>
    <x:row r="189">
      <x:c r="A189" s="32" t="n">
        <x:v>45985</x:v>
      </x:c>
      <x:c r="B189" s="32" t="n">
        <x:v>45962</x:v>
      </x:c>
      <x:c r="C189" t="str">
        <x:v>Nov 2025</x:v>
      </x:c>
      <x:c r="D189" t="str">
        <x:v>Actual</x:v>
      </x:c>
      <x:c r="E189" t="str">
        <x:v>Shopify DTC</x:v>
      </x:c>
      <x:c r="F189" s="34" t="n">
        <x:v>23465</x:v>
      </x:c>
      <x:c r="G189" s="33" t="n">
        <x:v>0.78</x:v>
      </x:c>
      <x:c r="H189" s="38" t="n">
        <x:v>18.3027</x:v>
      </x:c>
      <x:c r="I189" s="34" t="n">
        <x:v>847</x:v>
      </x:c>
      <x:c r="J189" s="33" t="n">
        <x:v>21.608854781582057</x:v>
      </x:c>
      <x:c r="K189" t="str">
        <x:v>Seeded historic marketing actual</x:v>
      </x:c>
    </x:row>
    <x:row r="190">
      <x:c r="A190" s="32" t="n">
        <x:v>45985</x:v>
      </x:c>
      <x:c r="B190" s="32" t="n">
        <x:v>45962</x:v>
      </x:c>
      <x:c r="C190" t="str">
        <x:v>Nov 2025</x:v>
      </x:c>
      <x:c r="D190" t="str">
        <x:v>Actual</x:v>
      </x:c>
      <x:c r="E190" t="str">
        <x:v>Amazon Marketplace</x:v>
      </x:c>
      <x:c r="F190" s="34" t="n">
        <x:v>11733</x:v>
      </x:c>
      <x:c r="G190" s="33" t="n">
        <x:v>0.92</x:v>
      </x:c>
      <x:c r="H190" s="38" t="n">
        <x:v>10.794360000000001</x:v>
      </x:c>
      <x:c r="I190" s="34" t="n">
        <x:v>500</x:v>
      </x:c>
      <x:c r="J190" s="33" t="n">
        <x:v>21.588720000000002</x:v>
      </x:c>
      <x:c r="K190" t="str">
        <x:v>Seeded historic marketing actual</x:v>
      </x:c>
    </x:row>
    <x:row r="191">
      <x:c r="A191" s="32" t="n">
        <x:v>45985</x:v>
      </x:c>
      <x:c r="B191" s="32" t="n">
        <x:v>45962</x:v>
      </x:c>
      <x:c r="C191" t="str">
        <x:v>Nov 2025</x:v>
      </x:c>
      <x:c r="D191" t="str">
        <x:v>Actual</x:v>
      </x:c>
      <x:c r="E191" t="str">
        <x:v>Wholesale</x:v>
      </x:c>
      <x:c r="F191" s="34" t="n">
        <x:v>7040</x:v>
      </x:c>
      <x:c r="G191" s="33" t="n">
        <x:v>0.2</x:v>
      </x:c>
      <x:c r="H191" s="38" t="n">
        <x:v>1.408</x:v>
      </x:c>
      <x:c r="I191" s="34" t="n">
        <x:v>139</x:v>
      </x:c>
      <x:c r="J191" s="33" t="n">
        <x:v>10.129496402877697</x:v>
      </x:c>
      <x:c r="K191" t="str">
        <x:v>Seeded historic marketing actual</x:v>
      </x:c>
    </x:row>
    <x:row r="192">
      <x:c r="A192" s="32" t="n">
        <x:v>45985</x:v>
      </x:c>
      <x:c r="B192" s="32" t="n">
        <x:v>45962</x:v>
      </x:c>
      <x:c r="C192" t="str">
        <x:v>Nov 2025</x:v>
      </x:c>
      <x:c r="D192" t="str">
        <x:v>Actual</x:v>
      </x:c>
      <x:c r="E192" t="str">
        <x:v>TikTok Shop</x:v>
      </x:c>
      <x:c r="F192" s="34" t="n">
        <x:v>4692</x:v>
      </x:c>
      <x:c r="G192" s="33" t="n">
        <x:v>0.62</x:v>
      </x:c>
      <x:c r="H192" s="38" t="n">
        <x:v>2.90904</x:v>
      </x:c>
      <x:c r="I192" s="34" t="n">
        <x:v>214</x:v>
      </x:c>
      <x:c r="J192" s="33" t="n">
        <x:v>13.593644859813084</x:v>
      </x:c>
      <x:c r="K192" t="str">
        <x:v>Seeded historic marketing actual</x:v>
      </x:c>
    </x:row>
    <x:row r="193">
      <x:c r="A193" s="32" t="n">
        <x:v>45992</x:v>
      </x:c>
      <x:c r="B193" s="32" t="n">
        <x:v>45992</x:v>
      </x:c>
      <x:c r="C193" t="str">
        <x:v>Dec 2025</x:v>
      </x:c>
      <x:c r="D193" t="str">
        <x:v>Actual</x:v>
      </x:c>
      <x:c r="E193" t="str">
        <x:v>Shopify DTC</x:v>
      </x:c>
      <x:c r="F193" s="34" t="n">
        <x:v>23847</x:v>
      </x:c>
      <x:c r="G193" s="33" t="n">
        <x:v>0.78</x:v>
      </x:c>
      <x:c r="H193" s="38" t="n">
        <x:v>18.60066</x:v>
      </x:c>
      <x:c r="I193" s="34" t="n">
        <x:v>860</x:v>
      </x:c>
      <x:c r="J193" s="33" t="n">
        <x:v>21.62867441860465</x:v>
      </x:c>
      <x:c r="K193" t="str">
        <x:v>Seeded historic marketing actual</x:v>
      </x:c>
    </x:row>
    <x:row r="194">
      <x:c r="A194" s="32" t="n">
        <x:v>45992</x:v>
      </x:c>
      <x:c r="B194" s="32" t="n">
        <x:v>45992</x:v>
      </x:c>
      <x:c r="C194" t="str">
        <x:v>Dec 2025</x:v>
      </x:c>
      <x:c r="D194" t="str">
        <x:v>Actual</x:v>
      </x:c>
      <x:c r="E194" t="str">
        <x:v>Amazon Marketplace</x:v>
      </x:c>
      <x:c r="F194" s="34" t="n">
        <x:v>11924</x:v>
      </x:c>
      <x:c r="G194" s="33" t="n">
        <x:v>0.92</x:v>
      </x:c>
      <x:c r="H194" s="38" t="n">
        <x:v>10.97008</x:v>
      </x:c>
      <x:c r="I194" s="34" t="n">
        <x:v>507</x:v>
      </x:c>
      <x:c r="J194" s="33" t="n">
        <x:v>21.63723865877712</x:v>
      </x:c>
      <x:c r="K194" t="str">
        <x:v>Seeded historic marketing actual</x:v>
      </x:c>
    </x:row>
    <x:row r="195">
      <x:c r="A195" s="32" t="n">
        <x:v>45992</x:v>
      </x:c>
      <x:c r="B195" s="32" t="n">
        <x:v>45992</x:v>
      </x:c>
      <x:c r="C195" t="str">
        <x:v>Dec 2025</x:v>
      </x:c>
      <x:c r="D195" t="str">
        <x:v>Actual</x:v>
      </x:c>
      <x:c r="E195" t="str">
        <x:v>Wholesale</x:v>
      </x:c>
      <x:c r="F195" s="34" t="n">
        <x:v>7154</x:v>
      </x:c>
      <x:c r="G195" s="33" t="n">
        <x:v>0.2</x:v>
      </x:c>
      <x:c r="H195" s="38" t="n">
        <x:v>1.4308</x:v>
      </x:c>
      <x:c r="I195" s="34" t="n">
        <x:v>141</x:v>
      </x:c>
      <x:c r="J195" s="33" t="n">
        <x:v>10.147517730496455</x:v>
      </x:c>
      <x:c r="K195" t="str">
        <x:v>Seeded historic marketing actual</x:v>
      </x:c>
    </x:row>
    <x:row r="196">
      <x:c r="A196" s="32" t="n">
        <x:v>45992</x:v>
      </x:c>
      <x:c r="B196" s="32" t="n">
        <x:v>45992</x:v>
      </x:c>
      <x:c r="C196" t="str">
        <x:v>Dec 2025</x:v>
      </x:c>
      <x:c r="D196" t="str">
        <x:v>Actual</x:v>
      </x:c>
      <x:c r="E196" t="str">
        <x:v>TikTok Shop</x:v>
      </x:c>
      <x:c r="F196" s="34" t="n">
        <x:v>4770</x:v>
      </x:c>
      <x:c r="G196" s="33" t="n">
        <x:v>0.62</x:v>
      </x:c>
      <x:c r="H196" s="38" t="n">
        <x:v>2.9574000000000003</x:v>
      </x:c>
      <x:c r="I196" s="34" t="n">
        <x:v>217</x:v>
      </x:c>
      <x:c r="J196" s="33" t="n">
        <x:v>13.628571428571428</x:v>
      </x:c>
      <x:c r="K196" t="str">
        <x:v>Seeded historic marketing actual</x:v>
      </x:c>
    </x:row>
    <x:row r="197">
      <x:c r="A197" s="32" t="n">
        <x:v>45999</x:v>
      </x:c>
      <x:c r="B197" s="32" t="n">
        <x:v>45992</x:v>
      </x:c>
      <x:c r="C197" t="str">
        <x:v>Dec 2025</x:v>
      </x:c>
      <x:c r="D197" t="str">
        <x:v>Actual</x:v>
      </x:c>
      <x:c r="E197" t="str">
        <x:v>Shopify DTC</x:v>
      </x:c>
      <x:c r="F197" s="34" t="n">
        <x:v>23931</x:v>
      </x:c>
      <x:c r="G197" s="33" t="n">
        <x:v>0.78</x:v>
      </x:c>
      <x:c r="H197" s="38" t="n">
        <x:v>18.66618</x:v>
      </x:c>
      <x:c r="I197" s="34" t="n">
        <x:v>862</x:v>
      </x:c>
      <x:c r="J197" s="33" t="n">
        <x:v>21.654501160092806</x:v>
      </x:c>
      <x:c r="K197" t="str">
        <x:v>Seeded historic marketing actual</x:v>
      </x:c>
    </x:row>
    <x:row r="198">
      <x:c r="A198" s="32" t="n">
        <x:v>45999</x:v>
      </x:c>
      <x:c r="B198" s="32" t="n">
        <x:v>45992</x:v>
      </x:c>
      <x:c r="C198" t="str">
        <x:v>Dec 2025</x:v>
      </x:c>
      <x:c r="D198" t="str">
        <x:v>Actual</x:v>
      </x:c>
      <x:c r="E198" t="str">
        <x:v>Amazon Marketplace</x:v>
      </x:c>
      <x:c r="F198" s="34" t="n">
        <x:v>11966</x:v>
      </x:c>
      <x:c r="G198" s="33" t="n">
        <x:v>0.92</x:v>
      </x:c>
      <x:c r="H198" s="38" t="n">
        <x:v>11.00872</x:v>
      </x:c>
      <x:c r="I198" s="34" t="n">
        <x:v>508</x:v>
      </x:c>
      <x:c r="J198" s="33" t="n">
        <x:v>21.670708661417326</x:v>
      </x:c>
      <x:c r="K198" t="str">
        <x:v>Seeded historic marketing actual</x:v>
      </x:c>
    </x:row>
    <x:row r="199">
      <x:c r="A199" s="32" t="n">
        <x:v>45999</x:v>
      </x:c>
      <x:c r="B199" s="32" t="n">
        <x:v>45992</x:v>
      </x:c>
      <x:c r="C199" t="str">
        <x:v>Dec 2025</x:v>
      </x:c>
      <x:c r="D199" t="str">
        <x:v>Actual</x:v>
      </x:c>
      <x:c r="E199" t="str">
        <x:v>Wholesale</x:v>
      </x:c>
      <x:c r="F199" s="34" t="n">
        <x:v>7179</x:v>
      </x:c>
      <x:c r="G199" s="33" t="n">
        <x:v>0.2</x:v>
      </x:c>
      <x:c r="H199" s="38" t="n">
        <x:v>1.4358000000000002</x:v>
      </x:c>
      <x:c r="I199" s="34" t="n">
        <x:v>142</x:v>
      </x:c>
      <x:c r="J199" s="33" t="n">
        <x:v>10.111267605633804</x:v>
      </x:c>
      <x:c r="K199" t="str">
        <x:v>Seeded historic marketing actual</x:v>
      </x:c>
    </x:row>
    <x:row r="200">
      <x:c r="A200" s="32" t="n">
        <x:v>45999</x:v>
      </x:c>
      <x:c r="B200" s="32" t="n">
        <x:v>45992</x:v>
      </x:c>
      <x:c r="C200" t="str">
        <x:v>Dec 2025</x:v>
      </x:c>
      <x:c r="D200" t="str">
        <x:v>Actual</x:v>
      </x:c>
      <x:c r="E200" t="str">
        <x:v>TikTok Shop</x:v>
      </x:c>
      <x:c r="F200" s="34" t="n">
        <x:v>4786</x:v>
      </x:c>
      <x:c r="G200" s="33" t="n">
        <x:v>0.62</x:v>
      </x:c>
      <x:c r="H200" s="38" t="n">
        <x:v>2.96732</x:v>
      </x:c>
      <x:c r="I200" s="34" t="n">
        <x:v>217</x:v>
      </x:c>
      <x:c r="J200" s="33" t="n">
        <x:v>13.674285714285714</x:v>
      </x:c>
      <x:c r="K200" t="str">
        <x:v>Seeded historic marketing actual</x:v>
      </x:c>
    </x:row>
    <x:row r="201">
      <x:c r="A201" s="32" t="n">
        <x:v>46006</x:v>
      </x:c>
      <x:c r="B201" s="32" t="n">
        <x:v>45992</x:v>
      </x:c>
      <x:c r="C201" t="str">
        <x:v>Dec 2025</x:v>
      </x:c>
      <x:c r="D201" t="str">
        <x:v>Actual</x:v>
      </x:c>
      <x:c r="E201" t="str">
        <x:v>Shopify DTC</x:v>
      </x:c>
      <x:c r="F201" s="34" t="n">
        <x:v>24016</x:v>
      </x:c>
      <x:c r="G201" s="33" t="n">
        <x:v>0.78</x:v>
      </x:c>
      <x:c r="H201" s="38" t="n">
        <x:v>18.73248</x:v>
      </x:c>
      <x:c r="I201" s="34" t="n">
        <x:v>866</x:v>
      </x:c>
      <x:c r="J201" s="33" t="n">
        <x:v>21.631039260969978</x:v>
      </x:c>
      <x:c r="K201" t="str">
        <x:v>Seeded historic marketing actual</x:v>
      </x:c>
    </x:row>
    <x:row r="202">
      <x:c r="A202" s="32" t="n">
        <x:v>46006</x:v>
      </x:c>
      <x:c r="B202" s="32" t="n">
        <x:v>45992</x:v>
      </x:c>
      <x:c r="C202" t="str">
        <x:v>Dec 2025</x:v>
      </x:c>
      <x:c r="D202" t="str">
        <x:v>Actual</x:v>
      </x:c>
      <x:c r="E202" t="str">
        <x:v>Amazon Marketplace</x:v>
      </x:c>
      <x:c r="F202" s="34" t="n">
        <x:v>12007</x:v>
      </x:c>
      <x:c r="G202" s="33" t="n">
        <x:v>0.92</x:v>
      </x:c>
      <x:c r="H202" s="38" t="n">
        <x:v>11.04644</x:v>
      </x:c>
      <x:c r="I202" s="34" t="n">
        <x:v>511</x:v>
      </x:c>
      <x:c r="J202" s="33" t="n">
        <x:v>21.61729941291585</x:v>
      </x:c>
      <x:c r="K202" t="str">
        <x:v>Seeded historic marketing actual</x:v>
      </x:c>
    </x:row>
    <x:row r="203">
      <x:c r="A203" s="32" t="n">
        <x:v>46006</x:v>
      </x:c>
      <x:c r="B203" s="32" t="n">
        <x:v>45992</x:v>
      </x:c>
      <x:c r="C203" t="str">
        <x:v>Dec 2025</x:v>
      </x:c>
      <x:c r="D203" t="str">
        <x:v>Actual</x:v>
      </x:c>
      <x:c r="E203" t="str">
        <x:v>Wholesale</x:v>
      </x:c>
      <x:c r="F203" s="34" t="n">
        <x:v>7205</x:v>
      </x:c>
      <x:c r="G203" s="33" t="n">
        <x:v>0.2</x:v>
      </x:c>
      <x:c r="H203" s="38" t="n">
        <x:v>1.441</x:v>
      </x:c>
      <x:c r="I203" s="34" t="n">
        <x:v>143</x:v>
      </x:c>
      <x:c r="J203" s="33" t="n">
        <x:v>10.076923076923077</x:v>
      </x:c>
      <x:c r="K203" t="str">
        <x:v>Seeded historic marketing actual</x:v>
      </x:c>
    </x:row>
    <x:row r="204">
      <x:c r="A204" s="32" t="n">
        <x:v>46006</x:v>
      </x:c>
      <x:c r="B204" s="32" t="n">
        <x:v>45992</x:v>
      </x:c>
      <x:c r="C204" t="str">
        <x:v>Dec 2025</x:v>
      </x:c>
      <x:c r="D204" t="str">
        <x:v>Actual</x:v>
      </x:c>
      <x:c r="E204" t="str">
        <x:v>TikTok Shop</x:v>
      </x:c>
      <x:c r="F204" s="34" t="n">
        <x:v>4803</x:v>
      </x:c>
      <x:c r="G204" s="33" t="n">
        <x:v>0.62</x:v>
      </x:c>
      <x:c r="H204" s="38" t="n">
        <x:v>2.97786</x:v>
      </x:c>
      <x:c r="I204" s="34" t="n">
        <x:v>217</x:v>
      </x:c>
      <x:c r="J204" s="33" t="n">
        <x:v>13.722857142857144</x:v>
      </x:c>
      <x:c r="K204" t="str">
        <x:v>Seeded historic marketing actual</x:v>
      </x:c>
    </x:row>
    <x:row r="205">
      <x:c r="A205" s="32" t="n">
        <x:v>46013</x:v>
      </x:c>
      <x:c r="B205" s="32" t="n">
        <x:v>45992</x:v>
      </x:c>
      <x:c r="C205" t="str">
        <x:v>Dec 2025</x:v>
      </x:c>
      <x:c r="D205" t="str">
        <x:v>Actual</x:v>
      </x:c>
      <x:c r="E205" t="str">
        <x:v>Shopify DTC</x:v>
      </x:c>
      <x:c r="F205" s="34" t="n">
        <x:v>24098</x:v>
      </x:c>
      <x:c r="G205" s="33" t="n">
        <x:v>0.78</x:v>
      </x:c>
      <x:c r="H205" s="38" t="n">
        <x:v>18.796440000000004</x:v>
      </x:c>
      <x:c r="I205" s="34" t="n">
        <x:v>868</x:v>
      </x:c>
      <x:c r="J205" s="33" t="n">
        <x:v>21.65488479262673</x:v>
      </x:c>
      <x:c r="K205" t="str">
        <x:v>Seeded historic marketing actual</x:v>
      </x:c>
    </x:row>
    <x:row r="206">
      <x:c r="A206" s="32" t="n">
        <x:v>46013</x:v>
      </x:c>
      <x:c r="B206" s="32" t="n">
        <x:v>45992</x:v>
      </x:c>
      <x:c r="C206" t="str">
        <x:v>Dec 2025</x:v>
      </x:c>
      <x:c r="D206" t="str">
        <x:v>Actual</x:v>
      </x:c>
      <x:c r="E206" t="str">
        <x:v>Amazon Marketplace</x:v>
      </x:c>
      <x:c r="F206" s="34" t="n">
        <x:v>12050</x:v>
      </x:c>
      <x:c r="G206" s="33" t="n">
        <x:v>0.92</x:v>
      </x:c>
      <x:c r="H206" s="38" t="n">
        <x:v>11.086</x:v>
      </x:c>
      <x:c r="I206" s="34" t="n">
        <x:v>513</x:v>
      </x:c>
      <x:c r="J206" s="33" t="n">
        <x:v>21.610136452241715</x:v>
      </x:c>
      <x:c r="K206" t="str">
        <x:v>Seeded historic marketing actual</x:v>
      </x:c>
    </x:row>
    <x:row r="207">
      <x:c r="A207" s="32" t="n">
        <x:v>46013</x:v>
      </x:c>
      <x:c r="B207" s="32" t="n">
        <x:v>45992</x:v>
      </x:c>
      <x:c r="C207" t="str">
        <x:v>Dec 2025</x:v>
      </x:c>
      <x:c r="D207" t="str">
        <x:v>Actual</x:v>
      </x:c>
      <x:c r="E207" t="str">
        <x:v>Wholesale</x:v>
      </x:c>
      <x:c r="F207" s="34" t="n">
        <x:v>7230</x:v>
      </x:c>
      <x:c r="G207" s="33" t="n">
        <x:v>0.2</x:v>
      </x:c>
      <x:c r="H207" s="38" t="n">
        <x:v>1.446</x:v>
      </x:c>
      <x:c r="I207" s="34" t="n">
        <x:v>143</x:v>
      </x:c>
      <x:c r="J207" s="33" t="n">
        <x:v>10.111888111888112</x:v>
      </x:c>
      <x:c r="K207" t="str">
        <x:v>Seeded historic marketing actual</x:v>
      </x:c>
    </x:row>
    <x:row r="208">
      <x:c r="A208" s="32" t="n">
        <x:v>46013</x:v>
      </x:c>
      <x:c r="B208" s="32" t="n">
        <x:v>45992</x:v>
      </x:c>
      <x:c r="C208" t="str">
        <x:v>Dec 2025</x:v>
      </x:c>
      <x:c r="D208" t="str">
        <x:v>Actual</x:v>
      </x:c>
      <x:c r="E208" t="str">
        <x:v>TikTok Shop</x:v>
      </x:c>
      <x:c r="F208" s="34" t="n">
        <x:v>4820</x:v>
      </x:c>
      <x:c r="G208" s="33" t="n">
        <x:v>0.62</x:v>
      </x:c>
      <x:c r="H208" s="38" t="n">
        <x:v>2.9884</x:v>
      </x:c>
      <x:c r="I208" s="34" t="n">
        <x:v>218</x:v>
      </x:c>
      <x:c r="J208" s="33" t="n">
        <x:v>13.708256880733945</x:v>
      </x:c>
      <x:c r="K208" t="str">
        <x:v>Seeded historic marketing actual</x:v>
      </x:c>
    </x:row>
    <x:row r="209">
      <x:c r="A209" s="32" t="n">
        <x:v>46020</x:v>
      </x:c>
      <x:c r="B209" s="32" t="n">
        <x:v>45992</x:v>
      </x:c>
      <x:c r="C209" t="str">
        <x:v>Dec 2025</x:v>
      </x:c>
      <x:c r="D209" t="str">
        <x:v>Actual</x:v>
      </x:c>
      <x:c r="E209" t="str">
        <x:v>Shopify DTC</x:v>
      </x:c>
      <x:c r="F209" s="34" t="n">
        <x:v>24182</x:v>
      </x:c>
      <x:c r="G209" s="33" t="n">
        <x:v>0.78</x:v>
      </x:c>
      <x:c r="H209" s="38" t="n">
        <x:v>18.86196</x:v>
      </x:c>
      <x:c r="I209" s="34" t="n">
        <x:v>872</x:v>
      </x:c>
      <x:c r="J209" s="33" t="n">
        <x:v>21.630688073394495</x:v>
      </x:c>
      <x:c r="K209" t="str">
        <x:v>Seeded historic marketing actual</x:v>
      </x:c>
    </x:row>
    <x:row r="210">
      <x:c r="A210" s="32" t="n">
        <x:v>46020</x:v>
      </x:c>
      <x:c r="B210" s="32" t="n">
        <x:v>45992</x:v>
      </x:c>
      <x:c r="C210" t="str">
        <x:v>Dec 2025</x:v>
      </x:c>
      <x:c r="D210" t="str">
        <x:v>Actual</x:v>
      </x:c>
      <x:c r="E210" t="str">
        <x:v>Amazon Marketplace</x:v>
      </x:c>
      <x:c r="F210" s="34" t="n">
        <x:v>12092</x:v>
      </x:c>
      <x:c r="G210" s="33" t="n">
        <x:v>0.92</x:v>
      </x:c>
      <x:c r="H210" s="38" t="n">
        <x:v>11.124640000000001</x:v>
      </x:c>
      <x:c r="I210" s="34" t="n">
        <x:v>515</x:v>
      </x:c>
      <x:c r="J210" s="33" t="n">
        <x:v>21.601242718446603</x:v>
      </x:c>
      <x:c r="K210" t="str">
        <x:v>Seeded historic marketing actual</x:v>
      </x:c>
    </x:row>
    <x:row r="211">
      <x:c r="A211" s="32" t="n">
        <x:v>46020</x:v>
      </x:c>
      <x:c r="B211" s="32" t="n">
        <x:v>45992</x:v>
      </x:c>
      <x:c r="C211" t="str">
        <x:v>Dec 2025</x:v>
      </x:c>
      <x:c r="D211" t="str">
        <x:v>Actual</x:v>
      </x:c>
      <x:c r="E211" t="str">
        <x:v>Wholesale</x:v>
      </x:c>
      <x:c r="F211" s="34" t="n">
        <x:v>7255</x:v>
      </x:c>
      <x:c r="G211" s="33" t="n">
        <x:v>0.2</x:v>
      </x:c>
      <x:c r="H211" s="38" t="n">
        <x:v>1.451</x:v>
      </x:c>
      <x:c r="I211" s="34" t="n">
        <x:v>144</x:v>
      </x:c>
      <x:c r="J211" s="33" t="n">
        <x:v>10.07638888888889</x:v>
      </x:c>
      <x:c r="K211" t="str">
        <x:v>Seeded historic marketing actual</x:v>
      </x:c>
    </x:row>
    <x:row r="212">
      <x:c r="A212" s="32" t="n">
        <x:v>46020</x:v>
      </x:c>
      <x:c r="B212" s="32" t="n">
        <x:v>45992</x:v>
      </x:c>
      <x:c r="C212" t="str">
        <x:v>Dec 2025</x:v>
      </x:c>
      <x:c r="D212" t="str">
        <x:v>Actual</x:v>
      </x:c>
      <x:c r="E212" t="str">
        <x:v>TikTok Shop</x:v>
      </x:c>
      <x:c r="F212" s="34" t="n">
        <x:v>4836</x:v>
      </x:c>
      <x:c r="G212" s="33" t="n">
        <x:v>0.62</x:v>
      </x:c>
      <x:c r="H212" s="38" t="n">
        <x:v>2.99832</x:v>
      </x:c>
      <x:c r="I212" s="34" t="n">
        <x:v>220</x:v>
      </x:c>
      <x:c r="J212" s="33" t="n">
        <x:v>13.628727272727273</x:v>
      </x:c>
      <x:c r="K212" t="str">
        <x:v>Seeded historic marketing actual</x:v>
      </x:c>
    </x:row>
    <x:row r="213">
      <x:c r="A213" s="32" t="n">
        <x:v>46027</x:v>
      </x:c>
      <x:c r="B213" s="32" t="n">
        <x:v>46023</x:v>
      </x:c>
      <x:c r="C213" t="str">
        <x:v>Jan 2026</x:v>
      </x:c>
      <x:c r="D213" t="str">
        <x:v>Forecast</x:v>
      </x:c>
      <x:c r="E213" t="str">
        <x:v>Shopify DTC</x:v>
      </x:c>
      <x:c r="F213" s="34" t="n">
        <x:v>27980</x:v>
      </x:c>
      <x:c r="G213" s="33" t="n">
        <x:v>0.78</x:v>
      </x:c>
      <x:c r="H213" s="38" t="n">
        <x:v>21.8244</x:v>
      </x:c>
      <x:c r="I213" s="34" t="n">
        <x:v>1015</x:v>
      </x:c>
      <x:c r="J213" s="33" t="n">
        <x:v>21.501871921182268</x:v>
      </x:c>
      <x:c r="K213" t="str">
        <x:v>Forecast driven by traffic and scenario</x:v>
      </x:c>
    </x:row>
    <x:row r="214">
      <x:c r="A214" s="32" t="n">
        <x:v>46027</x:v>
      </x:c>
      <x:c r="B214" s="32" t="n">
        <x:v>46023</x:v>
      </x:c>
      <x:c r="C214" t="str">
        <x:v>Jan 2026</x:v>
      </x:c>
      <x:c r="D214" t="str">
        <x:v>Forecast</x:v>
      </x:c>
      <x:c r="E214" t="str">
        <x:v>Amazon Marketplace</x:v>
      </x:c>
      <x:c r="F214" s="34" t="n">
        <x:v>13989</x:v>
      </x:c>
      <x:c r="G214" s="33" t="n">
        <x:v>0.92</x:v>
      </x:c>
      <x:c r="H214" s="38" t="n">
        <x:v>12.86988</x:v>
      </x:c>
      <x:c r="I214" s="34" t="n">
        <x:v>599</x:v>
      </x:c>
      <x:c r="J214" s="33" t="n">
        <x:v>21.48560934891486</x:v>
      </x:c>
      <x:c r="K214" t="str">
        <x:v>Forecast driven by traffic and scenario</x:v>
      </x:c>
    </x:row>
    <x:row r="215">
      <x:c r="A215" s="32" t="n">
        <x:v>46027</x:v>
      </x:c>
      <x:c r="B215" s="32" t="n">
        <x:v>46023</x:v>
      </x:c>
      <x:c r="C215" t="str">
        <x:v>Jan 2026</x:v>
      </x:c>
      <x:c r="D215" t="str">
        <x:v>Forecast</x:v>
      </x:c>
      <x:c r="E215" t="str">
        <x:v>Wholesale</x:v>
      </x:c>
      <x:c r="F215" s="34" t="n">
        <x:v>8394</x:v>
      </x:c>
      <x:c r="G215" s="33" t="n">
        <x:v>0.2</x:v>
      </x:c>
      <x:c r="H215" s="38" t="n">
        <x:v>1.6788000000000003</x:v>
      </x:c>
      <x:c r="I215" s="34" t="n">
        <x:v>167</x:v>
      </x:c>
      <x:c r="J215" s="33" t="n">
        <x:v>10.052694610778444</x:v>
      </x:c>
      <x:c r="K215" t="str">
        <x:v>Forecast driven by traffic and scenario</x:v>
      </x:c>
    </x:row>
    <x:row r="216">
      <x:c r="A216" s="32" t="n">
        <x:v>46027</x:v>
      </x:c>
      <x:c r="B216" s="32" t="n">
        <x:v>46023</x:v>
      </x:c>
      <x:c r="C216" t="str">
        <x:v>Jan 2026</x:v>
      </x:c>
      <x:c r="D216" t="str">
        <x:v>Forecast</x:v>
      </x:c>
      <x:c r="E216" t="str">
        <x:v>TikTok Shop</x:v>
      </x:c>
      <x:c r="F216" s="34" t="n">
        <x:v>5596</x:v>
      </x:c>
      <x:c r="G216" s="33" t="n">
        <x:v>0.62</x:v>
      </x:c>
      <x:c r="H216" s="38" t="n">
        <x:v>3.46952</x:v>
      </x:c>
      <x:c r="I216" s="34" t="n">
        <x:v>255</x:v>
      </x:c>
      <x:c r="J216" s="33" t="n">
        <x:v>13.605960784313725</x:v>
      </x:c>
      <x:c r="K216" t="str">
        <x:v>Forecast driven by traffic and scenario</x:v>
      </x:c>
    </x:row>
    <x:row r="217">
      <x:c r="A217" s="32" t="n">
        <x:v>46034</x:v>
      </x:c>
      <x:c r="B217" s="32" t="n">
        <x:v>46023</x:v>
      </x:c>
      <x:c r="C217" t="str">
        <x:v>Jan 2026</x:v>
      </x:c>
      <x:c r="D217" t="str">
        <x:v>Forecast</x:v>
      </x:c>
      <x:c r="E217" t="str">
        <x:v>Shopify DTC</x:v>
      </x:c>
      <x:c r="F217" s="34" t="n">
        <x:v>27980</x:v>
      </x:c>
      <x:c r="G217" s="33" t="n">
        <x:v>0.78</x:v>
      </x:c>
      <x:c r="H217" s="38" t="n">
        <x:v>21.8244</x:v>
      </x:c>
      <x:c r="I217" s="34" t="n">
        <x:v>1015</x:v>
      </x:c>
      <x:c r="J217" s="33" t="n">
        <x:v>21.501871921182268</x:v>
      </x:c>
      <x:c r="K217" t="str">
        <x:v>Forecast driven by traffic and scenario</x:v>
      </x:c>
    </x:row>
    <x:row r="218">
      <x:c r="A218" s="32" t="n">
        <x:v>46034</x:v>
      </x:c>
      <x:c r="B218" s="32" t="n">
        <x:v>46023</x:v>
      </x:c>
      <x:c r="C218" t="str">
        <x:v>Jan 2026</x:v>
      </x:c>
      <x:c r="D218" t="str">
        <x:v>Forecast</x:v>
      </x:c>
      <x:c r="E218" t="str">
        <x:v>Amazon Marketplace</x:v>
      </x:c>
      <x:c r="F218" s="34" t="n">
        <x:v>13989</x:v>
      </x:c>
      <x:c r="G218" s="33" t="n">
        <x:v>0.92</x:v>
      </x:c>
      <x:c r="H218" s="38" t="n">
        <x:v>12.86988</x:v>
      </x:c>
      <x:c r="I218" s="34" t="n">
        <x:v>599</x:v>
      </x:c>
      <x:c r="J218" s="33" t="n">
        <x:v>21.48560934891486</x:v>
      </x:c>
      <x:c r="K218" t="str">
        <x:v>Forecast driven by traffic and scenario</x:v>
      </x:c>
    </x:row>
    <x:row r="219">
      <x:c r="A219" s="32" t="n">
        <x:v>46034</x:v>
      </x:c>
      <x:c r="B219" s="32" t="n">
        <x:v>46023</x:v>
      </x:c>
      <x:c r="C219" t="str">
        <x:v>Jan 2026</x:v>
      </x:c>
      <x:c r="D219" t="str">
        <x:v>Forecast</x:v>
      </x:c>
      <x:c r="E219" t="str">
        <x:v>Wholesale</x:v>
      </x:c>
      <x:c r="F219" s="34" t="n">
        <x:v>8394</x:v>
      </x:c>
      <x:c r="G219" s="33" t="n">
        <x:v>0.2</x:v>
      </x:c>
      <x:c r="H219" s="38" t="n">
        <x:v>1.6788000000000003</x:v>
      </x:c>
      <x:c r="I219" s="34" t="n">
        <x:v>167</x:v>
      </x:c>
      <x:c r="J219" s="33" t="n">
        <x:v>10.052694610778444</x:v>
      </x:c>
      <x:c r="K219" t="str">
        <x:v>Forecast driven by traffic and scenario</x:v>
      </x:c>
    </x:row>
    <x:row r="220">
      <x:c r="A220" s="32" t="n">
        <x:v>46034</x:v>
      </x:c>
      <x:c r="B220" s="32" t="n">
        <x:v>46023</x:v>
      </x:c>
      <x:c r="C220" t="str">
        <x:v>Jan 2026</x:v>
      </x:c>
      <x:c r="D220" t="str">
        <x:v>Forecast</x:v>
      </x:c>
      <x:c r="E220" t="str">
        <x:v>TikTok Shop</x:v>
      </x:c>
      <x:c r="F220" s="34" t="n">
        <x:v>5596</x:v>
      </x:c>
      <x:c r="G220" s="33" t="n">
        <x:v>0.62</x:v>
      </x:c>
      <x:c r="H220" s="38" t="n">
        <x:v>3.46952</x:v>
      </x:c>
      <x:c r="I220" s="34" t="n">
        <x:v>255</x:v>
      </x:c>
      <x:c r="J220" s="33" t="n">
        <x:v>13.605960784313725</x:v>
      </x:c>
      <x:c r="K220" t="str">
        <x:v>Forecast driven by traffic and scenario</x:v>
      </x:c>
    </x:row>
    <x:row r="221">
      <x:c r="A221" s="32" t="n">
        <x:v>46041</x:v>
      </x:c>
      <x:c r="B221" s="32" t="n">
        <x:v>46023</x:v>
      </x:c>
      <x:c r="C221" t="str">
        <x:v>Jan 2026</x:v>
      </x:c>
      <x:c r="D221" t="str">
        <x:v>Forecast</x:v>
      </x:c>
      <x:c r="E221" t="str">
        <x:v>Shopify DTC</x:v>
      </x:c>
      <x:c r="F221" s="34" t="n">
        <x:v>27980</x:v>
      </x:c>
      <x:c r="G221" s="33" t="n">
        <x:v>0.78</x:v>
      </x:c>
      <x:c r="H221" s="38" t="n">
        <x:v>21.8244</x:v>
      </x:c>
      <x:c r="I221" s="34" t="n">
        <x:v>1015</x:v>
      </x:c>
      <x:c r="J221" s="33" t="n">
        <x:v>21.501871921182268</x:v>
      </x:c>
      <x:c r="K221" t="str">
        <x:v>Forecast driven by traffic and scenario</x:v>
      </x:c>
    </x:row>
    <x:row r="222">
      <x:c r="A222" s="32" t="n">
        <x:v>46041</x:v>
      </x:c>
      <x:c r="B222" s="32" t="n">
        <x:v>46023</x:v>
      </x:c>
      <x:c r="C222" t="str">
        <x:v>Jan 2026</x:v>
      </x:c>
      <x:c r="D222" t="str">
        <x:v>Forecast</x:v>
      </x:c>
      <x:c r="E222" t="str">
        <x:v>Amazon Marketplace</x:v>
      </x:c>
      <x:c r="F222" s="34" t="n">
        <x:v>13989</x:v>
      </x:c>
      <x:c r="G222" s="33" t="n">
        <x:v>0.92</x:v>
      </x:c>
      <x:c r="H222" s="38" t="n">
        <x:v>12.86988</x:v>
      </x:c>
      <x:c r="I222" s="34" t="n">
        <x:v>599</x:v>
      </x:c>
      <x:c r="J222" s="33" t="n">
        <x:v>21.48560934891486</x:v>
      </x:c>
      <x:c r="K222" t="str">
        <x:v>Forecast driven by traffic and scenario</x:v>
      </x:c>
    </x:row>
    <x:row r="223">
      <x:c r="A223" s="32" t="n">
        <x:v>46041</x:v>
      </x:c>
      <x:c r="B223" s="32" t="n">
        <x:v>46023</x:v>
      </x:c>
      <x:c r="C223" t="str">
        <x:v>Jan 2026</x:v>
      </x:c>
      <x:c r="D223" t="str">
        <x:v>Forecast</x:v>
      </x:c>
      <x:c r="E223" t="str">
        <x:v>Wholesale</x:v>
      </x:c>
      <x:c r="F223" s="34" t="n">
        <x:v>8394</x:v>
      </x:c>
      <x:c r="G223" s="33" t="n">
        <x:v>0.2</x:v>
      </x:c>
      <x:c r="H223" s="38" t="n">
        <x:v>1.6788000000000003</x:v>
      </x:c>
      <x:c r="I223" s="34" t="n">
        <x:v>167</x:v>
      </x:c>
      <x:c r="J223" s="33" t="n">
        <x:v>10.052694610778444</x:v>
      </x:c>
      <x:c r="K223" t="str">
        <x:v>Forecast driven by traffic and scenario</x:v>
      </x:c>
    </x:row>
    <x:row r="224">
      <x:c r="A224" s="32" t="n">
        <x:v>46041</x:v>
      </x:c>
      <x:c r="B224" s="32" t="n">
        <x:v>46023</x:v>
      </x:c>
      <x:c r="C224" t="str">
        <x:v>Jan 2026</x:v>
      </x:c>
      <x:c r="D224" t="str">
        <x:v>Forecast</x:v>
      </x:c>
      <x:c r="E224" t="str">
        <x:v>TikTok Shop</x:v>
      </x:c>
      <x:c r="F224" s="34" t="n">
        <x:v>5596</x:v>
      </x:c>
      <x:c r="G224" s="33" t="n">
        <x:v>0.62</x:v>
      </x:c>
      <x:c r="H224" s="38" t="n">
        <x:v>3.46952</x:v>
      </x:c>
      <x:c r="I224" s="34" t="n">
        <x:v>255</x:v>
      </x:c>
      <x:c r="J224" s="33" t="n">
        <x:v>13.605960784313725</x:v>
      </x:c>
      <x:c r="K224" t="str">
        <x:v>Forecast driven by traffic and scenario</x:v>
      </x:c>
    </x:row>
    <x:row r="225">
      <x:c r="A225" s="32" t="n">
        <x:v>46048</x:v>
      </x:c>
      <x:c r="B225" s="32" t="n">
        <x:v>46023</x:v>
      </x:c>
      <x:c r="C225" t="str">
        <x:v>Jan 2026</x:v>
      </x:c>
      <x:c r="D225" t="str">
        <x:v>Forecast</x:v>
      </x:c>
      <x:c r="E225" t="str">
        <x:v>Shopify DTC</x:v>
      </x:c>
      <x:c r="F225" s="34" t="n">
        <x:v>27980</x:v>
      </x:c>
      <x:c r="G225" s="33" t="n">
        <x:v>0.78</x:v>
      </x:c>
      <x:c r="H225" s="38" t="n">
        <x:v>21.8244</x:v>
      </x:c>
      <x:c r="I225" s="34" t="n">
        <x:v>1015</x:v>
      </x:c>
      <x:c r="J225" s="33" t="n">
        <x:v>21.501871921182268</x:v>
      </x:c>
      <x:c r="K225" t="str">
        <x:v>Forecast driven by traffic and scenario</x:v>
      </x:c>
    </x:row>
    <x:row r="226">
      <x:c r="A226" s="32" t="n">
        <x:v>46048</x:v>
      </x:c>
      <x:c r="B226" s="32" t="n">
        <x:v>46023</x:v>
      </x:c>
      <x:c r="C226" t="str">
        <x:v>Jan 2026</x:v>
      </x:c>
      <x:c r="D226" t="str">
        <x:v>Forecast</x:v>
      </x:c>
      <x:c r="E226" t="str">
        <x:v>Amazon Marketplace</x:v>
      </x:c>
      <x:c r="F226" s="34" t="n">
        <x:v>13989</x:v>
      </x:c>
      <x:c r="G226" s="33" t="n">
        <x:v>0.92</x:v>
      </x:c>
      <x:c r="H226" s="38" t="n">
        <x:v>12.86988</x:v>
      </x:c>
      <x:c r="I226" s="34" t="n">
        <x:v>599</x:v>
      </x:c>
      <x:c r="J226" s="33" t="n">
        <x:v>21.48560934891486</x:v>
      </x:c>
      <x:c r="K226" t="str">
        <x:v>Forecast driven by traffic and scenario</x:v>
      </x:c>
    </x:row>
    <x:row r="227">
      <x:c r="A227" s="32" t="n">
        <x:v>46048</x:v>
      </x:c>
      <x:c r="B227" s="32" t="n">
        <x:v>46023</x:v>
      </x:c>
      <x:c r="C227" t="str">
        <x:v>Jan 2026</x:v>
      </x:c>
      <x:c r="D227" t="str">
        <x:v>Forecast</x:v>
      </x:c>
      <x:c r="E227" t="str">
        <x:v>Wholesale</x:v>
      </x:c>
      <x:c r="F227" s="34" t="n">
        <x:v>8394</x:v>
      </x:c>
      <x:c r="G227" s="33" t="n">
        <x:v>0.2</x:v>
      </x:c>
      <x:c r="H227" s="38" t="n">
        <x:v>1.6788000000000003</x:v>
      </x:c>
      <x:c r="I227" s="34" t="n">
        <x:v>167</x:v>
      </x:c>
      <x:c r="J227" s="33" t="n">
        <x:v>10.052694610778444</x:v>
      </x:c>
      <x:c r="K227" t="str">
        <x:v>Forecast driven by traffic and scenario</x:v>
      </x:c>
    </x:row>
    <x:row r="228">
      <x:c r="A228" s="32" t="n">
        <x:v>46048</x:v>
      </x:c>
      <x:c r="B228" s="32" t="n">
        <x:v>46023</x:v>
      </x:c>
      <x:c r="C228" t="str">
        <x:v>Jan 2026</x:v>
      </x:c>
      <x:c r="D228" t="str">
        <x:v>Forecast</x:v>
      </x:c>
      <x:c r="E228" t="str">
        <x:v>TikTok Shop</x:v>
      </x:c>
      <x:c r="F228" s="34" t="n">
        <x:v>5596</x:v>
      </x:c>
      <x:c r="G228" s="33" t="n">
        <x:v>0.62</x:v>
      </x:c>
      <x:c r="H228" s="38" t="n">
        <x:v>3.46952</x:v>
      </x:c>
      <x:c r="I228" s="34" t="n">
        <x:v>255</x:v>
      </x:c>
      <x:c r="J228" s="33" t="n">
        <x:v>13.605960784313725</x:v>
      </x:c>
      <x:c r="K228" t="str">
        <x:v>Forecast driven by traffic and scenario</x:v>
      </x:c>
    </x:row>
    <x:row r="229">
      <x:c r="A229" s="32" t="n">
        <x:v>46055</x:v>
      </x:c>
      <x:c r="B229" s="32" t="n">
        <x:v>46054</x:v>
      </x:c>
      <x:c r="C229" t="str">
        <x:v>Feb 2026</x:v>
      </x:c>
      <x:c r="D229" t="str">
        <x:v>Forecast</x:v>
      </x:c>
      <x:c r="E229" t="str">
        <x:v>Shopify DTC</x:v>
      </x:c>
      <x:c r="F229" s="34" t="n">
        <x:v>27416</x:v>
      </x:c>
      <x:c r="G229" s="33" t="n">
        <x:v>0.78</x:v>
      </x:c>
      <x:c r="H229" s="38" t="n">
        <x:v>21.38448</x:v>
      </x:c>
      <x:c r="I229" s="34" t="n">
        <x:v>996</x:v>
      </x:c>
      <x:c r="J229" s="33" t="n">
        <x:v>21.470361445783134</x:v>
      </x:c>
      <x:c r="K229" t="str">
        <x:v>Forecast driven by traffic and scenario</x:v>
      </x:c>
    </x:row>
    <x:row r="230">
      <x:c r="A230" s="32" t="n">
        <x:v>46055</x:v>
      </x:c>
      <x:c r="B230" s="32" t="n">
        <x:v>46054</x:v>
      </x:c>
      <x:c r="C230" t="str">
        <x:v>Feb 2026</x:v>
      </x:c>
      <x:c r="D230" t="str">
        <x:v>Forecast</x:v>
      </x:c>
      <x:c r="E230" t="str">
        <x:v>Amazon Marketplace</x:v>
      </x:c>
      <x:c r="F230" s="34" t="n">
        <x:v>13706</x:v>
      </x:c>
      <x:c r="G230" s="33" t="n">
        <x:v>0.92</x:v>
      </x:c>
      <x:c r="H230" s="38" t="n">
        <x:v>12.60952</x:v>
      </x:c>
      <x:c r="I230" s="34" t="n">
        <x:v>588</x:v>
      </x:c>
      <x:c r="J230" s="33" t="n">
        <x:v>21.444761904761904</x:v>
      </x:c>
      <x:c r="K230" t="str">
        <x:v>Forecast driven by traffic and scenario</x:v>
      </x:c>
    </x:row>
    <x:row r="231">
      <x:c r="A231" s="32" t="n">
        <x:v>46055</x:v>
      </x:c>
      <x:c r="B231" s="32" t="n">
        <x:v>46054</x:v>
      </x:c>
      <x:c r="C231" t="str">
        <x:v>Feb 2026</x:v>
      </x:c>
      <x:c r="D231" t="str">
        <x:v>Forecast</x:v>
      </x:c>
      <x:c r="E231" t="str">
        <x:v>Wholesale</x:v>
      </x:c>
      <x:c r="F231" s="34" t="n">
        <x:v>8224</x:v>
      </x:c>
      <x:c r="G231" s="33" t="n">
        <x:v>0.2</x:v>
      </x:c>
      <x:c r="H231" s="38" t="n">
        <x:v>1.6448000000000003</x:v>
      </x:c>
      <x:c r="I231" s="34" t="n">
        <x:v>163</x:v>
      </x:c>
      <x:c r="J231" s="33" t="n">
        <x:v>10.09079754601227</x:v>
      </x:c>
      <x:c r="K231" t="str">
        <x:v>Forecast driven by traffic and scenario</x:v>
      </x:c>
    </x:row>
    <x:row r="232">
      <x:c r="A232" s="32" t="n">
        <x:v>46055</x:v>
      </x:c>
      <x:c r="B232" s="32" t="n">
        <x:v>46054</x:v>
      </x:c>
      <x:c r="C232" t="str">
        <x:v>Feb 2026</x:v>
      </x:c>
      <x:c r="D232" t="str">
        <x:v>Forecast</x:v>
      </x:c>
      <x:c r="E232" t="str">
        <x:v>TikTok Shop</x:v>
      </x:c>
      <x:c r="F232" s="34" t="n">
        <x:v>5483</x:v>
      </x:c>
      <x:c r="G232" s="33" t="n">
        <x:v>0.62</x:v>
      </x:c>
      <x:c r="H232" s="38" t="n">
        <x:v>3.39946</x:v>
      </x:c>
      <x:c r="I232" s="34" t="n">
        <x:v>251</x:v>
      </x:c>
      <x:c r="J232" s="33" t="n">
        <x:v>13.543665338645418</x:v>
      </x:c>
      <x:c r="K232" t="str">
        <x:v>Forecast driven by traffic and scenario</x:v>
      </x:c>
    </x:row>
    <x:row r="233">
      <x:c r="A233" s="32" t="n">
        <x:v>46062</x:v>
      </x:c>
      <x:c r="B233" s="32" t="n">
        <x:v>46054</x:v>
      </x:c>
      <x:c r="C233" t="str">
        <x:v>Feb 2026</x:v>
      </x:c>
      <x:c r="D233" t="str">
        <x:v>Forecast</x:v>
      </x:c>
      <x:c r="E233" t="str">
        <x:v>Shopify DTC</x:v>
      </x:c>
      <x:c r="F233" s="34" t="n">
        <x:v>27416</x:v>
      </x:c>
      <x:c r="G233" s="33" t="n">
        <x:v>0.78</x:v>
      </x:c>
      <x:c r="H233" s="38" t="n">
        <x:v>21.38448</x:v>
      </x:c>
      <x:c r="I233" s="34" t="n">
        <x:v>996</x:v>
      </x:c>
      <x:c r="J233" s="33" t="n">
        <x:v>21.470361445783134</x:v>
      </x:c>
      <x:c r="K233" t="str">
        <x:v>Forecast driven by traffic and scenario</x:v>
      </x:c>
    </x:row>
    <x:row r="234">
      <x:c r="A234" s="32" t="n">
        <x:v>46062</x:v>
      </x:c>
      <x:c r="B234" s="32" t="n">
        <x:v>46054</x:v>
      </x:c>
      <x:c r="C234" t="str">
        <x:v>Feb 2026</x:v>
      </x:c>
      <x:c r="D234" t="str">
        <x:v>Forecast</x:v>
      </x:c>
      <x:c r="E234" t="str">
        <x:v>Amazon Marketplace</x:v>
      </x:c>
      <x:c r="F234" s="34" t="n">
        <x:v>13706</x:v>
      </x:c>
      <x:c r="G234" s="33" t="n">
        <x:v>0.92</x:v>
      </x:c>
      <x:c r="H234" s="38" t="n">
        <x:v>12.60952</x:v>
      </x:c>
      <x:c r="I234" s="34" t="n">
        <x:v>588</x:v>
      </x:c>
      <x:c r="J234" s="33" t="n">
        <x:v>21.444761904761904</x:v>
      </x:c>
      <x:c r="K234" t="str">
        <x:v>Forecast driven by traffic and scenario</x:v>
      </x:c>
    </x:row>
    <x:row r="235">
      <x:c r="A235" s="32" t="n">
        <x:v>46062</x:v>
      </x:c>
      <x:c r="B235" s="32" t="n">
        <x:v>46054</x:v>
      </x:c>
      <x:c r="C235" t="str">
        <x:v>Feb 2026</x:v>
      </x:c>
      <x:c r="D235" t="str">
        <x:v>Forecast</x:v>
      </x:c>
      <x:c r="E235" t="str">
        <x:v>Wholesale</x:v>
      </x:c>
      <x:c r="F235" s="34" t="n">
        <x:v>8224</x:v>
      </x:c>
      <x:c r="G235" s="33" t="n">
        <x:v>0.2</x:v>
      </x:c>
      <x:c r="H235" s="38" t="n">
        <x:v>1.6448000000000003</x:v>
      </x:c>
      <x:c r="I235" s="34" t="n">
        <x:v>163</x:v>
      </x:c>
      <x:c r="J235" s="33" t="n">
        <x:v>10.09079754601227</x:v>
      </x:c>
      <x:c r="K235" t="str">
        <x:v>Forecast driven by traffic and scenario</x:v>
      </x:c>
    </x:row>
    <x:row r="236">
      <x:c r="A236" s="32" t="n">
        <x:v>46062</x:v>
      </x:c>
      <x:c r="B236" s="32" t="n">
        <x:v>46054</x:v>
      </x:c>
      <x:c r="C236" t="str">
        <x:v>Feb 2026</x:v>
      </x:c>
      <x:c r="D236" t="str">
        <x:v>Forecast</x:v>
      </x:c>
      <x:c r="E236" t="str">
        <x:v>TikTok Shop</x:v>
      </x:c>
      <x:c r="F236" s="34" t="n">
        <x:v>5483</x:v>
      </x:c>
      <x:c r="G236" s="33" t="n">
        <x:v>0.62</x:v>
      </x:c>
      <x:c r="H236" s="38" t="n">
        <x:v>3.39946</x:v>
      </x:c>
      <x:c r="I236" s="34" t="n">
        <x:v>251</x:v>
      </x:c>
      <x:c r="J236" s="33" t="n">
        <x:v>13.543665338645418</x:v>
      </x:c>
      <x:c r="K236" t="str">
        <x:v>Forecast driven by traffic and scenario</x:v>
      </x:c>
    </x:row>
    <x:row r="237">
      <x:c r="A237" s="32" t="n">
        <x:v>46069</x:v>
      </x:c>
      <x:c r="B237" s="32" t="n">
        <x:v>46054</x:v>
      </x:c>
      <x:c r="C237" t="str">
        <x:v>Feb 2026</x:v>
      </x:c>
      <x:c r="D237" t="str">
        <x:v>Forecast</x:v>
      </x:c>
      <x:c r="E237" t="str">
        <x:v>Shopify DTC</x:v>
      </x:c>
      <x:c r="F237" s="34" t="n">
        <x:v>27416</x:v>
      </x:c>
      <x:c r="G237" s="33" t="n">
        <x:v>0.78</x:v>
      </x:c>
      <x:c r="H237" s="38" t="n">
        <x:v>21.38448</x:v>
      </x:c>
      <x:c r="I237" s="34" t="n">
        <x:v>996</x:v>
      </x:c>
      <x:c r="J237" s="33" t="n">
        <x:v>21.470361445783134</x:v>
      </x:c>
      <x:c r="K237" t="str">
        <x:v>Forecast driven by traffic and scenario</x:v>
      </x:c>
    </x:row>
    <x:row r="238">
      <x:c r="A238" s="32" t="n">
        <x:v>46069</x:v>
      </x:c>
      <x:c r="B238" s="32" t="n">
        <x:v>46054</x:v>
      </x:c>
      <x:c r="C238" t="str">
        <x:v>Feb 2026</x:v>
      </x:c>
      <x:c r="D238" t="str">
        <x:v>Forecast</x:v>
      </x:c>
      <x:c r="E238" t="str">
        <x:v>Amazon Marketplace</x:v>
      </x:c>
      <x:c r="F238" s="34" t="n">
        <x:v>13706</x:v>
      </x:c>
      <x:c r="G238" s="33" t="n">
        <x:v>0.92</x:v>
      </x:c>
      <x:c r="H238" s="38" t="n">
        <x:v>12.60952</x:v>
      </x:c>
      <x:c r="I238" s="34" t="n">
        <x:v>588</x:v>
      </x:c>
      <x:c r="J238" s="33" t="n">
        <x:v>21.444761904761904</x:v>
      </x:c>
      <x:c r="K238" t="str">
        <x:v>Forecast driven by traffic and scenario</x:v>
      </x:c>
    </x:row>
    <x:row r="239">
      <x:c r="A239" s="32" t="n">
        <x:v>46069</x:v>
      </x:c>
      <x:c r="B239" s="32" t="n">
        <x:v>46054</x:v>
      </x:c>
      <x:c r="C239" t="str">
        <x:v>Feb 2026</x:v>
      </x:c>
      <x:c r="D239" t="str">
        <x:v>Forecast</x:v>
      </x:c>
      <x:c r="E239" t="str">
        <x:v>Wholesale</x:v>
      </x:c>
      <x:c r="F239" s="34" t="n">
        <x:v>8224</x:v>
      </x:c>
      <x:c r="G239" s="33" t="n">
        <x:v>0.2</x:v>
      </x:c>
      <x:c r="H239" s="38" t="n">
        <x:v>1.6448000000000003</x:v>
      </x:c>
      <x:c r="I239" s="34" t="n">
        <x:v>163</x:v>
      </x:c>
      <x:c r="J239" s="33" t="n">
        <x:v>10.09079754601227</x:v>
      </x:c>
      <x:c r="K239" t="str">
        <x:v>Forecast driven by traffic and scenario</x:v>
      </x:c>
    </x:row>
    <x:row r="240">
      <x:c r="A240" s="32" t="n">
        <x:v>46069</x:v>
      </x:c>
      <x:c r="B240" s="32" t="n">
        <x:v>46054</x:v>
      </x:c>
      <x:c r="C240" t="str">
        <x:v>Feb 2026</x:v>
      </x:c>
      <x:c r="D240" t="str">
        <x:v>Forecast</x:v>
      </x:c>
      <x:c r="E240" t="str">
        <x:v>TikTok Shop</x:v>
      </x:c>
      <x:c r="F240" s="34" t="n">
        <x:v>5483</x:v>
      </x:c>
      <x:c r="G240" s="33" t="n">
        <x:v>0.62</x:v>
      </x:c>
      <x:c r="H240" s="38" t="n">
        <x:v>3.39946</x:v>
      </x:c>
      <x:c r="I240" s="34" t="n">
        <x:v>251</x:v>
      </x:c>
      <x:c r="J240" s="33" t="n">
        <x:v>13.543665338645418</x:v>
      </x:c>
      <x:c r="K240" t="str">
        <x:v>Forecast driven by traffic and scenario</x:v>
      </x:c>
    </x:row>
    <x:row r="241">
      <x:c r="A241" s="32" t="n">
        <x:v>46076</x:v>
      </x:c>
      <x:c r="B241" s="32" t="n">
        <x:v>46054</x:v>
      </x:c>
      <x:c r="C241" t="str">
        <x:v>Feb 2026</x:v>
      </x:c>
      <x:c r="D241" t="str">
        <x:v>Forecast</x:v>
      </x:c>
      <x:c r="E241" t="str">
        <x:v>Shopify DTC</x:v>
      </x:c>
      <x:c r="F241" s="34" t="n">
        <x:v>27416</x:v>
      </x:c>
      <x:c r="G241" s="33" t="n">
        <x:v>0.78</x:v>
      </x:c>
      <x:c r="H241" s="38" t="n">
        <x:v>21.38448</x:v>
      </x:c>
      <x:c r="I241" s="34" t="n">
        <x:v>996</x:v>
      </x:c>
      <x:c r="J241" s="33" t="n">
        <x:v>21.470361445783134</x:v>
      </x:c>
      <x:c r="K241" t="str">
        <x:v>Forecast driven by traffic and scenario</x:v>
      </x:c>
    </x:row>
    <x:row r="242">
      <x:c r="A242" s="32" t="n">
        <x:v>46076</x:v>
      </x:c>
      <x:c r="B242" s="32" t="n">
        <x:v>46054</x:v>
      </x:c>
      <x:c r="C242" t="str">
        <x:v>Feb 2026</x:v>
      </x:c>
      <x:c r="D242" t="str">
        <x:v>Forecast</x:v>
      </x:c>
      <x:c r="E242" t="str">
        <x:v>Amazon Marketplace</x:v>
      </x:c>
      <x:c r="F242" s="34" t="n">
        <x:v>13706</x:v>
      </x:c>
      <x:c r="G242" s="33" t="n">
        <x:v>0.92</x:v>
      </x:c>
      <x:c r="H242" s="38" t="n">
        <x:v>12.60952</x:v>
      </x:c>
      <x:c r="I242" s="34" t="n">
        <x:v>588</x:v>
      </x:c>
      <x:c r="J242" s="33" t="n">
        <x:v>21.444761904761904</x:v>
      </x:c>
      <x:c r="K242" t="str">
        <x:v>Forecast driven by traffic and scenario</x:v>
      </x:c>
    </x:row>
    <x:row r="243">
      <x:c r="A243" s="32" t="n">
        <x:v>46076</x:v>
      </x:c>
      <x:c r="B243" s="32" t="n">
        <x:v>46054</x:v>
      </x:c>
      <x:c r="C243" t="str">
        <x:v>Feb 2026</x:v>
      </x:c>
      <x:c r="D243" t="str">
        <x:v>Forecast</x:v>
      </x:c>
      <x:c r="E243" t="str">
        <x:v>Wholesale</x:v>
      </x:c>
      <x:c r="F243" s="34" t="n">
        <x:v>8224</x:v>
      </x:c>
      <x:c r="G243" s="33" t="n">
        <x:v>0.2</x:v>
      </x:c>
      <x:c r="H243" s="38" t="n">
        <x:v>1.6448000000000003</x:v>
      </x:c>
      <x:c r="I243" s="34" t="n">
        <x:v>163</x:v>
      </x:c>
      <x:c r="J243" s="33" t="n">
        <x:v>10.09079754601227</x:v>
      </x:c>
      <x:c r="K243" t="str">
        <x:v>Forecast driven by traffic and scenario</x:v>
      </x:c>
    </x:row>
    <x:row r="244">
      <x:c r="A244" s="32" t="n">
        <x:v>46076</x:v>
      </x:c>
      <x:c r="B244" s="32" t="n">
        <x:v>46054</x:v>
      </x:c>
      <x:c r="C244" t="str">
        <x:v>Feb 2026</x:v>
      </x:c>
      <x:c r="D244" t="str">
        <x:v>Forecast</x:v>
      </x:c>
      <x:c r="E244" t="str">
        <x:v>TikTok Shop</x:v>
      </x:c>
      <x:c r="F244" s="34" t="n">
        <x:v>5483</x:v>
      </x:c>
      <x:c r="G244" s="33" t="n">
        <x:v>0.62</x:v>
      </x:c>
      <x:c r="H244" s="38" t="n">
        <x:v>3.39946</x:v>
      </x:c>
      <x:c r="I244" s="34" t="n">
        <x:v>251</x:v>
      </x:c>
      <x:c r="J244" s="33" t="n">
        <x:v>13.543665338645418</x:v>
      </x:c>
      <x:c r="K244" t="str">
        <x:v>Forecast driven by traffic and scenario</x:v>
      </x:c>
    </x:row>
    <x:row r="245">
      <x:c r="A245" s="32" t="n">
        <x:v>46083</x:v>
      </x:c>
      <x:c r="B245" s="32" t="n">
        <x:v>46082</x:v>
      </x:c>
      <x:c r="C245" t="str">
        <x:v>Mar 2026</x:v>
      </x:c>
      <x:c r="D245" t="str">
        <x:v>Forecast</x:v>
      </x:c>
      <x:c r="E245" t="str">
        <x:v>Shopify DTC</x:v>
      </x:c>
      <x:c r="F245" s="34" t="n">
        <x:v>27085</x:v>
      </x:c>
      <x:c r="G245" s="33" t="n">
        <x:v>0.78</x:v>
      </x:c>
      <x:c r="H245" s="38" t="n">
        <x:v>21.1263</x:v>
      </x:c>
      <x:c r="I245" s="34" t="n">
        <x:v>986</x:v>
      </x:c>
      <x:c r="J245" s="33" t="n">
        <x:v>21.4262677484787</x:v>
      </x:c>
      <x:c r="K245" t="str">
        <x:v>Forecast driven by traffic and scenario</x:v>
      </x:c>
    </x:row>
    <x:row r="246">
      <x:c r="A246" s="32" t="n">
        <x:v>46083</x:v>
      </x:c>
      <x:c r="B246" s="32" t="n">
        <x:v>46082</x:v>
      </x:c>
      <x:c r="C246" t="str">
        <x:v>Mar 2026</x:v>
      </x:c>
      <x:c r="D246" t="str">
        <x:v>Forecast</x:v>
      </x:c>
      <x:c r="E246" t="str">
        <x:v>Amazon Marketplace</x:v>
      </x:c>
      <x:c r="F246" s="34" t="n">
        <x:v>13541</x:v>
      </x:c>
      <x:c r="G246" s="33" t="n">
        <x:v>0.92</x:v>
      </x:c>
      <x:c r="H246" s="38" t="n">
        <x:v>12.457720000000002</x:v>
      </x:c>
      <x:c r="I246" s="34" t="n">
        <x:v>582</x:v>
      </x:c>
      <x:c r="J246" s="33" t="n">
        <x:v>21.405017182130585</x:v>
      </x:c>
      <x:c r="K246" t="str">
        <x:v>Forecast driven by traffic and scenario</x:v>
      </x:c>
    </x:row>
    <x:row r="247">
      <x:c r="A247" s="32" t="n">
        <x:v>46083</x:v>
      </x:c>
      <x:c r="B247" s="32" t="n">
        <x:v>46082</x:v>
      </x:c>
      <x:c r="C247" t="str">
        <x:v>Mar 2026</x:v>
      </x:c>
      <x:c r="D247" t="str">
        <x:v>Forecast</x:v>
      </x:c>
      <x:c r="E247" t="str">
        <x:v>Wholesale</x:v>
      </x:c>
      <x:c r="F247" s="34" t="n">
        <x:v>8125</x:v>
      </x:c>
      <x:c r="G247" s="33" t="n">
        <x:v>0.2</x:v>
      </x:c>
      <x:c r="H247" s="38" t="n">
        <x:v>1.625</x:v>
      </x:c>
      <x:c r="I247" s="34" t="n">
        <x:v>162</x:v>
      </x:c>
      <x:c r="J247" s="33" t="n">
        <x:v>10.030864197530864</x:v>
      </x:c>
      <x:c r="K247" t="str">
        <x:v>Forecast driven by traffic and scenario</x:v>
      </x:c>
    </x:row>
    <x:row r="248">
      <x:c r="A248" s="32" t="n">
        <x:v>46083</x:v>
      </x:c>
      <x:c r="B248" s="32" t="n">
        <x:v>46082</x:v>
      </x:c>
      <x:c r="C248" t="str">
        <x:v>Mar 2026</x:v>
      </x:c>
      <x:c r="D248" t="str">
        <x:v>Forecast</x:v>
      </x:c>
      <x:c r="E248" t="str">
        <x:v>TikTok Shop</x:v>
      </x:c>
      <x:c r="F248" s="34" t="n">
        <x:v>5417</x:v>
      </x:c>
      <x:c r="G248" s="33" t="n">
        <x:v>0.62</x:v>
      </x:c>
      <x:c r="H248" s="38" t="n">
        <x:v>3.35854</x:v>
      </x:c>
      <x:c r="I248" s="34" t="n">
        <x:v>248</x:v>
      </x:c>
      <x:c r="J248" s="33" t="n">
        <x:v>13.5425</x:v>
      </x:c>
      <x:c r="K248" t="str">
        <x:v>Forecast driven by traffic and scenario</x:v>
      </x:c>
    </x:row>
    <x:row r="249">
      <x:c r="A249" s="32" t="n">
        <x:v>46090</x:v>
      </x:c>
      <x:c r="B249" s="32" t="n">
        <x:v>46082</x:v>
      </x:c>
      <x:c r="C249" t="str">
        <x:v>Mar 2026</x:v>
      </x:c>
      <x:c r="D249" t="str">
        <x:v>Forecast</x:v>
      </x:c>
      <x:c r="E249" t="str">
        <x:v>Shopify DTC</x:v>
      </x:c>
      <x:c r="F249" s="34" t="n">
        <x:v>27085</x:v>
      </x:c>
      <x:c r="G249" s="33" t="n">
        <x:v>0.78</x:v>
      </x:c>
      <x:c r="H249" s="38" t="n">
        <x:v>21.1263</x:v>
      </x:c>
      <x:c r="I249" s="34" t="n">
        <x:v>986</x:v>
      </x:c>
      <x:c r="J249" s="33" t="n">
        <x:v>21.4262677484787</x:v>
      </x:c>
      <x:c r="K249" t="str">
        <x:v>Forecast driven by traffic and scenario</x:v>
      </x:c>
    </x:row>
    <x:row r="250">
      <x:c r="A250" s="32" t="n">
        <x:v>46090</x:v>
      </x:c>
      <x:c r="B250" s="32" t="n">
        <x:v>46082</x:v>
      </x:c>
      <x:c r="C250" t="str">
        <x:v>Mar 2026</x:v>
      </x:c>
      <x:c r="D250" t="str">
        <x:v>Forecast</x:v>
      </x:c>
      <x:c r="E250" t="str">
        <x:v>Amazon Marketplace</x:v>
      </x:c>
      <x:c r="F250" s="34" t="n">
        <x:v>13541</x:v>
      </x:c>
      <x:c r="G250" s="33" t="n">
        <x:v>0.92</x:v>
      </x:c>
      <x:c r="H250" s="38" t="n">
        <x:v>12.457720000000002</x:v>
      </x:c>
      <x:c r="I250" s="34" t="n">
        <x:v>582</x:v>
      </x:c>
      <x:c r="J250" s="33" t="n">
        <x:v>21.405017182130585</x:v>
      </x:c>
      <x:c r="K250" t="str">
        <x:v>Forecast driven by traffic and scenario</x:v>
      </x:c>
    </x:row>
    <x:row r="251">
      <x:c r="A251" s="32" t="n">
        <x:v>46090</x:v>
      </x:c>
      <x:c r="B251" s="32" t="n">
        <x:v>46082</x:v>
      </x:c>
      <x:c r="C251" t="str">
        <x:v>Mar 2026</x:v>
      </x:c>
      <x:c r="D251" t="str">
        <x:v>Forecast</x:v>
      </x:c>
      <x:c r="E251" t="str">
        <x:v>Wholesale</x:v>
      </x:c>
      <x:c r="F251" s="34" t="n">
        <x:v>8125</x:v>
      </x:c>
      <x:c r="G251" s="33" t="n">
        <x:v>0.2</x:v>
      </x:c>
      <x:c r="H251" s="38" t="n">
        <x:v>1.625</x:v>
      </x:c>
      <x:c r="I251" s="34" t="n">
        <x:v>162</x:v>
      </x:c>
      <x:c r="J251" s="33" t="n">
        <x:v>10.030864197530864</x:v>
      </x:c>
      <x:c r="K251" t="str">
        <x:v>Forecast driven by traffic and scenario</x:v>
      </x:c>
    </x:row>
    <x:row r="252">
      <x:c r="A252" s="32" t="n">
        <x:v>46090</x:v>
      </x:c>
      <x:c r="B252" s="32" t="n">
        <x:v>46082</x:v>
      </x:c>
      <x:c r="C252" t="str">
        <x:v>Mar 2026</x:v>
      </x:c>
      <x:c r="D252" t="str">
        <x:v>Forecast</x:v>
      </x:c>
      <x:c r="E252" t="str">
        <x:v>TikTok Shop</x:v>
      </x:c>
      <x:c r="F252" s="34" t="n">
        <x:v>5417</x:v>
      </x:c>
      <x:c r="G252" s="33" t="n">
        <x:v>0.62</x:v>
      </x:c>
      <x:c r="H252" s="38" t="n">
        <x:v>3.35854</x:v>
      </x:c>
      <x:c r="I252" s="34" t="n">
        <x:v>248</x:v>
      </x:c>
      <x:c r="J252" s="33" t="n">
        <x:v>13.5425</x:v>
      </x:c>
      <x:c r="K252" t="str">
        <x:v>Forecast driven by traffic and scenario</x:v>
      </x:c>
    </x:row>
    <x:row r="253">
      <x:c r="A253" s="32" t="n">
        <x:v>46097</x:v>
      </x:c>
      <x:c r="B253" s="32" t="n">
        <x:v>46082</x:v>
      </x:c>
      <x:c r="C253" t="str">
        <x:v>Mar 2026</x:v>
      </x:c>
      <x:c r="D253" t="str">
        <x:v>Forecast</x:v>
      </x:c>
      <x:c r="E253" t="str">
        <x:v>Shopify DTC</x:v>
      </x:c>
      <x:c r="F253" s="34" t="n">
        <x:v>27085</x:v>
      </x:c>
      <x:c r="G253" s="33" t="n">
        <x:v>0.78</x:v>
      </x:c>
      <x:c r="H253" s="38" t="n">
        <x:v>21.1263</x:v>
      </x:c>
      <x:c r="I253" s="34" t="n">
        <x:v>986</x:v>
      </x:c>
      <x:c r="J253" s="33" t="n">
        <x:v>21.4262677484787</x:v>
      </x:c>
      <x:c r="K253" t="str">
        <x:v>Forecast driven by traffic and scenario</x:v>
      </x:c>
    </x:row>
    <x:row r="254">
      <x:c r="A254" s="32" t="n">
        <x:v>46097</x:v>
      </x:c>
      <x:c r="B254" s="32" t="n">
        <x:v>46082</x:v>
      </x:c>
      <x:c r="C254" t="str">
        <x:v>Mar 2026</x:v>
      </x:c>
      <x:c r="D254" t="str">
        <x:v>Forecast</x:v>
      </x:c>
      <x:c r="E254" t="str">
        <x:v>Amazon Marketplace</x:v>
      </x:c>
      <x:c r="F254" s="34" t="n">
        <x:v>13541</x:v>
      </x:c>
      <x:c r="G254" s="33" t="n">
        <x:v>0.92</x:v>
      </x:c>
      <x:c r="H254" s="38" t="n">
        <x:v>12.457720000000002</x:v>
      </x:c>
      <x:c r="I254" s="34" t="n">
        <x:v>582</x:v>
      </x:c>
      <x:c r="J254" s="33" t="n">
        <x:v>21.405017182130585</x:v>
      </x:c>
      <x:c r="K254" t="str">
        <x:v>Forecast driven by traffic and scenario</x:v>
      </x:c>
    </x:row>
    <x:row r="255">
      <x:c r="A255" s="32" t="n">
        <x:v>46097</x:v>
      </x:c>
      <x:c r="B255" s="32" t="n">
        <x:v>46082</x:v>
      </x:c>
      <x:c r="C255" t="str">
        <x:v>Mar 2026</x:v>
      </x:c>
      <x:c r="D255" t="str">
        <x:v>Forecast</x:v>
      </x:c>
      <x:c r="E255" t="str">
        <x:v>Wholesale</x:v>
      </x:c>
      <x:c r="F255" s="34" t="n">
        <x:v>8125</x:v>
      </x:c>
      <x:c r="G255" s="33" t="n">
        <x:v>0.2</x:v>
      </x:c>
      <x:c r="H255" s="38" t="n">
        <x:v>1.625</x:v>
      </x:c>
      <x:c r="I255" s="34" t="n">
        <x:v>162</x:v>
      </x:c>
      <x:c r="J255" s="33" t="n">
        <x:v>10.030864197530864</x:v>
      </x:c>
      <x:c r="K255" t="str">
        <x:v>Forecast driven by traffic and scenario</x:v>
      </x:c>
    </x:row>
    <x:row r="256">
      <x:c r="A256" s="32" t="n">
        <x:v>46097</x:v>
      </x:c>
      <x:c r="B256" s="32" t="n">
        <x:v>46082</x:v>
      </x:c>
      <x:c r="C256" t="str">
        <x:v>Mar 2026</x:v>
      </x:c>
      <x:c r="D256" t="str">
        <x:v>Forecast</x:v>
      </x:c>
      <x:c r="E256" t="str">
        <x:v>TikTok Shop</x:v>
      </x:c>
      <x:c r="F256" s="34" t="n">
        <x:v>5417</x:v>
      </x:c>
      <x:c r="G256" s="33" t="n">
        <x:v>0.62</x:v>
      </x:c>
      <x:c r="H256" s="38" t="n">
        <x:v>3.35854</x:v>
      </x:c>
      <x:c r="I256" s="34" t="n">
        <x:v>248</x:v>
      </x:c>
      <x:c r="J256" s="33" t="n">
        <x:v>13.5425</x:v>
      </x:c>
      <x:c r="K256" t="str">
        <x:v>Forecast driven by traffic and scenario</x:v>
      </x:c>
    </x:row>
    <x:row r="257">
      <x:c r="A257" s="32" t="n">
        <x:v>46104</x:v>
      </x:c>
      <x:c r="B257" s="32" t="n">
        <x:v>46082</x:v>
      </x:c>
      <x:c r="C257" t="str">
        <x:v>Mar 2026</x:v>
      </x:c>
      <x:c r="D257" t="str">
        <x:v>Forecast</x:v>
      </x:c>
      <x:c r="E257" t="str">
        <x:v>Shopify DTC</x:v>
      </x:c>
      <x:c r="F257" s="34" t="n">
        <x:v>27085</x:v>
      </x:c>
      <x:c r="G257" s="33" t="n">
        <x:v>0.78</x:v>
      </x:c>
      <x:c r="H257" s="38" t="n">
        <x:v>21.1263</x:v>
      </x:c>
      <x:c r="I257" s="34" t="n">
        <x:v>986</x:v>
      </x:c>
      <x:c r="J257" s="33" t="n">
        <x:v>21.4262677484787</x:v>
      </x:c>
      <x:c r="K257" t="str">
        <x:v>Forecast driven by traffic and scenario</x:v>
      </x:c>
    </x:row>
    <x:row r="258">
      <x:c r="A258" s="32" t="n">
        <x:v>46104</x:v>
      </x:c>
      <x:c r="B258" s="32" t="n">
        <x:v>46082</x:v>
      </x:c>
      <x:c r="C258" t="str">
        <x:v>Mar 2026</x:v>
      </x:c>
      <x:c r="D258" t="str">
        <x:v>Forecast</x:v>
      </x:c>
      <x:c r="E258" t="str">
        <x:v>Amazon Marketplace</x:v>
      </x:c>
      <x:c r="F258" s="34" t="n">
        <x:v>13541</x:v>
      </x:c>
      <x:c r="G258" s="33" t="n">
        <x:v>0.92</x:v>
      </x:c>
      <x:c r="H258" s="38" t="n">
        <x:v>12.457720000000002</x:v>
      </x:c>
      <x:c r="I258" s="34" t="n">
        <x:v>582</x:v>
      </x:c>
      <x:c r="J258" s="33" t="n">
        <x:v>21.405017182130585</x:v>
      </x:c>
      <x:c r="K258" t="str">
        <x:v>Forecast driven by traffic and scenario</x:v>
      </x:c>
    </x:row>
    <x:row r="259">
      <x:c r="A259" s="32" t="n">
        <x:v>46104</x:v>
      </x:c>
      <x:c r="B259" s="32" t="n">
        <x:v>46082</x:v>
      </x:c>
      <x:c r="C259" t="str">
        <x:v>Mar 2026</x:v>
      </x:c>
      <x:c r="D259" t="str">
        <x:v>Forecast</x:v>
      </x:c>
      <x:c r="E259" t="str">
        <x:v>Wholesale</x:v>
      </x:c>
      <x:c r="F259" s="34" t="n">
        <x:v>8125</x:v>
      </x:c>
      <x:c r="G259" s="33" t="n">
        <x:v>0.2</x:v>
      </x:c>
      <x:c r="H259" s="38" t="n">
        <x:v>1.625</x:v>
      </x:c>
      <x:c r="I259" s="34" t="n">
        <x:v>162</x:v>
      </x:c>
      <x:c r="J259" s="33" t="n">
        <x:v>10.030864197530864</x:v>
      </x:c>
      <x:c r="K259" t="str">
        <x:v>Forecast driven by traffic and scenario</x:v>
      </x:c>
    </x:row>
    <x:row r="260">
      <x:c r="A260" s="32" t="n">
        <x:v>46104</x:v>
      </x:c>
      <x:c r="B260" s="32" t="n">
        <x:v>46082</x:v>
      </x:c>
      <x:c r="C260" t="str">
        <x:v>Mar 2026</x:v>
      </x:c>
      <x:c r="D260" t="str">
        <x:v>Forecast</x:v>
      </x:c>
      <x:c r="E260" t="str">
        <x:v>TikTok Shop</x:v>
      </x:c>
      <x:c r="F260" s="34" t="n">
        <x:v>5417</x:v>
      </x:c>
      <x:c r="G260" s="33" t="n">
        <x:v>0.62</x:v>
      </x:c>
      <x:c r="H260" s="38" t="n">
        <x:v>3.35854</x:v>
      </x:c>
      <x:c r="I260" s="34" t="n">
        <x:v>248</x:v>
      </x:c>
      <x:c r="J260" s="33" t="n">
        <x:v>13.5425</x:v>
      </x:c>
      <x:c r="K260" t="str">
        <x:v>Forecast driven by traffic and scenario</x:v>
      </x:c>
    </x:row>
    <x:row r="261">
      <x:c r="A261" s="32" t="n">
        <x:v>46111</x:v>
      </x:c>
      <x:c r="B261" s="32" t="n">
        <x:v>46082</x:v>
      </x:c>
      <x:c r="C261" t="str">
        <x:v>Mar 2026</x:v>
      </x:c>
      <x:c r="D261" t="str">
        <x:v>Forecast</x:v>
      </x:c>
      <x:c r="E261" t="str">
        <x:v>Shopify DTC</x:v>
      </x:c>
      <x:c r="F261" s="34" t="n">
        <x:v>27085</x:v>
      </x:c>
      <x:c r="G261" s="33" t="n">
        <x:v>0.78</x:v>
      </x:c>
      <x:c r="H261" s="38" t="n">
        <x:v>21.1263</x:v>
      </x:c>
      <x:c r="I261" s="34" t="n">
        <x:v>986</x:v>
      </x:c>
      <x:c r="J261" s="33" t="n">
        <x:v>21.4262677484787</x:v>
      </x:c>
      <x:c r="K261" t="str">
        <x:v>Forecast driven by traffic and scenario</x:v>
      </x:c>
    </x:row>
    <x:row r="262">
      <x:c r="A262" s="32" t="n">
        <x:v>46111</x:v>
      </x:c>
      <x:c r="B262" s="32" t="n">
        <x:v>46082</x:v>
      </x:c>
      <x:c r="C262" t="str">
        <x:v>Mar 2026</x:v>
      </x:c>
      <x:c r="D262" t="str">
        <x:v>Forecast</x:v>
      </x:c>
      <x:c r="E262" t="str">
        <x:v>Amazon Marketplace</x:v>
      </x:c>
      <x:c r="F262" s="34" t="n">
        <x:v>13541</x:v>
      </x:c>
      <x:c r="G262" s="33" t="n">
        <x:v>0.92</x:v>
      </x:c>
      <x:c r="H262" s="38" t="n">
        <x:v>12.457720000000002</x:v>
      </x:c>
      <x:c r="I262" s="34" t="n">
        <x:v>582</x:v>
      </x:c>
      <x:c r="J262" s="33" t="n">
        <x:v>21.405017182130585</x:v>
      </x:c>
      <x:c r="K262" t="str">
        <x:v>Forecast driven by traffic and scenario</x:v>
      </x:c>
    </x:row>
    <x:row r="263">
      <x:c r="A263" s="32" t="n">
        <x:v>46111</x:v>
      </x:c>
      <x:c r="B263" s="32" t="n">
        <x:v>46082</x:v>
      </x:c>
      <x:c r="C263" t="str">
        <x:v>Mar 2026</x:v>
      </x:c>
      <x:c r="D263" t="str">
        <x:v>Forecast</x:v>
      </x:c>
      <x:c r="E263" t="str">
        <x:v>Wholesale</x:v>
      </x:c>
      <x:c r="F263" s="34" t="n">
        <x:v>8125</x:v>
      </x:c>
      <x:c r="G263" s="33" t="n">
        <x:v>0.2</x:v>
      </x:c>
      <x:c r="H263" s="38" t="n">
        <x:v>1.625</x:v>
      </x:c>
      <x:c r="I263" s="34" t="n">
        <x:v>162</x:v>
      </x:c>
      <x:c r="J263" s="33" t="n">
        <x:v>10.030864197530864</x:v>
      </x:c>
      <x:c r="K263" t="str">
        <x:v>Forecast driven by traffic and scenario</x:v>
      </x:c>
    </x:row>
    <x:row r="264">
      <x:c r="A264" s="32" t="n">
        <x:v>46111</x:v>
      </x:c>
      <x:c r="B264" s="32" t="n">
        <x:v>46082</x:v>
      </x:c>
      <x:c r="C264" t="str">
        <x:v>Mar 2026</x:v>
      </x:c>
      <x:c r="D264" t="str">
        <x:v>Forecast</x:v>
      </x:c>
      <x:c r="E264" t="str">
        <x:v>TikTok Shop</x:v>
      </x:c>
      <x:c r="F264" s="34" t="n">
        <x:v>5417</x:v>
      </x:c>
      <x:c r="G264" s="33" t="n">
        <x:v>0.62</x:v>
      </x:c>
      <x:c r="H264" s="38" t="n">
        <x:v>3.35854</x:v>
      </x:c>
      <x:c r="I264" s="34" t="n">
        <x:v>248</x:v>
      </x:c>
      <x:c r="J264" s="33" t="n">
        <x:v>13.5425</x:v>
      </x:c>
      <x:c r="K264" t="str">
        <x:v>Forecast driven by traffic and scenario</x:v>
      </x:c>
    </x:row>
    <x:row r="265">
      <x:c r="A265" s="32" t="n">
        <x:v>46118</x:v>
      </x:c>
      <x:c r="B265" s="32" t="n">
        <x:v>46113</x:v>
      </x:c>
      <x:c r="C265" t="str">
        <x:v>Apr 2026</x:v>
      </x:c>
      <x:c r="D265" t="str">
        <x:v>Forecast</x:v>
      </x:c>
      <x:c r="E265" t="str">
        <x:v>Shopify DTC</x:v>
      </x:c>
      <x:c r="F265" s="34" t="n">
        <x:v>27391</x:v>
      </x:c>
      <x:c r="G265" s="33" t="n">
        <x:v>0.78</x:v>
      </x:c>
      <x:c r="H265" s="38" t="n">
        <x:v>21.36498</x:v>
      </x:c>
      <x:c r="I265" s="34" t="n">
        <x:v>996</x:v>
      </x:c>
      <x:c r="J265" s="33" t="n">
        <x:v>21.45078313253012</x:v>
      </x:c>
      <x:c r="K265" t="str">
        <x:v>Forecast driven by traffic and scenario</x:v>
      </x:c>
    </x:row>
    <x:row r="266">
      <x:c r="A266" s="32" t="n">
        <x:v>46118</x:v>
      </x:c>
      <x:c r="B266" s="32" t="n">
        <x:v>46113</x:v>
      </x:c>
      <x:c r="C266" t="str">
        <x:v>Apr 2026</x:v>
      </x:c>
      <x:c r="D266" t="str">
        <x:v>Forecast</x:v>
      </x:c>
      <x:c r="E266" t="str">
        <x:v>Amazon Marketplace</x:v>
      </x:c>
      <x:c r="F266" s="34" t="n">
        <x:v>13694</x:v>
      </x:c>
      <x:c r="G266" s="33" t="n">
        <x:v>0.92</x:v>
      </x:c>
      <x:c r="H266" s="38" t="n">
        <x:v>12.598480000000002</x:v>
      </x:c>
      <x:c r="I266" s="34" t="n">
        <x:v>588</x:v>
      </x:c>
      <x:c r="J266" s="33" t="n">
        <x:v>21.425986394557825</x:v>
      </x:c>
      <x:c r="K266" t="str">
        <x:v>Forecast driven by traffic and scenario</x:v>
      </x:c>
    </x:row>
    <x:row r="267">
      <x:c r="A267" s="32" t="n">
        <x:v>46118</x:v>
      </x:c>
      <x:c r="B267" s="32" t="n">
        <x:v>46113</x:v>
      </x:c>
      <x:c r="C267" t="str">
        <x:v>Apr 2026</x:v>
      </x:c>
      <x:c r="D267" t="str">
        <x:v>Forecast</x:v>
      </x:c>
      <x:c r="E267" t="str">
        <x:v>Wholesale</x:v>
      </x:c>
      <x:c r="F267" s="34" t="n">
        <x:v>8217</x:v>
      </x:c>
      <x:c r="G267" s="33" t="n">
        <x:v>0.2</x:v>
      </x:c>
      <x:c r="H267" s="38" t="n">
        <x:v>1.6434000000000002</x:v>
      </x:c>
      <x:c r="I267" s="34" t="n">
        <x:v>163</x:v>
      </x:c>
      <x:c r="J267" s="33" t="n">
        <x:v>10.082208588957055</x:v>
      </x:c>
      <x:c r="K267" t="str">
        <x:v>Forecast driven by traffic and scenario</x:v>
      </x:c>
    </x:row>
    <x:row r="268">
      <x:c r="A268" s="32" t="n">
        <x:v>46118</x:v>
      </x:c>
      <x:c r="B268" s="32" t="n">
        <x:v>46113</x:v>
      </x:c>
      <x:c r="C268" t="str">
        <x:v>Apr 2026</x:v>
      </x:c>
      <x:c r="D268" t="str">
        <x:v>Forecast</x:v>
      </x:c>
      <x:c r="E268" t="str">
        <x:v>TikTok Shop</x:v>
      </x:c>
      <x:c r="F268" s="34" t="n">
        <x:v>5478</x:v>
      </x:c>
      <x:c r="G268" s="33" t="n">
        <x:v>0.62</x:v>
      </x:c>
      <x:c r="H268" s="38" t="n">
        <x:v>3.39636</x:v>
      </x:c>
      <x:c r="I268" s="34" t="n">
        <x:v>251</x:v>
      </x:c>
      <x:c r="J268" s="33" t="n">
        <x:v>13.531314741035857</x:v>
      </x:c>
      <x:c r="K268" t="str">
        <x:v>Forecast driven by traffic and scenario</x:v>
      </x:c>
    </x:row>
    <x:row r="269">
      <x:c r="A269" s="32" t="n">
        <x:v>46125</x:v>
      </x:c>
      <x:c r="B269" s="32" t="n">
        <x:v>46113</x:v>
      </x:c>
      <x:c r="C269" t="str">
        <x:v>Apr 2026</x:v>
      </x:c>
      <x:c r="D269" t="str">
        <x:v>Forecast</x:v>
      </x:c>
      <x:c r="E269" t="str">
        <x:v>Shopify DTC</x:v>
      </x:c>
      <x:c r="F269" s="34" t="n">
        <x:v>27391</x:v>
      </x:c>
      <x:c r="G269" s="33" t="n">
        <x:v>0.78</x:v>
      </x:c>
      <x:c r="H269" s="38" t="n">
        <x:v>21.36498</x:v>
      </x:c>
      <x:c r="I269" s="34" t="n">
        <x:v>996</x:v>
      </x:c>
      <x:c r="J269" s="33" t="n">
        <x:v>21.45078313253012</x:v>
      </x:c>
      <x:c r="K269" t="str">
        <x:v>Forecast driven by traffic and scenario</x:v>
      </x:c>
    </x:row>
    <x:row r="270">
      <x:c r="A270" s="32" t="n">
        <x:v>46125</x:v>
      </x:c>
      <x:c r="B270" s="32" t="n">
        <x:v>46113</x:v>
      </x:c>
      <x:c r="C270" t="str">
        <x:v>Apr 2026</x:v>
      </x:c>
      <x:c r="D270" t="str">
        <x:v>Forecast</x:v>
      </x:c>
      <x:c r="E270" t="str">
        <x:v>Amazon Marketplace</x:v>
      </x:c>
      <x:c r="F270" s="34" t="n">
        <x:v>13694</x:v>
      </x:c>
      <x:c r="G270" s="33" t="n">
        <x:v>0.92</x:v>
      </x:c>
      <x:c r="H270" s="38" t="n">
        <x:v>12.598480000000002</x:v>
      </x:c>
      <x:c r="I270" s="34" t="n">
        <x:v>588</x:v>
      </x:c>
      <x:c r="J270" s="33" t="n">
        <x:v>21.425986394557825</x:v>
      </x:c>
      <x:c r="K270" t="str">
        <x:v>Forecast driven by traffic and scenario</x:v>
      </x:c>
    </x:row>
    <x:row r="271">
      <x:c r="A271" s="32" t="n">
        <x:v>46125</x:v>
      </x:c>
      <x:c r="B271" s="32" t="n">
        <x:v>46113</x:v>
      </x:c>
      <x:c r="C271" t="str">
        <x:v>Apr 2026</x:v>
      </x:c>
      <x:c r="D271" t="str">
        <x:v>Forecast</x:v>
      </x:c>
      <x:c r="E271" t="str">
        <x:v>Wholesale</x:v>
      </x:c>
      <x:c r="F271" s="34" t="n">
        <x:v>8217</x:v>
      </x:c>
      <x:c r="G271" s="33" t="n">
        <x:v>0.2</x:v>
      </x:c>
      <x:c r="H271" s="38" t="n">
        <x:v>1.6434000000000002</x:v>
      </x:c>
      <x:c r="I271" s="34" t="n">
        <x:v>163</x:v>
      </x:c>
      <x:c r="J271" s="33" t="n">
        <x:v>10.082208588957055</x:v>
      </x:c>
      <x:c r="K271" t="str">
        <x:v>Forecast driven by traffic and scenario</x:v>
      </x:c>
    </x:row>
    <x:row r="272">
      <x:c r="A272" s="32" t="n">
        <x:v>46125</x:v>
      </x:c>
      <x:c r="B272" s="32" t="n">
        <x:v>46113</x:v>
      </x:c>
      <x:c r="C272" t="str">
        <x:v>Apr 2026</x:v>
      </x:c>
      <x:c r="D272" t="str">
        <x:v>Forecast</x:v>
      </x:c>
      <x:c r="E272" t="str">
        <x:v>TikTok Shop</x:v>
      </x:c>
      <x:c r="F272" s="34" t="n">
        <x:v>5478</x:v>
      </x:c>
      <x:c r="G272" s="33" t="n">
        <x:v>0.62</x:v>
      </x:c>
      <x:c r="H272" s="38" t="n">
        <x:v>3.39636</x:v>
      </x:c>
      <x:c r="I272" s="34" t="n">
        <x:v>251</x:v>
      </x:c>
      <x:c r="J272" s="33" t="n">
        <x:v>13.531314741035857</x:v>
      </x:c>
      <x:c r="K272" t="str">
        <x:v>Forecast driven by traffic and scenario</x:v>
      </x:c>
    </x:row>
    <x:row r="273">
      <x:c r="A273" s="32" t="n">
        <x:v>46132</x:v>
      </x:c>
      <x:c r="B273" s="32" t="n">
        <x:v>46113</x:v>
      </x:c>
      <x:c r="C273" t="str">
        <x:v>Apr 2026</x:v>
      </x:c>
      <x:c r="D273" t="str">
        <x:v>Forecast</x:v>
      </x:c>
      <x:c r="E273" t="str">
        <x:v>Shopify DTC</x:v>
      </x:c>
      <x:c r="F273" s="34" t="n">
        <x:v>27391</x:v>
      </x:c>
      <x:c r="G273" s="33" t="n">
        <x:v>0.78</x:v>
      </x:c>
      <x:c r="H273" s="38" t="n">
        <x:v>21.36498</x:v>
      </x:c>
      <x:c r="I273" s="34" t="n">
        <x:v>996</x:v>
      </x:c>
      <x:c r="J273" s="33" t="n">
        <x:v>21.45078313253012</x:v>
      </x:c>
      <x:c r="K273" t="str">
        <x:v>Forecast driven by traffic and scenario</x:v>
      </x:c>
    </x:row>
    <x:row r="274">
      <x:c r="A274" s="32" t="n">
        <x:v>46132</x:v>
      </x:c>
      <x:c r="B274" s="32" t="n">
        <x:v>46113</x:v>
      </x:c>
      <x:c r="C274" t="str">
        <x:v>Apr 2026</x:v>
      </x:c>
      <x:c r="D274" t="str">
        <x:v>Forecast</x:v>
      </x:c>
      <x:c r="E274" t="str">
        <x:v>Amazon Marketplace</x:v>
      </x:c>
      <x:c r="F274" s="34" t="n">
        <x:v>13694</x:v>
      </x:c>
      <x:c r="G274" s="33" t="n">
        <x:v>0.92</x:v>
      </x:c>
      <x:c r="H274" s="38" t="n">
        <x:v>12.598480000000002</x:v>
      </x:c>
      <x:c r="I274" s="34" t="n">
        <x:v>588</x:v>
      </x:c>
      <x:c r="J274" s="33" t="n">
        <x:v>21.425986394557825</x:v>
      </x:c>
      <x:c r="K274" t="str">
        <x:v>Forecast driven by traffic and scenario</x:v>
      </x:c>
    </x:row>
    <x:row r="275">
      <x:c r="A275" s="32" t="n">
        <x:v>46132</x:v>
      </x:c>
      <x:c r="B275" s="32" t="n">
        <x:v>46113</x:v>
      </x:c>
      <x:c r="C275" t="str">
        <x:v>Apr 2026</x:v>
      </x:c>
      <x:c r="D275" t="str">
        <x:v>Forecast</x:v>
      </x:c>
      <x:c r="E275" t="str">
        <x:v>Wholesale</x:v>
      </x:c>
      <x:c r="F275" s="34" t="n">
        <x:v>8217</x:v>
      </x:c>
      <x:c r="G275" s="33" t="n">
        <x:v>0.2</x:v>
      </x:c>
      <x:c r="H275" s="38" t="n">
        <x:v>1.6434000000000002</x:v>
      </x:c>
      <x:c r="I275" s="34" t="n">
        <x:v>163</x:v>
      </x:c>
      <x:c r="J275" s="33" t="n">
        <x:v>10.082208588957055</x:v>
      </x:c>
      <x:c r="K275" t="str">
        <x:v>Forecast driven by traffic and scenario</x:v>
      </x:c>
    </x:row>
    <x:row r="276">
      <x:c r="A276" s="32" t="n">
        <x:v>46132</x:v>
      </x:c>
      <x:c r="B276" s="32" t="n">
        <x:v>46113</x:v>
      </x:c>
      <x:c r="C276" t="str">
        <x:v>Apr 2026</x:v>
      </x:c>
      <x:c r="D276" t="str">
        <x:v>Forecast</x:v>
      </x:c>
      <x:c r="E276" t="str">
        <x:v>TikTok Shop</x:v>
      </x:c>
      <x:c r="F276" s="34" t="n">
        <x:v>5478</x:v>
      </x:c>
      <x:c r="G276" s="33" t="n">
        <x:v>0.62</x:v>
      </x:c>
      <x:c r="H276" s="38" t="n">
        <x:v>3.39636</x:v>
      </x:c>
      <x:c r="I276" s="34" t="n">
        <x:v>251</x:v>
      </x:c>
      <x:c r="J276" s="33" t="n">
        <x:v>13.531314741035857</x:v>
      </x:c>
      <x:c r="K276" t="str">
        <x:v>Forecast driven by traffic and scenario</x:v>
      </x:c>
    </x:row>
    <x:row r="277">
      <x:c r="A277" s="32" t="n">
        <x:v>46139</x:v>
      </x:c>
      <x:c r="B277" s="32" t="n">
        <x:v>46113</x:v>
      </x:c>
      <x:c r="C277" t="str">
        <x:v>Apr 2026</x:v>
      </x:c>
      <x:c r="D277" t="str">
        <x:v>Forecast</x:v>
      </x:c>
      <x:c r="E277" t="str">
        <x:v>Shopify DTC</x:v>
      </x:c>
      <x:c r="F277" s="34" t="n">
        <x:v>27391</x:v>
      </x:c>
      <x:c r="G277" s="33" t="n">
        <x:v>0.78</x:v>
      </x:c>
      <x:c r="H277" s="38" t="n">
        <x:v>21.36498</x:v>
      </x:c>
      <x:c r="I277" s="34" t="n">
        <x:v>996</x:v>
      </x:c>
      <x:c r="J277" s="33" t="n">
        <x:v>21.45078313253012</x:v>
      </x:c>
      <x:c r="K277" t="str">
        <x:v>Forecast driven by traffic and scenario</x:v>
      </x:c>
    </x:row>
    <x:row r="278">
      <x:c r="A278" s="32" t="n">
        <x:v>46139</x:v>
      </x:c>
      <x:c r="B278" s="32" t="n">
        <x:v>46113</x:v>
      </x:c>
      <x:c r="C278" t="str">
        <x:v>Apr 2026</x:v>
      </x:c>
      <x:c r="D278" t="str">
        <x:v>Forecast</x:v>
      </x:c>
      <x:c r="E278" t="str">
        <x:v>Amazon Marketplace</x:v>
      </x:c>
      <x:c r="F278" s="34" t="n">
        <x:v>13694</x:v>
      </x:c>
      <x:c r="G278" s="33" t="n">
        <x:v>0.92</x:v>
      </x:c>
      <x:c r="H278" s="38" t="n">
        <x:v>12.598480000000002</x:v>
      </x:c>
      <x:c r="I278" s="34" t="n">
        <x:v>588</x:v>
      </x:c>
      <x:c r="J278" s="33" t="n">
        <x:v>21.425986394557825</x:v>
      </x:c>
      <x:c r="K278" t="str">
        <x:v>Forecast driven by traffic and scenario</x:v>
      </x:c>
    </x:row>
    <x:row r="279">
      <x:c r="A279" s="32" t="n">
        <x:v>46139</x:v>
      </x:c>
      <x:c r="B279" s="32" t="n">
        <x:v>46113</x:v>
      </x:c>
      <x:c r="C279" t="str">
        <x:v>Apr 2026</x:v>
      </x:c>
      <x:c r="D279" t="str">
        <x:v>Forecast</x:v>
      </x:c>
      <x:c r="E279" t="str">
        <x:v>Wholesale</x:v>
      </x:c>
      <x:c r="F279" s="34" t="n">
        <x:v>8217</x:v>
      </x:c>
      <x:c r="G279" s="33" t="n">
        <x:v>0.2</x:v>
      </x:c>
      <x:c r="H279" s="38" t="n">
        <x:v>1.6434000000000002</x:v>
      </x:c>
      <x:c r="I279" s="34" t="n">
        <x:v>163</x:v>
      </x:c>
      <x:c r="J279" s="33" t="n">
        <x:v>10.082208588957055</x:v>
      </x:c>
      <x:c r="K279" t="str">
        <x:v>Forecast driven by traffic and scenario</x:v>
      </x:c>
    </x:row>
    <x:row r="280">
      <x:c r="A280" s="32" t="n">
        <x:v>46139</x:v>
      </x:c>
      <x:c r="B280" s="32" t="n">
        <x:v>46113</x:v>
      </x:c>
      <x:c r="C280" t="str">
        <x:v>Apr 2026</x:v>
      </x:c>
      <x:c r="D280" t="str">
        <x:v>Forecast</x:v>
      </x:c>
      <x:c r="E280" t="str">
        <x:v>TikTok Shop</x:v>
      </x:c>
      <x:c r="F280" s="34" t="n">
        <x:v>5478</x:v>
      </x:c>
      <x:c r="G280" s="33" t="n">
        <x:v>0.62</x:v>
      </x:c>
      <x:c r="H280" s="38" t="n">
        <x:v>3.39636</x:v>
      </x:c>
      <x:c r="I280" s="34" t="n">
        <x:v>251</x:v>
      </x:c>
      <x:c r="J280" s="33" t="n">
        <x:v>13.531314741035857</x:v>
      </x:c>
      <x:c r="K280" t="str">
        <x:v>Forecast driven by traffic and scenario</x:v>
      </x:c>
    </x:row>
    <x:row r="281">
      <x:c r="A281" s="32" t="n">
        <x:v>46146</x:v>
      </x:c>
      <x:c r="B281" s="32" t="n">
        <x:v>46143</x:v>
      </x:c>
      <x:c r="C281" t="str">
        <x:v>May 2026</x:v>
      </x:c>
      <x:c r="D281" t="str">
        <x:v>Forecast</x:v>
      </x:c>
      <x:c r="E281" t="str">
        <x:v>Shopify DTC</x:v>
      </x:c>
      <x:c r="F281" s="34" t="n">
        <x:v>28286</x:v>
      </x:c>
      <x:c r="G281" s="33" t="n">
        <x:v>0.78</x:v>
      </x:c>
      <x:c r="H281" s="38" t="n">
        <x:v>22.063080000000003</x:v>
      </x:c>
      <x:c r="I281" s="34" t="n">
        <x:v>1026</x:v>
      </x:c>
      <x:c r="J281" s="33" t="n">
        <x:v>21.503976608187138</x:v>
      </x:c>
      <x:c r="K281" t="str">
        <x:v>Forecast driven by traffic and scenario</x:v>
      </x:c>
    </x:row>
    <x:row r="282">
      <x:c r="A282" s="32" t="n">
        <x:v>46146</x:v>
      </x:c>
      <x:c r="B282" s="32" t="n">
        <x:v>46143</x:v>
      </x:c>
      <x:c r="C282" t="str">
        <x:v>May 2026</x:v>
      </x:c>
      <x:c r="D282" t="str">
        <x:v>Forecast</x:v>
      </x:c>
      <x:c r="E282" t="str">
        <x:v>Amazon Marketplace</x:v>
      </x:c>
      <x:c r="F282" s="34" t="n">
        <x:v>14142</x:v>
      </x:c>
      <x:c r="G282" s="33" t="n">
        <x:v>0.92</x:v>
      </x:c>
      <x:c r="H282" s="38" t="n">
        <x:v>13.01064</x:v>
      </x:c>
      <x:c r="I282" s="34" t="n">
        <x:v>605</x:v>
      </x:c>
      <x:c r="J282" s="33" t="n">
        <x:v>21.50519008264463</x:v>
      </x:c>
      <x:c r="K282" t="str">
        <x:v>Forecast driven by traffic and scenario</x:v>
      </x:c>
    </x:row>
    <x:row r="283">
      <x:c r="A283" s="32" t="n">
        <x:v>46146</x:v>
      </x:c>
      <x:c r="B283" s="32" t="n">
        <x:v>46143</x:v>
      </x:c>
      <x:c r="C283" t="str">
        <x:v>May 2026</x:v>
      </x:c>
      <x:c r="D283" t="str">
        <x:v>Forecast</x:v>
      </x:c>
      <x:c r="E283" t="str">
        <x:v>Wholesale</x:v>
      </x:c>
      <x:c r="F283" s="34" t="n">
        <x:v>8486</x:v>
      </x:c>
      <x:c r="G283" s="33" t="n">
        <x:v>0.2</x:v>
      </x:c>
      <x:c r="H283" s="38" t="n">
        <x:v>1.6972</x:v>
      </x:c>
      <x:c r="I283" s="34" t="n">
        <x:v>168</x:v>
      </x:c>
      <x:c r="J283" s="33" t="n">
        <x:v>10.102380952380953</x:v>
      </x:c>
      <x:c r="K283" t="str">
        <x:v>Forecast driven by traffic and scenario</x:v>
      </x:c>
    </x:row>
    <x:row r="284">
      <x:c r="A284" s="32" t="n">
        <x:v>46146</x:v>
      </x:c>
      <x:c r="B284" s="32" t="n">
        <x:v>46143</x:v>
      </x:c>
      <x:c r="C284" t="str">
        <x:v>May 2026</x:v>
      </x:c>
      <x:c r="D284" t="str">
        <x:v>Forecast</x:v>
      </x:c>
      <x:c r="E284" t="str">
        <x:v>TikTok Shop</x:v>
      </x:c>
      <x:c r="F284" s="34" t="n">
        <x:v>5657</x:v>
      </x:c>
      <x:c r="G284" s="33" t="n">
        <x:v>0.62</x:v>
      </x:c>
      <x:c r="H284" s="38" t="n">
        <x:v>3.50734</x:v>
      </x:c>
      <x:c r="I284" s="34" t="n">
        <x:v>258</x:v>
      </x:c>
      <x:c r="J284" s="33" t="n">
        <x:v>13.594341085271319</x:v>
      </x:c>
      <x:c r="K284" t="str">
        <x:v>Forecast driven by traffic and scenario</x:v>
      </x:c>
    </x:row>
    <x:row r="285">
      <x:c r="A285" s="32" t="n">
        <x:v>46153</x:v>
      </x:c>
      <x:c r="B285" s="32" t="n">
        <x:v>46143</x:v>
      </x:c>
      <x:c r="C285" t="str">
        <x:v>May 2026</x:v>
      </x:c>
      <x:c r="D285" t="str">
        <x:v>Forecast</x:v>
      </x:c>
      <x:c r="E285" t="str">
        <x:v>Shopify DTC</x:v>
      </x:c>
      <x:c r="F285" s="34" t="n">
        <x:v>28286</x:v>
      </x:c>
      <x:c r="G285" s="33" t="n">
        <x:v>0.78</x:v>
      </x:c>
      <x:c r="H285" s="38" t="n">
        <x:v>22.063080000000003</x:v>
      </x:c>
      <x:c r="I285" s="34" t="n">
        <x:v>1026</x:v>
      </x:c>
      <x:c r="J285" s="33" t="n">
        <x:v>21.503976608187138</x:v>
      </x:c>
      <x:c r="K285" t="str">
        <x:v>Forecast driven by traffic and scenario</x:v>
      </x:c>
    </x:row>
    <x:row r="286">
      <x:c r="A286" s="32" t="n">
        <x:v>46153</x:v>
      </x:c>
      <x:c r="B286" s="32" t="n">
        <x:v>46143</x:v>
      </x:c>
      <x:c r="C286" t="str">
        <x:v>May 2026</x:v>
      </x:c>
      <x:c r="D286" t="str">
        <x:v>Forecast</x:v>
      </x:c>
      <x:c r="E286" t="str">
        <x:v>Amazon Marketplace</x:v>
      </x:c>
      <x:c r="F286" s="34" t="n">
        <x:v>14142</x:v>
      </x:c>
      <x:c r="G286" s="33" t="n">
        <x:v>0.92</x:v>
      </x:c>
      <x:c r="H286" s="38" t="n">
        <x:v>13.01064</x:v>
      </x:c>
      <x:c r="I286" s="34" t="n">
        <x:v>605</x:v>
      </x:c>
      <x:c r="J286" s="33" t="n">
        <x:v>21.50519008264463</x:v>
      </x:c>
      <x:c r="K286" t="str">
        <x:v>Forecast driven by traffic and scenario</x:v>
      </x:c>
    </x:row>
    <x:row r="287">
      <x:c r="A287" s="32" t="n">
        <x:v>46153</x:v>
      </x:c>
      <x:c r="B287" s="32" t="n">
        <x:v>46143</x:v>
      </x:c>
      <x:c r="C287" t="str">
        <x:v>May 2026</x:v>
      </x:c>
      <x:c r="D287" t="str">
        <x:v>Forecast</x:v>
      </x:c>
      <x:c r="E287" t="str">
        <x:v>Wholesale</x:v>
      </x:c>
      <x:c r="F287" s="34" t="n">
        <x:v>8486</x:v>
      </x:c>
      <x:c r="G287" s="33" t="n">
        <x:v>0.2</x:v>
      </x:c>
      <x:c r="H287" s="38" t="n">
        <x:v>1.6972</x:v>
      </x:c>
      <x:c r="I287" s="34" t="n">
        <x:v>168</x:v>
      </x:c>
      <x:c r="J287" s="33" t="n">
        <x:v>10.102380952380953</x:v>
      </x:c>
      <x:c r="K287" t="str">
        <x:v>Forecast driven by traffic and scenario</x:v>
      </x:c>
    </x:row>
    <x:row r="288">
      <x:c r="A288" s="32" t="n">
        <x:v>46153</x:v>
      </x:c>
      <x:c r="B288" s="32" t="n">
        <x:v>46143</x:v>
      </x:c>
      <x:c r="C288" t="str">
        <x:v>May 2026</x:v>
      </x:c>
      <x:c r="D288" t="str">
        <x:v>Forecast</x:v>
      </x:c>
      <x:c r="E288" t="str">
        <x:v>TikTok Shop</x:v>
      </x:c>
      <x:c r="F288" s="34" t="n">
        <x:v>5657</x:v>
      </x:c>
      <x:c r="G288" s="33" t="n">
        <x:v>0.62</x:v>
      </x:c>
      <x:c r="H288" s="38" t="n">
        <x:v>3.50734</x:v>
      </x:c>
      <x:c r="I288" s="34" t="n">
        <x:v>258</x:v>
      </x:c>
      <x:c r="J288" s="33" t="n">
        <x:v>13.594341085271319</x:v>
      </x:c>
      <x:c r="K288" t="str">
        <x:v>Forecast driven by traffic and scenario</x:v>
      </x:c>
    </x:row>
    <x:row r="289">
      <x:c r="A289" s="32" t="n">
        <x:v>46160</x:v>
      </x:c>
      <x:c r="B289" s="32" t="n">
        <x:v>46143</x:v>
      </x:c>
      <x:c r="C289" t="str">
        <x:v>May 2026</x:v>
      </x:c>
      <x:c r="D289" t="str">
        <x:v>Forecast</x:v>
      </x:c>
      <x:c r="E289" t="str">
        <x:v>Shopify DTC</x:v>
      </x:c>
      <x:c r="F289" s="34" t="n">
        <x:v>28286</x:v>
      </x:c>
      <x:c r="G289" s="33" t="n">
        <x:v>0.78</x:v>
      </x:c>
      <x:c r="H289" s="38" t="n">
        <x:v>22.063080000000003</x:v>
      </x:c>
      <x:c r="I289" s="34" t="n">
        <x:v>1026</x:v>
      </x:c>
      <x:c r="J289" s="33" t="n">
        <x:v>21.503976608187138</x:v>
      </x:c>
      <x:c r="K289" t="str">
        <x:v>Forecast driven by traffic and scenario</x:v>
      </x:c>
    </x:row>
    <x:row r="290">
      <x:c r="A290" s="32" t="n">
        <x:v>46160</x:v>
      </x:c>
      <x:c r="B290" s="32" t="n">
        <x:v>46143</x:v>
      </x:c>
      <x:c r="C290" t="str">
        <x:v>May 2026</x:v>
      </x:c>
      <x:c r="D290" t="str">
        <x:v>Forecast</x:v>
      </x:c>
      <x:c r="E290" t="str">
        <x:v>Amazon Marketplace</x:v>
      </x:c>
      <x:c r="F290" s="34" t="n">
        <x:v>14142</x:v>
      </x:c>
      <x:c r="G290" s="33" t="n">
        <x:v>0.92</x:v>
      </x:c>
      <x:c r="H290" s="38" t="n">
        <x:v>13.01064</x:v>
      </x:c>
      <x:c r="I290" s="34" t="n">
        <x:v>605</x:v>
      </x:c>
      <x:c r="J290" s="33" t="n">
        <x:v>21.50519008264463</x:v>
      </x:c>
      <x:c r="K290" t="str">
        <x:v>Forecast driven by traffic and scenario</x:v>
      </x:c>
    </x:row>
    <x:row r="291">
      <x:c r="A291" s="32" t="n">
        <x:v>46160</x:v>
      </x:c>
      <x:c r="B291" s="32" t="n">
        <x:v>46143</x:v>
      </x:c>
      <x:c r="C291" t="str">
        <x:v>May 2026</x:v>
      </x:c>
      <x:c r="D291" t="str">
        <x:v>Forecast</x:v>
      </x:c>
      <x:c r="E291" t="str">
        <x:v>Wholesale</x:v>
      </x:c>
      <x:c r="F291" s="34" t="n">
        <x:v>8486</x:v>
      </x:c>
      <x:c r="G291" s="33" t="n">
        <x:v>0.2</x:v>
      </x:c>
      <x:c r="H291" s="38" t="n">
        <x:v>1.6972</x:v>
      </x:c>
      <x:c r="I291" s="34" t="n">
        <x:v>168</x:v>
      </x:c>
      <x:c r="J291" s="33" t="n">
        <x:v>10.102380952380953</x:v>
      </x:c>
      <x:c r="K291" t="str">
        <x:v>Forecast driven by traffic and scenario</x:v>
      </x:c>
    </x:row>
    <x:row r="292">
      <x:c r="A292" s="32" t="n">
        <x:v>46160</x:v>
      </x:c>
      <x:c r="B292" s="32" t="n">
        <x:v>46143</x:v>
      </x:c>
      <x:c r="C292" t="str">
        <x:v>May 2026</x:v>
      </x:c>
      <x:c r="D292" t="str">
        <x:v>Forecast</x:v>
      </x:c>
      <x:c r="E292" t="str">
        <x:v>TikTok Shop</x:v>
      </x:c>
      <x:c r="F292" s="34" t="n">
        <x:v>5657</x:v>
      </x:c>
      <x:c r="G292" s="33" t="n">
        <x:v>0.62</x:v>
      </x:c>
      <x:c r="H292" s="38" t="n">
        <x:v>3.50734</x:v>
      </x:c>
      <x:c r="I292" s="34" t="n">
        <x:v>258</x:v>
      </x:c>
      <x:c r="J292" s="33" t="n">
        <x:v>13.594341085271319</x:v>
      </x:c>
      <x:c r="K292" t="str">
        <x:v>Forecast driven by traffic and scenario</x:v>
      </x:c>
    </x:row>
    <x:row r="293">
      <x:c r="A293" s="32" t="n">
        <x:v>46167</x:v>
      </x:c>
      <x:c r="B293" s="32" t="n">
        <x:v>46143</x:v>
      </x:c>
      <x:c r="C293" t="str">
        <x:v>May 2026</x:v>
      </x:c>
      <x:c r="D293" t="str">
        <x:v>Forecast</x:v>
      </x:c>
      <x:c r="E293" t="str">
        <x:v>Shopify DTC</x:v>
      </x:c>
      <x:c r="F293" s="34" t="n">
        <x:v>28286</x:v>
      </x:c>
      <x:c r="G293" s="33" t="n">
        <x:v>0.78</x:v>
      </x:c>
      <x:c r="H293" s="38" t="n">
        <x:v>22.063080000000003</x:v>
      </x:c>
      <x:c r="I293" s="34" t="n">
        <x:v>1026</x:v>
      </x:c>
      <x:c r="J293" s="33" t="n">
        <x:v>21.503976608187138</x:v>
      </x:c>
      <x:c r="K293" t="str">
        <x:v>Forecast driven by traffic and scenario</x:v>
      </x:c>
    </x:row>
    <x:row r="294">
      <x:c r="A294" s="32" t="n">
        <x:v>46167</x:v>
      </x:c>
      <x:c r="B294" s="32" t="n">
        <x:v>46143</x:v>
      </x:c>
      <x:c r="C294" t="str">
        <x:v>May 2026</x:v>
      </x:c>
      <x:c r="D294" t="str">
        <x:v>Forecast</x:v>
      </x:c>
      <x:c r="E294" t="str">
        <x:v>Amazon Marketplace</x:v>
      </x:c>
      <x:c r="F294" s="34" t="n">
        <x:v>14142</x:v>
      </x:c>
      <x:c r="G294" s="33" t="n">
        <x:v>0.92</x:v>
      </x:c>
      <x:c r="H294" s="38" t="n">
        <x:v>13.01064</x:v>
      </x:c>
      <x:c r="I294" s="34" t="n">
        <x:v>605</x:v>
      </x:c>
      <x:c r="J294" s="33" t="n">
        <x:v>21.50519008264463</x:v>
      </x:c>
      <x:c r="K294" t="str">
        <x:v>Forecast driven by traffic and scenario</x:v>
      </x:c>
    </x:row>
    <x:row r="295">
      <x:c r="A295" s="32" t="n">
        <x:v>46167</x:v>
      </x:c>
      <x:c r="B295" s="32" t="n">
        <x:v>46143</x:v>
      </x:c>
      <x:c r="C295" t="str">
        <x:v>May 2026</x:v>
      </x:c>
      <x:c r="D295" t="str">
        <x:v>Forecast</x:v>
      </x:c>
      <x:c r="E295" t="str">
        <x:v>Wholesale</x:v>
      </x:c>
      <x:c r="F295" s="34" t="n">
        <x:v>8486</x:v>
      </x:c>
      <x:c r="G295" s="33" t="n">
        <x:v>0.2</x:v>
      </x:c>
      <x:c r="H295" s="38" t="n">
        <x:v>1.6972</x:v>
      </x:c>
      <x:c r="I295" s="34" t="n">
        <x:v>168</x:v>
      </x:c>
      <x:c r="J295" s="33" t="n">
        <x:v>10.102380952380953</x:v>
      </x:c>
      <x:c r="K295" t="str">
        <x:v>Forecast driven by traffic and scenario</x:v>
      </x:c>
    </x:row>
    <x:row r="296">
      <x:c r="A296" s="32" t="n">
        <x:v>46167</x:v>
      </x:c>
      <x:c r="B296" s="32" t="n">
        <x:v>46143</x:v>
      </x:c>
      <x:c r="C296" t="str">
        <x:v>May 2026</x:v>
      </x:c>
      <x:c r="D296" t="str">
        <x:v>Forecast</x:v>
      </x:c>
      <x:c r="E296" t="str">
        <x:v>TikTok Shop</x:v>
      </x:c>
      <x:c r="F296" s="34" t="n">
        <x:v>5657</x:v>
      </x:c>
      <x:c r="G296" s="33" t="n">
        <x:v>0.62</x:v>
      </x:c>
      <x:c r="H296" s="38" t="n">
        <x:v>3.50734</x:v>
      </x:c>
      <x:c r="I296" s="34" t="n">
        <x:v>258</x:v>
      </x:c>
      <x:c r="J296" s="33" t="n">
        <x:v>13.594341085271319</x:v>
      </x:c>
      <x:c r="K296" t="str">
        <x:v>Forecast driven by traffic and scenario</x:v>
      </x:c>
    </x:row>
    <x:row r="297">
      <x:c r="A297" s="32" t="n">
        <x:v>46174</x:v>
      </x:c>
      <x:c r="B297" s="32" t="n">
        <x:v>46174</x:v>
      </x:c>
      <x:c r="C297" t="str">
        <x:v>Jun 2026</x:v>
      </x:c>
      <x:c r="D297" t="str">
        <x:v>Forecast</x:v>
      </x:c>
      <x:c r="E297" t="str">
        <x:v>Shopify DTC</x:v>
      </x:c>
      <x:c r="F297" s="34" t="n">
        <x:v>28945</x:v>
      </x:c>
      <x:c r="G297" s="33" t="n">
        <x:v>0.78</x:v>
      </x:c>
      <x:c r="H297" s="38" t="n">
        <x:v>22.5771</x:v>
      </x:c>
      <x:c r="I297" s="34" t="n">
        <x:v>1048</x:v>
      </x:c>
      <x:c r="J297" s="33" t="n">
        <x:v>21.54303435114504</x:v>
      </x:c>
      <x:c r="K297" t="str">
        <x:v>Forecast driven by traffic and scenario</x:v>
      </x:c>
    </x:row>
    <x:row r="298">
      <x:c r="A298" s="32" t="n">
        <x:v>46174</x:v>
      </x:c>
      <x:c r="B298" s="32" t="n">
        <x:v>46174</x:v>
      </x:c>
      <x:c r="C298" t="str">
        <x:v>Jun 2026</x:v>
      </x:c>
      <x:c r="D298" t="str">
        <x:v>Forecast</x:v>
      </x:c>
      <x:c r="E298" t="str">
        <x:v>Amazon Marketplace</x:v>
      </x:c>
      <x:c r="F298" s="34" t="n">
        <x:v>14471</x:v>
      </x:c>
      <x:c r="G298" s="33" t="n">
        <x:v>0.92</x:v>
      </x:c>
      <x:c r="H298" s="38" t="n">
        <x:v>13.31332</x:v>
      </x:c>
      <x:c r="I298" s="34" t="n">
        <x:v>618</x:v>
      </x:c>
      <x:c r="J298" s="33" t="n">
        <x:v>21.542588996763754</x:v>
      </x:c>
      <x:c r="K298" t="str">
        <x:v>Forecast driven by traffic and scenario</x:v>
      </x:c>
    </x:row>
    <x:row r="299">
      <x:c r="A299" s="32" t="n">
        <x:v>46174</x:v>
      </x:c>
      <x:c r="B299" s="32" t="n">
        <x:v>46174</x:v>
      </x:c>
      <x:c r="C299" t="str">
        <x:v>Jun 2026</x:v>
      </x:c>
      <x:c r="D299" t="str">
        <x:v>Forecast</x:v>
      </x:c>
      <x:c r="E299" t="str">
        <x:v>Wholesale</x:v>
      </x:c>
      <x:c r="F299" s="34" t="n">
        <x:v>8683</x:v>
      </x:c>
      <x:c r="G299" s="33" t="n">
        <x:v>0.2</x:v>
      </x:c>
      <x:c r="H299" s="38" t="n">
        <x:v>1.7366000000000001</x:v>
      </x:c>
      <x:c r="I299" s="34" t="n">
        <x:v>172</x:v>
      </x:c>
      <x:c r="J299" s="33" t="n">
        <x:v>10.096511627906978</x:v>
      </x:c>
      <x:c r="K299" t="str">
        <x:v>Forecast driven by traffic and scenario</x:v>
      </x:c>
    </x:row>
    <x:row r="300">
      <x:c r="A300" s="32" t="n">
        <x:v>46174</x:v>
      </x:c>
      <x:c r="B300" s="32" t="n">
        <x:v>46174</x:v>
      </x:c>
      <x:c r="C300" t="str">
        <x:v>Jun 2026</x:v>
      </x:c>
      <x:c r="D300" t="str">
        <x:v>Forecast</x:v>
      </x:c>
      <x:c r="E300" t="str">
        <x:v>TikTok Shop</x:v>
      </x:c>
      <x:c r="F300" s="34" t="n">
        <x:v>5789</x:v>
      </x:c>
      <x:c r="G300" s="33" t="n">
        <x:v>0.62</x:v>
      </x:c>
      <x:c r="H300" s="38" t="n">
        <x:v>3.58918</x:v>
      </x:c>
      <x:c r="I300" s="34" t="n">
        <x:v>264</x:v>
      </x:c>
      <x:c r="J300" s="33" t="n">
        <x:v>13.595378787878786</x:v>
      </x:c>
      <x:c r="K300" t="str">
        <x:v>Forecast driven by traffic and scenario</x:v>
      </x:c>
    </x:row>
    <x:row r="301">
      <x:c r="A301" s="32" t="n">
        <x:v>46181</x:v>
      </x:c>
      <x:c r="B301" s="32" t="n">
        <x:v>46174</x:v>
      </x:c>
      <x:c r="C301" t="str">
        <x:v>Jun 2026</x:v>
      </x:c>
      <x:c r="D301" t="str">
        <x:v>Forecast</x:v>
      </x:c>
      <x:c r="E301" t="str">
        <x:v>Shopify DTC</x:v>
      </x:c>
      <x:c r="F301" s="34" t="n">
        <x:v>28945</x:v>
      </x:c>
      <x:c r="G301" s="33" t="n">
        <x:v>0.78</x:v>
      </x:c>
      <x:c r="H301" s="38" t="n">
        <x:v>22.5771</x:v>
      </x:c>
      <x:c r="I301" s="34" t="n">
        <x:v>1048</x:v>
      </x:c>
      <x:c r="J301" s="33" t="n">
        <x:v>21.54303435114504</x:v>
      </x:c>
      <x:c r="K301" t="str">
        <x:v>Forecast driven by traffic and scenario</x:v>
      </x:c>
    </x:row>
    <x:row r="302">
      <x:c r="A302" s="32" t="n">
        <x:v>46181</x:v>
      </x:c>
      <x:c r="B302" s="32" t="n">
        <x:v>46174</x:v>
      </x:c>
      <x:c r="C302" t="str">
        <x:v>Jun 2026</x:v>
      </x:c>
      <x:c r="D302" t="str">
        <x:v>Forecast</x:v>
      </x:c>
      <x:c r="E302" t="str">
        <x:v>Amazon Marketplace</x:v>
      </x:c>
      <x:c r="F302" s="34" t="n">
        <x:v>14471</x:v>
      </x:c>
      <x:c r="G302" s="33" t="n">
        <x:v>0.92</x:v>
      </x:c>
      <x:c r="H302" s="38" t="n">
        <x:v>13.31332</x:v>
      </x:c>
      <x:c r="I302" s="34" t="n">
        <x:v>618</x:v>
      </x:c>
      <x:c r="J302" s="33" t="n">
        <x:v>21.542588996763754</x:v>
      </x:c>
      <x:c r="K302" t="str">
        <x:v>Forecast driven by traffic and scenario</x:v>
      </x:c>
    </x:row>
    <x:row r="303">
      <x:c r="A303" s="32" t="n">
        <x:v>46181</x:v>
      </x:c>
      <x:c r="B303" s="32" t="n">
        <x:v>46174</x:v>
      </x:c>
      <x:c r="C303" t="str">
        <x:v>Jun 2026</x:v>
      </x:c>
      <x:c r="D303" t="str">
        <x:v>Forecast</x:v>
      </x:c>
      <x:c r="E303" t="str">
        <x:v>Wholesale</x:v>
      </x:c>
      <x:c r="F303" s="34" t="n">
        <x:v>8683</x:v>
      </x:c>
      <x:c r="G303" s="33" t="n">
        <x:v>0.2</x:v>
      </x:c>
      <x:c r="H303" s="38" t="n">
        <x:v>1.7366000000000001</x:v>
      </x:c>
      <x:c r="I303" s="34" t="n">
        <x:v>172</x:v>
      </x:c>
      <x:c r="J303" s="33" t="n">
        <x:v>10.096511627906978</x:v>
      </x:c>
      <x:c r="K303" t="str">
        <x:v>Forecast driven by traffic and scenario</x:v>
      </x:c>
    </x:row>
    <x:row r="304">
      <x:c r="A304" s="32" t="n">
        <x:v>46181</x:v>
      </x:c>
      <x:c r="B304" s="32" t="n">
        <x:v>46174</x:v>
      </x:c>
      <x:c r="C304" t="str">
        <x:v>Jun 2026</x:v>
      </x:c>
      <x:c r="D304" t="str">
        <x:v>Forecast</x:v>
      </x:c>
      <x:c r="E304" t="str">
        <x:v>TikTok Shop</x:v>
      </x:c>
      <x:c r="F304" s="34" t="n">
        <x:v>5789</x:v>
      </x:c>
      <x:c r="G304" s="33" t="n">
        <x:v>0.62</x:v>
      </x:c>
      <x:c r="H304" s="38" t="n">
        <x:v>3.58918</x:v>
      </x:c>
      <x:c r="I304" s="34" t="n">
        <x:v>264</x:v>
      </x:c>
      <x:c r="J304" s="33" t="n">
        <x:v>13.595378787878786</x:v>
      </x:c>
      <x:c r="K304" t="str">
        <x:v>Forecast driven by traffic and scenario</x:v>
      </x:c>
    </x:row>
    <x:row r="305">
      <x:c r="A305" s="32" t="n">
        <x:v>46188</x:v>
      </x:c>
      <x:c r="B305" s="32" t="n">
        <x:v>46174</x:v>
      </x:c>
      <x:c r="C305" t="str">
        <x:v>Jun 2026</x:v>
      </x:c>
      <x:c r="D305" t="str">
        <x:v>Forecast</x:v>
      </x:c>
      <x:c r="E305" t="str">
        <x:v>Shopify DTC</x:v>
      </x:c>
      <x:c r="F305" s="34" t="n">
        <x:v>28945</x:v>
      </x:c>
      <x:c r="G305" s="33" t="n">
        <x:v>0.78</x:v>
      </x:c>
      <x:c r="H305" s="38" t="n">
        <x:v>22.5771</x:v>
      </x:c>
      <x:c r="I305" s="34" t="n">
        <x:v>1048</x:v>
      </x:c>
      <x:c r="J305" s="33" t="n">
        <x:v>21.54303435114504</x:v>
      </x:c>
      <x:c r="K305" t="str">
        <x:v>Forecast driven by traffic and scenario</x:v>
      </x:c>
    </x:row>
    <x:row r="306">
      <x:c r="A306" s="32" t="n">
        <x:v>46188</x:v>
      </x:c>
      <x:c r="B306" s="32" t="n">
        <x:v>46174</x:v>
      </x:c>
      <x:c r="C306" t="str">
        <x:v>Jun 2026</x:v>
      </x:c>
      <x:c r="D306" t="str">
        <x:v>Forecast</x:v>
      </x:c>
      <x:c r="E306" t="str">
        <x:v>Amazon Marketplace</x:v>
      </x:c>
      <x:c r="F306" s="34" t="n">
        <x:v>14471</x:v>
      </x:c>
      <x:c r="G306" s="33" t="n">
        <x:v>0.92</x:v>
      </x:c>
      <x:c r="H306" s="38" t="n">
        <x:v>13.31332</x:v>
      </x:c>
      <x:c r="I306" s="34" t="n">
        <x:v>618</x:v>
      </x:c>
      <x:c r="J306" s="33" t="n">
        <x:v>21.542588996763754</x:v>
      </x:c>
      <x:c r="K306" t="str">
        <x:v>Forecast driven by traffic and scenario</x:v>
      </x:c>
    </x:row>
    <x:row r="307">
      <x:c r="A307" s="32" t="n">
        <x:v>46188</x:v>
      </x:c>
      <x:c r="B307" s="32" t="n">
        <x:v>46174</x:v>
      </x:c>
      <x:c r="C307" t="str">
        <x:v>Jun 2026</x:v>
      </x:c>
      <x:c r="D307" t="str">
        <x:v>Forecast</x:v>
      </x:c>
      <x:c r="E307" t="str">
        <x:v>Wholesale</x:v>
      </x:c>
      <x:c r="F307" s="34" t="n">
        <x:v>8683</x:v>
      </x:c>
      <x:c r="G307" s="33" t="n">
        <x:v>0.2</x:v>
      </x:c>
      <x:c r="H307" s="38" t="n">
        <x:v>1.7366000000000001</x:v>
      </x:c>
      <x:c r="I307" s="34" t="n">
        <x:v>172</x:v>
      </x:c>
      <x:c r="J307" s="33" t="n">
        <x:v>10.096511627906978</x:v>
      </x:c>
      <x:c r="K307" t="str">
        <x:v>Forecast driven by traffic and scenario</x:v>
      </x:c>
    </x:row>
    <x:row r="308">
      <x:c r="A308" s="32" t="n">
        <x:v>46188</x:v>
      </x:c>
      <x:c r="B308" s="32" t="n">
        <x:v>46174</x:v>
      </x:c>
      <x:c r="C308" t="str">
        <x:v>Jun 2026</x:v>
      </x:c>
      <x:c r="D308" t="str">
        <x:v>Forecast</x:v>
      </x:c>
      <x:c r="E308" t="str">
        <x:v>TikTok Shop</x:v>
      </x:c>
      <x:c r="F308" s="34" t="n">
        <x:v>5789</x:v>
      </x:c>
      <x:c r="G308" s="33" t="n">
        <x:v>0.62</x:v>
      </x:c>
      <x:c r="H308" s="38" t="n">
        <x:v>3.58918</x:v>
      </x:c>
      <x:c r="I308" s="34" t="n">
        <x:v>264</x:v>
      </x:c>
      <x:c r="J308" s="33" t="n">
        <x:v>13.595378787878786</x:v>
      </x:c>
      <x:c r="K308" t="str">
        <x:v>Forecast driven by traffic and scenario</x:v>
      </x:c>
    </x:row>
    <x:row r="309">
      <x:c r="A309" s="32" t="n">
        <x:v>46195</x:v>
      </x:c>
      <x:c r="B309" s="32" t="n">
        <x:v>46174</x:v>
      </x:c>
      <x:c r="C309" t="str">
        <x:v>Jun 2026</x:v>
      </x:c>
      <x:c r="D309" t="str">
        <x:v>Forecast</x:v>
      </x:c>
      <x:c r="E309" t="str">
        <x:v>Shopify DTC</x:v>
      </x:c>
      <x:c r="F309" s="34" t="n">
        <x:v>28945</x:v>
      </x:c>
      <x:c r="G309" s="33" t="n">
        <x:v>0.78</x:v>
      </x:c>
      <x:c r="H309" s="38" t="n">
        <x:v>22.5771</x:v>
      </x:c>
      <x:c r="I309" s="34" t="n">
        <x:v>1048</x:v>
      </x:c>
      <x:c r="J309" s="33" t="n">
        <x:v>21.54303435114504</x:v>
      </x:c>
      <x:c r="K309" t="str">
        <x:v>Forecast driven by traffic and scenario</x:v>
      </x:c>
    </x:row>
    <x:row r="310">
      <x:c r="A310" s="32" t="n">
        <x:v>46195</x:v>
      </x:c>
      <x:c r="B310" s="32" t="n">
        <x:v>46174</x:v>
      </x:c>
      <x:c r="C310" t="str">
        <x:v>Jun 2026</x:v>
      </x:c>
      <x:c r="D310" t="str">
        <x:v>Forecast</x:v>
      </x:c>
      <x:c r="E310" t="str">
        <x:v>Amazon Marketplace</x:v>
      </x:c>
      <x:c r="F310" s="34" t="n">
        <x:v>14471</x:v>
      </x:c>
      <x:c r="G310" s="33" t="n">
        <x:v>0.92</x:v>
      </x:c>
      <x:c r="H310" s="38" t="n">
        <x:v>13.31332</x:v>
      </x:c>
      <x:c r="I310" s="34" t="n">
        <x:v>618</x:v>
      </x:c>
      <x:c r="J310" s="33" t="n">
        <x:v>21.542588996763754</x:v>
      </x:c>
      <x:c r="K310" t="str">
        <x:v>Forecast driven by traffic and scenario</x:v>
      </x:c>
    </x:row>
    <x:row r="311">
      <x:c r="A311" s="32" t="n">
        <x:v>46195</x:v>
      </x:c>
      <x:c r="B311" s="32" t="n">
        <x:v>46174</x:v>
      </x:c>
      <x:c r="C311" t="str">
        <x:v>Jun 2026</x:v>
      </x:c>
      <x:c r="D311" t="str">
        <x:v>Forecast</x:v>
      </x:c>
      <x:c r="E311" t="str">
        <x:v>Wholesale</x:v>
      </x:c>
      <x:c r="F311" s="34" t="n">
        <x:v>8683</x:v>
      </x:c>
      <x:c r="G311" s="33" t="n">
        <x:v>0.2</x:v>
      </x:c>
      <x:c r="H311" s="38" t="n">
        <x:v>1.7366000000000001</x:v>
      </x:c>
      <x:c r="I311" s="34" t="n">
        <x:v>172</x:v>
      </x:c>
      <x:c r="J311" s="33" t="n">
        <x:v>10.096511627906978</x:v>
      </x:c>
      <x:c r="K311" t="str">
        <x:v>Forecast driven by traffic and scenario</x:v>
      </x:c>
    </x:row>
    <x:row r="312">
      <x:c r="A312" s="32" t="n">
        <x:v>46195</x:v>
      </x:c>
      <x:c r="B312" s="32" t="n">
        <x:v>46174</x:v>
      </x:c>
      <x:c r="C312" t="str">
        <x:v>Jun 2026</x:v>
      </x:c>
      <x:c r="D312" t="str">
        <x:v>Forecast</x:v>
      </x:c>
      <x:c r="E312" t="str">
        <x:v>TikTok Shop</x:v>
      </x:c>
      <x:c r="F312" s="34" t="n">
        <x:v>5789</x:v>
      </x:c>
      <x:c r="G312" s="33" t="n">
        <x:v>0.62</x:v>
      </x:c>
      <x:c r="H312" s="38" t="n">
        <x:v>3.58918</x:v>
      </x:c>
      <x:c r="I312" s="34" t="n">
        <x:v>264</x:v>
      </x:c>
      <x:c r="J312" s="33" t="n">
        <x:v>13.595378787878786</x:v>
      </x:c>
      <x:c r="K312" t="str">
        <x:v>Forecast driven by traffic and scenario</x:v>
      </x:c>
    </x:row>
    <x:row r="313">
      <x:c r="A313" s="32" t="n">
        <x:v>46202</x:v>
      </x:c>
      <x:c r="B313" s="32" t="n">
        <x:v>46174</x:v>
      </x:c>
      <x:c r="C313" t="str">
        <x:v>Jun 2026</x:v>
      </x:c>
      <x:c r="D313" t="str">
        <x:v>Forecast</x:v>
      </x:c>
      <x:c r="E313" t="str">
        <x:v>Shopify DTC</x:v>
      </x:c>
      <x:c r="F313" s="34" t="n">
        <x:v>28945</x:v>
      </x:c>
      <x:c r="G313" s="33" t="n">
        <x:v>0.78</x:v>
      </x:c>
      <x:c r="H313" s="38" t="n">
        <x:v>22.5771</x:v>
      </x:c>
      <x:c r="I313" s="34" t="n">
        <x:v>1048</x:v>
      </x:c>
      <x:c r="J313" s="33" t="n">
        <x:v>21.54303435114504</x:v>
      </x:c>
      <x:c r="K313" t="str">
        <x:v>Forecast driven by traffic and scenario</x:v>
      </x:c>
    </x:row>
    <x:row r="314">
      <x:c r="A314" s="32" t="n">
        <x:v>46202</x:v>
      </x:c>
      <x:c r="B314" s="32" t="n">
        <x:v>46174</x:v>
      </x:c>
      <x:c r="C314" t="str">
        <x:v>Jun 2026</x:v>
      </x:c>
      <x:c r="D314" t="str">
        <x:v>Forecast</x:v>
      </x:c>
      <x:c r="E314" t="str">
        <x:v>Amazon Marketplace</x:v>
      </x:c>
      <x:c r="F314" s="34" t="n">
        <x:v>14471</x:v>
      </x:c>
      <x:c r="G314" s="33" t="n">
        <x:v>0.92</x:v>
      </x:c>
      <x:c r="H314" s="38" t="n">
        <x:v>13.31332</x:v>
      </x:c>
      <x:c r="I314" s="34" t="n">
        <x:v>618</x:v>
      </x:c>
      <x:c r="J314" s="33" t="n">
        <x:v>21.542588996763754</x:v>
      </x:c>
      <x:c r="K314" t="str">
        <x:v>Forecast driven by traffic and scenario</x:v>
      </x:c>
    </x:row>
    <x:row r="315">
      <x:c r="A315" s="32" t="n">
        <x:v>46202</x:v>
      </x:c>
      <x:c r="B315" s="32" t="n">
        <x:v>46174</x:v>
      </x:c>
      <x:c r="C315" t="str">
        <x:v>Jun 2026</x:v>
      </x:c>
      <x:c r="D315" t="str">
        <x:v>Forecast</x:v>
      </x:c>
      <x:c r="E315" t="str">
        <x:v>Wholesale</x:v>
      </x:c>
      <x:c r="F315" s="34" t="n">
        <x:v>8683</x:v>
      </x:c>
      <x:c r="G315" s="33" t="n">
        <x:v>0.2</x:v>
      </x:c>
      <x:c r="H315" s="38" t="n">
        <x:v>1.7366000000000001</x:v>
      </x:c>
      <x:c r="I315" s="34" t="n">
        <x:v>172</x:v>
      </x:c>
      <x:c r="J315" s="33" t="n">
        <x:v>10.096511627906978</x:v>
      </x:c>
      <x:c r="K315" t="str">
        <x:v>Forecast driven by traffic and scenario</x:v>
      </x:c>
    </x:row>
    <x:row r="316">
      <x:c r="A316" s="32" t="n">
        <x:v>46202</x:v>
      </x:c>
      <x:c r="B316" s="32" t="n">
        <x:v>46174</x:v>
      </x:c>
      <x:c r="C316" t="str">
        <x:v>Jun 2026</x:v>
      </x:c>
      <x:c r="D316" t="str">
        <x:v>Forecast</x:v>
      </x:c>
      <x:c r="E316" t="str">
        <x:v>TikTok Shop</x:v>
      </x:c>
      <x:c r="F316" s="34" t="n">
        <x:v>5789</x:v>
      </x:c>
      <x:c r="G316" s="33" t="n">
        <x:v>0.62</x:v>
      </x:c>
      <x:c r="H316" s="38" t="n">
        <x:v>3.58918</x:v>
      </x:c>
      <x:c r="I316" s="34" t="n">
        <x:v>264</x:v>
      </x:c>
      <x:c r="J316" s="33" t="n">
        <x:v>13.595378787878786</x:v>
      </x:c>
      <x:c r="K316" t="str">
        <x:v>Forecast driven by traffic and scenario</x:v>
      </x:c>
    </x:row>
    <x:row r="317">
      <x:c r="A317" s="32" t="n">
        <x:v>46209</x:v>
      </x:c>
      <x:c r="B317" s="32" t="n">
        <x:v>46204</x:v>
      </x:c>
      <x:c r="C317" t="str">
        <x:v>Jul 2026</x:v>
      </x:c>
      <x:c r="D317" t="str">
        <x:v>Forecast</x:v>
      </x:c>
      <x:c r="E317" t="str">
        <x:v>Shopify DTC</x:v>
      </x:c>
      <x:c r="F317" s="34" t="n">
        <x:v>28954</x:v>
      </x:c>
      <x:c r="G317" s="33" t="n">
        <x:v>0.78</x:v>
      </x:c>
      <x:c r="H317" s="38" t="n">
        <x:v>22.58412</x:v>
      </x:c>
      <x:c r="I317" s="34" t="n">
        <x:v>1048</x:v>
      </x:c>
      <x:c r="J317" s="33" t="n">
        <x:v>21.54973282442748</x:v>
      </x:c>
      <x:c r="K317" t="str">
        <x:v>Forecast driven by traffic and scenario</x:v>
      </x:c>
    </x:row>
    <x:row r="318">
      <x:c r="A318" s="32" t="n">
        <x:v>46209</x:v>
      </x:c>
      <x:c r="B318" s="32" t="n">
        <x:v>46204</x:v>
      </x:c>
      <x:c r="C318" t="str">
        <x:v>Jul 2026</x:v>
      </x:c>
      <x:c r="D318" t="str">
        <x:v>Forecast</x:v>
      </x:c>
      <x:c r="E318" t="str">
        <x:v>Amazon Marketplace</x:v>
      </x:c>
      <x:c r="F318" s="34" t="n">
        <x:v>14476</x:v>
      </x:c>
      <x:c r="G318" s="33" t="n">
        <x:v>0.92</x:v>
      </x:c>
      <x:c r="H318" s="38" t="n">
        <x:v>13.31792</x:v>
      </x:c>
      <x:c r="I318" s="34" t="n">
        <x:v>618</x:v>
      </x:c>
      <x:c r="J318" s="33" t="n">
        <x:v>21.550032362459547</x:v>
      </x:c>
      <x:c r="K318" t="str">
        <x:v>Forecast driven by traffic and scenario</x:v>
      </x:c>
    </x:row>
    <x:row r="319">
      <x:c r="A319" s="32" t="n">
        <x:v>46209</x:v>
      </x:c>
      <x:c r="B319" s="32" t="n">
        <x:v>46204</x:v>
      </x:c>
      <x:c r="C319" t="str">
        <x:v>Jul 2026</x:v>
      </x:c>
      <x:c r="D319" t="str">
        <x:v>Forecast</x:v>
      </x:c>
      <x:c r="E319" t="str">
        <x:v>Wholesale</x:v>
      </x:c>
      <x:c r="F319" s="34" t="n">
        <x:v>8686</x:v>
      </x:c>
      <x:c r="G319" s="33" t="n">
        <x:v>0.2</x:v>
      </x:c>
      <x:c r="H319" s="38" t="n">
        <x:v>1.7372</x:v>
      </x:c>
      <x:c r="I319" s="34" t="n">
        <x:v>172</x:v>
      </x:c>
      <x:c r="J319" s="33" t="n">
        <x:v>10.1</x:v>
      </x:c>
      <x:c r="K319" t="str">
        <x:v>Forecast driven by traffic and scenario</x:v>
      </x:c>
    </x:row>
    <x:row r="320">
      <x:c r="A320" s="32" t="n">
        <x:v>46209</x:v>
      </x:c>
      <x:c r="B320" s="32" t="n">
        <x:v>46204</x:v>
      </x:c>
      <x:c r="C320" t="str">
        <x:v>Jul 2026</x:v>
      </x:c>
      <x:c r="D320" t="str">
        <x:v>Forecast</x:v>
      </x:c>
      <x:c r="E320" t="str">
        <x:v>TikTok Shop</x:v>
      </x:c>
      <x:c r="F320" s="34" t="n">
        <x:v>5791</x:v>
      </x:c>
      <x:c r="G320" s="33" t="n">
        <x:v>0.62</x:v>
      </x:c>
      <x:c r="H320" s="38" t="n">
        <x:v>3.59042</x:v>
      </x:c>
      <x:c r="I320" s="34" t="n">
        <x:v>264</x:v>
      </x:c>
      <x:c r="J320" s="33" t="n">
        <x:v>13.600075757575757</x:v>
      </x:c>
      <x:c r="K320" t="str">
        <x:v>Forecast driven by traffic and scenario</x:v>
      </x:c>
    </x:row>
    <x:row r="321">
      <x:c r="A321" s="32" t="n">
        <x:v>46216</x:v>
      </x:c>
      <x:c r="B321" s="32" t="n">
        <x:v>46204</x:v>
      </x:c>
      <x:c r="C321" t="str">
        <x:v>Jul 2026</x:v>
      </x:c>
      <x:c r="D321" t="str">
        <x:v>Forecast</x:v>
      </x:c>
      <x:c r="E321" t="str">
        <x:v>Shopify DTC</x:v>
      </x:c>
      <x:c r="F321" s="34" t="n">
        <x:v>28954</x:v>
      </x:c>
      <x:c r="G321" s="33" t="n">
        <x:v>0.78</x:v>
      </x:c>
      <x:c r="H321" s="38" t="n">
        <x:v>22.58412</x:v>
      </x:c>
      <x:c r="I321" s="34" t="n">
        <x:v>1048</x:v>
      </x:c>
      <x:c r="J321" s="33" t="n">
        <x:v>21.54973282442748</x:v>
      </x:c>
      <x:c r="K321" t="str">
        <x:v>Forecast driven by traffic and scenario</x:v>
      </x:c>
    </x:row>
    <x:row r="322">
      <x:c r="A322" s="32" t="n">
        <x:v>46216</x:v>
      </x:c>
      <x:c r="B322" s="32" t="n">
        <x:v>46204</x:v>
      </x:c>
      <x:c r="C322" t="str">
        <x:v>Jul 2026</x:v>
      </x:c>
      <x:c r="D322" t="str">
        <x:v>Forecast</x:v>
      </x:c>
      <x:c r="E322" t="str">
        <x:v>Amazon Marketplace</x:v>
      </x:c>
      <x:c r="F322" s="34" t="n">
        <x:v>14476</x:v>
      </x:c>
      <x:c r="G322" s="33" t="n">
        <x:v>0.92</x:v>
      </x:c>
      <x:c r="H322" s="38" t="n">
        <x:v>13.31792</x:v>
      </x:c>
      <x:c r="I322" s="34" t="n">
        <x:v>618</x:v>
      </x:c>
      <x:c r="J322" s="33" t="n">
        <x:v>21.550032362459547</x:v>
      </x:c>
      <x:c r="K322" t="str">
        <x:v>Forecast driven by traffic and scenario</x:v>
      </x:c>
    </x:row>
    <x:row r="323">
      <x:c r="A323" s="32" t="n">
        <x:v>46216</x:v>
      </x:c>
      <x:c r="B323" s="32" t="n">
        <x:v>46204</x:v>
      </x:c>
      <x:c r="C323" t="str">
        <x:v>Jul 2026</x:v>
      </x:c>
      <x:c r="D323" t="str">
        <x:v>Forecast</x:v>
      </x:c>
      <x:c r="E323" t="str">
        <x:v>Wholesale</x:v>
      </x:c>
      <x:c r="F323" s="34" t="n">
        <x:v>8686</x:v>
      </x:c>
      <x:c r="G323" s="33" t="n">
        <x:v>0.2</x:v>
      </x:c>
      <x:c r="H323" s="38" t="n">
        <x:v>1.7372</x:v>
      </x:c>
      <x:c r="I323" s="34" t="n">
        <x:v>172</x:v>
      </x:c>
      <x:c r="J323" s="33" t="n">
        <x:v>10.1</x:v>
      </x:c>
      <x:c r="K323" t="str">
        <x:v>Forecast driven by traffic and scenario</x:v>
      </x:c>
    </x:row>
    <x:row r="324">
      <x:c r="A324" s="32" t="n">
        <x:v>46216</x:v>
      </x:c>
      <x:c r="B324" s="32" t="n">
        <x:v>46204</x:v>
      </x:c>
      <x:c r="C324" t="str">
        <x:v>Jul 2026</x:v>
      </x:c>
      <x:c r="D324" t="str">
        <x:v>Forecast</x:v>
      </x:c>
      <x:c r="E324" t="str">
        <x:v>TikTok Shop</x:v>
      </x:c>
      <x:c r="F324" s="34" t="n">
        <x:v>5791</x:v>
      </x:c>
      <x:c r="G324" s="33" t="n">
        <x:v>0.62</x:v>
      </x:c>
      <x:c r="H324" s="38" t="n">
        <x:v>3.59042</x:v>
      </x:c>
      <x:c r="I324" s="34" t="n">
        <x:v>264</x:v>
      </x:c>
      <x:c r="J324" s="33" t="n">
        <x:v>13.600075757575757</x:v>
      </x:c>
      <x:c r="K324" t="str">
        <x:v>Forecast driven by traffic and scenario</x:v>
      </x:c>
    </x:row>
    <x:row r="325">
      <x:c r="A325" s="32" t="n">
        <x:v>46223</x:v>
      </x:c>
      <x:c r="B325" s="32" t="n">
        <x:v>46204</x:v>
      </x:c>
      <x:c r="C325" t="str">
        <x:v>Jul 2026</x:v>
      </x:c>
      <x:c r="D325" t="str">
        <x:v>Forecast</x:v>
      </x:c>
      <x:c r="E325" t="str">
        <x:v>Shopify DTC</x:v>
      </x:c>
      <x:c r="F325" s="34" t="n">
        <x:v>28954</x:v>
      </x:c>
      <x:c r="G325" s="33" t="n">
        <x:v>0.78</x:v>
      </x:c>
      <x:c r="H325" s="38" t="n">
        <x:v>22.58412</x:v>
      </x:c>
      <x:c r="I325" s="34" t="n">
        <x:v>1048</x:v>
      </x:c>
      <x:c r="J325" s="33" t="n">
        <x:v>21.54973282442748</x:v>
      </x:c>
      <x:c r="K325" t="str">
        <x:v>Forecast driven by traffic and scenario</x:v>
      </x:c>
    </x:row>
    <x:row r="326">
      <x:c r="A326" s="32" t="n">
        <x:v>46223</x:v>
      </x:c>
      <x:c r="B326" s="32" t="n">
        <x:v>46204</x:v>
      </x:c>
      <x:c r="C326" t="str">
        <x:v>Jul 2026</x:v>
      </x:c>
      <x:c r="D326" t="str">
        <x:v>Forecast</x:v>
      </x:c>
      <x:c r="E326" t="str">
        <x:v>Amazon Marketplace</x:v>
      </x:c>
      <x:c r="F326" s="34" t="n">
        <x:v>14476</x:v>
      </x:c>
      <x:c r="G326" s="33" t="n">
        <x:v>0.92</x:v>
      </x:c>
      <x:c r="H326" s="38" t="n">
        <x:v>13.31792</x:v>
      </x:c>
      <x:c r="I326" s="34" t="n">
        <x:v>618</x:v>
      </x:c>
      <x:c r="J326" s="33" t="n">
        <x:v>21.550032362459547</x:v>
      </x:c>
      <x:c r="K326" t="str">
        <x:v>Forecast driven by traffic and scenario</x:v>
      </x:c>
    </x:row>
    <x:row r="327">
      <x:c r="A327" s="32" t="n">
        <x:v>46223</x:v>
      </x:c>
      <x:c r="B327" s="32" t="n">
        <x:v>46204</x:v>
      </x:c>
      <x:c r="C327" t="str">
        <x:v>Jul 2026</x:v>
      </x:c>
      <x:c r="D327" t="str">
        <x:v>Forecast</x:v>
      </x:c>
      <x:c r="E327" t="str">
        <x:v>Wholesale</x:v>
      </x:c>
      <x:c r="F327" s="34" t="n">
        <x:v>8686</x:v>
      </x:c>
      <x:c r="G327" s="33" t="n">
        <x:v>0.2</x:v>
      </x:c>
      <x:c r="H327" s="38" t="n">
        <x:v>1.7372</x:v>
      </x:c>
      <x:c r="I327" s="34" t="n">
        <x:v>172</x:v>
      </x:c>
      <x:c r="J327" s="33" t="n">
        <x:v>10.1</x:v>
      </x:c>
      <x:c r="K327" t="str">
        <x:v>Forecast driven by traffic and scenario</x:v>
      </x:c>
    </x:row>
    <x:row r="328">
      <x:c r="A328" s="32" t="n">
        <x:v>46223</x:v>
      </x:c>
      <x:c r="B328" s="32" t="n">
        <x:v>46204</x:v>
      </x:c>
      <x:c r="C328" t="str">
        <x:v>Jul 2026</x:v>
      </x:c>
      <x:c r="D328" t="str">
        <x:v>Forecast</x:v>
      </x:c>
      <x:c r="E328" t="str">
        <x:v>TikTok Shop</x:v>
      </x:c>
      <x:c r="F328" s="34" t="n">
        <x:v>5791</x:v>
      </x:c>
      <x:c r="G328" s="33" t="n">
        <x:v>0.62</x:v>
      </x:c>
      <x:c r="H328" s="38" t="n">
        <x:v>3.59042</x:v>
      </x:c>
      <x:c r="I328" s="34" t="n">
        <x:v>264</x:v>
      </x:c>
      <x:c r="J328" s="33" t="n">
        <x:v>13.600075757575757</x:v>
      </x:c>
      <x:c r="K328" t="str">
        <x:v>Forecast driven by traffic and scenario</x:v>
      </x:c>
    </x:row>
    <x:row r="329">
      <x:c r="A329" s="32" t="n">
        <x:v>46230</x:v>
      </x:c>
      <x:c r="B329" s="32" t="n">
        <x:v>46204</x:v>
      </x:c>
      <x:c r="C329" t="str">
        <x:v>Jul 2026</x:v>
      </x:c>
      <x:c r="D329" t="str">
        <x:v>Forecast</x:v>
      </x:c>
      <x:c r="E329" t="str">
        <x:v>Shopify DTC</x:v>
      </x:c>
      <x:c r="F329" s="34" t="n">
        <x:v>28954</x:v>
      </x:c>
      <x:c r="G329" s="33" t="n">
        <x:v>0.78</x:v>
      </x:c>
      <x:c r="H329" s="38" t="n">
        <x:v>22.58412</x:v>
      </x:c>
      <x:c r="I329" s="34" t="n">
        <x:v>1048</x:v>
      </x:c>
      <x:c r="J329" s="33" t="n">
        <x:v>21.54973282442748</x:v>
      </x:c>
      <x:c r="K329" t="str">
        <x:v>Forecast driven by traffic and scenario</x:v>
      </x:c>
    </x:row>
    <x:row r="330">
      <x:c r="A330" s="32" t="n">
        <x:v>46230</x:v>
      </x:c>
      <x:c r="B330" s="32" t="n">
        <x:v>46204</x:v>
      </x:c>
      <x:c r="C330" t="str">
        <x:v>Jul 2026</x:v>
      </x:c>
      <x:c r="D330" t="str">
        <x:v>Forecast</x:v>
      </x:c>
      <x:c r="E330" t="str">
        <x:v>Amazon Marketplace</x:v>
      </x:c>
      <x:c r="F330" s="34" t="n">
        <x:v>14476</x:v>
      </x:c>
      <x:c r="G330" s="33" t="n">
        <x:v>0.92</x:v>
      </x:c>
      <x:c r="H330" s="38" t="n">
        <x:v>13.31792</x:v>
      </x:c>
      <x:c r="I330" s="34" t="n">
        <x:v>618</x:v>
      </x:c>
      <x:c r="J330" s="33" t="n">
        <x:v>21.550032362459547</x:v>
      </x:c>
      <x:c r="K330" t="str">
        <x:v>Forecast driven by traffic and scenario</x:v>
      </x:c>
    </x:row>
    <x:row r="331">
      <x:c r="A331" s="32" t="n">
        <x:v>46230</x:v>
      </x:c>
      <x:c r="B331" s="32" t="n">
        <x:v>46204</x:v>
      </x:c>
      <x:c r="C331" t="str">
        <x:v>Jul 2026</x:v>
      </x:c>
      <x:c r="D331" t="str">
        <x:v>Forecast</x:v>
      </x:c>
      <x:c r="E331" t="str">
        <x:v>Wholesale</x:v>
      </x:c>
      <x:c r="F331" s="34" t="n">
        <x:v>8686</x:v>
      </x:c>
      <x:c r="G331" s="33" t="n">
        <x:v>0.2</x:v>
      </x:c>
      <x:c r="H331" s="38" t="n">
        <x:v>1.7372</x:v>
      </x:c>
      <x:c r="I331" s="34" t="n">
        <x:v>172</x:v>
      </x:c>
      <x:c r="J331" s="33" t="n">
        <x:v>10.1</x:v>
      </x:c>
      <x:c r="K331" t="str">
        <x:v>Forecast driven by traffic and scenario</x:v>
      </x:c>
    </x:row>
    <x:row r="332">
      <x:c r="A332" s="32" t="n">
        <x:v>46230</x:v>
      </x:c>
      <x:c r="B332" s="32" t="n">
        <x:v>46204</x:v>
      </x:c>
      <x:c r="C332" t="str">
        <x:v>Jul 2026</x:v>
      </x:c>
      <x:c r="D332" t="str">
        <x:v>Forecast</x:v>
      </x:c>
      <x:c r="E332" t="str">
        <x:v>TikTok Shop</x:v>
      </x:c>
      <x:c r="F332" s="34" t="n">
        <x:v>5791</x:v>
      </x:c>
      <x:c r="G332" s="33" t="n">
        <x:v>0.62</x:v>
      </x:c>
      <x:c r="H332" s="38" t="n">
        <x:v>3.59042</x:v>
      </x:c>
      <x:c r="I332" s="34" t="n">
        <x:v>264</x:v>
      </x:c>
      <x:c r="J332" s="33" t="n">
        <x:v>13.600075757575757</x:v>
      </x:c>
      <x:c r="K332" t="str">
        <x:v>Forecast driven by traffic and scenario</x:v>
      </x:c>
    </x:row>
    <x:row r="333">
      <x:c r="A333" s="32" t="n">
        <x:v>46237</x:v>
      </x:c>
      <x:c r="B333" s="32" t="n">
        <x:v>46235</x:v>
      </x:c>
      <x:c r="C333" t="str">
        <x:v>Aug 2026</x:v>
      </x:c>
      <x:c r="D333" t="str">
        <x:v>Forecast</x:v>
      </x:c>
      <x:c r="E333" t="str">
        <x:v>Shopify DTC</x:v>
      </x:c>
      <x:c r="F333" s="34" t="n">
        <x:v>28213</x:v>
      </x:c>
      <x:c r="G333" s="33" t="n">
        <x:v>0.78</x:v>
      </x:c>
      <x:c r="H333" s="38" t="n">
        <x:v>22.00614</x:v>
      </x:c>
      <x:c r="I333" s="34" t="n">
        <x:v>1023</x:v>
      </x:c>
      <x:c r="J333" s="33" t="n">
        <x:v>21.511378299120235</x:v>
      </x:c>
      <x:c r="K333" t="str">
        <x:v>Forecast driven by traffic and scenario</x:v>
      </x:c>
    </x:row>
    <x:row r="334">
      <x:c r="A334" s="32" t="n">
        <x:v>46237</x:v>
      </x:c>
      <x:c r="B334" s="32" t="n">
        <x:v>46235</x:v>
      </x:c>
      <x:c r="C334" t="str">
        <x:v>Aug 2026</x:v>
      </x:c>
      <x:c r="D334" t="str">
        <x:v>Forecast</x:v>
      </x:c>
      <x:c r="E334" t="str">
        <x:v>Amazon Marketplace</x:v>
      </x:c>
      <x:c r="F334" s="34" t="n">
        <x:v>14105</x:v>
      </x:c>
      <x:c r="G334" s="33" t="n">
        <x:v>0.92</x:v>
      </x:c>
      <x:c r="H334" s="38" t="n">
        <x:v>12.976600000000001</x:v>
      </x:c>
      <x:c r="I334" s="34" t="n">
        <x:v>604</x:v>
      </x:c>
      <x:c r="J334" s="33" t="n">
        <x:v>21.484437086092715</x:v>
      </x:c>
      <x:c r="K334" t="str">
        <x:v>Forecast driven by traffic and scenario</x:v>
      </x:c>
    </x:row>
    <x:row r="335">
      <x:c r="A335" s="32" t="n">
        <x:v>46237</x:v>
      </x:c>
      <x:c r="B335" s="32" t="n">
        <x:v>46235</x:v>
      </x:c>
      <x:c r="C335" t="str">
        <x:v>Aug 2026</x:v>
      </x:c>
      <x:c r="D335" t="str">
        <x:v>Forecast</x:v>
      </x:c>
      <x:c r="E335" t="str">
        <x:v>Wholesale</x:v>
      </x:c>
      <x:c r="F335" s="34" t="n">
        <x:v>8464</x:v>
      </x:c>
      <x:c r="G335" s="33" t="n">
        <x:v>0.2</x:v>
      </x:c>
      <x:c r="H335" s="38" t="n">
        <x:v>1.6928</x:v>
      </x:c>
      <x:c r="I335" s="34" t="n">
        <x:v>168</x:v>
      </x:c>
      <x:c r="J335" s="33" t="n">
        <x:v>10.076190476190478</x:v>
      </x:c>
      <x:c r="K335" t="str">
        <x:v>Forecast driven by traffic and scenario</x:v>
      </x:c>
    </x:row>
    <x:row r="336">
      <x:c r="A336" s="32" t="n">
        <x:v>46237</x:v>
      </x:c>
      <x:c r="B336" s="32" t="n">
        <x:v>46235</x:v>
      </x:c>
      <x:c r="C336" t="str">
        <x:v>Aug 2026</x:v>
      </x:c>
      <x:c r="D336" t="str">
        <x:v>Forecast</x:v>
      </x:c>
      <x:c r="E336" t="str">
        <x:v>TikTok Shop</x:v>
      </x:c>
      <x:c r="F336" s="34" t="n">
        <x:v>5643</x:v>
      </x:c>
      <x:c r="G336" s="33" t="n">
        <x:v>0.62</x:v>
      </x:c>
      <x:c r="H336" s="38" t="n">
        <x:v>3.4986599999999997</x:v>
      </x:c>
      <x:c r="I336" s="34" t="n">
        <x:v>257</x:v>
      </x:c>
      <x:c r="J336" s="33" t="n">
        <x:v>13.613463035019455</x:v>
      </x:c>
      <x:c r="K336" t="str">
        <x:v>Forecast driven by traffic and scenario</x:v>
      </x:c>
    </x:row>
    <x:row r="337">
      <x:c r="A337" s="32" t="n">
        <x:v>46244</x:v>
      </x:c>
      <x:c r="B337" s="32" t="n">
        <x:v>46235</x:v>
      </x:c>
      <x:c r="C337" t="str">
        <x:v>Aug 2026</x:v>
      </x:c>
      <x:c r="D337" t="str">
        <x:v>Forecast</x:v>
      </x:c>
      <x:c r="E337" t="str">
        <x:v>Shopify DTC</x:v>
      </x:c>
      <x:c r="F337" s="34" t="n">
        <x:v>28213</x:v>
      </x:c>
      <x:c r="G337" s="33" t="n">
        <x:v>0.78</x:v>
      </x:c>
      <x:c r="H337" s="38" t="n">
        <x:v>22.00614</x:v>
      </x:c>
      <x:c r="I337" s="34" t="n">
        <x:v>1023</x:v>
      </x:c>
      <x:c r="J337" s="33" t="n">
        <x:v>21.511378299120235</x:v>
      </x:c>
      <x:c r="K337" t="str">
        <x:v>Forecast driven by traffic and scenario</x:v>
      </x:c>
    </x:row>
    <x:row r="338">
      <x:c r="A338" s="32" t="n">
        <x:v>46244</x:v>
      </x:c>
      <x:c r="B338" s="32" t="n">
        <x:v>46235</x:v>
      </x:c>
      <x:c r="C338" t="str">
        <x:v>Aug 2026</x:v>
      </x:c>
      <x:c r="D338" t="str">
        <x:v>Forecast</x:v>
      </x:c>
      <x:c r="E338" t="str">
        <x:v>Amazon Marketplace</x:v>
      </x:c>
      <x:c r="F338" s="34" t="n">
        <x:v>14105</x:v>
      </x:c>
      <x:c r="G338" s="33" t="n">
        <x:v>0.92</x:v>
      </x:c>
      <x:c r="H338" s="38" t="n">
        <x:v>12.976600000000001</x:v>
      </x:c>
      <x:c r="I338" s="34" t="n">
        <x:v>604</x:v>
      </x:c>
      <x:c r="J338" s="33" t="n">
        <x:v>21.484437086092715</x:v>
      </x:c>
      <x:c r="K338" t="str">
        <x:v>Forecast driven by traffic and scenario</x:v>
      </x:c>
    </x:row>
    <x:row r="339">
      <x:c r="A339" s="32" t="n">
        <x:v>46244</x:v>
      </x:c>
      <x:c r="B339" s="32" t="n">
        <x:v>46235</x:v>
      </x:c>
      <x:c r="C339" t="str">
        <x:v>Aug 2026</x:v>
      </x:c>
      <x:c r="D339" t="str">
        <x:v>Forecast</x:v>
      </x:c>
      <x:c r="E339" t="str">
        <x:v>Wholesale</x:v>
      </x:c>
      <x:c r="F339" s="34" t="n">
        <x:v>8464</x:v>
      </x:c>
      <x:c r="G339" s="33" t="n">
        <x:v>0.2</x:v>
      </x:c>
      <x:c r="H339" s="38" t="n">
        <x:v>1.6928</x:v>
      </x:c>
      <x:c r="I339" s="34" t="n">
        <x:v>168</x:v>
      </x:c>
      <x:c r="J339" s="33" t="n">
        <x:v>10.076190476190478</x:v>
      </x:c>
      <x:c r="K339" t="str">
        <x:v>Forecast driven by traffic and scenario</x:v>
      </x:c>
    </x:row>
    <x:row r="340">
      <x:c r="A340" s="32" t="n">
        <x:v>46244</x:v>
      </x:c>
      <x:c r="B340" s="32" t="n">
        <x:v>46235</x:v>
      </x:c>
      <x:c r="C340" t="str">
        <x:v>Aug 2026</x:v>
      </x:c>
      <x:c r="D340" t="str">
        <x:v>Forecast</x:v>
      </x:c>
      <x:c r="E340" t="str">
        <x:v>TikTok Shop</x:v>
      </x:c>
      <x:c r="F340" s="34" t="n">
        <x:v>5643</x:v>
      </x:c>
      <x:c r="G340" s="33" t="n">
        <x:v>0.62</x:v>
      </x:c>
      <x:c r="H340" s="38" t="n">
        <x:v>3.4986599999999997</x:v>
      </x:c>
      <x:c r="I340" s="34" t="n">
        <x:v>257</x:v>
      </x:c>
      <x:c r="J340" s="33" t="n">
        <x:v>13.613463035019455</x:v>
      </x:c>
      <x:c r="K340" t="str">
        <x:v>Forecast driven by traffic and scenario</x:v>
      </x:c>
    </x:row>
    <x:row r="341">
      <x:c r="A341" s="32" t="n">
        <x:v>46251</x:v>
      </x:c>
      <x:c r="B341" s="32" t="n">
        <x:v>46235</x:v>
      </x:c>
      <x:c r="C341" t="str">
        <x:v>Aug 2026</x:v>
      </x:c>
      <x:c r="D341" t="str">
        <x:v>Forecast</x:v>
      </x:c>
      <x:c r="E341" t="str">
        <x:v>Shopify DTC</x:v>
      </x:c>
      <x:c r="F341" s="34" t="n">
        <x:v>28213</x:v>
      </x:c>
      <x:c r="G341" s="33" t="n">
        <x:v>0.78</x:v>
      </x:c>
      <x:c r="H341" s="38" t="n">
        <x:v>22.00614</x:v>
      </x:c>
      <x:c r="I341" s="34" t="n">
        <x:v>1023</x:v>
      </x:c>
      <x:c r="J341" s="33" t="n">
        <x:v>21.511378299120235</x:v>
      </x:c>
      <x:c r="K341" t="str">
        <x:v>Forecast driven by traffic and scenario</x:v>
      </x:c>
    </x:row>
    <x:row r="342">
      <x:c r="A342" s="32" t="n">
        <x:v>46251</x:v>
      </x:c>
      <x:c r="B342" s="32" t="n">
        <x:v>46235</x:v>
      </x:c>
      <x:c r="C342" t="str">
        <x:v>Aug 2026</x:v>
      </x:c>
      <x:c r="D342" t="str">
        <x:v>Forecast</x:v>
      </x:c>
      <x:c r="E342" t="str">
        <x:v>Amazon Marketplace</x:v>
      </x:c>
      <x:c r="F342" s="34" t="n">
        <x:v>14105</x:v>
      </x:c>
      <x:c r="G342" s="33" t="n">
        <x:v>0.92</x:v>
      </x:c>
      <x:c r="H342" s="38" t="n">
        <x:v>12.976600000000001</x:v>
      </x:c>
      <x:c r="I342" s="34" t="n">
        <x:v>604</x:v>
      </x:c>
      <x:c r="J342" s="33" t="n">
        <x:v>21.484437086092715</x:v>
      </x:c>
      <x:c r="K342" t="str">
        <x:v>Forecast driven by traffic and scenario</x:v>
      </x:c>
    </x:row>
    <x:row r="343">
      <x:c r="A343" s="32" t="n">
        <x:v>46251</x:v>
      </x:c>
      <x:c r="B343" s="32" t="n">
        <x:v>46235</x:v>
      </x:c>
      <x:c r="C343" t="str">
        <x:v>Aug 2026</x:v>
      </x:c>
      <x:c r="D343" t="str">
        <x:v>Forecast</x:v>
      </x:c>
      <x:c r="E343" t="str">
        <x:v>Wholesale</x:v>
      </x:c>
      <x:c r="F343" s="34" t="n">
        <x:v>8464</x:v>
      </x:c>
      <x:c r="G343" s="33" t="n">
        <x:v>0.2</x:v>
      </x:c>
      <x:c r="H343" s="38" t="n">
        <x:v>1.6928</x:v>
      </x:c>
      <x:c r="I343" s="34" t="n">
        <x:v>168</x:v>
      </x:c>
      <x:c r="J343" s="33" t="n">
        <x:v>10.076190476190478</x:v>
      </x:c>
      <x:c r="K343" t="str">
        <x:v>Forecast driven by traffic and scenario</x:v>
      </x:c>
    </x:row>
    <x:row r="344">
      <x:c r="A344" s="32" t="n">
        <x:v>46251</x:v>
      </x:c>
      <x:c r="B344" s="32" t="n">
        <x:v>46235</x:v>
      </x:c>
      <x:c r="C344" t="str">
        <x:v>Aug 2026</x:v>
      </x:c>
      <x:c r="D344" t="str">
        <x:v>Forecast</x:v>
      </x:c>
      <x:c r="E344" t="str">
        <x:v>TikTok Shop</x:v>
      </x:c>
      <x:c r="F344" s="34" t="n">
        <x:v>5643</x:v>
      </x:c>
      <x:c r="G344" s="33" t="n">
        <x:v>0.62</x:v>
      </x:c>
      <x:c r="H344" s="38" t="n">
        <x:v>3.4986599999999997</x:v>
      </x:c>
      <x:c r="I344" s="34" t="n">
        <x:v>257</x:v>
      </x:c>
      <x:c r="J344" s="33" t="n">
        <x:v>13.613463035019455</x:v>
      </x:c>
      <x:c r="K344" t="str">
        <x:v>Forecast driven by traffic and scenario</x:v>
      </x:c>
    </x:row>
    <x:row r="345">
      <x:c r="A345" s="32" t="n">
        <x:v>46258</x:v>
      </x:c>
      <x:c r="B345" s="32" t="n">
        <x:v>46235</x:v>
      </x:c>
      <x:c r="C345" t="str">
        <x:v>Aug 2026</x:v>
      </x:c>
      <x:c r="D345" t="str">
        <x:v>Forecast</x:v>
      </x:c>
      <x:c r="E345" t="str">
        <x:v>Shopify DTC</x:v>
      </x:c>
      <x:c r="F345" s="34" t="n">
        <x:v>28213</x:v>
      </x:c>
      <x:c r="G345" s="33" t="n">
        <x:v>0.78</x:v>
      </x:c>
      <x:c r="H345" s="38" t="n">
        <x:v>22.00614</x:v>
      </x:c>
      <x:c r="I345" s="34" t="n">
        <x:v>1023</x:v>
      </x:c>
      <x:c r="J345" s="33" t="n">
        <x:v>21.511378299120235</x:v>
      </x:c>
      <x:c r="K345" t="str">
        <x:v>Forecast driven by traffic and scenario</x:v>
      </x:c>
    </x:row>
    <x:row r="346">
      <x:c r="A346" s="32" t="n">
        <x:v>46258</x:v>
      </x:c>
      <x:c r="B346" s="32" t="n">
        <x:v>46235</x:v>
      </x:c>
      <x:c r="C346" t="str">
        <x:v>Aug 2026</x:v>
      </x:c>
      <x:c r="D346" t="str">
        <x:v>Forecast</x:v>
      </x:c>
      <x:c r="E346" t="str">
        <x:v>Amazon Marketplace</x:v>
      </x:c>
      <x:c r="F346" s="34" t="n">
        <x:v>14105</x:v>
      </x:c>
      <x:c r="G346" s="33" t="n">
        <x:v>0.92</x:v>
      </x:c>
      <x:c r="H346" s="38" t="n">
        <x:v>12.976600000000001</x:v>
      </x:c>
      <x:c r="I346" s="34" t="n">
        <x:v>604</x:v>
      </x:c>
      <x:c r="J346" s="33" t="n">
        <x:v>21.484437086092715</x:v>
      </x:c>
      <x:c r="K346" t="str">
        <x:v>Forecast driven by traffic and scenario</x:v>
      </x:c>
    </x:row>
    <x:row r="347">
      <x:c r="A347" s="32" t="n">
        <x:v>46258</x:v>
      </x:c>
      <x:c r="B347" s="32" t="n">
        <x:v>46235</x:v>
      </x:c>
      <x:c r="C347" t="str">
        <x:v>Aug 2026</x:v>
      </x:c>
      <x:c r="D347" t="str">
        <x:v>Forecast</x:v>
      </x:c>
      <x:c r="E347" t="str">
        <x:v>Wholesale</x:v>
      </x:c>
      <x:c r="F347" s="34" t="n">
        <x:v>8464</x:v>
      </x:c>
      <x:c r="G347" s="33" t="n">
        <x:v>0.2</x:v>
      </x:c>
      <x:c r="H347" s="38" t="n">
        <x:v>1.6928</x:v>
      </x:c>
      <x:c r="I347" s="34" t="n">
        <x:v>168</x:v>
      </x:c>
      <x:c r="J347" s="33" t="n">
        <x:v>10.076190476190478</x:v>
      </x:c>
      <x:c r="K347" t="str">
        <x:v>Forecast driven by traffic and scenario</x:v>
      </x:c>
    </x:row>
    <x:row r="348">
      <x:c r="A348" s="32" t="n">
        <x:v>46258</x:v>
      </x:c>
      <x:c r="B348" s="32" t="n">
        <x:v>46235</x:v>
      </x:c>
      <x:c r="C348" t="str">
        <x:v>Aug 2026</x:v>
      </x:c>
      <x:c r="D348" t="str">
        <x:v>Forecast</x:v>
      </x:c>
      <x:c r="E348" t="str">
        <x:v>TikTok Shop</x:v>
      </x:c>
      <x:c r="F348" s="34" t="n">
        <x:v>5643</x:v>
      </x:c>
      <x:c r="G348" s="33" t="n">
        <x:v>0.62</x:v>
      </x:c>
      <x:c r="H348" s="38" t="n">
        <x:v>3.4986599999999997</x:v>
      </x:c>
      <x:c r="I348" s="34" t="n">
        <x:v>257</x:v>
      </x:c>
      <x:c r="J348" s="33" t="n">
        <x:v>13.613463035019455</x:v>
      </x:c>
      <x:c r="K348" t="str">
        <x:v>Forecast driven by traffic and scenario</x:v>
      </x:c>
    </x:row>
    <x:row r="349">
      <x:c r="A349" s="32" t="n">
        <x:v>46265</x:v>
      </x:c>
      <x:c r="B349" s="32" t="n">
        <x:v>46235</x:v>
      </x:c>
      <x:c r="C349" t="str">
        <x:v>Aug 2026</x:v>
      </x:c>
      <x:c r="D349" t="str">
        <x:v>Forecast</x:v>
      </x:c>
      <x:c r="E349" t="str">
        <x:v>Shopify DTC</x:v>
      </x:c>
      <x:c r="F349" s="34" t="n">
        <x:v>28213</x:v>
      </x:c>
      <x:c r="G349" s="33" t="n">
        <x:v>0.78</x:v>
      </x:c>
      <x:c r="H349" s="38" t="n">
        <x:v>22.00614</x:v>
      </x:c>
      <x:c r="I349" s="34" t="n">
        <x:v>1023</x:v>
      </x:c>
      <x:c r="J349" s="33" t="n">
        <x:v>21.511378299120235</x:v>
      </x:c>
      <x:c r="K349" t="str">
        <x:v>Forecast driven by traffic and scenario</x:v>
      </x:c>
    </x:row>
    <x:row r="350">
      <x:c r="A350" s="32" t="n">
        <x:v>46265</x:v>
      </x:c>
      <x:c r="B350" s="32" t="n">
        <x:v>46235</x:v>
      </x:c>
      <x:c r="C350" t="str">
        <x:v>Aug 2026</x:v>
      </x:c>
      <x:c r="D350" t="str">
        <x:v>Forecast</x:v>
      </x:c>
      <x:c r="E350" t="str">
        <x:v>Amazon Marketplace</x:v>
      </x:c>
      <x:c r="F350" s="34" t="n">
        <x:v>14105</x:v>
      </x:c>
      <x:c r="G350" s="33" t="n">
        <x:v>0.92</x:v>
      </x:c>
      <x:c r="H350" s="38" t="n">
        <x:v>12.976600000000001</x:v>
      </x:c>
      <x:c r="I350" s="34" t="n">
        <x:v>604</x:v>
      </x:c>
      <x:c r="J350" s="33" t="n">
        <x:v>21.484437086092715</x:v>
      </x:c>
      <x:c r="K350" t="str">
        <x:v>Forecast driven by traffic and scenario</x:v>
      </x:c>
    </x:row>
    <x:row r="351">
      <x:c r="A351" s="32" t="n">
        <x:v>46265</x:v>
      </x:c>
      <x:c r="B351" s="32" t="n">
        <x:v>46235</x:v>
      </x:c>
      <x:c r="C351" t="str">
        <x:v>Aug 2026</x:v>
      </x:c>
      <x:c r="D351" t="str">
        <x:v>Forecast</x:v>
      </x:c>
      <x:c r="E351" t="str">
        <x:v>Wholesale</x:v>
      </x:c>
      <x:c r="F351" s="34" t="n">
        <x:v>8464</x:v>
      </x:c>
      <x:c r="G351" s="33" t="n">
        <x:v>0.2</x:v>
      </x:c>
      <x:c r="H351" s="38" t="n">
        <x:v>1.6928</x:v>
      </x:c>
      <x:c r="I351" s="34" t="n">
        <x:v>168</x:v>
      </x:c>
      <x:c r="J351" s="33" t="n">
        <x:v>10.076190476190478</x:v>
      </x:c>
      <x:c r="K351" t="str">
        <x:v>Forecast driven by traffic and scenario</x:v>
      </x:c>
    </x:row>
    <x:row r="352">
      <x:c r="A352" s="32" t="n">
        <x:v>46265</x:v>
      </x:c>
      <x:c r="B352" s="32" t="n">
        <x:v>46235</x:v>
      </x:c>
      <x:c r="C352" t="str">
        <x:v>Aug 2026</x:v>
      </x:c>
      <x:c r="D352" t="str">
        <x:v>Forecast</x:v>
      </x:c>
      <x:c r="E352" t="str">
        <x:v>TikTok Shop</x:v>
      </x:c>
      <x:c r="F352" s="34" t="n">
        <x:v>5643</x:v>
      </x:c>
      <x:c r="G352" s="33" t="n">
        <x:v>0.62</x:v>
      </x:c>
      <x:c r="H352" s="38" t="n">
        <x:v>3.4986599999999997</x:v>
      </x:c>
      <x:c r="I352" s="34" t="n">
        <x:v>257</x:v>
      </x:c>
      <x:c r="J352" s="33" t="n">
        <x:v>13.613463035019455</x:v>
      </x:c>
      <x:c r="K352" t="str">
        <x:v>Forecast driven by traffic and scenario</x:v>
      </x:c>
    </x:row>
    <x:row r="353">
      <x:c r="A353" s="32" t="n">
        <x:v>46272</x:v>
      </x:c>
      <x:c r="B353" s="32" t="n">
        <x:v>46266</x:v>
      </x:c>
      <x:c r="C353" t="str">
        <x:v>Sep 2026</x:v>
      </x:c>
      <x:c r="D353" t="str">
        <x:v>Forecast</x:v>
      </x:c>
      <x:c r="E353" t="str">
        <x:v>Shopify DTC</x:v>
      </x:c>
      <x:c r="F353" s="34" t="n">
        <x:v>23190</x:v>
      </x:c>
      <x:c r="G353" s="33" t="n">
        <x:v>0.78</x:v>
      </x:c>
      <x:c r="H353" s="38" t="n">
        <x:v>18.0882</x:v>
      </x:c>
      <x:c r="I353" s="34" t="n">
        <x:v>856</x:v>
      </x:c>
      <x:c r="J353" s="33" t="n">
        <x:v>21.13107476635514</x:v>
      </x:c>
      <x:c r="K353" t="str">
        <x:v>Forecast driven by traffic and scenario</x:v>
      </x:c>
    </x:row>
    <x:row r="354">
      <x:c r="A354" s="32" t="n">
        <x:v>46272</x:v>
      </x:c>
      <x:c r="B354" s="32" t="n">
        <x:v>46266</x:v>
      </x:c>
      <x:c r="C354" t="str">
        <x:v>Sep 2026</x:v>
      </x:c>
      <x:c r="D354" t="str">
        <x:v>Forecast</x:v>
      </x:c>
      <x:c r="E354" t="str">
        <x:v>Amazon Marketplace</x:v>
      </x:c>
      <x:c r="F354" s="34" t="n">
        <x:v>11594</x:v>
      </x:c>
      <x:c r="G354" s="33" t="n">
        <x:v>0.92</x:v>
      </x:c>
      <x:c r="H354" s="38" t="n">
        <x:v>10.66648</x:v>
      </x:c>
      <x:c r="I354" s="34" t="n">
        <x:v>506</x:v>
      </x:c>
      <x:c r="J354" s="33" t="n">
        <x:v>21.08</x:v>
      </x:c>
      <x:c r="K354" t="str">
        <x:v>Forecast driven by traffic and scenario</x:v>
      </x:c>
    </x:row>
    <x:row r="355">
      <x:c r="A355" s="32" t="n">
        <x:v>46272</x:v>
      </x:c>
      <x:c r="B355" s="32" t="n">
        <x:v>46266</x:v>
      </x:c>
      <x:c r="C355" t="str">
        <x:v>Sep 2026</x:v>
      </x:c>
      <x:c r="D355" t="str">
        <x:v>Forecast</x:v>
      </x:c>
      <x:c r="E355" t="str">
        <x:v>Wholesale</x:v>
      </x:c>
      <x:c r="F355" s="34" t="n">
        <x:v>6957</x:v>
      </x:c>
      <x:c r="G355" s="33" t="n">
        <x:v>0.2</x:v>
      </x:c>
      <x:c r="H355" s="38" t="n">
        <x:v>1.3914000000000002</x:v>
      </x:c>
      <x:c r="I355" s="34" t="n">
        <x:v>140</x:v>
      </x:c>
      <x:c r="J355" s="33" t="n">
        <x:v>9.938571428571429</x:v>
      </x:c>
      <x:c r="K355" t="str">
        <x:v>Forecast driven by traffic and scenario</x:v>
      </x:c>
    </x:row>
    <x:row r="356">
      <x:c r="A356" s="32" t="n">
        <x:v>46272</x:v>
      </x:c>
      <x:c r="B356" s="32" t="n">
        <x:v>46266</x:v>
      </x:c>
      <x:c r="C356" t="str">
        <x:v>Sep 2026</x:v>
      </x:c>
      <x:c r="D356" t="str">
        <x:v>Forecast</x:v>
      </x:c>
      <x:c r="E356" t="str">
        <x:v>TikTok Shop</x:v>
      </x:c>
      <x:c r="F356" s="34" t="n">
        <x:v>4638</x:v>
      </x:c>
      <x:c r="G356" s="33" t="n">
        <x:v>0.62</x:v>
      </x:c>
      <x:c r="H356" s="38" t="n">
        <x:v>2.87556</x:v>
      </x:c>
      <x:c r="I356" s="34" t="n">
        <x:v>215</x:v>
      </x:c>
      <x:c r="J356" s="33" t="n">
        <x:v>13.374697674418604</x:v>
      </x:c>
      <x:c r="K356" t="str">
        <x:v>Forecast driven by traffic and scenario</x:v>
      </x:c>
    </x:row>
    <x:row r="357">
      <x:c r="A357" s="32" t="n">
        <x:v>46279</x:v>
      </x:c>
      <x:c r="B357" s="32" t="n">
        <x:v>46266</x:v>
      </x:c>
      <x:c r="C357" t="str">
        <x:v>Sep 2026</x:v>
      </x:c>
      <x:c r="D357" t="str">
        <x:v>Forecast</x:v>
      </x:c>
      <x:c r="E357" t="str">
        <x:v>Shopify DTC</x:v>
      </x:c>
      <x:c r="F357" s="34" t="n">
        <x:v>23190</x:v>
      </x:c>
      <x:c r="G357" s="33" t="n">
        <x:v>0.78</x:v>
      </x:c>
      <x:c r="H357" s="38" t="n">
        <x:v>18.0882</x:v>
      </x:c>
      <x:c r="I357" s="34" t="n">
        <x:v>856</x:v>
      </x:c>
      <x:c r="J357" s="33" t="n">
        <x:v>21.13107476635514</x:v>
      </x:c>
      <x:c r="K357" t="str">
        <x:v>Forecast driven by traffic and scenario</x:v>
      </x:c>
    </x:row>
    <x:row r="358">
      <x:c r="A358" s="32" t="n">
        <x:v>46279</x:v>
      </x:c>
      <x:c r="B358" s="32" t="n">
        <x:v>46266</x:v>
      </x:c>
      <x:c r="C358" t="str">
        <x:v>Sep 2026</x:v>
      </x:c>
      <x:c r="D358" t="str">
        <x:v>Forecast</x:v>
      </x:c>
      <x:c r="E358" t="str">
        <x:v>Amazon Marketplace</x:v>
      </x:c>
      <x:c r="F358" s="34" t="n">
        <x:v>11594</x:v>
      </x:c>
      <x:c r="G358" s="33" t="n">
        <x:v>0.92</x:v>
      </x:c>
      <x:c r="H358" s="38" t="n">
        <x:v>10.66648</x:v>
      </x:c>
      <x:c r="I358" s="34" t="n">
        <x:v>506</x:v>
      </x:c>
      <x:c r="J358" s="33" t="n">
        <x:v>21.08</x:v>
      </x:c>
      <x:c r="K358" t="str">
        <x:v>Forecast driven by traffic and scenario</x:v>
      </x:c>
    </x:row>
    <x:row r="359">
      <x:c r="A359" s="32" t="n">
        <x:v>46279</x:v>
      </x:c>
      <x:c r="B359" s="32" t="n">
        <x:v>46266</x:v>
      </x:c>
      <x:c r="C359" t="str">
        <x:v>Sep 2026</x:v>
      </x:c>
      <x:c r="D359" t="str">
        <x:v>Forecast</x:v>
      </x:c>
      <x:c r="E359" t="str">
        <x:v>Wholesale</x:v>
      </x:c>
      <x:c r="F359" s="34" t="n">
        <x:v>6957</x:v>
      </x:c>
      <x:c r="G359" s="33" t="n">
        <x:v>0.2</x:v>
      </x:c>
      <x:c r="H359" s="38" t="n">
        <x:v>1.3914000000000002</x:v>
      </x:c>
      <x:c r="I359" s="34" t="n">
        <x:v>140</x:v>
      </x:c>
      <x:c r="J359" s="33" t="n">
        <x:v>9.938571428571429</x:v>
      </x:c>
      <x:c r="K359" t="str">
        <x:v>Forecast driven by traffic and scenario</x:v>
      </x:c>
    </x:row>
    <x:row r="360">
      <x:c r="A360" s="32" t="n">
        <x:v>46279</x:v>
      </x:c>
      <x:c r="B360" s="32" t="n">
        <x:v>46266</x:v>
      </x:c>
      <x:c r="C360" t="str">
        <x:v>Sep 2026</x:v>
      </x:c>
      <x:c r="D360" t="str">
        <x:v>Forecast</x:v>
      </x:c>
      <x:c r="E360" t="str">
        <x:v>TikTok Shop</x:v>
      </x:c>
      <x:c r="F360" s="34" t="n">
        <x:v>4638</x:v>
      </x:c>
      <x:c r="G360" s="33" t="n">
        <x:v>0.62</x:v>
      </x:c>
      <x:c r="H360" s="38" t="n">
        <x:v>2.87556</x:v>
      </x:c>
      <x:c r="I360" s="34" t="n">
        <x:v>215</x:v>
      </x:c>
      <x:c r="J360" s="33" t="n">
        <x:v>13.374697674418604</x:v>
      </x:c>
      <x:c r="K360" t="str">
        <x:v>Forecast driven by traffic and scenario</x:v>
      </x:c>
    </x:row>
    <x:row r="361">
      <x:c r="A361" s="32" t="n">
        <x:v>46286</x:v>
      </x:c>
      <x:c r="B361" s="32" t="n">
        <x:v>46266</x:v>
      </x:c>
      <x:c r="C361" t="str">
        <x:v>Sep 2026</x:v>
      </x:c>
      <x:c r="D361" t="str">
        <x:v>Forecast</x:v>
      </x:c>
      <x:c r="E361" t="str">
        <x:v>Shopify DTC</x:v>
      </x:c>
      <x:c r="F361" s="34" t="n">
        <x:v>23190</x:v>
      </x:c>
      <x:c r="G361" s="33" t="n">
        <x:v>0.78</x:v>
      </x:c>
      <x:c r="H361" s="38" t="n">
        <x:v>18.0882</x:v>
      </x:c>
      <x:c r="I361" s="34" t="n">
        <x:v>856</x:v>
      </x:c>
      <x:c r="J361" s="33" t="n">
        <x:v>21.13107476635514</x:v>
      </x:c>
      <x:c r="K361" t="str">
        <x:v>Forecast driven by traffic and scenario</x:v>
      </x:c>
    </x:row>
    <x:row r="362">
      <x:c r="A362" s="32" t="n">
        <x:v>46286</x:v>
      </x:c>
      <x:c r="B362" s="32" t="n">
        <x:v>46266</x:v>
      </x:c>
      <x:c r="C362" t="str">
        <x:v>Sep 2026</x:v>
      </x:c>
      <x:c r="D362" t="str">
        <x:v>Forecast</x:v>
      </x:c>
      <x:c r="E362" t="str">
        <x:v>Amazon Marketplace</x:v>
      </x:c>
      <x:c r="F362" s="34" t="n">
        <x:v>11594</x:v>
      </x:c>
      <x:c r="G362" s="33" t="n">
        <x:v>0.92</x:v>
      </x:c>
      <x:c r="H362" s="38" t="n">
        <x:v>10.66648</x:v>
      </x:c>
      <x:c r="I362" s="34" t="n">
        <x:v>506</x:v>
      </x:c>
      <x:c r="J362" s="33" t="n">
        <x:v>21.08</x:v>
      </x:c>
      <x:c r="K362" t="str">
        <x:v>Forecast driven by traffic and scenario</x:v>
      </x:c>
    </x:row>
    <x:row r="363">
      <x:c r="A363" s="32" t="n">
        <x:v>46286</x:v>
      </x:c>
      <x:c r="B363" s="32" t="n">
        <x:v>46266</x:v>
      </x:c>
      <x:c r="C363" t="str">
        <x:v>Sep 2026</x:v>
      </x:c>
      <x:c r="D363" t="str">
        <x:v>Forecast</x:v>
      </x:c>
      <x:c r="E363" t="str">
        <x:v>Wholesale</x:v>
      </x:c>
      <x:c r="F363" s="34" t="n">
        <x:v>6957</x:v>
      </x:c>
      <x:c r="G363" s="33" t="n">
        <x:v>0.2</x:v>
      </x:c>
      <x:c r="H363" s="38" t="n">
        <x:v>1.3914000000000002</x:v>
      </x:c>
      <x:c r="I363" s="34" t="n">
        <x:v>140</x:v>
      </x:c>
      <x:c r="J363" s="33" t="n">
        <x:v>9.938571428571429</x:v>
      </x:c>
      <x:c r="K363" t="str">
        <x:v>Forecast driven by traffic and scenario</x:v>
      </x:c>
    </x:row>
    <x:row r="364">
      <x:c r="A364" s="32" t="n">
        <x:v>46286</x:v>
      </x:c>
      <x:c r="B364" s="32" t="n">
        <x:v>46266</x:v>
      </x:c>
      <x:c r="C364" t="str">
        <x:v>Sep 2026</x:v>
      </x:c>
      <x:c r="D364" t="str">
        <x:v>Forecast</x:v>
      </x:c>
      <x:c r="E364" t="str">
        <x:v>TikTok Shop</x:v>
      </x:c>
      <x:c r="F364" s="34" t="n">
        <x:v>4638</x:v>
      </x:c>
      <x:c r="G364" s="33" t="n">
        <x:v>0.62</x:v>
      </x:c>
      <x:c r="H364" s="38" t="n">
        <x:v>2.87556</x:v>
      </x:c>
      <x:c r="I364" s="34" t="n">
        <x:v>215</x:v>
      </x:c>
      <x:c r="J364" s="33" t="n">
        <x:v>13.374697674418604</x:v>
      </x:c>
      <x:c r="K364" t="str">
        <x:v>Forecast driven by traffic and scenario</x:v>
      </x:c>
    </x:row>
    <x:row r="365">
      <x:c r="A365" s="32" t="n">
        <x:v>46293</x:v>
      </x:c>
      <x:c r="B365" s="32" t="n">
        <x:v>46266</x:v>
      </x:c>
      <x:c r="C365" t="str">
        <x:v>Sep 2026</x:v>
      </x:c>
      <x:c r="D365" t="str">
        <x:v>Forecast</x:v>
      </x:c>
      <x:c r="E365" t="str">
        <x:v>Shopify DTC</x:v>
      </x:c>
      <x:c r="F365" s="34" t="n">
        <x:v>23190</x:v>
      </x:c>
      <x:c r="G365" s="33" t="n">
        <x:v>0.78</x:v>
      </x:c>
      <x:c r="H365" s="38" t="n">
        <x:v>18.0882</x:v>
      </x:c>
      <x:c r="I365" s="34" t="n">
        <x:v>856</x:v>
      </x:c>
      <x:c r="J365" s="33" t="n">
        <x:v>21.13107476635514</x:v>
      </x:c>
      <x:c r="K365" t="str">
        <x:v>Forecast driven by traffic and scenario</x:v>
      </x:c>
    </x:row>
    <x:row r="366">
      <x:c r="A366" s="32" t="n">
        <x:v>46293</x:v>
      </x:c>
      <x:c r="B366" s="32" t="n">
        <x:v>46266</x:v>
      </x:c>
      <x:c r="C366" t="str">
        <x:v>Sep 2026</x:v>
      </x:c>
      <x:c r="D366" t="str">
        <x:v>Forecast</x:v>
      </x:c>
      <x:c r="E366" t="str">
        <x:v>Amazon Marketplace</x:v>
      </x:c>
      <x:c r="F366" s="34" t="n">
        <x:v>11594</x:v>
      </x:c>
      <x:c r="G366" s="33" t="n">
        <x:v>0.92</x:v>
      </x:c>
      <x:c r="H366" s="38" t="n">
        <x:v>10.66648</x:v>
      </x:c>
      <x:c r="I366" s="34" t="n">
        <x:v>506</x:v>
      </x:c>
      <x:c r="J366" s="33" t="n">
        <x:v>21.08</x:v>
      </x:c>
      <x:c r="K366" t="str">
        <x:v>Forecast driven by traffic and scenario</x:v>
      </x:c>
    </x:row>
    <x:row r="367">
      <x:c r="A367" s="32" t="n">
        <x:v>46293</x:v>
      </x:c>
      <x:c r="B367" s="32" t="n">
        <x:v>46266</x:v>
      </x:c>
      <x:c r="C367" t="str">
        <x:v>Sep 2026</x:v>
      </x:c>
      <x:c r="D367" t="str">
        <x:v>Forecast</x:v>
      </x:c>
      <x:c r="E367" t="str">
        <x:v>Wholesale</x:v>
      </x:c>
      <x:c r="F367" s="34" t="n">
        <x:v>6957</x:v>
      </x:c>
      <x:c r="G367" s="33" t="n">
        <x:v>0.2</x:v>
      </x:c>
      <x:c r="H367" s="38" t="n">
        <x:v>1.3914000000000002</x:v>
      </x:c>
      <x:c r="I367" s="34" t="n">
        <x:v>140</x:v>
      </x:c>
      <x:c r="J367" s="33" t="n">
        <x:v>9.938571428571429</x:v>
      </x:c>
      <x:c r="K367" t="str">
        <x:v>Forecast driven by traffic and scenario</x:v>
      </x:c>
    </x:row>
    <x:row r="368">
      <x:c r="A368" s="32" t="n">
        <x:v>46293</x:v>
      </x:c>
      <x:c r="B368" s="32" t="n">
        <x:v>46266</x:v>
      </x:c>
      <x:c r="C368" t="str">
        <x:v>Sep 2026</x:v>
      </x:c>
      <x:c r="D368" t="str">
        <x:v>Forecast</x:v>
      </x:c>
      <x:c r="E368" t="str">
        <x:v>TikTok Shop</x:v>
      </x:c>
      <x:c r="F368" s="34" t="n">
        <x:v>4638</x:v>
      </x:c>
      <x:c r="G368" s="33" t="n">
        <x:v>0.62</x:v>
      </x:c>
      <x:c r="H368" s="38" t="n">
        <x:v>2.87556</x:v>
      </x:c>
      <x:c r="I368" s="34" t="n">
        <x:v>215</x:v>
      </x:c>
      <x:c r="J368" s="33" t="n">
        <x:v>13.374697674418604</x:v>
      </x:c>
      <x:c r="K368" t="str">
        <x:v>Forecast driven by traffic and scenario</x:v>
      </x:c>
    </x:row>
    <x:row r="369">
      <x:c r="A369" s="32" t="n">
        <x:v>46300</x:v>
      </x:c>
      <x:c r="B369" s="32" t="n">
        <x:v>46296</x:v>
      </x:c>
      <x:c r="C369" t="str">
        <x:v>Oct 2026</x:v>
      </x:c>
      <x:c r="D369" t="str">
        <x:v>Forecast</x:v>
      </x:c>
      <x:c r="E369" t="str">
        <x:v>Shopify DTC</x:v>
      </x:c>
      <x:c r="F369" s="34" t="n">
        <x:v>24200</x:v>
      </x:c>
      <x:c r="G369" s="33" t="n">
        <x:v>0.78</x:v>
      </x:c>
      <x:c r="H369" s="38" t="n">
        <x:v>18.876</x:v>
      </x:c>
      <x:c r="I369" s="34" t="n">
        <x:v>889</x:v>
      </x:c>
      <x:c r="J369" s="33" t="n">
        <x:v>21.232845894263217</x:v>
      </x:c>
      <x:c r="K369" t="str">
        <x:v>Forecast driven by traffic and scenario</x:v>
      </x:c>
    </x:row>
    <x:row r="370">
      <x:c r="A370" s="32" t="n">
        <x:v>46300</x:v>
      </x:c>
      <x:c r="B370" s="32" t="n">
        <x:v>46296</x:v>
      </x:c>
      <x:c r="C370" t="str">
        <x:v>Oct 2026</x:v>
      </x:c>
      <x:c r="D370" t="str">
        <x:v>Forecast</x:v>
      </x:c>
      <x:c r="E370" t="str">
        <x:v>Amazon Marketplace</x:v>
      </x:c>
      <x:c r="F370" s="34" t="n">
        <x:v>12099</x:v>
      </x:c>
      <x:c r="G370" s="33" t="n">
        <x:v>0.92</x:v>
      </x:c>
      <x:c r="H370" s="38" t="n">
        <x:v>11.13108</x:v>
      </x:c>
      <x:c r="I370" s="34" t="n">
        <x:v>525</x:v>
      </x:c>
      <x:c r="J370" s="33" t="n">
        <x:v>21.202057142857143</x:v>
      </x:c>
      <x:c r="K370" t="str">
        <x:v>Forecast driven by traffic and scenario</x:v>
      </x:c>
    </x:row>
    <x:row r="371">
      <x:c r="A371" s="32" t="n">
        <x:v>46300</x:v>
      </x:c>
      <x:c r="B371" s="32" t="n">
        <x:v>46296</x:v>
      </x:c>
      <x:c r="C371" t="str">
        <x:v>Oct 2026</x:v>
      </x:c>
      <x:c r="D371" t="str">
        <x:v>Forecast</x:v>
      </x:c>
      <x:c r="E371" t="str">
        <x:v>Wholesale</x:v>
      </x:c>
      <x:c r="F371" s="34" t="n">
        <x:v>7260</x:v>
      </x:c>
      <x:c r="G371" s="33" t="n">
        <x:v>0.2</x:v>
      </x:c>
      <x:c r="H371" s="38" t="n">
        <x:v>1.452</x:v>
      </x:c>
      <x:c r="I371" s="34" t="n">
        <x:v>146</x:v>
      </x:c>
      <x:c r="J371" s="33" t="n">
        <x:v>9.945205479452055</x:v>
      </x:c>
      <x:c r="K371" t="str">
        <x:v>Forecast driven by traffic and scenario</x:v>
      </x:c>
    </x:row>
    <x:row r="372">
      <x:c r="A372" s="32" t="n">
        <x:v>46300</x:v>
      </x:c>
      <x:c r="B372" s="32" t="n">
        <x:v>46296</x:v>
      </x:c>
      <x:c r="C372" t="str">
        <x:v>Oct 2026</x:v>
      </x:c>
      <x:c r="D372" t="str">
        <x:v>Forecast</x:v>
      </x:c>
      <x:c r="E372" t="str">
        <x:v>TikTok Shop</x:v>
      </x:c>
      <x:c r="F372" s="34" t="n">
        <x:v>4840</x:v>
      </x:c>
      <x:c r="G372" s="33" t="n">
        <x:v>0.62</x:v>
      </x:c>
      <x:c r="H372" s="38" t="n">
        <x:v>3.0008000000000004</x:v>
      </x:c>
      <x:c r="I372" s="34" t="n">
        <x:v>224</x:v>
      </x:c>
      <x:c r="J372" s="33" t="n">
        <x:v>13.396428571428572</x:v>
      </x:c>
      <x:c r="K372" t="str">
        <x:v>Forecast driven by traffic and scenario</x:v>
      </x:c>
    </x:row>
    <x:row r="373">
      <x:c r="A373" s="32" t="n">
        <x:v>46307</x:v>
      </x:c>
      <x:c r="B373" s="32" t="n">
        <x:v>46296</x:v>
      </x:c>
      <x:c r="C373" t="str">
        <x:v>Oct 2026</x:v>
      </x:c>
      <x:c r="D373" t="str">
        <x:v>Forecast</x:v>
      </x:c>
      <x:c r="E373" t="str">
        <x:v>Shopify DTC</x:v>
      </x:c>
      <x:c r="F373" s="34" t="n">
        <x:v>24200</x:v>
      </x:c>
      <x:c r="G373" s="33" t="n">
        <x:v>0.78</x:v>
      </x:c>
      <x:c r="H373" s="38" t="n">
        <x:v>18.876</x:v>
      </x:c>
      <x:c r="I373" s="34" t="n">
        <x:v>889</x:v>
      </x:c>
      <x:c r="J373" s="33" t="n">
        <x:v>21.232845894263217</x:v>
      </x:c>
      <x:c r="K373" t="str">
        <x:v>Forecast driven by traffic and scenario</x:v>
      </x:c>
    </x:row>
    <x:row r="374">
      <x:c r="A374" s="32" t="n">
        <x:v>46307</x:v>
      </x:c>
      <x:c r="B374" s="32" t="n">
        <x:v>46296</x:v>
      </x:c>
      <x:c r="C374" t="str">
        <x:v>Oct 2026</x:v>
      </x:c>
      <x:c r="D374" t="str">
        <x:v>Forecast</x:v>
      </x:c>
      <x:c r="E374" t="str">
        <x:v>Amazon Marketplace</x:v>
      </x:c>
      <x:c r="F374" s="34" t="n">
        <x:v>12099</x:v>
      </x:c>
      <x:c r="G374" s="33" t="n">
        <x:v>0.92</x:v>
      </x:c>
      <x:c r="H374" s="38" t="n">
        <x:v>11.13108</x:v>
      </x:c>
      <x:c r="I374" s="34" t="n">
        <x:v>525</x:v>
      </x:c>
      <x:c r="J374" s="33" t="n">
        <x:v>21.202057142857143</x:v>
      </x:c>
      <x:c r="K374" t="str">
        <x:v>Forecast driven by traffic and scenario</x:v>
      </x:c>
    </x:row>
    <x:row r="375">
      <x:c r="A375" s="32" t="n">
        <x:v>46307</x:v>
      </x:c>
      <x:c r="B375" s="32" t="n">
        <x:v>46296</x:v>
      </x:c>
      <x:c r="C375" t="str">
        <x:v>Oct 2026</x:v>
      </x:c>
      <x:c r="D375" t="str">
        <x:v>Forecast</x:v>
      </x:c>
      <x:c r="E375" t="str">
        <x:v>Wholesale</x:v>
      </x:c>
      <x:c r="F375" s="34" t="n">
        <x:v>7260</x:v>
      </x:c>
      <x:c r="G375" s="33" t="n">
        <x:v>0.2</x:v>
      </x:c>
      <x:c r="H375" s="38" t="n">
        <x:v>1.452</x:v>
      </x:c>
      <x:c r="I375" s="34" t="n">
        <x:v>146</x:v>
      </x:c>
      <x:c r="J375" s="33" t="n">
        <x:v>9.945205479452055</x:v>
      </x:c>
      <x:c r="K375" t="str">
        <x:v>Forecast driven by traffic and scenario</x:v>
      </x:c>
    </x:row>
    <x:row r="376">
      <x:c r="A376" s="32" t="n">
        <x:v>46307</x:v>
      </x:c>
      <x:c r="B376" s="32" t="n">
        <x:v>46296</x:v>
      </x:c>
      <x:c r="C376" t="str">
        <x:v>Oct 2026</x:v>
      </x:c>
      <x:c r="D376" t="str">
        <x:v>Forecast</x:v>
      </x:c>
      <x:c r="E376" t="str">
        <x:v>TikTok Shop</x:v>
      </x:c>
      <x:c r="F376" s="34" t="n">
        <x:v>4840</x:v>
      </x:c>
      <x:c r="G376" s="33" t="n">
        <x:v>0.62</x:v>
      </x:c>
      <x:c r="H376" s="38" t="n">
        <x:v>3.0008000000000004</x:v>
      </x:c>
      <x:c r="I376" s="34" t="n">
        <x:v>224</x:v>
      </x:c>
      <x:c r="J376" s="33" t="n">
        <x:v>13.396428571428572</x:v>
      </x:c>
      <x:c r="K376" t="str">
        <x:v>Forecast driven by traffic and scenario</x:v>
      </x:c>
    </x:row>
    <x:row r="377">
      <x:c r="A377" s="32" t="n">
        <x:v>46314</x:v>
      </x:c>
      <x:c r="B377" s="32" t="n">
        <x:v>46296</x:v>
      </x:c>
      <x:c r="C377" t="str">
        <x:v>Oct 2026</x:v>
      </x:c>
      <x:c r="D377" t="str">
        <x:v>Forecast</x:v>
      </x:c>
      <x:c r="E377" t="str">
        <x:v>Shopify DTC</x:v>
      </x:c>
      <x:c r="F377" s="34" t="n">
        <x:v>24200</x:v>
      </x:c>
      <x:c r="G377" s="33" t="n">
        <x:v>0.78</x:v>
      </x:c>
      <x:c r="H377" s="38" t="n">
        <x:v>18.876</x:v>
      </x:c>
      <x:c r="I377" s="34" t="n">
        <x:v>889</x:v>
      </x:c>
      <x:c r="J377" s="33" t="n">
        <x:v>21.232845894263217</x:v>
      </x:c>
      <x:c r="K377" t="str">
        <x:v>Forecast driven by traffic and scenario</x:v>
      </x:c>
    </x:row>
    <x:row r="378">
      <x:c r="A378" s="32" t="n">
        <x:v>46314</x:v>
      </x:c>
      <x:c r="B378" s="32" t="n">
        <x:v>46296</x:v>
      </x:c>
      <x:c r="C378" t="str">
        <x:v>Oct 2026</x:v>
      </x:c>
      <x:c r="D378" t="str">
        <x:v>Forecast</x:v>
      </x:c>
      <x:c r="E378" t="str">
        <x:v>Amazon Marketplace</x:v>
      </x:c>
      <x:c r="F378" s="34" t="n">
        <x:v>12099</x:v>
      </x:c>
      <x:c r="G378" s="33" t="n">
        <x:v>0.92</x:v>
      </x:c>
      <x:c r="H378" s="38" t="n">
        <x:v>11.13108</x:v>
      </x:c>
      <x:c r="I378" s="34" t="n">
        <x:v>525</x:v>
      </x:c>
      <x:c r="J378" s="33" t="n">
        <x:v>21.202057142857143</x:v>
      </x:c>
      <x:c r="K378" t="str">
        <x:v>Forecast driven by traffic and scenario</x:v>
      </x:c>
    </x:row>
    <x:row r="379">
      <x:c r="A379" s="32" t="n">
        <x:v>46314</x:v>
      </x:c>
      <x:c r="B379" s="32" t="n">
        <x:v>46296</x:v>
      </x:c>
      <x:c r="C379" t="str">
        <x:v>Oct 2026</x:v>
      </x:c>
      <x:c r="D379" t="str">
        <x:v>Forecast</x:v>
      </x:c>
      <x:c r="E379" t="str">
        <x:v>Wholesale</x:v>
      </x:c>
      <x:c r="F379" s="34" t="n">
        <x:v>7260</x:v>
      </x:c>
      <x:c r="G379" s="33" t="n">
        <x:v>0.2</x:v>
      </x:c>
      <x:c r="H379" s="38" t="n">
        <x:v>1.452</x:v>
      </x:c>
      <x:c r="I379" s="34" t="n">
        <x:v>146</x:v>
      </x:c>
      <x:c r="J379" s="33" t="n">
        <x:v>9.945205479452055</x:v>
      </x:c>
      <x:c r="K379" t="str">
        <x:v>Forecast driven by traffic and scenario</x:v>
      </x:c>
    </x:row>
    <x:row r="380">
      <x:c r="A380" s="32" t="n">
        <x:v>46314</x:v>
      </x:c>
      <x:c r="B380" s="32" t="n">
        <x:v>46296</x:v>
      </x:c>
      <x:c r="C380" t="str">
        <x:v>Oct 2026</x:v>
      </x:c>
      <x:c r="D380" t="str">
        <x:v>Forecast</x:v>
      </x:c>
      <x:c r="E380" t="str">
        <x:v>TikTok Shop</x:v>
      </x:c>
      <x:c r="F380" s="34" t="n">
        <x:v>4840</x:v>
      </x:c>
      <x:c r="G380" s="33" t="n">
        <x:v>0.62</x:v>
      </x:c>
      <x:c r="H380" s="38" t="n">
        <x:v>3.0008000000000004</x:v>
      </x:c>
      <x:c r="I380" s="34" t="n">
        <x:v>224</x:v>
      </x:c>
      <x:c r="J380" s="33" t="n">
        <x:v>13.396428571428572</x:v>
      </x:c>
      <x:c r="K380" t="str">
        <x:v>Forecast driven by traffic and scenario</x:v>
      </x:c>
    </x:row>
    <x:row r="381">
      <x:c r="A381" s="32" t="n">
        <x:v>46321</x:v>
      </x:c>
      <x:c r="B381" s="32" t="n">
        <x:v>46296</x:v>
      </x:c>
      <x:c r="C381" t="str">
        <x:v>Oct 2026</x:v>
      </x:c>
      <x:c r="D381" t="str">
        <x:v>Forecast</x:v>
      </x:c>
      <x:c r="E381" t="str">
        <x:v>Shopify DTC</x:v>
      </x:c>
      <x:c r="F381" s="34" t="n">
        <x:v>24200</x:v>
      </x:c>
      <x:c r="G381" s="33" t="n">
        <x:v>0.78</x:v>
      </x:c>
      <x:c r="H381" s="38" t="n">
        <x:v>18.876</x:v>
      </x:c>
      <x:c r="I381" s="34" t="n">
        <x:v>889</x:v>
      </x:c>
      <x:c r="J381" s="33" t="n">
        <x:v>21.232845894263217</x:v>
      </x:c>
      <x:c r="K381" t="str">
        <x:v>Forecast driven by traffic and scenario</x:v>
      </x:c>
    </x:row>
    <x:row r="382">
      <x:c r="A382" s="32" t="n">
        <x:v>46321</x:v>
      </x:c>
      <x:c r="B382" s="32" t="n">
        <x:v>46296</x:v>
      </x:c>
      <x:c r="C382" t="str">
        <x:v>Oct 2026</x:v>
      </x:c>
      <x:c r="D382" t="str">
        <x:v>Forecast</x:v>
      </x:c>
      <x:c r="E382" t="str">
        <x:v>Amazon Marketplace</x:v>
      </x:c>
      <x:c r="F382" s="34" t="n">
        <x:v>12099</x:v>
      </x:c>
      <x:c r="G382" s="33" t="n">
        <x:v>0.92</x:v>
      </x:c>
      <x:c r="H382" s="38" t="n">
        <x:v>11.13108</x:v>
      </x:c>
      <x:c r="I382" s="34" t="n">
        <x:v>525</x:v>
      </x:c>
      <x:c r="J382" s="33" t="n">
        <x:v>21.202057142857143</x:v>
      </x:c>
      <x:c r="K382" t="str">
        <x:v>Forecast driven by traffic and scenario</x:v>
      </x:c>
    </x:row>
    <x:row r="383">
      <x:c r="A383" s="32" t="n">
        <x:v>46321</x:v>
      </x:c>
      <x:c r="B383" s="32" t="n">
        <x:v>46296</x:v>
      </x:c>
      <x:c r="C383" t="str">
        <x:v>Oct 2026</x:v>
      </x:c>
      <x:c r="D383" t="str">
        <x:v>Forecast</x:v>
      </x:c>
      <x:c r="E383" t="str">
        <x:v>Wholesale</x:v>
      </x:c>
      <x:c r="F383" s="34" t="n">
        <x:v>7260</x:v>
      </x:c>
      <x:c r="G383" s="33" t="n">
        <x:v>0.2</x:v>
      </x:c>
      <x:c r="H383" s="38" t="n">
        <x:v>1.452</x:v>
      </x:c>
      <x:c r="I383" s="34" t="n">
        <x:v>146</x:v>
      </x:c>
      <x:c r="J383" s="33" t="n">
        <x:v>9.945205479452055</x:v>
      </x:c>
      <x:c r="K383" t="str">
        <x:v>Forecast driven by traffic and scenario</x:v>
      </x:c>
    </x:row>
    <x:row r="384">
      <x:c r="A384" s="32" t="n">
        <x:v>46321</x:v>
      </x:c>
      <x:c r="B384" s="32" t="n">
        <x:v>46296</x:v>
      </x:c>
      <x:c r="C384" t="str">
        <x:v>Oct 2026</x:v>
      </x:c>
      <x:c r="D384" t="str">
        <x:v>Forecast</x:v>
      </x:c>
      <x:c r="E384" t="str">
        <x:v>TikTok Shop</x:v>
      </x:c>
      <x:c r="F384" s="34" t="n">
        <x:v>4840</x:v>
      </x:c>
      <x:c r="G384" s="33" t="n">
        <x:v>0.62</x:v>
      </x:c>
      <x:c r="H384" s="38" t="n">
        <x:v>3.0008000000000004</x:v>
      </x:c>
      <x:c r="I384" s="34" t="n">
        <x:v>224</x:v>
      </x:c>
      <x:c r="J384" s="33" t="n">
        <x:v>13.396428571428572</x:v>
      </x:c>
      <x:c r="K384" t="str">
        <x:v>Forecast driven by traffic and scenario</x:v>
      </x:c>
    </x:row>
    <x:row r="385">
      <x:c r="A385" s="32" t="n">
        <x:v>46328</x:v>
      </x:c>
      <x:c r="B385" s="32" t="n">
        <x:v>46327</x:v>
      </x:c>
      <x:c r="C385" t="str">
        <x:v>Nov 2026</x:v>
      </x:c>
      <x:c r="D385" t="str">
        <x:v>Forecast</x:v>
      </x:c>
      <x:c r="E385" t="str">
        <x:v>Shopify DTC</x:v>
      </x:c>
      <x:c r="F385" s="34" t="n">
        <x:v>25412</x:v>
      </x:c>
      <x:c r="G385" s="33" t="n">
        <x:v>0.78</x:v>
      </x:c>
      <x:c r="H385" s="38" t="n">
        <x:v>19.821360000000002</x:v>
      </x:c>
      <x:c r="I385" s="34" t="n">
        <x:v>928</x:v>
      </x:c>
      <x:c r="J385" s="33" t="n">
        <x:v>21.359224137931037</x:v>
      </x:c>
      <x:c r="K385" t="str">
        <x:v>Forecast driven by traffic and scenario</x:v>
      </x:c>
    </x:row>
    <x:row r="386">
      <x:c r="A386" s="32" t="n">
        <x:v>46328</x:v>
      </x:c>
      <x:c r="B386" s="32" t="n">
        <x:v>46327</x:v>
      </x:c>
      <x:c r="C386" t="str">
        <x:v>Nov 2026</x:v>
      </x:c>
      <x:c r="D386" t="str">
        <x:v>Forecast</x:v>
      </x:c>
      <x:c r="E386" t="str">
        <x:v>Amazon Marketplace</x:v>
      </x:c>
      <x:c r="F386" s="34" t="n">
        <x:v>12705</x:v>
      </x:c>
      <x:c r="G386" s="33" t="n">
        <x:v>0.92</x:v>
      </x:c>
      <x:c r="H386" s="38" t="n">
        <x:v>11.688600000000001</x:v>
      </x:c>
      <x:c r="I386" s="34" t="n">
        <x:v>548</x:v>
      </x:c>
      <x:c r="J386" s="33" t="n">
        <x:v>21.329562043795622</x:v>
      </x:c>
      <x:c r="K386" t="str">
        <x:v>Forecast driven by traffic and scenario</x:v>
      </x:c>
    </x:row>
    <x:row r="387">
      <x:c r="A387" s="32" t="n">
        <x:v>46328</x:v>
      </x:c>
      <x:c r="B387" s="32" t="n">
        <x:v>46327</x:v>
      </x:c>
      <x:c r="C387" t="str">
        <x:v>Nov 2026</x:v>
      </x:c>
      <x:c r="D387" t="str">
        <x:v>Forecast</x:v>
      </x:c>
      <x:c r="E387" t="str">
        <x:v>Wholesale</x:v>
      </x:c>
      <x:c r="F387" s="34" t="n">
        <x:v>7624</x:v>
      </x:c>
      <x:c r="G387" s="33" t="n">
        <x:v>0.2</x:v>
      </x:c>
      <x:c r="H387" s="38" t="n">
        <x:v>1.5248000000000002</x:v>
      </x:c>
      <x:c r="I387" s="34" t="n">
        <x:v>152</x:v>
      </x:c>
      <x:c r="J387" s="33" t="n">
        <x:v>10.031578947368422</x:v>
      </x:c>
      <x:c r="K387" t="str">
        <x:v>Forecast driven by traffic and scenario</x:v>
      </x:c>
    </x:row>
    <x:row r="388">
      <x:c r="A388" s="32" t="n">
        <x:v>46328</x:v>
      </x:c>
      <x:c r="B388" s="32" t="n">
        <x:v>46327</x:v>
      </x:c>
      <x:c r="C388" t="str">
        <x:v>Nov 2026</x:v>
      </x:c>
      <x:c r="D388" t="str">
        <x:v>Forecast</x:v>
      </x:c>
      <x:c r="E388" t="str">
        <x:v>TikTok Shop</x:v>
      </x:c>
      <x:c r="F388" s="34" t="n">
        <x:v>5082</x:v>
      </x:c>
      <x:c r="G388" s="33" t="n">
        <x:v>0.62</x:v>
      </x:c>
      <x:c r="H388" s="38" t="n">
        <x:v>3.15084</x:v>
      </x:c>
      <x:c r="I388" s="34" t="n">
        <x:v>234</x:v>
      </x:c>
      <x:c r="J388" s="33" t="n">
        <x:v>13.465128205128206</x:v>
      </x:c>
      <x:c r="K388" t="str">
        <x:v>Forecast driven by traffic and scenario</x:v>
      </x:c>
    </x:row>
    <x:row r="389">
      <x:c r="A389" s="32" t="n">
        <x:v>46335</x:v>
      </x:c>
      <x:c r="B389" s="32" t="n">
        <x:v>46327</x:v>
      </x:c>
      <x:c r="C389" t="str">
        <x:v>Nov 2026</x:v>
      </x:c>
      <x:c r="D389" t="str">
        <x:v>Forecast</x:v>
      </x:c>
      <x:c r="E389" t="str">
        <x:v>Shopify DTC</x:v>
      </x:c>
      <x:c r="F389" s="34" t="n">
        <x:v>25412</x:v>
      </x:c>
      <x:c r="G389" s="33" t="n">
        <x:v>0.78</x:v>
      </x:c>
      <x:c r="H389" s="38" t="n">
        <x:v>19.821360000000002</x:v>
      </x:c>
      <x:c r="I389" s="34" t="n">
        <x:v>928</x:v>
      </x:c>
      <x:c r="J389" s="33" t="n">
        <x:v>21.359224137931037</x:v>
      </x:c>
      <x:c r="K389" t="str">
        <x:v>Forecast driven by traffic and scenario</x:v>
      </x:c>
    </x:row>
    <x:row r="390">
      <x:c r="A390" s="32" t="n">
        <x:v>46335</x:v>
      </x:c>
      <x:c r="B390" s="32" t="n">
        <x:v>46327</x:v>
      </x:c>
      <x:c r="C390" t="str">
        <x:v>Nov 2026</x:v>
      </x:c>
      <x:c r="D390" t="str">
        <x:v>Forecast</x:v>
      </x:c>
      <x:c r="E390" t="str">
        <x:v>Amazon Marketplace</x:v>
      </x:c>
      <x:c r="F390" s="34" t="n">
        <x:v>12705</x:v>
      </x:c>
      <x:c r="G390" s="33" t="n">
        <x:v>0.92</x:v>
      </x:c>
      <x:c r="H390" s="38" t="n">
        <x:v>11.688600000000001</x:v>
      </x:c>
      <x:c r="I390" s="34" t="n">
        <x:v>548</x:v>
      </x:c>
      <x:c r="J390" s="33" t="n">
        <x:v>21.329562043795622</x:v>
      </x:c>
      <x:c r="K390" t="str">
        <x:v>Forecast driven by traffic and scenario</x:v>
      </x:c>
    </x:row>
    <x:row r="391">
      <x:c r="A391" s="32" t="n">
        <x:v>46335</x:v>
      </x:c>
      <x:c r="B391" s="32" t="n">
        <x:v>46327</x:v>
      </x:c>
      <x:c r="C391" t="str">
        <x:v>Nov 2026</x:v>
      </x:c>
      <x:c r="D391" t="str">
        <x:v>Forecast</x:v>
      </x:c>
      <x:c r="E391" t="str">
        <x:v>Wholesale</x:v>
      </x:c>
      <x:c r="F391" s="34" t="n">
        <x:v>7624</x:v>
      </x:c>
      <x:c r="G391" s="33" t="n">
        <x:v>0.2</x:v>
      </x:c>
      <x:c r="H391" s="38" t="n">
        <x:v>1.5248000000000002</x:v>
      </x:c>
      <x:c r="I391" s="34" t="n">
        <x:v>152</x:v>
      </x:c>
      <x:c r="J391" s="33" t="n">
        <x:v>10.031578947368422</x:v>
      </x:c>
      <x:c r="K391" t="str">
        <x:v>Forecast driven by traffic and scenario</x:v>
      </x:c>
    </x:row>
    <x:row r="392">
      <x:c r="A392" s="32" t="n">
        <x:v>46335</x:v>
      </x:c>
      <x:c r="B392" s="32" t="n">
        <x:v>46327</x:v>
      </x:c>
      <x:c r="C392" t="str">
        <x:v>Nov 2026</x:v>
      </x:c>
      <x:c r="D392" t="str">
        <x:v>Forecast</x:v>
      </x:c>
      <x:c r="E392" t="str">
        <x:v>TikTok Shop</x:v>
      </x:c>
      <x:c r="F392" s="34" t="n">
        <x:v>5082</x:v>
      </x:c>
      <x:c r="G392" s="33" t="n">
        <x:v>0.62</x:v>
      </x:c>
      <x:c r="H392" s="38" t="n">
        <x:v>3.15084</x:v>
      </x:c>
      <x:c r="I392" s="34" t="n">
        <x:v>234</x:v>
      </x:c>
      <x:c r="J392" s="33" t="n">
        <x:v>13.465128205128206</x:v>
      </x:c>
      <x:c r="K392" t="str">
        <x:v>Forecast driven by traffic and scenario</x:v>
      </x:c>
    </x:row>
    <x:row r="393">
      <x:c r="A393" s="32" t="n">
        <x:v>46342</x:v>
      </x:c>
      <x:c r="B393" s="32" t="n">
        <x:v>46327</x:v>
      </x:c>
      <x:c r="C393" t="str">
        <x:v>Nov 2026</x:v>
      </x:c>
      <x:c r="D393" t="str">
        <x:v>Forecast</x:v>
      </x:c>
      <x:c r="E393" t="str">
        <x:v>Shopify DTC</x:v>
      </x:c>
      <x:c r="F393" s="34" t="n">
        <x:v>25412</x:v>
      </x:c>
      <x:c r="G393" s="33" t="n">
        <x:v>0.78</x:v>
      </x:c>
      <x:c r="H393" s="38" t="n">
        <x:v>19.821360000000002</x:v>
      </x:c>
      <x:c r="I393" s="34" t="n">
        <x:v>928</x:v>
      </x:c>
      <x:c r="J393" s="33" t="n">
        <x:v>21.359224137931037</x:v>
      </x:c>
      <x:c r="K393" t="str">
        <x:v>Forecast driven by traffic and scenario</x:v>
      </x:c>
    </x:row>
    <x:row r="394">
      <x:c r="A394" s="32" t="n">
        <x:v>46342</x:v>
      </x:c>
      <x:c r="B394" s="32" t="n">
        <x:v>46327</x:v>
      </x:c>
      <x:c r="C394" t="str">
        <x:v>Nov 2026</x:v>
      </x:c>
      <x:c r="D394" t="str">
        <x:v>Forecast</x:v>
      </x:c>
      <x:c r="E394" t="str">
        <x:v>Amazon Marketplace</x:v>
      </x:c>
      <x:c r="F394" s="34" t="n">
        <x:v>12705</x:v>
      </x:c>
      <x:c r="G394" s="33" t="n">
        <x:v>0.92</x:v>
      </x:c>
      <x:c r="H394" s="38" t="n">
        <x:v>11.688600000000001</x:v>
      </x:c>
      <x:c r="I394" s="34" t="n">
        <x:v>548</x:v>
      </x:c>
      <x:c r="J394" s="33" t="n">
        <x:v>21.329562043795622</x:v>
      </x:c>
      <x:c r="K394" t="str">
        <x:v>Forecast driven by traffic and scenario</x:v>
      </x:c>
    </x:row>
    <x:row r="395">
      <x:c r="A395" s="32" t="n">
        <x:v>46342</x:v>
      </x:c>
      <x:c r="B395" s="32" t="n">
        <x:v>46327</x:v>
      </x:c>
      <x:c r="C395" t="str">
        <x:v>Nov 2026</x:v>
      </x:c>
      <x:c r="D395" t="str">
        <x:v>Forecast</x:v>
      </x:c>
      <x:c r="E395" t="str">
        <x:v>Wholesale</x:v>
      </x:c>
      <x:c r="F395" s="34" t="n">
        <x:v>7624</x:v>
      </x:c>
      <x:c r="G395" s="33" t="n">
        <x:v>0.2</x:v>
      </x:c>
      <x:c r="H395" s="38" t="n">
        <x:v>1.5248000000000002</x:v>
      </x:c>
      <x:c r="I395" s="34" t="n">
        <x:v>152</x:v>
      </x:c>
      <x:c r="J395" s="33" t="n">
        <x:v>10.031578947368422</x:v>
      </x:c>
      <x:c r="K395" t="str">
        <x:v>Forecast driven by traffic and scenario</x:v>
      </x:c>
    </x:row>
    <x:row r="396">
      <x:c r="A396" s="32" t="n">
        <x:v>46342</x:v>
      </x:c>
      <x:c r="B396" s="32" t="n">
        <x:v>46327</x:v>
      </x:c>
      <x:c r="C396" t="str">
        <x:v>Nov 2026</x:v>
      </x:c>
      <x:c r="D396" t="str">
        <x:v>Forecast</x:v>
      </x:c>
      <x:c r="E396" t="str">
        <x:v>TikTok Shop</x:v>
      </x:c>
      <x:c r="F396" s="34" t="n">
        <x:v>5082</x:v>
      </x:c>
      <x:c r="G396" s="33" t="n">
        <x:v>0.62</x:v>
      </x:c>
      <x:c r="H396" s="38" t="n">
        <x:v>3.15084</x:v>
      </x:c>
      <x:c r="I396" s="34" t="n">
        <x:v>234</x:v>
      </x:c>
      <x:c r="J396" s="33" t="n">
        <x:v>13.465128205128206</x:v>
      </x:c>
      <x:c r="K396" t="str">
        <x:v>Forecast driven by traffic and scenario</x:v>
      </x:c>
    </x:row>
    <x:row r="397">
      <x:c r="A397" s="32" t="n">
        <x:v>46349</x:v>
      </x:c>
      <x:c r="B397" s="32" t="n">
        <x:v>46327</x:v>
      </x:c>
      <x:c r="C397" t="str">
        <x:v>Nov 2026</x:v>
      </x:c>
      <x:c r="D397" t="str">
        <x:v>Forecast</x:v>
      </x:c>
      <x:c r="E397" t="str">
        <x:v>Shopify DTC</x:v>
      </x:c>
      <x:c r="F397" s="34" t="n">
        <x:v>25412</x:v>
      </x:c>
      <x:c r="G397" s="33" t="n">
        <x:v>0.78</x:v>
      </x:c>
      <x:c r="H397" s="38" t="n">
        <x:v>19.821360000000002</x:v>
      </x:c>
      <x:c r="I397" s="34" t="n">
        <x:v>928</x:v>
      </x:c>
      <x:c r="J397" s="33" t="n">
        <x:v>21.359224137931037</x:v>
      </x:c>
      <x:c r="K397" t="str">
        <x:v>Forecast driven by traffic and scenario</x:v>
      </x:c>
    </x:row>
    <x:row r="398">
      <x:c r="A398" s="32" t="n">
        <x:v>46349</x:v>
      </x:c>
      <x:c r="B398" s="32" t="n">
        <x:v>46327</x:v>
      </x:c>
      <x:c r="C398" t="str">
        <x:v>Nov 2026</x:v>
      </x:c>
      <x:c r="D398" t="str">
        <x:v>Forecast</x:v>
      </x:c>
      <x:c r="E398" t="str">
        <x:v>Amazon Marketplace</x:v>
      </x:c>
      <x:c r="F398" s="34" t="n">
        <x:v>12705</x:v>
      </x:c>
      <x:c r="G398" s="33" t="n">
        <x:v>0.92</x:v>
      </x:c>
      <x:c r="H398" s="38" t="n">
        <x:v>11.688600000000001</x:v>
      </x:c>
      <x:c r="I398" s="34" t="n">
        <x:v>548</x:v>
      </x:c>
      <x:c r="J398" s="33" t="n">
        <x:v>21.329562043795622</x:v>
      </x:c>
      <x:c r="K398" t="str">
        <x:v>Forecast driven by traffic and scenario</x:v>
      </x:c>
    </x:row>
    <x:row r="399">
      <x:c r="A399" s="32" t="n">
        <x:v>46349</x:v>
      </x:c>
      <x:c r="B399" s="32" t="n">
        <x:v>46327</x:v>
      </x:c>
      <x:c r="C399" t="str">
        <x:v>Nov 2026</x:v>
      </x:c>
      <x:c r="D399" t="str">
        <x:v>Forecast</x:v>
      </x:c>
      <x:c r="E399" t="str">
        <x:v>Wholesale</x:v>
      </x:c>
      <x:c r="F399" s="34" t="n">
        <x:v>7624</x:v>
      </x:c>
      <x:c r="G399" s="33" t="n">
        <x:v>0.2</x:v>
      </x:c>
      <x:c r="H399" s="38" t="n">
        <x:v>1.5248000000000002</x:v>
      </x:c>
      <x:c r="I399" s="34" t="n">
        <x:v>152</x:v>
      </x:c>
      <x:c r="J399" s="33" t="n">
        <x:v>10.031578947368422</x:v>
      </x:c>
      <x:c r="K399" t="str">
        <x:v>Forecast driven by traffic and scenario</x:v>
      </x:c>
    </x:row>
    <x:row r="400">
      <x:c r="A400" s="32" t="n">
        <x:v>46349</x:v>
      </x:c>
      <x:c r="B400" s="32" t="n">
        <x:v>46327</x:v>
      </x:c>
      <x:c r="C400" t="str">
        <x:v>Nov 2026</x:v>
      </x:c>
      <x:c r="D400" t="str">
        <x:v>Forecast</x:v>
      </x:c>
      <x:c r="E400" t="str">
        <x:v>TikTok Shop</x:v>
      </x:c>
      <x:c r="F400" s="34" t="n">
        <x:v>5082</x:v>
      </x:c>
      <x:c r="G400" s="33" t="n">
        <x:v>0.62</x:v>
      </x:c>
      <x:c r="H400" s="38" t="n">
        <x:v>3.15084</x:v>
      </x:c>
      <x:c r="I400" s="34" t="n">
        <x:v>234</x:v>
      </x:c>
      <x:c r="J400" s="33" t="n">
        <x:v>13.465128205128206</x:v>
      </x:c>
      <x:c r="K400" t="str">
        <x:v>Forecast driven by traffic and scenario</x:v>
      </x:c>
    </x:row>
    <x:row r="401">
      <x:c r="A401" s="32" t="n">
        <x:v>46356</x:v>
      </x:c>
      <x:c r="B401" s="32" t="n">
        <x:v>46327</x:v>
      </x:c>
      <x:c r="C401" t="str">
        <x:v>Nov 2026</x:v>
      </x:c>
      <x:c r="D401" t="str">
        <x:v>Forecast</x:v>
      </x:c>
      <x:c r="E401" t="str">
        <x:v>Shopify DTC</x:v>
      </x:c>
      <x:c r="F401" s="34" t="n">
        <x:v>25412</x:v>
      </x:c>
      <x:c r="G401" s="33" t="n">
        <x:v>0.78</x:v>
      </x:c>
      <x:c r="H401" s="38" t="n">
        <x:v>19.821360000000002</x:v>
      </x:c>
      <x:c r="I401" s="34" t="n">
        <x:v>928</x:v>
      </x:c>
      <x:c r="J401" s="33" t="n">
        <x:v>21.359224137931037</x:v>
      </x:c>
      <x:c r="K401" t="str">
        <x:v>Forecast driven by traffic and scenario</x:v>
      </x:c>
    </x:row>
    <x:row r="402">
      <x:c r="A402" s="32" t="n">
        <x:v>46356</x:v>
      </x:c>
      <x:c r="B402" s="32" t="n">
        <x:v>46327</x:v>
      </x:c>
      <x:c r="C402" t="str">
        <x:v>Nov 2026</x:v>
      </x:c>
      <x:c r="D402" t="str">
        <x:v>Forecast</x:v>
      </x:c>
      <x:c r="E402" t="str">
        <x:v>Amazon Marketplace</x:v>
      </x:c>
      <x:c r="F402" s="34" t="n">
        <x:v>12705</x:v>
      </x:c>
      <x:c r="G402" s="33" t="n">
        <x:v>0.92</x:v>
      </x:c>
      <x:c r="H402" s="38" t="n">
        <x:v>11.688600000000001</x:v>
      </x:c>
      <x:c r="I402" s="34" t="n">
        <x:v>548</x:v>
      </x:c>
      <x:c r="J402" s="33" t="n">
        <x:v>21.329562043795622</x:v>
      </x:c>
      <x:c r="K402" t="str">
        <x:v>Forecast driven by traffic and scenario</x:v>
      </x:c>
    </x:row>
    <x:row r="403">
      <x:c r="A403" s="32" t="n">
        <x:v>46356</x:v>
      </x:c>
      <x:c r="B403" s="32" t="n">
        <x:v>46327</x:v>
      </x:c>
      <x:c r="C403" t="str">
        <x:v>Nov 2026</x:v>
      </x:c>
      <x:c r="D403" t="str">
        <x:v>Forecast</x:v>
      </x:c>
      <x:c r="E403" t="str">
        <x:v>Wholesale</x:v>
      </x:c>
      <x:c r="F403" s="34" t="n">
        <x:v>7624</x:v>
      </x:c>
      <x:c r="G403" s="33" t="n">
        <x:v>0.2</x:v>
      </x:c>
      <x:c r="H403" s="38" t="n">
        <x:v>1.5248000000000002</x:v>
      </x:c>
      <x:c r="I403" s="34" t="n">
        <x:v>152</x:v>
      </x:c>
      <x:c r="J403" s="33" t="n">
        <x:v>10.031578947368422</x:v>
      </x:c>
      <x:c r="K403" t="str">
        <x:v>Forecast driven by traffic and scenario</x:v>
      </x:c>
    </x:row>
    <x:row r="404">
      <x:c r="A404" s="32" t="n">
        <x:v>46356</x:v>
      </x:c>
      <x:c r="B404" s="32" t="n">
        <x:v>46327</x:v>
      </x:c>
      <x:c r="C404" t="str">
        <x:v>Nov 2026</x:v>
      </x:c>
      <x:c r="D404" t="str">
        <x:v>Forecast</x:v>
      </x:c>
      <x:c r="E404" t="str">
        <x:v>TikTok Shop</x:v>
      </x:c>
      <x:c r="F404" s="34" t="n">
        <x:v>5082</x:v>
      </x:c>
      <x:c r="G404" s="33" t="n">
        <x:v>0.62</x:v>
      </x:c>
      <x:c r="H404" s="38" t="n">
        <x:v>3.15084</x:v>
      </x:c>
      <x:c r="I404" s="34" t="n">
        <x:v>234</x:v>
      </x:c>
      <x:c r="J404" s="33" t="n">
        <x:v>13.465128205128206</x:v>
      </x:c>
      <x:c r="K404" t="str">
        <x:v>Forecast driven by traffic and scenario</x:v>
      </x:c>
    </x:row>
    <x:row r="405">
      <x:c r="A405" s="32" t="n">
        <x:v>46363</x:v>
      </x:c>
      <x:c r="B405" s="32" t="n">
        <x:v>46357</x:v>
      </x:c>
      <x:c r="C405" t="str">
        <x:v>Dec 2026</x:v>
      </x:c>
      <x:c r="D405" t="str">
        <x:v>Forecast</x:v>
      </x:c>
      <x:c r="E405" t="str">
        <x:v>Shopify DTC</x:v>
      </x:c>
      <x:c r="F405" s="34" t="n">
        <x:v>18240</x:v>
      </x:c>
      <x:c r="G405" s="33" t="n">
        <x:v>0.78</x:v>
      </x:c>
      <x:c r="H405" s="38" t="n">
        <x:v>14.2272</x:v>
      </x:c>
      <x:c r="I405" s="34" t="n">
        <x:v>696</x:v>
      </x:c>
      <x:c r="J405" s="33" t="n">
        <x:v>20.44137931034483</x:v>
      </x:c>
      <x:c r="K405" t="str">
        <x:v>Forecast driven by traffic and scenario</x:v>
      </x:c>
    </x:row>
    <x:row r="406">
      <x:c r="A406" s="32" t="n">
        <x:v>46363</x:v>
      </x:c>
      <x:c r="B406" s="32" t="n">
        <x:v>46357</x:v>
      </x:c>
      <x:c r="C406" t="str">
        <x:v>Dec 2026</x:v>
      </x:c>
      <x:c r="D406" t="str">
        <x:v>Forecast</x:v>
      </x:c>
      <x:c r="E406" t="str">
        <x:v>Amazon Marketplace</x:v>
      </x:c>
      <x:c r="F406" s="34" t="n">
        <x:v>9119</x:v>
      </x:c>
      <x:c r="G406" s="33" t="n">
        <x:v>0.92</x:v>
      </x:c>
      <x:c r="H406" s="38" t="n">
        <x:v>8.389479999999999</x:v>
      </x:c>
      <x:c r="I406" s="34" t="n">
        <x:v>411</x:v>
      </x:c>
      <x:c r="J406" s="33" t="n">
        <x:v>20.4123600973236</x:v>
      </x:c>
      <x:c r="K406" t="str">
        <x:v>Forecast driven by traffic and scenario</x:v>
      </x:c>
    </x:row>
    <x:row r="407">
      <x:c r="A407" s="32" t="n">
        <x:v>46363</x:v>
      </x:c>
      <x:c r="B407" s="32" t="n">
        <x:v>46357</x:v>
      </x:c>
      <x:c r="C407" t="str">
        <x:v>Dec 2026</x:v>
      </x:c>
      <x:c r="D407" t="str">
        <x:v>Forecast</x:v>
      </x:c>
      <x:c r="E407" t="str">
        <x:v>Wholesale</x:v>
      </x:c>
      <x:c r="F407" s="34" t="n">
        <x:v>5472</x:v>
      </x:c>
      <x:c r="G407" s="33" t="n">
        <x:v>0.2</x:v>
      </x:c>
      <x:c r="H407" s="38" t="n">
        <x:v>1.0944</x:v>
      </x:c>
      <x:c r="I407" s="34" t="n">
        <x:v>114</x:v>
      </x:c>
      <x:c r="J407" s="33" t="n">
        <x:v>9.600000000000001</x:v>
      </x:c>
      <x:c r="K407" t="str">
        <x:v>Forecast driven by traffic and scenario</x:v>
      </x:c>
    </x:row>
    <x:row r="408">
      <x:c r="A408" s="32" t="n">
        <x:v>46363</x:v>
      </x:c>
      <x:c r="B408" s="32" t="n">
        <x:v>46357</x:v>
      </x:c>
      <x:c r="C408" t="str">
        <x:v>Dec 2026</x:v>
      </x:c>
      <x:c r="D408" t="str">
        <x:v>Forecast</x:v>
      </x:c>
      <x:c r="E408" t="str">
        <x:v>TikTok Shop</x:v>
      </x:c>
      <x:c r="F408" s="34" t="n">
        <x:v>3648</x:v>
      </x:c>
      <x:c r="G408" s="33" t="n">
        <x:v>0.62</x:v>
      </x:c>
      <x:c r="H408" s="38" t="n">
        <x:v>2.2617599999999998</x:v>
      </x:c>
      <x:c r="I408" s="34" t="n">
        <x:v>175</x:v>
      </x:c>
      <x:c r="J408" s="33" t="n">
        <x:v>12.924342857142856</x:v>
      </x:c>
      <x:c r="K408" t="str">
        <x:v>Forecast driven by traffic and scenario</x:v>
      </x:c>
    </x:row>
    <x:row r="409">
      <x:c r="A409" s="32" t="n">
        <x:v>46370</x:v>
      </x:c>
      <x:c r="B409" s="32" t="n">
        <x:v>46357</x:v>
      </x:c>
      <x:c r="C409" t="str">
        <x:v>Dec 2026</x:v>
      </x:c>
      <x:c r="D409" t="str">
        <x:v>Forecast</x:v>
      </x:c>
      <x:c r="E409" t="str">
        <x:v>Shopify DTC</x:v>
      </x:c>
      <x:c r="F409" s="34" t="n">
        <x:v>18240</x:v>
      </x:c>
      <x:c r="G409" s="33" t="n">
        <x:v>0.78</x:v>
      </x:c>
      <x:c r="H409" s="38" t="n">
        <x:v>14.2272</x:v>
      </x:c>
      <x:c r="I409" s="34" t="n">
        <x:v>696</x:v>
      </x:c>
      <x:c r="J409" s="33" t="n">
        <x:v>20.44137931034483</x:v>
      </x:c>
      <x:c r="K409" t="str">
        <x:v>Forecast driven by traffic and scenario</x:v>
      </x:c>
    </x:row>
    <x:row r="410">
      <x:c r="A410" s="32" t="n">
        <x:v>46370</x:v>
      </x:c>
      <x:c r="B410" s="32" t="n">
        <x:v>46357</x:v>
      </x:c>
      <x:c r="C410" t="str">
        <x:v>Dec 2026</x:v>
      </x:c>
      <x:c r="D410" t="str">
        <x:v>Forecast</x:v>
      </x:c>
      <x:c r="E410" t="str">
        <x:v>Amazon Marketplace</x:v>
      </x:c>
      <x:c r="F410" s="34" t="n">
        <x:v>9119</x:v>
      </x:c>
      <x:c r="G410" s="33" t="n">
        <x:v>0.92</x:v>
      </x:c>
      <x:c r="H410" s="38" t="n">
        <x:v>8.389479999999999</x:v>
      </x:c>
      <x:c r="I410" s="34" t="n">
        <x:v>411</x:v>
      </x:c>
      <x:c r="J410" s="33" t="n">
        <x:v>20.4123600973236</x:v>
      </x:c>
      <x:c r="K410" t="str">
        <x:v>Forecast driven by traffic and scenario</x:v>
      </x:c>
    </x:row>
    <x:row r="411">
      <x:c r="A411" s="32" t="n">
        <x:v>46370</x:v>
      </x:c>
      <x:c r="B411" s="32" t="n">
        <x:v>46357</x:v>
      </x:c>
      <x:c r="C411" t="str">
        <x:v>Dec 2026</x:v>
      </x:c>
      <x:c r="D411" t="str">
        <x:v>Forecast</x:v>
      </x:c>
      <x:c r="E411" t="str">
        <x:v>Wholesale</x:v>
      </x:c>
      <x:c r="F411" s="34" t="n">
        <x:v>5472</x:v>
      </x:c>
      <x:c r="G411" s="33" t="n">
        <x:v>0.2</x:v>
      </x:c>
      <x:c r="H411" s="38" t="n">
        <x:v>1.0944</x:v>
      </x:c>
      <x:c r="I411" s="34" t="n">
        <x:v>114</x:v>
      </x:c>
      <x:c r="J411" s="33" t="n">
        <x:v>9.600000000000001</x:v>
      </x:c>
      <x:c r="K411" t="str">
        <x:v>Forecast driven by traffic and scenario</x:v>
      </x:c>
    </x:row>
    <x:row r="412">
      <x:c r="A412" s="32" t="n">
        <x:v>46370</x:v>
      </x:c>
      <x:c r="B412" s="32" t="n">
        <x:v>46357</x:v>
      </x:c>
      <x:c r="C412" t="str">
        <x:v>Dec 2026</x:v>
      </x:c>
      <x:c r="D412" t="str">
        <x:v>Forecast</x:v>
      </x:c>
      <x:c r="E412" t="str">
        <x:v>TikTok Shop</x:v>
      </x:c>
      <x:c r="F412" s="34" t="n">
        <x:v>3648</x:v>
      </x:c>
      <x:c r="G412" s="33" t="n">
        <x:v>0.62</x:v>
      </x:c>
      <x:c r="H412" s="38" t="n">
        <x:v>2.2617599999999998</x:v>
      </x:c>
      <x:c r="I412" s="34" t="n">
        <x:v>175</x:v>
      </x:c>
      <x:c r="J412" s="33" t="n">
        <x:v>12.924342857142856</x:v>
      </x:c>
      <x:c r="K412" t="str">
        <x:v>Forecast driven by traffic and scenario</x:v>
      </x:c>
    </x:row>
    <x:row r="413">
      <x:c r="A413" s="32" t="n">
        <x:v>46377</x:v>
      </x:c>
      <x:c r="B413" s="32" t="n">
        <x:v>46357</x:v>
      </x:c>
      <x:c r="C413" t="str">
        <x:v>Dec 2026</x:v>
      </x:c>
      <x:c r="D413" t="str">
        <x:v>Forecast</x:v>
      </x:c>
      <x:c r="E413" t="str">
        <x:v>Shopify DTC</x:v>
      </x:c>
      <x:c r="F413" s="34" t="n">
        <x:v>18240</x:v>
      </x:c>
      <x:c r="G413" s="33" t="n">
        <x:v>0.78</x:v>
      </x:c>
      <x:c r="H413" s="38" t="n">
        <x:v>14.2272</x:v>
      </x:c>
      <x:c r="I413" s="34" t="n">
        <x:v>696</x:v>
      </x:c>
      <x:c r="J413" s="33" t="n">
        <x:v>20.44137931034483</x:v>
      </x:c>
      <x:c r="K413" t="str">
        <x:v>Forecast driven by traffic and scenario</x:v>
      </x:c>
    </x:row>
    <x:row r="414">
      <x:c r="A414" s="32" t="n">
        <x:v>46377</x:v>
      </x:c>
      <x:c r="B414" s="32" t="n">
        <x:v>46357</x:v>
      </x:c>
      <x:c r="C414" t="str">
        <x:v>Dec 2026</x:v>
      </x:c>
      <x:c r="D414" t="str">
        <x:v>Forecast</x:v>
      </x:c>
      <x:c r="E414" t="str">
        <x:v>Amazon Marketplace</x:v>
      </x:c>
      <x:c r="F414" s="34" t="n">
        <x:v>9119</x:v>
      </x:c>
      <x:c r="G414" s="33" t="n">
        <x:v>0.92</x:v>
      </x:c>
      <x:c r="H414" s="38" t="n">
        <x:v>8.389479999999999</x:v>
      </x:c>
      <x:c r="I414" s="34" t="n">
        <x:v>411</x:v>
      </x:c>
      <x:c r="J414" s="33" t="n">
        <x:v>20.4123600973236</x:v>
      </x:c>
      <x:c r="K414" t="str">
        <x:v>Forecast driven by traffic and scenario</x:v>
      </x:c>
    </x:row>
    <x:row r="415">
      <x:c r="A415" s="32" t="n">
        <x:v>46377</x:v>
      </x:c>
      <x:c r="B415" s="32" t="n">
        <x:v>46357</x:v>
      </x:c>
      <x:c r="C415" t="str">
        <x:v>Dec 2026</x:v>
      </x:c>
      <x:c r="D415" t="str">
        <x:v>Forecast</x:v>
      </x:c>
      <x:c r="E415" t="str">
        <x:v>Wholesale</x:v>
      </x:c>
      <x:c r="F415" s="34" t="n">
        <x:v>5472</x:v>
      </x:c>
      <x:c r="G415" s="33" t="n">
        <x:v>0.2</x:v>
      </x:c>
      <x:c r="H415" s="38" t="n">
        <x:v>1.0944</x:v>
      </x:c>
      <x:c r="I415" s="34" t="n">
        <x:v>114</x:v>
      </x:c>
      <x:c r="J415" s="33" t="n">
        <x:v>9.600000000000001</x:v>
      </x:c>
      <x:c r="K415" t="str">
        <x:v>Forecast driven by traffic and scenario</x:v>
      </x:c>
    </x:row>
    <x:row r="416">
      <x:c r="A416" s="32" t="n">
        <x:v>46377</x:v>
      </x:c>
      <x:c r="B416" s="32" t="n">
        <x:v>46357</x:v>
      </x:c>
      <x:c r="C416" t="str">
        <x:v>Dec 2026</x:v>
      </x:c>
      <x:c r="D416" t="str">
        <x:v>Forecast</x:v>
      </x:c>
      <x:c r="E416" t="str">
        <x:v>TikTok Shop</x:v>
      </x:c>
      <x:c r="F416" s="34" t="n">
        <x:v>3648</x:v>
      </x:c>
      <x:c r="G416" s="33" t="n">
        <x:v>0.62</x:v>
      </x:c>
      <x:c r="H416" s="38" t="n">
        <x:v>2.2617599999999998</x:v>
      </x:c>
      <x:c r="I416" s="34" t="n">
        <x:v>175</x:v>
      </x:c>
      <x:c r="J416" s="33" t="n">
        <x:v>12.924342857142856</x:v>
      </x:c>
      <x:c r="K416" t="str">
        <x:v>Forecast driven by traffic and scenario</x:v>
      </x:c>
    </x:row>
    <x:row r="417">
      <x:c r="A417" s="32" t="n">
        <x:v>46384</x:v>
      </x:c>
      <x:c r="B417" s="32" t="n">
        <x:v>46357</x:v>
      </x:c>
      <x:c r="C417" t="str">
        <x:v>Dec 2026</x:v>
      </x:c>
      <x:c r="D417" t="str">
        <x:v>Forecast</x:v>
      </x:c>
      <x:c r="E417" t="str">
        <x:v>Shopify DTC</x:v>
      </x:c>
      <x:c r="F417" s="34" t="n">
        <x:v>18240</x:v>
      </x:c>
      <x:c r="G417" s="33" t="n">
        <x:v>0.78</x:v>
      </x:c>
      <x:c r="H417" s="38" t="n">
        <x:v>14.2272</x:v>
      </x:c>
      <x:c r="I417" s="34" t="n">
        <x:v>696</x:v>
      </x:c>
      <x:c r="J417" s="33" t="n">
        <x:v>20.44137931034483</x:v>
      </x:c>
      <x:c r="K417" t="str">
        <x:v>Forecast driven by traffic and scenario</x:v>
      </x:c>
    </x:row>
    <x:row r="418">
      <x:c r="A418" s="32" t="n">
        <x:v>46384</x:v>
      </x:c>
      <x:c r="B418" s="32" t="n">
        <x:v>46357</x:v>
      </x:c>
      <x:c r="C418" t="str">
        <x:v>Dec 2026</x:v>
      </x:c>
      <x:c r="D418" t="str">
        <x:v>Forecast</x:v>
      </x:c>
      <x:c r="E418" t="str">
        <x:v>Amazon Marketplace</x:v>
      </x:c>
      <x:c r="F418" s="34" t="n">
        <x:v>9119</x:v>
      </x:c>
      <x:c r="G418" s="33" t="n">
        <x:v>0.92</x:v>
      </x:c>
      <x:c r="H418" s="38" t="n">
        <x:v>8.389479999999999</x:v>
      </x:c>
      <x:c r="I418" s="34" t="n">
        <x:v>411</x:v>
      </x:c>
      <x:c r="J418" s="33" t="n">
        <x:v>20.4123600973236</x:v>
      </x:c>
      <x:c r="K418" t="str">
        <x:v>Forecast driven by traffic and scenario</x:v>
      </x:c>
    </x:row>
    <x:row r="419">
      <x:c r="A419" s="32" t="n">
        <x:v>46384</x:v>
      </x:c>
      <x:c r="B419" s="32" t="n">
        <x:v>46357</x:v>
      </x:c>
      <x:c r="C419" t="str">
        <x:v>Dec 2026</x:v>
      </x:c>
      <x:c r="D419" t="str">
        <x:v>Forecast</x:v>
      </x:c>
      <x:c r="E419" t="str">
        <x:v>Wholesale</x:v>
      </x:c>
      <x:c r="F419" s="34" t="n">
        <x:v>5472</x:v>
      </x:c>
      <x:c r="G419" s="33" t="n">
        <x:v>0.2</x:v>
      </x:c>
      <x:c r="H419" s="38" t="n">
        <x:v>1.0944</x:v>
      </x:c>
      <x:c r="I419" s="34" t="n">
        <x:v>114</x:v>
      </x:c>
      <x:c r="J419" s="33" t="n">
        <x:v>9.600000000000001</x:v>
      </x:c>
      <x:c r="K419" t="str">
        <x:v>Forecast driven by traffic and scenario</x:v>
      </x:c>
    </x:row>
    <x:row r="420">
      <x:c r="A420" s="32" t="n">
        <x:v>46384</x:v>
      </x:c>
      <x:c r="B420" s="32" t="n">
        <x:v>46357</x:v>
      </x:c>
      <x:c r="C420" t="str">
        <x:v>Dec 2026</x:v>
      </x:c>
      <x:c r="D420" t="str">
        <x:v>Forecast</x:v>
      </x:c>
      <x:c r="E420" t="str">
        <x:v>TikTok Shop</x:v>
      </x:c>
      <x:c r="F420" s="34" t="n">
        <x:v>3648</x:v>
      </x:c>
      <x:c r="G420" s="33" t="n">
        <x:v>0.62</x:v>
      </x:c>
      <x:c r="H420" s="38" t="n">
        <x:v>2.2617599999999998</x:v>
      </x:c>
      <x:c r="I420" s="34" t="n">
        <x:v>175</x:v>
      </x:c>
      <x:c r="J420" s="33" t="n">
        <x:v>12.924342857142856</x:v>
      </x:c>
      <x:c r="K420" t="str">
        <x:v>Forecast driven by traffic and scenario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1b9396c1a4742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3" t="str">
        <x:v>Headcount and Opex</x:v>
      </x:c>
    </x:row>
    <x:row r="2">
      <x:c r="A2" s="6" t="str">
        <x:v>Monthly operating budget by department, account, and cash/non-cash type.</x:v>
      </x:c>
    </x:row>
    <x:row r="4">
      <x:c r="A4" s="11" t="str">
        <x:v>Month</x:v>
      </x:c>
      <x:c r="B4" s="12" t="str">
        <x:v>Month Label</x:v>
      </x:c>
      <x:c r="C4" s="12" t="str">
        <x:v>Period</x:v>
      </x:c>
      <x:c r="D4" s="12" t="str">
        <x:v>Account</x:v>
      </x:c>
      <x:c r="E4" s="12" t="str">
        <x:v>Department</x:v>
      </x:c>
      <x:c r="F4" s="12" t="str">
        <x:v>Expense Type</x:v>
      </x:c>
      <x:c r="G4" s="12" t="str">
        <x:v>Amount $000s</x:v>
      </x:c>
      <x:c r="H4" s="12" t="str">
        <x:v>Driver</x:v>
      </x:c>
      <x:c r="I4" s="12" t="str">
        <x:v>Cash / Non-Cash</x:v>
      </x:c>
      <x:c r="J4" s="13" t="str">
        <x:v>Base Monthly Cost $000s</x:v>
      </x:c>
    </x:row>
    <x:row r="5">
      <x:c r="A5" s="32" t="n">
        <x:v>45658</x:v>
      </x:c>
      <x:c r="B5" t="str">
        <x:v>Jan 2025</x:v>
      </x:c>
      <x:c r="C5" t="str">
        <x:v>Actual</x:v>
      </x:c>
      <x:c r="D5" t="str">
        <x:v>Sales team payroll</x:v>
      </x:c>
      <x:c r="E5" t="str">
        <x:v>Sales</x:v>
      </x:c>
      <x:c r="F5" t="str">
        <x:v>Payroll</x:v>
      </x:c>
      <x:c r="G5" s="38" t="n">
        <x:v>55.15520000000001</x:v>
      </x:c>
      <x:c r="H5" t="str">
        <x:v>Fixed</x:v>
      </x:c>
      <x:c r="I5" t="str">
        <x:v>Cash</x:v>
      </x:c>
      <x:c r="J5" s="41" t="n">
        <x:v>48</x:v>
      </x:c>
    </x:row>
    <x:row r="6">
      <x:c r="A6" s="32" t="n">
        <x:v>45658</x:v>
      </x:c>
      <x:c r="B6" t="str">
        <x:v>Jan 2025</x:v>
      </x:c>
      <x:c r="C6" t="str">
        <x:v>Actual</x:v>
      </x:c>
      <x:c r="D6" t="str">
        <x:v>Retail broker commissions</x:v>
      </x:c>
      <x:c r="E6" t="str">
        <x:v>Sales</x:v>
      </x:c>
      <x:c r="F6" t="str">
        <x:v>Commissions</x:v>
      </x:c>
      <x:c r="G6" s="38" t="n">
        <x:v>8.34</x:v>
      </x:c>
      <x:c r="H6" t="str">
        <x:v>Variable</x:v>
      </x:c>
      <x:c r="I6" t="str">
        <x:v>Cash</x:v>
      </x:c>
      <x:c r="J6" s="41" t="n">
        <x:v>9</x:v>
      </x:c>
    </x:row>
    <x:row r="7">
      <x:c r="A7" s="32" t="n">
        <x:v>45658</x:v>
      </x:c>
      <x:c r="B7" t="str">
        <x:v>Jan 2025</x:v>
      </x:c>
      <x:c r="C7" t="str">
        <x:v>Actual</x:v>
      </x:c>
      <x:c r="D7" t="str">
        <x:v>Brand agency retainer</x:v>
      </x:c>
      <x:c r="E7" t="str">
        <x:v>Marketing</x:v>
      </x:c>
      <x:c r="F7" t="str">
        <x:v>Services</x:v>
      </x:c>
      <x:c r="G7" s="38" t="n">
        <x:v>20.38666666666667</x:v>
      </x:c>
      <x:c r="H7" t="str">
        <x:v>Fixed</x:v>
      </x:c>
      <x:c r="I7" t="str">
        <x:v>Cash</x:v>
      </x:c>
      <x:c r="J7" s="41" t="n">
        <x:v>22</x:v>
      </x:c>
    </x:row>
    <x:row r="8">
      <x:c r="A8" s="32" t="n">
        <x:v>45658</x:v>
      </x:c>
      <x:c r="B8" t="str">
        <x:v>Jan 2025</x:v>
      </x:c>
      <x:c r="C8" t="str">
        <x:v>Actual</x:v>
      </x:c>
      <x:c r="D8" t="str">
        <x:v>Creative production</x:v>
      </x:c>
      <x:c r="E8" t="str">
        <x:v>Marketing</x:v>
      </x:c>
      <x:c r="F8" t="str">
        <x:v>Services</x:v>
      </x:c>
      <x:c r="G8" s="38" t="n">
        <x:v>16.68</x:v>
      </x:c>
      <x:c r="H8" t="str">
        <x:v>Variable</x:v>
      </x:c>
      <x:c r="I8" t="str">
        <x:v>Cash</x:v>
      </x:c>
      <x:c r="J8" s="41" t="n">
        <x:v>18</x:v>
      </x:c>
    </x:row>
    <x:row r="9">
      <x:c r="A9" s="32" t="n">
        <x:v>45658</x:v>
      </x:c>
      <x:c r="B9" t="str">
        <x:v>Jan 2025</x:v>
      </x:c>
      <x:c r="C9" t="str">
        <x:v>Actual</x:v>
      </x:c>
      <x:c r="D9" t="str">
        <x:v>Ops team payroll</x:v>
      </x:c>
      <x:c r="E9" t="str">
        <x:v>Operations</x:v>
      </x:c>
      <x:c r="F9" t="str">
        <x:v>Payroll</x:v>
      </x:c>
      <x:c r="G9" s="38" t="n">
        <x:v>71.24213333333334</x:v>
      </x:c>
      <x:c r="H9" t="str">
        <x:v>Fixed</x:v>
      </x:c>
      <x:c r="I9" t="str">
        <x:v>Cash</x:v>
      </x:c>
      <x:c r="J9" s="41" t="n">
        <x:v>62</x:v>
      </x:c>
    </x:row>
    <x:row r="10">
      <x:c r="A10" s="32" t="n">
        <x:v>45658</x:v>
      </x:c>
      <x:c r="B10" t="str">
        <x:v>Jan 2025</x:v>
      </x:c>
      <x:c r="C10" t="str">
        <x:v>Actual</x:v>
      </x:c>
      <x:c r="D10" t="str">
        <x:v>Warehouse rent</x:v>
      </x:c>
      <x:c r="E10" t="str">
        <x:v>Operations</x:v>
      </x:c>
      <x:c r="F10" t="str">
        <x:v>Facilities</x:v>
      </x:c>
      <x:c r="G10" s="38" t="n">
        <x:v>25.94666666666667</x:v>
      </x:c>
      <x:c r="H10" t="str">
        <x:v>Fixed</x:v>
      </x:c>
      <x:c r="I10" t="str">
        <x:v>Cash</x:v>
      </x:c>
      <x:c r="J10" s="41" t="n">
        <x:v>28</x:v>
      </x:c>
    </x:row>
    <x:row r="11">
      <x:c r="A11" s="32" t="n">
        <x:v>45658</x:v>
      </x:c>
      <x:c r="B11" t="str">
        <x:v>Jan 2025</x:v>
      </x:c>
      <x:c r="C11" t="str">
        <x:v>Actual</x:v>
      </x:c>
      <x:c r="D11" t="str">
        <x:v>Inventory systems</x:v>
      </x:c>
      <x:c r="E11" t="str">
        <x:v>Operations</x:v>
      </x:c>
      <x:c r="F11" t="str">
        <x:v>Software</x:v>
      </x:c>
      <x:c r="G11" s="38" t="n">
        <x:v>6.486666666666667</x:v>
      </x:c>
      <x:c r="H11" t="str">
        <x:v>Fixed</x:v>
      </x:c>
      <x:c r="I11" t="str">
        <x:v>Cash</x:v>
      </x:c>
      <x:c r="J11" s="41" t="n">
        <x:v>7</x:v>
      </x:c>
    </x:row>
    <x:row r="12">
      <x:c r="A12" s="32" t="n">
        <x:v>45658</x:v>
      </x:c>
      <x:c r="B12" t="str">
        <x:v>Jan 2025</x:v>
      </x:c>
      <x:c r="C12" t="str">
        <x:v>Actual</x:v>
      </x:c>
      <x:c r="D12" t="str">
        <x:v>Product team payroll</x:v>
      </x:c>
      <x:c r="E12" t="str">
        <x:v>Product</x:v>
      </x:c>
      <x:c r="F12" t="str">
        <x:v>Payroll</x:v>
      </x:c>
      <x:c r="G12" s="38" t="n">
        <x:v>41.3664</x:v>
      </x:c>
      <x:c r="H12" t="str">
        <x:v>Fixed</x:v>
      </x:c>
      <x:c r="I12" t="str">
        <x:v>Cash</x:v>
      </x:c>
      <x:c r="J12" s="41" t="n">
        <x:v>36</x:v>
      </x:c>
    </x:row>
    <x:row r="13">
      <x:c r="A13" s="32" t="n">
        <x:v>45658</x:v>
      </x:c>
      <x:c r="B13" t="str">
        <x:v>Jan 2025</x:v>
      </x:c>
      <x:c r="C13" t="str">
        <x:v>Actual</x:v>
      </x:c>
      <x:c r="D13" t="str">
        <x:v>QA and inspections</x:v>
      </x:c>
      <x:c r="E13" t="str">
        <x:v>Product</x:v>
      </x:c>
      <x:c r="F13" t="str">
        <x:v>Services</x:v>
      </x:c>
      <x:c r="G13" s="38" t="n">
        <x:v>5.5600000000000005</x:v>
      </x:c>
      <x:c r="H13" t="str">
        <x:v>Variable</x:v>
      </x:c>
      <x:c r="I13" t="str">
        <x:v>Cash</x:v>
      </x:c>
      <x:c r="J13" s="41" t="n">
        <x:v>6</x:v>
      </x:c>
    </x:row>
    <x:row r="14">
      <x:c r="A14" s="32" t="n">
        <x:v>45658</x:v>
      </x:c>
      <x:c r="B14" t="str">
        <x:v>Jan 2025</x:v>
      </x:c>
      <x:c r="C14" t="str">
        <x:v>Actual</x:v>
      </x:c>
      <x:c r="D14" t="str">
        <x:v>Executive payroll</x:v>
      </x:c>
      <x:c r="E14" t="str">
        <x:v>G&amp;A</x:v>
      </x:c>
      <x:c r="F14" t="str">
        <x:v>Payroll</x:v>
      </x:c>
      <x:c r="G14" s="38" t="n">
        <x:v>66.64586666666666</x:v>
      </x:c>
      <x:c r="H14" t="str">
        <x:v>Fixed</x:v>
      </x:c>
      <x:c r="I14" t="str">
        <x:v>Cash</x:v>
      </x:c>
      <x:c r="J14" s="41" t="n">
        <x:v>58</x:v>
      </x:c>
    </x:row>
    <x:row r="15">
      <x:c r="A15" s="32" t="n">
        <x:v>45658</x:v>
      </x:c>
      <x:c r="B15" t="str">
        <x:v>Jan 2025</x:v>
      </x:c>
      <x:c r="C15" t="str">
        <x:v>Actual</x:v>
      </x:c>
      <x:c r="D15" t="str">
        <x:v>Finance and accounting</x:v>
      </x:c>
      <x:c r="E15" t="str">
        <x:v>G&amp;A</x:v>
      </x:c>
      <x:c r="F15" t="str">
        <x:v>Professional fees</x:v>
      </x:c>
      <x:c r="G15" s="38" t="n">
        <x:v>12.973333333333334</x:v>
      </x:c>
      <x:c r="H15" t="str">
        <x:v>Fixed</x:v>
      </x:c>
      <x:c r="I15" t="str">
        <x:v>Cash</x:v>
      </x:c>
      <x:c r="J15" s="41" t="n">
        <x:v>14</x:v>
      </x:c>
    </x:row>
    <x:row r="16">
      <x:c r="A16" s="32" t="n">
        <x:v>45658</x:v>
      </x:c>
      <x:c r="B16" t="str">
        <x:v>Jan 2025</x:v>
      </x:c>
      <x:c r="C16" t="str">
        <x:v>Actual</x:v>
      </x:c>
      <x:c r="D16" t="str">
        <x:v>Legal</x:v>
      </x:c>
      <x:c r="E16" t="str">
        <x:v>G&amp;A</x:v>
      </x:c>
      <x:c r="F16" t="str">
        <x:v>Professional fees</x:v>
      </x:c>
      <x:c r="G16" s="38" t="n">
        <x:v>7.413333333333334</x:v>
      </x:c>
      <x:c r="H16" t="str">
        <x:v>Fixed</x:v>
      </x:c>
      <x:c r="I16" t="str">
        <x:v>Cash</x:v>
      </x:c>
      <x:c r="J16" s="41" t="n">
        <x:v>8</x:v>
      </x:c>
    </x:row>
    <x:row r="17">
      <x:c r="A17" s="32" t="n">
        <x:v>45658</x:v>
      </x:c>
      <x:c r="B17" t="str">
        <x:v>Jan 2025</x:v>
      </x:c>
      <x:c r="C17" t="str">
        <x:v>Actual</x:v>
      </x:c>
      <x:c r="D17" t="str">
        <x:v>Insurance</x:v>
      </x:c>
      <x:c r="E17" t="str">
        <x:v>G&amp;A</x:v>
      </x:c>
      <x:c r="F17" t="str">
        <x:v>Insurance</x:v>
      </x:c>
      <x:c r="G17" s="38" t="n">
        <x:v>5.5600000000000005</x:v>
      </x:c>
      <x:c r="H17" t="str">
        <x:v>Fixed</x:v>
      </x:c>
      <x:c r="I17" t="str">
        <x:v>Cash</x:v>
      </x:c>
      <x:c r="J17" s="41" t="n">
        <x:v>6</x:v>
      </x:c>
    </x:row>
    <x:row r="18">
      <x:c r="A18" s="32" t="n">
        <x:v>45658</x:v>
      </x:c>
      <x:c r="B18" t="str">
        <x:v>Jan 2025</x:v>
      </x:c>
      <x:c r="C18" t="str">
        <x:v>Actual</x:v>
      </x:c>
      <x:c r="D18" t="str">
        <x:v>Software and admin tools</x:v>
      </x:c>
      <x:c r="E18" t="str">
        <x:v>G&amp;A</x:v>
      </x:c>
      <x:c r="F18" t="str">
        <x:v>Software</x:v>
      </x:c>
      <x:c r="G18" s="38" t="n">
        <x:v>11.120000000000001</x:v>
      </x:c>
      <x:c r="H18" t="str">
        <x:v>Fixed</x:v>
      </x:c>
      <x:c r="I18" t="str">
        <x:v>Cash</x:v>
      </x:c>
      <x:c r="J18" s="41" t="n">
        <x:v>12</x:v>
      </x:c>
    </x:row>
    <x:row r="19">
      <x:c r="A19" s="32" t="n">
        <x:v>45658</x:v>
      </x:c>
      <x:c r="B19" t="str">
        <x:v>Jan 2025</x:v>
      </x:c>
      <x:c r="C19" t="str">
        <x:v>Actual</x:v>
      </x:c>
      <x:c r="D19" t="str">
        <x:v>Support payroll</x:v>
      </x:c>
      <x:c r="E19" t="str">
        <x:v>Customer Support</x:v>
      </x:c>
      <x:c r="F19" t="str">
        <x:v>Payroll</x:v>
      </x:c>
      <x:c r="G19" s="38" t="n">
        <x:v>27.577600000000004</x:v>
      </x:c>
      <x:c r="H19" t="str">
        <x:v>Fixed</x:v>
      </x:c>
      <x:c r="I19" t="str">
        <x:v>Cash</x:v>
      </x:c>
      <x:c r="J19" s="41" t="n">
        <x:v>24</x:v>
      </x:c>
    </x:row>
    <x:row r="20">
      <x:c r="A20" s="32" t="n">
        <x:v>45658</x:v>
      </x:c>
      <x:c r="B20" t="str">
        <x:v>Jan 2025</x:v>
      </x:c>
      <x:c r="C20" t="str">
        <x:v>Actual</x:v>
      </x:c>
      <x:c r="D20" t="str">
        <x:v>Support variable tools</x:v>
      </x:c>
      <x:c r="E20" t="str">
        <x:v>Customer Support</x:v>
      </x:c>
      <x:c r="F20" t="str">
        <x:v>Support</x:v>
      </x:c>
      <x:c r="G20" s="38" t="n">
        <x:v>4.633333333333334</x:v>
      </x:c>
      <x:c r="H20" t="str">
        <x:v>Variable</x:v>
      </x:c>
      <x:c r="I20" t="str">
        <x:v>Cash</x:v>
      </x:c>
      <x:c r="J20" s="41" t="n">
        <x:v>5</x:v>
      </x:c>
    </x:row>
    <x:row r="21">
      <x:c r="A21" s="32" t="n">
        <x:v>45689</x:v>
      </x:c>
      <x:c r="B21" t="str">
        <x:v>Feb 2025</x:v>
      </x:c>
      <x:c r="C21" t="str">
        <x:v>Actual</x:v>
      </x:c>
      <x:c r="D21" t="str">
        <x:v>Sales team payroll</x:v>
      </x:c>
      <x:c r="E21" t="str">
        <x:v>Sales</x:v>
      </x:c>
      <x:c r="F21" t="str">
        <x:v>Payroll</x:v>
      </x:c>
      <x:c r="G21" s="38" t="n">
        <x:v>55.552</x:v>
      </x:c>
      <x:c r="H21" t="str">
        <x:v>Fixed</x:v>
      </x:c>
      <x:c r="I21" t="str">
        <x:v>Cash</x:v>
      </x:c>
      <x:c r="J21" s="41" t="n">
        <x:v>48</x:v>
      </x:c>
    </x:row>
    <x:row r="22">
      <x:c r="A22" s="32" t="n">
        <x:v>45689</x:v>
      </x:c>
      <x:c r="B22" t="str">
        <x:v>Feb 2025</x:v>
      </x:c>
      <x:c r="C22" t="str">
        <x:v>Actual</x:v>
      </x:c>
      <x:c r="D22" t="str">
        <x:v>Retail broker commissions</x:v>
      </x:c>
      <x:c r="E22" t="str">
        <x:v>Sales</x:v>
      </x:c>
      <x:c r="F22" t="str">
        <x:v>Commissions</x:v>
      </x:c>
      <x:c r="G22" s="38" t="n">
        <x:v>8.4</x:v>
      </x:c>
      <x:c r="H22" t="str">
        <x:v>Variable</x:v>
      </x:c>
      <x:c r="I22" t="str">
        <x:v>Cash</x:v>
      </x:c>
      <x:c r="J22" s="41" t="n">
        <x:v>9</x:v>
      </x:c>
    </x:row>
    <x:row r="23">
      <x:c r="A23" s="32" t="n">
        <x:v>45689</x:v>
      </x:c>
      <x:c r="B23" t="str">
        <x:v>Feb 2025</x:v>
      </x:c>
      <x:c r="C23" t="str">
        <x:v>Actual</x:v>
      </x:c>
      <x:c r="D23" t="str">
        <x:v>Brand agency retainer</x:v>
      </x:c>
      <x:c r="E23" t="str">
        <x:v>Marketing</x:v>
      </x:c>
      <x:c r="F23" t="str">
        <x:v>Services</x:v>
      </x:c>
      <x:c r="G23" s="38" t="n">
        <x:v>20.533333333333335</x:v>
      </x:c>
      <x:c r="H23" t="str">
        <x:v>Fixed</x:v>
      </x:c>
      <x:c r="I23" t="str">
        <x:v>Cash</x:v>
      </x:c>
      <x:c r="J23" s="41" t="n">
        <x:v>22</x:v>
      </x:c>
    </x:row>
    <x:row r="24">
      <x:c r="A24" s="32" t="n">
        <x:v>45689</x:v>
      </x:c>
      <x:c r="B24" t="str">
        <x:v>Feb 2025</x:v>
      </x:c>
      <x:c r="C24" t="str">
        <x:v>Actual</x:v>
      </x:c>
      <x:c r="D24" t="str">
        <x:v>Creative production</x:v>
      </x:c>
      <x:c r="E24" t="str">
        <x:v>Marketing</x:v>
      </x:c>
      <x:c r="F24" t="str">
        <x:v>Services</x:v>
      </x:c>
      <x:c r="G24" s="38" t="n">
        <x:v>16.8</x:v>
      </x:c>
      <x:c r="H24" t="str">
        <x:v>Variable</x:v>
      </x:c>
      <x:c r="I24" t="str">
        <x:v>Cash</x:v>
      </x:c>
      <x:c r="J24" s="41" t="n">
        <x:v>18</x:v>
      </x:c>
    </x:row>
    <x:row r="25">
      <x:c r="A25" s="32" t="n">
        <x:v>45689</x:v>
      </x:c>
      <x:c r="B25" t="str">
        <x:v>Feb 2025</x:v>
      </x:c>
      <x:c r="C25" t="str">
        <x:v>Actual</x:v>
      </x:c>
      <x:c r="D25" t="str">
        <x:v>Ops team payroll</x:v>
      </x:c>
      <x:c r="E25" t="str">
        <x:v>Operations</x:v>
      </x:c>
      <x:c r="F25" t="str">
        <x:v>Payroll</x:v>
      </x:c>
      <x:c r="G25" s="38" t="n">
        <x:v>71.75466666666667</x:v>
      </x:c>
      <x:c r="H25" t="str">
        <x:v>Fixed</x:v>
      </x:c>
      <x:c r="I25" t="str">
        <x:v>Cash</x:v>
      </x:c>
      <x:c r="J25" s="41" t="n">
        <x:v>62</x:v>
      </x:c>
    </x:row>
    <x:row r="26">
      <x:c r="A26" s="32" t="n">
        <x:v>45689</x:v>
      </x:c>
      <x:c r="B26" t="str">
        <x:v>Feb 2025</x:v>
      </x:c>
      <x:c r="C26" t="str">
        <x:v>Actual</x:v>
      </x:c>
      <x:c r="D26" t="str">
        <x:v>Warehouse rent</x:v>
      </x:c>
      <x:c r="E26" t="str">
        <x:v>Operations</x:v>
      </x:c>
      <x:c r="F26" t="str">
        <x:v>Facilities</x:v>
      </x:c>
      <x:c r="G26" s="38" t="n">
        <x:v>26.133333333333333</x:v>
      </x:c>
      <x:c r="H26" t="str">
        <x:v>Fixed</x:v>
      </x:c>
      <x:c r="I26" t="str">
        <x:v>Cash</x:v>
      </x:c>
      <x:c r="J26" s="41" t="n">
        <x:v>28</x:v>
      </x:c>
    </x:row>
    <x:row r="27">
      <x:c r="A27" s="32" t="n">
        <x:v>45689</x:v>
      </x:c>
      <x:c r="B27" t="str">
        <x:v>Feb 2025</x:v>
      </x:c>
      <x:c r="C27" t="str">
        <x:v>Actual</x:v>
      </x:c>
      <x:c r="D27" t="str">
        <x:v>Inventory systems</x:v>
      </x:c>
      <x:c r="E27" t="str">
        <x:v>Operations</x:v>
      </x:c>
      <x:c r="F27" t="str">
        <x:v>Software</x:v>
      </x:c>
      <x:c r="G27" s="38" t="n">
        <x:v>6.533333333333333</x:v>
      </x:c>
      <x:c r="H27" t="str">
        <x:v>Fixed</x:v>
      </x:c>
      <x:c r="I27" t="str">
        <x:v>Cash</x:v>
      </x:c>
      <x:c r="J27" s="41" t="n">
        <x:v>7</x:v>
      </x:c>
    </x:row>
    <x:row r="28">
      <x:c r="A28" s="32" t="n">
        <x:v>45689</x:v>
      </x:c>
      <x:c r="B28" t="str">
        <x:v>Feb 2025</x:v>
      </x:c>
      <x:c r="C28" t="str">
        <x:v>Actual</x:v>
      </x:c>
      <x:c r="D28" t="str">
        <x:v>Product team payroll</x:v>
      </x:c>
      <x:c r="E28" t="str">
        <x:v>Product</x:v>
      </x:c>
      <x:c r="F28" t="str">
        <x:v>Payroll</x:v>
      </x:c>
      <x:c r="G28" s="38" t="n">
        <x:v>41.664</x:v>
      </x:c>
      <x:c r="H28" t="str">
        <x:v>Fixed</x:v>
      </x:c>
      <x:c r="I28" t="str">
        <x:v>Cash</x:v>
      </x:c>
      <x:c r="J28" s="41" t="n">
        <x:v>36</x:v>
      </x:c>
    </x:row>
    <x:row r="29">
      <x:c r="A29" s="32" t="n">
        <x:v>45689</x:v>
      </x:c>
      <x:c r="B29" t="str">
        <x:v>Feb 2025</x:v>
      </x:c>
      <x:c r="C29" t="str">
        <x:v>Actual</x:v>
      </x:c>
      <x:c r="D29" t="str">
        <x:v>QA and inspections</x:v>
      </x:c>
      <x:c r="E29" t="str">
        <x:v>Product</x:v>
      </x:c>
      <x:c r="F29" t="str">
        <x:v>Services</x:v>
      </x:c>
      <x:c r="G29" s="38" t="n">
        <x:v>5.6</x:v>
      </x:c>
      <x:c r="H29" t="str">
        <x:v>Variable</x:v>
      </x:c>
      <x:c r="I29" t="str">
        <x:v>Cash</x:v>
      </x:c>
      <x:c r="J29" s="41" t="n">
        <x:v>6</x:v>
      </x:c>
    </x:row>
    <x:row r="30">
      <x:c r="A30" s="32" t="n">
        <x:v>45689</x:v>
      </x:c>
      <x:c r="B30" t="str">
        <x:v>Feb 2025</x:v>
      </x:c>
      <x:c r="C30" t="str">
        <x:v>Actual</x:v>
      </x:c>
      <x:c r="D30" t="str">
        <x:v>Executive payroll</x:v>
      </x:c>
      <x:c r="E30" t="str">
        <x:v>G&amp;A</x:v>
      </x:c>
      <x:c r="F30" t="str">
        <x:v>Payroll</x:v>
      </x:c>
      <x:c r="G30" s="38" t="n">
        <x:v>67.12533333333333</x:v>
      </x:c>
      <x:c r="H30" t="str">
        <x:v>Fixed</x:v>
      </x:c>
      <x:c r="I30" t="str">
        <x:v>Cash</x:v>
      </x:c>
      <x:c r="J30" s="41" t="n">
        <x:v>58</x:v>
      </x:c>
    </x:row>
    <x:row r="31">
      <x:c r="A31" s="32" t="n">
        <x:v>45689</x:v>
      </x:c>
      <x:c r="B31" t="str">
        <x:v>Feb 2025</x:v>
      </x:c>
      <x:c r="C31" t="str">
        <x:v>Actual</x:v>
      </x:c>
      <x:c r="D31" t="str">
        <x:v>Finance and accounting</x:v>
      </x:c>
      <x:c r="E31" t="str">
        <x:v>G&amp;A</x:v>
      </x:c>
      <x:c r="F31" t="str">
        <x:v>Professional fees</x:v>
      </x:c>
      <x:c r="G31" s="38" t="n">
        <x:v>13.066666666666666</x:v>
      </x:c>
      <x:c r="H31" t="str">
        <x:v>Fixed</x:v>
      </x:c>
      <x:c r="I31" t="str">
        <x:v>Cash</x:v>
      </x:c>
      <x:c r="J31" s="41" t="n">
        <x:v>14</x:v>
      </x:c>
    </x:row>
    <x:row r="32">
      <x:c r="A32" s="32" t="n">
        <x:v>45689</x:v>
      </x:c>
      <x:c r="B32" t="str">
        <x:v>Feb 2025</x:v>
      </x:c>
      <x:c r="C32" t="str">
        <x:v>Actual</x:v>
      </x:c>
      <x:c r="D32" t="str">
        <x:v>Legal</x:v>
      </x:c>
      <x:c r="E32" t="str">
        <x:v>G&amp;A</x:v>
      </x:c>
      <x:c r="F32" t="str">
        <x:v>Professional fees</x:v>
      </x:c>
      <x:c r="G32" s="38" t="n">
        <x:v>7.466666666666667</x:v>
      </x:c>
      <x:c r="H32" t="str">
        <x:v>Fixed</x:v>
      </x:c>
      <x:c r="I32" t="str">
        <x:v>Cash</x:v>
      </x:c>
      <x:c r="J32" s="41" t="n">
        <x:v>8</x:v>
      </x:c>
    </x:row>
    <x:row r="33">
      <x:c r="A33" s="32" t="n">
        <x:v>45689</x:v>
      </x:c>
      <x:c r="B33" t="str">
        <x:v>Feb 2025</x:v>
      </x:c>
      <x:c r="C33" t="str">
        <x:v>Actual</x:v>
      </x:c>
      <x:c r="D33" t="str">
        <x:v>Insurance</x:v>
      </x:c>
      <x:c r="E33" t="str">
        <x:v>G&amp;A</x:v>
      </x:c>
      <x:c r="F33" t="str">
        <x:v>Insurance</x:v>
      </x:c>
      <x:c r="G33" s="38" t="n">
        <x:v>5.6</x:v>
      </x:c>
      <x:c r="H33" t="str">
        <x:v>Fixed</x:v>
      </x:c>
      <x:c r="I33" t="str">
        <x:v>Cash</x:v>
      </x:c>
      <x:c r="J33" s="41" t="n">
        <x:v>6</x:v>
      </x:c>
    </x:row>
    <x:row r="34">
      <x:c r="A34" s="32" t="n">
        <x:v>45689</x:v>
      </x:c>
      <x:c r="B34" t="str">
        <x:v>Feb 2025</x:v>
      </x:c>
      <x:c r="C34" t="str">
        <x:v>Actual</x:v>
      </x:c>
      <x:c r="D34" t="str">
        <x:v>Software and admin tools</x:v>
      </x:c>
      <x:c r="E34" t="str">
        <x:v>G&amp;A</x:v>
      </x:c>
      <x:c r="F34" t="str">
        <x:v>Software</x:v>
      </x:c>
      <x:c r="G34" s="38" t="n">
        <x:v>11.2</x:v>
      </x:c>
      <x:c r="H34" t="str">
        <x:v>Fixed</x:v>
      </x:c>
      <x:c r="I34" t="str">
        <x:v>Cash</x:v>
      </x:c>
      <x:c r="J34" s="41" t="n">
        <x:v>12</x:v>
      </x:c>
    </x:row>
    <x:row r="35">
      <x:c r="A35" s="32" t="n">
        <x:v>45689</x:v>
      </x:c>
      <x:c r="B35" t="str">
        <x:v>Feb 2025</x:v>
      </x:c>
      <x:c r="C35" t="str">
        <x:v>Actual</x:v>
      </x:c>
      <x:c r="D35" t="str">
        <x:v>Support payroll</x:v>
      </x:c>
      <x:c r="E35" t="str">
        <x:v>Customer Support</x:v>
      </x:c>
      <x:c r="F35" t="str">
        <x:v>Payroll</x:v>
      </x:c>
      <x:c r="G35" s="38" t="n">
        <x:v>27.776</x:v>
      </x:c>
      <x:c r="H35" t="str">
        <x:v>Fixed</x:v>
      </x:c>
      <x:c r="I35" t="str">
        <x:v>Cash</x:v>
      </x:c>
      <x:c r="J35" s="41" t="n">
        <x:v>24</x:v>
      </x:c>
    </x:row>
    <x:row r="36">
      <x:c r="A36" s="32" t="n">
        <x:v>45689</x:v>
      </x:c>
      <x:c r="B36" t="str">
        <x:v>Feb 2025</x:v>
      </x:c>
      <x:c r="C36" t="str">
        <x:v>Actual</x:v>
      </x:c>
      <x:c r="D36" t="str">
        <x:v>Support variable tools</x:v>
      </x:c>
      <x:c r="E36" t="str">
        <x:v>Customer Support</x:v>
      </x:c>
      <x:c r="F36" t="str">
        <x:v>Support</x:v>
      </x:c>
      <x:c r="G36" s="38" t="n">
        <x:v>4.666666666666667</x:v>
      </x:c>
      <x:c r="H36" t="str">
        <x:v>Variable</x:v>
      </x:c>
      <x:c r="I36" t="str">
        <x:v>Cash</x:v>
      </x:c>
      <x:c r="J36" s="41" t="n">
        <x:v>5</x:v>
      </x:c>
    </x:row>
    <x:row r="37">
      <x:c r="A37" s="32" t="n">
        <x:v>45717</x:v>
      </x:c>
      <x:c r="B37" t="str">
        <x:v>Mar 2025</x:v>
      </x:c>
      <x:c r="C37" t="str">
        <x:v>Actual</x:v>
      </x:c>
      <x:c r="D37" t="str">
        <x:v>Sales team payroll</x:v>
      </x:c>
      <x:c r="E37" t="str">
        <x:v>Sales</x:v>
      </x:c>
      <x:c r="F37" t="str">
        <x:v>Payroll</x:v>
      </x:c>
      <x:c r="G37" s="38" t="n">
        <x:v>55.948800000000006</x:v>
      </x:c>
      <x:c r="H37" t="str">
        <x:v>Fixed</x:v>
      </x:c>
      <x:c r="I37" t="str">
        <x:v>Cash</x:v>
      </x:c>
      <x:c r="J37" s="41" t="n">
        <x:v>48</x:v>
      </x:c>
    </x:row>
    <x:row r="38">
      <x:c r="A38" s="32" t="n">
        <x:v>45717</x:v>
      </x:c>
      <x:c r="B38" t="str">
        <x:v>Mar 2025</x:v>
      </x:c>
      <x:c r="C38" t="str">
        <x:v>Actual</x:v>
      </x:c>
      <x:c r="D38" t="str">
        <x:v>Retail broker commissions</x:v>
      </x:c>
      <x:c r="E38" t="str">
        <x:v>Sales</x:v>
      </x:c>
      <x:c r="F38" t="str">
        <x:v>Commissions</x:v>
      </x:c>
      <x:c r="G38" s="38" t="n">
        <x:v>8.46</x:v>
      </x:c>
      <x:c r="H38" t="str">
        <x:v>Variable</x:v>
      </x:c>
      <x:c r="I38" t="str">
        <x:v>Cash</x:v>
      </x:c>
      <x:c r="J38" s="41" t="n">
        <x:v>9</x:v>
      </x:c>
    </x:row>
    <x:row r="39">
      <x:c r="A39" s="32" t="n">
        <x:v>45717</x:v>
      </x:c>
      <x:c r="B39" t="str">
        <x:v>Mar 2025</x:v>
      </x:c>
      <x:c r="C39" t="str">
        <x:v>Actual</x:v>
      </x:c>
      <x:c r="D39" t="str">
        <x:v>Brand agency retainer</x:v>
      </x:c>
      <x:c r="E39" t="str">
        <x:v>Marketing</x:v>
      </x:c>
      <x:c r="F39" t="str">
        <x:v>Services</x:v>
      </x:c>
      <x:c r="G39" s="38" t="n">
        <x:v>20.68</x:v>
      </x:c>
      <x:c r="H39" t="str">
        <x:v>Fixed</x:v>
      </x:c>
      <x:c r="I39" t="str">
        <x:v>Cash</x:v>
      </x:c>
      <x:c r="J39" s="41" t="n">
        <x:v>22</x:v>
      </x:c>
    </x:row>
    <x:row r="40">
      <x:c r="A40" s="32" t="n">
        <x:v>45717</x:v>
      </x:c>
      <x:c r="B40" t="str">
        <x:v>Mar 2025</x:v>
      </x:c>
      <x:c r="C40" t="str">
        <x:v>Actual</x:v>
      </x:c>
      <x:c r="D40" t="str">
        <x:v>Creative production</x:v>
      </x:c>
      <x:c r="E40" t="str">
        <x:v>Marketing</x:v>
      </x:c>
      <x:c r="F40" t="str">
        <x:v>Services</x:v>
      </x:c>
      <x:c r="G40" s="38" t="n">
        <x:v>16.92</x:v>
      </x:c>
      <x:c r="H40" t="str">
        <x:v>Variable</x:v>
      </x:c>
      <x:c r="I40" t="str">
        <x:v>Cash</x:v>
      </x:c>
      <x:c r="J40" s="41" t="n">
        <x:v>18</x:v>
      </x:c>
    </x:row>
    <x:row r="41">
      <x:c r="A41" s="32" t="n">
        <x:v>45717</x:v>
      </x:c>
      <x:c r="B41" t="str">
        <x:v>Mar 2025</x:v>
      </x:c>
      <x:c r="C41" t="str">
        <x:v>Actual</x:v>
      </x:c>
      <x:c r="D41" t="str">
        <x:v>Ops team payroll</x:v>
      </x:c>
      <x:c r="E41" t="str">
        <x:v>Operations</x:v>
      </x:c>
      <x:c r="F41" t="str">
        <x:v>Payroll</x:v>
      </x:c>
      <x:c r="G41" s="38" t="n">
        <x:v>72.2672</x:v>
      </x:c>
      <x:c r="H41" t="str">
        <x:v>Fixed</x:v>
      </x:c>
      <x:c r="I41" t="str">
        <x:v>Cash</x:v>
      </x:c>
      <x:c r="J41" s="41" t="n">
        <x:v>62</x:v>
      </x:c>
    </x:row>
    <x:row r="42">
      <x:c r="A42" s="32" t="n">
        <x:v>45717</x:v>
      </x:c>
      <x:c r="B42" t="str">
        <x:v>Mar 2025</x:v>
      </x:c>
      <x:c r="C42" t="str">
        <x:v>Actual</x:v>
      </x:c>
      <x:c r="D42" t="str">
        <x:v>Warehouse rent</x:v>
      </x:c>
      <x:c r="E42" t="str">
        <x:v>Operations</x:v>
      </x:c>
      <x:c r="F42" t="str">
        <x:v>Facilities</x:v>
      </x:c>
      <x:c r="G42" s="38" t="n">
        <x:v>26.32</x:v>
      </x:c>
      <x:c r="H42" t="str">
        <x:v>Fixed</x:v>
      </x:c>
      <x:c r="I42" t="str">
        <x:v>Cash</x:v>
      </x:c>
      <x:c r="J42" s="41" t="n">
        <x:v>28</x:v>
      </x:c>
    </x:row>
    <x:row r="43">
      <x:c r="A43" s="32" t="n">
        <x:v>45717</x:v>
      </x:c>
      <x:c r="B43" t="str">
        <x:v>Mar 2025</x:v>
      </x:c>
      <x:c r="C43" t="str">
        <x:v>Actual</x:v>
      </x:c>
      <x:c r="D43" t="str">
        <x:v>Inventory systems</x:v>
      </x:c>
      <x:c r="E43" t="str">
        <x:v>Operations</x:v>
      </x:c>
      <x:c r="F43" t="str">
        <x:v>Software</x:v>
      </x:c>
      <x:c r="G43" s="38" t="n">
        <x:v>6.58</x:v>
      </x:c>
      <x:c r="H43" t="str">
        <x:v>Fixed</x:v>
      </x:c>
      <x:c r="I43" t="str">
        <x:v>Cash</x:v>
      </x:c>
      <x:c r="J43" s="41" t="n">
        <x:v>7</x:v>
      </x:c>
    </x:row>
    <x:row r="44">
      <x:c r="A44" s="32" t="n">
        <x:v>45717</x:v>
      </x:c>
      <x:c r="B44" t="str">
        <x:v>Mar 2025</x:v>
      </x:c>
      <x:c r="C44" t="str">
        <x:v>Actual</x:v>
      </x:c>
      <x:c r="D44" t="str">
        <x:v>Product team payroll</x:v>
      </x:c>
      <x:c r="E44" t="str">
        <x:v>Product</x:v>
      </x:c>
      <x:c r="F44" t="str">
        <x:v>Payroll</x:v>
      </x:c>
      <x:c r="G44" s="38" t="n">
        <x:v>41.961600000000004</x:v>
      </x:c>
      <x:c r="H44" t="str">
        <x:v>Fixed</x:v>
      </x:c>
      <x:c r="I44" t="str">
        <x:v>Cash</x:v>
      </x:c>
      <x:c r="J44" s="41" t="n">
        <x:v>36</x:v>
      </x:c>
    </x:row>
    <x:row r="45">
      <x:c r="A45" s="32" t="n">
        <x:v>45717</x:v>
      </x:c>
      <x:c r="B45" t="str">
        <x:v>Mar 2025</x:v>
      </x:c>
      <x:c r="C45" t="str">
        <x:v>Actual</x:v>
      </x:c>
      <x:c r="D45" t="str">
        <x:v>QA and inspections</x:v>
      </x:c>
      <x:c r="E45" t="str">
        <x:v>Product</x:v>
      </x:c>
      <x:c r="F45" t="str">
        <x:v>Services</x:v>
      </x:c>
      <x:c r="G45" s="38" t="n">
        <x:v>5.640000000000001</x:v>
      </x:c>
      <x:c r="H45" t="str">
        <x:v>Variable</x:v>
      </x:c>
      <x:c r="I45" t="str">
        <x:v>Cash</x:v>
      </x:c>
      <x:c r="J45" s="41" t="n">
        <x:v>6</x:v>
      </x:c>
    </x:row>
    <x:row r="46">
      <x:c r="A46" s="32" t="n">
        <x:v>45717</x:v>
      </x:c>
      <x:c r="B46" t="str">
        <x:v>Mar 2025</x:v>
      </x:c>
      <x:c r="C46" t="str">
        <x:v>Actual</x:v>
      </x:c>
      <x:c r="D46" t="str">
        <x:v>Executive payroll</x:v>
      </x:c>
      <x:c r="E46" t="str">
        <x:v>G&amp;A</x:v>
      </x:c>
      <x:c r="F46" t="str">
        <x:v>Payroll</x:v>
      </x:c>
      <x:c r="G46" s="38" t="n">
        <x:v>67.6048</x:v>
      </x:c>
      <x:c r="H46" t="str">
        <x:v>Fixed</x:v>
      </x:c>
      <x:c r="I46" t="str">
        <x:v>Cash</x:v>
      </x:c>
      <x:c r="J46" s="41" t="n">
        <x:v>58</x:v>
      </x:c>
    </x:row>
    <x:row r="47">
      <x:c r="A47" s="32" t="n">
        <x:v>45717</x:v>
      </x:c>
      <x:c r="B47" t="str">
        <x:v>Mar 2025</x:v>
      </x:c>
      <x:c r="C47" t="str">
        <x:v>Actual</x:v>
      </x:c>
      <x:c r="D47" t="str">
        <x:v>Finance and accounting</x:v>
      </x:c>
      <x:c r="E47" t="str">
        <x:v>G&amp;A</x:v>
      </x:c>
      <x:c r="F47" t="str">
        <x:v>Professional fees</x:v>
      </x:c>
      <x:c r="G47" s="38" t="n">
        <x:v>13.16</x:v>
      </x:c>
      <x:c r="H47" t="str">
        <x:v>Fixed</x:v>
      </x:c>
      <x:c r="I47" t="str">
        <x:v>Cash</x:v>
      </x:c>
      <x:c r="J47" s="41" t="n">
        <x:v>14</x:v>
      </x:c>
    </x:row>
    <x:row r="48">
      <x:c r="A48" s="32" t="n">
        <x:v>45717</x:v>
      </x:c>
      <x:c r="B48" t="str">
        <x:v>Mar 2025</x:v>
      </x:c>
      <x:c r="C48" t="str">
        <x:v>Actual</x:v>
      </x:c>
      <x:c r="D48" t="str">
        <x:v>Legal</x:v>
      </x:c>
      <x:c r="E48" t="str">
        <x:v>G&amp;A</x:v>
      </x:c>
      <x:c r="F48" t="str">
        <x:v>Professional fees</x:v>
      </x:c>
      <x:c r="G48" s="38" t="n">
        <x:v>7.5200000000000005</x:v>
      </x:c>
      <x:c r="H48" t="str">
        <x:v>Fixed</x:v>
      </x:c>
      <x:c r="I48" t="str">
        <x:v>Cash</x:v>
      </x:c>
      <x:c r="J48" s="41" t="n">
        <x:v>8</x:v>
      </x:c>
    </x:row>
    <x:row r="49">
      <x:c r="A49" s="32" t="n">
        <x:v>45717</x:v>
      </x:c>
      <x:c r="B49" t="str">
        <x:v>Mar 2025</x:v>
      </x:c>
      <x:c r="C49" t="str">
        <x:v>Actual</x:v>
      </x:c>
      <x:c r="D49" t="str">
        <x:v>Insurance</x:v>
      </x:c>
      <x:c r="E49" t="str">
        <x:v>G&amp;A</x:v>
      </x:c>
      <x:c r="F49" t="str">
        <x:v>Insurance</x:v>
      </x:c>
      <x:c r="G49" s="38" t="n">
        <x:v>5.640000000000001</x:v>
      </x:c>
      <x:c r="H49" t="str">
        <x:v>Fixed</x:v>
      </x:c>
      <x:c r="I49" t="str">
        <x:v>Cash</x:v>
      </x:c>
      <x:c r="J49" s="41" t="n">
        <x:v>6</x:v>
      </x:c>
    </x:row>
    <x:row r="50">
      <x:c r="A50" s="32" t="n">
        <x:v>45717</x:v>
      </x:c>
      <x:c r="B50" t="str">
        <x:v>Mar 2025</x:v>
      </x:c>
      <x:c r="C50" t="str">
        <x:v>Actual</x:v>
      </x:c>
      <x:c r="D50" t="str">
        <x:v>Software and admin tools</x:v>
      </x:c>
      <x:c r="E50" t="str">
        <x:v>G&amp;A</x:v>
      </x:c>
      <x:c r="F50" t="str">
        <x:v>Software</x:v>
      </x:c>
      <x:c r="G50" s="38" t="n">
        <x:v>11.280000000000001</x:v>
      </x:c>
      <x:c r="H50" t="str">
        <x:v>Fixed</x:v>
      </x:c>
      <x:c r="I50" t="str">
        <x:v>Cash</x:v>
      </x:c>
      <x:c r="J50" s="41" t="n">
        <x:v>12</x:v>
      </x:c>
    </x:row>
    <x:row r="51">
      <x:c r="A51" s="32" t="n">
        <x:v>45717</x:v>
      </x:c>
      <x:c r="B51" t="str">
        <x:v>Mar 2025</x:v>
      </x:c>
      <x:c r="C51" t="str">
        <x:v>Actual</x:v>
      </x:c>
      <x:c r="D51" t="str">
        <x:v>Support payroll</x:v>
      </x:c>
      <x:c r="E51" t="str">
        <x:v>Customer Support</x:v>
      </x:c>
      <x:c r="F51" t="str">
        <x:v>Payroll</x:v>
      </x:c>
      <x:c r="G51" s="38" t="n">
        <x:v>27.974400000000003</x:v>
      </x:c>
      <x:c r="H51" t="str">
        <x:v>Fixed</x:v>
      </x:c>
      <x:c r="I51" t="str">
        <x:v>Cash</x:v>
      </x:c>
      <x:c r="J51" s="41" t="n">
        <x:v>24</x:v>
      </x:c>
    </x:row>
    <x:row r="52">
      <x:c r="A52" s="32" t="n">
        <x:v>45717</x:v>
      </x:c>
      <x:c r="B52" t="str">
        <x:v>Mar 2025</x:v>
      </x:c>
      <x:c r="C52" t="str">
        <x:v>Actual</x:v>
      </x:c>
      <x:c r="D52" t="str">
        <x:v>Support variable tools</x:v>
      </x:c>
      <x:c r="E52" t="str">
        <x:v>Customer Support</x:v>
      </x:c>
      <x:c r="F52" t="str">
        <x:v>Support</x:v>
      </x:c>
      <x:c r="G52" s="38" t="n">
        <x:v>4.7</x:v>
      </x:c>
      <x:c r="H52" t="str">
        <x:v>Variable</x:v>
      </x:c>
      <x:c r="I52" t="str">
        <x:v>Cash</x:v>
      </x:c>
      <x:c r="J52" s="41" t="n">
        <x:v>5</x:v>
      </x:c>
    </x:row>
    <x:row r="53">
      <x:c r="A53" s="32" t="n">
        <x:v>45748</x:v>
      </x:c>
      <x:c r="B53" t="str">
        <x:v>Apr 2025</x:v>
      </x:c>
      <x:c r="C53" t="str">
        <x:v>Actual</x:v>
      </x:c>
      <x:c r="D53" t="str">
        <x:v>Sales team payroll</x:v>
      </x:c>
      <x:c r="E53" t="str">
        <x:v>Sales</x:v>
      </x:c>
      <x:c r="F53" t="str">
        <x:v>Payroll</x:v>
      </x:c>
      <x:c r="G53" s="38" t="n">
        <x:v>56.3456</x:v>
      </x:c>
      <x:c r="H53" t="str">
        <x:v>Fixed</x:v>
      </x:c>
      <x:c r="I53" t="str">
        <x:v>Cash</x:v>
      </x:c>
      <x:c r="J53" s="41" t="n">
        <x:v>48</x:v>
      </x:c>
    </x:row>
    <x:row r="54">
      <x:c r="A54" s="32" t="n">
        <x:v>45748</x:v>
      </x:c>
      <x:c r="B54" t="str">
        <x:v>Apr 2025</x:v>
      </x:c>
      <x:c r="C54" t="str">
        <x:v>Actual</x:v>
      </x:c>
      <x:c r="D54" t="str">
        <x:v>Retail broker commissions</x:v>
      </x:c>
      <x:c r="E54" t="str">
        <x:v>Sales</x:v>
      </x:c>
      <x:c r="F54" t="str">
        <x:v>Commissions</x:v>
      </x:c>
      <x:c r="G54" s="38" t="n">
        <x:v>8.52</x:v>
      </x:c>
      <x:c r="H54" t="str">
        <x:v>Variable</x:v>
      </x:c>
      <x:c r="I54" t="str">
        <x:v>Cash</x:v>
      </x:c>
      <x:c r="J54" s="41" t="n">
        <x:v>9</x:v>
      </x:c>
    </x:row>
    <x:row r="55">
      <x:c r="A55" s="32" t="n">
        <x:v>45748</x:v>
      </x:c>
      <x:c r="B55" t="str">
        <x:v>Apr 2025</x:v>
      </x:c>
      <x:c r="C55" t="str">
        <x:v>Actual</x:v>
      </x:c>
      <x:c r="D55" t="str">
        <x:v>Brand agency retainer</x:v>
      </x:c>
      <x:c r="E55" t="str">
        <x:v>Marketing</x:v>
      </x:c>
      <x:c r="F55" t="str">
        <x:v>Services</x:v>
      </x:c>
      <x:c r="G55" s="38" t="n">
        <x:v>20.826666666666668</x:v>
      </x:c>
      <x:c r="H55" t="str">
        <x:v>Fixed</x:v>
      </x:c>
      <x:c r="I55" t="str">
        <x:v>Cash</x:v>
      </x:c>
      <x:c r="J55" s="41" t="n">
        <x:v>22</x:v>
      </x:c>
    </x:row>
    <x:row r="56">
      <x:c r="A56" s="32" t="n">
        <x:v>45748</x:v>
      </x:c>
      <x:c r="B56" t="str">
        <x:v>Apr 2025</x:v>
      </x:c>
      <x:c r="C56" t="str">
        <x:v>Actual</x:v>
      </x:c>
      <x:c r="D56" t="str">
        <x:v>Creative production</x:v>
      </x:c>
      <x:c r="E56" t="str">
        <x:v>Marketing</x:v>
      </x:c>
      <x:c r="F56" t="str">
        <x:v>Services</x:v>
      </x:c>
      <x:c r="G56" s="38" t="n">
        <x:v>17.04</x:v>
      </x:c>
      <x:c r="H56" t="str">
        <x:v>Variable</x:v>
      </x:c>
      <x:c r="I56" t="str">
        <x:v>Cash</x:v>
      </x:c>
      <x:c r="J56" s="41" t="n">
        <x:v>18</x:v>
      </x:c>
    </x:row>
    <x:row r="57">
      <x:c r="A57" s="32" t="n">
        <x:v>45748</x:v>
      </x:c>
      <x:c r="B57" t="str">
        <x:v>Apr 2025</x:v>
      </x:c>
      <x:c r="C57" t="str">
        <x:v>Actual</x:v>
      </x:c>
      <x:c r="D57" t="str">
        <x:v>Ops team payroll</x:v>
      </x:c>
      <x:c r="E57" t="str">
        <x:v>Operations</x:v>
      </x:c>
      <x:c r="F57" t="str">
        <x:v>Payroll</x:v>
      </x:c>
      <x:c r="G57" s="38" t="n">
        <x:v>72.77973333333334</x:v>
      </x:c>
      <x:c r="H57" t="str">
        <x:v>Fixed</x:v>
      </x:c>
      <x:c r="I57" t="str">
        <x:v>Cash</x:v>
      </x:c>
      <x:c r="J57" s="41" t="n">
        <x:v>62</x:v>
      </x:c>
    </x:row>
    <x:row r="58">
      <x:c r="A58" s="32" t="n">
        <x:v>45748</x:v>
      </x:c>
      <x:c r="B58" t="str">
        <x:v>Apr 2025</x:v>
      </x:c>
      <x:c r="C58" t="str">
        <x:v>Actual</x:v>
      </x:c>
      <x:c r="D58" t="str">
        <x:v>Warehouse rent</x:v>
      </x:c>
      <x:c r="E58" t="str">
        <x:v>Operations</x:v>
      </x:c>
      <x:c r="F58" t="str">
        <x:v>Facilities</x:v>
      </x:c>
      <x:c r="G58" s="38" t="n">
        <x:v>26.506666666666668</x:v>
      </x:c>
      <x:c r="H58" t="str">
        <x:v>Fixed</x:v>
      </x:c>
      <x:c r="I58" t="str">
        <x:v>Cash</x:v>
      </x:c>
      <x:c r="J58" s="41" t="n">
        <x:v>28</x:v>
      </x:c>
    </x:row>
    <x:row r="59">
      <x:c r="A59" s="32" t="n">
        <x:v>45748</x:v>
      </x:c>
      <x:c r="B59" t="str">
        <x:v>Apr 2025</x:v>
      </x:c>
      <x:c r="C59" t="str">
        <x:v>Actual</x:v>
      </x:c>
      <x:c r="D59" t="str">
        <x:v>Inventory systems</x:v>
      </x:c>
      <x:c r="E59" t="str">
        <x:v>Operations</x:v>
      </x:c>
      <x:c r="F59" t="str">
        <x:v>Software</x:v>
      </x:c>
      <x:c r="G59" s="38" t="n">
        <x:v>6.626666666666667</x:v>
      </x:c>
      <x:c r="H59" t="str">
        <x:v>Fixed</x:v>
      </x:c>
      <x:c r="I59" t="str">
        <x:v>Cash</x:v>
      </x:c>
      <x:c r="J59" s="41" t="n">
        <x:v>7</x:v>
      </x:c>
    </x:row>
    <x:row r="60">
      <x:c r="A60" s="32" t="n">
        <x:v>45748</x:v>
      </x:c>
      <x:c r="B60" t="str">
        <x:v>Apr 2025</x:v>
      </x:c>
      <x:c r="C60" t="str">
        <x:v>Actual</x:v>
      </x:c>
      <x:c r="D60" t="str">
        <x:v>Product team payroll</x:v>
      </x:c>
      <x:c r="E60" t="str">
        <x:v>Product</x:v>
      </x:c>
      <x:c r="F60" t="str">
        <x:v>Payroll</x:v>
      </x:c>
      <x:c r="G60" s="38" t="n">
        <x:v>42.2592</x:v>
      </x:c>
      <x:c r="H60" t="str">
        <x:v>Fixed</x:v>
      </x:c>
      <x:c r="I60" t="str">
        <x:v>Cash</x:v>
      </x:c>
      <x:c r="J60" s="41" t="n">
        <x:v>36</x:v>
      </x:c>
    </x:row>
    <x:row r="61">
      <x:c r="A61" s="32" t="n">
        <x:v>45748</x:v>
      </x:c>
      <x:c r="B61" t="str">
        <x:v>Apr 2025</x:v>
      </x:c>
      <x:c r="C61" t="str">
        <x:v>Actual</x:v>
      </x:c>
      <x:c r="D61" t="str">
        <x:v>QA and inspections</x:v>
      </x:c>
      <x:c r="E61" t="str">
        <x:v>Product</x:v>
      </x:c>
      <x:c r="F61" t="str">
        <x:v>Services</x:v>
      </x:c>
      <x:c r="G61" s="38" t="n">
        <x:v>5.68</x:v>
      </x:c>
      <x:c r="H61" t="str">
        <x:v>Variable</x:v>
      </x:c>
      <x:c r="I61" t="str">
        <x:v>Cash</x:v>
      </x:c>
      <x:c r="J61" s="41" t="n">
        <x:v>6</x:v>
      </x:c>
    </x:row>
    <x:row r="62">
      <x:c r="A62" s="32" t="n">
        <x:v>45748</x:v>
      </x:c>
      <x:c r="B62" t="str">
        <x:v>Apr 2025</x:v>
      </x:c>
      <x:c r="C62" t="str">
        <x:v>Actual</x:v>
      </x:c>
      <x:c r="D62" t="str">
        <x:v>Executive payroll</x:v>
      </x:c>
      <x:c r="E62" t="str">
        <x:v>G&amp;A</x:v>
      </x:c>
      <x:c r="F62" t="str">
        <x:v>Payroll</x:v>
      </x:c>
      <x:c r="G62" s="38" t="n">
        <x:v>68.08426666666666</x:v>
      </x:c>
      <x:c r="H62" t="str">
        <x:v>Fixed</x:v>
      </x:c>
      <x:c r="I62" t="str">
        <x:v>Cash</x:v>
      </x:c>
      <x:c r="J62" s="41" t="n">
        <x:v>58</x:v>
      </x:c>
    </x:row>
    <x:row r="63">
      <x:c r="A63" s="32" t="n">
        <x:v>45748</x:v>
      </x:c>
      <x:c r="B63" t="str">
        <x:v>Apr 2025</x:v>
      </x:c>
      <x:c r="C63" t="str">
        <x:v>Actual</x:v>
      </x:c>
      <x:c r="D63" t="str">
        <x:v>Finance and accounting</x:v>
      </x:c>
      <x:c r="E63" t="str">
        <x:v>G&amp;A</x:v>
      </x:c>
      <x:c r="F63" t="str">
        <x:v>Professional fees</x:v>
      </x:c>
      <x:c r="G63" s="38" t="n">
        <x:v>13.253333333333334</x:v>
      </x:c>
      <x:c r="H63" t="str">
        <x:v>Fixed</x:v>
      </x:c>
      <x:c r="I63" t="str">
        <x:v>Cash</x:v>
      </x:c>
      <x:c r="J63" s="41" t="n">
        <x:v>14</x:v>
      </x:c>
    </x:row>
    <x:row r="64">
      <x:c r="A64" s="32" t="n">
        <x:v>45748</x:v>
      </x:c>
      <x:c r="B64" t="str">
        <x:v>Apr 2025</x:v>
      </x:c>
      <x:c r="C64" t="str">
        <x:v>Actual</x:v>
      </x:c>
      <x:c r="D64" t="str">
        <x:v>Legal</x:v>
      </x:c>
      <x:c r="E64" t="str">
        <x:v>G&amp;A</x:v>
      </x:c>
      <x:c r="F64" t="str">
        <x:v>Professional fees</x:v>
      </x:c>
      <x:c r="G64" s="38" t="n">
        <x:v>7.573333333333333</x:v>
      </x:c>
      <x:c r="H64" t="str">
        <x:v>Fixed</x:v>
      </x:c>
      <x:c r="I64" t="str">
        <x:v>Cash</x:v>
      </x:c>
      <x:c r="J64" s="41" t="n">
        <x:v>8</x:v>
      </x:c>
    </x:row>
    <x:row r="65">
      <x:c r="A65" s="32" t="n">
        <x:v>45748</x:v>
      </x:c>
      <x:c r="B65" t="str">
        <x:v>Apr 2025</x:v>
      </x:c>
      <x:c r="C65" t="str">
        <x:v>Actual</x:v>
      </x:c>
      <x:c r="D65" t="str">
        <x:v>Insurance</x:v>
      </x:c>
      <x:c r="E65" t="str">
        <x:v>G&amp;A</x:v>
      </x:c>
      <x:c r="F65" t="str">
        <x:v>Insurance</x:v>
      </x:c>
      <x:c r="G65" s="38" t="n">
        <x:v>5.68</x:v>
      </x:c>
      <x:c r="H65" t="str">
        <x:v>Fixed</x:v>
      </x:c>
      <x:c r="I65" t="str">
        <x:v>Cash</x:v>
      </x:c>
      <x:c r="J65" s="41" t="n">
        <x:v>6</x:v>
      </x:c>
    </x:row>
    <x:row r="66">
      <x:c r="A66" s="32" t="n">
        <x:v>45748</x:v>
      </x:c>
      <x:c r="B66" t="str">
        <x:v>Apr 2025</x:v>
      </x:c>
      <x:c r="C66" t="str">
        <x:v>Actual</x:v>
      </x:c>
      <x:c r="D66" t="str">
        <x:v>Software and admin tools</x:v>
      </x:c>
      <x:c r="E66" t="str">
        <x:v>G&amp;A</x:v>
      </x:c>
      <x:c r="F66" t="str">
        <x:v>Software</x:v>
      </x:c>
      <x:c r="G66" s="38" t="n">
        <x:v>11.36</x:v>
      </x:c>
      <x:c r="H66" t="str">
        <x:v>Fixed</x:v>
      </x:c>
      <x:c r="I66" t="str">
        <x:v>Cash</x:v>
      </x:c>
      <x:c r="J66" s="41" t="n">
        <x:v>12</x:v>
      </x:c>
    </x:row>
    <x:row r="67">
      <x:c r="A67" s="32" t="n">
        <x:v>45748</x:v>
      </x:c>
      <x:c r="B67" t="str">
        <x:v>Apr 2025</x:v>
      </x:c>
      <x:c r="C67" t="str">
        <x:v>Actual</x:v>
      </x:c>
      <x:c r="D67" t="str">
        <x:v>Support payroll</x:v>
      </x:c>
      <x:c r="E67" t="str">
        <x:v>Customer Support</x:v>
      </x:c>
      <x:c r="F67" t="str">
        <x:v>Payroll</x:v>
      </x:c>
      <x:c r="G67" s="38" t="n">
        <x:v>28.1728</x:v>
      </x:c>
      <x:c r="H67" t="str">
        <x:v>Fixed</x:v>
      </x:c>
      <x:c r="I67" t="str">
        <x:v>Cash</x:v>
      </x:c>
      <x:c r="J67" s="41" t="n">
        <x:v>24</x:v>
      </x:c>
    </x:row>
    <x:row r="68">
      <x:c r="A68" s="32" t="n">
        <x:v>45748</x:v>
      </x:c>
      <x:c r="B68" t="str">
        <x:v>Apr 2025</x:v>
      </x:c>
      <x:c r="C68" t="str">
        <x:v>Actual</x:v>
      </x:c>
      <x:c r="D68" t="str">
        <x:v>Support variable tools</x:v>
      </x:c>
      <x:c r="E68" t="str">
        <x:v>Customer Support</x:v>
      </x:c>
      <x:c r="F68" t="str">
        <x:v>Support</x:v>
      </x:c>
      <x:c r="G68" s="38" t="n">
        <x:v>4.733333333333333</x:v>
      </x:c>
      <x:c r="H68" t="str">
        <x:v>Variable</x:v>
      </x:c>
      <x:c r="I68" t="str">
        <x:v>Cash</x:v>
      </x:c>
      <x:c r="J68" s="41" t="n">
        <x:v>5</x:v>
      </x:c>
    </x:row>
    <x:row r="69">
      <x:c r="A69" s="32" t="n">
        <x:v>45778</x:v>
      </x:c>
      <x:c r="B69" t="str">
        <x:v>May 2025</x:v>
      </x:c>
      <x:c r="C69" t="str">
        <x:v>Actual</x:v>
      </x:c>
      <x:c r="D69" t="str">
        <x:v>Sales team payroll</x:v>
      </x:c>
      <x:c r="E69" t="str">
        <x:v>Sales</x:v>
      </x:c>
      <x:c r="F69" t="str">
        <x:v>Payroll</x:v>
      </x:c>
      <x:c r="G69" s="38" t="n">
        <x:v>56.7424</x:v>
      </x:c>
      <x:c r="H69" t="str">
        <x:v>Fixed</x:v>
      </x:c>
      <x:c r="I69" t="str">
        <x:v>Cash</x:v>
      </x:c>
      <x:c r="J69" s="41" t="n">
        <x:v>48</x:v>
      </x:c>
    </x:row>
    <x:row r="70">
      <x:c r="A70" s="32" t="n">
        <x:v>45778</x:v>
      </x:c>
      <x:c r="B70" t="str">
        <x:v>May 2025</x:v>
      </x:c>
      <x:c r="C70" t="str">
        <x:v>Actual</x:v>
      </x:c>
      <x:c r="D70" t="str">
        <x:v>Retail broker commissions</x:v>
      </x:c>
      <x:c r="E70" t="str">
        <x:v>Sales</x:v>
      </x:c>
      <x:c r="F70" t="str">
        <x:v>Commissions</x:v>
      </x:c>
      <x:c r="G70" s="38" t="n">
        <x:v>8.58</x:v>
      </x:c>
      <x:c r="H70" t="str">
        <x:v>Variable</x:v>
      </x:c>
      <x:c r="I70" t="str">
        <x:v>Cash</x:v>
      </x:c>
      <x:c r="J70" s="41" t="n">
        <x:v>9</x:v>
      </x:c>
    </x:row>
    <x:row r="71">
      <x:c r="A71" s="32" t="n">
        <x:v>45778</x:v>
      </x:c>
      <x:c r="B71" t="str">
        <x:v>May 2025</x:v>
      </x:c>
      <x:c r="C71" t="str">
        <x:v>Actual</x:v>
      </x:c>
      <x:c r="D71" t="str">
        <x:v>Brand agency retainer</x:v>
      </x:c>
      <x:c r="E71" t="str">
        <x:v>Marketing</x:v>
      </x:c>
      <x:c r="F71" t="str">
        <x:v>Services</x:v>
      </x:c>
      <x:c r="G71" s="38" t="n">
        <x:v>20.973333333333333</x:v>
      </x:c>
      <x:c r="H71" t="str">
        <x:v>Fixed</x:v>
      </x:c>
      <x:c r="I71" t="str">
        <x:v>Cash</x:v>
      </x:c>
      <x:c r="J71" s="41" t="n">
        <x:v>22</x:v>
      </x:c>
    </x:row>
    <x:row r="72">
      <x:c r="A72" s="32" t="n">
        <x:v>45778</x:v>
      </x:c>
      <x:c r="B72" t="str">
        <x:v>May 2025</x:v>
      </x:c>
      <x:c r="C72" t="str">
        <x:v>Actual</x:v>
      </x:c>
      <x:c r="D72" t="str">
        <x:v>Creative production</x:v>
      </x:c>
      <x:c r="E72" t="str">
        <x:v>Marketing</x:v>
      </x:c>
      <x:c r="F72" t="str">
        <x:v>Services</x:v>
      </x:c>
      <x:c r="G72" s="38" t="n">
        <x:v>17.16</x:v>
      </x:c>
      <x:c r="H72" t="str">
        <x:v>Variable</x:v>
      </x:c>
      <x:c r="I72" t="str">
        <x:v>Cash</x:v>
      </x:c>
      <x:c r="J72" s="41" t="n">
        <x:v>18</x:v>
      </x:c>
    </x:row>
    <x:row r="73">
      <x:c r="A73" s="32" t="n">
        <x:v>45778</x:v>
      </x:c>
      <x:c r="B73" t="str">
        <x:v>May 2025</x:v>
      </x:c>
      <x:c r="C73" t="str">
        <x:v>Actual</x:v>
      </x:c>
      <x:c r="D73" t="str">
        <x:v>Ops team payroll</x:v>
      </x:c>
      <x:c r="E73" t="str">
        <x:v>Operations</x:v>
      </x:c>
      <x:c r="F73" t="str">
        <x:v>Payroll</x:v>
      </x:c>
      <x:c r="G73" s="38" t="n">
        <x:v>73.29226666666666</x:v>
      </x:c>
      <x:c r="H73" t="str">
        <x:v>Fixed</x:v>
      </x:c>
      <x:c r="I73" t="str">
        <x:v>Cash</x:v>
      </x:c>
      <x:c r="J73" s="41" t="n">
        <x:v>62</x:v>
      </x:c>
    </x:row>
    <x:row r="74">
      <x:c r="A74" s="32" t="n">
        <x:v>45778</x:v>
      </x:c>
      <x:c r="B74" t="str">
        <x:v>May 2025</x:v>
      </x:c>
      <x:c r="C74" t="str">
        <x:v>Actual</x:v>
      </x:c>
      <x:c r="D74" t="str">
        <x:v>Warehouse rent</x:v>
      </x:c>
      <x:c r="E74" t="str">
        <x:v>Operations</x:v>
      </x:c>
      <x:c r="F74" t="str">
        <x:v>Facilities</x:v>
      </x:c>
      <x:c r="G74" s="38" t="n">
        <x:v>26.693333333333335</x:v>
      </x:c>
      <x:c r="H74" t="str">
        <x:v>Fixed</x:v>
      </x:c>
      <x:c r="I74" t="str">
        <x:v>Cash</x:v>
      </x:c>
      <x:c r="J74" s="41" t="n">
        <x:v>28</x:v>
      </x:c>
    </x:row>
    <x:row r="75">
      <x:c r="A75" s="32" t="n">
        <x:v>45778</x:v>
      </x:c>
      <x:c r="B75" t="str">
        <x:v>May 2025</x:v>
      </x:c>
      <x:c r="C75" t="str">
        <x:v>Actual</x:v>
      </x:c>
      <x:c r="D75" t="str">
        <x:v>Inventory systems</x:v>
      </x:c>
      <x:c r="E75" t="str">
        <x:v>Operations</x:v>
      </x:c>
      <x:c r="F75" t="str">
        <x:v>Software</x:v>
      </x:c>
      <x:c r="G75" s="38" t="n">
        <x:v>6.673333333333334</x:v>
      </x:c>
      <x:c r="H75" t="str">
        <x:v>Fixed</x:v>
      </x:c>
      <x:c r="I75" t="str">
        <x:v>Cash</x:v>
      </x:c>
      <x:c r="J75" s="41" t="n">
        <x:v>7</x:v>
      </x:c>
    </x:row>
    <x:row r="76">
      <x:c r="A76" s="32" t="n">
        <x:v>45778</x:v>
      </x:c>
      <x:c r="B76" t="str">
        <x:v>May 2025</x:v>
      </x:c>
      <x:c r="C76" t="str">
        <x:v>Actual</x:v>
      </x:c>
      <x:c r="D76" t="str">
        <x:v>Product team payroll</x:v>
      </x:c>
      <x:c r="E76" t="str">
        <x:v>Product</x:v>
      </x:c>
      <x:c r="F76" t="str">
        <x:v>Payroll</x:v>
      </x:c>
      <x:c r="G76" s="38" t="n">
        <x:v>42.5568</x:v>
      </x:c>
      <x:c r="H76" t="str">
        <x:v>Fixed</x:v>
      </x:c>
      <x:c r="I76" t="str">
        <x:v>Cash</x:v>
      </x:c>
      <x:c r="J76" s="41" t="n">
        <x:v>36</x:v>
      </x:c>
    </x:row>
    <x:row r="77">
      <x:c r="A77" s="32" t="n">
        <x:v>45778</x:v>
      </x:c>
      <x:c r="B77" t="str">
        <x:v>May 2025</x:v>
      </x:c>
      <x:c r="C77" t="str">
        <x:v>Actual</x:v>
      </x:c>
      <x:c r="D77" t="str">
        <x:v>QA and inspections</x:v>
      </x:c>
      <x:c r="E77" t="str">
        <x:v>Product</x:v>
      </x:c>
      <x:c r="F77" t="str">
        <x:v>Services</x:v>
      </x:c>
      <x:c r="G77" s="38" t="n">
        <x:v>5.720000000000001</x:v>
      </x:c>
      <x:c r="H77" t="str">
        <x:v>Variable</x:v>
      </x:c>
      <x:c r="I77" t="str">
        <x:v>Cash</x:v>
      </x:c>
      <x:c r="J77" s="41" t="n">
        <x:v>6</x:v>
      </x:c>
    </x:row>
    <x:row r="78">
      <x:c r="A78" s="32" t="n">
        <x:v>45778</x:v>
      </x:c>
      <x:c r="B78" t="str">
        <x:v>May 2025</x:v>
      </x:c>
      <x:c r="C78" t="str">
        <x:v>Actual</x:v>
      </x:c>
      <x:c r="D78" t="str">
        <x:v>Executive payroll</x:v>
      </x:c>
      <x:c r="E78" t="str">
        <x:v>G&amp;A</x:v>
      </x:c>
      <x:c r="F78" t="str">
        <x:v>Payroll</x:v>
      </x:c>
      <x:c r="G78" s="38" t="n">
        <x:v>68.56373333333333</x:v>
      </x:c>
      <x:c r="H78" t="str">
        <x:v>Fixed</x:v>
      </x:c>
      <x:c r="I78" t="str">
        <x:v>Cash</x:v>
      </x:c>
      <x:c r="J78" s="41" t="n">
        <x:v>58</x:v>
      </x:c>
    </x:row>
    <x:row r="79">
      <x:c r="A79" s="32" t="n">
        <x:v>45778</x:v>
      </x:c>
      <x:c r="B79" t="str">
        <x:v>May 2025</x:v>
      </x:c>
      <x:c r="C79" t="str">
        <x:v>Actual</x:v>
      </x:c>
      <x:c r="D79" t="str">
        <x:v>Finance and accounting</x:v>
      </x:c>
      <x:c r="E79" t="str">
        <x:v>G&amp;A</x:v>
      </x:c>
      <x:c r="F79" t="str">
        <x:v>Professional fees</x:v>
      </x:c>
      <x:c r="G79" s="38" t="n">
        <x:v>13.346666666666668</x:v>
      </x:c>
      <x:c r="H79" t="str">
        <x:v>Fixed</x:v>
      </x:c>
      <x:c r="I79" t="str">
        <x:v>Cash</x:v>
      </x:c>
      <x:c r="J79" s="41" t="n">
        <x:v>14</x:v>
      </x:c>
    </x:row>
    <x:row r="80">
      <x:c r="A80" s="32" t="n">
        <x:v>45778</x:v>
      </x:c>
      <x:c r="B80" t="str">
        <x:v>May 2025</x:v>
      </x:c>
      <x:c r="C80" t="str">
        <x:v>Actual</x:v>
      </x:c>
      <x:c r="D80" t="str">
        <x:v>Legal</x:v>
      </x:c>
      <x:c r="E80" t="str">
        <x:v>G&amp;A</x:v>
      </x:c>
      <x:c r="F80" t="str">
        <x:v>Professional fees</x:v>
      </x:c>
      <x:c r="G80" s="38" t="n">
        <x:v>7.626666666666667</x:v>
      </x:c>
      <x:c r="H80" t="str">
        <x:v>Fixed</x:v>
      </x:c>
      <x:c r="I80" t="str">
        <x:v>Cash</x:v>
      </x:c>
      <x:c r="J80" s="41" t="n">
        <x:v>8</x:v>
      </x:c>
    </x:row>
    <x:row r="81">
      <x:c r="A81" s="32" t="n">
        <x:v>45778</x:v>
      </x:c>
      <x:c r="B81" t="str">
        <x:v>May 2025</x:v>
      </x:c>
      <x:c r="C81" t="str">
        <x:v>Actual</x:v>
      </x:c>
      <x:c r="D81" t="str">
        <x:v>Insurance</x:v>
      </x:c>
      <x:c r="E81" t="str">
        <x:v>G&amp;A</x:v>
      </x:c>
      <x:c r="F81" t="str">
        <x:v>Insurance</x:v>
      </x:c>
      <x:c r="G81" s="38" t="n">
        <x:v>5.720000000000001</x:v>
      </x:c>
      <x:c r="H81" t="str">
        <x:v>Fixed</x:v>
      </x:c>
      <x:c r="I81" t="str">
        <x:v>Cash</x:v>
      </x:c>
      <x:c r="J81" s="41" t="n">
        <x:v>6</x:v>
      </x:c>
    </x:row>
    <x:row r="82">
      <x:c r="A82" s="32" t="n">
        <x:v>45778</x:v>
      </x:c>
      <x:c r="B82" t="str">
        <x:v>May 2025</x:v>
      </x:c>
      <x:c r="C82" t="str">
        <x:v>Actual</x:v>
      </x:c>
      <x:c r="D82" t="str">
        <x:v>Software and admin tools</x:v>
      </x:c>
      <x:c r="E82" t="str">
        <x:v>G&amp;A</x:v>
      </x:c>
      <x:c r="F82" t="str">
        <x:v>Software</x:v>
      </x:c>
      <x:c r="G82" s="38" t="n">
        <x:v>11.440000000000001</x:v>
      </x:c>
      <x:c r="H82" t="str">
        <x:v>Fixed</x:v>
      </x:c>
      <x:c r="I82" t="str">
        <x:v>Cash</x:v>
      </x:c>
      <x:c r="J82" s="41" t="n">
        <x:v>12</x:v>
      </x:c>
    </x:row>
    <x:row r="83">
      <x:c r="A83" s="32" t="n">
        <x:v>45778</x:v>
      </x:c>
      <x:c r="B83" t="str">
        <x:v>May 2025</x:v>
      </x:c>
      <x:c r="C83" t="str">
        <x:v>Actual</x:v>
      </x:c>
      <x:c r="D83" t="str">
        <x:v>Support payroll</x:v>
      </x:c>
      <x:c r="E83" t="str">
        <x:v>Customer Support</x:v>
      </x:c>
      <x:c r="F83" t="str">
        <x:v>Payroll</x:v>
      </x:c>
      <x:c r="G83" s="38" t="n">
        <x:v>28.3712</x:v>
      </x:c>
      <x:c r="H83" t="str">
        <x:v>Fixed</x:v>
      </x:c>
      <x:c r="I83" t="str">
        <x:v>Cash</x:v>
      </x:c>
      <x:c r="J83" s="41" t="n">
        <x:v>24</x:v>
      </x:c>
    </x:row>
    <x:row r="84">
      <x:c r="A84" s="32" t="n">
        <x:v>45778</x:v>
      </x:c>
      <x:c r="B84" t="str">
        <x:v>May 2025</x:v>
      </x:c>
      <x:c r="C84" t="str">
        <x:v>Actual</x:v>
      </x:c>
      <x:c r="D84" t="str">
        <x:v>Support variable tools</x:v>
      </x:c>
      <x:c r="E84" t="str">
        <x:v>Customer Support</x:v>
      </x:c>
      <x:c r="F84" t="str">
        <x:v>Support</x:v>
      </x:c>
      <x:c r="G84" s="38" t="n">
        <x:v>4.766666666666667</x:v>
      </x:c>
      <x:c r="H84" t="str">
        <x:v>Variable</x:v>
      </x:c>
      <x:c r="I84" t="str">
        <x:v>Cash</x:v>
      </x:c>
      <x:c r="J84" s="41" t="n">
        <x:v>5</x:v>
      </x:c>
    </x:row>
    <x:row r="85">
      <x:c r="A85" s="32" t="n">
        <x:v>45809</x:v>
      </x:c>
      <x:c r="B85" t="str">
        <x:v>Jun 2025</x:v>
      </x:c>
      <x:c r="C85" t="str">
        <x:v>Actual</x:v>
      </x:c>
      <x:c r="D85" t="str">
        <x:v>Sales team payroll</x:v>
      </x:c>
      <x:c r="E85" t="str">
        <x:v>Sales</x:v>
      </x:c>
      <x:c r="F85" t="str">
        <x:v>Payroll</x:v>
      </x:c>
      <x:c r="G85" s="38" t="n">
        <x:v>57.13920000000001</x:v>
      </x:c>
      <x:c r="H85" t="str">
        <x:v>Fixed</x:v>
      </x:c>
      <x:c r="I85" t="str">
        <x:v>Cash</x:v>
      </x:c>
      <x:c r="J85" s="41" t="n">
        <x:v>48</x:v>
      </x:c>
    </x:row>
    <x:row r="86">
      <x:c r="A86" s="32" t="n">
        <x:v>45809</x:v>
      </x:c>
      <x:c r="B86" t="str">
        <x:v>Jun 2025</x:v>
      </x:c>
      <x:c r="C86" t="str">
        <x:v>Actual</x:v>
      </x:c>
      <x:c r="D86" t="str">
        <x:v>Retail broker commissions</x:v>
      </x:c>
      <x:c r="E86" t="str">
        <x:v>Sales</x:v>
      </x:c>
      <x:c r="F86" t="str">
        <x:v>Commissions</x:v>
      </x:c>
      <x:c r="G86" s="38" t="n">
        <x:v>8.64</x:v>
      </x:c>
      <x:c r="H86" t="str">
        <x:v>Variable</x:v>
      </x:c>
      <x:c r="I86" t="str">
        <x:v>Cash</x:v>
      </x:c>
      <x:c r="J86" s="41" t="n">
        <x:v>9</x:v>
      </x:c>
    </x:row>
    <x:row r="87">
      <x:c r="A87" s="32" t="n">
        <x:v>45809</x:v>
      </x:c>
      <x:c r="B87" t="str">
        <x:v>Jun 2025</x:v>
      </x:c>
      <x:c r="C87" t="str">
        <x:v>Actual</x:v>
      </x:c>
      <x:c r="D87" t="str">
        <x:v>Brand agency retainer</x:v>
      </x:c>
      <x:c r="E87" t="str">
        <x:v>Marketing</x:v>
      </x:c>
      <x:c r="F87" t="str">
        <x:v>Services</x:v>
      </x:c>
      <x:c r="G87" s="38" t="n">
        <x:v>21.12</x:v>
      </x:c>
      <x:c r="H87" t="str">
        <x:v>Fixed</x:v>
      </x:c>
      <x:c r="I87" t="str">
        <x:v>Cash</x:v>
      </x:c>
      <x:c r="J87" s="41" t="n">
        <x:v>22</x:v>
      </x:c>
    </x:row>
    <x:row r="88">
      <x:c r="A88" s="32" t="n">
        <x:v>45809</x:v>
      </x:c>
      <x:c r="B88" t="str">
        <x:v>Jun 2025</x:v>
      </x:c>
      <x:c r="C88" t="str">
        <x:v>Actual</x:v>
      </x:c>
      <x:c r="D88" t="str">
        <x:v>Creative production</x:v>
      </x:c>
      <x:c r="E88" t="str">
        <x:v>Marketing</x:v>
      </x:c>
      <x:c r="F88" t="str">
        <x:v>Services</x:v>
      </x:c>
      <x:c r="G88" s="38" t="n">
        <x:v>17.28</x:v>
      </x:c>
      <x:c r="H88" t="str">
        <x:v>Variable</x:v>
      </x:c>
      <x:c r="I88" t="str">
        <x:v>Cash</x:v>
      </x:c>
      <x:c r="J88" s="41" t="n">
        <x:v>18</x:v>
      </x:c>
    </x:row>
    <x:row r="89">
      <x:c r="A89" s="32" t="n">
        <x:v>45809</x:v>
      </x:c>
      <x:c r="B89" t="str">
        <x:v>Jun 2025</x:v>
      </x:c>
      <x:c r="C89" t="str">
        <x:v>Actual</x:v>
      </x:c>
      <x:c r="D89" t="str">
        <x:v>Ops team payroll</x:v>
      </x:c>
      <x:c r="E89" t="str">
        <x:v>Operations</x:v>
      </x:c>
      <x:c r="F89" t="str">
        <x:v>Payroll</x:v>
      </x:c>
      <x:c r="G89" s="38" t="n">
        <x:v>73.8048</x:v>
      </x:c>
      <x:c r="H89" t="str">
        <x:v>Fixed</x:v>
      </x:c>
      <x:c r="I89" t="str">
        <x:v>Cash</x:v>
      </x:c>
      <x:c r="J89" s="41" t="n">
        <x:v>62</x:v>
      </x:c>
    </x:row>
    <x:row r="90">
      <x:c r="A90" s="32" t="n">
        <x:v>45809</x:v>
      </x:c>
      <x:c r="B90" t="str">
        <x:v>Jun 2025</x:v>
      </x:c>
      <x:c r="C90" t="str">
        <x:v>Actual</x:v>
      </x:c>
      <x:c r="D90" t="str">
        <x:v>Warehouse rent</x:v>
      </x:c>
      <x:c r="E90" t="str">
        <x:v>Operations</x:v>
      </x:c>
      <x:c r="F90" t="str">
        <x:v>Facilities</x:v>
      </x:c>
      <x:c r="G90" s="38" t="n">
        <x:v>26.880000000000003</x:v>
      </x:c>
      <x:c r="H90" t="str">
        <x:v>Fixed</x:v>
      </x:c>
      <x:c r="I90" t="str">
        <x:v>Cash</x:v>
      </x:c>
      <x:c r="J90" s="41" t="n">
        <x:v>28</x:v>
      </x:c>
    </x:row>
    <x:row r="91">
      <x:c r="A91" s="32" t="n">
        <x:v>45809</x:v>
      </x:c>
      <x:c r="B91" t="str">
        <x:v>Jun 2025</x:v>
      </x:c>
      <x:c r="C91" t="str">
        <x:v>Actual</x:v>
      </x:c>
      <x:c r="D91" t="str">
        <x:v>Inventory systems</x:v>
      </x:c>
      <x:c r="E91" t="str">
        <x:v>Operations</x:v>
      </x:c>
      <x:c r="F91" t="str">
        <x:v>Software</x:v>
      </x:c>
      <x:c r="G91" s="38" t="n">
        <x:v>6.720000000000001</x:v>
      </x:c>
      <x:c r="H91" t="str">
        <x:v>Fixed</x:v>
      </x:c>
      <x:c r="I91" t="str">
        <x:v>Cash</x:v>
      </x:c>
      <x:c r="J91" s="41" t="n">
        <x:v>7</x:v>
      </x:c>
    </x:row>
    <x:row r="92">
      <x:c r="A92" s="32" t="n">
        <x:v>45809</x:v>
      </x:c>
      <x:c r="B92" t="str">
        <x:v>Jun 2025</x:v>
      </x:c>
      <x:c r="C92" t="str">
        <x:v>Actual</x:v>
      </x:c>
      <x:c r="D92" t="str">
        <x:v>Product team payroll</x:v>
      </x:c>
      <x:c r="E92" t="str">
        <x:v>Product</x:v>
      </x:c>
      <x:c r="F92" t="str">
        <x:v>Payroll</x:v>
      </x:c>
      <x:c r="G92" s="38" t="n">
        <x:v>42.854400000000005</x:v>
      </x:c>
      <x:c r="H92" t="str">
        <x:v>Fixed</x:v>
      </x:c>
      <x:c r="I92" t="str">
        <x:v>Cash</x:v>
      </x:c>
      <x:c r="J92" s="41" t="n">
        <x:v>36</x:v>
      </x:c>
    </x:row>
    <x:row r="93">
      <x:c r="A93" s="32" t="n">
        <x:v>45809</x:v>
      </x:c>
      <x:c r="B93" t="str">
        <x:v>Jun 2025</x:v>
      </x:c>
      <x:c r="C93" t="str">
        <x:v>Actual</x:v>
      </x:c>
      <x:c r="D93" t="str">
        <x:v>QA and inspections</x:v>
      </x:c>
      <x:c r="E93" t="str">
        <x:v>Product</x:v>
      </x:c>
      <x:c r="F93" t="str">
        <x:v>Services</x:v>
      </x:c>
      <x:c r="G93" s="38" t="n">
        <x:v>5.760000000000001</x:v>
      </x:c>
      <x:c r="H93" t="str">
        <x:v>Variable</x:v>
      </x:c>
      <x:c r="I93" t="str">
        <x:v>Cash</x:v>
      </x:c>
      <x:c r="J93" s="41" t="n">
        <x:v>6</x:v>
      </x:c>
    </x:row>
    <x:row r="94">
      <x:c r="A94" s="32" t="n">
        <x:v>45809</x:v>
      </x:c>
      <x:c r="B94" t="str">
        <x:v>Jun 2025</x:v>
      </x:c>
      <x:c r="C94" t="str">
        <x:v>Actual</x:v>
      </x:c>
      <x:c r="D94" t="str">
        <x:v>Executive payroll</x:v>
      </x:c>
      <x:c r="E94" t="str">
        <x:v>G&amp;A</x:v>
      </x:c>
      <x:c r="F94" t="str">
        <x:v>Payroll</x:v>
      </x:c>
      <x:c r="G94" s="38" t="n">
        <x:v>69.04320000000001</x:v>
      </x:c>
      <x:c r="H94" t="str">
        <x:v>Fixed</x:v>
      </x:c>
      <x:c r="I94" t="str">
        <x:v>Cash</x:v>
      </x:c>
      <x:c r="J94" s="41" t="n">
        <x:v>58</x:v>
      </x:c>
    </x:row>
    <x:row r="95">
      <x:c r="A95" s="32" t="n">
        <x:v>45809</x:v>
      </x:c>
      <x:c r="B95" t="str">
        <x:v>Jun 2025</x:v>
      </x:c>
      <x:c r="C95" t="str">
        <x:v>Actual</x:v>
      </x:c>
      <x:c r="D95" t="str">
        <x:v>Finance and accounting</x:v>
      </x:c>
      <x:c r="E95" t="str">
        <x:v>G&amp;A</x:v>
      </x:c>
      <x:c r="F95" t="str">
        <x:v>Professional fees</x:v>
      </x:c>
      <x:c r="G95" s="38" t="n">
        <x:v>13.440000000000001</x:v>
      </x:c>
      <x:c r="H95" t="str">
        <x:v>Fixed</x:v>
      </x:c>
      <x:c r="I95" t="str">
        <x:v>Cash</x:v>
      </x:c>
      <x:c r="J95" s="41" t="n">
        <x:v>14</x:v>
      </x:c>
    </x:row>
    <x:row r="96">
      <x:c r="A96" s="32" t="n">
        <x:v>45809</x:v>
      </x:c>
      <x:c r="B96" t="str">
        <x:v>Jun 2025</x:v>
      </x:c>
      <x:c r="C96" t="str">
        <x:v>Actual</x:v>
      </x:c>
      <x:c r="D96" t="str">
        <x:v>Legal</x:v>
      </x:c>
      <x:c r="E96" t="str">
        <x:v>G&amp;A</x:v>
      </x:c>
      <x:c r="F96" t="str">
        <x:v>Professional fees</x:v>
      </x:c>
      <x:c r="G96" s="38" t="n">
        <x:v>7.680000000000001</x:v>
      </x:c>
      <x:c r="H96" t="str">
        <x:v>Fixed</x:v>
      </x:c>
      <x:c r="I96" t="str">
        <x:v>Cash</x:v>
      </x:c>
      <x:c r="J96" s="41" t="n">
        <x:v>8</x:v>
      </x:c>
    </x:row>
    <x:row r="97">
      <x:c r="A97" s="32" t="n">
        <x:v>45809</x:v>
      </x:c>
      <x:c r="B97" t="str">
        <x:v>Jun 2025</x:v>
      </x:c>
      <x:c r="C97" t="str">
        <x:v>Actual</x:v>
      </x:c>
      <x:c r="D97" t="str">
        <x:v>Insurance</x:v>
      </x:c>
      <x:c r="E97" t="str">
        <x:v>G&amp;A</x:v>
      </x:c>
      <x:c r="F97" t="str">
        <x:v>Insurance</x:v>
      </x:c>
      <x:c r="G97" s="38" t="n">
        <x:v>5.760000000000001</x:v>
      </x:c>
      <x:c r="H97" t="str">
        <x:v>Fixed</x:v>
      </x:c>
      <x:c r="I97" t="str">
        <x:v>Cash</x:v>
      </x:c>
      <x:c r="J97" s="41" t="n">
        <x:v>6</x:v>
      </x:c>
    </x:row>
    <x:row r="98">
      <x:c r="A98" s="32" t="n">
        <x:v>45809</x:v>
      </x:c>
      <x:c r="B98" t="str">
        <x:v>Jun 2025</x:v>
      </x:c>
      <x:c r="C98" t="str">
        <x:v>Actual</x:v>
      </x:c>
      <x:c r="D98" t="str">
        <x:v>Software and admin tools</x:v>
      </x:c>
      <x:c r="E98" t="str">
        <x:v>G&amp;A</x:v>
      </x:c>
      <x:c r="F98" t="str">
        <x:v>Software</x:v>
      </x:c>
      <x:c r="G98" s="38" t="n">
        <x:v>11.520000000000001</x:v>
      </x:c>
      <x:c r="H98" t="str">
        <x:v>Fixed</x:v>
      </x:c>
      <x:c r="I98" t="str">
        <x:v>Cash</x:v>
      </x:c>
      <x:c r="J98" s="41" t="n">
        <x:v>12</x:v>
      </x:c>
    </x:row>
    <x:row r="99">
      <x:c r="A99" s="32" t="n">
        <x:v>45809</x:v>
      </x:c>
      <x:c r="B99" t="str">
        <x:v>Jun 2025</x:v>
      </x:c>
      <x:c r="C99" t="str">
        <x:v>Actual</x:v>
      </x:c>
      <x:c r="D99" t="str">
        <x:v>Support payroll</x:v>
      </x:c>
      <x:c r="E99" t="str">
        <x:v>Customer Support</x:v>
      </x:c>
      <x:c r="F99" t="str">
        <x:v>Payroll</x:v>
      </x:c>
      <x:c r="G99" s="38" t="n">
        <x:v>28.569600000000005</x:v>
      </x:c>
      <x:c r="H99" t="str">
        <x:v>Fixed</x:v>
      </x:c>
      <x:c r="I99" t="str">
        <x:v>Cash</x:v>
      </x:c>
      <x:c r="J99" s="41" t="n">
        <x:v>24</x:v>
      </x:c>
    </x:row>
    <x:row r="100">
      <x:c r="A100" s="32" t="n">
        <x:v>45809</x:v>
      </x:c>
      <x:c r="B100" t="str">
        <x:v>Jun 2025</x:v>
      </x:c>
      <x:c r="C100" t="str">
        <x:v>Actual</x:v>
      </x:c>
      <x:c r="D100" t="str">
        <x:v>Support variable tools</x:v>
      </x:c>
      <x:c r="E100" t="str">
        <x:v>Customer Support</x:v>
      </x:c>
      <x:c r="F100" t="str">
        <x:v>Support</x:v>
      </x:c>
      <x:c r="G100" s="38" t="n">
        <x:v>4.800000000000001</x:v>
      </x:c>
      <x:c r="H100" t="str">
        <x:v>Variable</x:v>
      </x:c>
      <x:c r="I100" t="str">
        <x:v>Cash</x:v>
      </x:c>
      <x:c r="J100" s="41" t="n">
        <x:v>5</x:v>
      </x:c>
    </x:row>
    <x:row r="101">
      <x:c r="A101" s="32" t="n">
        <x:v>45839</x:v>
      </x:c>
      <x:c r="B101" t="str">
        <x:v>Jul 2025</x:v>
      </x:c>
      <x:c r="C101" t="str">
        <x:v>Actual</x:v>
      </x:c>
      <x:c r="D101" t="str">
        <x:v>Sales team payroll</x:v>
      </x:c>
      <x:c r="E101" t="str">
        <x:v>Sales</x:v>
      </x:c>
      <x:c r="F101" t="str">
        <x:v>Payroll</x:v>
      </x:c>
      <x:c r="G101" s="38" t="n">
        <x:v>57.536</x:v>
      </x:c>
      <x:c r="H101" t="str">
        <x:v>Fixed</x:v>
      </x:c>
      <x:c r="I101" t="str">
        <x:v>Cash</x:v>
      </x:c>
      <x:c r="J101" s="41" t="n">
        <x:v>48</x:v>
      </x:c>
    </x:row>
    <x:row r="102">
      <x:c r="A102" s="32" t="n">
        <x:v>45839</x:v>
      </x:c>
      <x:c r="B102" t="str">
        <x:v>Jul 2025</x:v>
      </x:c>
      <x:c r="C102" t="str">
        <x:v>Actual</x:v>
      </x:c>
      <x:c r="D102" t="str">
        <x:v>Retail broker commissions</x:v>
      </x:c>
      <x:c r="E102" t="str">
        <x:v>Sales</x:v>
      </x:c>
      <x:c r="F102" t="str">
        <x:v>Commissions</x:v>
      </x:c>
      <x:c r="G102" s="38" t="n">
        <x:v>8.7</x:v>
      </x:c>
      <x:c r="H102" t="str">
        <x:v>Variable</x:v>
      </x:c>
      <x:c r="I102" t="str">
        <x:v>Cash</x:v>
      </x:c>
      <x:c r="J102" s="41" t="n">
        <x:v>9</x:v>
      </x:c>
    </x:row>
    <x:row r="103">
      <x:c r="A103" s="32" t="n">
        <x:v>45839</x:v>
      </x:c>
      <x:c r="B103" t="str">
        <x:v>Jul 2025</x:v>
      </x:c>
      <x:c r="C103" t="str">
        <x:v>Actual</x:v>
      </x:c>
      <x:c r="D103" t="str">
        <x:v>Brand agency retainer</x:v>
      </x:c>
      <x:c r="E103" t="str">
        <x:v>Marketing</x:v>
      </x:c>
      <x:c r="F103" t="str">
        <x:v>Services</x:v>
      </x:c>
      <x:c r="G103" s="38" t="n">
        <x:v>21.266666666666666</x:v>
      </x:c>
      <x:c r="H103" t="str">
        <x:v>Fixed</x:v>
      </x:c>
      <x:c r="I103" t="str">
        <x:v>Cash</x:v>
      </x:c>
      <x:c r="J103" s="41" t="n">
        <x:v>22</x:v>
      </x:c>
    </x:row>
    <x:row r="104">
      <x:c r="A104" s="32" t="n">
        <x:v>45839</x:v>
      </x:c>
      <x:c r="B104" t="str">
        <x:v>Jul 2025</x:v>
      </x:c>
      <x:c r="C104" t="str">
        <x:v>Actual</x:v>
      </x:c>
      <x:c r="D104" t="str">
        <x:v>Creative production</x:v>
      </x:c>
      <x:c r="E104" t="str">
        <x:v>Marketing</x:v>
      </x:c>
      <x:c r="F104" t="str">
        <x:v>Services</x:v>
      </x:c>
      <x:c r="G104" s="38" t="n">
        <x:v>17.4</x:v>
      </x:c>
      <x:c r="H104" t="str">
        <x:v>Variable</x:v>
      </x:c>
      <x:c r="I104" t="str">
        <x:v>Cash</x:v>
      </x:c>
      <x:c r="J104" s="41" t="n">
        <x:v>18</x:v>
      </x:c>
    </x:row>
    <x:row r="105">
      <x:c r="A105" s="32" t="n">
        <x:v>45839</x:v>
      </x:c>
      <x:c r="B105" t="str">
        <x:v>Jul 2025</x:v>
      </x:c>
      <x:c r="C105" t="str">
        <x:v>Actual</x:v>
      </x:c>
      <x:c r="D105" t="str">
        <x:v>Ops team payroll</x:v>
      </x:c>
      <x:c r="E105" t="str">
        <x:v>Operations</x:v>
      </x:c>
      <x:c r="F105" t="str">
        <x:v>Payroll</x:v>
      </x:c>
      <x:c r="G105" s="38" t="n">
        <x:v>74.31733333333334</x:v>
      </x:c>
      <x:c r="H105" t="str">
        <x:v>Fixed</x:v>
      </x:c>
      <x:c r="I105" t="str">
        <x:v>Cash</x:v>
      </x:c>
      <x:c r="J105" s="41" t="n">
        <x:v>62</x:v>
      </x:c>
    </x:row>
    <x:row r="106">
      <x:c r="A106" s="32" t="n">
        <x:v>45839</x:v>
      </x:c>
      <x:c r="B106" t="str">
        <x:v>Jul 2025</x:v>
      </x:c>
      <x:c r="C106" t="str">
        <x:v>Actual</x:v>
      </x:c>
      <x:c r="D106" t="str">
        <x:v>Warehouse rent</x:v>
      </x:c>
      <x:c r="E106" t="str">
        <x:v>Operations</x:v>
      </x:c>
      <x:c r="F106" t="str">
        <x:v>Facilities</x:v>
      </x:c>
      <x:c r="G106" s="38" t="n">
        <x:v>27.066666666666666</x:v>
      </x:c>
      <x:c r="H106" t="str">
        <x:v>Fixed</x:v>
      </x:c>
      <x:c r="I106" t="str">
        <x:v>Cash</x:v>
      </x:c>
      <x:c r="J106" s="41" t="n">
        <x:v>28</x:v>
      </x:c>
    </x:row>
    <x:row r="107">
      <x:c r="A107" s="32" t="n">
        <x:v>45839</x:v>
      </x:c>
      <x:c r="B107" t="str">
        <x:v>Jul 2025</x:v>
      </x:c>
      <x:c r="C107" t="str">
        <x:v>Actual</x:v>
      </x:c>
      <x:c r="D107" t="str">
        <x:v>Inventory systems</x:v>
      </x:c>
      <x:c r="E107" t="str">
        <x:v>Operations</x:v>
      </x:c>
      <x:c r="F107" t="str">
        <x:v>Software</x:v>
      </x:c>
      <x:c r="G107" s="38" t="n">
        <x:v>6.766666666666667</x:v>
      </x:c>
      <x:c r="H107" t="str">
        <x:v>Fixed</x:v>
      </x:c>
      <x:c r="I107" t="str">
        <x:v>Cash</x:v>
      </x:c>
      <x:c r="J107" s="41" t="n">
        <x:v>7</x:v>
      </x:c>
    </x:row>
    <x:row r="108">
      <x:c r="A108" s="32" t="n">
        <x:v>45839</x:v>
      </x:c>
      <x:c r="B108" t="str">
        <x:v>Jul 2025</x:v>
      </x:c>
      <x:c r="C108" t="str">
        <x:v>Actual</x:v>
      </x:c>
      <x:c r="D108" t="str">
        <x:v>Product team payroll</x:v>
      </x:c>
      <x:c r="E108" t="str">
        <x:v>Product</x:v>
      </x:c>
      <x:c r="F108" t="str">
        <x:v>Payroll</x:v>
      </x:c>
      <x:c r="G108" s="38" t="n">
        <x:v>43.151999999999994</x:v>
      </x:c>
      <x:c r="H108" t="str">
        <x:v>Fixed</x:v>
      </x:c>
      <x:c r="I108" t="str">
        <x:v>Cash</x:v>
      </x:c>
      <x:c r="J108" s="41" t="n">
        <x:v>36</x:v>
      </x:c>
    </x:row>
    <x:row r="109">
      <x:c r="A109" s="32" t="n">
        <x:v>45839</x:v>
      </x:c>
      <x:c r="B109" t="str">
        <x:v>Jul 2025</x:v>
      </x:c>
      <x:c r="C109" t="str">
        <x:v>Actual</x:v>
      </x:c>
      <x:c r="D109" t="str">
        <x:v>QA and inspections</x:v>
      </x:c>
      <x:c r="E109" t="str">
        <x:v>Product</x:v>
      </x:c>
      <x:c r="F109" t="str">
        <x:v>Services</x:v>
      </x:c>
      <x:c r="G109" s="38" t="n">
        <x:v>5.8</x:v>
      </x:c>
      <x:c r="H109" t="str">
        <x:v>Variable</x:v>
      </x:c>
      <x:c r="I109" t="str">
        <x:v>Cash</x:v>
      </x:c>
      <x:c r="J109" s="41" t="n">
        <x:v>6</x:v>
      </x:c>
    </x:row>
    <x:row r="110">
      <x:c r="A110" s="32" t="n">
        <x:v>45839</x:v>
      </x:c>
      <x:c r="B110" t="str">
        <x:v>Jul 2025</x:v>
      </x:c>
      <x:c r="C110" t="str">
        <x:v>Actual</x:v>
      </x:c>
      <x:c r="D110" t="str">
        <x:v>Executive payroll</x:v>
      </x:c>
      <x:c r="E110" t="str">
        <x:v>G&amp;A</x:v>
      </x:c>
      <x:c r="F110" t="str">
        <x:v>Payroll</x:v>
      </x:c>
      <x:c r="G110" s="38" t="n">
        <x:v>69.52266666666667</x:v>
      </x:c>
      <x:c r="H110" t="str">
        <x:v>Fixed</x:v>
      </x:c>
      <x:c r="I110" t="str">
        <x:v>Cash</x:v>
      </x:c>
      <x:c r="J110" s="41" t="n">
        <x:v>58</x:v>
      </x:c>
    </x:row>
    <x:row r="111">
      <x:c r="A111" s="32" t="n">
        <x:v>45839</x:v>
      </x:c>
      <x:c r="B111" t="str">
        <x:v>Jul 2025</x:v>
      </x:c>
      <x:c r="C111" t="str">
        <x:v>Actual</x:v>
      </x:c>
      <x:c r="D111" t="str">
        <x:v>Finance and accounting</x:v>
      </x:c>
      <x:c r="E111" t="str">
        <x:v>G&amp;A</x:v>
      </x:c>
      <x:c r="F111" t="str">
        <x:v>Professional fees</x:v>
      </x:c>
      <x:c r="G111" s="38" t="n">
        <x:v>13.533333333333333</x:v>
      </x:c>
      <x:c r="H111" t="str">
        <x:v>Fixed</x:v>
      </x:c>
      <x:c r="I111" t="str">
        <x:v>Cash</x:v>
      </x:c>
      <x:c r="J111" s="41" t="n">
        <x:v>14</x:v>
      </x:c>
    </x:row>
    <x:row r="112">
      <x:c r="A112" s="32" t="n">
        <x:v>45839</x:v>
      </x:c>
      <x:c r="B112" t="str">
        <x:v>Jul 2025</x:v>
      </x:c>
      <x:c r="C112" t="str">
        <x:v>Actual</x:v>
      </x:c>
      <x:c r="D112" t="str">
        <x:v>Legal</x:v>
      </x:c>
      <x:c r="E112" t="str">
        <x:v>G&amp;A</x:v>
      </x:c>
      <x:c r="F112" t="str">
        <x:v>Professional fees</x:v>
      </x:c>
      <x:c r="G112" s="38" t="n">
        <x:v>7.733333333333333</x:v>
      </x:c>
      <x:c r="H112" t="str">
        <x:v>Fixed</x:v>
      </x:c>
      <x:c r="I112" t="str">
        <x:v>Cash</x:v>
      </x:c>
      <x:c r="J112" s="41" t="n">
        <x:v>8</x:v>
      </x:c>
    </x:row>
    <x:row r="113">
      <x:c r="A113" s="32" t="n">
        <x:v>45839</x:v>
      </x:c>
      <x:c r="B113" t="str">
        <x:v>Jul 2025</x:v>
      </x:c>
      <x:c r="C113" t="str">
        <x:v>Actual</x:v>
      </x:c>
      <x:c r="D113" t="str">
        <x:v>Insurance</x:v>
      </x:c>
      <x:c r="E113" t="str">
        <x:v>G&amp;A</x:v>
      </x:c>
      <x:c r="F113" t="str">
        <x:v>Insurance</x:v>
      </x:c>
      <x:c r="G113" s="38" t="n">
        <x:v>5.8</x:v>
      </x:c>
      <x:c r="H113" t="str">
        <x:v>Fixed</x:v>
      </x:c>
      <x:c r="I113" t="str">
        <x:v>Cash</x:v>
      </x:c>
      <x:c r="J113" s="41" t="n">
        <x:v>6</x:v>
      </x:c>
    </x:row>
    <x:row r="114">
      <x:c r="A114" s="32" t="n">
        <x:v>45839</x:v>
      </x:c>
      <x:c r="B114" t="str">
        <x:v>Jul 2025</x:v>
      </x:c>
      <x:c r="C114" t="str">
        <x:v>Actual</x:v>
      </x:c>
      <x:c r="D114" t="str">
        <x:v>Software and admin tools</x:v>
      </x:c>
      <x:c r="E114" t="str">
        <x:v>G&amp;A</x:v>
      </x:c>
      <x:c r="F114" t="str">
        <x:v>Software</x:v>
      </x:c>
      <x:c r="G114" s="38" t="n">
        <x:v>11.6</x:v>
      </x:c>
      <x:c r="H114" t="str">
        <x:v>Fixed</x:v>
      </x:c>
      <x:c r="I114" t="str">
        <x:v>Cash</x:v>
      </x:c>
      <x:c r="J114" s="41" t="n">
        <x:v>12</x:v>
      </x:c>
    </x:row>
    <x:row r="115">
      <x:c r="A115" s="32" t="n">
        <x:v>45839</x:v>
      </x:c>
      <x:c r="B115" t="str">
        <x:v>Jul 2025</x:v>
      </x:c>
      <x:c r="C115" t="str">
        <x:v>Actual</x:v>
      </x:c>
      <x:c r="D115" t="str">
        <x:v>Support payroll</x:v>
      </x:c>
      <x:c r="E115" t="str">
        <x:v>Customer Support</x:v>
      </x:c>
      <x:c r="F115" t="str">
        <x:v>Payroll</x:v>
      </x:c>
      <x:c r="G115" s="38" t="n">
        <x:v>28.768</x:v>
      </x:c>
      <x:c r="H115" t="str">
        <x:v>Fixed</x:v>
      </x:c>
      <x:c r="I115" t="str">
        <x:v>Cash</x:v>
      </x:c>
      <x:c r="J115" s="41" t="n">
        <x:v>24</x:v>
      </x:c>
    </x:row>
    <x:row r="116">
      <x:c r="A116" s="32" t="n">
        <x:v>45839</x:v>
      </x:c>
      <x:c r="B116" t="str">
        <x:v>Jul 2025</x:v>
      </x:c>
      <x:c r="C116" t="str">
        <x:v>Actual</x:v>
      </x:c>
      <x:c r="D116" t="str">
        <x:v>Support variable tools</x:v>
      </x:c>
      <x:c r="E116" t="str">
        <x:v>Customer Support</x:v>
      </x:c>
      <x:c r="F116" t="str">
        <x:v>Support</x:v>
      </x:c>
      <x:c r="G116" s="38" t="n">
        <x:v>4.833333333333333</x:v>
      </x:c>
      <x:c r="H116" t="str">
        <x:v>Variable</x:v>
      </x:c>
      <x:c r="I116" t="str">
        <x:v>Cash</x:v>
      </x:c>
      <x:c r="J116" s="41" t="n">
        <x:v>5</x:v>
      </x:c>
    </x:row>
    <x:row r="117">
      <x:c r="A117" s="32" t="n">
        <x:v>45870</x:v>
      </x:c>
      <x:c r="B117" t="str">
        <x:v>Aug 2025</x:v>
      </x:c>
      <x:c r="C117" t="str">
        <x:v>Actual</x:v>
      </x:c>
      <x:c r="D117" t="str">
        <x:v>Sales team payroll</x:v>
      </x:c>
      <x:c r="E117" t="str">
        <x:v>Sales</x:v>
      </x:c>
      <x:c r="F117" t="str">
        <x:v>Payroll</x:v>
      </x:c>
      <x:c r="G117" s="38" t="n">
        <x:v>57.9328</x:v>
      </x:c>
      <x:c r="H117" t="str">
        <x:v>Fixed</x:v>
      </x:c>
      <x:c r="I117" t="str">
        <x:v>Cash</x:v>
      </x:c>
      <x:c r="J117" s="41" t="n">
        <x:v>48</x:v>
      </x:c>
    </x:row>
    <x:row r="118">
      <x:c r="A118" s="32" t="n">
        <x:v>45870</x:v>
      </x:c>
      <x:c r="B118" t="str">
        <x:v>Aug 2025</x:v>
      </x:c>
      <x:c r="C118" t="str">
        <x:v>Actual</x:v>
      </x:c>
      <x:c r="D118" t="str">
        <x:v>Retail broker commissions</x:v>
      </x:c>
      <x:c r="E118" t="str">
        <x:v>Sales</x:v>
      </x:c>
      <x:c r="F118" t="str">
        <x:v>Commissions</x:v>
      </x:c>
      <x:c r="G118" s="38" t="n">
        <x:v>8.76</x:v>
      </x:c>
      <x:c r="H118" t="str">
        <x:v>Variable</x:v>
      </x:c>
      <x:c r="I118" t="str">
        <x:v>Cash</x:v>
      </x:c>
      <x:c r="J118" s="41" t="n">
        <x:v>9</x:v>
      </x:c>
    </x:row>
    <x:row r="119">
      <x:c r="A119" s="32" t="n">
        <x:v>45870</x:v>
      </x:c>
      <x:c r="B119" t="str">
        <x:v>Aug 2025</x:v>
      </x:c>
      <x:c r="C119" t="str">
        <x:v>Actual</x:v>
      </x:c>
      <x:c r="D119" t="str">
        <x:v>Brand agency retainer</x:v>
      </x:c>
      <x:c r="E119" t="str">
        <x:v>Marketing</x:v>
      </x:c>
      <x:c r="F119" t="str">
        <x:v>Services</x:v>
      </x:c>
      <x:c r="G119" s="38" t="n">
        <x:v>21.413333333333334</x:v>
      </x:c>
      <x:c r="H119" t="str">
        <x:v>Fixed</x:v>
      </x:c>
      <x:c r="I119" t="str">
        <x:v>Cash</x:v>
      </x:c>
      <x:c r="J119" s="41" t="n">
        <x:v>22</x:v>
      </x:c>
    </x:row>
    <x:row r="120">
      <x:c r="A120" s="32" t="n">
        <x:v>45870</x:v>
      </x:c>
      <x:c r="B120" t="str">
        <x:v>Aug 2025</x:v>
      </x:c>
      <x:c r="C120" t="str">
        <x:v>Actual</x:v>
      </x:c>
      <x:c r="D120" t="str">
        <x:v>Creative production</x:v>
      </x:c>
      <x:c r="E120" t="str">
        <x:v>Marketing</x:v>
      </x:c>
      <x:c r="F120" t="str">
        <x:v>Services</x:v>
      </x:c>
      <x:c r="G120" s="38" t="n">
        <x:v>17.52</x:v>
      </x:c>
      <x:c r="H120" t="str">
        <x:v>Variable</x:v>
      </x:c>
      <x:c r="I120" t="str">
        <x:v>Cash</x:v>
      </x:c>
      <x:c r="J120" s="41" t="n">
        <x:v>18</x:v>
      </x:c>
    </x:row>
    <x:row r="121">
      <x:c r="A121" s="32" t="n">
        <x:v>45870</x:v>
      </x:c>
      <x:c r="B121" t="str">
        <x:v>Aug 2025</x:v>
      </x:c>
      <x:c r="C121" t="str">
        <x:v>Actual</x:v>
      </x:c>
      <x:c r="D121" t="str">
        <x:v>Ops team payroll</x:v>
      </x:c>
      <x:c r="E121" t="str">
        <x:v>Operations</x:v>
      </x:c>
      <x:c r="F121" t="str">
        <x:v>Payroll</x:v>
      </x:c>
      <x:c r="G121" s="38" t="n">
        <x:v>74.82986666666667</x:v>
      </x:c>
      <x:c r="H121" t="str">
        <x:v>Fixed</x:v>
      </x:c>
      <x:c r="I121" t="str">
        <x:v>Cash</x:v>
      </x:c>
      <x:c r="J121" s="41" t="n">
        <x:v>62</x:v>
      </x:c>
    </x:row>
    <x:row r="122">
      <x:c r="A122" s="32" t="n">
        <x:v>45870</x:v>
      </x:c>
      <x:c r="B122" t="str">
        <x:v>Aug 2025</x:v>
      </x:c>
      <x:c r="C122" t="str">
        <x:v>Actual</x:v>
      </x:c>
      <x:c r="D122" t="str">
        <x:v>Warehouse rent</x:v>
      </x:c>
      <x:c r="E122" t="str">
        <x:v>Operations</x:v>
      </x:c>
      <x:c r="F122" t="str">
        <x:v>Facilities</x:v>
      </x:c>
      <x:c r="G122" s="38" t="n">
        <x:v>27.253333333333334</x:v>
      </x:c>
      <x:c r="H122" t="str">
        <x:v>Fixed</x:v>
      </x:c>
      <x:c r="I122" t="str">
        <x:v>Cash</x:v>
      </x:c>
      <x:c r="J122" s="41" t="n">
        <x:v>28</x:v>
      </x:c>
    </x:row>
    <x:row r="123">
      <x:c r="A123" s="32" t="n">
        <x:v>45870</x:v>
      </x:c>
      <x:c r="B123" t="str">
        <x:v>Aug 2025</x:v>
      </x:c>
      <x:c r="C123" t="str">
        <x:v>Actual</x:v>
      </x:c>
      <x:c r="D123" t="str">
        <x:v>Inventory systems</x:v>
      </x:c>
      <x:c r="E123" t="str">
        <x:v>Operations</x:v>
      </x:c>
      <x:c r="F123" t="str">
        <x:v>Software</x:v>
      </x:c>
      <x:c r="G123" s="38" t="n">
        <x:v>6.8133333333333335</x:v>
      </x:c>
      <x:c r="H123" t="str">
        <x:v>Fixed</x:v>
      </x:c>
      <x:c r="I123" t="str">
        <x:v>Cash</x:v>
      </x:c>
      <x:c r="J123" s="41" t="n">
        <x:v>7</x:v>
      </x:c>
    </x:row>
    <x:row r="124">
      <x:c r="A124" s="32" t="n">
        <x:v>45870</x:v>
      </x:c>
      <x:c r="B124" t="str">
        <x:v>Aug 2025</x:v>
      </x:c>
      <x:c r="C124" t="str">
        <x:v>Actual</x:v>
      </x:c>
      <x:c r="D124" t="str">
        <x:v>Product team payroll</x:v>
      </x:c>
      <x:c r="E124" t="str">
        <x:v>Product</x:v>
      </x:c>
      <x:c r="F124" t="str">
        <x:v>Payroll</x:v>
      </x:c>
      <x:c r="G124" s="38" t="n">
        <x:v>43.4496</x:v>
      </x:c>
      <x:c r="H124" t="str">
        <x:v>Fixed</x:v>
      </x:c>
      <x:c r="I124" t="str">
        <x:v>Cash</x:v>
      </x:c>
      <x:c r="J124" s="41" t="n">
        <x:v>36</x:v>
      </x:c>
    </x:row>
    <x:row r="125">
      <x:c r="A125" s="32" t="n">
        <x:v>45870</x:v>
      </x:c>
      <x:c r="B125" t="str">
        <x:v>Aug 2025</x:v>
      </x:c>
      <x:c r="C125" t="str">
        <x:v>Actual</x:v>
      </x:c>
      <x:c r="D125" t="str">
        <x:v>QA and inspections</x:v>
      </x:c>
      <x:c r="E125" t="str">
        <x:v>Product</x:v>
      </x:c>
      <x:c r="F125" t="str">
        <x:v>Services</x:v>
      </x:c>
      <x:c r="G125" s="38" t="n">
        <x:v>5.84</x:v>
      </x:c>
      <x:c r="H125" t="str">
        <x:v>Variable</x:v>
      </x:c>
      <x:c r="I125" t="str">
        <x:v>Cash</x:v>
      </x:c>
      <x:c r="J125" s="41" t="n">
        <x:v>6</x:v>
      </x:c>
    </x:row>
    <x:row r="126">
      <x:c r="A126" s="32" t="n">
        <x:v>45870</x:v>
      </x:c>
      <x:c r="B126" t="str">
        <x:v>Aug 2025</x:v>
      </x:c>
      <x:c r="C126" t="str">
        <x:v>Actual</x:v>
      </x:c>
      <x:c r="D126" t="str">
        <x:v>Executive payroll</x:v>
      </x:c>
      <x:c r="E126" t="str">
        <x:v>G&amp;A</x:v>
      </x:c>
      <x:c r="F126" t="str">
        <x:v>Payroll</x:v>
      </x:c>
      <x:c r="G126" s="38" t="n">
        <x:v>70.00213333333333</x:v>
      </x:c>
      <x:c r="H126" t="str">
        <x:v>Fixed</x:v>
      </x:c>
      <x:c r="I126" t="str">
        <x:v>Cash</x:v>
      </x:c>
      <x:c r="J126" s="41" t="n">
        <x:v>58</x:v>
      </x:c>
    </x:row>
    <x:row r="127">
      <x:c r="A127" s="32" t="n">
        <x:v>45870</x:v>
      </x:c>
      <x:c r="B127" t="str">
        <x:v>Aug 2025</x:v>
      </x:c>
      <x:c r="C127" t="str">
        <x:v>Actual</x:v>
      </x:c>
      <x:c r="D127" t="str">
        <x:v>Finance and accounting</x:v>
      </x:c>
      <x:c r="E127" t="str">
        <x:v>G&amp;A</x:v>
      </x:c>
      <x:c r="F127" t="str">
        <x:v>Professional fees</x:v>
      </x:c>
      <x:c r="G127" s="38" t="n">
        <x:v>13.626666666666667</x:v>
      </x:c>
      <x:c r="H127" t="str">
        <x:v>Fixed</x:v>
      </x:c>
      <x:c r="I127" t="str">
        <x:v>Cash</x:v>
      </x:c>
      <x:c r="J127" s="41" t="n">
        <x:v>14</x:v>
      </x:c>
    </x:row>
    <x:row r="128">
      <x:c r="A128" s="32" t="n">
        <x:v>45870</x:v>
      </x:c>
      <x:c r="B128" t="str">
        <x:v>Aug 2025</x:v>
      </x:c>
      <x:c r="C128" t="str">
        <x:v>Actual</x:v>
      </x:c>
      <x:c r="D128" t="str">
        <x:v>Legal</x:v>
      </x:c>
      <x:c r="E128" t="str">
        <x:v>G&amp;A</x:v>
      </x:c>
      <x:c r="F128" t="str">
        <x:v>Professional fees</x:v>
      </x:c>
      <x:c r="G128" s="38" t="n">
        <x:v>7.786666666666667</x:v>
      </x:c>
      <x:c r="H128" t="str">
        <x:v>Fixed</x:v>
      </x:c>
      <x:c r="I128" t="str">
        <x:v>Cash</x:v>
      </x:c>
      <x:c r="J128" s="41" t="n">
        <x:v>8</x:v>
      </x:c>
    </x:row>
    <x:row r="129">
      <x:c r="A129" s="32" t="n">
        <x:v>45870</x:v>
      </x:c>
      <x:c r="B129" t="str">
        <x:v>Aug 2025</x:v>
      </x:c>
      <x:c r="C129" t="str">
        <x:v>Actual</x:v>
      </x:c>
      <x:c r="D129" t="str">
        <x:v>Insurance</x:v>
      </x:c>
      <x:c r="E129" t="str">
        <x:v>G&amp;A</x:v>
      </x:c>
      <x:c r="F129" t="str">
        <x:v>Insurance</x:v>
      </x:c>
      <x:c r="G129" s="38" t="n">
        <x:v>5.84</x:v>
      </x:c>
      <x:c r="H129" t="str">
        <x:v>Fixed</x:v>
      </x:c>
      <x:c r="I129" t="str">
        <x:v>Cash</x:v>
      </x:c>
      <x:c r="J129" s="41" t="n">
        <x:v>6</x:v>
      </x:c>
    </x:row>
    <x:row r="130">
      <x:c r="A130" s="32" t="n">
        <x:v>45870</x:v>
      </x:c>
      <x:c r="B130" t="str">
        <x:v>Aug 2025</x:v>
      </x:c>
      <x:c r="C130" t="str">
        <x:v>Actual</x:v>
      </x:c>
      <x:c r="D130" t="str">
        <x:v>Software and admin tools</x:v>
      </x:c>
      <x:c r="E130" t="str">
        <x:v>G&amp;A</x:v>
      </x:c>
      <x:c r="F130" t="str">
        <x:v>Software</x:v>
      </x:c>
      <x:c r="G130" s="38" t="n">
        <x:v>11.68</x:v>
      </x:c>
      <x:c r="H130" t="str">
        <x:v>Fixed</x:v>
      </x:c>
      <x:c r="I130" t="str">
        <x:v>Cash</x:v>
      </x:c>
      <x:c r="J130" s="41" t="n">
        <x:v>12</x:v>
      </x:c>
    </x:row>
    <x:row r="131">
      <x:c r="A131" s="32" t="n">
        <x:v>45870</x:v>
      </x:c>
      <x:c r="B131" t="str">
        <x:v>Aug 2025</x:v>
      </x:c>
      <x:c r="C131" t="str">
        <x:v>Actual</x:v>
      </x:c>
      <x:c r="D131" t="str">
        <x:v>Support payroll</x:v>
      </x:c>
      <x:c r="E131" t="str">
        <x:v>Customer Support</x:v>
      </x:c>
      <x:c r="F131" t="str">
        <x:v>Payroll</x:v>
      </x:c>
      <x:c r="G131" s="38" t="n">
        <x:v>28.9664</x:v>
      </x:c>
      <x:c r="H131" t="str">
        <x:v>Fixed</x:v>
      </x:c>
      <x:c r="I131" t="str">
        <x:v>Cash</x:v>
      </x:c>
      <x:c r="J131" s="41" t="n">
        <x:v>24</x:v>
      </x:c>
    </x:row>
    <x:row r="132">
      <x:c r="A132" s="32" t="n">
        <x:v>45870</x:v>
      </x:c>
      <x:c r="B132" t="str">
        <x:v>Aug 2025</x:v>
      </x:c>
      <x:c r="C132" t="str">
        <x:v>Actual</x:v>
      </x:c>
      <x:c r="D132" t="str">
        <x:v>Support variable tools</x:v>
      </x:c>
      <x:c r="E132" t="str">
        <x:v>Customer Support</x:v>
      </x:c>
      <x:c r="F132" t="str">
        <x:v>Support</x:v>
      </x:c>
      <x:c r="G132" s="38" t="n">
        <x:v>4.866666666666667</x:v>
      </x:c>
      <x:c r="H132" t="str">
        <x:v>Variable</x:v>
      </x:c>
      <x:c r="I132" t="str">
        <x:v>Cash</x:v>
      </x:c>
      <x:c r="J132" s="41" t="n">
        <x:v>5</x:v>
      </x:c>
    </x:row>
    <x:row r="133">
      <x:c r="A133" s="32" t="n">
        <x:v>45901</x:v>
      </x:c>
      <x:c r="B133" t="str">
        <x:v>Sep 2025</x:v>
      </x:c>
      <x:c r="C133" t="str">
        <x:v>Actual</x:v>
      </x:c>
      <x:c r="D133" t="str">
        <x:v>Sales team payroll</x:v>
      </x:c>
      <x:c r="E133" t="str">
        <x:v>Sales</x:v>
      </x:c>
      <x:c r="F133" t="str">
        <x:v>Payroll</x:v>
      </x:c>
      <x:c r="G133" s="38" t="n">
        <x:v>58.3296</x:v>
      </x:c>
      <x:c r="H133" t="str">
        <x:v>Fixed</x:v>
      </x:c>
      <x:c r="I133" t="str">
        <x:v>Cash</x:v>
      </x:c>
      <x:c r="J133" s="41" t="n">
        <x:v>48</x:v>
      </x:c>
    </x:row>
    <x:row r="134">
      <x:c r="A134" s="32" t="n">
        <x:v>45901</x:v>
      </x:c>
      <x:c r="B134" t="str">
        <x:v>Sep 2025</x:v>
      </x:c>
      <x:c r="C134" t="str">
        <x:v>Actual</x:v>
      </x:c>
      <x:c r="D134" t="str">
        <x:v>Retail broker commissions</x:v>
      </x:c>
      <x:c r="E134" t="str">
        <x:v>Sales</x:v>
      </x:c>
      <x:c r="F134" t="str">
        <x:v>Commissions</x:v>
      </x:c>
      <x:c r="G134" s="38" t="n">
        <x:v>8.82</x:v>
      </x:c>
      <x:c r="H134" t="str">
        <x:v>Variable</x:v>
      </x:c>
      <x:c r="I134" t="str">
        <x:v>Cash</x:v>
      </x:c>
      <x:c r="J134" s="41" t="n">
        <x:v>9</x:v>
      </x:c>
    </x:row>
    <x:row r="135">
      <x:c r="A135" s="32" t="n">
        <x:v>45901</x:v>
      </x:c>
      <x:c r="B135" t="str">
        <x:v>Sep 2025</x:v>
      </x:c>
      <x:c r="C135" t="str">
        <x:v>Actual</x:v>
      </x:c>
      <x:c r="D135" t="str">
        <x:v>Brand agency retainer</x:v>
      </x:c>
      <x:c r="E135" t="str">
        <x:v>Marketing</x:v>
      </x:c>
      <x:c r="F135" t="str">
        <x:v>Services</x:v>
      </x:c>
      <x:c r="G135" s="38" t="n">
        <x:v>21.56</x:v>
      </x:c>
      <x:c r="H135" t="str">
        <x:v>Fixed</x:v>
      </x:c>
      <x:c r="I135" t="str">
        <x:v>Cash</x:v>
      </x:c>
      <x:c r="J135" s="41" t="n">
        <x:v>22</x:v>
      </x:c>
    </x:row>
    <x:row r="136">
      <x:c r="A136" s="32" t="n">
        <x:v>45901</x:v>
      </x:c>
      <x:c r="B136" t="str">
        <x:v>Sep 2025</x:v>
      </x:c>
      <x:c r="C136" t="str">
        <x:v>Actual</x:v>
      </x:c>
      <x:c r="D136" t="str">
        <x:v>Creative production</x:v>
      </x:c>
      <x:c r="E136" t="str">
        <x:v>Marketing</x:v>
      </x:c>
      <x:c r="F136" t="str">
        <x:v>Services</x:v>
      </x:c>
      <x:c r="G136" s="38" t="n">
        <x:v>17.64</x:v>
      </x:c>
      <x:c r="H136" t="str">
        <x:v>Variable</x:v>
      </x:c>
      <x:c r="I136" t="str">
        <x:v>Cash</x:v>
      </x:c>
      <x:c r="J136" s="41" t="n">
        <x:v>18</x:v>
      </x:c>
    </x:row>
    <x:row r="137">
      <x:c r="A137" s="32" t="n">
        <x:v>45901</x:v>
      </x:c>
      <x:c r="B137" t="str">
        <x:v>Sep 2025</x:v>
      </x:c>
      <x:c r="C137" t="str">
        <x:v>Actual</x:v>
      </x:c>
      <x:c r="D137" t="str">
        <x:v>Ops team payroll</x:v>
      </x:c>
      <x:c r="E137" t="str">
        <x:v>Operations</x:v>
      </x:c>
      <x:c r="F137" t="str">
        <x:v>Payroll</x:v>
      </x:c>
      <x:c r="G137" s="38" t="n">
        <x:v>75.3424</x:v>
      </x:c>
      <x:c r="H137" t="str">
        <x:v>Fixed</x:v>
      </x:c>
      <x:c r="I137" t="str">
        <x:v>Cash</x:v>
      </x:c>
      <x:c r="J137" s="41" t="n">
        <x:v>62</x:v>
      </x:c>
    </x:row>
    <x:row r="138">
      <x:c r="A138" s="32" t="n">
        <x:v>45901</x:v>
      </x:c>
      <x:c r="B138" t="str">
        <x:v>Sep 2025</x:v>
      </x:c>
      <x:c r="C138" t="str">
        <x:v>Actual</x:v>
      </x:c>
      <x:c r="D138" t="str">
        <x:v>Warehouse rent</x:v>
      </x:c>
      <x:c r="E138" t="str">
        <x:v>Operations</x:v>
      </x:c>
      <x:c r="F138" t="str">
        <x:v>Facilities</x:v>
      </x:c>
      <x:c r="G138" s="38" t="n">
        <x:v>27.439999999999998</x:v>
      </x:c>
      <x:c r="H138" t="str">
        <x:v>Fixed</x:v>
      </x:c>
      <x:c r="I138" t="str">
        <x:v>Cash</x:v>
      </x:c>
      <x:c r="J138" s="41" t="n">
        <x:v>28</x:v>
      </x:c>
    </x:row>
    <x:row r="139">
      <x:c r="A139" s="32" t="n">
        <x:v>45901</x:v>
      </x:c>
      <x:c r="B139" t="str">
        <x:v>Sep 2025</x:v>
      </x:c>
      <x:c r="C139" t="str">
        <x:v>Actual</x:v>
      </x:c>
      <x:c r="D139" t="str">
        <x:v>Inventory systems</x:v>
      </x:c>
      <x:c r="E139" t="str">
        <x:v>Operations</x:v>
      </x:c>
      <x:c r="F139" t="str">
        <x:v>Software</x:v>
      </x:c>
      <x:c r="G139" s="38" t="n">
        <x:v>6.859999999999999</x:v>
      </x:c>
      <x:c r="H139" t="str">
        <x:v>Fixed</x:v>
      </x:c>
      <x:c r="I139" t="str">
        <x:v>Cash</x:v>
      </x:c>
      <x:c r="J139" s="41" t="n">
        <x:v>7</x:v>
      </x:c>
    </x:row>
    <x:row r="140">
      <x:c r="A140" s="32" t="n">
        <x:v>45901</x:v>
      </x:c>
      <x:c r="B140" t="str">
        <x:v>Sep 2025</x:v>
      </x:c>
      <x:c r="C140" t="str">
        <x:v>Actual</x:v>
      </x:c>
      <x:c r="D140" t="str">
        <x:v>Product team payroll</x:v>
      </x:c>
      <x:c r="E140" t="str">
        <x:v>Product</x:v>
      </x:c>
      <x:c r="F140" t="str">
        <x:v>Payroll</x:v>
      </x:c>
      <x:c r="G140" s="38" t="n">
        <x:v>43.7472</x:v>
      </x:c>
      <x:c r="H140" t="str">
        <x:v>Fixed</x:v>
      </x:c>
      <x:c r="I140" t="str">
        <x:v>Cash</x:v>
      </x:c>
      <x:c r="J140" s="41" t="n">
        <x:v>36</x:v>
      </x:c>
    </x:row>
    <x:row r="141">
      <x:c r="A141" s="32" t="n">
        <x:v>45901</x:v>
      </x:c>
      <x:c r="B141" t="str">
        <x:v>Sep 2025</x:v>
      </x:c>
      <x:c r="C141" t="str">
        <x:v>Actual</x:v>
      </x:c>
      <x:c r="D141" t="str">
        <x:v>QA and inspections</x:v>
      </x:c>
      <x:c r="E141" t="str">
        <x:v>Product</x:v>
      </x:c>
      <x:c r="F141" t="str">
        <x:v>Services</x:v>
      </x:c>
      <x:c r="G141" s="38" t="n">
        <x:v>5.88</x:v>
      </x:c>
      <x:c r="H141" t="str">
        <x:v>Variable</x:v>
      </x:c>
      <x:c r="I141" t="str">
        <x:v>Cash</x:v>
      </x:c>
      <x:c r="J141" s="41" t="n">
        <x:v>6</x:v>
      </x:c>
    </x:row>
    <x:row r="142">
      <x:c r="A142" s="32" t="n">
        <x:v>45901</x:v>
      </x:c>
      <x:c r="B142" t="str">
        <x:v>Sep 2025</x:v>
      </x:c>
      <x:c r="C142" t="str">
        <x:v>Actual</x:v>
      </x:c>
      <x:c r="D142" t="str">
        <x:v>Executive payroll</x:v>
      </x:c>
      <x:c r="E142" t="str">
        <x:v>G&amp;A</x:v>
      </x:c>
      <x:c r="F142" t="str">
        <x:v>Payroll</x:v>
      </x:c>
      <x:c r="G142" s="38" t="n">
        <x:v>70.4816</x:v>
      </x:c>
      <x:c r="H142" t="str">
        <x:v>Fixed</x:v>
      </x:c>
      <x:c r="I142" t="str">
        <x:v>Cash</x:v>
      </x:c>
      <x:c r="J142" s="41" t="n">
        <x:v>58</x:v>
      </x:c>
    </x:row>
    <x:row r="143">
      <x:c r="A143" s="32" t="n">
        <x:v>45901</x:v>
      </x:c>
      <x:c r="B143" t="str">
        <x:v>Sep 2025</x:v>
      </x:c>
      <x:c r="C143" t="str">
        <x:v>Actual</x:v>
      </x:c>
      <x:c r="D143" t="str">
        <x:v>Finance and accounting</x:v>
      </x:c>
      <x:c r="E143" t="str">
        <x:v>G&amp;A</x:v>
      </x:c>
      <x:c r="F143" t="str">
        <x:v>Professional fees</x:v>
      </x:c>
      <x:c r="G143" s="38" t="n">
        <x:v>13.719999999999999</x:v>
      </x:c>
      <x:c r="H143" t="str">
        <x:v>Fixed</x:v>
      </x:c>
      <x:c r="I143" t="str">
        <x:v>Cash</x:v>
      </x:c>
      <x:c r="J143" s="41" t="n">
        <x:v>14</x:v>
      </x:c>
    </x:row>
    <x:row r="144">
      <x:c r="A144" s="32" t="n">
        <x:v>45901</x:v>
      </x:c>
      <x:c r="B144" t="str">
        <x:v>Sep 2025</x:v>
      </x:c>
      <x:c r="C144" t="str">
        <x:v>Actual</x:v>
      </x:c>
      <x:c r="D144" t="str">
        <x:v>Legal</x:v>
      </x:c>
      <x:c r="E144" t="str">
        <x:v>G&amp;A</x:v>
      </x:c>
      <x:c r="F144" t="str">
        <x:v>Professional fees</x:v>
      </x:c>
      <x:c r="G144" s="38" t="n">
        <x:v>7.84</x:v>
      </x:c>
      <x:c r="H144" t="str">
        <x:v>Fixed</x:v>
      </x:c>
      <x:c r="I144" t="str">
        <x:v>Cash</x:v>
      </x:c>
      <x:c r="J144" s="41" t="n">
        <x:v>8</x:v>
      </x:c>
    </x:row>
    <x:row r="145">
      <x:c r="A145" s="32" t="n">
        <x:v>45901</x:v>
      </x:c>
      <x:c r="B145" t="str">
        <x:v>Sep 2025</x:v>
      </x:c>
      <x:c r="C145" t="str">
        <x:v>Actual</x:v>
      </x:c>
      <x:c r="D145" t="str">
        <x:v>Insurance</x:v>
      </x:c>
      <x:c r="E145" t="str">
        <x:v>G&amp;A</x:v>
      </x:c>
      <x:c r="F145" t="str">
        <x:v>Insurance</x:v>
      </x:c>
      <x:c r="G145" s="38" t="n">
        <x:v>5.88</x:v>
      </x:c>
      <x:c r="H145" t="str">
        <x:v>Fixed</x:v>
      </x:c>
      <x:c r="I145" t="str">
        <x:v>Cash</x:v>
      </x:c>
      <x:c r="J145" s="41" t="n">
        <x:v>6</x:v>
      </x:c>
    </x:row>
    <x:row r="146">
      <x:c r="A146" s="32" t="n">
        <x:v>45901</x:v>
      </x:c>
      <x:c r="B146" t="str">
        <x:v>Sep 2025</x:v>
      </x:c>
      <x:c r="C146" t="str">
        <x:v>Actual</x:v>
      </x:c>
      <x:c r="D146" t="str">
        <x:v>Software and admin tools</x:v>
      </x:c>
      <x:c r="E146" t="str">
        <x:v>G&amp;A</x:v>
      </x:c>
      <x:c r="F146" t="str">
        <x:v>Software</x:v>
      </x:c>
      <x:c r="G146" s="38" t="n">
        <x:v>11.76</x:v>
      </x:c>
      <x:c r="H146" t="str">
        <x:v>Fixed</x:v>
      </x:c>
      <x:c r="I146" t="str">
        <x:v>Cash</x:v>
      </x:c>
      <x:c r="J146" s="41" t="n">
        <x:v>12</x:v>
      </x:c>
    </x:row>
    <x:row r="147">
      <x:c r="A147" s="32" t="n">
        <x:v>45901</x:v>
      </x:c>
      <x:c r="B147" t="str">
        <x:v>Sep 2025</x:v>
      </x:c>
      <x:c r="C147" t="str">
        <x:v>Actual</x:v>
      </x:c>
      <x:c r="D147" t="str">
        <x:v>Support payroll</x:v>
      </x:c>
      <x:c r="E147" t="str">
        <x:v>Customer Support</x:v>
      </x:c>
      <x:c r="F147" t="str">
        <x:v>Payroll</x:v>
      </x:c>
      <x:c r="G147" s="38" t="n">
        <x:v>29.1648</x:v>
      </x:c>
      <x:c r="H147" t="str">
        <x:v>Fixed</x:v>
      </x:c>
      <x:c r="I147" t="str">
        <x:v>Cash</x:v>
      </x:c>
      <x:c r="J147" s="41" t="n">
        <x:v>24</x:v>
      </x:c>
    </x:row>
    <x:row r="148">
      <x:c r="A148" s="32" t="n">
        <x:v>45901</x:v>
      </x:c>
      <x:c r="B148" t="str">
        <x:v>Sep 2025</x:v>
      </x:c>
      <x:c r="C148" t="str">
        <x:v>Actual</x:v>
      </x:c>
      <x:c r="D148" t="str">
        <x:v>Support variable tools</x:v>
      </x:c>
      <x:c r="E148" t="str">
        <x:v>Customer Support</x:v>
      </x:c>
      <x:c r="F148" t="str">
        <x:v>Support</x:v>
      </x:c>
      <x:c r="G148" s="38" t="n">
        <x:v>4.9</x:v>
      </x:c>
      <x:c r="H148" t="str">
        <x:v>Variable</x:v>
      </x:c>
      <x:c r="I148" t="str">
        <x:v>Cash</x:v>
      </x:c>
      <x:c r="J148" s="41" t="n">
        <x:v>5</x:v>
      </x:c>
    </x:row>
    <x:row r="149">
      <x:c r="A149" s="32" t="n">
        <x:v>45931</x:v>
      </x:c>
      <x:c r="B149" t="str">
        <x:v>Oct 2025</x:v>
      </x:c>
      <x:c r="C149" t="str">
        <x:v>Actual</x:v>
      </x:c>
      <x:c r="D149" t="str">
        <x:v>Sales team payroll</x:v>
      </x:c>
      <x:c r="E149" t="str">
        <x:v>Sales</x:v>
      </x:c>
      <x:c r="F149" t="str">
        <x:v>Payroll</x:v>
      </x:c>
      <x:c r="G149" s="38" t="n">
        <x:v>58.7264</x:v>
      </x:c>
      <x:c r="H149" t="str">
        <x:v>Fixed</x:v>
      </x:c>
      <x:c r="I149" t="str">
        <x:v>Cash</x:v>
      </x:c>
      <x:c r="J149" s="41" t="n">
        <x:v>48</x:v>
      </x:c>
    </x:row>
    <x:row r="150">
      <x:c r="A150" s="32" t="n">
        <x:v>45931</x:v>
      </x:c>
      <x:c r="B150" t="str">
        <x:v>Oct 2025</x:v>
      </x:c>
      <x:c r="C150" t="str">
        <x:v>Actual</x:v>
      </x:c>
      <x:c r="D150" t="str">
        <x:v>Retail broker commissions</x:v>
      </x:c>
      <x:c r="E150" t="str">
        <x:v>Sales</x:v>
      </x:c>
      <x:c r="F150" t="str">
        <x:v>Commissions</x:v>
      </x:c>
      <x:c r="G150" s="38" t="n">
        <x:v>8.88</x:v>
      </x:c>
      <x:c r="H150" t="str">
        <x:v>Variable</x:v>
      </x:c>
      <x:c r="I150" t="str">
        <x:v>Cash</x:v>
      </x:c>
      <x:c r="J150" s="41" t="n">
        <x:v>9</x:v>
      </x:c>
    </x:row>
    <x:row r="151">
      <x:c r="A151" s="32" t="n">
        <x:v>45931</x:v>
      </x:c>
      <x:c r="B151" t="str">
        <x:v>Oct 2025</x:v>
      </x:c>
      <x:c r="C151" t="str">
        <x:v>Actual</x:v>
      </x:c>
      <x:c r="D151" t="str">
        <x:v>Brand agency retainer</x:v>
      </x:c>
      <x:c r="E151" t="str">
        <x:v>Marketing</x:v>
      </x:c>
      <x:c r="F151" t="str">
        <x:v>Services</x:v>
      </x:c>
      <x:c r="G151" s="38" t="n">
        <x:v>21.706666666666667</x:v>
      </x:c>
      <x:c r="H151" t="str">
        <x:v>Fixed</x:v>
      </x:c>
      <x:c r="I151" t="str">
        <x:v>Cash</x:v>
      </x:c>
      <x:c r="J151" s="41" t="n">
        <x:v>22</x:v>
      </x:c>
    </x:row>
    <x:row r="152">
      <x:c r="A152" s="32" t="n">
        <x:v>45931</x:v>
      </x:c>
      <x:c r="B152" t="str">
        <x:v>Oct 2025</x:v>
      </x:c>
      <x:c r="C152" t="str">
        <x:v>Actual</x:v>
      </x:c>
      <x:c r="D152" t="str">
        <x:v>Creative production</x:v>
      </x:c>
      <x:c r="E152" t="str">
        <x:v>Marketing</x:v>
      </x:c>
      <x:c r="F152" t="str">
        <x:v>Services</x:v>
      </x:c>
      <x:c r="G152" s="38" t="n">
        <x:v>17.76</x:v>
      </x:c>
      <x:c r="H152" t="str">
        <x:v>Variable</x:v>
      </x:c>
      <x:c r="I152" t="str">
        <x:v>Cash</x:v>
      </x:c>
      <x:c r="J152" s="41" t="n">
        <x:v>18</x:v>
      </x:c>
    </x:row>
    <x:row r="153">
      <x:c r="A153" s="32" t="n">
        <x:v>45931</x:v>
      </x:c>
      <x:c r="B153" t="str">
        <x:v>Oct 2025</x:v>
      </x:c>
      <x:c r="C153" t="str">
        <x:v>Actual</x:v>
      </x:c>
      <x:c r="D153" t="str">
        <x:v>Ops team payroll</x:v>
      </x:c>
      <x:c r="E153" t="str">
        <x:v>Operations</x:v>
      </x:c>
      <x:c r="F153" t="str">
        <x:v>Payroll</x:v>
      </x:c>
      <x:c r="G153" s="38" t="n">
        <x:v>75.85493333333334</x:v>
      </x:c>
      <x:c r="H153" t="str">
        <x:v>Fixed</x:v>
      </x:c>
      <x:c r="I153" t="str">
        <x:v>Cash</x:v>
      </x:c>
      <x:c r="J153" s="41" t="n">
        <x:v>62</x:v>
      </x:c>
    </x:row>
    <x:row r="154">
      <x:c r="A154" s="32" t="n">
        <x:v>45931</x:v>
      </x:c>
      <x:c r="B154" t="str">
        <x:v>Oct 2025</x:v>
      </x:c>
      <x:c r="C154" t="str">
        <x:v>Actual</x:v>
      </x:c>
      <x:c r="D154" t="str">
        <x:v>Warehouse rent</x:v>
      </x:c>
      <x:c r="E154" t="str">
        <x:v>Operations</x:v>
      </x:c>
      <x:c r="F154" t="str">
        <x:v>Facilities</x:v>
      </x:c>
      <x:c r="G154" s="38" t="n">
        <x:v>27.62666666666667</x:v>
      </x:c>
      <x:c r="H154" t="str">
        <x:v>Fixed</x:v>
      </x:c>
      <x:c r="I154" t="str">
        <x:v>Cash</x:v>
      </x:c>
      <x:c r="J154" s="41" t="n">
        <x:v>28</x:v>
      </x:c>
    </x:row>
    <x:row r="155">
      <x:c r="A155" s="32" t="n">
        <x:v>45931</x:v>
      </x:c>
      <x:c r="B155" t="str">
        <x:v>Oct 2025</x:v>
      </x:c>
      <x:c r="C155" t="str">
        <x:v>Actual</x:v>
      </x:c>
      <x:c r="D155" t="str">
        <x:v>Inventory systems</x:v>
      </x:c>
      <x:c r="E155" t="str">
        <x:v>Operations</x:v>
      </x:c>
      <x:c r="F155" t="str">
        <x:v>Software</x:v>
      </x:c>
      <x:c r="G155" s="38" t="n">
        <x:v>6.906666666666667</x:v>
      </x:c>
      <x:c r="H155" t="str">
        <x:v>Fixed</x:v>
      </x:c>
      <x:c r="I155" t="str">
        <x:v>Cash</x:v>
      </x:c>
      <x:c r="J155" s="41" t="n">
        <x:v>7</x:v>
      </x:c>
    </x:row>
    <x:row r="156">
      <x:c r="A156" s="32" t="n">
        <x:v>45931</x:v>
      </x:c>
      <x:c r="B156" t="str">
        <x:v>Oct 2025</x:v>
      </x:c>
      <x:c r="C156" t="str">
        <x:v>Actual</x:v>
      </x:c>
      <x:c r="D156" t="str">
        <x:v>Product team payroll</x:v>
      </x:c>
      <x:c r="E156" t="str">
        <x:v>Product</x:v>
      </x:c>
      <x:c r="F156" t="str">
        <x:v>Payroll</x:v>
      </x:c>
      <x:c r="G156" s="38" t="n">
        <x:v>44.0448</x:v>
      </x:c>
      <x:c r="H156" t="str">
        <x:v>Fixed</x:v>
      </x:c>
      <x:c r="I156" t="str">
        <x:v>Cash</x:v>
      </x:c>
      <x:c r="J156" s="41" t="n">
        <x:v>36</x:v>
      </x:c>
    </x:row>
    <x:row r="157">
      <x:c r="A157" s="32" t="n">
        <x:v>45931</x:v>
      </x:c>
      <x:c r="B157" t="str">
        <x:v>Oct 2025</x:v>
      </x:c>
      <x:c r="C157" t="str">
        <x:v>Actual</x:v>
      </x:c>
      <x:c r="D157" t="str">
        <x:v>QA and inspections</x:v>
      </x:c>
      <x:c r="E157" t="str">
        <x:v>Product</x:v>
      </x:c>
      <x:c r="F157" t="str">
        <x:v>Services</x:v>
      </x:c>
      <x:c r="G157" s="38" t="n">
        <x:v>5.92</x:v>
      </x:c>
      <x:c r="H157" t="str">
        <x:v>Variable</x:v>
      </x:c>
      <x:c r="I157" t="str">
        <x:v>Cash</x:v>
      </x:c>
      <x:c r="J157" s="41" t="n">
        <x:v>6</x:v>
      </x:c>
    </x:row>
    <x:row r="158">
      <x:c r="A158" s="32" t="n">
        <x:v>45931</x:v>
      </x:c>
      <x:c r="B158" t="str">
        <x:v>Oct 2025</x:v>
      </x:c>
      <x:c r="C158" t="str">
        <x:v>Actual</x:v>
      </x:c>
      <x:c r="D158" t="str">
        <x:v>Executive payroll</x:v>
      </x:c>
      <x:c r="E158" t="str">
        <x:v>G&amp;A</x:v>
      </x:c>
      <x:c r="F158" t="str">
        <x:v>Payroll</x:v>
      </x:c>
      <x:c r="G158" s="38" t="n">
        <x:v>70.96106666666667</x:v>
      </x:c>
      <x:c r="H158" t="str">
        <x:v>Fixed</x:v>
      </x:c>
      <x:c r="I158" t="str">
        <x:v>Cash</x:v>
      </x:c>
      <x:c r="J158" s="41" t="n">
        <x:v>58</x:v>
      </x:c>
    </x:row>
    <x:row r="159">
      <x:c r="A159" s="32" t="n">
        <x:v>45931</x:v>
      </x:c>
      <x:c r="B159" t="str">
        <x:v>Oct 2025</x:v>
      </x:c>
      <x:c r="C159" t="str">
        <x:v>Actual</x:v>
      </x:c>
      <x:c r="D159" t="str">
        <x:v>Finance and accounting</x:v>
      </x:c>
      <x:c r="E159" t="str">
        <x:v>G&amp;A</x:v>
      </x:c>
      <x:c r="F159" t="str">
        <x:v>Professional fees</x:v>
      </x:c>
      <x:c r="G159" s="38" t="n">
        <x:v>13.813333333333334</x:v>
      </x:c>
      <x:c r="H159" t="str">
        <x:v>Fixed</x:v>
      </x:c>
      <x:c r="I159" t="str">
        <x:v>Cash</x:v>
      </x:c>
      <x:c r="J159" s="41" t="n">
        <x:v>14</x:v>
      </x:c>
    </x:row>
    <x:row r="160">
      <x:c r="A160" s="32" t="n">
        <x:v>45931</x:v>
      </x:c>
      <x:c r="B160" t="str">
        <x:v>Oct 2025</x:v>
      </x:c>
      <x:c r="C160" t="str">
        <x:v>Actual</x:v>
      </x:c>
      <x:c r="D160" t="str">
        <x:v>Legal</x:v>
      </x:c>
      <x:c r="E160" t="str">
        <x:v>G&amp;A</x:v>
      </x:c>
      <x:c r="F160" t="str">
        <x:v>Professional fees</x:v>
      </x:c>
      <x:c r="G160" s="38" t="n">
        <x:v>7.8933333333333335</x:v>
      </x:c>
      <x:c r="H160" t="str">
        <x:v>Fixed</x:v>
      </x:c>
      <x:c r="I160" t="str">
        <x:v>Cash</x:v>
      </x:c>
      <x:c r="J160" s="41" t="n">
        <x:v>8</x:v>
      </x:c>
    </x:row>
    <x:row r="161">
      <x:c r="A161" s="32" t="n">
        <x:v>45931</x:v>
      </x:c>
      <x:c r="B161" t="str">
        <x:v>Oct 2025</x:v>
      </x:c>
      <x:c r="C161" t="str">
        <x:v>Actual</x:v>
      </x:c>
      <x:c r="D161" t="str">
        <x:v>Insurance</x:v>
      </x:c>
      <x:c r="E161" t="str">
        <x:v>G&amp;A</x:v>
      </x:c>
      <x:c r="F161" t="str">
        <x:v>Insurance</x:v>
      </x:c>
      <x:c r="G161" s="38" t="n">
        <x:v>5.92</x:v>
      </x:c>
      <x:c r="H161" t="str">
        <x:v>Fixed</x:v>
      </x:c>
      <x:c r="I161" t="str">
        <x:v>Cash</x:v>
      </x:c>
      <x:c r="J161" s="41" t="n">
        <x:v>6</x:v>
      </x:c>
    </x:row>
    <x:row r="162">
      <x:c r="A162" s="32" t="n">
        <x:v>45931</x:v>
      </x:c>
      <x:c r="B162" t="str">
        <x:v>Oct 2025</x:v>
      </x:c>
      <x:c r="C162" t="str">
        <x:v>Actual</x:v>
      </x:c>
      <x:c r="D162" t="str">
        <x:v>Software and admin tools</x:v>
      </x:c>
      <x:c r="E162" t="str">
        <x:v>G&amp;A</x:v>
      </x:c>
      <x:c r="F162" t="str">
        <x:v>Software</x:v>
      </x:c>
      <x:c r="G162" s="38" t="n">
        <x:v>11.84</x:v>
      </x:c>
      <x:c r="H162" t="str">
        <x:v>Fixed</x:v>
      </x:c>
      <x:c r="I162" t="str">
        <x:v>Cash</x:v>
      </x:c>
      <x:c r="J162" s="41" t="n">
        <x:v>12</x:v>
      </x:c>
    </x:row>
    <x:row r="163">
      <x:c r="A163" s="32" t="n">
        <x:v>45931</x:v>
      </x:c>
      <x:c r="B163" t="str">
        <x:v>Oct 2025</x:v>
      </x:c>
      <x:c r="C163" t="str">
        <x:v>Actual</x:v>
      </x:c>
      <x:c r="D163" t="str">
        <x:v>Support payroll</x:v>
      </x:c>
      <x:c r="E163" t="str">
        <x:v>Customer Support</x:v>
      </x:c>
      <x:c r="F163" t="str">
        <x:v>Payroll</x:v>
      </x:c>
      <x:c r="G163" s="38" t="n">
        <x:v>29.3632</x:v>
      </x:c>
      <x:c r="H163" t="str">
        <x:v>Fixed</x:v>
      </x:c>
      <x:c r="I163" t="str">
        <x:v>Cash</x:v>
      </x:c>
      <x:c r="J163" s="41" t="n">
        <x:v>24</x:v>
      </x:c>
    </x:row>
    <x:row r="164">
      <x:c r="A164" s="32" t="n">
        <x:v>45931</x:v>
      </x:c>
      <x:c r="B164" t="str">
        <x:v>Oct 2025</x:v>
      </x:c>
      <x:c r="C164" t="str">
        <x:v>Actual</x:v>
      </x:c>
      <x:c r="D164" t="str">
        <x:v>Support variable tools</x:v>
      </x:c>
      <x:c r="E164" t="str">
        <x:v>Customer Support</x:v>
      </x:c>
      <x:c r="F164" t="str">
        <x:v>Support</x:v>
      </x:c>
      <x:c r="G164" s="38" t="n">
        <x:v>4.933333333333334</x:v>
      </x:c>
      <x:c r="H164" t="str">
        <x:v>Variable</x:v>
      </x:c>
      <x:c r="I164" t="str">
        <x:v>Cash</x:v>
      </x:c>
      <x:c r="J164" s="41" t="n">
        <x:v>5</x:v>
      </x:c>
    </x:row>
    <x:row r="165">
      <x:c r="A165" s="32" t="n">
        <x:v>45962</x:v>
      </x:c>
      <x:c r="B165" t="str">
        <x:v>Nov 2025</x:v>
      </x:c>
      <x:c r="C165" t="str">
        <x:v>Actual</x:v>
      </x:c>
      <x:c r="D165" t="str">
        <x:v>Sales team payroll</x:v>
      </x:c>
      <x:c r="E165" t="str">
        <x:v>Sales</x:v>
      </x:c>
      <x:c r="F165" t="str">
        <x:v>Payroll</x:v>
      </x:c>
      <x:c r="G165" s="38" t="n">
        <x:v>59.12320000000001</x:v>
      </x:c>
      <x:c r="H165" t="str">
        <x:v>Fixed</x:v>
      </x:c>
      <x:c r="I165" t="str">
        <x:v>Cash</x:v>
      </x:c>
      <x:c r="J165" s="41" t="n">
        <x:v>48</x:v>
      </x:c>
    </x:row>
    <x:row r="166">
      <x:c r="A166" s="32" t="n">
        <x:v>45962</x:v>
      </x:c>
      <x:c r="B166" t="str">
        <x:v>Nov 2025</x:v>
      </x:c>
      <x:c r="C166" t="str">
        <x:v>Actual</x:v>
      </x:c>
      <x:c r="D166" t="str">
        <x:v>Retail broker commissions</x:v>
      </x:c>
      <x:c r="E166" t="str">
        <x:v>Sales</x:v>
      </x:c>
      <x:c r="F166" t="str">
        <x:v>Commissions</x:v>
      </x:c>
      <x:c r="G166" s="38" t="n">
        <x:v>8.940000000000001</x:v>
      </x:c>
      <x:c r="H166" t="str">
        <x:v>Variable</x:v>
      </x:c>
      <x:c r="I166" t="str">
        <x:v>Cash</x:v>
      </x:c>
      <x:c r="J166" s="41" t="n">
        <x:v>9</x:v>
      </x:c>
    </x:row>
    <x:row r="167">
      <x:c r="A167" s="32" t="n">
        <x:v>45962</x:v>
      </x:c>
      <x:c r="B167" t="str">
        <x:v>Nov 2025</x:v>
      </x:c>
      <x:c r="C167" t="str">
        <x:v>Actual</x:v>
      </x:c>
      <x:c r="D167" t="str">
        <x:v>Brand agency retainer</x:v>
      </x:c>
      <x:c r="E167" t="str">
        <x:v>Marketing</x:v>
      </x:c>
      <x:c r="F167" t="str">
        <x:v>Services</x:v>
      </x:c>
      <x:c r="G167" s="38" t="n">
        <x:v>21.853333333333335</x:v>
      </x:c>
      <x:c r="H167" t="str">
        <x:v>Fixed</x:v>
      </x:c>
      <x:c r="I167" t="str">
        <x:v>Cash</x:v>
      </x:c>
      <x:c r="J167" s="41" t="n">
        <x:v>22</x:v>
      </x:c>
    </x:row>
    <x:row r="168">
      <x:c r="A168" s="32" t="n">
        <x:v>45962</x:v>
      </x:c>
      <x:c r="B168" t="str">
        <x:v>Nov 2025</x:v>
      </x:c>
      <x:c r="C168" t="str">
        <x:v>Actual</x:v>
      </x:c>
      <x:c r="D168" t="str">
        <x:v>Creative production</x:v>
      </x:c>
      <x:c r="E168" t="str">
        <x:v>Marketing</x:v>
      </x:c>
      <x:c r="F168" t="str">
        <x:v>Services</x:v>
      </x:c>
      <x:c r="G168" s="38" t="n">
        <x:v>17.880000000000003</x:v>
      </x:c>
      <x:c r="H168" t="str">
        <x:v>Variable</x:v>
      </x:c>
      <x:c r="I168" t="str">
        <x:v>Cash</x:v>
      </x:c>
      <x:c r="J168" s="41" t="n">
        <x:v>18</x:v>
      </x:c>
    </x:row>
    <x:row r="169">
      <x:c r="A169" s="32" t="n">
        <x:v>45962</x:v>
      </x:c>
      <x:c r="B169" t="str">
        <x:v>Nov 2025</x:v>
      </x:c>
      <x:c r="C169" t="str">
        <x:v>Actual</x:v>
      </x:c>
      <x:c r="D169" t="str">
        <x:v>Ops team payroll</x:v>
      </x:c>
      <x:c r="E169" t="str">
        <x:v>Operations</x:v>
      </x:c>
      <x:c r="F169" t="str">
        <x:v>Payroll</x:v>
      </x:c>
      <x:c r="G169" s="38" t="n">
        <x:v>76.36746666666667</x:v>
      </x:c>
      <x:c r="H169" t="str">
        <x:v>Fixed</x:v>
      </x:c>
      <x:c r="I169" t="str">
        <x:v>Cash</x:v>
      </x:c>
      <x:c r="J169" s="41" t="n">
        <x:v>62</x:v>
      </x:c>
    </x:row>
    <x:row r="170">
      <x:c r="A170" s="32" t="n">
        <x:v>45962</x:v>
      </x:c>
      <x:c r="B170" t="str">
        <x:v>Nov 2025</x:v>
      </x:c>
      <x:c r="C170" t="str">
        <x:v>Actual</x:v>
      </x:c>
      <x:c r="D170" t="str">
        <x:v>Warehouse rent</x:v>
      </x:c>
      <x:c r="E170" t="str">
        <x:v>Operations</x:v>
      </x:c>
      <x:c r="F170" t="str">
        <x:v>Facilities</x:v>
      </x:c>
      <x:c r="G170" s="38" t="n">
        <x:v>27.813333333333336</x:v>
      </x:c>
      <x:c r="H170" t="str">
        <x:v>Fixed</x:v>
      </x:c>
      <x:c r="I170" t="str">
        <x:v>Cash</x:v>
      </x:c>
      <x:c r="J170" s="41" t="n">
        <x:v>28</x:v>
      </x:c>
    </x:row>
    <x:row r="171">
      <x:c r="A171" s="32" t="n">
        <x:v>45962</x:v>
      </x:c>
      <x:c r="B171" t="str">
        <x:v>Nov 2025</x:v>
      </x:c>
      <x:c r="C171" t="str">
        <x:v>Actual</x:v>
      </x:c>
      <x:c r="D171" t="str">
        <x:v>Inventory systems</x:v>
      </x:c>
      <x:c r="E171" t="str">
        <x:v>Operations</x:v>
      </x:c>
      <x:c r="F171" t="str">
        <x:v>Software</x:v>
      </x:c>
      <x:c r="G171" s="38" t="n">
        <x:v>6.953333333333334</x:v>
      </x:c>
      <x:c r="H171" t="str">
        <x:v>Fixed</x:v>
      </x:c>
      <x:c r="I171" t="str">
        <x:v>Cash</x:v>
      </x:c>
      <x:c r="J171" s="41" t="n">
        <x:v>7</x:v>
      </x:c>
    </x:row>
    <x:row r="172">
      <x:c r="A172" s="32" t="n">
        <x:v>45962</x:v>
      </x:c>
      <x:c r="B172" t="str">
        <x:v>Nov 2025</x:v>
      </x:c>
      <x:c r="C172" t="str">
        <x:v>Actual</x:v>
      </x:c>
      <x:c r="D172" t="str">
        <x:v>Product team payroll</x:v>
      </x:c>
      <x:c r="E172" t="str">
        <x:v>Product</x:v>
      </x:c>
      <x:c r="F172" t="str">
        <x:v>Payroll</x:v>
      </x:c>
      <x:c r="G172" s="38" t="n">
        <x:v>44.342400000000005</x:v>
      </x:c>
      <x:c r="H172" t="str">
        <x:v>Fixed</x:v>
      </x:c>
      <x:c r="I172" t="str">
        <x:v>Cash</x:v>
      </x:c>
      <x:c r="J172" s="41" t="n">
        <x:v>36</x:v>
      </x:c>
    </x:row>
    <x:row r="173">
      <x:c r="A173" s="32" t="n">
        <x:v>45962</x:v>
      </x:c>
      <x:c r="B173" t="str">
        <x:v>Nov 2025</x:v>
      </x:c>
      <x:c r="C173" t="str">
        <x:v>Actual</x:v>
      </x:c>
      <x:c r="D173" t="str">
        <x:v>QA and inspections</x:v>
      </x:c>
      <x:c r="E173" t="str">
        <x:v>Product</x:v>
      </x:c>
      <x:c r="F173" t="str">
        <x:v>Services</x:v>
      </x:c>
      <x:c r="G173" s="38" t="n">
        <x:v>5.960000000000001</x:v>
      </x:c>
      <x:c r="H173" t="str">
        <x:v>Variable</x:v>
      </x:c>
      <x:c r="I173" t="str">
        <x:v>Cash</x:v>
      </x:c>
      <x:c r="J173" s="41" t="n">
        <x:v>6</x:v>
      </x:c>
    </x:row>
    <x:row r="174">
      <x:c r="A174" s="32" t="n">
        <x:v>45962</x:v>
      </x:c>
      <x:c r="B174" t="str">
        <x:v>Nov 2025</x:v>
      </x:c>
      <x:c r="C174" t="str">
        <x:v>Actual</x:v>
      </x:c>
      <x:c r="D174" t="str">
        <x:v>Executive payroll</x:v>
      </x:c>
      <x:c r="E174" t="str">
        <x:v>G&amp;A</x:v>
      </x:c>
      <x:c r="F174" t="str">
        <x:v>Payroll</x:v>
      </x:c>
      <x:c r="G174" s="38" t="n">
        <x:v>71.44053333333333</x:v>
      </x:c>
      <x:c r="H174" t="str">
        <x:v>Fixed</x:v>
      </x:c>
      <x:c r="I174" t="str">
        <x:v>Cash</x:v>
      </x:c>
      <x:c r="J174" s="41" t="n">
        <x:v>58</x:v>
      </x:c>
    </x:row>
    <x:row r="175">
      <x:c r="A175" s="32" t="n">
        <x:v>45962</x:v>
      </x:c>
      <x:c r="B175" t="str">
        <x:v>Nov 2025</x:v>
      </x:c>
      <x:c r="C175" t="str">
        <x:v>Actual</x:v>
      </x:c>
      <x:c r="D175" t="str">
        <x:v>Finance and accounting</x:v>
      </x:c>
      <x:c r="E175" t="str">
        <x:v>G&amp;A</x:v>
      </x:c>
      <x:c r="F175" t="str">
        <x:v>Professional fees</x:v>
      </x:c>
      <x:c r="G175" s="38" t="n">
        <x:v>13.906666666666668</x:v>
      </x:c>
      <x:c r="H175" t="str">
        <x:v>Fixed</x:v>
      </x:c>
      <x:c r="I175" t="str">
        <x:v>Cash</x:v>
      </x:c>
      <x:c r="J175" s="41" t="n">
        <x:v>14</x:v>
      </x:c>
    </x:row>
    <x:row r="176">
      <x:c r="A176" s="32" t="n">
        <x:v>45962</x:v>
      </x:c>
      <x:c r="B176" t="str">
        <x:v>Nov 2025</x:v>
      </x:c>
      <x:c r="C176" t="str">
        <x:v>Actual</x:v>
      </x:c>
      <x:c r="D176" t="str">
        <x:v>Legal</x:v>
      </x:c>
      <x:c r="E176" t="str">
        <x:v>G&amp;A</x:v>
      </x:c>
      <x:c r="F176" t="str">
        <x:v>Professional fees</x:v>
      </x:c>
      <x:c r="G176" s="38" t="n">
        <x:v>7.946666666666667</x:v>
      </x:c>
      <x:c r="H176" t="str">
        <x:v>Fixed</x:v>
      </x:c>
      <x:c r="I176" t="str">
        <x:v>Cash</x:v>
      </x:c>
      <x:c r="J176" s="41" t="n">
        <x:v>8</x:v>
      </x:c>
    </x:row>
    <x:row r="177">
      <x:c r="A177" s="32" t="n">
        <x:v>45962</x:v>
      </x:c>
      <x:c r="B177" t="str">
        <x:v>Nov 2025</x:v>
      </x:c>
      <x:c r="C177" t="str">
        <x:v>Actual</x:v>
      </x:c>
      <x:c r="D177" t="str">
        <x:v>Insurance</x:v>
      </x:c>
      <x:c r="E177" t="str">
        <x:v>G&amp;A</x:v>
      </x:c>
      <x:c r="F177" t="str">
        <x:v>Insurance</x:v>
      </x:c>
      <x:c r="G177" s="38" t="n">
        <x:v>5.960000000000001</x:v>
      </x:c>
      <x:c r="H177" t="str">
        <x:v>Fixed</x:v>
      </x:c>
      <x:c r="I177" t="str">
        <x:v>Cash</x:v>
      </x:c>
      <x:c r="J177" s="41" t="n">
        <x:v>6</x:v>
      </x:c>
    </x:row>
    <x:row r="178">
      <x:c r="A178" s="32" t="n">
        <x:v>45962</x:v>
      </x:c>
      <x:c r="B178" t="str">
        <x:v>Nov 2025</x:v>
      </x:c>
      <x:c r="C178" t="str">
        <x:v>Actual</x:v>
      </x:c>
      <x:c r="D178" t="str">
        <x:v>Software and admin tools</x:v>
      </x:c>
      <x:c r="E178" t="str">
        <x:v>G&amp;A</x:v>
      </x:c>
      <x:c r="F178" t="str">
        <x:v>Software</x:v>
      </x:c>
      <x:c r="G178" s="38" t="n">
        <x:v>11.920000000000002</x:v>
      </x:c>
      <x:c r="H178" t="str">
        <x:v>Fixed</x:v>
      </x:c>
      <x:c r="I178" t="str">
        <x:v>Cash</x:v>
      </x:c>
      <x:c r="J178" s="41" t="n">
        <x:v>12</x:v>
      </x:c>
    </x:row>
    <x:row r="179">
      <x:c r="A179" s="32" t="n">
        <x:v>45962</x:v>
      </x:c>
      <x:c r="B179" t="str">
        <x:v>Nov 2025</x:v>
      </x:c>
      <x:c r="C179" t="str">
        <x:v>Actual</x:v>
      </x:c>
      <x:c r="D179" t="str">
        <x:v>Support payroll</x:v>
      </x:c>
      <x:c r="E179" t="str">
        <x:v>Customer Support</x:v>
      </x:c>
      <x:c r="F179" t="str">
        <x:v>Payroll</x:v>
      </x:c>
      <x:c r="G179" s="38" t="n">
        <x:v>29.561600000000006</x:v>
      </x:c>
      <x:c r="H179" t="str">
        <x:v>Fixed</x:v>
      </x:c>
      <x:c r="I179" t="str">
        <x:v>Cash</x:v>
      </x:c>
      <x:c r="J179" s="41" t="n">
        <x:v>24</x:v>
      </x:c>
    </x:row>
    <x:row r="180">
      <x:c r="A180" s="32" t="n">
        <x:v>45962</x:v>
      </x:c>
      <x:c r="B180" t="str">
        <x:v>Nov 2025</x:v>
      </x:c>
      <x:c r="C180" t="str">
        <x:v>Actual</x:v>
      </x:c>
      <x:c r="D180" t="str">
        <x:v>Support variable tools</x:v>
      </x:c>
      <x:c r="E180" t="str">
        <x:v>Customer Support</x:v>
      </x:c>
      <x:c r="F180" t="str">
        <x:v>Support</x:v>
      </x:c>
      <x:c r="G180" s="38" t="n">
        <x:v>4.966666666666667</x:v>
      </x:c>
      <x:c r="H180" t="str">
        <x:v>Variable</x:v>
      </x:c>
      <x:c r="I180" t="str">
        <x:v>Cash</x:v>
      </x:c>
      <x:c r="J180" s="41" t="n">
        <x:v>5</x:v>
      </x:c>
    </x:row>
    <x:row r="181">
      <x:c r="A181" s="32" t="n">
        <x:v>45992</x:v>
      </x:c>
      <x:c r="B181" t="str">
        <x:v>Dec 2025</x:v>
      </x:c>
      <x:c r="C181" t="str">
        <x:v>Actual</x:v>
      </x:c>
      <x:c r="D181" t="str">
        <x:v>Sales team payroll</x:v>
      </x:c>
      <x:c r="E181" t="str">
        <x:v>Sales</x:v>
      </x:c>
      <x:c r="F181" t="str">
        <x:v>Payroll</x:v>
      </x:c>
      <x:c r="G181" s="38" t="n">
        <x:v>59.519999999999996</x:v>
      </x:c>
      <x:c r="H181" t="str">
        <x:v>Fixed</x:v>
      </x:c>
      <x:c r="I181" t="str">
        <x:v>Cash</x:v>
      </x:c>
      <x:c r="J181" s="41" t="n">
        <x:v>48</x:v>
      </x:c>
    </x:row>
    <x:row r="182">
      <x:c r="A182" s="32" t="n">
        <x:v>45992</x:v>
      </x:c>
      <x:c r="B182" t="str">
        <x:v>Dec 2025</x:v>
      </x:c>
      <x:c r="C182" t="str">
        <x:v>Actual</x:v>
      </x:c>
      <x:c r="D182" t="str">
        <x:v>Retail broker commissions</x:v>
      </x:c>
      <x:c r="E182" t="str">
        <x:v>Sales</x:v>
      </x:c>
      <x:c r="F182" t="str">
        <x:v>Commissions</x:v>
      </x:c>
      <x:c r="G182" s="38" t="n">
        <x:v>9</x:v>
      </x:c>
      <x:c r="H182" t="str">
        <x:v>Variable</x:v>
      </x:c>
      <x:c r="I182" t="str">
        <x:v>Cash</x:v>
      </x:c>
      <x:c r="J182" s="41" t="n">
        <x:v>9</x:v>
      </x:c>
    </x:row>
    <x:row r="183">
      <x:c r="A183" s="32" t="n">
        <x:v>45992</x:v>
      </x:c>
      <x:c r="B183" t="str">
        <x:v>Dec 2025</x:v>
      </x:c>
      <x:c r="C183" t="str">
        <x:v>Actual</x:v>
      </x:c>
      <x:c r="D183" t="str">
        <x:v>Brand agency retainer</x:v>
      </x:c>
      <x:c r="E183" t="str">
        <x:v>Marketing</x:v>
      </x:c>
      <x:c r="F183" t="str">
        <x:v>Services</x:v>
      </x:c>
      <x:c r="G183" s="38" t="n">
        <x:v>22</x:v>
      </x:c>
      <x:c r="H183" t="str">
        <x:v>Fixed</x:v>
      </x:c>
      <x:c r="I183" t="str">
        <x:v>Cash</x:v>
      </x:c>
      <x:c r="J183" s="41" t="n">
        <x:v>22</x:v>
      </x:c>
    </x:row>
    <x:row r="184">
      <x:c r="A184" s="32" t="n">
        <x:v>45992</x:v>
      </x:c>
      <x:c r="B184" t="str">
        <x:v>Dec 2025</x:v>
      </x:c>
      <x:c r="C184" t="str">
        <x:v>Actual</x:v>
      </x:c>
      <x:c r="D184" t="str">
        <x:v>Creative production</x:v>
      </x:c>
      <x:c r="E184" t="str">
        <x:v>Marketing</x:v>
      </x:c>
      <x:c r="F184" t="str">
        <x:v>Services</x:v>
      </x:c>
      <x:c r="G184" s="38" t="n">
        <x:v>18</x:v>
      </x:c>
      <x:c r="H184" t="str">
        <x:v>Variable</x:v>
      </x:c>
      <x:c r="I184" t="str">
        <x:v>Cash</x:v>
      </x:c>
      <x:c r="J184" s="41" t="n">
        <x:v>18</x:v>
      </x:c>
    </x:row>
    <x:row r="185">
      <x:c r="A185" s="32" t="n">
        <x:v>45992</x:v>
      </x:c>
      <x:c r="B185" t="str">
        <x:v>Dec 2025</x:v>
      </x:c>
      <x:c r="C185" t="str">
        <x:v>Actual</x:v>
      </x:c>
      <x:c r="D185" t="str">
        <x:v>Ops team payroll</x:v>
      </x:c>
      <x:c r="E185" t="str">
        <x:v>Operations</x:v>
      </x:c>
      <x:c r="F185" t="str">
        <x:v>Payroll</x:v>
      </x:c>
      <x:c r="G185" s="38" t="n">
        <x:v>76.88</x:v>
      </x:c>
      <x:c r="H185" t="str">
        <x:v>Fixed</x:v>
      </x:c>
      <x:c r="I185" t="str">
        <x:v>Cash</x:v>
      </x:c>
      <x:c r="J185" s="41" t="n">
        <x:v>62</x:v>
      </x:c>
    </x:row>
    <x:row r="186">
      <x:c r="A186" s="32" t="n">
        <x:v>45992</x:v>
      </x:c>
      <x:c r="B186" t="str">
        <x:v>Dec 2025</x:v>
      </x:c>
      <x:c r="C186" t="str">
        <x:v>Actual</x:v>
      </x:c>
      <x:c r="D186" t="str">
        <x:v>Warehouse rent</x:v>
      </x:c>
      <x:c r="E186" t="str">
        <x:v>Operations</x:v>
      </x:c>
      <x:c r="F186" t="str">
        <x:v>Facilities</x:v>
      </x:c>
      <x:c r="G186" s="38" t="n">
        <x:v>28</x:v>
      </x:c>
      <x:c r="H186" t="str">
        <x:v>Fixed</x:v>
      </x:c>
      <x:c r="I186" t="str">
        <x:v>Cash</x:v>
      </x:c>
      <x:c r="J186" s="41" t="n">
        <x:v>28</x:v>
      </x:c>
    </x:row>
    <x:row r="187">
      <x:c r="A187" s="32" t="n">
        <x:v>45992</x:v>
      </x:c>
      <x:c r="B187" t="str">
        <x:v>Dec 2025</x:v>
      </x:c>
      <x:c r="C187" t="str">
        <x:v>Actual</x:v>
      </x:c>
      <x:c r="D187" t="str">
        <x:v>Inventory systems</x:v>
      </x:c>
      <x:c r="E187" t="str">
        <x:v>Operations</x:v>
      </x:c>
      <x:c r="F187" t="str">
        <x:v>Software</x:v>
      </x:c>
      <x:c r="G187" s="38" t="n">
        <x:v>7</x:v>
      </x:c>
      <x:c r="H187" t="str">
        <x:v>Fixed</x:v>
      </x:c>
      <x:c r="I187" t="str">
        <x:v>Cash</x:v>
      </x:c>
      <x:c r="J187" s="41" t="n">
        <x:v>7</x:v>
      </x:c>
    </x:row>
    <x:row r="188">
      <x:c r="A188" s="32" t="n">
        <x:v>45992</x:v>
      </x:c>
      <x:c r="B188" t="str">
        <x:v>Dec 2025</x:v>
      </x:c>
      <x:c r="C188" t="str">
        <x:v>Actual</x:v>
      </x:c>
      <x:c r="D188" t="str">
        <x:v>Product team payroll</x:v>
      </x:c>
      <x:c r="E188" t="str">
        <x:v>Product</x:v>
      </x:c>
      <x:c r="F188" t="str">
        <x:v>Payroll</x:v>
      </x:c>
      <x:c r="G188" s="38" t="n">
        <x:v>44.64</x:v>
      </x:c>
      <x:c r="H188" t="str">
        <x:v>Fixed</x:v>
      </x:c>
      <x:c r="I188" t="str">
        <x:v>Cash</x:v>
      </x:c>
      <x:c r="J188" s="41" t="n">
        <x:v>36</x:v>
      </x:c>
    </x:row>
    <x:row r="189">
      <x:c r="A189" s="32" t="n">
        <x:v>45992</x:v>
      </x:c>
      <x:c r="B189" t="str">
        <x:v>Dec 2025</x:v>
      </x:c>
      <x:c r="C189" t="str">
        <x:v>Actual</x:v>
      </x:c>
      <x:c r="D189" t="str">
        <x:v>QA and inspections</x:v>
      </x:c>
      <x:c r="E189" t="str">
        <x:v>Product</x:v>
      </x:c>
      <x:c r="F189" t="str">
        <x:v>Services</x:v>
      </x:c>
      <x:c r="G189" s="38" t="n">
        <x:v>6</x:v>
      </x:c>
      <x:c r="H189" t="str">
        <x:v>Variable</x:v>
      </x:c>
      <x:c r="I189" t="str">
        <x:v>Cash</x:v>
      </x:c>
      <x:c r="J189" s="41" t="n">
        <x:v>6</x:v>
      </x:c>
    </x:row>
    <x:row r="190">
      <x:c r="A190" s="32" t="n">
        <x:v>45992</x:v>
      </x:c>
      <x:c r="B190" t="str">
        <x:v>Dec 2025</x:v>
      </x:c>
      <x:c r="C190" t="str">
        <x:v>Actual</x:v>
      </x:c>
      <x:c r="D190" t="str">
        <x:v>Executive payroll</x:v>
      </x:c>
      <x:c r="E190" t="str">
        <x:v>G&amp;A</x:v>
      </x:c>
      <x:c r="F190" t="str">
        <x:v>Payroll</x:v>
      </x:c>
      <x:c r="G190" s="38" t="n">
        <x:v>71.92</x:v>
      </x:c>
      <x:c r="H190" t="str">
        <x:v>Fixed</x:v>
      </x:c>
      <x:c r="I190" t="str">
        <x:v>Cash</x:v>
      </x:c>
      <x:c r="J190" s="41" t="n">
        <x:v>58</x:v>
      </x:c>
    </x:row>
    <x:row r="191">
      <x:c r="A191" s="32" t="n">
        <x:v>45992</x:v>
      </x:c>
      <x:c r="B191" t="str">
        <x:v>Dec 2025</x:v>
      </x:c>
      <x:c r="C191" t="str">
        <x:v>Actual</x:v>
      </x:c>
      <x:c r="D191" t="str">
        <x:v>Finance and accounting</x:v>
      </x:c>
      <x:c r="E191" t="str">
        <x:v>G&amp;A</x:v>
      </x:c>
      <x:c r="F191" t="str">
        <x:v>Professional fees</x:v>
      </x:c>
      <x:c r="G191" s="38" t="n">
        <x:v>14</x:v>
      </x:c>
      <x:c r="H191" t="str">
        <x:v>Fixed</x:v>
      </x:c>
      <x:c r="I191" t="str">
        <x:v>Cash</x:v>
      </x:c>
      <x:c r="J191" s="41" t="n">
        <x:v>14</x:v>
      </x:c>
    </x:row>
    <x:row r="192">
      <x:c r="A192" s="32" t="n">
        <x:v>45992</x:v>
      </x:c>
      <x:c r="B192" t="str">
        <x:v>Dec 2025</x:v>
      </x:c>
      <x:c r="C192" t="str">
        <x:v>Actual</x:v>
      </x:c>
      <x:c r="D192" t="str">
        <x:v>Legal</x:v>
      </x:c>
      <x:c r="E192" t="str">
        <x:v>G&amp;A</x:v>
      </x:c>
      <x:c r="F192" t="str">
        <x:v>Professional fees</x:v>
      </x:c>
      <x:c r="G192" s="38" t="n">
        <x:v>8</x:v>
      </x:c>
      <x:c r="H192" t="str">
        <x:v>Fixed</x:v>
      </x:c>
      <x:c r="I192" t="str">
        <x:v>Cash</x:v>
      </x:c>
      <x:c r="J192" s="41" t="n">
        <x:v>8</x:v>
      </x:c>
    </x:row>
    <x:row r="193">
      <x:c r="A193" s="32" t="n">
        <x:v>45992</x:v>
      </x:c>
      <x:c r="B193" t="str">
        <x:v>Dec 2025</x:v>
      </x:c>
      <x:c r="C193" t="str">
        <x:v>Actual</x:v>
      </x:c>
      <x:c r="D193" t="str">
        <x:v>Insurance</x:v>
      </x:c>
      <x:c r="E193" t="str">
        <x:v>G&amp;A</x:v>
      </x:c>
      <x:c r="F193" t="str">
        <x:v>Insurance</x:v>
      </x:c>
      <x:c r="G193" s="38" t="n">
        <x:v>6</x:v>
      </x:c>
      <x:c r="H193" t="str">
        <x:v>Fixed</x:v>
      </x:c>
      <x:c r="I193" t="str">
        <x:v>Cash</x:v>
      </x:c>
      <x:c r="J193" s="41" t="n">
        <x:v>6</x:v>
      </x:c>
    </x:row>
    <x:row r="194">
      <x:c r="A194" s="32" t="n">
        <x:v>45992</x:v>
      </x:c>
      <x:c r="B194" t="str">
        <x:v>Dec 2025</x:v>
      </x:c>
      <x:c r="C194" t="str">
        <x:v>Actual</x:v>
      </x:c>
      <x:c r="D194" t="str">
        <x:v>Software and admin tools</x:v>
      </x:c>
      <x:c r="E194" t="str">
        <x:v>G&amp;A</x:v>
      </x:c>
      <x:c r="F194" t="str">
        <x:v>Software</x:v>
      </x:c>
      <x:c r="G194" s="38" t="n">
        <x:v>12</x:v>
      </x:c>
      <x:c r="H194" t="str">
        <x:v>Fixed</x:v>
      </x:c>
      <x:c r="I194" t="str">
        <x:v>Cash</x:v>
      </x:c>
      <x:c r="J194" s="41" t="n">
        <x:v>12</x:v>
      </x:c>
    </x:row>
    <x:row r="195">
      <x:c r="A195" s="32" t="n">
        <x:v>45992</x:v>
      </x:c>
      <x:c r="B195" t="str">
        <x:v>Dec 2025</x:v>
      </x:c>
      <x:c r="C195" t="str">
        <x:v>Actual</x:v>
      </x:c>
      <x:c r="D195" t="str">
        <x:v>Support payroll</x:v>
      </x:c>
      <x:c r="E195" t="str">
        <x:v>Customer Support</x:v>
      </x:c>
      <x:c r="F195" t="str">
        <x:v>Payroll</x:v>
      </x:c>
      <x:c r="G195" s="38" t="n">
        <x:v>29.759999999999998</x:v>
      </x:c>
      <x:c r="H195" t="str">
        <x:v>Fixed</x:v>
      </x:c>
      <x:c r="I195" t="str">
        <x:v>Cash</x:v>
      </x:c>
      <x:c r="J195" s="41" t="n">
        <x:v>24</x:v>
      </x:c>
    </x:row>
    <x:row r="196">
      <x:c r="A196" s="32" t="n">
        <x:v>45992</x:v>
      </x:c>
      <x:c r="B196" t="str">
        <x:v>Dec 2025</x:v>
      </x:c>
      <x:c r="C196" t="str">
        <x:v>Actual</x:v>
      </x:c>
      <x:c r="D196" t="str">
        <x:v>Support variable tools</x:v>
      </x:c>
      <x:c r="E196" t="str">
        <x:v>Customer Support</x:v>
      </x:c>
      <x:c r="F196" t="str">
        <x:v>Support</x:v>
      </x:c>
      <x:c r="G196" s="38" t="n">
        <x:v>5</x:v>
      </x:c>
      <x:c r="H196" t="str">
        <x:v>Variable</x:v>
      </x:c>
      <x:c r="I196" t="str">
        <x:v>Cash</x:v>
      </x:c>
      <x:c r="J196" s="41" t="n">
        <x:v>5</x:v>
      </x:c>
    </x:row>
    <x:row r="197">
      <x:c r="A197" s="32" t="n">
        <x:v>46023</x:v>
      </x:c>
      <x:c r="B197" t="str">
        <x:v>Jan 2026</x:v>
      </x:c>
      <x:c r="C197" t="str">
        <x:v>Forecast</x:v>
      </x:c>
      <x:c r="D197" t="str">
        <x:v>Sales team payroll</x:v>
      </x:c>
      <x:c r="E197" t="str">
        <x:v>Sales</x:v>
      </x:c>
      <x:c r="F197" t="str">
        <x:v>Payroll</x:v>
      </x:c>
      <x:c r="G197" s="38" t="n">
        <x:v>59.519999999999996</x:v>
      </x:c>
      <x:c r="H197" t="str">
        <x:v>Fixed</x:v>
      </x:c>
      <x:c r="I197" t="str">
        <x:v>Cash</x:v>
      </x:c>
      <x:c r="J197" s="41" t="n">
        <x:v>48</x:v>
      </x:c>
    </x:row>
    <x:row r="198">
      <x:c r="A198" s="32" t="n">
        <x:v>46023</x:v>
      </x:c>
      <x:c r="B198" t="str">
        <x:v>Jan 2026</x:v>
      </x:c>
      <x:c r="C198" t="str">
        <x:v>Forecast</x:v>
      </x:c>
      <x:c r="D198" t="str">
        <x:v>Retail broker commissions</x:v>
      </x:c>
      <x:c r="E198" t="str">
        <x:v>Sales</x:v>
      </x:c>
      <x:c r="F198" t="str">
        <x:v>Commissions</x:v>
      </x:c>
      <x:c r="G198" s="38" t="n">
        <x:v>9</x:v>
      </x:c>
      <x:c r="H198" t="str">
        <x:v>Variable</x:v>
      </x:c>
      <x:c r="I198" t="str">
        <x:v>Cash</x:v>
      </x:c>
      <x:c r="J198" s="41" t="n">
        <x:v>9</x:v>
      </x:c>
    </x:row>
    <x:row r="199">
      <x:c r="A199" s="32" t="n">
        <x:v>46023</x:v>
      </x:c>
      <x:c r="B199" t="str">
        <x:v>Jan 2026</x:v>
      </x:c>
      <x:c r="C199" t="str">
        <x:v>Forecast</x:v>
      </x:c>
      <x:c r="D199" t="str">
        <x:v>Brand agency retainer</x:v>
      </x:c>
      <x:c r="E199" t="str">
        <x:v>Marketing</x:v>
      </x:c>
      <x:c r="F199" t="str">
        <x:v>Services</x:v>
      </x:c>
      <x:c r="G199" s="38" t="n">
        <x:v>22</x:v>
      </x:c>
      <x:c r="H199" t="str">
        <x:v>Fixed</x:v>
      </x:c>
      <x:c r="I199" t="str">
        <x:v>Cash</x:v>
      </x:c>
      <x:c r="J199" s="41" t="n">
        <x:v>22</x:v>
      </x:c>
    </x:row>
    <x:row r="200">
      <x:c r="A200" s="32" t="n">
        <x:v>46023</x:v>
      </x:c>
      <x:c r="B200" t="str">
        <x:v>Jan 2026</x:v>
      </x:c>
      <x:c r="C200" t="str">
        <x:v>Forecast</x:v>
      </x:c>
      <x:c r="D200" t="str">
        <x:v>Creative production</x:v>
      </x:c>
      <x:c r="E200" t="str">
        <x:v>Marketing</x:v>
      </x:c>
      <x:c r="F200" t="str">
        <x:v>Services</x:v>
      </x:c>
      <x:c r="G200" s="38" t="n">
        <x:v>18</x:v>
      </x:c>
      <x:c r="H200" t="str">
        <x:v>Variable</x:v>
      </x:c>
      <x:c r="I200" t="str">
        <x:v>Cash</x:v>
      </x:c>
      <x:c r="J200" s="41" t="n">
        <x:v>18</x:v>
      </x:c>
    </x:row>
    <x:row r="201">
      <x:c r="A201" s="32" t="n">
        <x:v>46023</x:v>
      </x:c>
      <x:c r="B201" t="str">
        <x:v>Jan 2026</x:v>
      </x:c>
      <x:c r="C201" t="str">
        <x:v>Forecast</x:v>
      </x:c>
      <x:c r="D201" t="str">
        <x:v>Ops team payroll</x:v>
      </x:c>
      <x:c r="E201" t="str">
        <x:v>Operations</x:v>
      </x:c>
      <x:c r="F201" t="str">
        <x:v>Payroll</x:v>
      </x:c>
      <x:c r="G201" s="38" t="n">
        <x:v>76.88</x:v>
      </x:c>
      <x:c r="H201" t="str">
        <x:v>Fixed</x:v>
      </x:c>
      <x:c r="I201" t="str">
        <x:v>Cash</x:v>
      </x:c>
      <x:c r="J201" s="41" t="n">
        <x:v>62</x:v>
      </x:c>
    </x:row>
    <x:row r="202">
      <x:c r="A202" s="32" t="n">
        <x:v>46023</x:v>
      </x:c>
      <x:c r="B202" t="str">
        <x:v>Jan 2026</x:v>
      </x:c>
      <x:c r="C202" t="str">
        <x:v>Forecast</x:v>
      </x:c>
      <x:c r="D202" t="str">
        <x:v>Warehouse rent</x:v>
      </x:c>
      <x:c r="E202" t="str">
        <x:v>Operations</x:v>
      </x:c>
      <x:c r="F202" t="str">
        <x:v>Facilities</x:v>
      </x:c>
      <x:c r="G202" s="38" t="n">
        <x:v>28</x:v>
      </x:c>
      <x:c r="H202" t="str">
        <x:v>Fixed</x:v>
      </x:c>
      <x:c r="I202" t="str">
        <x:v>Cash</x:v>
      </x:c>
      <x:c r="J202" s="41" t="n">
        <x:v>28</x:v>
      </x:c>
    </x:row>
    <x:row r="203">
      <x:c r="A203" s="32" t="n">
        <x:v>46023</x:v>
      </x:c>
      <x:c r="B203" t="str">
        <x:v>Jan 2026</x:v>
      </x:c>
      <x:c r="C203" t="str">
        <x:v>Forecast</x:v>
      </x:c>
      <x:c r="D203" t="str">
        <x:v>Inventory systems</x:v>
      </x:c>
      <x:c r="E203" t="str">
        <x:v>Operations</x:v>
      </x:c>
      <x:c r="F203" t="str">
        <x:v>Software</x:v>
      </x:c>
      <x:c r="G203" s="38" t="n">
        <x:v>7</x:v>
      </x:c>
      <x:c r="H203" t="str">
        <x:v>Fixed</x:v>
      </x:c>
      <x:c r="I203" t="str">
        <x:v>Cash</x:v>
      </x:c>
      <x:c r="J203" s="41" t="n">
        <x:v>7</x:v>
      </x:c>
    </x:row>
    <x:row r="204">
      <x:c r="A204" s="32" t="n">
        <x:v>46023</x:v>
      </x:c>
      <x:c r="B204" t="str">
        <x:v>Jan 2026</x:v>
      </x:c>
      <x:c r="C204" t="str">
        <x:v>Forecast</x:v>
      </x:c>
      <x:c r="D204" t="str">
        <x:v>Product team payroll</x:v>
      </x:c>
      <x:c r="E204" t="str">
        <x:v>Product</x:v>
      </x:c>
      <x:c r="F204" t="str">
        <x:v>Payroll</x:v>
      </x:c>
      <x:c r="G204" s="38" t="n">
        <x:v>44.64</x:v>
      </x:c>
      <x:c r="H204" t="str">
        <x:v>Fixed</x:v>
      </x:c>
      <x:c r="I204" t="str">
        <x:v>Cash</x:v>
      </x:c>
      <x:c r="J204" s="41" t="n">
        <x:v>36</x:v>
      </x:c>
    </x:row>
    <x:row r="205">
      <x:c r="A205" s="32" t="n">
        <x:v>46023</x:v>
      </x:c>
      <x:c r="B205" t="str">
        <x:v>Jan 2026</x:v>
      </x:c>
      <x:c r="C205" t="str">
        <x:v>Forecast</x:v>
      </x:c>
      <x:c r="D205" t="str">
        <x:v>QA and inspections</x:v>
      </x:c>
      <x:c r="E205" t="str">
        <x:v>Product</x:v>
      </x:c>
      <x:c r="F205" t="str">
        <x:v>Services</x:v>
      </x:c>
      <x:c r="G205" s="38" t="n">
        <x:v>6</x:v>
      </x:c>
      <x:c r="H205" t="str">
        <x:v>Variable</x:v>
      </x:c>
      <x:c r="I205" t="str">
        <x:v>Cash</x:v>
      </x:c>
      <x:c r="J205" s="41" t="n">
        <x:v>6</x:v>
      </x:c>
    </x:row>
    <x:row r="206">
      <x:c r="A206" s="32" t="n">
        <x:v>46023</x:v>
      </x:c>
      <x:c r="B206" t="str">
        <x:v>Jan 2026</x:v>
      </x:c>
      <x:c r="C206" t="str">
        <x:v>Forecast</x:v>
      </x:c>
      <x:c r="D206" t="str">
        <x:v>Executive payroll</x:v>
      </x:c>
      <x:c r="E206" t="str">
        <x:v>G&amp;A</x:v>
      </x:c>
      <x:c r="F206" t="str">
        <x:v>Payroll</x:v>
      </x:c>
      <x:c r="G206" s="38" t="n">
        <x:v>71.92</x:v>
      </x:c>
      <x:c r="H206" t="str">
        <x:v>Fixed</x:v>
      </x:c>
      <x:c r="I206" t="str">
        <x:v>Cash</x:v>
      </x:c>
      <x:c r="J206" s="41" t="n">
        <x:v>58</x:v>
      </x:c>
    </x:row>
    <x:row r="207">
      <x:c r="A207" s="32" t="n">
        <x:v>46023</x:v>
      </x:c>
      <x:c r="B207" t="str">
        <x:v>Jan 2026</x:v>
      </x:c>
      <x:c r="C207" t="str">
        <x:v>Forecast</x:v>
      </x:c>
      <x:c r="D207" t="str">
        <x:v>Finance and accounting</x:v>
      </x:c>
      <x:c r="E207" t="str">
        <x:v>G&amp;A</x:v>
      </x:c>
      <x:c r="F207" t="str">
        <x:v>Professional fees</x:v>
      </x:c>
      <x:c r="G207" s="38" t="n">
        <x:v>14</x:v>
      </x:c>
      <x:c r="H207" t="str">
        <x:v>Fixed</x:v>
      </x:c>
      <x:c r="I207" t="str">
        <x:v>Cash</x:v>
      </x:c>
      <x:c r="J207" s="41" t="n">
        <x:v>14</x:v>
      </x:c>
    </x:row>
    <x:row r="208">
      <x:c r="A208" s="32" t="n">
        <x:v>46023</x:v>
      </x:c>
      <x:c r="B208" t="str">
        <x:v>Jan 2026</x:v>
      </x:c>
      <x:c r="C208" t="str">
        <x:v>Forecast</x:v>
      </x:c>
      <x:c r="D208" t="str">
        <x:v>Legal</x:v>
      </x:c>
      <x:c r="E208" t="str">
        <x:v>G&amp;A</x:v>
      </x:c>
      <x:c r="F208" t="str">
        <x:v>Professional fees</x:v>
      </x:c>
      <x:c r="G208" s="38" t="n">
        <x:v>8</x:v>
      </x:c>
      <x:c r="H208" t="str">
        <x:v>Fixed</x:v>
      </x:c>
      <x:c r="I208" t="str">
        <x:v>Cash</x:v>
      </x:c>
      <x:c r="J208" s="41" t="n">
        <x:v>8</x:v>
      </x:c>
    </x:row>
    <x:row r="209">
      <x:c r="A209" s="32" t="n">
        <x:v>46023</x:v>
      </x:c>
      <x:c r="B209" t="str">
        <x:v>Jan 2026</x:v>
      </x:c>
      <x:c r="C209" t="str">
        <x:v>Forecast</x:v>
      </x:c>
      <x:c r="D209" t="str">
        <x:v>Insurance</x:v>
      </x:c>
      <x:c r="E209" t="str">
        <x:v>G&amp;A</x:v>
      </x:c>
      <x:c r="F209" t="str">
        <x:v>Insurance</x:v>
      </x:c>
      <x:c r="G209" s="38" t="n">
        <x:v>6</x:v>
      </x:c>
      <x:c r="H209" t="str">
        <x:v>Fixed</x:v>
      </x:c>
      <x:c r="I209" t="str">
        <x:v>Cash</x:v>
      </x:c>
      <x:c r="J209" s="41" t="n">
        <x:v>6</x:v>
      </x:c>
    </x:row>
    <x:row r="210">
      <x:c r="A210" s="32" t="n">
        <x:v>46023</x:v>
      </x:c>
      <x:c r="B210" t="str">
        <x:v>Jan 2026</x:v>
      </x:c>
      <x:c r="C210" t="str">
        <x:v>Forecast</x:v>
      </x:c>
      <x:c r="D210" t="str">
        <x:v>Software and admin tools</x:v>
      </x:c>
      <x:c r="E210" t="str">
        <x:v>G&amp;A</x:v>
      </x:c>
      <x:c r="F210" t="str">
        <x:v>Software</x:v>
      </x:c>
      <x:c r="G210" s="38" t="n">
        <x:v>12</x:v>
      </x:c>
      <x:c r="H210" t="str">
        <x:v>Fixed</x:v>
      </x:c>
      <x:c r="I210" t="str">
        <x:v>Cash</x:v>
      </x:c>
      <x:c r="J210" s="41" t="n">
        <x:v>12</x:v>
      </x:c>
    </x:row>
    <x:row r="211">
      <x:c r="A211" s="32" t="n">
        <x:v>46023</x:v>
      </x:c>
      <x:c r="B211" t="str">
        <x:v>Jan 2026</x:v>
      </x:c>
      <x:c r="C211" t="str">
        <x:v>Forecast</x:v>
      </x:c>
      <x:c r="D211" t="str">
        <x:v>Support payroll</x:v>
      </x:c>
      <x:c r="E211" t="str">
        <x:v>Customer Support</x:v>
      </x:c>
      <x:c r="F211" t="str">
        <x:v>Payroll</x:v>
      </x:c>
      <x:c r="G211" s="38" t="n">
        <x:v>29.759999999999998</x:v>
      </x:c>
      <x:c r="H211" t="str">
        <x:v>Fixed</x:v>
      </x:c>
      <x:c r="I211" t="str">
        <x:v>Cash</x:v>
      </x:c>
      <x:c r="J211" s="41" t="n">
        <x:v>24</x:v>
      </x:c>
    </x:row>
    <x:row r="212">
      <x:c r="A212" s="32" t="n">
        <x:v>46023</x:v>
      </x:c>
      <x:c r="B212" t="str">
        <x:v>Jan 2026</x:v>
      </x:c>
      <x:c r="C212" t="str">
        <x:v>Forecast</x:v>
      </x:c>
      <x:c r="D212" t="str">
        <x:v>Support variable tools</x:v>
      </x:c>
      <x:c r="E212" t="str">
        <x:v>Customer Support</x:v>
      </x:c>
      <x:c r="F212" t="str">
        <x:v>Support</x:v>
      </x:c>
      <x:c r="G212" s="38" t="n">
        <x:v>5</x:v>
      </x:c>
      <x:c r="H212" t="str">
        <x:v>Variable</x:v>
      </x:c>
      <x:c r="I212" t="str">
        <x:v>Cash</x:v>
      </x:c>
      <x:c r="J212" s="41" t="n">
        <x:v>5</x:v>
      </x:c>
    </x:row>
    <x:row r="213">
      <x:c r="A213" s="32" t="n">
        <x:v>46054</x:v>
      </x:c>
      <x:c r="B213" t="str">
        <x:v>Feb 2026</x:v>
      </x:c>
      <x:c r="C213" t="str">
        <x:v>Forecast</x:v>
      </x:c>
      <x:c r="D213" t="str">
        <x:v>Sales team payroll</x:v>
      </x:c>
      <x:c r="E213" t="str">
        <x:v>Sales</x:v>
      </x:c>
      <x:c r="F213" t="str">
        <x:v>Payroll</x:v>
      </x:c>
      <x:c r="G213" s="38" t="n">
        <x:v>59.519999999999996</x:v>
      </x:c>
      <x:c r="H213" t="str">
        <x:v>Fixed</x:v>
      </x:c>
      <x:c r="I213" t="str">
        <x:v>Cash</x:v>
      </x:c>
      <x:c r="J213" s="41" t="n">
        <x:v>48</x:v>
      </x:c>
    </x:row>
    <x:row r="214">
      <x:c r="A214" s="32" t="n">
        <x:v>46054</x:v>
      </x:c>
      <x:c r="B214" t="str">
        <x:v>Feb 2026</x:v>
      </x:c>
      <x:c r="C214" t="str">
        <x:v>Forecast</x:v>
      </x:c>
      <x:c r="D214" t="str">
        <x:v>Retail broker commissions</x:v>
      </x:c>
      <x:c r="E214" t="str">
        <x:v>Sales</x:v>
      </x:c>
      <x:c r="F214" t="str">
        <x:v>Commissions</x:v>
      </x:c>
      <x:c r="G214" s="38" t="n">
        <x:v>9</x:v>
      </x:c>
      <x:c r="H214" t="str">
        <x:v>Variable</x:v>
      </x:c>
      <x:c r="I214" t="str">
        <x:v>Cash</x:v>
      </x:c>
      <x:c r="J214" s="41" t="n">
        <x:v>9</x:v>
      </x:c>
    </x:row>
    <x:row r="215">
      <x:c r="A215" s="32" t="n">
        <x:v>46054</x:v>
      </x:c>
      <x:c r="B215" t="str">
        <x:v>Feb 2026</x:v>
      </x:c>
      <x:c r="C215" t="str">
        <x:v>Forecast</x:v>
      </x:c>
      <x:c r="D215" t="str">
        <x:v>Brand agency retainer</x:v>
      </x:c>
      <x:c r="E215" t="str">
        <x:v>Marketing</x:v>
      </x:c>
      <x:c r="F215" t="str">
        <x:v>Services</x:v>
      </x:c>
      <x:c r="G215" s="38" t="n">
        <x:v>22</x:v>
      </x:c>
      <x:c r="H215" t="str">
        <x:v>Fixed</x:v>
      </x:c>
      <x:c r="I215" t="str">
        <x:v>Cash</x:v>
      </x:c>
      <x:c r="J215" s="41" t="n">
        <x:v>22</x:v>
      </x:c>
    </x:row>
    <x:row r="216">
      <x:c r="A216" s="32" t="n">
        <x:v>46054</x:v>
      </x:c>
      <x:c r="B216" t="str">
        <x:v>Feb 2026</x:v>
      </x:c>
      <x:c r="C216" t="str">
        <x:v>Forecast</x:v>
      </x:c>
      <x:c r="D216" t="str">
        <x:v>Creative production</x:v>
      </x:c>
      <x:c r="E216" t="str">
        <x:v>Marketing</x:v>
      </x:c>
      <x:c r="F216" t="str">
        <x:v>Services</x:v>
      </x:c>
      <x:c r="G216" s="38" t="n">
        <x:v>18</x:v>
      </x:c>
      <x:c r="H216" t="str">
        <x:v>Variable</x:v>
      </x:c>
      <x:c r="I216" t="str">
        <x:v>Cash</x:v>
      </x:c>
      <x:c r="J216" s="41" t="n">
        <x:v>18</x:v>
      </x:c>
    </x:row>
    <x:row r="217">
      <x:c r="A217" s="32" t="n">
        <x:v>46054</x:v>
      </x:c>
      <x:c r="B217" t="str">
        <x:v>Feb 2026</x:v>
      </x:c>
      <x:c r="C217" t="str">
        <x:v>Forecast</x:v>
      </x:c>
      <x:c r="D217" t="str">
        <x:v>Ops team payroll</x:v>
      </x:c>
      <x:c r="E217" t="str">
        <x:v>Operations</x:v>
      </x:c>
      <x:c r="F217" t="str">
        <x:v>Payroll</x:v>
      </x:c>
      <x:c r="G217" s="38" t="n">
        <x:v>76.88</x:v>
      </x:c>
      <x:c r="H217" t="str">
        <x:v>Fixed</x:v>
      </x:c>
      <x:c r="I217" t="str">
        <x:v>Cash</x:v>
      </x:c>
      <x:c r="J217" s="41" t="n">
        <x:v>62</x:v>
      </x:c>
    </x:row>
    <x:row r="218">
      <x:c r="A218" s="32" t="n">
        <x:v>46054</x:v>
      </x:c>
      <x:c r="B218" t="str">
        <x:v>Feb 2026</x:v>
      </x:c>
      <x:c r="C218" t="str">
        <x:v>Forecast</x:v>
      </x:c>
      <x:c r="D218" t="str">
        <x:v>Warehouse rent</x:v>
      </x:c>
      <x:c r="E218" t="str">
        <x:v>Operations</x:v>
      </x:c>
      <x:c r="F218" t="str">
        <x:v>Facilities</x:v>
      </x:c>
      <x:c r="G218" s="38" t="n">
        <x:v>28</x:v>
      </x:c>
      <x:c r="H218" t="str">
        <x:v>Fixed</x:v>
      </x:c>
      <x:c r="I218" t="str">
        <x:v>Cash</x:v>
      </x:c>
      <x:c r="J218" s="41" t="n">
        <x:v>28</x:v>
      </x:c>
    </x:row>
    <x:row r="219">
      <x:c r="A219" s="32" t="n">
        <x:v>46054</x:v>
      </x:c>
      <x:c r="B219" t="str">
        <x:v>Feb 2026</x:v>
      </x:c>
      <x:c r="C219" t="str">
        <x:v>Forecast</x:v>
      </x:c>
      <x:c r="D219" t="str">
        <x:v>Inventory systems</x:v>
      </x:c>
      <x:c r="E219" t="str">
        <x:v>Operations</x:v>
      </x:c>
      <x:c r="F219" t="str">
        <x:v>Software</x:v>
      </x:c>
      <x:c r="G219" s="38" t="n">
        <x:v>7</x:v>
      </x:c>
      <x:c r="H219" t="str">
        <x:v>Fixed</x:v>
      </x:c>
      <x:c r="I219" t="str">
        <x:v>Cash</x:v>
      </x:c>
      <x:c r="J219" s="41" t="n">
        <x:v>7</x:v>
      </x:c>
    </x:row>
    <x:row r="220">
      <x:c r="A220" s="32" t="n">
        <x:v>46054</x:v>
      </x:c>
      <x:c r="B220" t="str">
        <x:v>Feb 2026</x:v>
      </x:c>
      <x:c r="C220" t="str">
        <x:v>Forecast</x:v>
      </x:c>
      <x:c r="D220" t="str">
        <x:v>Product team payroll</x:v>
      </x:c>
      <x:c r="E220" t="str">
        <x:v>Product</x:v>
      </x:c>
      <x:c r="F220" t="str">
        <x:v>Payroll</x:v>
      </x:c>
      <x:c r="G220" s="38" t="n">
        <x:v>44.64</x:v>
      </x:c>
      <x:c r="H220" t="str">
        <x:v>Fixed</x:v>
      </x:c>
      <x:c r="I220" t="str">
        <x:v>Cash</x:v>
      </x:c>
      <x:c r="J220" s="41" t="n">
        <x:v>36</x:v>
      </x:c>
    </x:row>
    <x:row r="221">
      <x:c r="A221" s="32" t="n">
        <x:v>46054</x:v>
      </x:c>
      <x:c r="B221" t="str">
        <x:v>Feb 2026</x:v>
      </x:c>
      <x:c r="C221" t="str">
        <x:v>Forecast</x:v>
      </x:c>
      <x:c r="D221" t="str">
        <x:v>QA and inspections</x:v>
      </x:c>
      <x:c r="E221" t="str">
        <x:v>Product</x:v>
      </x:c>
      <x:c r="F221" t="str">
        <x:v>Services</x:v>
      </x:c>
      <x:c r="G221" s="38" t="n">
        <x:v>6</x:v>
      </x:c>
      <x:c r="H221" t="str">
        <x:v>Variable</x:v>
      </x:c>
      <x:c r="I221" t="str">
        <x:v>Cash</x:v>
      </x:c>
      <x:c r="J221" s="41" t="n">
        <x:v>6</x:v>
      </x:c>
    </x:row>
    <x:row r="222">
      <x:c r="A222" s="32" t="n">
        <x:v>46054</x:v>
      </x:c>
      <x:c r="B222" t="str">
        <x:v>Feb 2026</x:v>
      </x:c>
      <x:c r="C222" t="str">
        <x:v>Forecast</x:v>
      </x:c>
      <x:c r="D222" t="str">
        <x:v>Executive payroll</x:v>
      </x:c>
      <x:c r="E222" t="str">
        <x:v>G&amp;A</x:v>
      </x:c>
      <x:c r="F222" t="str">
        <x:v>Payroll</x:v>
      </x:c>
      <x:c r="G222" s="38" t="n">
        <x:v>71.92</x:v>
      </x:c>
      <x:c r="H222" t="str">
        <x:v>Fixed</x:v>
      </x:c>
      <x:c r="I222" t="str">
        <x:v>Cash</x:v>
      </x:c>
      <x:c r="J222" s="41" t="n">
        <x:v>58</x:v>
      </x:c>
    </x:row>
    <x:row r="223">
      <x:c r="A223" s="32" t="n">
        <x:v>46054</x:v>
      </x:c>
      <x:c r="B223" t="str">
        <x:v>Feb 2026</x:v>
      </x:c>
      <x:c r="C223" t="str">
        <x:v>Forecast</x:v>
      </x:c>
      <x:c r="D223" t="str">
        <x:v>Finance and accounting</x:v>
      </x:c>
      <x:c r="E223" t="str">
        <x:v>G&amp;A</x:v>
      </x:c>
      <x:c r="F223" t="str">
        <x:v>Professional fees</x:v>
      </x:c>
      <x:c r="G223" s="38" t="n">
        <x:v>14</x:v>
      </x:c>
      <x:c r="H223" t="str">
        <x:v>Fixed</x:v>
      </x:c>
      <x:c r="I223" t="str">
        <x:v>Cash</x:v>
      </x:c>
      <x:c r="J223" s="41" t="n">
        <x:v>14</x:v>
      </x:c>
    </x:row>
    <x:row r="224">
      <x:c r="A224" s="32" t="n">
        <x:v>46054</x:v>
      </x:c>
      <x:c r="B224" t="str">
        <x:v>Feb 2026</x:v>
      </x:c>
      <x:c r="C224" t="str">
        <x:v>Forecast</x:v>
      </x:c>
      <x:c r="D224" t="str">
        <x:v>Legal</x:v>
      </x:c>
      <x:c r="E224" t="str">
        <x:v>G&amp;A</x:v>
      </x:c>
      <x:c r="F224" t="str">
        <x:v>Professional fees</x:v>
      </x:c>
      <x:c r="G224" s="38" t="n">
        <x:v>8</x:v>
      </x:c>
      <x:c r="H224" t="str">
        <x:v>Fixed</x:v>
      </x:c>
      <x:c r="I224" t="str">
        <x:v>Cash</x:v>
      </x:c>
      <x:c r="J224" s="41" t="n">
        <x:v>8</x:v>
      </x:c>
    </x:row>
    <x:row r="225">
      <x:c r="A225" s="32" t="n">
        <x:v>46054</x:v>
      </x:c>
      <x:c r="B225" t="str">
        <x:v>Feb 2026</x:v>
      </x:c>
      <x:c r="C225" t="str">
        <x:v>Forecast</x:v>
      </x:c>
      <x:c r="D225" t="str">
        <x:v>Insurance</x:v>
      </x:c>
      <x:c r="E225" t="str">
        <x:v>G&amp;A</x:v>
      </x:c>
      <x:c r="F225" t="str">
        <x:v>Insurance</x:v>
      </x:c>
      <x:c r="G225" s="38" t="n">
        <x:v>6</x:v>
      </x:c>
      <x:c r="H225" t="str">
        <x:v>Fixed</x:v>
      </x:c>
      <x:c r="I225" t="str">
        <x:v>Cash</x:v>
      </x:c>
      <x:c r="J225" s="41" t="n">
        <x:v>6</x:v>
      </x:c>
    </x:row>
    <x:row r="226">
      <x:c r="A226" s="32" t="n">
        <x:v>46054</x:v>
      </x:c>
      <x:c r="B226" t="str">
        <x:v>Feb 2026</x:v>
      </x:c>
      <x:c r="C226" t="str">
        <x:v>Forecast</x:v>
      </x:c>
      <x:c r="D226" t="str">
        <x:v>Software and admin tools</x:v>
      </x:c>
      <x:c r="E226" t="str">
        <x:v>G&amp;A</x:v>
      </x:c>
      <x:c r="F226" t="str">
        <x:v>Software</x:v>
      </x:c>
      <x:c r="G226" s="38" t="n">
        <x:v>12</x:v>
      </x:c>
      <x:c r="H226" t="str">
        <x:v>Fixed</x:v>
      </x:c>
      <x:c r="I226" t="str">
        <x:v>Cash</x:v>
      </x:c>
      <x:c r="J226" s="41" t="n">
        <x:v>12</x:v>
      </x:c>
    </x:row>
    <x:row r="227">
      <x:c r="A227" s="32" t="n">
        <x:v>46054</x:v>
      </x:c>
      <x:c r="B227" t="str">
        <x:v>Feb 2026</x:v>
      </x:c>
      <x:c r="C227" t="str">
        <x:v>Forecast</x:v>
      </x:c>
      <x:c r="D227" t="str">
        <x:v>Support payroll</x:v>
      </x:c>
      <x:c r="E227" t="str">
        <x:v>Customer Support</x:v>
      </x:c>
      <x:c r="F227" t="str">
        <x:v>Payroll</x:v>
      </x:c>
      <x:c r="G227" s="38" t="n">
        <x:v>29.759999999999998</x:v>
      </x:c>
      <x:c r="H227" t="str">
        <x:v>Fixed</x:v>
      </x:c>
      <x:c r="I227" t="str">
        <x:v>Cash</x:v>
      </x:c>
      <x:c r="J227" s="41" t="n">
        <x:v>24</x:v>
      </x:c>
    </x:row>
    <x:row r="228">
      <x:c r="A228" s="32" t="n">
        <x:v>46054</x:v>
      </x:c>
      <x:c r="B228" t="str">
        <x:v>Feb 2026</x:v>
      </x:c>
      <x:c r="C228" t="str">
        <x:v>Forecast</x:v>
      </x:c>
      <x:c r="D228" t="str">
        <x:v>Support variable tools</x:v>
      </x:c>
      <x:c r="E228" t="str">
        <x:v>Customer Support</x:v>
      </x:c>
      <x:c r="F228" t="str">
        <x:v>Support</x:v>
      </x:c>
      <x:c r="G228" s="38" t="n">
        <x:v>5</x:v>
      </x:c>
      <x:c r="H228" t="str">
        <x:v>Variable</x:v>
      </x:c>
      <x:c r="I228" t="str">
        <x:v>Cash</x:v>
      </x:c>
      <x:c r="J228" s="41" t="n">
        <x:v>5</x:v>
      </x:c>
    </x:row>
    <x:row r="229">
      <x:c r="A229" s="32" t="n">
        <x:v>46082</x:v>
      </x:c>
      <x:c r="B229" t="str">
        <x:v>Mar 2026</x:v>
      </x:c>
      <x:c r="C229" t="str">
        <x:v>Forecast</x:v>
      </x:c>
      <x:c r="D229" t="str">
        <x:v>Sales team payroll</x:v>
      </x:c>
      <x:c r="E229" t="str">
        <x:v>Sales</x:v>
      </x:c>
      <x:c r="F229" t="str">
        <x:v>Payroll</x:v>
      </x:c>
      <x:c r="G229" s="38" t="n">
        <x:v>59.519999999999996</x:v>
      </x:c>
      <x:c r="H229" t="str">
        <x:v>Fixed</x:v>
      </x:c>
      <x:c r="I229" t="str">
        <x:v>Cash</x:v>
      </x:c>
      <x:c r="J229" s="41" t="n">
        <x:v>48</x:v>
      </x:c>
    </x:row>
    <x:row r="230">
      <x:c r="A230" s="32" t="n">
        <x:v>46082</x:v>
      </x:c>
      <x:c r="B230" t="str">
        <x:v>Mar 2026</x:v>
      </x:c>
      <x:c r="C230" t="str">
        <x:v>Forecast</x:v>
      </x:c>
      <x:c r="D230" t="str">
        <x:v>Retail broker commissions</x:v>
      </x:c>
      <x:c r="E230" t="str">
        <x:v>Sales</x:v>
      </x:c>
      <x:c r="F230" t="str">
        <x:v>Commissions</x:v>
      </x:c>
      <x:c r="G230" s="38" t="n">
        <x:v>9</x:v>
      </x:c>
      <x:c r="H230" t="str">
        <x:v>Variable</x:v>
      </x:c>
      <x:c r="I230" t="str">
        <x:v>Cash</x:v>
      </x:c>
      <x:c r="J230" s="41" t="n">
        <x:v>9</x:v>
      </x:c>
    </x:row>
    <x:row r="231">
      <x:c r="A231" s="32" t="n">
        <x:v>46082</x:v>
      </x:c>
      <x:c r="B231" t="str">
        <x:v>Mar 2026</x:v>
      </x:c>
      <x:c r="C231" t="str">
        <x:v>Forecast</x:v>
      </x:c>
      <x:c r="D231" t="str">
        <x:v>Brand agency retainer</x:v>
      </x:c>
      <x:c r="E231" t="str">
        <x:v>Marketing</x:v>
      </x:c>
      <x:c r="F231" t="str">
        <x:v>Services</x:v>
      </x:c>
      <x:c r="G231" s="38" t="n">
        <x:v>22</x:v>
      </x:c>
      <x:c r="H231" t="str">
        <x:v>Fixed</x:v>
      </x:c>
      <x:c r="I231" t="str">
        <x:v>Cash</x:v>
      </x:c>
      <x:c r="J231" s="41" t="n">
        <x:v>22</x:v>
      </x:c>
    </x:row>
    <x:row r="232">
      <x:c r="A232" s="32" t="n">
        <x:v>46082</x:v>
      </x:c>
      <x:c r="B232" t="str">
        <x:v>Mar 2026</x:v>
      </x:c>
      <x:c r="C232" t="str">
        <x:v>Forecast</x:v>
      </x:c>
      <x:c r="D232" t="str">
        <x:v>Creative production</x:v>
      </x:c>
      <x:c r="E232" t="str">
        <x:v>Marketing</x:v>
      </x:c>
      <x:c r="F232" t="str">
        <x:v>Services</x:v>
      </x:c>
      <x:c r="G232" s="38" t="n">
        <x:v>18</x:v>
      </x:c>
      <x:c r="H232" t="str">
        <x:v>Variable</x:v>
      </x:c>
      <x:c r="I232" t="str">
        <x:v>Cash</x:v>
      </x:c>
      <x:c r="J232" s="41" t="n">
        <x:v>18</x:v>
      </x:c>
    </x:row>
    <x:row r="233">
      <x:c r="A233" s="32" t="n">
        <x:v>46082</x:v>
      </x:c>
      <x:c r="B233" t="str">
        <x:v>Mar 2026</x:v>
      </x:c>
      <x:c r="C233" t="str">
        <x:v>Forecast</x:v>
      </x:c>
      <x:c r="D233" t="str">
        <x:v>Ops team payroll</x:v>
      </x:c>
      <x:c r="E233" t="str">
        <x:v>Operations</x:v>
      </x:c>
      <x:c r="F233" t="str">
        <x:v>Payroll</x:v>
      </x:c>
      <x:c r="G233" s="38" t="n">
        <x:v>76.88</x:v>
      </x:c>
      <x:c r="H233" t="str">
        <x:v>Fixed</x:v>
      </x:c>
      <x:c r="I233" t="str">
        <x:v>Cash</x:v>
      </x:c>
      <x:c r="J233" s="41" t="n">
        <x:v>62</x:v>
      </x:c>
    </x:row>
    <x:row r="234">
      <x:c r="A234" s="32" t="n">
        <x:v>46082</x:v>
      </x:c>
      <x:c r="B234" t="str">
        <x:v>Mar 2026</x:v>
      </x:c>
      <x:c r="C234" t="str">
        <x:v>Forecast</x:v>
      </x:c>
      <x:c r="D234" t="str">
        <x:v>Warehouse rent</x:v>
      </x:c>
      <x:c r="E234" t="str">
        <x:v>Operations</x:v>
      </x:c>
      <x:c r="F234" t="str">
        <x:v>Facilities</x:v>
      </x:c>
      <x:c r="G234" s="38" t="n">
        <x:v>28</x:v>
      </x:c>
      <x:c r="H234" t="str">
        <x:v>Fixed</x:v>
      </x:c>
      <x:c r="I234" t="str">
        <x:v>Cash</x:v>
      </x:c>
      <x:c r="J234" s="41" t="n">
        <x:v>28</x:v>
      </x:c>
    </x:row>
    <x:row r="235">
      <x:c r="A235" s="32" t="n">
        <x:v>46082</x:v>
      </x:c>
      <x:c r="B235" t="str">
        <x:v>Mar 2026</x:v>
      </x:c>
      <x:c r="C235" t="str">
        <x:v>Forecast</x:v>
      </x:c>
      <x:c r="D235" t="str">
        <x:v>Inventory systems</x:v>
      </x:c>
      <x:c r="E235" t="str">
        <x:v>Operations</x:v>
      </x:c>
      <x:c r="F235" t="str">
        <x:v>Software</x:v>
      </x:c>
      <x:c r="G235" s="38" t="n">
        <x:v>7</x:v>
      </x:c>
      <x:c r="H235" t="str">
        <x:v>Fixed</x:v>
      </x:c>
      <x:c r="I235" t="str">
        <x:v>Cash</x:v>
      </x:c>
      <x:c r="J235" s="41" t="n">
        <x:v>7</x:v>
      </x:c>
    </x:row>
    <x:row r="236">
      <x:c r="A236" s="32" t="n">
        <x:v>46082</x:v>
      </x:c>
      <x:c r="B236" t="str">
        <x:v>Mar 2026</x:v>
      </x:c>
      <x:c r="C236" t="str">
        <x:v>Forecast</x:v>
      </x:c>
      <x:c r="D236" t="str">
        <x:v>Product team payroll</x:v>
      </x:c>
      <x:c r="E236" t="str">
        <x:v>Product</x:v>
      </x:c>
      <x:c r="F236" t="str">
        <x:v>Payroll</x:v>
      </x:c>
      <x:c r="G236" s="38" t="n">
        <x:v>44.64</x:v>
      </x:c>
      <x:c r="H236" t="str">
        <x:v>Fixed</x:v>
      </x:c>
      <x:c r="I236" t="str">
        <x:v>Cash</x:v>
      </x:c>
      <x:c r="J236" s="41" t="n">
        <x:v>36</x:v>
      </x:c>
    </x:row>
    <x:row r="237">
      <x:c r="A237" s="32" t="n">
        <x:v>46082</x:v>
      </x:c>
      <x:c r="B237" t="str">
        <x:v>Mar 2026</x:v>
      </x:c>
      <x:c r="C237" t="str">
        <x:v>Forecast</x:v>
      </x:c>
      <x:c r="D237" t="str">
        <x:v>QA and inspections</x:v>
      </x:c>
      <x:c r="E237" t="str">
        <x:v>Product</x:v>
      </x:c>
      <x:c r="F237" t="str">
        <x:v>Services</x:v>
      </x:c>
      <x:c r="G237" s="38" t="n">
        <x:v>6</x:v>
      </x:c>
      <x:c r="H237" t="str">
        <x:v>Variable</x:v>
      </x:c>
      <x:c r="I237" t="str">
        <x:v>Cash</x:v>
      </x:c>
      <x:c r="J237" s="41" t="n">
        <x:v>6</x:v>
      </x:c>
    </x:row>
    <x:row r="238">
      <x:c r="A238" s="32" t="n">
        <x:v>46082</x:v>
      </x:c>
      <x:c r="B238" t="str">
        <x:v>Mar 2026</x:v>
      </x:c>
      <x:c r="C238" t="str">
        <x:v>Forecast</x:v>
      </x:c>
      <x:c r="D238" t="str">
        <x:v>Executive payroll</x:v>
      </x:c>
      <x:c r="E238" t="str">
        <x:v>G&amp;A</x:v>
      </x:c>
      <x:c r="F238" t="str">
        <x:v>Payroll</x:v>
      </x:c>
      <x:c r="G238" s="38" t="n">
        <x:v>71.92</x:v>
      </x:c>
      <x:c r="H238" t="str">
        <x:v>Fixed</x:v>
      </x:c>
      <x:c r="I238" t="str">
        <x:v>Cash</x:v>
      </x:c>
      <x:c r="J238" s="41" t="n">
        <x:v>58</x:v>
      </x:c>
    </x:row>
    <x:row r="239">
      <x:c r="A239" s="32" t="n">
        <x:v>46082</x:v>
      </x:c>
      <x:c r="B239" t="str">
        <x:v>Mar 2026</x:v>
      </x:c>
      <x:c r="C239" t="str">
        <x:v>Forecast</x:v>
      </x:c>
      <x:c r="D239" t="str">
        <x:v>Finance and accounting</x:v>
      </x:c>
      <x:c r="E239" t="str">
        <x:v>G&amp;A</x:v>
      </x:c>
      <x:c r="F239" t="str">
        <x:v>Professional fees</x:v>
      </x:c>
      <x:c r="G239" s="38" t="n">
        <x:v>14</x:v>
      </x:c>
      <x:c r="H239" t="str">
        <x:v>Fixed</x:v>
      </x:c>
      <x:c r="I239" t="str">
        <x:v>Cash</x:v>
      </x:c>
      <x:c r="J239" s="41" t="n">
        <x:v>14</x:v>
      </x:c>
    </x:row>
    <x:row r="240">
      <x:c r="A240" s="32" t="n">
        <x:v>46082</x:v>
      </x:c>
      <x:c r="B240" t="str">
        <x:v>Mar 2026</x:v>
      </x:c>
      <x:c r="C240" t="str">
        <x:v>Forecast</x:v>
      </x:c>
      <x:c r="D240" t="str">
        <x:v>Legal</x:v>
      </x:c>
      <x:c r="E240" t="str">
        <x:v>G&amp;A</x:v>
      </x:c>
      <x:c r="F240" t="str">
        <x:v>Professional fees</x:v>
      </x:c>
      <x:c r="G240" s="38" t="n">
        <x:v>8</x:v>
      </x:c>
      <x:c r="H240" t="str">
        <x:v>Fixed</x:v>
      </x:c>
      <x:c r="I240" t="str">
        <x:v>Cash</x:v>
      </x:c>
      <x:c r="J240" s="41" t="n">
        <x:v>8</x:v>
      </x:c>
    </x:row>
    <x:row r="241">
      <x:c r="A241" s="32" t="n">
        <x:v>46082</x:v>
      </x:c>
      <x:c r="B241" t="str">
        <x:v>Mar 2026</x:v>
      </x:c>
      <x:c r="C241" t="str">
        <x:v>Forecast</x:v>
      </x:c>
      <x:c r="D241" t="str">
        <x:v>Insurance</x:v>
      </x:c>
      <x:c r="E241" t="str">
        <x:v>G&amp;A</x:v>
      </x:c>
      <x:c r="F241" t="str">
        <x:v>Insurance</x:v>
      </x:c>
      <x:c r="G241" s="38" t="n">
        <x:v>6</x:v>
      </x:c>
      <x:c r="H241" t="str">
        <x:v>Fixed</x:v>
      </x:c>
      <x:c r="I241" t="str">
        <x:v>Cash</x:v>
      </x:c>
      <x:c r="J241" s="41" t="n">
        <x:v>6</x:v>
      </x:c>
    </x:row>
    <x:row r="242">
      <x:c r="A242" s="32" t="n">
        <x:v>46082</x:v>
      </x:c>
      <x:c r="B242" t="str">
        <x:v>Mar 2026</x:v>
      </x:c>
      <x:c r="C242" t="str">
        <x:v>Forecast</x:v>
      </x:c>
      <x:c r="D242" t="str">
        <x:v>Software and admin tools</x:v>
      </x:c>
      <x:c r="E242" t="str">
        <x:v>G&amp;A</x:v>
      </x:c>
      <x:c r="F242" t="str">
        <x:v>Software</x:v>
      </x:c>
      <x:c r="G242" s="38" t="n">
        <x:v>12</x:v>
      </x:c>
      <x:c r="H242" t="str">
        <x:v>Fixed</x:v>
      </x:c>
      <x:c r="I242" t="str">
        <x:v>Cash</x:v>
      </x:c>
      <x:c r="J242" s="41" t="n">
        <x:v>12</x:v>
      </x:c>
    </x:row>
    <x:row r="243">
      <x:c r="A243" s="32" t="n">
        <x:v>46082</x:v>
      </x:c>
      <x:c r="B243" t="str">
        <x:v>Mar 2026</x:v>
      </x:c>
      <x:c r="C243" t="str">
        <x:v>Forecast</x:v>
      </x:c>
      <x:c r="D243" t="str">
        <x:v>Support payroll</x:v>
      </x:c>
      <x:c r="E243" t="str">
        <x:v>Customer Support</x:v>
      </x:c>
      <x:c r="F243" t="str">
        <x:v>Payroll</x:v>
      </x:c>
      <x:c r="G243" s="38" t="n">
        <x:v>29.759999999999998</x:v>
      </x:c>
      <x:c r="H243" t="str">
        <x:v>Fixed</x:v>
      </x:c>
      <x:c r="I243" t="str">
        <x:v>Cash</x:v>
      </x:c>
      <x:c r="J243" s="41" t="n">
        <x:v>24</x:v>
      </x:c>
    </x:row>
    <x:row r="244">
      <x:c r="A244" s="32" t="n">
        <x:v>46082</x:v>
      </x:c>
      <x:c r="B244" t="str">
        <x:v>Mar 2026</x:v>
      </x:c>
      <x:c r="C244" t="str">
        <x:v>Forecast</x:v>
      </x:c>
      <x:c r="D244" t="str">
        <x:v>Support variable tools</x:v>
      </x:c>
      <x:c r="E244" t="str">
        <x:v>Customer Support</x:v>
      </x:c>
      <x:c r="F244" t="str">
        <x:v>Support</x:v>
      </x:c>
      <x:c r="G244" s="38" t="n">
        <x:v>5</x:v>
      </x:c>
      <x:c r="H244" t="str">
        <x:v>Variable</x:v>
      </x:c>
      <x:c r="I244" t="str">
        <x:v>Cash</x:v>
      </x:c>
      <x:c r="J244" s="41" t="n">
        <x:v>5</x:v>
      </x:c>
    </x:row>
    <x:row r="245">
      <x:c r="A245" s="32" t="n">
        <x:v>46113</x:v>
      </x:c>
      <x:c r="B245" t="str">
        <x:v>Apr 2026</x:v>
      </x:c>
      <x:c r="C245" t="str">
        <x:v>Forecast</x:v>
      </x:c>
      <x:c r="D245" t="str">
        <x:v>Sales team payroll</x:v>
      </x:c>
      <x:c r="E245" t="str">
        <x:v>Sales</x:v>
      </x:c>
      <x:c r="F245" t="str">
        <x:v>Payroll</x:v>
      </x:c>
      <x:c r="G245" s="38" t="n">
        <x:v>59.519999999999996</x:v>
      </x:c>
      <x:c r="H245" t="str">
        <x:v>Fixed</x:v>
      </x:c>
      <x:c r="I245" t="str">
        <x:v>Cash</x:v>
      </x:c>
      <x:c r="J245" s="41" t="n">
        <x:v>48</x:v>
      </x:c>
    </x:row>
    <x:row r="246">
      <x:c r="A246" s="32" t="n">
        <x:v>46113</x:v>
      </x:c>
      <x:c r="B246" t="str">
        <x:v>Apr 2026</x:v>
      </x:c>
      <x:c r="C246" t="str">
        <x:v>Forecast</x:v>
      </x:c>
      <x:c r="D246" t="str">
        <x:v>Retail broker commissions</x:v>
      </x:c>
      <x:c r="E246" t="str">
        <x:v>Sales</x:v>
      </x:c>
      <x:c r="F246" t="str">
        <x:v>Commissions</x:v>
      </x:c>
      <x:c r="G246" s="38" t="n">
        <x:v>9</x:v>
      </x:c>
      <x:c r="H246" t="str">
        <x:v>Variable</x:v>
      </x:c>
      <x:c r="I246" t="str">
        <x:v>Cash</x:v>
      </x:c>
      <x:c r="J246" s="41" t="n">
        <x:v>9</x:v>
      </x:c>
    </x:row>
    <x:row r="247">
      <x:c r="A247" s="32" t="n">
        <x:v>46113</x:v>
      </x:c>
      <x:c r="B247" t="str">
        <x:v>Apr 2026</x:v>
      </x:c>
      <x:c r="C247" t="str">
        <x:v>Forecast</x:v>
      </x:c>
      <x:c r="D247" t="str">
        <x:v>Brand agency retainer</x:v>
      </x:c>
      <x:c r="E247" t="str">
        <x:v>Marketing</x:v>
      </x:c>
      <x:c r="F247" t="str">
        <x:v>Services</x:v>
      </x:c>
      <x:c r="G247" s="38" t="n">
        <x:v>22</x:v>
      </x:c>
      <x:c r="H247" t="str">
        <x:v>Fixed</x:v>
      </x:c>
      <x:c r="I247" t="str">
        <x:v>Cash</x:v>
      </x:c>
      <x:c r="J247" s="41" t="n">
        <x:v>22</x:v>
      </x:c>
    </x:row>
    <x:row r="248">
      <x:c r="A248" s="32" t="n">
        <x:v>46113</x:v>
      </x:c>
      <x:c r="B248" t="str">
        <x:v>Apr 2026</x:v>
      </x:c>
      <x:c r="C248" t="str">
        <x:v>Forecast</x:v>
      </x:c>
      <x:c r="D248" t="str">
        <x:v>Creative production</x:v>
      </x:c>
      <x:c r="E248" t="str">
        <x:v>Marketing</x:v>
      </x:c>
      <x:c r="F248" t="str">
        <x:v>Services</x:v>
      </x:c>
      <x:c r="G248" s="38" t="n">
        <x:v>18</x:v>
      </x:c>
      <x:c r="H248" t="str">
        <x:v>Variable</x:v>
      </x:c>
      <x:c r="I248" t="str">
        <x:v>Cash</x:v>
      </x:c>
      <x:c r="J248" s="41" t="n">
        <x:v>18</x:v>
      </x:c>
    </x:row>
    <x:row r="249">
      <x:c r="A249" s="32" t="n">
        <x:v>46113</x:v>
      </x:c>
      <x:c r="B249" t="str">
        <x:v>Apr 2026</x:v>
      </x:c>
      <x:c r="C249" t="str">
        <x:v>Forecast</x:v>
      </x:c>
      <x:c r="D249" t="str">
        <x:v>Ops team payroll</x:v>
      </x:c>
      <x:c r="E249" t="str">
        <x:v>Operations</x:v>
      </x:c>
      <x:c r="F249" t="str">
        <x:v>Payroll</x:v>
      </x:c>
      <x:c r="G249" s="38" t="n">
        <x:v>76.88</x:v>
      </x:c>
      <x:c r="H249" t="str">
        <x:v>Fixed</x:v>
      </x:c>
      <x:c r="I249" t="str">
        <x:v>Cash</x:v>
      </x:c>
      <x:c r="J249" s="41" t="n">
        <x:v>62</x:v>
      </x:c>
    </x:row>
    <x:row r="250">
      <x:c r="A250" s="32" t="n">
        <x:v>46113</x:v>
      </x:c>
      <x:c r="B250" t="str">
        <x:v>Apr 2026</x:v>
      </x:c>
      <x:c r="C250" t="str">
        <x:v>Forecast</x:v>
      </x:c>
      <x:c r="D250" t="str">
        <x:v>Warehouse rent</x:v>
      </x:c>
      <x:c r="E250" t="str">
        <x:v>Operations</x:v>
      </x:c>
      <x:c r="F250" t="str">
        <x:v>Facilities</x:v>
      </x:c>
      <x:c r="G250" s="38" t="n">
        <x:v>28</x:v>
      </x:c>
      <x:c r="H250" t="str">
        <x:v>Fixed</x:v>
      </x:c>
      <x:c r="I250" t="str">
        <x:v>Cash</x:v>
      </x:c>
      <x:c r="J250" s="41" t="n">
        <x:v>28</x:v>
      </x:c>
    </x:row>
    <x:row r="251">
      <x:c r="A251" s="32" t="n">
        <x:v>46113</x:v>
      </x:c>
      <x:c r="B251" t="str">
        <x:v>Apr 2026</x:v>
      </x:c>
      <x:c r="C251" t="str">
        <x:v>Forecast</x:v>
      </x:c>
      <x:c r="D251" t="str">
        <x:v>Inventory systems</x:v>
      </x:c>
      <x:c r="E251" t="str">
        <x:v>Operations</x:v>
      </x:c>
      <x:c r="F251" t="str">
        <x:v>Software</x:v>
      </x:c>
      <x:c r="G251" s="38" t="n">
        <x:v>7</x:v>
      </x:c>
      <x:c r="H251" t="str">
        <x:v>Fixed</x:v>
      </x:c>
      <x:c r="I251" t="str">
        <x:v>Cash</x:v>
      </x:c>
      <x:c r="J251" s="41" t="n">
        <x:v>7</x:v>
      </x:c>
    </x:row>
    <x:row r="252">
      <x:c r="A252" s="32" t="n">
        <x:v>46113</x:v>
      </x:c>
      <x:c r="B252" t="str">
        <x:v>Apr 2026</x:v>
      </x:c>
      <x:c r="C252" t="str">
        <x:v>Forecast</x:v>
      </x:c>
      <x:c r="D252" t="str">
        <x:v>Product team payroll</x:v>
      </x:c>
      <x:c r="E252" t="str">
        <x:v>Product</x:v>
      </x:c>
      <x:c r="F252" t="str">
        <x:v>Payroll</x:v>
      </x:c>
      <x:c r="G252" s="38" t="n">
        <x:v>44.64</x:v>
      </x:c>
      <x:c r="H252" t="str">
        <x:v>Fixed</x:v>
      </x:c>
      <x:c r="I252" t="str">
        <x:v>Cash</x:v>
      </x:c>
      <x:c r="J252" s="41" t="n">
        <x:v>36</x:v>
      </x:c>
    </x:row>
    <x:row r="253">
      <x:c r="A253" s="32" t="n">
        <x:v>46113</x:v>
      </x:c>
      <x:c r="B253" t="str">
        <x:v>Apr 2026</x:v>
      </x:c>
      <x:c r="C253" t="str">
        <x:v>Forecast</x:v>
      </x:c>
      <x:c r="D253" t="str">
        <x:v>QA and inspections</x:v>
      </x:c>
      <x:c r="E253" t="str">
        <x:v>Product</x:v>
      </x:c>
      <x:c r="F253" t="str">
        <x:v>Services</x:v>
      </x:c>
      <x:c r="G253" s="38" t="n">
        <x:v>6</x:v>
      </x:c>
      <x:c r="H253" t="str">
        <x:v>Variable</x:v>
      </x:c>
      <x:c r="I253" t="str">
        <x:v>Cash</x:v>
      </x:c>
      <x:c r="J253" s="41" t="n">
        <x:v>6</x:v>
      </x:c>
    </x:row>
    <x:row r="254">
      <x:c r="A254" s="32" t="n">
        <x:v>46113</x:v>
      </x:c>
      <x:c r="B254" t="str">
        <x:v>Apr 2026</x:v>
      </x:c>
      <x:c r="C254" t="str">
        <x:v>Forecast</x:v>
      </x:c>
      <x:c r="D254" t="str">
        <x:v>Executive payroll</x:v>
      </x:c>
      <x:c r="E254" t="str">
        <x:v>G&amp;A</x:v>
      </x:c>
      <x:c r="F254" t="str">
        <x:v>Payroll</x:v>
      </x:c>
      <x:c r="G254" s="38" t="n">
        <x:v>71.92</x:v>
      </x:c>
      <x:c r="H254" t="str">
        <x:v>Fixed</x:v>
      </x:c>
      <x:c r="I254" t="str">
        <x:v>Cash</x:v>
      </x:c>
      <x:c r="J254" s="41" t="n">
        <x:v>58</x:v>
      </x:c>
    </x:row>
    <x:row r="255">
      <x:c r="A255" s="32" t="n">
        <x:v>46113</x:v>
      </x:c>
      <x:c r="B255" t="str">
        <x:v>Apr 2026</x:v>
      </x:c>
      <x:c r="C255" t="str">
        <x:v>Forecast</x:v>
      </x:c>
      <x:c r="D255" t="str">
        <x:v>Finance and accounting</x:v>
      </x:c>
      <x:c r="E255" t="str">
        <x:v>G&amp;A</x:v>
      </x:c>
      <x:c r="F255" t="str">
        <x:v>Professional fees</x:v>
      </x:c>
      <x:c r="G255" s="38" t="n">
        <x:v>14</x:v>
      </x:c>
      <x:c r="H255" t="str">
        <x:v>Fixed</x:v>
      </x:c>
      <x:c r="I255" t="str">
        <x:v>Cash</x:v>
      </x:c>
      <x:c r="J255" s="41" t="n">
        <x:v>14</x:v>
      </x:c>
    </x:row>
    <x:row r="256">
      <x:c r="A256" s="32" t="n">
        <x:v>46113</x:v>
      </x:c>
      <x:c r="B256" t="str">
        <x:v>Apr 2026</x:v>
      </x:c>
      <x:c r="C256" t="str">
        <x:v>Forecast</x:v>
      </x:c>
      <x:c r="D256" t="str">
        <x:v>Legal</x:v>
      </x:c>
      <x:c r="E256" t="str">
        <x:v>G&amp;A</x:v>
      </x:c>
      <x:c r="F256" t="str">
        <x:v>Professional fees</x:v>
      </x:c>
      <x:c r="G256" s="38" t="n">
        <x:v>8</x:v>
      </x:c>
      <x:c r="H256" t="str">
        <x:v>Fixed</x:v>
      </x:c>
      <x:c r="I256" t="str">
        <x:v>Cash</x:v>
      </x:c>
      <x:c r="J256" s="41" t="n">
        <x:v>8</x:v>
      </x:c>
    </x:row>
    <x:row r="257">
      <x:c r="A257" s="32" t="n">
        <x:v>46113</x:v>
      </x:c>
      <x:c r="B257" t="str">
        <x:v>Apr 2026</x:v>
      </x:c>
      <x:c r="C257" t="str">
        <x:v>Forecast</x:v>
      </x:c>
      <x:c r="D257" t="str">
        <x:v>Insurance</x:v>
      </x:c>
      <x:c r="E257" t="str">
        <x:v>G&amp;A</x:v>
      </x:c>
      <x:c r="F257" t="str">
        <x:v>Insurance</x:v>
      </x:c>
      <x:c r="G257" s="38" t="n">
        <x:v>6</x:v>
      </x:c>
      <x:c r="H257" t="str">
        <x:v>Fixed</x:v>
      </x:c>
      <x:c r="I257" t="str">
        <x:v>Cash</x:v>
      </x:c>
      <x:c r="J257" s="41" t="n">
        <x:v>6</x:v>
      </x:c>
    </x:row>
    <x:row r="258">
      <x:c r="A258" s="32" t="n">
        <x:v>46113</x:v>
      </x:c>
      <x:c r="B258" t="str">
        <x:v>Apr 2026</x:v>
      </x:c>
      <x:c r="C258" t="str">
        <x:v>Forecast</x:v>
      </x:c>
      <x:c r="D258" t="str">
        <x:v>Software and admin tools</x:v>
      </x:c>
      <x:c r="E258" t="str">
        <x:v>G&amp;A</x:v>
      </x:c>
      <x:c r="F258" t="str">
        <x:v>Software</x:v>
      </x:c>
      <x:c r="G258" s="38" t="n">
        <x:v>12</x:v>
      </x:c>
      <x:c r="H258" t="str">
        <x:v>Fixed</x:v>
      </x:c>
      <x:c r="I258" t="str">
        <x:v>Cash</x:v>
      </x:c>
      <x:c r="J258" s="41" t="n">
        <x:v>12</x:v>
      </x:c>
    </x:row>
    <x:row r="259">
      <x:c r="A259" s="32" t="n">
        <x:v>46113</x:v>
      </x:c>
      <x:c r="B259" t="str">
        <x:v>Apr 2026</x:v>
      </x:c>
      <x:c r="C259" t="str">
        <x:v>Forecast</x:v>
      </x:c>
      <x:c r="D259" t="str">
        <x:v>Support payroll</x:v>
      </x:c>
      <x:c r="E259" t="str">
        <x:v>Customer Support</x:v>
      </x:c>
      <x:c r="F259" t="str">
        <x:v>Payroll</x:v>
      </x:c>
      <x:c r="G259" s="38" t="n">
        <x:v>29.759999999999998</x:v>
      </x:c>
      <x:c r="H259" t="str">
        <x:v>Fixed</x:v>
      </x:c>
      <x:c r="I259" t="str">
        <x:v>Cash</x:v>
      </x:c>
      <x:c r="J259" s="41" t="n">
        <x:v>24</x:v>
      </x:c>
    </x:row>
    <x:row r="260">
      <x:c r="A260" s="32" t="n">
        <x:v>46113</x:v>
      </x:c>
      <x:c r="B260" t="str">
        <x:v>Apr 2026</x:v>
      </x:c>
      <x:c r="C260" t="str">
        <x:v>Forecast</x:v>
      </x:c>
      <x:c r="D260" t="str">
        <x:v>Support variable tools</x:v>
      </x:c>
      <x:c r="E260" t="str">
        <x:v>Customer Support</x:v>
      </x:c>
      <x:c r="F260" t="str">
        <x:v>Support</x:v>
      </x:c>
      <x:c r="G260" s="38" t="n">
        <x:v>5</x:v>
      </x:c>
      <x:c r="H260" t="str">
        <x:v>Variable</x:v>
      </x:c>
      <x:c r="I260" t="str">
        <x:v>Cash</x:v>
      </x:c>
      <x:c r="J260" s="41" t="n">
        <x:v>5</x:v>
      </x:c>
    </x:row>
    <x:row r="261">
      <x:c r="A261" s="32" t="n">
        <x:v>46143</x:v>
      </x:c>
      <x:c r="B261" t="str">
        <x:v>May 2026</x:v>
      </x:c>
      <x:c r="C261" t="str">
        <x:v>Forecast</x:v>
      </x:c>
      <x:c r="D261" t="str">
        <x:v>Sales team payroll</x:v>
      </x:c>
      <x:c r="E261" t="str">
        <x:v>Sales</x:v>
      </x:c>
      <x:c r="F261" t="str">
        <x:v>Payroll</x:v>
      </x:c>
      <x:c r="G261" s="38" t="n">
        <x:v>59.519999999999996</x:v>
      </x:c>
      <x:c r="H261" t="str">
        <x:v>Fixed</x:v>
      </x:c>
      <x:c r="I261" t="str">
        <x:v>Cash</x:v>
      </x:c>
      <x:c r="J261" s="41" t="n">
        <x:v>48</x:v>
      </x:c>
    </x:row>
    <x:row r="262">
      <x:c r="A262" s="32" t="n">
        <x:v>46143</x:v>
      </x:c>
      <x:c r="B262" t="str">
        <x:v>May 2026</x:v>
      </x:c>
      <x:c r="C262" t="str">
        <x:v>Forecast</x:v>
      </x:c>
      <x:c r="D262" t="str">
        <x:v>Retail broker commissions</x:v>
      </x:c>
      <x:c r="E262" t="str">
        <x:v>Sales</x:v>
      </x:c>
      <x:c r="F262" t="str">
        <x:v>Commissions</x:v>
      </x:c>
      <x:c r="G262" s="38" t="n">
        <x:v>9</x:v>
      </x:c>
      <x:c r="H262" t="str">
        <x:v>Variable</x:v>
      </x:c>
      <x:c r="I262" t="str">
        <x:v>Cash</x:v>
      </x:c>
      <x:c r="J262" s="41" t="n">
        <x:v>9</x:v>
      </x:c>
    </x:row>
    <x:row r="263">
      <x:c r="A263" s="32" t="n">
        <x:v>46143</x:v>
      </x:c>
      <x:c r="B263" t="str">
        <x:v>May 2026</x:v>
      </x:c>
      <x:c r="C263" t="str">
        <x:v>Forecast</x:v>
      </x:c>
      <x:c r="D263" t="str">
        <x:v>Brand agency retainer</x:v>
      </x:c>
      <x:c r="E263" t="str">
        <x:v>Marketing</x:v>
      </x:c>
      <x:c r="F263" t="str">
        <x:v>Services</x:v>
      </x:c>
      <x:c r="G263" s="38" t="n">
        <x:v>22</x:v>
      </x:c>
      <x:c r="H263" t="str">
        <x:v>Fixed</x:v>
      </x:c>
      <x:c r="I263" t="str">
        <x:v>Cash</x:v>
      </x:c>
      <x:c r="J263" s="41" t="n">
        <x:v>22</x:v>
      </x:c>
    </x:row>
    <x:row r="264">
      <x:c r="A264" s="32" t="n">
        <x:v>46143</x:v>
      </x:c>
      <x:c r="B264" t="str">
        <x:v>May 2026</x:v>
      </x:c>
      <x:c r="C264" t="str">
        <x:v>Forecast</x:v>
      </x:c>
      <x:c r="D264" t="str">
        <x:v>Creative production</x:v>
      </x:c>
      <x:c r="E264" t="str">
        <x:v>Marketing</x:v>
      </x:c>
      <x:c r="F264" t="str">
        <x:v>Services</x:v>
      </x:c>
      <x:c r="G264" s="38" t="n">
        <x:v>18</x:v>
      </x:c>
      <x:c r="H264" t="str">
        <x:v>Variable</x:v>
      </x:c>
      <x:c r="I264" t="str">
        <x:v>Cash</x:v>
      </x:c>
      <x:c r="J264" s="41" t="n">
        <x:v>18</x:v>
      </x:c>
    </x:row>
    <x:row r="265">
      <x:c r="A265" s="32" t="n">
        <x:v>46143</x:v>
      </x:c>
      <x:c r="B265" t="str">
        <x:v>May 2026</x:v>
      </x:c>
      <x:c r="C265" t="str">
        <x:v>Forecast</x:v>
      </x:c>
      <x:c r="D265" t="str">
        <x:v>Ops team payroll</x:v>
      </x:c>
      <x:c r="E265" t="str">
        <x:v>Operations</x:v>
      </x:c>
      <x:c r="F265" t="str">
        <x:v>Payroll</x:v>
      </x:c>
      <x:c r="G265" s="38" t="n">
        <x:v>76.88</x:v>
      </x:c>
      <x:c r="H265" t="str">
        <x:v>Fixed</x:v>
      </x:c>
      <x:c r="I265" t="str">
        <x:v>Cash</x:v>
      </x:c>
      <x:c r="J265" s="41" t="n">
        <x:v>62</x:v>
      </x:c>
    </x:row>
    <x:row r="266">
      <x:c r="A266" s="32" t="n">
        <x:v>46143</x:v>
      </x:c>
      <x:c r="B266" t="str">
        <x:v>May 2026</x:v>
      </x:c>
      <x:c r="C266" t="str">
        <x:v>Forecast</x:v>
      </x:c>
      <x:c r="D266" t="str">
        <x:v>Warehouse rent</x:v>
      </x:c>
      <x:c r="E266" t="str">
        <x:v>Operations</x:v>
      </x:c>
      <x:c r="F266" t="str">
        <x:v>Facilities</x:v>
      </x:c>
      <x:c r="G266" s="38" t="n">
        <x:v>28</x:v>
      </x:c>
      <x:c r="H266" t="str">
        <x:v>Fixed</x:v>
      </x:c>
      <x:c r="I266" t="str">
        <x:v>Cash</x:v>
      </x:c>
      <x:c r="J266" s="41" t="n">
        <x:v>28</x:v>
      </x:c>
    </x:row>
    <x:row r="267">
      <x:c r="A267" s="32" t="n">
        <x:v>46143</x:v>
      </x:c>
      <x:c r="B267" t="str">
        <x:v>May 2026</x:v>
      </x:c>
      <x:c r="C267" t="str">
        <x:v>Forecast</x:v>
      </x:c>
      <x:c r="D267" t="str">
        <x:v>Inventory systems</x:v>
      </x:c>
      <x:c r="E267" t="str">
        <x:v>Operations</x:v>
      </x:c>
      <x:c r="F267" t="str">
        <x:v>Software</x:v>
      </x:c>
      <x:c r="G267" s="38" t="n">
        <x:v>7</x:v>
      </x:c>
      <x:c r="H267" t="str">
        <x:v>Fixed</x:v>
      </x:c>
      <x:c r="I267" t="str">
        <x:v>Cash</x:v>
      </x:c>
      <x:c r="J267" s="41" t="n">
        <x:v>7</x:v>
      </x:c>
    </x:row>
    <x:row r="268">
      <x:c r="A268" s="32" t="n">
        <x:v>46143</x:v>
      </x:c>
      <x:c r="B268" t="str">
        <x:v>May 2026</x:v>
      </x:c>
      <x:c r="C268" t="str">
        <x:v>Forecast</x:v>
      </x:c>
      <x:c r="D268" t="str">
        <x:v>Product team payroll</x:v>
      </x:c>
      <x:c r="E268" t="str">
        <x:v>Product</x:v>
      </x:c>
      <x:c r="F268" t="str">
        <x:v>Payroll</x:v>
      </x:c>
      <x:c r="G268" s="38" t="n">
        <x:v>44.64</x:v>
      </x:c>
      <x:c r="H268" t="str">
        <x:v>Fixed</x:v>
      </x:c>
      <x:c r="I268" t="str">
        <x:v>Cash</x:v>
      </x:c>
      <x:c r="J268" s="41" t="n">
        <x:v>36</x:v>
      </x:c>
    </x:row>
    <x:row r="269">
      <x:c r="A269" s="32" t="n">
        <x:v>46143</x:v>
      </x:c>
      <x:c r="B269" t="str">
        <x:v>May 2026</x:v>
      </x:c>
      <x:c r="C269" t="str">
        <x:v>Forecast</x:v>
      </x:c>
      <x:c r="D269" t="str">
        <x:v>QA and inspections</x:v>
      </x:c>
      <x:c r="E269" t="str">
        <x:v>Product</x:v>
      </x:c>
      <x:c r="F269" t="str">
        <x:v>Services</x:v>
      </x:c>
      <x:c r="G269" s="38" t="n">
        <x:v>6</x:v>
      </x:c>
      <x:c r="H269" t="str">
        <x:v>Variable</x:v>
      </x:c>
      <x:c r="I269" t="str">
        <x:v>Cash</x:v>
      </x:c>
      <x:c r="J269" s="41" t="n">
        <x:v>6</x:v>
      </x:c>
    </x:row>
    <x:row r="270">
      <x:c r="A270" s="32" t="n">
        <x:v>46143</x:v>
      </x:c>
      <x:c r="B270" t="str">
        <x:v>May 2026</x:v>
      </x:c>
      <x:c r="C270" t="str">
        <x:v>Forecast</x:v>
      </x:c>
      <x:c r="D270" t="str">
        <x:v>Executive payroll</x:v>
      </x:c>
      <x:c r="E270" t="str">
        <x:v>G&amp;A</x:v>
      </x:c>
      <x:c r="F270" t="str">
        <x:v>Payroll</x:v>
      </x:c>
      <x:c r="G270" s="38" t="n">
        <x:v>71.92</x:v>
      </x:c>
      <x:c r="H270" t="str">
        <x:v>Fixed</x:v>
      </x:c>
      <x:c r="I270" t="str">
        <x:v>Cash</x:v>
      </x:c>
      <x:c r="J270" s="41" t="n">
        <x:v>58</x:v>
      </x:c>
    </x:row>
    <x:row r="271">
      <x:c r="A271" s="32" t="n">
        <x:v>46143</x:v>
      </x:c>
      <x:c r="B271" t="str">
        <x:v>May 2026</x:v>
      </x:c>
      <x:c r="C271" t="str">
        <x:v>Forecast</x:v>
      </x:c>
      <x:c r="D271" t="str">
        <x:v>Finance and accounting</x:v>
      </x:c>
      <x:c r="E271" t="str">
        <x:v>G&amp;A</x:v>
      </x:c>
      <x:c r="F271" t="str">
        <x:v>Professional fees</x:v>
      </x:c>
      <x:c r="G271" s="38" t="n">
        <x:v>14</x:v>
      </x:c>
      <x:c r="H271" t="str">
        <x:v>Fixed</x:v>
      </x:c>
      <x:c r="I271" t="str">
        <x:v>Cash</x:v>
      </x:c>
      <x:c r="J271" s="41" t="n">
        <x:v>14</x:v>
      </x:c>
    </x:row>
    <x:row r="272">
      <x:c r="A272" s="32" t="n">
        <x:v>46143</x:v>
      </x:c>
      <x:c r="B272" t="str">
        <x:v>May 2026</x:v>
      </x:c>
      <x:c r="C272" t="str">
        <x:v>Forecast</x:v>
      </x:c>
      <x:c r="D272" t="str">
        <x:v>Legal</x:v>
      </x:c>
      <x:c r="E272" t="str">
        <x:v>G&amp;A</x:v>
      </x:c>
      <x:c r="F272" t="str">
        <x:v>Professional fees</x:v>
      </x:c>
      <x:c r="G272" s="38" t="n">
        <x:v>8</x:v>
      </x:c>
      <x:c r="H272" t="str">
        <x:v>Fixed</x:v>
      </x:c>
      <x:c r="I272" t="str">
        <x:v>Cash</x:v>
      </x:c>
      <x:c r="J272" s="41" t="n">
        <x:v>8</x:v>
      </x:c>
    </x:row>
    <x:row r="273">
      <x:c r="A273" s="32" t="n">
        <x:v>46143</x:v>
      </x:c>
      <x:c r="B273" t="str">
        <x:v>May 2026</x:v>
      </x:c>
      <x:c r="C273" t="str">
        <x:v>Forecast</x:v>
      </x:c>
      <x:c r="D273" t="str">
        <x:v>Insurance</x:v>
      </x:c>
      <x:c r="E273" t="str">
        <x:v>G&amp;A</x:v>
      </x:c>
      <x:c r="F273" t="str">
        <x:v>Insurance</x:v>
      </x:c>
      <x:c r="G273" s="38" t="n">
        <x:v>6</x:v>
      </x:c>
      <x:c r="H273" t="str">
        <x:v>Fixed</x:v>
      </x:c>
      <x:c r="I273" t="str">
        <x:v>Cash</x:v>
      </x:c>
      <x:c r="J273" s="41" t="n">
        <x:v>6</x:v>
      </x:c>
    </x:row>
    <x:row r="274">
      <x:c r="A274" s="32" t="n">
        <x:v>46143</x:v>
      </x:c>
      <x:c r="B274" t="str">
        <x:v>May 2026</x:v>
      </x:c>
      <x:c r="C274" t="str">
        <x:v>Forecast</x:v>
      </x:c>
      <x:c r="D274" t="str">
        <x:v>Software and admin tools</x:v>
      </x:c>
      <x:c r="E274" t="str">
        <x:v>G&amp;A</x:v>
      </x:c>
      <x:c r="F274" t="str">
        <x:v>Software</x:v>
      </x:c>
      <x:c r="G274" s="38" t="n">
        <x:v>12</x:v>
      </x:c>
      <x:c r="H274" t="str">
        <x:v>Fixed</x:v>
      </x:c>
      <x:c r="I274" t="str">
        <x:v>Cash</x:v>
      </x:c>
      <x:c r="J274" s="41" t="n">
        <x:v>12</x:v>
      </x:c>
    </x:row>
    <x:row r="275">
      <x:c r="A275" s="32" t="n">
        <x:v>46143</x:v>
      </x:c>
      <x:c r="B275" t="str">
        <x:v>May 2026</x:v>
      </x:c>
      <x:c r="C275" t="str">
        <x:v>Forecast</x:v>
      </x:c>
      <x:c r="D275" t="str">
        <x:v>Support payroll</x:v>
      </x:c>
      <x:c r="E275" t="str">
        <x:v>Customer Support</x:v>
      </x:c>
      <x:c r="F275" t="str">
        <x:v>Payroll</x:v>
      </x:c>
      <x:c r="G275" s="38" t="n">
        <x:v>29.759999999999998</x:v>
      </x:c>
      <x:c r="H275" t="str">
        <x:v>Fixed</x:v>
      </x:c>
      <x:c r="I275" t="str">
        <x:v>Cash</x:v>
      </x:c>
      <x:c r="J275" s="41" t="n">
        <x:v>24</x:v>
      </x:c>
    </x:row>
    <x:row r="276">
      <x:c r="A276" s="32" t="n">
        <x:v>46143</x:v>
      </x:c>
      <x:c r="B276" t="str">
        <x:v>May 2026</x:v>
      </x:c>
      <x:c r="C276" t="str">
        <x:v>Forecast</x:v>
      </x:c>
      <x:c r="D276" t="str">
        <x:v>Support variable tools</x:v>
      </x:c>
      <x:c r="E276" t="str">
        <x:v>Customer Support</x:v>
      </x:c>
      <x:c r="F276" t="str">
        <x:v>Support</x:v>
      </x:c>
      <x:c r="G276" s="38" t="n">
        <x:v>5</x:v>
      </x:c>
      <x:c r="H276" t="str">
        <x:v>Variable</x:v>
      </x:c>
      <x:c r="I276" t="str">
        <x:v>Cash</x:v>
      </x:c>
      <x:c r="J276" s="41" t="n">
        <x:v>5</x:v>
      </x:c>
    </x:row>
    <x:row r="277">
      <x:c r="A277" s="32" t="n">
        <x:v>46174</x:v>
      </x:c>
      <x:c r="B277" t="str">
        <x:v>Jun 2026</x:v>
      </x:c>
      <x:c r="C277" t="str">
        <x:v>Forecast</x:v>
      </x:c>
      <x:c r="D277" t="str">
        <x:v>Sales team payroll</x:v>
      </x:c>
      <x:c r="E277" t="str">
        <x:v>Sales</x:v>
      </x:c>
      <x:c r="F277" t="str">
        <x:v>Payroll</x:v>
      </x:c>
      <x:c r="G277" s="38" t="n">
        <x:v>59.519999999999996</x:v>
      </x:c>
      <x:c r="H277" t="str">
        <x:v>Fixed</x:v>
      </x:c>
      <x:c r="I277" t="str">
        <x:v>Cash</x:v>
      </x:c>
      <x:c r="J277" s="41" t="n">
        <x:v>48</x:v>
      </x:c>
    </x:row>
    <x:row r="278">
      <x:c r="A278" s="32" t="n">
        <x:v>46174</x:v>
      </x:c>
      <x:c r="B278" t="str">
        <x:v>Jun 2026</x:v>
      </x:c>
      <x:c r="C278" t="str">
        <x:v>Forecast</x:v>
      </x:c>
      <x:c r="D278" t="str">
        <x:v>Retail broker commissions</x:v>
      </x:c>
      <x:c r="E278" t="str">
        <x:v>Sales</x:v>
      </x:c>
      <x:c r="F278" t="str">
        <x:v>Commissions</x:v>
      </x:c>
      <x:c r="G278" s="38" t="n">
        <x:v>9</x:v>
      </x:c>
      <x:c r="H278" t="str">
        <x:v>Variable</x:v>
      </x:c>
      <x:c r="I278" t="str">
        <x:v>Cash</x:v>
      </x:c>
      <x:c r="J278" s="41" t="n">
        <x:v>9</x:v>
      </x:c>
    </x:row>
    <x:row r="279">
      <x:c r="A279" s="32" t="n">
        <x:v>46174</x:v>
      </x:c>
      <x:c r="B279" t="str">
        <x:v>Jun 2026</x:v>
      </x:c>
      <x:c r="C279" t="str">
        <x:v>Forecast</x:v>
      </x:c>
      <x:c r="D279" t="str">
        <x:v>Brand agency retainer</x:v>
      </x:c>
      <x:c r="E279" t="str">
        <x:v>Marketing</x:v>
      </x:c>
      <x:c r="F279" t="str">
        <x:v>Services</x:v>
      </x:c>
      <x:c r="G279" s="38" t="n">
        <x:v>22</x:v>
      </x:c>
      <x:c r="H279" t="str">
        <x:v>Fixed</x:v>
      </x:c>
      <x:c r="I279" t="str">
        <x:v>Cash</x:v>
      </x:c>
      <x:c r="J279" s="41" t="n">
        <x:v>22</x:v>
      </x:c>
    </x:row>
    <x:row r="280">
      <x:c r="A280" s="32" t="n">
        <x:v>46174</x:v>
      </x:c>
      <x:c r="B280" t="str">
        <x:v>Jun 2026</x:v>
      </x:c>
      <x:c r="C280" t="str">
        <x:v>Forecast</x:v>
      </x:c>
      <x:c r="D280" t="str">
        <x:v>Creative production</x:v>
      </x:c>
      <x:c r="E280" t="str">
        <x:v>Marketing</x:v>
      </x:c>
      <x:c r="F280" t="str">
        <x:v>Services</x:v>
      </x:c>
      <x:c r="G280" s="38" t="n">
        <x:v>18</x:v>
      </x:c>
      <x:c r="H280" t="str">
        <x:v>Variable</x:v>
      </x:c>
      <x:c r="I280" t="str">
        <x:v>Cash</x:v>
      </x:c>
      <x:c r="J280" s="41" t="n">
        <x:v>18</x:v>
      </x:c>
    </x:row>
    <x:row r="281">
      <x:c r="A281" s="32" t="n">
        <x:v>46174</x:v>
      </x:c>
      <x:c r="B281" t="str">
        <x:v>Jun 2026</x:v>
      </x:c>
      <x:c r="C281" t="str">
        <x:v>Forecast</x:v>
      </x:c>
      <x:c r="D281" t="str">
        <x:v>Ops team payroll</x:v>
      </x:c>
      <x:c r="E281" t="str">
        <x:v>Operations</x:v>
      </x:c>
      <x:c r="F281" t="str">
        <x:v>Payroll</x:v>
      </x:c>
      <x:c r="G281" s="38" t="n">
        <x:v>76.88</x:v>
      </x:c>
      <x:c r="H281" t="str">
        <x:v>Fixed</x:v>
      </x:c>
      <x:c r="I281" t="str">
        <x:v>Cash</x:v>
      </x:c>
      <x:c r="J281" s="41" t="n">
        <x:v>62</x:v>
      </x:c>
    </x:row>
    <x:row r="282">
      <x:c r="A282" s="32" t="n">
        <x:v>46174</x:v>
      </x:c>
      <x:c r="B282" t="str">
        <x:v>Jun 2026</x:v>
      </x:c>
      <x:c r="C282" t="str">
        <x:v>Forecast</x:v>
      </x:c>
      <x:c r="D282" t="str">
        <x:v>Warehouse rent</x:v>
      </x:c>
      <x:c r="E282" t="str">
        <x:v>Operations</x:v>
      </x:c>
      <x:c r="F282" t="str">
        <x:v>Facilities</x:v>
      </x:c>
      <x:c r="G282" s="38" t="n">
        <x:v>28</x:v>
      </x:c>
      <x:c r="H282" t="str">
        <x:v>Fixed</x:v>
      </x:c>
      <x:c r="I282" t="str">
        <x:v>Cash</x:v>
      </x:c>
      <x:c r="J282" s="41" t="n">
        <x:v>28</x:v>
      </x:c>
    </x:row>
    <x:row r="283">
      <x:c r="A283" s="32" t="n">
        <x:v>46174</x:v>
      </x:c>
      <x:c r="B283" t="str">
        <x:v>Jun 2026</x:v>
      </x:c>
      <x:c r="C283" t="str">
        <x:v>Forecast</x:v>
      </x:c>
      <x:c r="D283" t="str">
        <x:v>Inventory systems</x:v>
      </x:c>
      <x:c r="E283" t="str">
        <x:v>Operations</x:v>
      </x:c>
      <x:c r="F283" t="str">
        <x:v>Software</x:v>
      </x:c>
      <x:c r="G283" s="38" t="n">
        <x:v>7</x:v>
      </x:c>
      <x:c r="H283" t="str">
        <x:v>Fixed</x:v>
      </x:c>
      <x:c r="I283" t="str">
        <x:v>Cash</x:v>
      </x:c>
      <x:c r="J283" s="41" t="n">
        <x:v>7</x:v>
      </x:c>
    </x:row>
    <x:row r="284">
      <x:c r="A284" s="32" t="n">
        <x:v>46174</x:v>
      </x:c>
      <x:c r="B284" t="str">
        <x:v>Jun 2026</x:v>
      </x:c>
      <x:c r="C284" t="str">
        <x:v>Forecast</x:v>
      </x:c>
      <x:c r="D284" t="str">
        <x:v>Product team payroll</x:v>
      </x:c>
      <x:c r="E284" t="str">
        <x:v>Product</x:v>
      </x:c>
      <x:c r="F284" t="str">
        <x:v>Payroll</x:v>
      </x:c>
      <x:c r="G284" s="38" t="n">
        <x:v>44.64</x:v>
      </x:c>
      <x:c r="H284" t="str">
        <x:v>Fixed</x:v>
      </x:c>
      <x:c r="I284" t="str">
        <x:v>Cash</x:v>
      </x:c>
      <x:c r="J284" s="41" t="n">
        <x:v>36</x:v>
      </x:c>
    </x:row>
    <x:row r="285">
      <x:c r="A285" s="32" t="n">
        <x:v>46174</x:v>
      </x:c>
      <x:c r="B285" t="str">
        <x:v>Jun 2026</x:v>
      </x:c>
      <x:c r="C285" t="str">
        <x:v>Forecast</x:v>
      </x:c>
      <x:c r="D285" t="str">
        <x:v>QA and inspections</x:v>
      </x:c>
      <x:c r="E285" t="str">
        <x:v>Product</x:v>
      </x:c>
      <x:c r="F285" t="str">
        <x:v>Services</x:v>
      </x:c>
      <x:c r="G285" s="38" t="n">
        <x:v>6</x:v>
      </x:c>
      <x:c r="H285" t="str">
        <x:v>Variable</x:v>
      </x:c>
      <x:c r="I285" t="str">
        <x:v>Cash</x:v>
      </x:c>
      <x:c r="J285" s="41" t="n">
        <x:v>6</x:v>
      </x:c>
    </x:row>
    <x:row r="286">
      <x:c r="A286" s="32" t="n">
        <x:v>46174</x:v>
      </x:c>
      <x:c r="B286" t="str">
        <x:v>Jun 2026</x:v>
      </x:c>
      <x:c r="C286" t="str">
        <x:v>Forecast</x:v>
      </x:c>
      <x:c r="D286" t="str">
        <x:v>Executive payroll</x:v>
      </x:c>
      <x:c r="E286" t="str">
        <x:v>G&amp;A</x:v>
      </x:c>
      <x:c r="F286" t="str">
        <x:v>Payroll</x:v>
      </x:c>
      <x:c r="G286" s="38" t="n">
        <x:v>71.92</x:v>
      </x:c>
      <x:c r="H286" t="str">
        <x:v>Fixed</x:v>
      </x:c>
      <x:c r="I286" t="str">
        <x:v>Cash</x:v>
      </x:c>
      <x:c r="J286" s="41" t="n">
        <x:v>58</x:v>
      </x:c>
    </x:row>
    <x:row r="287">
      <x:c r="A287" s="32" t="n">
        <x:v>46174</x:v>
      </x:c>
      <x:c r="B287" t="str">
        <x:v>Jun 2026</x:v>
      </x:c>
      <x:c r="C287" t="str">
        <x:v>Forecast</x:v>
      </x:c>
      <x:c r="D287" t="str">
        <x:v>Finance and accounting</x:v>
      </x:c>
      <x:c r="E287" t="str">
        <x:v>G&amp;A</x:v>
      </x:c>
      <x:c r="F287" t="str">
        <x:v>Professional fees</x:v>
      </x:c>
      <x:c r="G287" s="38" t="n">
        <x:v>14</x:v>
      </x:c>
      <x:c r="H287" t="str">
        <x:v>Fixed</x:v>
      </x:c>
      <x:c r="I287" t="str">
        <x:v>Cash</x:v>
      </x:c>
      <x:c r="J287" s="41" t="n">
        <x:v>14</x:v>
      </x:c>
    </x:row>
    <x:row r="288">
      <x:c r="A288" s="32" t="n">
        <x:v>46174</x:v>
      </x:c>
      <x:c r="B288" t="str">
        <x:v>Jun 2026</x:v>
      </x:c>
      <x:c r="C288" t="str">
        <x:v>Forecast</x:v>
      </x:c>
      <x:c r="D288" t="str">
        <x:v>Legal</x:v>
      </x:c>
      <x:c r="E288" t="str">
        <x:v>G&amp;A</x:v>
      </x:c>
      <x:c r="F288" t="str">
        <x:v>Professional fees</x:v>
      </x:c>
      <x:c r="G288" s="38" t="n">
        <x:v>8</x:v>
      </x:c>
      <x:c r="H288" t="str">
        <x:v>Fixed</x:v>
      </x:c>
      <x:c r="I288" t="str">
        <x:v>Cash</x:v>
      </x:c>
      <x:c r="J288" s="41" t="n">
        <x:v>8</x:v>
      </x:c>
    </x:row>
    <x:row r="289">
      <x:c r="A289" s="32" t="n">
        <x:v>46174</x:v>
      </x:c>
      <x:c r="B289" t="str">
        <x:v>Jun 2026</x:v>
      </x:c>
      <x:c r="C289" t="str">
        <x:v>Forecast</x:v>
      </x:c>
      <x:c r="D289" t="str">
        <x:v>Insurance</x:v>
      </x:c>
      <x:c r="E289" t="str">
        <x:v>G&amp;A</x:v>
      </x:c>
      <x:c r="F289" t="str">
        <x:v>Insurance</x:v>
      </x:c>
      <x:c r="G289" s="38" t="n">
        <x:v>6</x:v>
      </x:c>
      <x:c r="H289" t="str">
        <x:v>Fixed</x:v>
      </x:c>
      <x:c r="I289" t="str">
        <x:v>Cash</x:v>
      </x:c>
      <x:c r="J289" s="41" t="n">
        <x:v>6</x:v>
      </x:c>
    </x:row>
    <x:row r="290">
      <x:c r="A290" s="32" t="n">
        <x:v>46174</x:v>
      </x:c>
      <x:c r="B290" t="str">
        <x:v>Jun 2026</x:v>
      </x:c>
      <x:c r="C290" t="str">
        <x:v>Forecast</x:v>
      </x:c>
      <x:c r="D290" t="str">
        <x:v>Software and admin tools</x:v>
      </x:c>
      <x:c r="E290" t="str">
        <x:v>G&amp;A</x:v>
      </x:c>
      <x:c r="F290" t="str">
        <x:v>Software</x:v>
      </x:c>
      <x:c r="G290" s="38" t="n">
        <x:v>12</x:v>
      </x:c>
      <x:c r="H290" t="str">
        <x:v>Fixed</x:v>
      </x:c>
      <x:c r="I290" t="str">
        <x:v>Cash</x:v>
      </x:c>
      <x:c r="J290" s="41" t="n">
        <x:v>12</x:v>
      </x:c>
    </x:row>
    <x:row r="291">
      <x:c r="A291" s="32" t="n">
        <x:v>46174</x:v>
      </x:c>
      <x:c r="B291" t="str">
        <x:v>Jun 2026</x:v>
      </x:c>
      <x:c r="C291" t="str">
        <x:v>Forecast</x:v>
      </x:c>
      <x:c r="D291" t="str">
        <x:v>Support payroll</x:v>
      </x:c>
      <x:c r="E291" t="str">
        <x:v>Customer Support</x:v>
      </x:c>
      <x:c r="F291" t="str">
        <x:v>Payroll</x:v>
      </x:c>
      <x:c r="G291" s="38" t="n">
        <x:v>29.759999999999998</x:v>
      </x:c>
      <x:c r="H291" t="str">
        <x:v>Fixed</x:v>
      </x:c>
      <x:c r="I291" t="str">
        <x:v>Cash</x:v>
      </x:c>
      <x:c r="J291" s="41" t="n">
        <x:v>24</x:v>
      </x:c>
    </x:row>
    <x:row r="292">
      <x:c r="A292" s="32" t="n">
        <x:v>46174</x:v>
      </x:c>
      <x:c r="B292" t="str">
        <x:v>Jun 2026</x:v>
      </x:c>
      <x:c r="C292" t="str">
        <x:v>Forecast</x:v>
      </x:c>
      <x:c r="D292" t="str">
        <x:v>Support variable tools</x:v>
      </x:c>
      <x:c r="E292" t="str">
        <x:v>Customer Support</x:v>
      </x:c>
      <x:c r="F292" t="str">
        <x:v>Support</x:v>
      </x:c>
      <x:c r="G292" s="38" t="n">
        <x:v>5</x:v>
      </x:c>
      <x:c r="H292" t="str">
        <x:v>Variable</x:v>
      </x:c>
      <x:c r="I292" t="str">
        <x:v>Cash</x:v>
      </x:c>
      <x:c r="J292" s="41" t="n">
        <x:v>5</x:v>
      </x:c>
    </x:row>
    <x:row r="293">
      <x:c r="A293" s="32" t="n">
        <x:v>46204</x:v>
      </x:c>
      <x:c r="B293" t="str">
        <x:v>Jul 2026</x:v>
      </x:c>
      <x:c r="C293" t="str">
        <x:v>Forecast</x:v>
      </x:c>
      <x:c r="D293" t="str">
        <x:v>Sales team payroll</x:v>
      </x:c>
      <x:c r="E293" t="str">
        <x:v>Sales</x:v>
      </x:c>
      <x:c r="F293" t="str">
        <x:v>Payroll</x:v>
      </x:c>
      <x:c r="G293" s="38" t="n">
        <x:v>59.519999999999996</x:v>
      </x:c>
      <x:c r="H293" t="str">
        <x:v>Fixed</x:v>
      </x:c>
      <x:c r="I293" t="str">
        <x:v>Cash</x:v>
      </x:c>
      <x:c r="J293" s="41" t="n">
        <x:v>48</x:v>
      </x:c>
    </x:row>
    <x:row r="294">
      <x:c r="A294" s="32" t="n">
        <x:v>46204</x:v>
      </x:c>
      <x:c r="B294" t="str">
        <x:v>Jul 2026</x:v>
      </x:c>
      <x:c r="C294" t="str">
        <x:v>Forecast</x:v>
      </x:c>
      <x:c r="D294" t="str">
        <x:v>Retail broker commissions</x:v>
      </x:c>
      <x:c r="E294" t="str">
        <x:v>Sales</x:v>
      </x:c>
      <x:c r="F294" t="str">
        <x:v>Commissions</x:v>
      </x:c>
      <x:c r="G294" s="38" t="n">
        <x:v>9</x:v>
      </x:c>
      <x:c r="H294" t="str">
        <x:v>Variable</x:v>
      </x:c>
      <x:c r="I294" t="str">
        <x:v>Cash</x:v>
      </x:c>
      <x:c r="J294" s="41" t="n">
        <x:v>9</x:v>
      </x:c>
    </x:row>
    <x:row r="295">
      <x:c r="A295" s="32" t="n">
        <x:v>46204</x:v>
      </x:c>
      <x:c r="B295" t="str">
        <x:v>Jul 2026</x:v>
      </x:c>
      <x:c r="C295" t="str">
        <x:v>Forecast</x:v>
      </x:c>
      <x:c r="D295" t="str">
        <x:v>Brand agency retainer</x:v>
      </x:c>
      <x:c r="E295" t="str">
        <x:v>Marketing</x:v>
      </x:c>
      <x:c r="F295" t="str">
        <x:v>Services</x:v>
      </x:c>
      <x:c r="G295" s="38" t="n">
        <x:v>22</x:v>
      </x:c>
      <x:c r="H295" t="str">
        <x:v>Fixed</x:v>
      </x:c>
      <x:c r="I295" t="str">
        <x:v>Cash</x:v>
      </x:c>
      <x:c r="J295" s="41" t="n">
        <x:v>22</x:v>
      </x:c>
    </x:row>
    <x:row r="296">
      <x:c r="A296" s="32" t="n">
        <x:v>46204</x:v>
      </x:c>
      <x:c r="B296" t="str">
        <x:v>Jul 2026</x:v>
      </x:c>
      <x:c r="C296" t="str">
        <x:v>Forecast</x:v>
      </x:c>
      <x:c r="D296" t="str">
        <x:v>Creative production</x:v>
      </x:c>
      <x:c r="E296" t="str">
        <x:v>Marketing</x:v>
      </x:c>
      <x:c r="F296" t="str">
        <x:v>Services</x:v>
      </x:c>
      <x:c r="G296" s="38" t="n">
        <x:v>18</x:v>
      </x:c>
      <x:c r="H296" t="str">
        <x:v>Variable</x:v>
      </x:c>
      <x:c r="I296" t="str">
        <x:v>Cash</x:v>
      </x:c>
      <x:c r="J296" s="41" t="n">
        <x:v>18</x:v>
      </x:c>
    </x:row>
    <x:row r="297">
      <x:c r="A297" s="32" t="n">
        <x:v>46204</x:v>
      </x:c>
      <x:c r="B297" t="str">
        <x:v>Jul 2026</x:v>
      </x:c>
      <x:c r="C297" t="str">
        <x:v>Forecast</x:v>
      </x:c>
      <x:c r="D297" t="str">
        <x:v>Ops team payroll</x:v>
      </x:c>
      <x:c r="E297" t="str">
        <x:v>Operations</x:v>
      </x:c>
      <x:c r="F297" t="str">
        <x:v>Payroll</x:v>
      </x:c>
      <x:c r="G297" s="38" t="n">
        <x:v>76.88</x:v>
      </x:c>
      <x:c r="H297" t="str">
        <x:v>Fixed</x:v>
      </x:c>
      <x:c r="I297" t="str">
        <x:v>Cash</x:v>
      </x:c>
      <x:c r="J297" s="41" t="n">
        <x:v>62</x:v>
      </x:c>
    </x:row>
    <x:row r="298">
      <x:c r="A298" s="32" t="n">
        <x:v>46204</x:v>
      </x:c>
      <x:c r="B298" t="str">
        <x:v>Jul 2026</x:v>
      </x:c>
      <x:c r="C298" t="str">
        <x:v>Forecast</x:v>
      </x:c>
      <x:c r="D298" t="str">
        <x:v>Warehouse rent</x:v>
      </x:c>
      <x:c r="E298" t="str">
        <x:v>Operations</x:v>
      </x:c>
      <x:c r="F298" t="str">
        <x:v>Facilities</x:v>
      </x:c>
      <x:c r="G298" s="38" t="n">
        <x:v>28</x:v>
      </x:c>
      <x:c r="H298" t="str">
        <x:v>Fixed</x:v>
      </x:c>
      <x:c r="I298" t="str">
        <x:v>Cash</x:v>
      </x:c>
      <x:c r="J298" s="41" t="n">
        <x:v>28</x:v>
      </x:c>
    </x:row>
    <x:row r="299">
      <x:c r="A299" s="32" t="n">
        <x:v>46204</x:v>
      </x:c>
      <x:c r="B299" t="str">
        <x:v>Jul 2026</x:v>
      </x:c>
      <x:c r="C299" t="str">
        <x:v>Forecast</x:v>
      </x:c>
      <x:c r="D299" t="str">
        <x:v>Inventory systems</x:v>
      </x:c>
      <x:c r="E299" t="str">
        <x:v>Operations</x:v>
      </x:c>
      <x:c r="F299" t="str">
        <x:v>Software</x:v>
      </x:c>
      <x:c r="G299" s="38" t="n">
        <x:v>7</x:v>
      </x:c>
      <x:c r="H299" t="str">
        <x:v>Fixed</x:v>
      </x:c>
      <x:c r="I299" t="str">
        <x:v>Cash</x:v>
      </x:c>
      <x:c r="J299" s="41" t="n">
        <x:v>7</x:v>
      </x:c>
    </x:row>
    <x:row r="300">
      <x:c r="A300" s="32" t="n">
        <x:v>46204</x:v>
      </x:c>
      <x:c r="B300" t="str">
        <x:v>Jul 2026</x:v>
      </x:c>
      <x:c r="C300" t="str">
        <x:v>Forecast</x:v>
      </x:c>
      <x:c r="D300" t="str">
        <x:v>Product team payroll</x:v>
      </x:c>
      <x:c r="E300" t="str">
        <x:v>Product</x:v>
      </x:c>
      <x:c r="F300" t="str">
        <x:v>Payroll</x:v>
      </x:c>
      <x:c r="G300" s="38" t="n">
        <x:v>44.64</x:v>
      </x:c>
      <x:c r="H300" t="str">
        <x:v>Fixed</x:v>
      </x:c>
      <x:c r="I300" t="str">
        <x:v>Cash</x:v>
      </x:c>
      <x:c r="J300" s="41" t="n">
        <x:v>36</x:v>
      </x:c>
    </x:row>
    <x:row r="301">
      <x:c r="A301" s="32" t="n">
        <x:v>46204</x:v>
      </x:c>
      <x:c r="B301" t="str">
        <x:v>Jul 2026</x:v>
      </x:c>
      <x:c r="C301" t="str">
        <x:v>Forecast</x:v>
      </x:c>
      <x:c r="D301" t="str">
        <x:v>QA and inspections</x:v>
      </x:c>
      <x:c r="E301" t="str">
        <x:v>Product</x:v>
      </x:c>
      <x:c r="F301" t="str">
        <x:v>Services</x:v>
      </x:c>
      <x:c r="G301" s="38" t="n">
        <x:v>6</x:v>
      </x:c>
      <x:c r="H301" t="str">
        <x:v>Variable</x:v>
      </x:c>
      <x:c r="I301" t="str">
        <x:v>Cash</x:v>
      </x:c>
      <x:c r="J301" s="41" t="n">
        <x:v>6</x:v>
      </x:c>
    </x:row>
    <x:row r="302">
      <x:c r="A302" s="32" t="n">
        <x:v>46204</x:v>
      </x:c>
      <x:c r="B302" t="str">
        <x:v>Jul 2026</x:v>
      </x:c>
      <x:c r="C302" t="str">
        <x:v>Forecast</x:v>
      </x:c>
      <x:c r="D302" t="str">
        <x:v>Executive payroll</x:v>
      </x:c>
      <x:c r="E302" t="str">
        <x:v>G&amp;A</x:v>
      </x:c>
      <x:c r="F302" t="str">
        <x:v>Payroll</x:v>
      </x:c>
      <x:c r="G302" s="38" t="n">
        <x:v>71.92</x:v>
      </x:c>
      <x:c r="H302" t="str">
        <x:v>Fixed</x:v>
      </x:c>
      <x:c r="I302" t="str">
        <x:v>Cash</x:v>
      </x:c>
      <x:c r="J302" s="41" t="n">
        <x:v>58</x:v>
      </x:c>
    </x:row>
    <x:row r="303">
      <x:c r="A303" s="32" t="n">
        <x:v>46204</x:v>
      </x:c>
      <x:c r="B303" t="str">
        <x:v>Jul 2026</x:v>
      </x:c>
      <x:c r="C303" t="str">
        <x:v>Forecast</x:v>
      </x:c>
      <x:c r="D303" t="str">
        <x:v>Finance and accounting</x:v>
      </x:c>
      <x:c r="E303" t="str">
        <x:v>G&amp;A</x:v>
      </x:c>
      <x:c r="F303" t="str">
        <x:v>Professional fees</x:v>
      </x:c>
      <x:c r="G303" s="38" t="n">
        <x:v>14</x:v>
      </x:c>
      <x:c r="H303" t="str">
        <x:v>Fixed</x:v>
      </x:c>
      <x:c r="I303" t="str">
        <x:v>Cash</x:v>
      </x:c>
      <x:c r="J303" s="41" t="n">
        <x:v>14</x:v>
      </x:c>
    </x:row>
    <x:row r="304">
      <x:c r="A304" s="32" t="n">
        <x:v>46204</x:v>
      </x:c>
      <x:c r="B304" t="str">
        <x:v>Jul 2026</x:v>
      </x:c>
      <x:c r="C304" t="str">
        <x:v>Forecast</x:v>
      </x:c>
      <x:c r="D304" t="str">
        <x:v>Legal</x:v>
      </x:c>
      <x:c r="E304" t="str">
        <x:v>G&amp;A</x:v>
      </x:c>
      <x:c r="F304" t="str">
        <x:v>Professional fees</x:v>
      </x:c>
      <x:c r="G304" s="38" t="n">
        <x:v>8</x:v>
      </x:c>
      <x:c r="H304" t="str">
        <x:v>Fixed</x:v>
      </x:c>
      <x:c r="I304" t="str">
        <x:v>Cash</x:v>
      </x:c>
      <x:c r="J304" s="41" t="n">
        <x:v>8</x:v>
      </x:c>
    </x:row>
    <x:row r="305">
      <x:c r="A305" s="32" t="n">
        <x:v>46204</x:v>
      </x:c>
      <x:c r="B305" t="str">
        <x:v>Jul 2026</x:v>
      </x:c>
      <x:c r="C305" t="str">
        <x:v>Forecast</x:v>
      </x:c>
      <x:c r="D305" t="str">
        <x:v>Insurance</x:v>
      </x:c>
      <x:c r="E305" t="str">
        <x:v>G&amp;A</x:v>
      </x:c>
      <x:c r="F305" t="str">
        <x:v>Insurance</x:v>
      </x:c>
      <x:c r="G305" s="38" t="n">
        <x:v>6</x:v>
      </x:c>
      <x:c r="H305" t="str">
        <x:v>Fixed</x:v>
      </x:c>
      <x:c r="I305" t="str">
        <x:v>Cash</x:v>
      </x:c>
      <x:c r="J305" s="41" t="n">
        <x:v>6</x:v>
      </x:c>
    </x:row>
    <x:row r="306">
      <x:c r="A306" s="32" t="n">
        <x:v>46204</x:v>
      </x:c>
      <x:c r="B306" t="str">
        <x:v>Jul 2026</x:v>
      </x:c>
      <x:c r="C306" t="str">
        <x:v>Forecast</x:v>
      </x:c>
      <x:c r="D306" t="str">
        <x:v>Software and admin tools</x:v>
      </x:c>
      <x:c r="E306" t="str">
        <x:v>G&amp;A</x:v>
      </x:c>
      <x:c r="F306" t="str">
        <x:v>Software</x:v>
      </x:c>
      <x:c r="G306" s="38" t="n">
        <x:v>12</x:v>
      </x:c>
      <x:c r="H306" t="str">
        <x:v>Fixed</x:v>
      </x:c>
      <x:c r="I306" t="str">
        <x:v>Cash</x:v>
      </x:c>
      <x:c r="J306" s="41" t="n">
        <x:v>12</x:v>
      </x:c>
    </x:row>
    <x:row r="307">
      <x:c r="A307" s="32" t="n">
        <x:v>46204</x:v>
      </x:c>
      <x:c r="B307" t="str">
        <x:v>Jul 2026</x:v>
      </x:c>
      <x:c r="C307" t="str">
        <x:v>Forecast</x:v>
      </x:c>
      <x:c r="D307" t="str">
        <x:v>Support payroll</x:v>
      </x:c>
      <x:c r="E307" t="str">
        <x:v>Customer Support</x:v>
      </x:c>
      <x:c r="F307" t="str">
        <x:v>Payroll</x:v>
      </x:c>
      <x:c r="G307" s="38" t="n">
        <x:v>29.759999999999998</x:v>
      </x:c>
      <x:c r="H307" t="str">
        <x:v>Fixed</x:v>
      </x:c>
      <x:c r="I307" t="str">
        <x:v>Cash</x:v>
      </x:c>
      <x:c r="J307" s="41" t="n">
        <x:v>24</x:v>
      </x:c>
    </x:row>
    <x:row r="308">
      <x:c r="A308" s="32" t="n">
        <x:v>46204</x:v>
      </x:c>
      <x:c r="B308" t="str">
        <x:v>Jul 2026</x:v>
      </x:c>
      <x:c r="C308" t="str">
        <x:v>Forecast</x:v>
      </x:c>
      <x:c r="D308" t="str">
        <x:v>Support variable tools</x:v>
      </x:c>
      <x:c r="E308" t="str">
        <x:v>Customer Support</x:v>
      </x:c>
      <x:c r="F308" t="str">
        <x:v>Support</x:v>
      </x:c>
      <x:c r="G308" s="38" t="n">
        <x:v>5</x:v>
      </x:c>
      <x:c r="H308" t="str">
        <x:v>Variable</x:v>
      </x:c>
      <x:c r="I308" t="str">
        <x:v>Cash</x:v>
      </x:c>
      <x:c r="J308" s="41" t="n">
        <x:v>5</x:v>
      </x:c>
    </x:row>
    <x:row r="309">
      <x:c r="A309" s="32" t="n">
        <x:v>46235</x:v>
      </x:c>
      <x:c r="B309" t="str">
        <x:v>Aug 2026</x:v>
      </x:c>
      <x:c r="C309" t="str">
        <x:v>Forecast</x:v>
      </x:c>
      <x:c r="D309" t="str">
        <x:v>Sales team payroll</x:v>
      </x:c>
      <x:c r="E309" t="str">
        <x:v>Sales</x:v>
      </x:c>
      <x:c r="F309" t="str">
        <x:v>Payroll</x:v>
      </x:c>
      <x:c r="G309" s="38" t="n">
        <x:v>59.519999999999996</x:v>
      </x:c>
      <x:c r="H309" t="str">
        <x:v>Fixed</x:v>
      </x:c>
      <x:c r="I309" t="str">
        <x:v>Cash</x:v>
      </x:c>
      <x:c r="J309" s="41" t="n">
        <x:v>48</x:v>
      </x:c>
    </x:row>
    <x:row r="310">
      <x:c r="A310" s="32" t="n">
        <x:v>46235</x:v>
      </x:c>
      <x:c r="B310" t="str">
        <x:v>Aug 2026</x:v>
      </x:c>
      <x:c r="C310" t="str">
        <x:v>Forecast</x:v>
      </x:c>
      <x:c r="D310" t="str">
        <x:v>Retail broker commissions</x:v>
      </x:c>
      <x:c r="E310" t="str">
        <x:v>Sales</x:v>
      </x:c>
      <x:c r="F310" t="str">
        <x:v>Commissions</x:v>
      </x:c>
      <x:c r="G310" s="38" t="n">
        <x:v>9</x:v>
      </x:c>
      <x:c r="H310" t="str">
        <x:v>Variable</x:v>
      </x:c>
      <x:c r="I310" t="str">
        <x:v>Cash</x:v>
      </x:c>
      <x:c r="J310" s="41" t="n">
        <x:v>9</x:v>
      </x:c>
    </x:row>
    <x:row r="311">
      <x:c r="A311" s="32" t="n">
        <x:v>46235</x:v>
      </x:c>
      <x:c r="B311" t="str">
        <x:v>Aug 2026</x:v>
      </x:c>
      <x:c r="C311" t="str">
        <x:v>Forecast</x:v>
      </x:c>
      <x:c r="D311" t="str">
        <x:v>Brand agency retainer</x:v>
      </x:c>
      <x:c r="E311" t="str">
        <x:v>Marketing</x:v>
      </x:c>
      <x:c r="F311" t="str">
        <x:v>Services</x:v>
      </x:c>
      <x:c r="G311" s="38" t="n">
        <x:v>22</x:v>
      </x:c>
      <x:c r="H311" t="str">
        <x:v>Fixed</x:v>
      </x:c>
      <x:c r="I311" t="str">
        <x:v>Cash</x:v>
      </x:c>
      <x:c r="J311" s="41" t="n">
        <x:v>22</x:v>
      </x:c>
    </x:row>
    <x:row r="312">
      <x:c r="A312" s="32" t="n">
        <x:v>46235</x:v>
      </x:c>
      <x:c r="B312" t="str">
        <x:v>Aug 2026</x:v>
      </x:c>
      <x:c r="C312" t="str">
        <x:v>Forecast</x:v>
      </x:c>
      <x:c r="D312" t="str">
        <x:v>Creative production</x:v>
      </x:c>
      <x:c r="E312" t="str">
        <x:v>Marketing</x:v>
      </x:c>
      <x:c r="F312" t="str">
        <x:v>Services</x:v>
      </x:c>
      <x:c r="G312" s="38" t="n">
        <x:v>18</x:v>
      </x:c>
      <x:c r="H312" t="str">
        <x:v>Variable</x:v>
      </x:c>
      <x:c r="I312" t="str">
        <x:v>Cash</x:v>
      </x:c>
      <x:c r="J312" s="41" t="n">
        <x:v>18</x:v>
      </x:c>
    </x:row>
    <x:row r="313">
      <x:c r="A313" s="32" t="n">
        <x:v>46235</x:v>
      </x:c>
      <x:c r="B313" t="str">
        <x:v>Aug 2026</x:v>
      </x:c>
      <x:c r="C313" t="str">
        <x:v>Forecast</x:v>
      </x:c>
      <x:c r="D313" t="str">
        <x:v>Ops team payroll</x:v>
      </x:c>
      <x:c r="E313" t="str">
        <x:v>Operations</x:v>
      </x:c>
      <x:c r="F313" t="str">
        <x:v>Payroll</x:v>
      </x:c>
      <x:c r="G313" s="38" t="n">
        <x:v>76.88</x:v>
      </x:c>
      <x:c r="H313" t="str">
        <x:v>Fixed</x:v>
      </x:c>
      <x:c r="I313" t="str">
        <x:v>Cash</x:v>
      </x:c>
      <x:c r="J313" s="41" t="n">
        <x:v>62</x:v>
      </x:c>
    </x:row>
    <x:row r="314">
      <x:c r="A314" s="32" t="n">
        <x:v>46235</x:v>
      </x:c>
      <x:c r="B314" t="str">
        <x:v>Aug 2026</x:v>
      </x:c>
      <x:c r="C314" t="str">
        <x:v>Forecast</x:v>
      </x:c>
      <x:c r="D314" t="str">
        <x:v>Warehouse rent</x:v>
      </x:c>
      <x:c r="E314" t="str">
        <x:v>Operations</x:v>
      </x:c>
      <x:c r="F314" t="str">
        <x:v>Facilities</x:v>
      </x:c>
      <x:c r="G314" s="38" t="n">
        <x:v>28</x:v>
      </x:c>
      <x:c r="H314" t="str">
        <x:v>Fixed</x:v>
      </x:c>
      <x:c r="I314" t="str">
        <x:v>Cash</x:v>
      </x:c>
      <x:c r="J314" s="41" t="n">
        <x:v>28</x:v>
      </x:c>
    </x:row>
    <x:row r="315">
      <x:c r="A315" s="32" t="n">
        <x:v>46235</x:v>
      </x:c>
      <x:c r="B315" t="str">
        <x:v>Aug 2026</x:v>
      </x:c>
      <x:c r="C315" t="str">
        <x:v>Forecast</x:v>
      </x:c>
      <x:c r="D315" t="str">
        <x:v>Inventory systems</x:v>
      </x:c>
      <x:c r="E315" t="str">
        <x:v>Operations</x:v>
      </x:c>
      <x:c r="F315" t="str">
        <x:v>Software</x:v>
      </x:c>
      <x:c r="G315" s="38" t="n">
        <x:v>7</x:v>
      </x:c>
      <x:c r="H315" t="str">
        <x:v>Fixed</x:v>
      </x:c>
      <x:c r="I315" t="str">
        <x:v>Cash</x:v>
      </x:c>
      <x:c r="J315" s="41" t="n">
        <x:v>7</x:v>
      </x:c>
    </x:row>
    <x:row r="316">
      <x:c r="A316" s="32" t="n">
        <x:v>46235</x:v>
      </x:c>
      <x:c r="B316" t="str">
        <x:v>Aug 2026</x:v>
      </x:c>
      <x:c r="C316" t="str">
        <x:v>Forecast</x:v>
      </x:c>
      <x:c r="D316" t="str">
        <x:v>Product team payroll</x:v>
      </x:c>
      <x:c r="E316" t="str">
        <x:v>Product</x:v>
      </x:c>
      <x:c r="F316" t="str">
        <x:v>Payroll</x:v>
      </x:c>
      <x:c r="G316" s="38" t="n">
        <x:v>44.64</x:v>
      </x:c>
      <x:c r="H316" t="str">
        <x:v>Fixed</x:v>
      </x:c>
      <x:c r="I316" t="str">
        <x:v>Cash</x:v>
      </x:c>
      <x:c r="J316" s="41" t="n">
        <x:v>36</x:v>
      </x:c>
    </x:row>
    <x:row r="317">
      <x:c r="A317" s="32" t="n">
        <x:v>46235</x:v>
      </x:c>
      <x:c r="B317" t="str">
        <x:v>Aug 2026</x:v>
      </x:c>
      <x:c r="C317" t="str">
        <x:v>Forecast</x:v>
      </x:c>
      <x:c r="D317" t="str">
        <x:v>QA and inspections</x:v>
      </x:c>
      <x:c r="E317" t="str">
        <x:v>Product</x:v>
      </x:c>
      <x:c r="F317" t="str">
        <x:v>Services</x:v>
      </x:c>
      <x:c r="G317" s="38" t="n">
        <x:v>6</x:v>
      </x:c>
      <x:c r="H317" t="str">
        <x:v>Variable</x:v>
      </x:c>
      <x:c r="I317" t="str">
        <x:v>Cash</x:v>
      </x:c>
      <x:c r="J317" s="41" t="n">
        <x:v>6</x:v>
      </x:c>
    </x:row>
    <x:row r="318">
      <x:c r="A318" s="32" t="n">
        <x:v>46235</x:v>
      </x:c>
      <x:c r="B318" t="str">
        <x:v>Aug 2026</x:v>
      </x:c>
      <x:c r="C318" t="str">
        <x:v>Forecast</x:v>
      </x:c>
      <x:c r="D318" t="str">
        <x:v>Executive payroll</x:v>
      </x:c>
      <x:c r="E318" t="str">
        <x:v>G&amp;A</x:v>
      </x:c>
      <x:c r="F318" t="str">
        <x:v>Payroll</x:v>
      </x:c>
      <x:c r="G318" s="38" t="n">
        <x:v>71.92</x:v>
      </x:c>
      <x:c r="H318" t="str">
        <x:v>Fixed</x:v>
      </x:c>
      <x:c r="I318" t="str">
        <x:v>Cash</x:v>
      </x:c>
      <x:c r="J318" s="41" t="n">
        <x:v>58</x:v>
      </x:c>
    </x:row>
    <x:row r="319">
      <x:c r="A319" s="32" t="n">
        <x:v>46235</x:v>
      </x:c>
      <x:c r="B319" t="str">
        <x:v>Aug 2026</x:v>
      </x:c>
      <x:c r="C319" t="str">
        <x:v>Forecast</x:v>
      </x:c>
      <x:c r="D319" t="str">
        <x:v>Finance and accounting</x:v>
      </x:c>
      <x:c r="E319" t="str">
        <x:v>G&amp;A</x:v>
      </x:c>
      <x:c r="F319" t="str">
        <x:v>Professional fees</x:v>
      </x:c>
      <x:c r="G319" s="38" t="n">
        <x:v>14</x:v>
      </x:c>
      <x:c r="H319" t="str">
        <x:v>Fixed</x:v>
      </x:c>
      <x:c r="I319" t="str">
        <x:v>Cash</x:v>
      </x:c>
      <x:c r="J319" s="41" t="n">
        <x:v>14</x:v>
      </x:c>
    </x:row>
    <x:row r="320">
      <x:c r="A320" s="32" t="n">
        <x:v>46235</x:v>
      </x:c>
      <x:c r="B320" t="str">
        <x:v>Aug 2026</x:v>
      </x:c>
      <x:c r="C320" t="str">
        <x:v>Forecast</x:v>
      </x:c>
      <x:c r="D320" t="str">
        <x:v>Legal</x:v>
      </x:c>
      <x:c r="E320" t="str">
        <x:v>G&amp;A</x:v>
      </x:c>
      <x:c r="F320" t="str">
        <x:v>Professional fees</x:v>
      </x:c>
      <x:c r="G320" s="38" t="n">
        <x:v>8</x:v>
      </x:c>
      <x:c r="H320" t="str">
        <x:v>Fixed</x:v>
      </x:c>
      <x:c r="I320" t="str">
        <x:v>Cash</x:v>
      </x:c>
      <x:c r="J320" s="41" t="n">
        <x:v>8</x:v>
      </x:c>
    </x:row>
    <x:row r="321">
      <x:c r="A321" s="32" t="n">
        <x:v>46235</x:v>
      </x:c>
      <x:c r="B321" t="str">
        <x:v>Aug 2026</x:v>
      </x:c>
      <x:c r="C321" t="str">
        <x:v>Forecast</x:v>
      </x:c>
      <x:c r="D321" t="str">
        <x:v>Insurance</x:v>
      </x:c>
      <x:c r="E321" t="str">
        <x:v>G&amp;A</x:v>
      </x:c>
      <x:c r="F321" t="str">
        <x:v>Insurance</x:v>
      </x:c>
      <x:c r="G321" s="38" t="n">
        <x:v>6</x:v>
      </x:c>
      <x:c r="H321" t="str">
        <x:v>Fixed</x:v>
      </x:c>
      <x:c r="I321" t="str">
        <x:v>Cash</x:v>
      </x:c>
      <x:c r="J321" s="41" t="n">
        <x:v>6</x:v>
      </x:c>
    </x:row>
    <x:row r="322">
      <x:c r="A322" s="32" t="n">
        <x:v>46235</x:v>
      </x:c>
      <x:c r="B322" t="str">
        <x:v>Aug 2026</x:v>
      </x:c>
      <x:c r="C322" t="str">
        <x:v>Forecast</x:v>
      </x:c>
      <x:c r="D322" t="str">
        <x:v>Software and admin tools</x:v>
      </x:c>
      <x:c r="E322" t="str">
        <x:v>G&amp;A</x:v>
      </x:c>
      <x:c r="F322" t="str">
        <x:v>Software</x:v>
      </x:c>
      <x:c r="G322" s="38" t="n">
        <x:v>12</x:v>
      </x:c>
      <x:c r="H322" t="str">
        <x:v>Fixed</x:v>
      </x:c>
      <x:c r="I322" t="str">
        <x:v>Cash</x:v>
      </x:c>
      <x:c r="J322" s="41" t="n">
        <x:v>12</x:v>
      </x:c>
    </x:row>
    <x:row r="323">
      <x:c r="A323" s="32" t="n">
        <x:v>46235</x:v>
      </x:c>
      <x:c r="B323" t="str">
        <x:v>Aug 2026</x:v>
      </x:c>
      <x:c r="C323" t="str">
        <x:v>Forecast</x:v>
      </x:c>
      <x:c r="D323" t="str">
        <x:v>Support payroll</x:v>
      </x:c>
      <x:c r="E323" t="str">
        <x:v>Customer Support</x:v>
      </x:c>
      <x:c r="F323" t="str">
        <x:v>Payroll</x:v>
      </x:c>
      <x:c r="G323" s="38" t="n">
        <x:v>29.759999999999998</x:v>
      </x:c>
      <x:c r="H323" t="str">
        <x:v>Fixed</x:v>
      </x:c>
      <x:c r="I323" t="str">
        <x:v>Cash</x:v>
      </x:c>
      <x:c r="J323" s="41" t="n">
        <x:v>24</x:v>
      </x:c>
    </x:row>
    <x:row r="324">
      <x:c r="A324" s="32" t="n">
        <x:v>46235</x:v>
      </x:c>
      <x:c r="B324" t="str">
        <x:v>Aug 2026</x:v>
      </x:c>
      <x:c r="C324" t="str">
        <x:v>Forecast</x:v>
      </x:c>
      <x:c r="D324" t="str">
        <x:v>Support variable tools</x:v>
      </x:c>
      <x:c r="E324" t="str">
        <x:v>Customer Support</x:v>
      </x:c>
      <x:c r="F324" t="str">
        <x:v>Support</x:v>
      </x:c>
      <x:c r="G324" s="38" t="n">
        <x:v>5</x:v>
      </x:c>
      <x:c r="H324" t="str">
        <x:v>Variable</x:v>
      </x:c>
      <x:c r="I324" t="str">
        <x:v>Cash</x:v>
      </x:c>
      <x:c r="J324" s="41" t="n">
        <x:v>5</x:v>
      </x:c>
    </x:row>
    <x:row r="325">
      <x:c r="A325" s="32" t="n">
        <x:v>46266</x:v>
      </x:c>
      <x:c r="B325" t="str">
        <x:v>Sep 2026</x:v>
      </x:c>
      <x:c r="C325" t="str">
        <x:v>Forecast</x:v>
      </x:c>
      <x:c r="D325" t="str">
        <x:v>Sales team payroll</x:v>
      </x:c>
      <x:c r="E325" t="str">
        <x:v>Sales</x:v>
      </x:c>
      <x:c r="F325" t="str">
        <x:v>Payroll</x:v>
      </x:c>
      <x:c r="G325" s="38" t="n">
        <x:v>59.519999999999996</x:v>
      </x:c>
      <x:c r="H325" t="str">
        <x:v>Fixed</x:v>
      </x:c>
      <x:c r="I325" t="str">
        <x:v>Cash</x:v>
      </x:c>
      <x:c r="J325" s="41" t="n">
        <x:v>48</x:v>
      </x:c>
    </x:row>
    <x:row r="326">
      <x:c r="A326" s="32" t="n">
        <x:v>46266</x:v>
      </x:c>
      <x:c r="B326" t="str">
        <x:v>Sep 2026</x:v>
      </x:c>
      <x:c r="C326" t="str">
        <x:v>Forecast</x:v>
      </x:c>
      <x:c r="D326" t="str">
        <x:v>Retail broker commissions</x:v>
      </x:c>
      <x:c r="E326" t="str">
        <x:v>Sales</x:v>
      </x:c>
      <x:c r="F326" t="str">
        <x:v>Commissions</x:v>
      </x:c>
      <x:c r="G326" s="38" t="n">
        <x:v>9</x:v>
      </x:c>
      <x:c r="H326" t="str">
        <x:v>Variable</x:v>
      </x:c>
      <x:c r="I326" t="str">
        <x:v>Cash</x:v>
      </x:c>
      <x:c r="J326" s="41" t="n">
        <x:v>9</x:v>
      </x:c>
    </x:row>
    <x:row r="327">
      <x:c r="A327" s="32" t="n">
        <x:v>46266</x:v>
      </x:c>
      <x:c r="B327" t="str">
        <x:v>Sep 2026</x:v>
      </x:c>
      <x:c r="C327" t="str">
        <x:v>Forecast</x:v>
      </x:c>
      <x:c r="D327" t="str">
        <x:v>Brand agency retainer</x:v>
      </x:c>
      <x:c r="E327" t="str">
        <x:v>Marketing</x:v>
      </x:c>
      <x:c r="F327" t="str">
        <x:v>Services</x:v>
      </x:c>
      <x:c r="G327" s="38" t="n">
        <x:v>22</x:v>
      </x:c>
      <x:c r="H327" t="str">
        <x:v>Fixed</x:v>
      </x:c>
      <x:c r="I327" t="str">
        <x:v>Cash</x:v>
      </x:c>
      <x:c r="J327" s="41" t="n">
        <x:v>22</x:v>
      </x:c>
    </x:row>
    <x:row r="328">
      <x:c r="A328" s="32" t="n">
        <x:v>46266</x:v>
      </x:c>
      <x:c r="B328" t="str">
        <x:v>Sep 2026</x:v>
      </x:c>
      <x:c r="C328" t="str">
        <x:v>Forecast</x:v>
      </x:c>
      <x:c r="D328" t="str">
        <x:v>Creative production</x:v>
      </x:c>
      <x:c r="E328" t="str">
        <x:v>Marketing</x:v>
      </x:c>
      <x:c r="F328" t="str">
        <x:v>Services</x:v>
      </x:c>
      <x:c r="G328" s="38" t="n">
        <x:v>18</x:v>
      </x:c>
      <x:c r="H328" t="str">
        <x:v>Variable</x:v>
      </x:c>
      <x:c r="I328" t="str">
        <x:v>Cash</x:v>
      </x:c>
      <x:c r="J328" s="41" t="n">
        <x:v>18</x:v>
      </x:c>
    </x:row>
    <x:row r="329">
      <x:c r="A329" s="32" t="n">
        <x:v>46266</x:v>
      </x:c>
      <x:c r="B329" t="str">
        <x:v>Sep 2026</x:v>
      </x:c>
      <x:c r="C329" t="str">
        <x:v>Forecast</x:v>
      </x:c>
      <x:c r="D329" t="str">
        <x:v>Ops team payroll</x:v>
      </x:c>
      <x:c r="E329" t="str">
        <x:v>Operations</x:v>
      </x:c>
      <x:c r="F329" t="str">
        <x:v>Payroll</x:v>
      </x:c>
      <x:c r="G329" s="38" t="n">
        <x:v>76.88</x:v>
      </x:c>
      <x:c r="H329" t="str">
        <x:v>Fixed</x:v>
      </x:c>
      <x:c r="I329" t="str">
        <x:v>Cash</x:v>
      </x:c>
      <x:c r="J329" s="41" t="n">
        <x:v>62</x:v>
      </x:c>
    </x:row>
    <x:row r="330">
      <x:c r="A330" s="32" t="n">
        <x:v>46266</x:v>
      </x:c>
      <x:c r="B330" t="str">
        <x:v>Sep 2026</x:v>
      </x:c>
      <x:c r="C330" t="str">
        <x:v>Forecast</x:v>
      </x:c>
      <x:c r="D330" t="str">
        <x:v>Warehouse rent</x:v>
      </x:c>
      <x:c r="E330" t="str">
        <x:v>Operations</x:v>
      </x:c>
      <x:c r="F330" t="str">
        <x:v>Facilities</x:v>
      </x:c>
      <x:c r="G330" s="38" t="n">
        <x:v>28</x:v>
      </x:c>
      <x:c r="H330" t="str">
        <x:v>Fixed</x:v>
      </x:c>
      <x:c r="I330" t="str">
        <x:v>Cash</x:v>
      </x:c>
      <x:c r="J330" s="41" t="n">
        <x:v>28</x:v>
      </x:c>
    </x:row>
    <x:row r="331">
      <x:c r="A331" s="32" t="n">
        <x:v>46266</x:v>
      </x:c>
      <x:c r="B331" t="str">
        <x:v>Sep 2026</x:v>
      </x:c>
      <x:c r="C331" t="str">
        <x:v>Forecast</x:v>
      </x:c>
      <x:c r="D331" t="str">
        <x:v>Inventory systems</x:v>
      </x:c>
      <x:c r="E331" t="str">
        <x:v>Operations</x:v>
      </x:c>
      <x:c r="F331" t="str">
        <x:v>Software</x:v>
      </x:c>
      <x:c r="G331" s="38" t="n">
        <x:v>7</x:v>
      </x:c>
      <x:c r="H331" t="str">
        <x:v>Fixed</x:v>
      </x:c>
      <x:c r="I331" t="str">
        <x:v>Cash</x:v>
      </x:c>
      <x:c r="J331" s="41" t="n">
        <x:v>7</x:v>
      </x:c>
    </x:row>
    <x:row r="332">
      <x:c r="A332" s="32" t="n">
        <x:v>46266</x:v>
      </x:c>
      <x:c r="B332" t="str">
        <x:v>Sep 2026</x:v>
      </x:c>
      <x:c r="C332" t="str">
        <x:v>Forecast</x:v>
      </x:c>
      <x:c r="D332" t="str">
        <x:v>Product team payroll</x:v>
      </x:c>
      <x:c r="E332" t="str">
        <x:v>Product</x:v>
      </x:c>
      <x:c r="F332" t="str">
        <x:v>Payroll</x:v>
      </x:c>
      <x:c r="G332" s="38" t="n">
        <x:v>44.64</x:v>
      </x:c>
      <x:c r="H332" t="str">
        <x:v>Fixed</x:v>
      </x:c>
      <x:c r="I332" t="str">
        <x:v>Cash</x:v>
      </x:c>
      <x:c r="J332" s="41" t="n">
        <x:v>36</x:v>
      </x:c>
    </x:row>
    <x:row r="333">
      <x:c r="A333" s="32" t="n">
        <x:v>46266</x:v>
      </x:c>
      <x:c r="B333" t="str">
        <x:v>Sep 2026</x:v>
      </x:c>
      <x:c r="C333" t="str">
        <x:v>Forecast</x:v>
      </x:c>
      <x:c r="D333" t="str">
        <x:v>QA and inspections</x:v>
      </x:c>
      <x:c r="E333" t="str">
        <x:v>Product</x:v>
      </x:c>
      <x:c r="F333" t="str">
        <x:v>Services</x:v>
      </x:c>
      <x:c r="G333" s="38" t="n">
        <x:v>6</x:v>
      </x:c>
      <x:c r="H333" t="str">
        <x:v>Variable</x:v>
      </x:c>
      <x:c r="I333" t="str">
        <x:v>Cash</x:v>
      </x:c>
      <x:c r="J333" s="41" t="n">
        <x:v>6</x:v>
      </x:c>
    </x:row>
    <x:row r="334">
      <x:c r="A334" s="32" t="n">
        <x:v>46266</x:v>
      </x:c>
      <x:c r="B334" t="str">
        <x:v>Sep 2026</x:v>
      </x:c>
      <x:c r="C334" t="str">
        <x:v>Forecast</x:v>
      </x:c>
      <x:c r="D334" t="str">
        <x:v>Executive payroll</x:v>
      </x:c>
      <x:c r="E334" t="str">
        <x:v>G&amp;A</x:v>
      </x:c>
      <x:c r="F334" t="str">
        <x:v>Payroll</x:v>
      </x:c>
      <x:c r="G334" s="38" t="n">
        <x:v>71.92</x:v>
      </x:c>
      <x:c r="H334" t="str">
        <x:v>Fixed</x:v>
      </x:c>
      <x:c r="I334" t="str">
        <x:v>Cash</x:v>
      </x:c>
      <x:c r="J334" s="41" t="n">
        <x:v>58</x:v>
      </x:c>
    </x:row>
    <x:row r="335">
      <x:c r="A335" s="32" t="n">
        <x:v>46266</x:v>
      </x:c>
      <x:c r="B335" t="str">
        <x:v>Sep 2026</x:v>
      </x:c>
      <x:c r="C335" t="str">
        <x:v>Forecast</x:v>
      </x:c>
      <x:c r="D335" t="str">
        <x:v>Finance and accounting</x:v>
      </x:c>
      <x:c r="E335" t="str">
        <x:v>G&amp;A</x:v>
      </x:c>
      <x:c r="F335" t="str">
        <x:v>Professional fees</x:v>
      </x:c>
      <x:c r="G335" s="38" t="n">
        <x:v>14</x:v>
      </x:c>
      <x:c r="H335" t="str">
        <x:v>Fixed</x:v>
      </x:c>
      <x:c r="I335" t="str">
        <x:v>Cash</x:v>
      </x:c>
      <x:c r="J335" s="41" t="n">
        <x:v>14</x:v>
      </x:c>
    </x:row>
    <x:row r="336">
      <x:c r="A336" s="32" t="n">
        <x:v>46266</x:v>
      </x:c>
      <x:c r="B336" t="str">
        <x:v>Sep 2026</x:v>
      </x:c>
      <x:c r="C336" t="str">
        <x:v>Forecast</x:v>
      </x:c>
      <x:c r="D336" t="str">
        <x:v>Legal</x:v>
      </x:c>
      <x:c r="E336" t="str">
        <x:v>G&amp;A</x:v>
      </x:c>
      <x:c r="F336" t="str">
        <x:v>Professional fees</x:v>
      </x:c>
      <x:c r="G336" s="38" t="n">
        <x:v>8</x:v>
      </x:c>
      <x:c r="H336" t="str">
        <x:v>Fixed</x:v>
      </x:c>
      <x:c r="I336" t="str">
        <x:v>Cash</x:v>
      </x:c>
      <x:c r="J336" s="41" t="n">
        <x:v>8</x:v>
      </x:c>
    </x:row>
    <x:row r="337">
      <x:c r="A337" s="32" t="n">
        <x:v>46266</x:v>
      </x:c>
      <x:c r="B337" t="str">
        <x:v>Sep 2026</x:v>
      </x:c>
      <x:c r="C337" t="str">
        <x:v>Forecast</x:v>
      </x:c>
      <x:c r="D337" t="str">
        <x:v>Insurance</x:v>
      </x:c>
      <x:c r="E337" t="str">
        <x:v>G&amp;A</x:v>
      </x:c>
      <x:c r="F337" t="str">
        <x:v>Insurance</x:v>
      </x:c>
      <x:c r="G337" s="38" t="n">
        <x:v>6</x:v>
      </x:c>
      <x:c r="H337" t="str">
        <x:v>Fixed</x:v>
      </x:c>
      <x:c r="I337" t="str">
        <x:v>Cash</x:v>
      </x:c>
      <x:c r="J337" s="41" t="n">
        <x:v>6</x:v>
      </x:c>
    </x:row>
    <x:row r="338">
      <x:c r="A338" s="32" t="n">
        <x:v>46266</x:v>
      </x:c>
      <x:c r="B338" t="str">
        <x:v>Sep 2026</x:v>
      </x:c>
      <x:c r="C338" t="str">
        <x:v>Forecast</x:v>
      </x:c>
      <x:c r="D338" t="str">
        <x:v>Software and admin tools</x:v>
      </x:c>
      <x:c r="E338" t="str">
        <x:v>G&amp;A</x:v>
      </x:c>
      <x:c r="F338" t="str">
        <x:v>Software</x:v>
      </x:c>
      <x:c r="G338" s="38" t="n">
        <x:v>12</x:v>
      </x:c>
      <x:c r="H338" t="str">
        <x:v>Fixed</x:v>
      </x:c>
      <x:c r="I338" t="str">
        <x:v>Cash</x:v>
      </x:c>
      <x:c r="J338" s="41" t="n">
        <x:v>12</x:v>
      </x:c>
    </x:row>
    <x:row r="339">
      <x:c r="A339" s="32" t="n">
        <x:v>46266</x:v>
      </x:c>
      <x:c r="B339" t="str">
        <x:v>Sep 2026</x:v>
      </x:c>
      <x:c r="C339" t="str">
        <x:v>Forecast</x:v>
      </x:c>
      <x:c r="D339" t="str">
        <x:v>Support payroll</x:v>
      </x:c>
      <x:c r="E339" t="str">
        <x:v>Customer Support</x:v>
      </x:c>
      <x:c r="F339" t="str">
        <x:v>Payroll</x:v>
      </x:c>
      <x:c r="G339" s="38" t="n">
        <x:v>29.759999999999998</x:v>
      </x:c>
      <x:c r="H339" t="str">
        <x:v>Fixed</x:v>
      </x:c>
      <x:c r="I339" t="str">
        <x:v>Cash</x:v>
      </x:c>
      <x:c r="J339" s="41" t="n">
        <x:v>24</x:v>
      </x:c>
    </x:row>
    <x:row r="340">
      <x:c r="A340" s="32" t="n">
        <x:v>46266</x:v>
      </x:c>
      <x:c r="B340" t="str">
        <x:v>Sep 2026</x:v>
      </x:c>
      <x:c r="C340" t="str">
        <x:v>Forecast</x:v>
      </x:c>
      <x:c r="D340" t="str">
        <x:v>Support variable tools</x:v>
      </x:c>
      <x:c r="E340" t="str">
        <x:v>Customer Support</x:v>
      </x:c>
      <x:c r="F340" t="str">
        <x:v>Support</x:v>
      </x:c>
      <x:c r="G340" s="38" t="n">
        <x:v>5</x:v>
      </x:c>
      <x:c r="H340" t="str">
        <x:v>Variable</x:v>
      </x:c>
      <x:c r="I340" t="str">
        <x:v>Cash</x:v>
      </x:c>
      <x:c r="J340" s="41" t="n">
        <x:v>5</x:v>
      </x:c>
    </x:row>
    <x:row r="341">
      <x:c r="A341" s="32" t="n">
        <x:v>46296</x:v>
      </x:c>
      <x:c r="B341" t="str">
        <x:v>Oct 2026</x:v>
      </x:c>
      <x:c r="C341" t="str">
        <x:v>Forecast</x:v>
      </x:c>
      <x:c r="D341" t="str">
        <x:v>Sales team payroll</x:v>
      </x:c>
      <x:c r="E341" t="str">
        <x:v>Sales</x:v>
      </x:c>
      <x:c r="F341" t="str">
        <x:v>Payroll</x:v>
      </x:c>
      <x:c r="G341" s="38" t="n">
        <x:v>59.519999999999996</x:v>
      </x:c>
      <x:c r="H341" t="str">
        <x:v>Fixed</x:v>
      </x:c>
      <x:c r="I341" t="str">
        <x:v>Cash</x:v>
      </x:c>
      <x:c r="J341" s="41" t="n">
        <x:v>48</x:v>
      </x:c>
    </x:row>
    <x:row r="342">
      <x:c r="A342" s="32" t="n">
        <x:v>46296</x:v>
      </x:c>
      <x:c r="B342" t="str">
        <x:v>Oct 2026</x:v>
      </x:c>
      <x:c r="C342" t="str">
        <x:v>Forecast</x:v>
      </x:c>
      <x:c r="D342" t="str">
        <x:v>Retail broker commissions</x:v>
      </x:c>
      <x:c r="E342" t="str">
        <x:v>Sales</x:v>
      </x:c>
      <x:c r="F342" t="str">
        <x:v>Commissions</x:v>
      </x:c>
      <x:c r="G342" s="38" t="n">
        <x:v>9</x:v>
      </x:c>
      <x:c r="H342" t="str">
        <x:v>Variable</x:v>
      </x:c>
      <x:c r="I342" t="str">
        <x:v>Cash</x:v>
      </x:c>
      <x:c r="J342" s="41" t="n">
        <x:v>9</x:v>
      </x:c>
    </x:row>
    <x:row r="343">
      <x:c r="A343" s="32" t="n">
        <x:v>46296</x:v>
      </x:c>
      <x:c r="B343" t="str">
        <x:v>Oct 2026</x:v>
      </x:c>
      <x:c r="C343" t="str">
        <x:v>Forecast</x:v>
      </x:c>
      <x:c r="D343" t="str">
        <x:v>Brand agency retainer</x:v>
      </x:c>
      <x:c r="E343" t="str">
        <x:v>Marketing</x:v>
      </x:c>
      <x:c r="F343" t="str">
        <x:v>Services</x:v>
      </x:c>
      <x:c r="G343" s="38" t="n">
        <x:v>22</x:v>
      </x:c>
      <x:c r="H343" t="str">
        <x:v>Fixed</x:v>
      </x:c>
      <x:c r="I343" t="str">
        <x:v>Cash</x:v>
      </x:c>
      <x:c r="J343" s="41" t="n">
        <x:v>22</x:v>
      </x:c>
    </x:row>
    <x:row r="344">
      <x:c r="A344" s="32" t="n">
        <x:v>46296</x:v>
      </x:c>
      <x:c r="B344" t="str">
        <x:v>Oct 2026</x:v>
      </x:c>
      <x:c r="C344" t="str">
        <x:v>Forecast</x:v>
      </x:c>
      <x:c r="D344" t="str">
        <x:v>Creative production</x:v>
      </x:c>
      <x:c r="E344" t="str">
        <x:v>Marketing</x:v>
      </x:c>
      <x:c r="F344" t="str">
        <x:v>Services</x:v>
      </x:c>
      <x:c r="G344" s="38" t="n">
        <x:v>18</x:v>
      </x:c>
      <x:c r="H344" t="str">
        <x:v>Variable</x:v>
      </x:c>
      <x:c r="I344" t="str">
        <x:v>Cash</x:v>
      </x:c>
      <x:c r="J344" s="41" t="n">
        <x:v>18</x:v>
      </x:c>
    </x:row>
    <x:row r="345">
      <x:c r="A345" s="32" t="n">
        <x:v>46296</x:v>
      </x:c>
      <x:c r="B345" t="str">
        <x:v>Oct 2026</x:v>
      </x:c>
      <x:c r="C345" t="str">
        <x:v>Forecast</x:v>
      </x:c>
      <x:c r="D345" t="str">
        <x:v>Ops team payroll</x:v>
      </x:c>
      <x:c r="E345" t="str">
        <x:v>Operations</x:v>
      </x:c>
      <x:c r="F345" t="str">
        <x:v>Payroll</x:v>
      </x:c>
      <x:c r="G345" s="38" t="n">
        <x:v>76.88</x:v>
      </x:c>
      <x:c r="H345" t="str">
        <x:v>Fixed</x:v>
      </x:c>
      <x:c r="I345" t="str">
        <x:v>Cash</x:v>
      </x:c>
      <x:c r="J345" s="41" t="n">
        <x:v>62</x:v>
      </x:c>
    </x:row>
    <x:row r="346">
      <x:c r="A346" s="32" t="n">
        <x:v>46296</x:v>
      </x:c>
      <x:c r="B346" t="str">
        <x:v>Oct 2026</x:v>
      </x:c>
      <x:c r="C346" t="str">
        <x:v>Forecast</x:v>
      </x:c>
      <x:c r="D346" t="str">
        <x:v>Warehouse rent</x:v>
      </x:c>
      <x:c r="E346" t="str">
        <x:v>Operations</x:v>
      </x:c>
      <x:c r="F346" t="str">
        <x:v>Facilities</x:v>
      </x:c>
      <x:c r="G346" s="38" t="n">
        <x:v>28</x:v>
      </x:c>
      <x:c r="H346" t="str">
        <x:v>Fixed</x:v>
      </x:c>
      <x:c r="I346" t="str">
        <x:v>Cash</x:v>
      </x:c>
      <x:c r="J346" s="41" t="n">
        <x:v>28</x:v>
      </x:c>
    </x:row>
    <x:row r="347">
      <x:c r="A347" s="32" t="n">
        <x:v>46296</x:v>
      </x:c>
      <x:c r="B347" t="str">
        <x:v>Oct 2026</x:v>
      </x:c>
      <x:c r="C347" t="str">
        <x:v>Forecast</x:v>
      </x:c>
      <x:c r="D347" t="str">
        <x:v>Inventory systems</x:v>
      </x:c>
      <x:c r="E347" t="str">
        <x:v>Operations</x:v>
      </x:c>
      <x:c r="F347" t="str">
        <x:v>Software</x:v>
      </x:c>
      <x:c r="G347" s="38" t="n">
        <x:v>7</x:v>
      </x:c>
      <x:c r="H347" t="str">
        <x:v>Fixed</x:v>
      </x:c>
      <x:c r="I347" t="str">
        <x:v>Cash</x:v>
      </x:c>
      <x:c r="J347" s="41" t="n">
        <x:v>7</x:v>
      </x:c>
    </x:row>
    <x:row r="348">
      <x:c r="A348" s="32" t="n">
        <x:v>46296</x:v>
      </x:c>
      <x:c r="B348" t="str">
        <x:v>Oct 2026</x:v>
      </x:c>
      <x:c r="C348" t="str">
        <x:v>Forecast</x:v>
      </x:c>
      <x:c r="D348" t="str">
        <x:v>Product team payroll</x:v>
      </x:c>
      <x:c r="E348" t="str">
        <x:v>Product</x:v>
      </x:c>
      <x:c r="F348" t="str">
        <x:v>Payroll</x:v>
      </x:c>
      <x:c r="G348" s="38" t="n">
        <x:v>44.64</x:v>
      </x:c>
      <x:c r="H348" t="str">
        <x:v>Fixed</x:v>
      </x:c>
      <x:c r="I348" t="str">
        <x:v>Cash</x:v>
      </x:c>
      <x:c r="J348" s="41" t="n">
        <x:v>36</x:v>
      </x:c>
    </x:row>
    <x:row r="349">
      <x:c r="A349" s="32" t="n">
        <x:v>46296</x:v>
      </x:c>
      <x:c r="B349" t="str">
        <x:v>Oct 2026</x:v>
      </x:c>
      <x:c r="C349" t="str">
        <x:v>Forecast</x:v>
      </x:c>
      <x:c r="D349" t="str">
        <x:v>QA and inspections</x:v>
      </x:c>
      <x:c r="E349" t="str">
        <x:v>Product</x:v>
      </x:c>
      <x:c r="F349" t="str">
        <x:v>Services</x:v>
      </x:c>
      <x:c r="G349" s="38" t="n">
        <x:v>6</x:v>
      </x:c>
      <x:c r="H349" t="str">
        <x:v>Variable</x:v>
      </x:c>
      <x:c r="I349" t="str">
        <x:v>Cash</x:v>
      </x:c>
      <x:c r="J349" s="41" t="n">
        <x:v>6</x:v>
      </x:c>
    </x:row>
    <x:row r="350">
      <x:c r="A350" s="32" t="n">
        <x:v>46296</x:v>
      </x:c>
      <x:c r="B350" t="str">
        <x:v>Oct 2026</x:v>
      </x:c>
      <x:c r="C350" t="str">
        <x:v>Forecast</x:v>
      </x:c>
      <x:c r="D350" t="str">
        <x:v>Executive payroll</x:v>
      </x:c>
      <x:c r="E350" t="str">
        <x:v>G&amp;A</x:v>
      </x:c>
      <x:c r="F350" t="str">
        <x:v>Payroll</x:v>
      </x:c>
      <x:c r="G350" s="38" t="n">
        <x:v>71.92</x:v>
      </x:c>
      <x:c r="H350" t="str">
        <x:v>Fixed</x:v>
      </x:c>
      <x:c r="I350" t="str">
        <x:v>Cash</x:v>
      </x:c>
      <x:c r="J350" s="41" t="n">
        <x:v>58</x:v>
      </x:c>
    </x:row>
    <x:row r="351">
      <x:c r="A351" s="32" t="n">
        <x:v>46296</x:v>
      </x:c>
      <x:c r="B351" t="str">
        <x:v>Oct 2026</x:v>
      </x:c>
      <x:c r="C351" t="str">
        <x:v>Forecast</x:v>
      </x:c>
      <x:c r="D351" t="str">
        <x:v>Finance and accounting</x:v>
      </x:c>
      <x:c r="E351" t="str">
        <x:v>G&amp;A</x:v>
      </x:c>
      <x:c r="F351" t="str">
        <x:v>Professional fees</x:v>
      </x:c>
      <x:c r="G351" s="38" t="n">
        <x:v>14</x:v>
      </x:c>
      <x:c r="H351" t="str">
        <x:v>Fixed</x:v>
      </x:c>
      <x:c r="I351" t="str">
        <x:v>Cash</x:v>
      </x:c>
      <x:c r="J351" s="41" t="n">
        <x:v>14</x:v>
      </x:c>
    </x:row>
    <x:row r="352">
      <x:c r="A352" s="32" t="n">
        <x:v>46296</x:v>
      </x:c>
      <x:c r="B352" t="str">
        <x:v>Oct 2026</x:v>
      </x:c>
      <x:c r="C352" t="str">
        <x:v>Forecast</x:v>
      </x:c>
      <x:c r="D352" t="str">
        <x:v>Legal</x:v>
      </x:c>
      <x:c r="E352" t="str">
        <x:v>G&amp;A</x:v>
      </x:c>
      <x:c r="F352" t="str">
        <x:v>Professional fees</x:v>
      </x:c>
      <x:c r="G352" s="38" t="n">
        <x:v>8</x:v>
      </x:c>
      <x:c r="H352" t="str">
        <x:v>Fixed</x:v>
      </x:c>
      <x:c r="I352" t="str">
        <x:v>Cash</x:v>
      </x:c>
      <x:c r="J352" s="41" t="n">
        <x:v>8</x:v>
      </x:c>
    </x:row>
    <x:row r="353">
      <x:c r="A353" s="32" t="n">
        <x:v>46296</x:v>
      </x:c>
      <x:c r="B353" t="str">
        <x:v>Oct 2026</x:v>
      </x:c>
      <x:c r="C353" t="str">
        <x:v>Forecast</x:v>
      </x:c>
      <x:c r="D353" t="str">
        <x:v>Insurance</x:v>
      </x:c>
      <x:c r="E353" t="str">
        <x:v>G&amp;A</x:v>
      </x:c>
      <x:c r="F353" t="str">
        <x:v>Insurance</x:v>
      </x:c>
      <x:c r="G353" s="38" t="n">
        <x:v>6</x:v>
      </x:c>
      <x:c r="H353" t="str">
        <x:v>Fixed</x:v>
      </x:c>
      <x:c r="I353" t="str">
        <x:v>Cash</x:v>
      </x:c>
      <x:c r="J353" s="41" t="n">
        <x:v>6</x:v>
      </x:c>
    </x:row>
    <x:row r="354">
      <x:c r="A354" s="32" t="n">
        <x:v>46296</x:v>
      </x:c>
      <x:c r="B354" t="str">
        <x:v>Oct 2026</x:v>
      </x:c>
      <x:c r="C354" t="str">
        <x:v>Forecast</x:v>
      </x:c>
      <x:c r="D354" t="str">
        <x:v>Software and admin tools</x:v>
      </x:c>
      <x:c r="E354" t="str">
        <x:v>G&amp;A</x:v>
      </x:c>
      <x:c r="F354" t="str">
        <x:v>Software</x:v>
      </x:c>
      <x:c r="G354" s="38" t="n">
        <x:v>12</x:v>
      </x:c>
      <x:c r="H354" t="str">
        <x:v>Fixed</x:v>
      </x:c>
      <x:c r="I354" t="str">
        <x:v>Cash</x:v>
      </x:c>
      <x:c r="J354" s="41" t="n">
        <x:v>12</x:v>
      </x:c>
    </x:row>
    <x:row r="355">
      <x:c r="A355" s="32" t="n">
        <x:v>46296</x:v>
      </x:c>
      <x:c r="B355" t="str">
        <x:v>Oct 2026</x:v>
      </x:c>
      <x:c r="C355" t="str">
        <x:v>Forecast</x:v>
      </x:c>
      <x:c r="D355" t="str">
        <x:v>Support payroll</x:v>
      </x:c>
      <x:c r="E355" t="str">
        <x:v>Customer Support</x:v>
      </x:c>
      <x:c r="F355" t="str">
        <x:v>Payroll</x:v>
      </x:c>
      <x:c r="G355" s="38" t="n">
        <x:v>29.759999999999998</x:v>
      </x:c>
      <x:c r="H355" t="str">
        <x:v>Fixed</x:v>
      </x:c>
      <x:c r="I355" t="str">
        <x:v>Cash</x:v>
      </x:c>
      <x:c r="J355" s="41" t="n">
        <x:v>24</x:v>
      </x:c>
    </x:row>
    <x:row r="356">
      <x:c r="A356" s="32" t="n">
        <x:v>46296</x:v>
      </x:c>
      <x:c r="B356" t="str">
        <x:v>Oct 2026</x:v>
      </x:c>
      <x:c r="C356" t="str">
        <x:v>Forecast</x:v>
      </x:c>
      <x:c r="D356" t="str">
        <x:v>Support variable tools</x:v>
      </x:c>
      <x:c r="E356" t="str">
        <x:v>Customer Support</x:v>
      </x:c>
      <x:c r="F356" t="str">
        <x:v>Support</x:v>
      </x:c>
      <x:c r="G356" s="38" t="n">
        <x:v>5</x:v>
      </x:c>
      <x:c r="H356" t="str">
        <x:v>Variable</x:v>
      </x:c>
      <x:c r="I356" t="str">
        <x:v>Cash</x:v>
      </x:c>
      <x:c r="J356" s="41" t="n">
        <x:v>5</x:v>
      </x:c>
    </x:row>
    <x:row r="357">
      <x:c r="A357" s="32" t="n">
        <x:v>46327</x:v>
      </x:c>
      <x:c r="B357" t="str">
        <x:v>Nov 2026</x:v>
      </x:c>
      <x:c r="C357" t="str">
        <x:v>Forecast</x:v>
      </x:c>
      <x:c r="D357" t="str">
        <x:v>Sales team payroll</x:v>
      </x:c>
      <x:c r="E357" t="str">
        <x:v>Sales</x:v>
      </x:c>
      <x:c r="F357" t="str">
        <x:v>Payroll</x:v>
      </x:c>
      <x:c r="G357" s="38" t="n">
        <x:v>59.519999999999996</x:v>
      </x:c>
      <x:c r="H357" t="str">
        <x:v>Fixed</x:v>
      </x:c>
      <x:c r="I357" t="str">
        <x:v>Cash</x:v>
      </x:c>
      <x:c r="J357" s="41" t="n">
        <x:v>48</x:v>
      </x:c>
    </x:row>
    <x:row r="358">
      <x:c r="A358" s="32" t="n">
        <x:v>46327</x:v>
      </x:c>
      <x:c r="B358" t="str">
        <x:v>Nov 2026</x:v>
      </x:c>
      <x:c r="C358" t="str">
        <x:v>Forecast</x:v>
      </x:c>
      <x:c r="D358" t="str">
        <x:v>Retail broker commissions</x:v>
      </x:c>
      <x:c r="E358" t="str">
        <x:v>Sales</x:v>
      </x:c>
      <x:c r="F358" t="str">
        <x:v>Commissions</x:v>
      </x:c>
      <x:c r="G358" s="38" t="n">
        <x:v>9</x:v>
      </x:c>
      <x:c r="H358" t="str">
        <x:v>Variable</x:v>
      </x:c>
      <x:c r="I358" t="str">
        <x:v>Cash</x:v>
      </x:c>
      <x:c r="J358" s="41" t="n">
        <x:v>9</x:v>
      </x:c>
    </x:row>
    <x:row r="359">
      <x:c r="A359" s="32" t="n">
        <x:v>46327</x:v>
      </x:c>
      <x:c r="B359" t="str">
        <x:v>Nov 2026</x:v>
      </x:c>
      <x:c r="C359" t="str">
        <x:v>Forecast</x:v>
      </x:c>
      <x:c r="D359" t="str">
        <x:v>Brand agency retainer</x:v>
      </x:c>
      <x:c r="E359" t="str">
        <x:v>Marketing</x:v>
      </x:c>
      <x:c r="F359" t="str">
        <x:v>Services</x:v>
      </x:c>
      <x:c r="G359" s="38" t="n">
        <x:v>22</x:v>
      </x:c>
      <x:c r="H359" t="str">
        <x:v>Fixed</x:v>
      </x:c>
      <x:c r="I359" t="str">
        <x:v>Cash</x:v>
      </x:c>
      <x:c r="J359" s="41" t="n">
        <x:v>22</x:v>
      </x:c>
    </x:row>
    <x:row r="360">
      <x:c r="A360" s="32" t="n">
        <x:v>46327</x:v>
      </x:c>
      <x:c r="B360" t="str">
        <x:v>Nov 2026</x:v>
      </x:c>
      <x:c r="C360" t="str">
        <x:v>Forecast</x:v>
      </x:c>
      <x:c r="D360" t="str">
        <x:v>Creative production</x:v>
      </x:c>
      <x:c r="E360" t="str">
        <x:v>Marketing</x:v>
      </x:c>
      <x:c r="F360" t="str">
        <x:v>Services</x:v>
      </x:c>
      <x:c r="G360" s="38" t="n">
        <x:v>18</x:v>
      </x:c>
      <x:c r="H360" t="str">
        <x:v>Variable</x:v>
      </x:c>
      <x:c r="I360" t="str">
        <x:v>Cash</x:v>
      </x:c>
      <x:c r="J360" s="41" t="n">
        <x:v>18</x:v>
      </x:c>
    </x:row>
    <x:row r="361">
      <x:c r="A361" s="32" t="n">
        <x:v>46327</x:v>
      </x:c>
      <x:c r="B361" t="str">
        <x:v>Nov 2026</x:v>
      </x:c>
      <x:c r="C361" t="str">
        <x:v>Forecast</x:v>
      </x:c>
      <x:c r="D361" t="str">
        <x:v>Ops team payroll</x:v>
      </x:c>
      <x:c r="E361" t="str">
        <x:v>Operations</x:v>
      </x:c>
      <x:c r="F361" t="str">
        <x:v>Payroll</x:v>
      </x:c>
      <x:c r="G361" s="38" t="n">
        <x:v>76.88</x:v>
      </x:c>
      <x:c r="H361" t="str">
        <x:v>Fixed</x:v>
      </x:c>
      <x:c r="I361" t="str">
        <x:v>Cash</x:v>
      </x:c>
      <x:c r="J361" s="41" t="n">
        <x:v>62</x:v>
      </x:c>
    </x:row>
    <x:row r="362">
      <x:c r="A362" s="32" t="n">
        <x:v>46327</x:v>
      </x:c>
      <x:c r="B362" t="str">
        <x:v>Nov 2026</x:v>
      </x:c>
      <x:c r="C362" t="str">
        <x:v>Forecast</x:v>
      </x:c>
      <x:c r="D362" t="str">
        <x:v>Warehouse rent</x:v>
      </x:c>
      <x:c r="E362" t="str">
        <x:v>Operations</x:v>
      </x:c>
      <x:c r="F362" t="str">
        <x:v>Facilities</x:v>
      </x:c>
      <x:c r="G362" s="38" t="n">
        <x:v>28</x:v>
      </x:c>
      <x:c r="H362" t="str">
        <x:v>Fixed</x:v>
      </x:c>
      <x:c r="I362" t="str">
        <x:v>Cash</x:v>
      </x:c>
      <x:c r="J362" s="41" t="n">
        <x:v>28</x:v>
      </x:c>
    </x:row>
    <x:row r="363">
      <x:c r="A363" s="32" t="n">
        <x:v>46327</x:v>
      </x:c>
      <x:c r="B363" t="str">
        <x:v>Nov 2026</x:v>
      </x:c>
      <x:c r="C363" t="str">
        <x:v>Forecast</x:v>
      </x:c>
      <x:c r="D363" t="str">
        <x:v>Inventory systems</x:v>
      </x:c>
      <x:c r="E363" t="str">
        <x:v>Operations</x:v>
      </x:c>
      <x:c r="F363" t="str">
        <x:v>Software</x:v>
      </x:c>
      <x:c r="G363" s="38" t="n">
        <x:v>7</x:v>
      </x:c>
      <x:c r="H363" t="str">
        <x:v>Fixed</x:v>
      </x:c>
      <x:c r="I363" t="str">
        <x:v>Cash</x:v>
      </x:c>
      <x:c r="J363" s="41" t="n">
        <x:v>7</x:v>
      </x:c>
    </x:row>
    <x:row r="364">
      <x:c r="A364" s="32" t="n">
        <x:v>46327</x:v>
      </x:c>
      <x:c r="B364" t="str">
        <x:v>Nov 2026</x:v>
      </x:c>
      <x:c r="C364" t="str">
        <x:v>Forecast</x:v>
      </x:c>
      <x:c r="D364" t="str">
        <x:v>Product team payroll</x:v>
      </x:c>
      <x:c r="E364" t="str">
        <x:v>Product</x:v>
      </x:c>
      <x:c r="F364" t="str">
        <x:v>Payroll</x:v>
      </x:c>
      <x:c r="G364" s="38" t="n">
        <x:v>44.64</x:v>
      </x:c>
      <x:c r="H364" t="str">
        <x:v>Fixed</x:v>
      </x:c>
      <x:c r="I364" t="str">
        <x:v>Cash</x:v>
      </x:c>
      <x:c r="J364" s="41" t="n">
        <x:v>36</x:v>
      </x:c>
    </x:row>
    <x:row r="365">
      <x:c r="A365" s="32" t="n">
        <x:v>46327</x:v>
      </x:c>
      <x:c r="B365" t="str">
        <x:v>Nov 2026</x:v>
      </x:c>
      <x:c r="C365" t="str">
        <x:v>Forecast</x:v>
      </x:c>
      <x:c r="D365" t="str">
        <x:v>QA and inspections</x:v>
      </x:c>
      <x:c r="E365" t="str">
        <x:v>Product</x:v>
      </x:c>
      <x:c r="F365" t="str">
        <x:v>Services</x:v>
      </x:c>
      <x:c r="G365" s="38" t="n">
        <x:v>6</x:v>
      </x:c>
      <x:c r="H365" t="str">
        <x:v>Variable</x:v>
      </x:c>
      <x:c r="I365" t="str">
        <x:v>Cash</x:v>
      </x:c>
      <x:c r="J365" s="41" t="n">
        <x:v>6</x:v>
      </x:c>
    </x:row>
    <x:row r="366">
      <x:c r="A366" s="32" t="n">
        <x:v>46327</x:v>
      </x:c>
      <x:c r="B366" t="str">
        <x:v>Nov 2026</x:v>
      </x:c>
      <x:c r="C366" t="str">
        <x:v>Forecast</x:v>
      </x:c>
      <x:c r="D366" t="str">
        <x:v>Executive payroll</x:v>
      </x:c>
      <x:c r="E366" t="str">
        <x:v>G&amp;A</x:v>
      </x:c>
      <x:c r="F366" t="str">
        <x:v>Payroll</x:v>
      </x:c>
      <x:c r="G366" s="38" t="n">
        <x:v>71.92</x:v>
      </x:c>
      <x:c r="H366" t="str">
        <x:v>Fixed</x:v>
      </x:c>
      <x:c r="I366" t="str">
        <x:v>Cash</x:v>
      </x:c>
      <x:c r="J366" s="41" t="n">
        <x:v>58</x:v>
      </x:c>
    </x:row>
    <x:row r="367">
      <x:c r="A367" s="32" t="n">
        <x:v>46327</x:v>
      </x:c>
      <x:c r="B367" t="str">
        <x:v>Nov 2026</x:v>
      </x:c>
      <x:c r="C367" t="str">
        <x:v>Forecast</x:v>
      </x:c>
      <x:c r="D367" t="str">
        <x:v>Finance and accounting</x:v>
      </x:c>
      <x:c r="E367" t="str">
        <x:v>G&amp;A</x:v>
      </x:c>
      <x:c r="F367" t="str">
        <x:v>Professional fees</x:v>
      </x:c>
      <x:c r="G367" s="38" t="n">
        <x:v>14</x:v>
      </x:c>
      <x:c r="H367" t="str">
        <x:v>Fixed</x:v>
      </x:c>
      <x:c r="I367" t="str">
        <x:v>Cash</x:v>
      </x:c>
      <x:c r="J367" s="41" t="n">
        <x:v>14</x:v>
      </x:c>
    </x:row>
    <x:row r="368">
      <x:c r="A368" s="32" t="n">
        <x:v>46327</x:v>
      </x:c>
      <x:c r="B368" t="str">
        <x:v>Nov 2026</x:v>
      </x:c>
      <x:c r="C368" t="str">
        <x:v>Forecast</x:v>
      </x:c>
      <x:c r="D368" t="str">
        <x:v>Legal</x:v>
      </x:c>
      <x:c r="E368" t="str">
        <x:v>G&amp;A</x:v>
      </x:c>
      <x:c r="F368" t="str">
        <x:v>Professional fees</x:v>
      </x:c>
      <x:c r="G368" s="38" t="n">
        <x:v>8</x:v>
      </x:c>
      <x:c r="H368" t="str">
        <x:v>Fixed</x:v>
      </x:c>
      <x:c r="I368" t="str">
        <x:v>Cash</x:v>
      </x:c>
      <x:c r="J368" s="41" t="n">
        <x:v>8</x:v>
      </x:c>
    </x:row>
    <x:row r="369">
      <x:c r="A369" s="32" t="n">
        <x:v>46327</x:v>
      </x:c>
      <x:c r="B369" t="str">
        <x:v>Nov 2026</x:v>
      </x:c>
      <x:c r="C369" t="str">
        <x:v>Forecast</x:v>
      </x:c>
      <x:c r="D369" t="str">
        <x:v>Insurance</x:v>
      </x:c>
      <x:c r="E369" t="str">
        <x:v>G&amp;A</x:v>
      </x:c>
      <x:c r="F369" t="str">
        <x:v>Insurance</x:v>
      </x:c>
      <x:c r="G369" s="38" t="n">
        <x:v>6</x:v>
      </x:c>
      <x:c r="H369" t="str">
        <x:v>Fixed</x:v>
      </x:c>
      <x:c r="I369" t="str">
        <x:v>Cash</x:v>
      </x:c>
      <x:c r="J369" s="41" t="n">
        <x:v>6</x:v>
      </x:c>
    </x:row>
    <x:row r="370">
      <x:c r="A370" s="32" t="n">
        <x:v>46327</x:v>
      </x:c>
      <x:c r="B370" t="str">
        <x:v>Nov 2026</x:v>
      </x:c>
      <x:c r="C370" t="str">
        <x:v>Forecast</x:v>
      </x:c>
      <x:c r="D370" t="str">
        <x:v>Software and admin tools</x:v>
      </x:c>
      <x:c r="E370" t="str">
        <x:v>G&amp;A</x:v>
      </x:c>
      <x:c r="F370" t="str">
        <x:v>Software</x:v>
      </x:c>
      <x:c r="G370" s="38" t="n">
        <x:v>12</x:v>
      </x:c>
      <x:c r="H370" t="str">
        <x:v>Fixed</x:v>
      </x:c>
      <x:c r="I370" t="str">
        <x:v>Cash</x:v>
      </x:c>
      <x:c r="J370" s="41" t="n">
        <x:v>12</x:v>
      </x:c>
    </x:row>
    <x:row r="371">
      <x:c r="A371" s="32" t="n">
        <x:v>46327</x:v>
      </x:c>
      <x:c r="B371" t="str">
        <x:v>Nov 2026</x:v>
      </x:c>
      <x:c r="C371" t="str">
        <x:v>Forecast</x:v>
      </x:c>
      <x:c r="D371" t="str">
        <x:v>Support payroll</x:v>
      </x:c>
      <x:c r="E371" t="str">
        <x:v>Customer Support</x:v>
      </x:c>
      <x:c r="F371" t="str">
        <x:v>Payroll</x:v>
      </x:c>
      <x:c r="G371" s="38" t="n">
        <x:v>29.759999999999998</x:v>
      </x:c>
      <x:c r="H371" t="str">
        <x:v>Fixed</x:v>
      </x:c>
      <x:c r="I371" t="str">
        <x:v>Cash</x:v>
      </x:c>
      <x:c r="J371" s="41" t="n">
        <x:v>24</x:v>
      </x:c>
    </x:row>
    <x:row r="372">
      <x:c r="A372" s="32" t="n">
        <x:v>46327</x:v>
      </x:c>
      <x:c r="B372" t="str">
        <x:v>Nov 2026</x:v>
      </x:c>
      <x:c r="C372" t="str">
        <x:v>Forecast</x:v>
      </x:c>
      <x:c r="D372" t="str">
        <x:v>Support variable tools</x:v>
      </x:c>
      <x:c r="E372" t="str">
        <x:v>Customer Support</x:v>
      </x:c>
      <x:c r="F372" t="str">
        <x:v>Support</x:v>
      </x:c>
      <x:c r="G372" s="38" t="n">
        <x:v>5</x:v>
      </x:c>
      <x:c r="H372" t="str">
        <x:v>Variable</x:v>
      </x:c>
      <x:c r="I372" t="str">
        <x:v>Cash</x:v>
      </x:c>
      <x:c r="J372" s="41" t="n">
        <x:v>5</x:v>
      </x:c>
    </x:row>
    <x:row r="373">
      <x:c r="A373" s="32" t="n">
        <x:v>46357</x:v>
      </x:c>
      <x:c r="B373" t="str">
        <x:v>Dec 2026</x:v>
      </x:c>
      <x:c r="C373" t="str">
        <x:v>Forecast</x:v>
      </x:c>
      <x:c r="D373" t="str">
        <x:v>Sales team payroll</x:v>
      </x:c>
      <x:c r="E373" t="str">
        <x:v>Sales</x:v>
      </x:c>
      <x:c r="F373" t="str">
        <x:v>Payroll</x:v>
      </x:c>
      <x:c r="G373" s="38" t="n">
        <x:v>59.519999999999996</x:v>
      </x:c>
      <x:c r="H373" t="str">
        <x:v>Fixed</x:v>
      </x:c>
      <x:c r="I373" t="str">
        <x:v>Cash</x:v>
      </x:c>
      <x:c r="J373" s="41" t="n">
        <x:v>48</x:v>
      </x:c>
    </x:row>
    <x:row r="374">
      <x:c r="A374" s="32" t="n">
        <x:v>46357</x:v>
      </x:c>
      <x:c r="B374" t="str">
        <x:v>Dec 2026</x:v>
      </x:c>
      <x:c r="C374" t="str">
        <x:v>Forecast</x:v>
      </x:c>
      <x:c r="D374" t="str">
        <x:v>Retail broker commissions</x:v>
      </x:c>
      <x:c r="E374" t="str">
        <x:v>Sales</x:v>
      </x:c>
      <x:c r="F374" t="str">
        <x:v>Commissions</x:v>
      </x:c>
      <x:c r="G374" s="38" t="n">
        <x:v>9</x:v>
      </x:c>
      <x:c r="H374" t="str">
        <x:v>Variable</x:v>
      </x:c>
      <x:c r="I374" t="str">
        <x:v>Cash</x:v>
      </x:c>
      <x:c r="J374" s="41" t="n">
        <x:v>9</x:v>
      </x:c>
    </x:row>
    <x:row r="375">
      <x:c r="A375" s="32" t="n">
        <x:v>46357</x:v>
      </x:c>
      <x:c r="B375" t="str">
        <x:v>Dec 2026</x:v>
      </x:c>
      <x:c r="C375" t="str">
        <x:v>Forecast</x:v>
      </x:c>
      <x:c r="D375" t="str">
        <x:v>Brand agency retainer</x:v>
      </x:c>
      <x:c r="E375" t="str">
        <x:v>Marketing</x:v>
      </x:c>
      <x:c r="F375" t="str">
        <x:v>Services</x:v>
      </x:c>
      <x:c r="G375" s="38" t="n">
        <x:v>22</x:v>
      </x:c>
      <x:c r="H375" t="str">
        <x:v>Fixed</x:v>
      </x:c>
      <x:c r="I375" t="str">
        <x:v>Cash</x:v>
      </x:c>
      <x:c r="J375" s="41" t="n">
        <x:v>22</x:v>
      </x:c>
    </x:row>
    <x:row r="376">
      <x:c r="A376" s="32" t="n">
        <x:v>46357</x:v>
      </x:c>
      <x:c r="B376" t="str">
        <x:v>Dec 2026</x:v>
      </x:c>
      <x:c r="C376" t="str">
        <x:v>Forecast</x:v>
      </x:c>
      <x:c r="D376" t="str">
        <x:v>Creative production</x:v>
      </x:c>
      <x:c r="E376" t="str">
        <x:v>Marketing</x:v>
      </x:c>
      <x:c r="F376" t="str">
        <x:v>Services</x:v>
      </x:c>
      <x:c r="G376" s="38" t="n">
        <x:v>18</x:v>
      </x:c>
      <x:c r="H376" t="str">
        <x:v>Variable</x:v>
      </x:c>
      <x:c r="I376" t="str">
        <x:v>Cash</x:v>
      </x:c>
      <x:c r="J376" s="41" t="n">
        <x:v>18</x:v>
      </x:c>
    </x:row>
    <x:row r="377">
      <x:c r="A377" s="32" t="n">
        <x:v>46357</x:v>
      </x:c>
      <x:c r="B377" t="str">
        <x:v>Dec 2026</x:v>
      </x:c>
      <x:c r="C377" t="str">
        <x:v>Forecast</x:v>
      </x:c>
      <x:c r="D377" t="str">
        <x:v>Ops team payroll</x:v>
      </x:c>
      <x:c r="E377" t="str">
        <x:v>Operations</x:v>
      </x:c>
      <x:c r="F377" t="str">
        <x:v>Payroll</x:v>
      </x:c>
      <x:c r="G377" s="38" t="n">
        <x:v>76.88</x:v>
      </x:c>
      <x:c r="H377" t="str">
        <x:v>Fixed</x:v>
      </x:c>
      <x:c r="I377" t="str">
        <x:v>Cash</x:v>
      </x:c>
      <x:c r="J377" s="41" t="n">
        <x:v>62</x:v>
      </x:c>
    </x:row>
    <x:row r="378">
      <x:c r="A378" s="32" t="n">
        <x:v>46357</x:v>
      </x:c>
      <x:c r="B378" t="str">
        <x:v>Dec 2026</x:v>
      </x:c>
      <x:c r="C378" t="str">
        <x:v>Forecast</x:v>
      </x:c>
      <x:c r="D378" t="str">
        <x:v>Warehouse rent</x:v>
      </x:c>
      <x:c r="E378" t="str">
        <x:v>Operations</x:v>
      </x:c>
      <x:c r="F378" t="str">
        <x:v>Facilities</x:v>
      </x:c>
      <x:c r="G378" s="38" t="n">
        <x:v>28</x:v>
      </x:c>
      <x:c r="H378" t="str">
        <x:v>Fixed</x:v>
      </x:c>
      <x:c r="I378" t="str">
        <x:v>Cash</x:v>
      </x:c>
      <x:c r="J378" s="41" t="n">
        <x:v>28</x:v>
      </x:c>
    </x:row>
    <x:row r="379">
      <x:c r="A379" s="32" t="n">
        <x:v>46357</x:v>
      </x:c>
      <x:c r="B379" t="str">
        <x:v>Dec 2026</x:v>
      </x:c>
      <x:c r="C379" t="str">
        <x:v>Forecast</x:v>
      </x:c>
      <x:c r="D379" t="str">
        <x:v>Inventory systems</x:v>
      </x:c>
      <x:c r="E379" t="str">
        <x:v>Operations</x:v>
      </x:c>
      <x:c r="F379" t="str">
        <x:v>Software</x:v>
      </x:c>
      <x:c r="G379" s="38" t="n">
        <x:v>7</x:v>
      </x:c>
      <x:c r="H379" t="str">
        <x:v>Fixed</x:v>
      </x:c>
      <x:c r="I379" t="str">
        <x:v>Cash</x:v>
      </x:c>
      <x:c r="J379" s="41" t="n">
        <x:v>7</x:v>
      </x:c>
    </x:row>
    <x:row r="380">
      <x:c r="A380" s="32" t="n">
        <x:v>46357</x:v>
      </x:c>
      <x:c r="B380" t="str">
        <x:v>Dec 2026</x:v>
      </x:c>
      <x:c r="C380" t="str">
        <x:v>Forecast</x:v>
      </x:c>
      <x:c r="D380" t="str">
        <x:v>Product team payroll</x:v>
      </x:c>
      <x:c r="E380" t="str">
        <x:v>Product</x:v>
      </x:c>
      <x:c r="F380" t="str">
        <x:v>Payroll</x:v>
      </x:c>
      <x:c r="G380" s="38" t="n">
        <x:v>44.64</x:v>
      </x:c>
      <x:c r="H380" t="str">
        <x:v>Fixed</x:v>
      </x:c>
      <x:c r="I380" t="str">
        <x:v>Cash</x:v>
      </x:c>
      <x:c r="J380" s="41" t="n">
        <x:v>36</x:v>
      </x:c>
    </x:row>
    <x:row r="381">
      <x:c r="A381" s="32" t="n">
        <x:v>46357</x:v>
      </x:c>
      <x:c r="B381" t="str">
        <x:v>Dec 2026</x:v>
      </x:c>
      <x:c r="C381" t="str">
        <x:v>Forecast</x:v>
      </x:c>
      <x:c r="D381" t="str">
        <x:v>QA and inspections</x:v>
      </x:c>
      <x:c r="E381" t="str">
        <x:v>Product</x:v>
      </x:c>
      <x:c r="F381" t="str">
        <x:v>Services</x:v>
      </x:c>
      <x:c r="G381" s="38" t="n">
        <x:v>6</x:v>
      </x:c>
      <x:c r="H381" t="str">
        <x:v>Variable</x:v>
      </x:c>
      <x:c r="I381" t="str">
        <x:v>Cash</x:v>
      </x:c>
      <x:c r="J381" s="41" t="n">
        <x:v>6</x:v>
      </x:c>
    </x:row>
    <x:row r="382">
      <x:c r="A382" s="32" t="n">
        <x:v>46357</x:v>
      </x:c>
      <x:c r="B382" t="str">
        <x:v>Dec 2026</x:v>
      </x:c>
      <x:c r="C382" t="str">
        <x:v>Forecast</x:v>
      </x:c>
      <x:c r="D382" t="str">
        <x:v>Executive payroll</x:v>
      </x:c>
      <x:c r="E382" t="str">
        <x:v>G&amp;A</x:v>
      </x:c>
      <x:c r="F382" t="str">
        <x:v>Payroll</x:v>
      </x:c>
      <x:c r="G382" s="38" t="n">
        <x:v>71.92</x:v>
      </x:c>
      <x:c r="H382" t="str">
        <x:v>Fixed</x:v>
      </x:c>
      <x:c r="I382" t="str">
        <x:v>Cash</x:v>
      </x:c>
      <x:c r="J382" s="41" t="n">
        <x:v>58</x:v>
      </x:c>
    </x:row>
    <x:row r="383">
      <x:c r="A383" s="32" t="n">
        <x:v>46357</x:v>
      </x:c>
      <x:c r="B383" t="str">
        <x:v>Dec 2026</x:v>
      </x:c>
      <x:c r="C383" t="str">
        <x:v>Forecast</x:v>
      </x:c>
      <x:c r="D383" t="str">
        <x:v>Finance and accounting</x:v>
      </x:c>
      <x:c r="E383" t="str">
        <x:v>G&amp;A</x:v>
      </x:c>
      <x:c r="F383" t="str">
        <x:v>Professional fees</x:v>
      </x:c>
      <x:c r="G383" s="38" t="n">
        <x:v>14</x:v>
      </x:c>
      <x:c r="H383" t="str">
        <x:v>Fixed</x:v>
      </x:c>
      <x:c r="I383" t="str">
        <x:v>Cash</x:v>
      </x:c>
      <x:c r="J383" s="41" t="n">
        <x:v>14</x:v>
      </x:c>
    </x:row>
    <x:row r="384">
      <x:c r="A384" s="32" t="n">
        <x:v>46357</x:v>
      </x:c>
      <x:c r="B384" t="str">
        <x:v>Dec 2026</x:v>
      </x:c>
      <x:c r="C384" t="str">
        <x:v>Forecast</x:v>
      </x:c>
      <x:c r="D384" t="str">
        <x:v>Legal</x:v>
      </x:c>
      <x:c r="E384" t="str">
        <x:v>G&amp;A</x:v>
      </x:c>
      <x:c r="F384" t="str">
        <x:v>Professional fees</x:v>
      </x:c>
      <x:c r="G384" s="38" t="n">
        <x:v>8</x:v>
      </x:c>
      <x:c r="H384" t="str">
        <x:v>Fixed</x:v>
      </x:c>
      <x:c r="I384" t="str">
        <x:v>Cash</x:v>
      </x:c>
      <x:c r="J384" s="41" t="n">
        <x:v>8</x:v>
      </x:c>
    </x:row>
    <x:row r="385">
      <x:c r="A385" s="32" t="n">
        <x:v>46357</x:v>
      </x:c>
      <x:c r="B385" t="str">
        <x:v>Dec 2026</x:v>
      </x:c>
      <x:c r="C385" t="str">
        <x:v>Forecast</x:v>
      </x:c>
      <x:c r="D385" t="str">
        <x:v>Insurance</x:v>
      </x:c>
      <x:c r="E385" t="str">
        <x:v>G&amp;A</x:v>
      </x:c>
      <x:c r="F385" t="str">
        <x:v>Insurance</x:v>
      </x:c>
      <x:c r="G385" s="38" t="n">
        <x:v>6</x:v>
      </x:c>
      <x:c r="H385" t="str">
        <x:v>Fixed</x:v>
      </x:c>
      <x:c r="I385" t="str">
        <x:v>Cash</x:v>
      </x:c>
      <x:c r="J385" s="41" t="n">
        <x:v>6</x:v>
      </x:c>
    </x:row>
    <x:row r="386">
      <x:c r="A386" s="32" t="n">
        <x:v>46357</x:v>
      </x:c>
      <x:c r="B386" t="str">
        <x:v>Dec 2026</x:v>
      </x:c>
      <x:c r="C386" t="str">
        <x:v>Forecast</x:v>
      </x:c>
      <x:c r="D386" t="str">
        <x:v>Software and admin tools</x:v>
      </x:c>
      <x:c r="E386" t="str">
        <x:v>G&amp;A</x:v>
      </x:c>
      <x:c r="F386" t="str">
        <x:v>Software</x:v>
      </x:c>
      <x:c r="G386" s="38" t="n">
        <x:v>12</x:v>
      </x:c>
      <x:c r="H386" t="str">
        <x:v>Fixed</x:v>
      </x:c>
      <x:c r="I386" t="str">
        <x:v>Cash</x:v>
      </x:c>
      <x:c r="J386" s="41" t="n">
        <x:v>12</x:v>
      </x:c>
    </x:row>
    <x:row r="387">
      <x:c r="A387" s="32" t="n">
        <x:v>46357</x:v>
      </x:c>
      <x:c r="B387" t="str">
        <x:v>Dec 2026</x:v>
      </x:c>
      <x:c r="C387" t="str">
        <x:v>Forecast</x:v>
      </x:c>
      <x:c r="D387" t="str">
        <x:v>Support payroll</x:v>
      </x:c>
      <x:c r="E387" t="str">
        <x:v>Customer Support</x:v>
      </x:c>
      <x:c r="F387" t="str">
        <x:v>Payroll</x:v>
      </x:c>
      <x:c r="G387" s="38" t="n">
        <x:v>29.759999999999998</x:v>
      </x:c>
      <x:c r="H387" t="str">
        <x:v>Fixed</x:v>
      </x:c>
      <x:c r="I387" t="str">
        <x:v>Cash</x:v>
      </x:c>
      <x:c r="J387" s="41" t="n">
        <x:v>24</x:v>
      </x:c>
    </x:row>
    <x:row r="388">
      <x:c r="A388" s="32" t="n">
        <x:v>46357</x:v>
      </x:c>
      <x:c r="B388" t="str">
        <x:v>Dec 2026</x:v>
      </x:c>
      <x:c r="C388" t="str">
        <x:v>Forecast</x:v>
      </x:c>
      <x:c r="D388" t="str">
        <x:v>Support variable tools</x:v>
      </x:c>
      <x:c r="E388" t="str">
        <x:v>Customer Support</x:v>
      </x:c>
      <x:c r="F388" t="str">
        <x:v>Support</x:v>
      </x:c>
      <x:c r="G388" s="38" t="n">
        <x:v>5</x:v>
      </x:c>
      <x:c r="H388" t="str">
        <x:v>Variable</x:v>
      </x:c>
      <x:c r="I388" t="str">
        <x:v>Cash</x:v>
      </x:c>
      <x:c r="J388" s="41" t="n">
        <x:v>5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60dbc4814ab470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28" customHeight="1">
      <x:c r="A1" s="3" t="str">
        <x:v>Financial Model</x:v>
      </x:c>
    </x:row>
    <x:row r="2">
      <x:c r="A2" s="6" t="str">
        <x:v>Monthly cash-basis operating model in $000s. Columns roll up weekly detail and feed board reporting.</x:v>
      </x:c>
    </x:row>
    <x:row r="4">
      <x:c r="A4" s="11" t="str">
        <x:v>Metric</x:v>
      </x:c>
      <x:c r="B4" s="42" t="n">
        <x:v>45658</x:v>
      </x:c>
      <x:c r="C4" s="42" t="n">
        <x:v>45689</x:v>
      </x:c>
      <x:c r="D4" s="42" t="n">
        <x:v>45717</x:v>
      </x:c>
      <x:c r="E4" s="42" t="n">
        <x:v>45748</x:v>
      </x:c>
      <x:c r="F4" s="42" t="n">
        <x:v>45778</x:v>
      </x:c>
      <x:c r="G4" s="42" t="n">
        <x:v>45809</x:v>
      </x:c>
      <x:c r="H4" s="42" t="n">
        <x:v>45839</x:v>
      </x:c>
      <x:c r="I4" s="42" t="n">
        <x:v>45870</x:v>
      </x:c>
      <x:c r="J4" s="42" t="n">
        <x:v>45901</x:v>
      </x:c>
      <x:c r="K4" s="42" t="n">
        <x:v>45931</x:v>
      </x:c>
      <x:c r="L4" s="42" t="n">
        <x:v>45962</x:v>
      </x:c>
      <x:c r="M4" s="42" t="n">
        <x:v>45992</x:v>
      </x:c>
      <x:c r="N4" s="42" t="n">
        <x:v>46023</x:v>
      </x:c>
      <x:c r="O4" s="42" t="n">
        <x:v>46054</x:v>
      </x:c>
      <x:c r="P4" s="42" t="n">
        <x:v>46082</x:v>
      </x:c>
      <x:c r="Q4" s="42" t="n">
        <x:v>46113</x:v>
      </x:c>
      <x:c r="R4" s="42" t="n">
        <x:v>46143</x:v>
      </x:c>
      <x:c r="S4" s="42" t="n">
        <x:v>46174</x:v>
      </x:c>
      <x:c r="T4" s="42" t="n">
        <x:v>46204</x:v>
      </x:c>
      <x:c r="U4" s="42" t="n">
        <x:v>46235</x:v>
      </x:c>
      <x:c r="V4" s="42" t="n">
        <x:v>46266</x:v>
      </x:c>
      <x:c r="W4" s="42" t="n">
        <x:v>46296</x:v>
      </x:c>
      <x:c r="X4" s="42" t="n">
        <x:v>46327</x:v>
      </x:c>
      <x:c r="Y4" s="43" t="n">
        <x:v>46357</x:v>
      </x:c>
    </x:row>
    <x:row r="5">
      <x:c r="A5" t="str">
        <x:v>Period</x:v>
      </x:c>
      <x:c r="B5" t="str">
        <x:v>Actual</x:v>
      </x:c>
      <x:c r="C5" t="str">
        <x:v>Actual</x:v>
      </x:c>
      <x:c r="D5" t="str">
        <x:v>Actual</x:v>
      </x:c>
      <x:c r="E5" t="str">
        <x:v>Actual</x:v>
      </x:c>
      <x:c r="F5" t="str">
        <x:v>Actual</x:v>
      </x:c>
      <x:c r="G5" t="str">
        <x:v>Actual</x:v>
      </x:c>
      <x:c r="H5" t="str">
        <x:v>Actual</x:v>
      </x:c>
      <x:c r="I5" t="str">
        <x:v>Actual</x:v>
      </x:c>
      <x:c r="J5" t="str">
        <x:v>Actual</x:v>
      </x:c>
      <x:c r="K5" t="str">
        <x:v>Actual</x:v>
      </x:c>
      <x:c r="L5" t="str">
        <x:v>Actual</x:v>
      </x:c>
      <x:c r="M5" t="str">
        <x:v>Actual</x:v>
      </x:c>
      <x:c r="N5" t="str">
        <x:v>Forecast</x:v>
      </x:c>
      <x:c r="O5" t="str">
        <x:v>Forecast</x:v>
      </x:c>
      <x:c r="P5" t="str">
        <x:v>Forecast</x:v>
      </x:c>
      <x:c r="Q5" t="str">
        <x:v>Forecast</x:v>
      </x:c>
      <x:c r="R5" t="str">
        <x:v>Forecast</x:v>
      </x:c>
      <x:c r="S5" t="str">
        <x:v>Forecast</x:v>
      </x:c>
      <x:c r="T5" t="str">
        <x:v>Forecast</x:v>
      </x:c>
      <x:c r="U5" t="str">
        <x:v>Forecast</x:v>
      </x:c>
      <x:c r="V5" t="str">
        <x:v>Forecast</x:v>
      </x:c>
      <x:c r="W5" t="str">
        <x:v>Forecast</x:v>
      </x:c>
      <x:c r="X5" t="str">
        <x:v>Forecast</x:v>
      </x:c>
      <x:c r="Y5" t="str">
        <x:v>Forecast</x:v>
      </x:c>
    </x:row>
    <x:row r="6">
      <x:c r="A6" t="str">
        <x:v>Month Label</x:v>
      </x:c>
      <x:c r="B6" t="str">
        <x:v>Jan 2025</x:v>
      </x:c>
      <x:c r="C6" t="str">
        <x:v>Feb 2025</x:v>
      </x:c>
      <x:c r="D6" t="str">
        <x:v>Mar 2025</x:v>
      </x:c>
      <x:c r="E6" t="str">
        <x:v>Apr 2025</x:v>
      </x:c>
      <x:c r="F6" t="str">
        <x:v>May 2025</x:v>
      </x:c>
      <x:c r="G6" t="str">
        <x:v>Jun 2025</x:v>
      </x:c>
      <x:c r="H6" t="str">
        <x:v>Jul 2025</x:v>
      </x:c>
      <x:c r="I6" t="str">
        <x:v>Aug 2025</x:v>
      </x:c>
      <x:c r="J6" t="str">
        <x:v>Sep 2025</x:v>
      </x:c>
      <x:c r="K6" t="str">
        <x:v>Oct 2025</x:v>
      </x:c>
      <x:c r="L6" t="str">
        <x:v>Nov 2025</x:v>
      </x:c>
      <x:c r="M6" t="str">
        <x:v>Dec 2025</x:v>
      </x:c>
      <x:c r="N6" t="str">
        <x:v>Jan 2026</x:v>
      </x:c>
      <x:c r="O6" t="str">
        <x:v>Feb 2026</x:v>
      </x:c>
      <x:c r="P6" t="str">
        <x:v>Mar 2026</x:v>
      </x:c>
      <x:c r="Q6" t="str">
        <x:v>Apr 2026</x:v>
      </x:c>
      <x:c r="R6" t="str">
        <x:v>May 2026</x:v>
      </x:c>
      <x:c r="S6" t="str">
        <x:v>Jun 2026</x:v>
      </x:c>
      <x:c r="T6" t="str">
        <x:v>Jul 2026</x:v>
      </x:c>
      <x:c r="U6" t="str">
        <x:v>Aug 2026</x:v>
      </x:c>
      <x:c r="V6" t="str">
        <x:v>Sep 2026</x:v>
      </x:c>
      <x:c r="W6" t="str">
        <x:v>Oct 2026</x:v>
      </x:c>
      <x:c r="X6" t="str">
        <x:v>Nov 2026</x:v>
      </x:c>
      <x:c r="Y6" t="str">
        <x:v>Dec 2026</x:v>
      </x:c>
    </x:row>
    <x:row r="7">
      <x:c r="A7" s="24" t="str">
        <x:v>Units Sold</x:v>
      </x:c>
      <x:c r="B7" s="47" t="n">
        <x:f>SUMIFS('Revenue_Model'!$Q$5:$Q$2084,'Revenue_Model'!$B$5:$B$2084,B$4)</x:f>
        <x:v>5531</x:v>
      </x:c>
      <x:c r="C7" s="47" t="n">
        <x:f>SUMIFS('Revenue_Model'!$Q$5:$Q$2084,'Revenue_Model'!$B$5:$B$2084,C$4)</x:f>
        <x:v>5521</x:v>
      </x:c>
      <x:c r="D7" s="47" t="n">
        <x:f>SUMIFS('Revenue_Model'!$Q$5:$Q$2084,'Revenue_Model'!$B$5:$B$2084,D$4)</x:f>
        <x:v>6958</x:v>
      </x:c>
      <x:c r="E7" s="47" t="n">
        <x:f>SUMIFS('Revenue_Model'!$Q$5:$Q$2084,'Revenue_Model'!$B$5:$B$2084,E$4)</x:f>
        <x:v>5728</x:v>
      </x:c>
      <x:c r="F7" s="47" t="n">
        <x:f>SUMIFS('Revenue_Model'!$Q$5:$Q$2084,'Revenue_Model'!$B$5:$B$2084,F$4)</x:f>
        <x:v>5989</x:v>
      </x:c>
      <x:c r="G7" s="47" t="n">
        <x:f>SUMIFS('Revenue_Model'!$Q$5:$Q$2084,'Revenue_Model'!$B$5:$B$2084,G$4)</x:f>
        <x:v>7784</x:v>
      </x:c>
      <x:c r="H7" s="47" t="n">
        <x:f>SUMIFS('Revenue_Model'!$Q$5:$Q$2084,'Revenue_Model'!$B$5:$B$2084,H$4)</x:f>
        <x:v>6335</x:v>
      </x:c>
      <x:c r="I7" s="47" t="n">
        <x:f>SUMIFS('Revenue_Model'!$Q$5:$Q$2084,'Revenue_Model'!$B$5:$B$2084,I$4)</x:f>
        <x:v>6282</x:v>
      </x:c>
      <x:c r="J7" s="47" t="n">
        <x:f>SUMIFS('Revenue_Model'!$Q$5:$Q$2084,'Revenue_Model'!$B$5:$B$2084,J$4)</x:f>
        <x:v>7887</x:v>
      </x:c>
      <x:c r="K7" s="47" t="n">
        <x:f>SUMIFS('Revenue_Model'!$Q$5:$Q$2084,'Revenue_Model'!$B$5:$B$2084,K$4)</x:f>
        <x:v>6521</x:v>
      </x:c>
      <x:c r="L7" s="47" t="n">
        <x:f>SUMIFS('Revenue_Model'!$Q$5:$Q$2084,'Revenue_Model'!$B$5:$B$2084,L$4)</x:f>
        <x:v>6766</x:v>
      </x:c>
      <x:c r="M7" s="47" t="n">
        <x:f>SUMIFS('Revenue_Model'!$Q$5:$Q$2084,'Revenue_Model'!$B$5:$B$2084,M$4)</x:f>
        <x:v>8684</x:v>
      </x:c>
      <x:c r="N7" s="47" t="n">
        <x:f>SUMIFS('Revenue_Model'!$Q$5:$Q$2084,'Revenue_Model'!$B$5:$B$2084,N$4)</x:f>
        <x:v>8144</x:v>
      </x:c>
      <x:c r="O7" s="47" t="n">
        <x:f>SUMIFS('Revenue_Model'!$Q$5:$Q$2084,'Revenue_Model'!$B$5:$B$2084,O$4)</x:f>
        <x:v>7992</x:v>
      </x:c>
      <x:c r="P7" s="47" t="n">
        <x:f>SUMIFS('Revenue_Model'!$Q$5:$Q$2084,'Revenue_Model'!$B$5:$B$2084,P$4)</x:f>
        <x:v>9890</x:v>
      </x:c>
      <x:c r="Q7" s="47" t="n">
        <x:f>SUMIFS('Revenue_Model'!$Q$5:$Q$2084,'Revenue_Model'!$B$5:$B$2084,Q$4)</x:f>
        <x:v>7992</x:v>
      </x:c>
      <x:c r="R7" s="47" t="n">
        <x:f>SUMIFS('Revenue_Model'!$Q$5:$Q$2084,'Revenue_Model'!$B$5:$B$2084,R$4)</x:f>
        <x:v>8228</x:v>
      </x:c>
      <x:c r="S7" s="47" t="n">
        <x:f>SUMIFS('Revenue_Model'!$Q$5:$Q$2084,'Revenue_Model'!$B$5:$B$2084,S$4)</x:f>
        <x:v>10510</x:v>
      </x:c>
      <x:c r="T7" s="47" t="n">
        <x:f>SUMIFS('Revenue_Model'!$Q$5:$Q$2084,'Revenue_Model'!$B$5:$B$2084,T$4)</x:f>
        <x:v>8408</x:v>
      </x:c>
      <x:c r="U7" s="47" t="n">
        <x:f>SUMIFS('Revenue_Model'!$Q$5:$Q$2084,'Revenue_Model'!$B$5:$B$2084,U$4)</x:f>
        <x:v>10260</x:v>
      </x:c>
      <x:c r="V7" s="47" t="n">
        <x:f>SUMIFS('Revenue_Model'!$Q$5:$Q$2084,'Revenue_Model'!$B$5:$B$2084,V$4)</x:f>
        <x:v>6868</x:v>
      </x:c>
      <x:c r="W7" s="47" t="n">
        <x:f>SUMIFS('Revenue_Model'!$Q$5:$Q$2084,'Revenue_Model'!$B$5:$B$2084,W$4)</x:f>
        <x:v>7136</x:v>
      </x:c>
      <x:c r="X7" s="47" t="n">
        <x:f>SUMIFS('Revenue_Model'!$Q$5:$Q$2084,'Revenue_Model'!$B$5:$B$2084,X$4)</x:f>
        <x:v>9310</x:v>
      </x:c>
      <x:c r="Y7" s="48" t="n">
        <x:f>SUMIFS('Revenue_Model'!$Q$5:$Q$2084,'Revenue_Model'!$B$5:$B$2084,Y$4)</x:f>
        <x:v>5584</x:v>
      </x:c>
    </x:row>
    <x:row r="8">
      <x:c r="A8" t="str">
        <x:v>Gross Revenue</x:v>
      </x:c>
      <x:c r="B8" s="49" t="n">
        <x:f>SUMIFS('Revenue_Model'!$S$5:$S$2084,'Revenue_Model'!$B$5:$B$2084,B$4)</x:f>
        <x:v>188.12900000000005</x:v>
      </x:c>
      <x:c r="C8" s="49" t="n">
        <x:f>SUMIFS('Revenue_Model'!$S$5:$S$2084,'Revenue_Model'!$B$5:$B$2084,C$4)</x:f>
        <x:v>187.99599999999998</x:v>
      </x:c>
      <x:c r="D8" s="49" t="n">
        <x:f>SUMIFS('Revenue_Model'!$S$5:$S$2084,'Revenue_Model'!$B$5:$B$2084,D$4)</x:f>
        <x:v>237.89500000000015</x:v>
      </x:c>
      <x:c r="E8" s="49" t="n">
        <x:f>SUMIFS('Revenue_Model'!$S$5:$S$2084,'Revenue_Model'!$B$5:$B$2084,E$4)</x:f>
        <x:v>196.987</x:v>
      </x:c>
      <x:c r="F8" s="49" t="n">
        <x:f>SUMIFS('Revenue_Model'!$S$5:$S$2084,'Revenue_Model'!$B$5:$B$2084,F$4)</x:f>
        <x:v>207.63700000000003</x:v>
      </x:c>
      <x:c r="G8" s="49" t="n">
        <x:f>SUMIFS('Revenue_Model'!$S$5:$S$2084,'Revenue_Model'!$B$5:$B$2084,G$4)</x:f>
        <x:v>271.301</x:v>
      </x:c>
      <x:c r="H8" s="49" t="n">
        <x:f>SUMIFS('Revenue_Model'!$S$5:$S$2084,'Revenue_Model'!$B$5:$B$2084,H$4)</x:f>
        <x:v>220.58199999999997</x:v>
      </x:c>
      <x:c r="I8" s="49" t="n">
        <x:f>SUMIFS('Revenue_Model'!$S$5:$S$2084,'Revenue_Model'!$B$5:$B$2084,I$4)</x:f>
        <x:v>217.04899999999998</x:v>
      </x:c>
      <x:c r="J8" s="49" t="n">
        <x:f>SUMIFS('Revenue_Model'!$S$5:$S$2084,'Revenue_Model'!$B$5:$B$2084,J$4)</x:f>
        <x:v>270.51199999999994</x:v>
      </x:c>
      <x:c r="K8" s="49" t="n">
        <x:f>SUMIFS('Revenue_Model'!$S$5:$S$2084,'Revenue_Model'!$B$5:$B$2084,K$4)</x:f>
        <x:v>222.83699999999985</x:v>
      </x:c>
      <x:c r="L8" s="49" t="n">
        <x:f>SUMIFS('Revenue_Model'!$S$5:$S$2084,'Revenue_Model'!$B$5:$B$2084,L$4)</x:f>
        <x:v>230.38100000000003</x:v>
      </x:c>
      <x:c r="M8" s="49" t="n">
        <x:f>SUMIFS('Revenue_Model'!$S$5:$S$2084,'Revenue_Model'!$B$5:$B$2084,M$4)</x:f>
        <x:v>295.015</x:v>
      </x:c>
      <x:c r="N8" s="49" t="n">
        <x:f>SUMIFS('Revenue_Model'!$S$5:$S$2084,'Revenue_Model'!$B$5:$B$2084,N$4)</x:f>
        <x:v>276.97999999999996</x:v>
      </x:c>
      <x:c r="O8" s="49" t="n">
        <x:f>SUMIFS('Revenue_Model'!$S$5:$S$2084,'Revenue_Model'!$B$5:$B$2084,O$4)</x:f>
        <x:v>272.068</x:v>
      </x:c>
      <x:c r="P8" s="49" t="n">
        <x:f>SUMIFS('Revenue_Model'!$S$5:$S$2084,'Revenue_Model'!$B$5:$B$2084,P$4)</x:f>
        <x:v>337.96500000000003</x:v>
      </x:c>
      <x:c r="Q8" s="49" t="n">
        <x:f>SUMIFS('Revenue_Model'!$S$5:$S$2084,'Revenue_Model'!$B$5:$B$2084,Q$4)</x:f>
        <x:v>274.82</x:v>
      </x:c>
      <x:c r="R8" s="49" t="n">
        <x:f>SUMIFS('Revenue_Model'!$S$5:$S$2084,'Revenue_Model'!$B$5:$B$2084,R$4)</x:f>
        <x:v>285.14799999999997</x:v>
      </x:c>
      <x:c r="S8" s="49" t="n">
        <x:f>SUMIFS('Revenue_Model'!$S$5:$S$2084,'Revenue_Model'!$B$5:$B$2084,S$4)</x:f>
        <x:v>366.2849999999999</x:v>
      </x:c>
      <x:c r="T8" s="49" t="n">
        <x:f>SUMIFS('Revenue_Model'!$S$5:$S$2084,'Revenue_Model'!$B$5:$B$2084,T$4)</x:f>
        <x:v>292.7079999999999</x:v>
      </x:c>
      <x:c r="U8" s="49" t="n">
        <x:f>SUMIFS('Revenue_Model'!$S$5:$S$2084,'Revenue_Model'!$B$5:$B$2084,U$4)</x:f>
        <x:v>354.34499999999997</x:v>
      </x:c>
      <x:c r="V8" s="49" t="n">
        <x:f>SUMIFS('Revenue_Model'!$S$5:$S$2084,'Revenue_Model'!$B$5:$B$2084,V$4)</x:f>
        <x:v>225.94799999999992</x:v>
      </x:c>
      <x:c r="W8" s="49" t="n">
        <x:f>SUMIFS('Revenue_Model'!$S$5:$S$2084,'Revenue_Model'!$B$5:$B$2084,W$4)</x:f>
        <x:v>235.05999999999997</x:v>
      </x:c>
      <x:c r="X8" s="49" t="n">
        <x:f>SUMIFS('Revenue_Model'!$S$5:$S$2084,'Revenue_Model'!$B$5:$B$2084,X$4)</x:f>
        <x:v>307.08499999999987</x:v>
      </x:c>
      <x:c r="Y8" s="49" t="n">
        <x:f>SUMIFS('Revenue_Model'!$S$5:$S$2084,'Revenue_Model'!$B$5:$B$2084,Y$4)</x:f>
        <x:v>182.292</x:v>
      </x:c>
    </x:row>
    <x:row r="9">
      <x:c r="A9" t="str">
        <x:v>Discounts</x:v>
      </x:c>
      <x:c r="B9" s="49" t="n">
        <x:f>SUMIFS('Revenue_Model'!$T$5:$T$2084,'Revenue_Model'!$B$5:$B$2084,B$4)</x:f>
        <x:v>18.49171999999999</x:v>
      </x:c>
      <x:c r="C9" s="49" t="n">
        <x:f>SUMIFS('Revenue_Model'!$T$5:$T$2084,'Revenue_Model'!$B$5:$B$2084,C$4)</x:f>
        <x:v>18.476990000000004</x:v>
      </x:c>
      <x:c r="D9" s="49" t="n">
        <x:f>SUMIFS('Revenue_Model'!$T$5:$T$2084,'Revenue_Model'!$B$5:$B$2084,D$4)</x:f>
        <x:v>23.41927000000002</x:v>
      </x:c>
      <x:c r="E9" s="49" t="n">
        <x:f>SUMIFS('Revenue_Model'!$T$5:$T$2084,'Revenue_Model'!$B$5:$B$2084,E$4)</x:f>
        <x:v>19.387059999999998</x:v>
      </x:c>
      <x:c r="F9" s="49" t="n">
        <x:f>SUMIFS('Revenue_Model'!$T$5:$T$2084,'Revenue_Model'!$B$5:$B$2084,F$4)</x:f>
        <x:v>20.420720000000003</x:v>
      </x:c>
      <x:c r="G9" s="49" t="n">
        <x:f>SUMIFS('Revenue_Model'!$T$5:$T$2084,'Revenue_Model'!$B$5:$B$2084,G$4)</x:f>
        <x:v>26.70153000000001</x:v>
      </x:c>
      <x:c r="H9" s="49" t="n">
        <x:f>SUMIFS('Revenue_Model'!$T$5:$T$2084,'Revenue_Model'!$B$5:$B$2084,H$4)</x:f>
        <x:v>21.70303</x:v>
      </x:c>
      <x:c r="I9" s="49" t="n">
        <x:f>SUMIFS('Revenue_Model'!$T$5:$T$2084,'Revenue_Model'!$B$5:$B$2084,I$4)</x:f>
        <x:v>21.382879999999993</x:v>
      </x:c>
      <x:c r="J9" s="49" t="n">
        <x:f>SUMIFS('Revenue_Model'!$T$5:$T$2084,'Revenue_Model'!$B$5:$B$2084,J$4)</x:f>
        <x:v>26.61252</x:v>
      </x:c>
      <x:c r="K9" s="49" t="n">
        <x:f>SUMIFS('Revenue_Model'!$T$5:$T$2084,'Revenue_Model'!$B$5:$B$2084,K$4)</x:f>
        <x:v>21.928400000000003</x:v>
      </x:c>
      <x:c r="L9" s="49" t="n">
        <x:f>SUMIFS('Revenue_Model'!$T$5:$T$2084,'Revenue_Model'!$B$5:$B$2084,L$4)</x:f>
        <x:v>22.669320000000003</x:v>
      </x:c>
      <x:c r="M9" s="49" t="n">
        <x:f>SUMIFS('Revenue_Model'!$T$5:$T$2084,'Revenue_Model'!$B$5:$B$2084,M$4)</x:f>
        <x:v>29.00505</x:v>
      </x:c>
      <x:c r="N9" s="49" t="n">
        <x:f>SUMIFS('Revenue_Model'!$T$5:$T$2084,'Revenue_Model'!$B$5:$B$2084,N$4)</x:f>
        <x:v>27.235279999999996</x:v>
      </x:c>
      <x:c r="O9" s="49" t="n">
        <x:f>SUMIFS('Revenue_Model'!$T$5:$T$2084,'Revenue_Model'!$B$5:$B$2084,O$4)</x:f>
        <x:v>26.716959999999993</x:v>
      </x:c>
      <x:c r="P9" s="49" t="n">
        <x:f>SUMIFS('Revenue_Model'!$T$5:$T$2084,'Revenue_Model'!$B$5:$B$2084,P$4)</x:f>
        <x:v>33.21889999999999</x:v>
      </x:c>
      <x:c r="Q9" s="49" t="n">
        <x:f>SUMIFS('Revenue_Model'!$T$5:$T$2084,'Revenue_Model'!$B$5:$B$2084,Q$4)</x:f>
        <x:v>26.98767999999999</x:v>
      </x:c>
      <x:c r="R9" s="49" t="n">
        <x:f>SUMIFS('Revenue_Model'!$T$5:$T$2084,'Revenue_Model'!$B$5:$B$2084,R$4)</x:f>
        <x:v>28.009439999999987</x:v>
      </x:c>
      <x:c r="S9" s="49" t="n">
        <x:f>SUMIFS('Revenue_Model'!$T$5:$T$2084,'Revenue_Model'!$B$5:$B$2084,S$4)</x:f>
        <x:v>36.003899999999966</x:v>
      </x:c>
      <x:c r="T9" s="49" t="n">
        <x:f>SUMIFS('Revenue_Model'!$T$5:$T$2084,'Revenue_Model'!$B$5:$B$2084,T$4)</x:f>
        <x:v>28.77047999999999</x:v>
      </x:c>
      <x:c r="U9" s="49" t="n">
        <x:f>SUMIFS('Revenue_Model'!$T$5:$T$2084,'Revenue_Model'!$B$5:$B$2084,U$4)</x:f>
        <x:v>34.8257</x:v>
      </x:c>
      <x:c r="V9" s="49" t="n">
        <x:f>SUMIFS('Revenue_Model'!$T$5:$T$2084,'Revenue_Model'!$B$5:$B$2084,V$4)</x:f>
        <x:v>22.179119999999994</x:v>
      </x:c>
      <x:c r="W9" s="49" t="n">
        <x:f>SUMIFS('Revenue_Model'!$T$5:$T$2084,'Revenue_Model'!$B$5:$B$2084,W$4)</x:f>
        <x:v>23.099839999999993</x:v>
      </x:c>
      <x:c r="X9" s="49" t="n">
        <x:f>SUMIFS('Revenue_Model'!$T$5:$T$2084,'Revenue_Model'!$B$5:$B$2084,X$4)</x:f>
        <x:v>30.161699999999986</x:v>
      </x:c>
      <x:c r="Y9" s="49" t="n">
        <x:f>SUMIFS('Revenue_Model'!$T$5:$T$2084,'Revenue_Model'!$B$5:$B$2084,Y$4)</x:f>
        <x:v>17.90192</x:v>
      </x:c>
    </x:row>
    <x:row r="10">
      <x:c r="A10" t="str">
        <x:v>Returns</x:v>
      </x:c>
      <x:c r="B10" s="49" t="n">
        <x:f>SUMIFS('Revenue_Model'!$U$5:$U$2084,'Revenue_Model'!$B$5:$B$2084,B$4)</x:f>
        <x:v>6.292716199999999</x:v>
      </x:c>
      <x:c r="C10" s="49" t="n">
        <x:f>SUMIFS('Revenue_Model'!$U$5:$U$2084,'Revenue_Model'!$B$5:$B$2084,C$4)</x:f>
        <x:v>6.234045750000002</x:v>
      </x:c>
      <x:c r="D10" s="49" t="n">
        <x:f>SUMIFS('Revenue_Model'!$U$5:$U$2084,'Revenue_Model'!$B$5:$B$2084,D$4)</x:f>
        <x:v>7.83795925</x:v>
      </x:c>
      <x:c r="E10" s="49" t="n">
        <x:f>SUMIFS('Revenue_Model'!$U$5:$U$2084,'Revenue_Model'!$B$5:$B$2084,E$4)</x:f>
        <x:v>6.5196461</x:v>
      </x:c>
      <x:c r="F10" s="49" t="n">
        <x:f>SUMIFS('Revenue_Model'!$U$5:$U$2084,'Revenue_Model'!$B$5:$B$2084,F$4)</x:f>
        <x:v>6.952537699999996</x:v>
      </x:c>
      <x:c r="G10" s="49" t="n">
        <x:f>SUMIFS('Revenue_Model'!$U$5:$U$2084,'Revenue_Model'!$B$5:$B$2084,G$4)</x:f>
        <x:v>9.166103549999997</x:v>
      </x:c>
      <x:c r="H10" s="49" t="n">
        <x:f>SUMIFS('Revenue_Model'!$U$5:$U$2084,'Revenue_Model'!$B$5:$B$2084,H$4)</x:f>
        <x:v>7.454483250000001</x:v>
      </x:c>
      <x:c r="I10" s="49" t="n">
        <x:f>SUMIFS('Revenue_Model'!$U$5:$U$2084,'Revenue_Model'!$B$5:$B$2084,I$4)</x:f>
        <x:v>7.266165099999999</x:v>
      </x:c>
      <x:c r="J10" s="49" t="n">
        <x:f>SUMIFS('Revenue_Model'!$U$5:$U$2084,'Revenue_Model'!$B$5:$B$2084,J$4)</x:f>
        <x:v>9.0225961</x:v>
      </x:c>
      <x:c r="K10" s="49" t="n">
        <x:f>SUMIFS('Revenue_Model'!$U$5:$U$2084,'Revenue_Model'!$B$5:$B$2084,K$4)</x:f>
        <x:v>7.496236299999996</x:v>
      </x:c>
      <x:c r="L10" s="49" t="n">
        <x:f>SUMIFS('Revenue_Model'!$U$5:$U$2084,'Revenue_Model'!$B$5:$B$2084,L$4)</x:f>
        <x:v>7.838803699999997</x:v>
      </x:c>
      <x:c r="M10" s="49" t="n">
        <x:f>SUMIFS('Revenue_Model'!$U$5:$U$2084,'Revenue_Model'!$B$5:$B$2084,M$4)</x:f>
        <x:v>10.093349750000003</x:v>
      </x:c>
      <x:c r="N10" s="49" t="n">
        <x:f>SUMIFS('Revenue_Model'!$U$5:$U$2084,'Revenue_Model'!$B$5:$B$2084,N$4)</x:f>
        <x:v>9.274402</x:v>
      </x:c>
      <x:c r="O10" s="49" t="n">
        <x:f>SUMIFS('Revenue_Model'!$U$5:$U$2084,'Revenue_Model'!$B$5:$B$2084,O$4)</x:f>
        <x:v>9.026525200000002</x:v>
      </x:c>
      <x:c r="P10" s="49" t="n">
        <x:f>SUMIFS('Revenue_Model'!$U$5:$U$2084,'Revenue_Model'!$B$5:$B$2084,P$4)</x:f>
        <x:v>11.146130999999997</x:v>
      </x:c>
      <x:c r="Q10" s="49" t="n">
        <x:f>SUMIFS('Revenue_Model'!$U$5:$U$2084,'Revenue_Model'!$B$5:$B$2084,Q$4)</x:f>
        <x:v>9.097862000000003</x:v>
      </x:c>
      <x:c r="R10" s="49" t="n">
        <x:f>SUMIFS('Revenue_Model'!$U$5:$U$2084,'Revenue_Model'!$B$5:$B$2084,R$4)</x:f>
        <x:v>9.555197600000001</x:v>
      </x:c>
      <x:c r="S10" s="49" t="n">
        <x:f>SUMIFS('Revenue_Model'!$U$5:$U$2084,'Revenue_Model'!$B$5:$B$2084,S$4)</x:f>
        <x:v>12.379258999999996</x:v>
      </x:c>
      <x:c r="T10" s="49" t="n">
        <x:f>SUMIFS('Revenue_Model'!$U$5:$U$2084,'Revenue_Model'!$B$5:$B$2084,T$4)</x:f>
        <x:v>9.8951456</x:v>
      </x:c>
      <x:c r="U10" s="49" t="n">
        <x:f>SUMIFS('Revenue_Model'!$U$5:$U$2084,'Revenue_Model'!$B$5:$B$2084,U$4)</x:f>
        <x:v>11.868777000000005</x:v>
      </x:c>
      <x:c r="V10" s="49" t="n">
        <x:f>SUMIFS('Revenue_Model'!$U$5:$U$2084,'Revenue_Model'!$B$5:$B$2084,V$4)</x:f>
        <x:v>6.92665</x:v>
      </x:c>
      <x:c r="W10" s="49" t="n">
        <x:f>SUMIFS('Revenue_Model'!$U$5:$U$2084,'Revenue_Model'!$B$5:$B$2084,W$4)</x:f>
        <x:v>7.377170400000001</x:v>
      </x:c>
      <x:c r="X10" s="49" t="n">
        <x:f>SUMIFS('Revenue_Model'!$U$5:$U$2084,'Revenue_Model'!$B$5:$B$2084,X$4)</x:f>
        <x:v>9.879983500000002</x:v>
      </x:c>
      <x:c r="Y10" s="49" t="n">
        <x:f>SUMIFS('Revenue_Model'!$U$5:$U$2084,'Revenue_Model'!$B$5:$B$2084,Y$4)</x:f>
        <x:v>4.760816</x:v>
      </x:c>
    </x:row>
    <x:row r="11">
      <x:c r="A11" t="str">
        <x:v>Net Revenue</x:v>
      </x:c>
      <x:c r="B11" s="49" t="n">
        <x:f>SUMIFS('Revenue_Model'!$V$5:$V$2084,'Revenue_Model'!$B$5:$B$2084,B$4)</x:f>
        <x:v>163.34456379999997</x:v>
      </x:c>
      <x:c r="C11" s="49" t="n">
        <x:f>SUMIFS('Revenue_Model'!$V$5:$V$2084,'Revenue_Model'!$B$5:$B$2084,C$4)</x:f>
        <x:v>163.28496425</x:v>
      </x:c>
      <x:c r="D11" s="49" t="n">
        <x:f>SUMIFS('Revenue_Model'!$V$5:$V$2084,'Revenue_Model'!$B$5:$B$2084,D$4)</x:f>
        <x:v>206.63777075</x:v>
      </x:c>
      <x:c r="E11" s="49" t="n">
        <x:f>SUMIFS('Revenue_Model'!$V$5:$V$2084,'Revenue_Model'!$B$5:$B$2084,E$4)</x:f>
        <x:v>171.08029389999996</x:v>
      </x:c>
      <x:c r="F11" s="49" t="n">
        <x:f>SUMIFS('Revenue_Model'!$V$5:$V$2084,'Revenue_Model'!$B$5:$B$2084,F$4)</x:f>
        <x:v>180.26374230000002</x:v>
      </x:c>
      <x:c r="G11" s="49" t="n">
        <x:f>SUMIFS('Revenue_Model'!$V$5:$V$2084,'Revenue_Model'!$B$5:$B$2084,G$4)</x:f>
        <x:v>235.4333664500001</x:v>
      </x:c>
      <x:c r="H11" s="49" t="n">
        <x:f>SUMIFS('Revenue_Model'!$V$5:$V$2084,'Revenue_Model'!$B$5:$B$2084,H$4)</x:f>
        <x:v>191.42448674999997</x:v>
      </x:c>
      <x:c r="I11" s="49" t="n">
        <x:f>SUMIFS('Revenue_Model'!$V$5:$V$2084,'Revenue_Model'!$B$5:$B$2084,I$4)</x:f>
        <x:v>188.39995489999998</x:v>
      </x:c>
      <x:c r="J11" s="49" t="n">
        <x:f>SUMIFS('Revenue_Model'!$V$5:$V$2084,'Revenue_Model'!$B$5:$B$2084,J$4)</x:f>
        <x:v>234.8768838999999</x:v>
      </x:c>
      <x:c r="K11" s="49" t="n">
        <x:f>SUMIFS('Revenue_Model'!$V$5:$V$2084,'Revenue_Model'!$B$5:$B$2084,K$4)</x:f>
        <x:v>193.41236370000004</x:v>
      </x:c>
      <x:c r="L11" s="49" t="n">
        <x:f>SUMIFS('Revenue_Model'!$V$5:$V$2084,'Revenue_Model'!$B$5:$B$2084,L$4)</x:f>
        <x:v>199.87287629999997</x:v>
      </x:c>
      <x:c r="M11" s="49" t="n">
        <x:f>SUMIFS('Revenue_Model'!$V$5:$V$2084,'Revenue_Model'!$B$5:$B$2084,M$4)</x:f>
        <x:v>255.91660025000007</x:v>
      </x:c>
      <x:c r="N11" s="49" t="n">
        <x:f>SUMIFS('Revenue_Model'!$V$5:$V$2084,'Revenue_Model'!$B$5:$B$2084,N$4)</x:f>
        <x:v>240.47031799999996</x:v>
      </x:c>
      <x:c r="O11" s="49" t="n">
        <x:f>SUMIFS('Revenue_Model'!$V$5:$V$2084,'Revenue_Model'!$B$5:$B$2084,O$4)</x:f>
        <x:v>236.3245147999999</x:v>
      </x:c>
      <x:c r="P11" s="49" t="n">
        <x:f>SUMIFS('Revenue_Model'!$V$5:$V$2084,'Revenue_Model'!$B$5:$B$2084,P$4)</x:f>
        <x:v>293.5999689999998</x:v>
      </x:c>
      <x:c r="Q11" s="49" t="n">
        <x:f>SUMIFS('Revenue_Model'!$V$5:$V$2084,'Revenue_Model'!$B$5:$B$2084,Q$4)</x:f>
        <x:v>238.73445799999988</x:v>
      </x:c>
      <x:c r="R11" s="49" t="n">
        <x:f>SUMIFS('Revenue_Model'!$V$5:$V$2084,'Revenue_Model'!$B$5:$B$2084,R$4)</x:f>
        <x:v>247.5833623999999</x:v>
      </x:c>
      <x:c r="S11" s="49" t="n">
        <x:f>SUMIFS('Revenue_Model'!$V$5:$V$2084,'Revenue_Model'!$B$5:$B$2084,S$4)</x:f>
        <x:v>317.90184100000005</x:v>
      </x:c>
      <x:c r="T11" s="49" t="n">
        <x:f>SUMIFS('Revenue_Model'!$V$5:$V$2084,'Revenue_Model'!$B$5:$B$2084,T$4)</x:f>
        <x:v>254.04237439999991</x:v>
      </x:c>
      <x:c r="U11" s="49" t="n">
        <x:f>SUMIFS('Revenue_Model'!$V$5:$V$2084,'Revenue_Model'!$B$5:$B$2084,U$4)</x:f>
        <x:v>307.650523</x:v>
      </x:c>
      <x:c r="V11" s="49" t="n">
        <x:f>SUMIFS('Revenue_Model'!$V$5:$V$2084,'Revenue_Model'!$B$5:$B$2084,V$4)</x:f>
        <x:v>196.84222999999994</x:v>
      </x:c>
      <x:c r="W11" s="49" t="n">
        <x:f>SUMIFS('Revenue_Model'!$V$5:$V$2084,'Revenue_Model'!$B$5:$B$2084,W$4)</x:f>
        <x:v>204.58298959999996</x:v>
      </x:c>
      <x:c r="X11" s="49" t="n">
        <x:f>SUMIFS('Revenue_Model'!$V$5:$V$2084,'Revenue_Model'!$B$5:$B$2084,X$4)</x:f>
        <x:v>267.0433165</x:v>
      </x:c>
      <x:c r="Y11" s="49" t="n">
        <x:f>SUMIFS('Revenue_Model'!$V$5:$V$2084,'Revenue_Model'!$B$5:$B$2084,Y$4)</x:f>
        <x:v>159.62926399999995</x:v>
      </x:c>
    </x:row>
    <x:row r="12">
      <x:c r="A12" t="str">
        <x:v>COGS</x:v>
      </x:c>
      <x:c r="B12" s="49" t="n">
        <x:f>SUMIFS('Revenue_Model'!$W$5:$W$2084,'Revenue_Model'!$B$5:$B$2084,B$4)</x:f>
        <x:v>66.61466</x:v>
      </x:c>
      <x:c r="C12" s="49" t="n">
        <x:f>SUMIFS('Revenue_Model'!$W$5:$W$2084,'Revenue_Model'!$B$5:$B$2084,C$4)</x:f>
        <x:v>66.36898999999998</x:v>
      </x:c>
      <x:c r="D12" s="49" t="n">
        <x:f>SUMIFS('Revenue_Model'!$W$5:$W$2084,'Revenue_Model'!$B$5:$B$2084,D$4)</x:f>
        <x:v>83.69900999999999</x:v>
      </x:c>
      <x:c r="E12" s="49" t="n">
        <x:f>SUMIFS('Revenue_Model'!$W$5:$W$2084,'Revenue_Model'!$B$5:$B$2084,E$4)</x:f>
        <x:v>69.19372</x:v>
      </x:c>
      <x:c r="F12" s="49" t="n">
        <x:f>SUMIFS('Revenue_Model'!$W$5:$W$2084,'Revenue_Model'!$B$5:$B$2084,F$4)</x:f>
        <x:v>72.92153999999998</x:v>
      </x:c>
      <x:c r="G12" s="49" t="n">
        <x:f>SUMIFS('Revenue_Model'!$W$5:$W$2084,'Revenue_Model'!$B$5:$B$2084,G$4)</x:f>
        <x:v>95.28647999999994</x:v>
      </x:c>
      <x:c r="H12" s="49" t="n">
        <x:f>SUMIFS('Revenue_Model'!$W$5:$W$2084,'Revenue_Model'!$B$5:$B$2084,H$4)</x:f>
        <x:v>77.51609</x:v>
      </x:c>
      <x:c r="I12" s="49" t="n">
        <x:f>SUMIFS('Revenue_Model'!$W$5:$W$2084,'Revenue_Model'!$B$5:$B$2084,I$4)</x:f>
        <x:v>76.34341</x:v>
      </x:c>
      <x:c r="J12" s="49" t="n">
        <x:f>SUMIFS('Revenue_Model'!$W$5:$W$2084,'Revenue_Model'!$B$5:$B$2084,J$4)</x:f>
        <x:v>95.34591</x:v>
      </x:c>
      <x:c r="K12" s="49" t="n">
        <x:f>SUMIFS('Revenue_Model'!$W$5:$W$2084,'Revenue_Model'!$B$5:$B$2084,K$4)</x:f>
        <x:v>78.86188999999997</x:v>
      </x:c>
      <x:c r="L12" s="49" t="n">
        <x:f>SUMIFS('Revenue_Model'!$W$5:$W$2084,'Revenue_Model'!$B$5:$B$2084,L$4)</x:f>
        <x:v>81.93107999999995</x:v>
      </x:c>
      <x:c r="M12" s="49" t="n">
        <x:f>SUMIFS('Revenue_Model'!$W$5:$W$2084,'Revenue_Model'!$B$5:$B$2084,M$4)</x:f>
        <x:v>105.17938</x:v>
      </x:c>
      <x:c r="N12" s="49" t="n">
        <x:f>SUMIFS('Revenue_Model'!$W$5:$W$2084,'Revenue_Model'!$B$5:$B$2084,N$4)</x:f>
        <x:v>98.09159999999997</x:v>
      </x:c>
      <x:c r="O12" s="49" t="n">
        <x:f>SUMIFS('Revenue_Model'!$W$5:$W$2084,'Revenue_Model'!$B$5:$B$2084,O$4)</x:f>
        <x:v>96.05791999999998</x:v>
      </x:c>
      <x:c r="P12" s="49" t="n">
        <x:f>SUMIFS('Revenue_Model'!$W$5:$W$2084,'Revenue_Model'!$B$5:$B$2084,P$4)</x:f>
        <x:v>118.92619999999998</x:v>
      </x:c>
      <x:c r="Q12" s="49" t="n">
        <x:f>SUMIFS('Revenue_Model'!$W$5:$W$2084,'Revenue_Model'!$B$5:$B$2084,Q$4)</x:f>
        <x:v>96.53263999999999</x:v>
      </x:c>
      <x:c r="R12" s="49" t="n">
        <x:f>SUMIFS('Revenue_Model'!$W$5:$W$2084,'Revenue_Model'!$B$5:$B$2084,R$4)</x:f>
        <x:v>100.15619999999997</x:v>
      </x:c>
      <x:c r="S12" s="49" t="n">
        <x:f>SUMIFS('Revenue_Model'!$W$5:$W$2084,'Revenue_Model'!$B$5:$B$2084,S$4)</x:f>
        <x:v>128.6505</x:v>
      </x:c>
      <x:c r="T12" s="49" t="n">
        <x:f>SUMIFS('Revenue_Model'!$W$5:$W$2084,'Revenue_Model'!$B$5:$B$2084,T$4)</x:f>
        <x:v>102.86519999999996</x:v>
      </x:c>
      <x:c r="U12" s="49" t="n">
        <x:f>SUMIFS('Revenue_Model'!$W$5:$W$2084,'Revenue_Model'!$B$5:$B$2084,U$4)</x:f>
        <x:v>124.63959999999999</x:v>
      </x:c>
      <x:c r="V12" s="49" t="n">
        <x:f>SUMIFS('Revenue_Model'!$W$5:$W$2084,'Revenue_Model'!$B$5:$B$2084,V$4)</x:f>
        <x:v>79.3294</x:v>
      </x:c>
      <x:c r="W12" s="49" t="n">
        <x:f>SUMIFS('Revenue_Model'!$W$5:$W$2084,'Revenue_Model'!$B$5:$B$2084,W$4)</x:f>
        <x:v>82.99296</x:v>
      </x:c>
      <x:c r="X12" s="49" t="n">
        <x:f>SUMIFS('Revenue_Model'!$W$5:$W$2084,'Revenue_Model'!$B$5:$B$2084,X$4)</x:f>
        <x:v>109.07249999999999</x:v>
      </x:c>
      <x:c r="Y12" s="49" t="n">
        <x:f>SUMIFS('Revenue_Model'!$W$5:$W$2084,'Revenue_Model'!$B$5:$B$2084,Y$4)</x:f>
        <x:v>61.77711999999999</x:v>
      </x:c>
    </x:row>
    <x:row r="13">
      <x:c r="A13" t="str">
        <x:v>Gross Profit</x:v>
      </x:c>
      <x:c r="B13" s="49" t="n">
        <x:f>B11-B12</x:f>
        <x:v>96.72990379999997</x:v>
      </x:c>
      <x:c r="C13" s="49" t="n">
        <x:f>C11-C12</x:f>
        <x:v>96.91597425000002</x:v>
      </x:c>
      <x:c r="D13" s="49" t="n">
        <x:f>D11-D12</x:f>
        <x:v>122.93876075</x:v>
      </x:c>
      <x:c r="E13" s="49" t="n">
        <x:f>E11-E12</x:f>
        <x:v>101.88657389999996</x:v>
      </x:c>
      <x:c r="F13" s="49" t="n">
        <x:f>F11-F12</x:f>
        <x:v>107.34220230000004</x:v>
      </x:c>
      <x:c r="G13" s="49" t="n">
        <x:f>G11-G12</x:f>
        <x:v>140.14688645000018</x:v>
      </x:c>
      <x:c r="H13" s="49" t="n">
        <x:f>H11-H12</x:f>
        <x:v>113.90839674999997</x:v>
      </x:c>
      <x:c r="I13" s="49" t="n">
        <x:f>I11-I12</x:f>
        <x:v>112.05654489999998</x:v>
      </x:c>
      <x:c r="J13" s="49" t="n">
        <x:f>J11-J12</x:f>
        <x:v>139.5309738999999</x:v>
      </x:c>
      <x:c r="K13" s="49" t="n">
        <x:f>K11-K12</x:f>
        <x:v>114.55047370000007</x:v>
      </x:c>
      <x:c r="L13" s="49" t="n">
        <x:f>L11-L12</x:f>
        <x:v>117.94179630000002</x:v>
      </x:c>
      <x:c r="M13" s="49" t="n">
        <x:f>M11-M12</x:f>
        <x:v>150.73722025000006</x:v>
      </x:c>
      <x:c r="N13" s="49" t="n">
        <x:f>N11-N12</x:f>
        <x:v>142.378718</x:v>
      </x:c>
      <x:c r="O13" s="49" t="n">
        <x:f>O11-O12</x:f>
        <x:v>140.2665947999999</x:v>
      </x:c>
      <x:c r="P13" s="49" t="n">
        <x:f>P11-P12</x:f>
        <x:v>174.67376899999982</x:v>
      </x:c>
      <x:c r="Q13" s="49" t="n">
        <x:f>Q11-Q12</x:f>
        <x:v>142.2018179999999</x:v>
      </x:c>
      <x:c r="R13" s="49" t="n">
        <x:f>R11-R12</x:f>
        <x:v>147.42716239999993</x:v>
      </x:c>
      <x:c r="S13" s="49" t="n">
        <x:f>S11-S12</x:f>
        <x:v>189.25134100000005</x:v>
      </x:c>
      <x:c r="T13" s="49" t="n">
        <x:f>T11-T12</x:f>
        <x:v>151.17717439999996</x:v>
      </x:c>
      <x:c r="U13" s="49" t="n">
        <x:f>U11-U12</x:f>
        <x:v>183.01092300000005</x:v>
      </x:c>
      <x:c r="V13" s="49" t="n">
        <x:f>V11-V12</x:f>
        <x:v>117.51282999999994</x:v>
      </x:c>
      <x:c r="W13" s="49" t="n">
        <x:f>W11-W12</x:f>
        <x:v>121.59002959999997</x:v>
      </x:c>
      <x:c r="X13" s="49" t="n">
        <x:f>X11-X12</x:f>
        <x:v>157.9708165</x:v>
      </x:c>
      <x:c r="Y13" s="49" t="n">
        <x:f>Y11-Y12</x:f>
        <x:v>97.85214399999995</x:v>
      </x:c>
    </x:row>
    <x:row r="14">
      <x:c r="A14" t="str">
        <x:v>Gross Margin %</x:v>
      </x:c>
      <x:c r="B14" s="50" t="n">
        <x:f>IF(B11=0,0,B13/B11)</x:f>
        <x:v>0.5921831835091654</x:v>
      </x:c>
      <x:c r="C14" s="50" t="n">
        <x:f>IF(C11=0,0,C13/C11)</x:f>
        <x:v>0.5935388766207236</x:v>
      </x:c>
      <x:c r="D14" s="50" t="n">
        <x:f>IF(D11=0,0,D13/D11)</x:f>
        <x:v>0.5949481563984594</x:v>
      </x:c>
      <x:c r="E14" s="50" t="n">
        <x:f>IF(E11=0,0,E13/E11)</x:f>
        <x:v>0.5955482748910568</x:v>
      </x:c>
      <x:c r="F14" s="50" t="n">
        <x:f>IF(F11=0,0,F13/F11)</x:f>
        <x:v>0.5954730603637315</x:v>
      </x:c>
      <x:c r="G14" s="50" t="n">
        <x:f>IF(G11=0,0,G13/G11)</x:f>
        <x:v>0.5952719810416665</x:v>
      </x:c>
      <x:c r="H14" s="50" t="n">
        <x:f>IF(H11=0,0,H13/H11)</x:f>
        <x:v>0.5950565608608063</x:v>
      </x:c>
      <x:c r="I14" s="50" t="n">
        <x:f>IF(I11=0,0,I13/I11)</x:f>
        <x:v>0.5947801046952373</x:v>
      </x:c>
      <x:c r="J14" s="50" t="n">
        <x:f>IF(J11=0,0,J13/J11)</x:f>
        <x:v>0.5940600521565416</x:v>
      </x:c>
      <x:c r="K14" s="50" t="n">
        <x:f>IF(K11=0,0,K13/K11)</x:f>
        <x:v>0.5922603473151187</x:v>
      </x:c>
      <x:c r="L14" s="50" t="n">
        <x:f>IF(L11=0,0,L13/L11)</x:f>
        <x:v>0.5900840498386325</x:v>
      </x:c>
      <x:c r="M14" s="50" t="n">
        <x:f>IF(M11=0,0,M13/M11)</x:f>
        <x:v>0.5890091541648635</x:v>
      </x:c>
      <x:c r="N14" s="50" t="n">
        <x:f>IF(N11=0,0,N13/N11)</x:f>
        <x:v>0.5920843752533317</x:v>
      </x:c>
      <x:c r="O14" s="50" t="n">
        <x:f>IF(O11=0,0,O13/O11)</x:f>
        <x:v>0.5935338317258653</x:v>
      </x:c>
      <x:c r="P14" s="50" t="n">
        <x:f>IF(P11=0,0,P13/P11)</x:f>
        <x:v>0.594937968130371</x:v>
      </x:c>
      <x:c r="Q14" s="50" t="n">
        <x:f>IF(Q11=0,0,Q13/Q11)</x:f>
        <x:v>0.5956484840575463</x:v>
      </x:c>
      <x:c r="R14" s="50" t="n">
        <x:f>IF(R11=0,0,R13/R11)</x:f>
        <x:v>0.5954647395159538</x:v>
      </x:c>
      <x:c r="S14" s="50" t="n">
        <x:f>IF(S11=0,0,S13/S11)</x:f>
        <x:v>0.5953137622754441</x:v>
      </x:c>
      <x:c r="T14" s="50" t="n">
        <x:f>IF(T11=0,0,T13/T11)</x:f>
        <x:v>0.5950864486960172</x:v>
      </x:c>
      <x:c r="U14" s="50" t="n">
        <x:f>IF(U11=0,0,U13/U11)</x:f>
        <x:v>0.5948662827399127</x:v>
      </x:c>
      <x:c r="V14" s="50" t="n">
        <x:f>IF(V11=0,0,V13/V11)</x:f>
        <x:v>0.5969899345277686</x:v>
      </x:c>
      <x:c r="W14" s="50" t="n">
        <x:f>IF(W11=0,0,W13/W11)</x:f>
        <x:v>0.5943310821575754</x:v>
      </x:c>
      <x:c r="X14" s="50" t="n">
        <x:f>IF(X11=0,0,X13/X11)</x:f>
        <x:v>0.5915550277402281</x:v>
      </x:c>
      <x:c r="Y14" s="50" t="n">
        <x:f>IF(Y11=0,0,Y13/Y11)</x:f>
        <x:v>0.6129962736657107</x:v>
      </x:c>
    </x:row>
    <x:row r="15">
      <x:c r="A15" t="str">
        <x:v>Payment + Marketplace Fees</x:v>
      </x:c>
      <x:c r="B15" s="49" t="n">
        <x:f>SUMIFS('Revenue_Model'!$X$5:$X$2084,'Revenue_Model'!$B$5:$B$2084,B$4)+SUMIFS('Revenue_Model'!$Y$5:$Y$2084,'Revenue_Model'!$B$5:$B$2084,B$4)</x:f>
        <x:v>11.785862026200002</x:v>
      </x:c>
      <x:c r="C15" s="49" t="n">
        <x:f>SUMIFS('Revenue_Model'!$X$5:$X$2084,'Revenue_Model'!$B$5:$B$2084,C$4)+SUMIFS('Revenue_Model'!$Y$5:$Y$2084,'Revenue_Model'!$B$5:$B$2084,C$4)</x:f>
        <x:v>11.781299156</x:v>
      </x:c>
      <x:c r="D15" s="49" t="n">
        <x:f>SUMIFS('Revenue_Model'!$X$5:$X$2084,'Revenue_Model'!$B$5:$B$2084,D$4)+SUMIFS('Revenue_Model'!$Y$5:$Y$2084,'Revenue_Model'!$B$5:$B$2084,D$4)</x:f>
        <x:v>14.898403075</x:v>
      </x:c>
      <x:c r="E15" s="49" t="n">
        <x:f>SUMIFS('Revenue_Model'!$X$5:$X$2084,'Revenue_Model'!$B$5:$B$2084,E$4)+SUMIFS('Revenue_Model'!$Y$5:$Y$2084,'Revenue_Model'!$B$5:$B$2084,E$4)</x:f>
        <x:v>12.3362497196</x:v>
      </x:c>
      <x:c r="F15" s="49" t="n">
        <x:f>SUMIFS('Revenue_Model'!$X$5:$X$2084,'Revenue_Model'!$B$5:$B$2084,F$4)+SUMIFS('Revenue_Model'!$Y$5:$Y$2084,'Revenue_Model'!$B$5:$B$2084,F$4)</x:f>
        <x:v>12.9997516982</x:v>
      </x:c>
      <x:c r="G15" s="49" t="n">
        <x:f>SUMIFS('Revenue_Model'!$X$5:$X$2084,'Revenue_Model'!$B$5:$B$2084,G$4)+SUMIFS('Revenue_Model'!$Y$5:$Y$2084,'Revenue_Model'!$B$5:$B$2084,G$4)</x:f>
        <x:v>16.9760976153</x:v>
      </x:c>
      <x:c r="H15" s="49" t="n">
        <x:f>SUMIFS('Revenue_Model'!$X$5:$X$2084,'Revenue_Model'!$B$5:$B$2084,H$4)+SUMIFS('Revenue_Model'!$Y$5:$Y$2084,'Revenue_Model'!$B$5:$B$2084,H$4)</x:f>
        <x:v>13.798011566499998</x:v>
      </x:c>
      <x:c r="I15" s="49" t="n">
        <x:f>SUMIFS('Revenue_Model'!$X$5:$X$2084,'Revenue_Model'!$B$5:$B$2084,I$4)+SUMIFS('Revenue_Model'!$Y$5:$Y$2084,'Revenue_Model'!$B$5:$B$2084,I$4)</x:f>
        <x:v>13.585158801600002</x:v>
      </x:c>
      <x:c r="J15" s="49" t="n">
        <x:f>SUMIFS('Revenue_Model'!$X$5:$X$2084,'Revenue_Model'!$B$5:$B$2084,J$4)+SUMIFS('Revenue_Model'!$Y$5:$Y$2084,'Revenue_Model'!$B$5:$B$2084,J$4)</x:f>
        <x:v>16.9392883086</x:v>
      </x:c>
      <x:c r="K15" s="49" t="n">
        <x:f>SUMIFS('Revenue_Model'!$X$5:$X$2084,'Revenue_Model'!$B$5:$B$2084,K$4)+SUMIFS('Revenue_Model'!$Y$5:$Y$2084,'Revenue_Model'!$B$5:$B$2084,K$4)</x:f>
        <x:v>13.950386075800001</x:v>
      </x:c>
      <x:c r="L15" s="49" t="n">
        <x:f>SUMIFS('Revenue_Model'!$X$5:$X$2084,'Revenue_Model'!$B$5:$B$2084,L$4)+SUMIFS('Revenue_Model'!$Y$5:$Y$2084,'Revenue_Model'!$B$5:$B$2084,L$4)</x:f>
        <x:v>14.413686814200005</x:v>
      </x:c>
      <x:c r="M15" s="49" t="n">
        <x:f>SUMIFS('Revenue_Model'!$X$5:$X$2084,'Revenue_Model'!$B$5:$B$2084,M$4)+SUMIFS('Revenue_Model'!$Y$5:$Y$2084,'Revenue_Model'!$B$5:$B$2084,M$4)</x:f>
        <x:v>18.459694516499997</x:v>
      </x:c>
      <x:c r="N15" s="49" t="n">
        <x:f>SUMIFS('Revenue_Model'!$X$5:$X$2084,'Revenue_Model'!$B$5:$B$2084,N$4)+SUMIFS('Revenue_Model'!$Y$5:$Y$2084,'Revenue_Model'!$B$5:$B$2084,N$4)</x:f>
        <x:v>17.344101818</x:v>
      </x:c>
      <x:c r="O15" s="49" t="n">
        <x:f>SUMIFS('Revenue_Model'!$X$5:$X$2084,'Revenue_Model'!$B$5:$B$2084,O$4)+SUMIFS('Revenue_Model'!$Y$5:$Y$2084,'Revenue_Model'!$B$5:$B$2084,O$4)</x:f>
        <x:v>17.056272357199997</x:v>
      </x:c>
      <x:c r="P15" s="49" t="n">
        <x:f>SUMIFS('Revenue_Model'!$X$5:$X$2084,'Revenue_Model'!$B$5:$B$2084,P$4)+SUMIFS('Revenue_Model'!$Y$5:$Y$2084,'Revenue_Model'!$B$5:$B$2084,P$4)</x:f>
        <x:v>21.180957293499997</x:v>
      </x:c>
      <x:c r="Q15" s="49" t="n">
        <x:f>SUMIFS('Revenue_Model'!$X$5:$X$2084,'Revenue_Model'!$B$5:$B$2084,Q$4)+SUMIFS('Revenue_Model'!$Y$5:$Y$2084,'Revenue_Model'!$B$5:$B$2084,Q$4)</x:f>
        <x:v>17.229427117999997</x:v>
      </x:c>
      <x:c r="R15" s="49" t="n">
        <x:f>SUMIFS('Revenue_Model'!$X$5:$X$2084,'Revenue_Model'!$B$5:$B$2084,R$4)+SUMIFS('Revenue_Model'!$Y$5:$Y$2084,'Revenue_Model'!$B$5:$B$2084,R$4)</x:f>
        <x:v>17.8588603196</x:v>
      </x:c>
      <x:c r="S15" s="49" t="n">
        <x:f>SUMIFS('Revenue_Model'!$X$5:$X$2084,'Revenue_Model'!$B$5:$B$2084,S$4)+SUMIFS('Revenue_Model'!$Y$5:$Y$2084,'Revenue_Model'!$B$5:$B$2084,S$4)</x:f>
        <x:v>22.928830406499998</x:v>
      </x:c>
      <x:c r="T15" s="49" t="n">
        <x:f>SUMIFS('Revenue_Model'!$X$5:$X$2084,'Revenue_Model'!$B$5:$B$2084,T$4)+SUMIFS('Revenue_Model'!$Y$5:$Y$2084,'Revenue_Model'!$B$5:$B$2084,T$4)</x:f>
        <x:v>18.323197367600002</x:v>
      </x:c>
      <x:c r="U15" s="49" t="n">
        <x:f>SUMIFS('Revenue_Model'!$X$5:$X$2084,'Revenue_Model'!$B$5:$B$2084,U$4)+SUMIFS('Revenue_Model'!$Y$5:$Y$2084,'Revenue_Model'!$B$5:$B$2084,U$4)</x:f>
        <x:v>22.196661899500004</x:v>
      </x:c>
      <x:c r="V15" s="49" t="n">
        <x:f>SUMIFS('Revenue_Model'!$X$5:$X$2084,'Revenue_Model'!$B$5:$B$2084,V$4)+SUMIFS('Revenue_Model'!$Y$5:$Y$2084,'Revenue_Model'!$B$5:$B$2084,V$4)</x:f>
        <x:v>14.211340718000002</x:v>
      </x:c>
      <x:c r="W15" s="49" t="n">
        <x:f>SUMIFS('Revenue_Model'!$X$5:$X$2084,'Revenue_Model'!$B$5:$B$2084,W$4)+SUMIFS('Revenue_Model'!$Y$5:$Y$2084,'Revenue_Model'!$B$5:$B$2084,W$4)</x:f>
        <x:v>14.763053944400001</x:v>
      </x:c>
      <x:c r="X15" s="49" t="n">
        <x:f>SUMIFS('Revenue_Model'!$X$5:$X$2084,'Revenue_Model'!$B$5:$B$2084,X$4)+SUMIFS('Revenue_Model'!$Y$5:$Y$2084,'Revenue_Model'!$B$5:$B$2084,X$4)</x:f>
        <x:v>19.2733284235</x:v>
      </x:c>
      <x:c r="Y15" s="49" t="n">
        <x:f>SUMIFS('Revenue_Model'!$X$5:$X$2084,'Revenue_Model'!$B$5:$B$2084,Y$4)+SUMIFS('Revenue_Model'!$Y$5:$Y$2084,'Revenue_Model'!$B$5:$B$2084,Y$4)</x:f>
        <x:v>11.520247586000002</x:v>
      </x:c>
    </x:row>
    <x:row r="16">
      <x:c r="A16" t="str">
        <x:v>Outbound Shipping</x:v>
      </x:c>
      <x:c r="B16" s="49" t="n">
        <x:f>SUMIFS('Revenue_Model'!$Z$5:$Z$2084,'Revenue_Model'!$B$5:$B$2084,B$4)</x:f>
        <x:v>24.484300000000005</x:v>
      </x:c>
      <x:c r="C16" s="49" t="n">
        <x:f>SUMIFS('Revenue_Model'!$Z$5:$Z$2084,'Revenue_Model'!$B$5:$B$2084,C$4)</x:f>
        <x:v>24.4395</x:v>
      </x:c>
      <x:c r="D16" s="49" t="n">
        <x:f>SUMIFS('Revenue_Model'!$Z$5:$Z$2084,'Revenue_Model'!$B$5:$B$2084,D$4)</x:f>
        <x:v>30.795900000000014</x:v>
      </x:c>
      <x:c r="E16" s="49" t="n">
        <x:f>SUMIFS('Revenue_Model'!$Z$5:$Z$2084,'Revenue_Model'!$B$5:$B$2084,E$4)</x:f>
        <x:v>25.348299999999988</x:v>
      </x:c>
      <x:c r="F16" s="49" t="n">
        <x:f>SUMIFS('Revenue_Model'!$Z$5:$Z$2084,'Revenue_Model'!$B$5:$B$2084,F$4)</x:f>
        <x:v>26.509450000000005</x:v>
      </x:c>
      <x:c r="G16" s="49" t="n">
        <x:f>SUMIFS('Revenue_Model'!$Z$5:$Z$2084,'Revenue_Model'!$B$5:$B$2084,G$4)</x:f>
        <x:v>34.450999999999986</x:v>
      </x:c>
      <x:c r="H16" s="49" t="n">
        <x:f>SUMIFS('Revenue_Model'!$Z$5:$Z$2084,'Revenue_Model'!$B$5:$B$2084,H$4)</x:f>
        <x:v>28.034850000000006</x:v>
      </x:c>
      <x:c r="I16" s="49" t="n">
        <x:f>SUMIFS('Revenue_Model'!$Z$5:$Z$2084,'Revenue_Model'!$B$5:$B$2084,I$4)</x:f>
        <x:v>27.798099999999998</x:v>
      </x:c>
      <x:c r="J16" s="49" t="n">
        <x:f>SUMIFS('Revenue_Model'!$Z$5:$Z$2084,'Revenue_Model'!$B$5:$B$2084,J$4)</x:f>
        <x:v>34.907699999999984</x:v>
      </x:c>
      <x:c r="K16" s="49" t="n">
        <x:f>SUMIFS('Revenue_Model'!$Z$5:$Z$2084,'Revenue_Model'!$B$5:$B$2084,K$4)</x:f>
        <x:v>28.862399999999994</x:v>
      </x:c>
      <x:c r="L16" s="49" t="n">
        <x:f>SUMIFS('Revenue_Model'!$Z$5:$Z$2084,'Revenue_Model'!$B$5:$B$2084,L$4)</x:f>
        <x:v>29.94625000000001</x:v>
      </x:c>
      <x:c r="M16" s="49" t="n">
        <x:f>SUMIFS('Revenue_Model'!$Z$5:$Z$2084,'Revenue_Model'!$B$5:$B$2084,M$4)</x:f>
        <x:v>38.43580000000001</x:v>
      </x:c>
      <x:c r="N16" s="49" t="n">
        <x:f>SUMIFS('Revenue_Model'!$Z$5:$Z$2084,'Revenue_Model'!$B$5:$B$2084,N$4)</x:f>
        <x:v>36.046600000000005</x:v>
      </x:c>
      <x:c r="O16" s="49" t="n">
        <x:f>SUMIFS('Revenue_Model'!$Z$5:$Z$2084,'Revenue_Model'!$B$5:$B$2084,O$4)</x:f>
        <x:v>35.38400000000001</x:v>
      </x:c>
      <x:c r="P16" s="49" t="n">
        <x:f>SUMIFS('Revenue_Model'!$Z$5:$Z$2084,'Revenue_Model'!$B$5:$B$2084,P$4)</x:f>
        <x:v>43.778500000000015</x:v>
      </x:c>
      <x:c r="Q16" s="49" t="n">
        <x:f>SUMIFS('Revenue_Model'!$Z$5:$Z$2084,'Revenue_Model'!$B$5:$B$2084,Q$4)</x:f>
        <x:v>35.38400000000001</x:v>
      </x:c>
      <x:c r="R16" s="49" t="n">
        <x:f>SUMIFS('Revenue_Model'!$Z$5:$Z$2084,'Revenue_Model'!$B$5:$B$2084,R$4)</x:f>
        <x:v>36.42440000000001</x:v>
      </x:c>
      <x:c r="S16" s="49" t="n">
        <x:f>SUMIFS('Revenue_Model'!$Z$5:$Z$2084,'Revenue_Model'!$B$5:$B$2084,S$4)</x:f>
        <x:v>46.524</x:v>
      </x:c>
      <x:c r="T16" s="49" t="n">
        <x:f>SUMIFS('Revenue_Model'!$Z$5:$Z$2084,'Revenue_Model'!$B$5:$B$2084,T$4)</x:f>
        <x:v>37.219200000000015</x:v>
      </x:c>
      <x:c r="U16" s="49" t="n">
        <x:f>SUMIFS('Revenue_Model'!$Z$5:$Z$2084,'Revenue_Model'!$B$5:$B$2084,U$4)</x:f>
        <x:v>45.41675000000002</x:v>
      </x:c>
      <x:c r="V16" s="49" t="n">
        <x:f>SUMIFS('Revenue_Model'!$Z$5:$Z$2084,'Revenue_Model'!$B$5:$B$2084,V$4)</x:f>
        <x:v>30.408400000000015</x:v>
      </x:c>
      <x:c r="W16" s="49" t="n">
        <x:f>SUMIFS('Revenue_Model'!$Z$5:$Z$2084,'Revenue_Model'!$B$5:$B$2084,W$4)</x:f>
        <x:v>31.590200000000017</x:v>
      </x:c>
      <x:c r="X16" s="49" t="n">
        <x:f>SUMIFS('Revenue_Model'!$Z$5:$Z$2084,'Revenue_Model'!$B$5:$B$2084,X$4)</x:f>
        <x:v>41.21900000000001</x:v>
      </x:c>
      <x:c r="Y16" s="49" t="n">
        <x:f>SUMIFS('Revenue_Model'!$Z$5:$Z$2084,'Revenue_Model'!$B$5:$B$2084,Y$4)</x:f>
        <x:v>24.721200000000014</x:v>
      </x:c>
    </x:row>
    <x:row r="17">
      <x:c r="A17" t="str">
        <x:v>Pick/Pack</x:v>
      </x:c>
      <x:c r="B17" s="49" t="n">
        <x:f>SUMIFS('Revenue_Model'!$AA$5:$AA$2084,'Revenue_Model'!$B$5:$B$2084,B$4)</x:f>
        <x:v>9.647149999999996</x:v>
      </x:c>
      <x:c r="C17" s="49" t="n">
        <x:f>SUMIFS('Revenue_Model'!$AA$5:$AA$2084,'Revenue_Model'!$B$5:$B$2084,C$4)</x:f>
        <x:v>9.629349999999995</x:v>
      </x:c>
      <x:c r="D17" s="49" t="n">
        <x:f>SUMIFS('Revenue_Model'!$AA$5:$AA$2084,'Revenue_Model'!$B$5:$B$2084,D$4)</x:f>
        <x:v>12.132699999999994</x:v>
      </x:c>
      <x:c r="E17" s="49" t="n">
        <x:f>SUMIFS('Revenue_Model'!$AA$5:$AA$2084,'Revenue_Model'!$B$5:$B$2084,E$4)</x:f>
        <x:v>9.9874</x:v>
      </x:c>
      <x:c r="F17" s="49" t="n">
        <x:f>SUMIFS('Revenue_Model'!$AA$5:$AA$2084,'Revenue_Model'!$B$5:$B$2084,F$4)</x:f>
        <x:v>10.44475</x:v>
      </x:c>
      <x:c r="G17" s="49" t="n">
        <x:f>SUMIFS('Revenue_Model'!$AA$5:$AA$2084,'Revenue_Model'!$B$5:$B$2084,G$4)</x:f>
        <x:v>13.573000000000008</x:v>
      </x:c>
      <x:c r="H17" s="49" t="n">
        <x:f>SUMIFS('Revenue_Model'!$AA$5:$AA$2084,'Revenue_Model'!$B$5:$B$2084,H$4)</x:f>
        <x:v>11.046250000000002</x:v>
      </x:c>
      <x:c r="I17" s="49" t="n">
        <x:f>SUMIFS('Revenue_Model'!$AA$5:$AA$2084,'Revenue_Model'!$B$5:$B$2084,I$4)</x:f>
        <x:v>10.952400000000004</x:v>
      </x:c>
      <x:c r="J17" s="49" t="n">
        <x:f>SUMIFS('Revenue_Model'!$AA$5:$AA$2084,'Revenue_Model'!$B$5:$B$2084,J$4)</x:f>
        <x:v>13.75365</x:v>
      </x:c>
      <x:c r="K17" s="49" t="n">
        <x:f>SUMIFS('Revenue_Model'!$AA$5:$AA$2084,'Revenue_Model'!$B$5:$B$2084,K$4)</x:f>
        <x:v>11.371350000000007</x:v>
      </x:c>
      <x:c r="L17" s="49" t="n">
        <x:f>SUMIFS('Revenue_Model'!$AA$5:$AA$2084,'Revenue_Model'!$B$5:$B$2084,L$4)</x:f>
        <x:v>11.798600000000002</x:v>
      </x:c>
      <x:c r="M17" s="49" t="n">
        <x:f>SUMIFS('Revenue_Model'!$AA$5:$AA$2084,'Revenue_Model'!$B$5:$B$2084,M$4)</x:f>
        <x:v>15.144099999999996</x:v>
      </x:c>
      <x:c r="N17" s="49" t="n">
        <x:f>SUMIFS('Revenue_Model'!$AA$5:$AA$2084,'Revenue_Model'!$B$5:$B$2084,N$4)</x:f>
        <x:v>14.203200000000002</x:v>
      </x:c>
      <x:c r="O17" s="49" t="n">
        <x:f>SUMIFS('Revenue_Model'!$AA$5:$AA$2084,'Revenue_Model'!$B$5:$B$2084,O$4)</x:f>
        <x:v>13.941599999999994</x:v>
      </x:c>
      <x:c r="P17" s="49" t="n">
        <x:f>SUMIFS('Revenue_Model'!$AA$5:$AA$2084,'Revenue_Model'!$B$5:$B$2084,P$4)</x:f>
        <x:v>17.249500000000005</x:v>
      </x:c>
      <x:c r="Q17" s="49" t="n">
        <x:f>SUMIFS('Revenue_Model'!$AA$5:$AA$2084,'Revenue_Model'!$B$5:$B$2084,Q$4)</x:f>
        <x:v>13.941599999999996</x:v>
      </x:c>
      <x:c r="R17" s="49" t="n">
        <x:f>SUMIFS('Revenue_Model'!$AA$5:$AA$2084,'Revenue_Model'!$B$5:$B$2084,R$4)</x:f>
        <x:v>14.351799999999997</x:v>
      </x:c>
      <x:c r="S17" s="49" t="n">
        <x:f>SUMIFS('Revenue_Model'!$AA$5:$AA$2084,'Revenue_Model'!$B$5:$B$2084,S$4)</x:f>
        <x:v>18.3305</x:v>
      </x:c>
      <x:c r="T17" s="49" t="n">
        <x:f>SUMIFS('Revenue_Model'!$AA$5:$AA$2084,'Revenue_Model'!$B$5:$B$2084,T$4)</x:f>
        <x:v>14.664399999999999</x:v>
      </x:c>
      <x:c r="U17" s="49" t="n">
        <x:f>SUMIFS('Revenue_Model'!$AA$5:$AA$2084,'Revenue_Model'!$B$5:$B$2084,U$4)</x:f>
        <x:v>17.895500000000002</x:v>
      </x:c>
      <x:c r="V17" s="49" t="n">
        <x:f>SUMIFS('Revenue_Model'!$AA$5:$AA$2084,'Revenue_Model'!$B$5:$B$2084,V$4)</x:f>
        <x:v>11.9822</x:v>
      </x:c>
      <x:c r="W17" s="49" t="n">
        <x:f>SUMIFS('Revenue_Model'!$AA$5:$AA$2084,'Revenue_Model'!$B$5:$B$2084,W$4)</x:f>
        <x:v>12.446800000000005</x:v>
      </x:c>
      <x:c r="X17" s="49" t="n">
        <x:f>SUMIFS('Revenue_Model'!$AA$5:$AA$2084,'Revenue_Model'!$B$5:$B$2084,X$4)</x:f>
        <x:v>16.240499999999994</x:v>
      </x:c>
      <x:c r="Y17" s="49" t="n">
        <x:f>SUMIFS('Revenue_Model'!$AA$5:$AA$2084,'Revenue_Model'!$B$5:$B$2084,Y$4)</x:f>
        <x:v>9.740799999999998</x:v>
      </x:c>
    </x:row>
    <x:row r="18">
      <x:c r="A18" t="str">
        <x:v>Warranty</x:v>
      </x:c>
      <x:c r="B18" s="49" t="n">
        <x:f>SUMIFS('Revenue_Model'!$AB$5:$AB$2084,'Revenue_Model'!$B$5:$B$2084,B$4)</x:f>
        <x:v>0.1400112</x:v>
      </x:c>
      <x:c r="C18" s="49" t="n">
        <x:f>SUMIFS('Revenue_Model'!$AB$5:$AB$2084,'Revenue_Model'!$B$5:$B$2084,C$4)</x:f>
        <x:v>0.1360008</x:v>
      </x:c>
      <x:c r="D18" s="49" t="n">
        <x:f>SUMIFS('Revenue_Model'!$AB$5:$AB$2084,'Revenue_Model'!$B$5:$B$2084,D$4)</x:f>
        <x:v>0.16592880000000002</x:v>
      </x:c>
      <x:c r="E18" s="49" t="n">
        <x:f>SUMIFS('Revenue_Model'!$AB$5:$AB$2084,'Revenue_Model'!$B$5:$B$2084,E$4)</x:f>
        <x:v>0.1343232</x:v>
      </x:c>
      <x:c r="F18" s="49" t="n">
        <x:f>SUMIFS('Revenue_Model'!$AB$5:$AB$2084,'Revenue_Model'!$B$5:$B$2084,F$4)</x:f>
        <x:v>0.13997679999999996</x:v>
      </x:c>
      <x:c r="G18" s="49" t="n">
        <x:f>SUMIFS('Revenue_Model'!$AB$5:$AB$2084,'Revenue_Model'!$B$5:$B$2084,G$4)</x:f>
        <x:v>0.18184119999999993</x:v>
      </x:c>
      <x:c r="H18" s="49" t="n">
        <x:f>SUMIFS('Revenue_Model'!$AB$5:$AB$2084,'Revenue_Model'!$B$5:$B$2084,H$4)</x:f>
        <x:v>0.14883560000000004</x:v>
      </x:c>
      <x:c r="I18" s="49" t="n">
        <x:f>SUMIFS('Revenue_Model'!$AB$5:$AB$2084,'Revenue_Model'!$B$5:$B$2084,I$4)</x:f>
        <x:v>0.14911760000000002</x:v>
      </x:c>
      <x:c r="J18" s="49" t="n">
        <x:f>SUMIFS('Revenue_Model'!$AB$5:$AB$2084,'Revenue_Model'!$B$5:$B$2084,J$4)</x:f>
        <x:v>0.19118400000000005</x:v>
      </x:c>
      <x:c r="K18" s="49" t="n">
        <x:f>SUMIFS('Revenue_Model'!$AB$5:$AB$2084,'Revenue_Model'!$B$5:$B$2084,K$4)</x:f>
        <x:v>0.16418200000000002</x:v>
      </x:c>
      <x:c r="L18" s="49" t="n">
        <x:f>SUMIFS('Revenue_Model'!$AB$5:$AB$2084,'Revenue_Model'!$B$5:$B$2084,L$4)</x:f>
        <x:v>0.17793879999999998</x:v>
      </x:c>
      <x:c r="M18" s="49" t="n">
        <x:f>SUMIFS('Revenue_Model'!$AB$5:$AB$2084,'Revenue_Model'!$B$5:$B$2084,M$4)</x:f>
        <x:v>0.23334880000000008</x:v>
      </x:c>
      <x:c r="N18" s="49" t="n">
        <x:f>SUMIFS('Revenue_Model'!$AB$5:$AB$2084,'Revenue_Model'!$B$5:$B$2084,N$4)</x:f>
        <x:v>0.20644319999999997</x:v>
      </x:c>
      <x:c r="O18" s="49" t="n">
        <x:f>SUMIFS('Revenue_Model'!$AB$5:$AB$2084,'Revenue_Model'!$B$5:$B$2084,O$4)</x:f>
        <x:v>0.19703519999999997</x:v>
      </x:c>
      <x:c r="P18" s="49" t="n">
        <x:f>SUMIFS('Revenue_Model'!$AB$5:$AB$2084,'Revenue_Model'!$B$5:$B$2084,P$4)</x:f>
        <x:v>0.23621399999999998</x:v>
      </x:c>
      <x:c r="Q18" s="49" t="n">
        <x:f>SUMIFS('Revenue_Model'!$AB$5:$AB$2084,'Revenue_Model'!$B$5:$B$2084,Q$4)</x:f>
        <x:v>0.18740320000000005</x:v>
      </x:c>
      <x:c r="R18" s="49" t="n">
        <x:f>SUMIFS('Revenue_Model'!$AB$5:$AB$2084,'Revenue_Model'!$B$5:$B$2084,R$4)</x:f>
        <x:v>0.1925552</x:v>
      </x:c>
      <x:c r="S18" s="49" t="n">
        <x:f>SUMIFS('Revenue_Model'!$AB$5:$AB$2084,'Revenue_Model'!$B$5:$B$2084,S$4)</x:f>
        <x:v>0.245594</x:v>
      </x:c>
      <x:c r="T18" s="49" t="n">
        <x:f>SUMIFS('Revenue_Model'!$AB$5:$AB$2084,'Revenue_Model'!$B$5:$B$2084,T$4)</x:f>
        <x:v>0.1975952</x:v>
      </x:c>
      <x:c r="U18" s="49" t="n">
        <x:f>SUMIFS('Revenue_Model'!$AB$5:$AB$2084,'Revenue_Model'!$B$5:$B$2084,U$4)</x:f>
        <x:v>0.24363400000000004</x:v>
      </x:c>
      <x:c r="V18" s="49" t="n">
        <x:f>SUMIFS('Revenue_Model'!$AB$5:$AB$2084,'Revenue_Model'!$B$5:$B$2084,V$4)</x:f>
        <x:v>0.1617552</x:v>
      </x:c>
      <x:c r="W18" s="49" t="n">
        <x:f>SUMIFS('Revenue_Model'!$AB$5:$AB$2084,'Revenue_Model'!$B$5:$B$2084,W$4)</x:f>
        <x:v>0.17676319999999995</x:v>
      </x:c>
      <x:c r="X18" s="49" t="n">
        <x:f>SUMIFS('Revenue_Model'!$AB$5:$AB$2084,'Revenue_Model'!$B$5:$B$2084,X$4)</x:f>
        <x:v>0.24279399999999998</x:v>
      </x:c>
      <x:c r="Y18" s="49" t="n">
        <x:f>SUMIFS('Revenue_Model'!$AB$5:$AB$2084,'Revenue_Model'!$B$5:$B$2084,Y$4)</x:f>
        <x:v>0.0898512</x:v>
      </x:c>
    </x:row>
    <x:row r="19">
      <x:c r="A19" t="str">
        <x:v>Contribution Margin</x:v>
      </x:c>
      <x:c r="B19" s="49" t="n">
        <x:f>B11-B12-B15-B16-B17-B18</x:f>
        <x:v>50.67258057379996</x:v>
      </x:c>
      <x:c r="C19" s="49" t="n">
        <x:f>C11-C12-C15-C16-C17-C18</x:f>
        <x:v>50.92982429400003</x:v>
      </x:c>
      <x:c r="D19" s="49" t="n">
        <x:f>D11-D12-D15-D16-D17-D18</x:f>
        <x:v>64.94582887499998</x:v>
      </x:c>
      <x:c r="E19" s="49" t="n">
        <x:f>E11-E12-E15-E16-E17-E18</x:f>
        <x:v>54.080300980399976</x:v>
      </x:c>
      <x:c r="F19" s="49" t="n">
        <x:f>F11-F12-F15-F16-F17-F18</x:f>
        <x:v>57.24827380180004</x:v>
      </x:c>
      <x:c r="G19" s="49" t="n">
        <x:f>G11-G12-G15-G16-G17-G18</x:f>
        <x:v>74.96494763470018</x:v>
      </x:c>
      <x:c r="H19" s="49" t="n">
        <x:f>H11-H12-H15-H16-H17-H18</x:f>
        <x:v>60.88044958349997</x:v>
      </x:c>
      <x:c r="I19" s="49" t="n">
        <x:f>I11-I12-I15-I16-I17-I18</x:f>
        <x:v>59.57176849839998</x:v>
      </x:c>
      <x:c r="J19" s="49" t="n">
        <x:f>J11-J12-J15-J16-J17-J18</x:f>
        <x:v>73.73915159139993</x:v>
      </x:c>
      <x:c r="K19" s="49" t="n">
        <x:f>K11-K12-K15-K16-K17-K18</x:f>
        <x:v>60.202155624200074</x:v>
      </x:c>
      <x:c r="L19" s="49" t="n">
        <x:f>L11-L12-L15-L16-L17-L18</x:f>
        <x:v>61.60532068580001</x:v>
      </x:c>
      <x:c r="M19" s="49" t="n">
        <x:f>M11-M12-M15-M16-M17-M18</x:f>
        <x:v>78.46427693350006</x:v>
      </x:c>
      <x:c r="N19" s="49" t="n">
        <x:f>N11-N12-N15-N16-N17-N18</x:f>
        <x:v>74.57837298199999</x:v>
      </x:c>
      <x:c r="O19" s="49" t="n">
        <x:f>O11-O12-O15-O16-O17-O18</x:f>
        <x:v>73.6876872427999</x:v>
      </x:c>
      <x:c r="P19" s="49" t="n">
        <x:f>P11-P12-P15-P16-P17-P18</x:f>
        <x:v>92.2285977064998</x:v>
      </x:c>
      <x:c r="Q19" s="49" t="n">
        <x:f>Q11-Q12-Q15-Q16-Q17-Q18</x:f>
        <x:v>75.45938768199989</x:v>
      </x:c>
      <x:c r="R19" s="49" t="n">
        <x:f>R11-R12-R15-R16-R17-R18</x:f>
        <x:v>78.5995468803999</x:v>
      </x:c>
      <x:c r="S19" s="49" t="n">
        <x:f>S11-S12-S15-S16-S17-S18</x:f>
        <x:v>101.22241659350006</x:v>
      </x:c>
      <x:c r="T19" s="49" t="n">
        <x:f>T11-T12-T15-T16-T17-T18</x:f>
        <x:v>80.77278183239993</x:v>
      </x:c>
      <x:c r="U19" s="49" t="n">
        <x:f>U11-U12-U15-U16-U17-U18</x:f>
        <x:v>97.25837710050001</x:v>
      </x:c>
      <x:c r="V19" s="49" t="n">
        <x:f>V11-V12-V15-V16-V17-V18</x:f>
        <x:v>60.74913408199992</x:v>
      </x:c>
      <x:c r="W19" s="49" t="n">
        <x:f>W11-W12-W15-W16-W17-W18</x:f>
        <x:v>62.61321245559995</x:v>
      </x:c>
      <x:c r="X19" s="49" t="n">
        <x:f>X11-X12-X15-X16-X17-X18</x:f>
        <x:v>80.9951940765</x:v>
      </x:c>
      <x:c r="Y19" s="49" t="n">
        <x:f>Y11-Y12-Y15-Y16-Y17-Y18</x:f>
        <x:v>51.78004521399995</x:v>
      </x:c>
    </x:row>
    <x:row r="20">
      <x:c r="A20" t="str">
        <x:v>Contribution Margin %</x:v>
      </x:c>
      <x:c r="B20" s="50" t="n">
        <x:f>IF(B11=0,0,B19/B11)</x:f>
        <x:v>0.31021895920481174</x:v>
      </x:c>
      <x:c r="C20" s="50" t="n">
        <x:f>IF(C11=0,0,C19/C11)</x:f>
        <x:v>0.311907618242321</x:v>
      </x:c>
      <x:c r="D20" s="50" t="n">
        <x:f>IF(D11=0,0,D19/D11)</x:f>
        <x:v>0.31429795549611533</x:v>
      </x:c>
      <x:c r="E20" s="50" t="n">
        <x:f>IF(E11=0,0,E19/E11)</x:f>
        <x:v>0.3161106387390885</x:v>
      </x:c>
      <x:c r="F20" s="50" t="n">
        <x:f>IF(F11=0,0,F19/F11)</x:f>
        <x:v>0.317580635303387</x:v>
      </x:c>
      <x:c r="G20" s="50" t="n">
        <x:f>IF(G11=0,0,G19/G11)</x:f>
        <x:v>0.31841258851735776</x:v>
      </x:c>
      <x:c r="H20" s="50" t="n">
        <x:f>IF(H11=0,0,H19/H11)</x:f>
        <x:v>0.31803898559231725</x:v>
      </x:c>
      <x:c r="I20" s="50" t="n">
        <x:f>IF(I11=0,0,I19/I11)</x:f>
        <x:v>0.3161984222874142</x:v>
      </x:c>
      <x:c r="J20" s="50" t="n">
        <x:f>IF(J11=0,0,J19/J11)</x:f>
        <x:v>0.31394810066875195</x:v>
      </x:c>
      <x:c r="K20" s="50" t="n">
        <x:f>IF(K11=0,0,K19/K11)</x:f>
        <x:v>0.3112632226426798</x:v>
      </x:c>
      <x:c r="L20" s="50" t="n">
        <x:f>IF(L11=0,0,L19/L11)</x:f>
        <x:v>0.3082225153618806</x:v>
      </x:c>
      <x:c r="M20" s="50" t="n">
        <x:f>IF(M11=0,0,M19/M11)</x:f>
        <x:v>0.30660096631812783</x:v>
      </x:c>
      <x:c r="N20" s="50" t="n">
        <x:f>IF(N11=0,0,N19/N11)</x:f>
        <x:v>0.3101354612172967</x:v>
      </x:c>
      <x:c r="O20" s="50" t="n">
        <x:f>IF(O11=0,0,O19/O11)</x:f>
        <x:v>0.31180720842762066</x:v>
      </x:c>
      <x:c r="P20" s="50" t="n">
        <x:f>IF(P11=0,0,P19/P11)</x:f>
        <x:v>0.3141301343478679</x:v>
      </x:c>
      <x:c r="Q20" s="50" t="n">
        <x:f>IF(Q11=0,0,Q19/Q11)</x:f>
        <x:v>0.3160808385775627</x:v>
      </x:c>
      <x:c r="R20" s="50" t="n">
        <x:f>IF(R11=0,0,R19/R11)</x:f>
        <x:v>0.31746699826062275</x:v>
      </x:c>
      <x:c r="S20" s="50" t="n">
        <x:f>IF(S11=0,0,S19/S11)</x:f>
        <x:v>0.31840777101224793</x:v>
      </x:c>
      <x:c r="T20" s="50" t="n">
        <x:f>IF(T11=0,0,T19/T11)</x:f>
        <x:v>0.3179500350017196</x:v>
      </x:c>
      <x:c r="U20" s="50" t="n">
        <x:f>IF(U11=0,0,U19/U11)</x:f>
        <x:v>0.3161326564704069</x:v>
      </x:c>
      <x:c r="V20" s="50" t="n">
        <x:f>IF(V11=0,0,V19/V11)</x:f>
        <x:v>0.3086184000353986</x:v>
      </x:c>
      <x:c r="W20" s="50" t="n">
        <x:f>IF(W11=0,0,W19/W11)</x:f>
        <x:v>0.3060528765271302</x:v>
      </x:c>
      <x:c r="X20" s="50" t="n">
        <x:f>IF(X11=0,0,X19/X11)</x:f>
        <x:v>0.3033035806252803</x:v>
      </x:c>
      <x:c r="Y20" s="50" t="n">
        <x:f>IF(Y11=0,0,Y19/Y11)</x:f>
        <x:v>0.3243768962939024</x:v>
      </x:c>
    </x:row>
    <x:row r="21">
      <x:c r="A21" t="str">
        <x:v>Marketing</x:v>
      </x:c>
      <x:c r="B21" s="49" t="n">
        <x:f>SUMIFS('Marketing'!$H$5:$H$420,'Marketing'!$B$5:$B$420,B$4)</x:f>
        <x:v>108.24524</x:v>
      </x:c>
      <x:c r="C21" s="49" t="n">
        <x:f>SUMIFS('Marketing'!$H$5:$H$420,'Marketing'!$B$5:$B$420,C$4)</x:f>
        <x:v>107.83648000000002</x:v>
      </x:c>
      <x:c r="D21" s="49" t="n">
        <x:f>SUMIFS('Marketing'!$H$5:$H$420,'Marketing'!$B$5:$B$420,D$4)</x:f>
        <x:v>135.6273</x:v>
      </x:c>
      <x:c r="E21" s="49" t="n">
        <x:f>SUMIFS('Marketing'!$H$5:$H$420,'Marketing'!$B$5:$B$420,E$4)</x:f>
        <x:v>111.72132</x:v>
      </x:c>
      <x:c r="F21" s="49" t="n">
        <x:f>SUMIFS('Marketing'!$H$5:$H$420,'Marketing'!$B$5:$B$420,F$4)</x:f>
        <x:v>117.20058</x:v>
      </x:c>
      <x:c r="G21" s="49" t="n">
        <x:f>SUMIFS('Marketing'!$H$5:$H$420,'Marketing'!$B$5:$B$420,G$4)</x:f>
        <x:v>152.54850000000002</x:v>
      </x:c>
      <x:c r="H21" s="49" t="n">
        <x:f>SUMIFS('Marketing'!$H$5:$H$420,'Marketing'!$B$5:$B$420,H$4)</x:f>
        <x:v>124.17744</x:v>
      </x:c>
      <x:c r="I21" s="49" t="n">
        <x:f>SUMIFS('Marketing'!$H$5:$H$420,'Marketing'!$B$5:$B$420,I$4)</x:f>
        <x:v>122.82400000000001</x:v>
      </x:c>
      <x:c r="J21" s="49" t="n">
        <x:f>SUMIFS('Marketing'!$H$5:$H$420,'Marketing'!$B$5:$B$420,J$4)</x:f>
        <x:v>154.16926000000004</x:v>
      </x:c>
      <x:c r="K21" s="49" t="n">
        <x:f>SUMIFS('Marketing'!$H$5:$H$420,'Marketing'!$B$5:$B$420,K$4)</x:f>
        <x:v>127.7641</x:v>
      </x:c>
      <x:c r="L21" s="49" t="n">
        <x:f>SUMIFS('Marketing'!$H$5:$H$420,'Marketing'!$B$5:$B$420,L$4)</x:f>
        <x:v>132.95069999999998</x:v>
      </x:c>
      <x:c r="M21" s="49" t="n">
        <x:f>SUMIFS('Marketing'!$H$5:$H$420,'Marketing'!$B$5:$B$420,M$4)</x:f>
        <x:v>170.98750000000004</x:v>
      </x:c>
      <x:c r="N21" s="49" t="n">
        <x:f>SUMIFS('Marketing'!$H$5:$H$420,'Marketing'!$B$5:$B$420,N$4)</x:f>
        <x:v>159.37039999999996</x:v>
      </x:c>
      <x:c r="O21" s="49" t="n">
        <x:f>SUMIFS('Marketing'!$H$5:$H$420,'Marketing'!$B$5:$B$420,O$4)</x:f>
        <x:v>156.15304000000003</x:v>
      </x:c>
      <x:c r="P21" s="49" t="n">
        <x:f>SUMIFS('Marketing'!$H$5:$H$420,'Marketing'!$B$5:$B$420,P$4)</x:f>
        <x:v>192.83780000000002</x:v>
      </x:c>
      <x:c r="Q21" s="49" t="n">
        <x:f>SUMIFS('Marketing'!$H$5:$H$420,'Marketing'!$B$5:$B$420,Q$4)</x:f>
        <x:v>156.01288</x:v>
      </x:c>
      <x:c r="R21" s="49" t="n">
        <x:f>SUMIFS('Marketing'!$H$5:$H$420,'Marketing'!$B$5:$B$420,R$4)</x:f>
        <x:v>161.11303999999998</x:v>
      </x:c>
      <x:c r="S21" s="49" t="n">
        <x:f>SUMIFS('Marketing'!$H$5:$H$420,'Marketing'!$B$5:$B$420,S$4)</x:f>
        <x:v>206.08100000000005</x:v>
      </x:c>
      <x:c r="T21" s="49" t="n">
        <x:f>SUMIFS('Marketing'!$H$5:$H$420,'Marketing'!$B$5:$B$420,T$4)</x:f>
        <x:v>164.91864</x:v>
      </x:c>
      <x:c r="U21" s="49" t="n">
        <x:f>SUMIFS('Marketing'!$H$5:$H$420,'Marketing'!$B$5:$B$420,U$4)</x:f>
        <x:v>200.871</x:v>
      </x:c>
      <x:c r="V21" s="49" t="n">
        <x:f>SUMIFS('Marketing'!$H$5:$H$420,'Marketing'!$B$5:$B$420,V$4)</x:f>
        <x:v>132.08656000000005</x:v>
      </x:c>
      <x:c r="W21" s="49" t="n">
        <x:f>SUMIFS('Marketing'!$H$5:$H$420,'Marketing'!$B$5:$B$420,W$4)</x:f>
        <x:v>137.83952</x:v>
      </x:c>
      <x:c r="X21" s="49" t="n">
        <x:f>SUMIFS('Marketing'!$H$5:$H$420,'Marketing'!$B$5:$B$420,X$4)</x:f>
        <x:v>180.928</x:v>
      </x:c>
      <x:c r="Y21" s="49" t="n">
        <x:f>SUMIFS('Marketing'!$H$5:$H$420,'Marketing'!$B$5:$B$420,Y$4)</x:f>
        <x:v>103.89135999999999</x:v>
      </x:c>
    </x:row>
    <x:row r="22">
      <x:c r="A22" t="str">
        <x:v>Payroll</x:v>
      </x:c>
      <x:c r="B22" s="49" t="n">
        <x:f>SUMIFS('Headcount_Opex'!$G$5:$G$388,'Headcount_Opex'!$A$5:$A$388,B$4,'Headcount_Opex'!$F$5:$F$388,"Payroll")</x:f>
        <x:v>261.98720000000003</x:v>
      </x:c>
      <x:c r="C22" s="49" t="n">
        <x:f>SUMIFS('Headcount_Opex'!$G$5:$G$388,'Headcount_Opex'!$A$5:$A$388,C$4,'Headcount_Opex'!$F$5:$F$388,"Payroll")</x:f>
        <x:v>263.872</x:v>
      </x:c>
      <x:c r="D22" s="49" t="n">
        <x:f>SUMIFS('Headcount_Opex'!$G$5:$G$388,'Headcount_Opex'!$A$5:$A$388,D$4,'Headcount_Opex'!$F$5:$F$388,"Payroll")</x:f>
        <x:v>265.7568</x:v>
      </x:c>
      <x:c r="E22" s="49" t="n">
        <x:f>SUMIFS('Headcount_Opex'!$G$5:$G$388,'Headcount_Opex'!$A$5:$A$388,E$4,'Headcount_Opex'!$F$5:$F$388,"Payroll")</x:f>
        <x:v>267.6416</x:v>
      </x:c>
      <x:c r="F22" s="49" t="n">
        <x:f>SUMIFS('Headcount_Opex'!$G$5:$G$388,'Headcount_Opex'!$A$5:$A$388,F$4,'Headcount_Opex'!$F$5:$F$388,"Payroll")</x:f>
        <x:v>269.5264</x:v>
      </x:c>
      <x:c r="G22" s="49" t="n">
        <x:f>SUMIFS('Headcount_Opex'!$G$5:$G$388,'Headcount_Opex'!$A$5:$A$388,G$4,'Headcount_Opex'!$F$5:$F$388,"Payroll")</x:f>
        <x:v>271.4112</x:v>
      </x:c>
      <x:c r="H22" s="49" t="n">
        <x:f>SUMIFS('Headcount_Opex'!$G$5:$G$388,'Headcount_Opex'!$A$5:$A$388,H$4,'Headcount_Opex'!$F$5:$F$388,"Payroll")</x:f>
        <x:v>273.29600000000005</x:v>
      </x:c>
      <x:c r="I22" s="49" t="n">
        <x:f>SUMIFS('Headcount_Opex'!$G$5:$G$388,'Headcount_Opex'!$A$5:$A$388,I$4,'Headcount_Opex'!$F$5:$F$388,"Payroll")</x:f>
        <x:v>275.18080000000003</x:v>
      </x:c>
      <x:c r="J22" s="49" t="n">
        <x:f>SUMIFS('Headcount_Opex'!$G$5:$G$388,'Headcount_Opex'!$A$5:$A$388,J$4,'Headcount_Opex'!$F$5:$F$388,"Payroll")</x:f>
        <x:v>277.0656</x:v>
      </x:c>
      <x:c r="K22" s="49" t="n">
        <x:f>SUMIFS('Headcount_Opex'!$G$5:$G$388,'Headcount_Opex'!$A$5:$A$388,K$4,'Headcount_Opex'!$F$5:$F$388,"Payroll")</x:f>
        <x:v>278.9504</x:v>
      </x:c>
      <x:c r="L22" s="49" t="n">
        <x:f>SUMIFS('Headcount_Opex'!$G$5:$G$388,'Headcount_Opex'!$A$5:$A$388,L$4,'Headcount_Opex'!$F$5:$F$388,"Payroll")</x:f>
        <x:v>280.83520000000004</x:v>
      </x:c>
      <x:c r="M22" s="49" t="n">
        <x:f>SUMIFS('Headcount_Opex'!$G$5:$G$388,'Headcount_Opex'!$A$5:$A$388,M$4,'Headcount_Opex'!$F$5:$F$388,"Payroll")</x:f>
        <x:v>282.71999999999997</x:v>
      </x:c>
      <x:c r="N22" s="49" t="n">
        <x:f>SUMIFS('Headcount_Opex'!$G$5:$G$388,'Headcount_Opex'!$A$5:$A$388,N$4,'Headcount_Opex'!$F$5:$F$388,"Payroll")</x:f>
        <x:v>282.71999999999997</x:v>
      </x:c>
      <x:c r="O22" s="49" t="n">
        <x:f>SUMIFS('Headcount_Opex'!$G$5:$G$388,'Headcount_Opex'!$A$5:$A$388,O$4,'Headcount_Opex'!$F$5:$F$388,"Payroll")</x:f>
        <x:v>282.71999999999997</x:v>
      </x:c>
      <x:c r="P22" s="49" t="n">
        <x:f>SUMIFS('Headcount_Opex'!$G$5:$G$388,'Headcount_Opex'!$A$5:$A$388,P$4,'Headcount_Opex'!$F$5:$F$388,"Payroll")</x:f>
        <x:v>282.71999999999997</x:v>
      </x:c>
      <x:c r="Q22" s="49" t="n">
        <x:f>SUMIFS('Headcount_Opex'!$G$5:$G$388,'Headcount_Opex'!$A$5:$A$388,Q$4,'Headcount_Opex'!$F$5:$F$388,"Payroll")</x:f>
        <x:v>282.71999999999997</x:v>
      </x:c>
      <x:c r="R22" s="49" t="n">
        <x:f>SUMIFS('Headcount_Opex'!$G$5:$G$388,'Headcount_Opex'!$A$5:$A$388,R$4,'Headcount_Opex'!$F$5:$F$388,"Payroll")</x:f>
        <x:v>282.71999999999997</x:v>
      </x:c>
      <x:c r="S22" s="49" t="n">
        <x:f>SUMIFS('Headcount_Opex'!$G$5:$G$388,'Headcount_Opex'!$A$5:$A$388,S$4,'Headcount_Opex'!$F$5:$F$388,"Payroll")</x:f>
        <x:v>282.71999999999997</x:v>
      </x:c>
      <x:c r="T22" s="49" t="n">
        <x:f>SUMIFS('Headcount_Opex'!$G$5:$G$388,'Headcount_Opex'!$A$5:$A$388,T$4,'Headcount_Opex'!$F$5:$F$388,"Payroll")</x:f>
        <x:v>282.71999999999997</x:v>
      </x:c>
      <x:c r="U22" s="49" t="n">
        <x:f>SUMIFS('Headcount_Opex'!$G$5:$G$388,'Headcount_Opex'!$A$5:$A$388,U$4,'Headcount_Opex'!$F$5:$F$388,"Payroll")</x:f>
        <x:v>282.71999999999997</x:v>
      </x:c>
      <x:c r="V22" s="49" t="n">
        <x:f>SUMIFS('Headcount_Opex'!$G$5:$G$388,'Headcount_Opex'!$A$5:$A$388,V$4,'Headcount_Opex'!$F$5:$F$388,"Payroll")</x:f>
        <x:v>282.71999999999997</x:v>
      </x:c>
      <x:c r="W22" s="49" t="n">
        <x:f>SUMIFS('Headcount_Opex'!$G$5:$G$388,'Headcount_Opex'!$A$5:$A$388,W$4,'Headcount_Opex'!$F$5:$F$388,"Payroll")</x:f>
        <x:v>282.71999999999997</x:v>
      </x:c>
      <x:c r="X22" s="49" t="n">
        <x:f>SUMIFS('Headcount_Opex'!$G$5:$G$388,'Headcount_Opex'!$A$5:$A$388,X$4,'Headcount_Opex'!$F$5:$F$388,"Payroll")</x:f>
        <x:v>282.71999999999997</x:v>
      </x:c>
      <x:c r="Y22" s="49" t="n">
        <x:f>SUMIFS('Headcount_Opex'!$G$5:$G$388,'Headcount_Opex'!$A$5:$A$388,Y$4,'Headcount_Opex'!$F$5:$F$388,"Payroll")</x:f>
        <x:v>282.71999999999997</x:v>
      </x:c>
    </x:row>
    <x:row r="23">
      <x:c r="A23" t="str">
        <x:v>Other Opex</x:v>
      </x:c>
      <x:c r="B23" s="49" t="n">
        <x:f>SUMIFS('Headcount_Opex'!$G$5:$G$388,'Headcount_Opex'!$A$5:$A$388,B$4)-B22</x:f>
        <x:v>125.10000000000008</x:v>
      </x:c>
      <x:c r="C23" s="49" t="n">
        <x:f>SUMIFS('Headcount_Opex'!$G$5:$G$388,'Headcount_Opex'!$A$5:$A$388,C$4)-C22</x:f>
        <x:v>125.99999999999994</x:v>
      </x:c>
      <x:c r="D23" s="49" t="n">
        <x:f>SUMIFS('Headcount_Opex'!$G$5:$G$388,'Headcount_Opex'!$A$5:$A$388,D$4)-D22</x:f>
        <x:v>126.89999999999998</x:v>
      </x:c>
      <x:c r="E23" s="49" t="n">
        <x:f>SUMIFS('Headcount_Opex'!$G$5:$G$388,'Headcount_Opex'!$A$5:$A$388,E$4)-E22</x:f>
        <x:v>127.80000000000001</x:v>
      </x:c>
      <x:c r="F23" s="49" t="n">
        <x:f>SUMIFS('Headcount_Opex'!$G$5:$G$388,'Headcount_Opex'!$A$5:$A$388,F$4)-F22</x:f>
        <x:v>128.70000000000005</x:v>
      </x:c>
      <x:c r="G23" s="49" t="n">
        <x:f>SUMIFS('Headcount_Opex'!$G$5:$G$388,'Headcount_Opex'!$A$5:$A$388,G$4)-G22</x:f>
        <x:v>129.59999999999997</x:v>
      </x:c>
      <x:c r="H23" s="49" t="n">
        <x:f>SUMIFS('Headcount_Opex'!$G$5:$G$388,'Headcount_Opex'!$A$5:$A$388,H$4)-H22</x:f>
        <x:v>130.50000000000006</x:v>
      </x:c>
      <x:c r="I23" s="49" t="n">
        <x:f>SUMIFS('Headcount_Opex'!$G$5:$G$388,'Headcount_Opex'!$A$5:$A$388,I$4)-I22</x:f>
        <x:v>131.39999999999998</x:v>
      </x:c>
      <x:c r="J23" s="49" t="n">
        <x:f>SUMIFS('Headcount_Opex'!$G$5:$G$388,'Headcount_Opex'!$A$5:$A$388,J$4)-J22</x:f>
        <x:v>132.3</x:v>
      </x:c>
      <x:c r="K23" s="49" t="n">
        <x:f>SUMIFS('Headcount_Opex'!$G$5:$G$388,'Headcount_Opex'!$A$5:$A$388,K$4)-K22</x:f>
        <x:v>133.2</x:v>
      </x:c>
      <x:c r="L23" s="49" t="n">
        <x:f>SUMIFS('Headcount_Opex'!$G$5:$G$388,'Headcount_Opex'!$A$5:$A$388,L$4)-L22</x:f>
        <x:v>134.09999999999997</x:v>
      </x:c>
      <x:c r="M23" s="49" t="n">
        <x:f>SUMIFS('Headcount_Opex'!$G$5:$G$388,'Headcount_Opex'!$A$5:$A$388,M$4)-M22</x:f>
        <x:v>135</x:v>
      </x:c>
      <x:c r="N23" s="49" t="n">
        <x:f>SUMIFS('Headcount_Opex'!$G$5:$G$388,'Headcount_Opex'!$A$5:$A$388,N$4)-N22</x:f>
        <x:v>135</x:v>
      </x:c>
      <x:c r="O23" s="49" t="n">
        <x:f>SUMIFS('Headcount_Opex'!$G$5:$G$388,'Headcount_Opex'!$A$5:$A$388,O$4)-O22</x:f>
        <x:v>135</x:v>
      </x:c>
      <x:c r="P23" s="49" t="n">
        <x:f>SUMIFS('Headcount_Opex'!$G$5:$G$388,'Headcount_Opex'!$A$5:$A$388,P$4)-P22</x:f>
        <x:v>135</x:v>
      </x:c>
      <x:c r="Q23" s="49" t="n">
        <x:f>SUMIFS('Headcount_Opex'!$G$5:$G$388,'Headcount_Opex'!$A$5:$A$388,Q$4)-Q22</x:f>
        <x:v>135</x:v>
      </x:c>
      <x:c r="R23" s="49" t="n">
        <x:f>SUMIFS('Headcount_Opex'!$G$5:$G$388,'Headcount_Opex'!$A$5:$A$388,R$4)-R22</x:f>
        <x:v>135</x:v>
      </x:c>
      <x:c r="S23" s="49" t="n">
        <x:f>SUMIFS('Headcount_Opex'!$G$5:$G$388,'Headcount_Opex'!$A$5:$A$388,S$4)-S22</x:f>
        <x:v>135</x:v>
      </x:c>
      <x:c r="T23" s="49" t="n">
        <x:f>SUMIFS('Headcount_Opex'!$G$5:$G$388,'Headcount_Opex'!$A$5:$A$388,T$4)-T22</x:f>
        <x:v>135</x:v>
      </x:c>
      <x:c r="U23" s="49" t="n">
        <x:f>SUMIFS('Headcount_Opex'!$G$5:$G$388,'Headcount_Opex'!$A$5:$A$388,U$4)-U22</x:f>
        <x:v>135</x:v>
      </x:c>
      <x:c r="V23" s="49" t="n">
        <x:f>SUMIFS('Headcount_Opex'!$G$5:$G$388,'Headcount_Opex'!$A$5:$A$388,V$4)-V22</x:f>
        <x:v>135</x:v>
      </x:c>
      <x:c r="W23" s="49" t="n">
        <x:f>SUMIFS('Headcount_Opex'!$G$5:$G$388,'Headcount_Opex'!$A$5:$A$388,W$4)-W22</x:f>
        <x:v>135</x:v>
      </x:c>
      <x:c r="X23" s="49" t="n">
        <x:f>SUMIFS('Headcount_Opex'!$G$5:$G$388,'Headcount_Opex'!$A$5:$A$388,X$4)-X22</x:f>
        <x:v>135</x:v>
      </x:c>
      <x:c r="Y23" s="49" t="n">
        <x:f>SUMIFS('Headcount_Opex'!$G$5:$G$388,'Headcount_Opex'!$A$5:$A$388,Y$4)-Y22</x:f>
        <x:v>135</x:v>
      </x:c>
    </x:row>
    <x:row r="24">
      <x:c r="A24" t="str">
        <x:v>EBITDA</x:v>
      </x:c>
      <x:c r="B24" s="49" t="n">
        <x:f>B19-B21-B22-B23</x:f>
        <x:v>-444.65985942620017</x:v>
      </x:c>
      <x:c r="C24" s="49" t="n">
        <x:f>C19-C21-C22-C23</x:f>
        <x:v>-446.77865570599994</x:v>
      </x:c>
      <x:c r="D24" s="49" t="n">
        <x:f>D19-D21-D22-D23</x:f>
        <x:v>-463.338271125</x:v>
      </x:c>
      <x:c r="E24" s="49" t="n">
        <x:f>E19-E21-E22-E23</x:f>
        <x:v>-453.08261901960003</x:v>
      </x:c>
      <x:c r="F24" s="49" t="n">
        <x:f>F19-F21-F22-F23</x:f>
        <x:v>-458.1787061982</x:v>
      </x:c>
      <x:c r="G24" s="49" t="n">
        <x:f>G19-G21-G22-G23</x:f>
        <x:v>-478.5947523652998</x:v>
      </x:c>
      <x:c r="H24" s="49" t="n">
        <x:f>H19-H21-H22-H23</x:f>
        <x:v>-467.09299041650013</x:v>
      </x:c>
      <x:c r="I24" s="49" t="n">
        <x:f>I19-I21-I22-I23</x:f>
        <x:v>-469.83303150160003</x:v>
      </x:c>
      <x:c r="J24" s="49" t="n">
        <x:f>J19-J21-J22-J23</x:f>
        <x:v>-489.79570840860015</x:v>
      </x:c>
      <x:c r="K24" s="49" t="n">
        <x:f>K19-K21-K22-K23</x:f>
        <x:v>-479.7123443757999</x:v>
      </x:c>
      <x:c r="L24" s="49" t="n">
        <x:f>L19-L21-L22-L23</x:f>
        <x:v>-486.2805793142</x:v>
      </x:c>
      <x:c r="M24" s="49" t="n">
        <x:f>M19-M21-M22-M23</x:f>
        <x:v>-510.2432230664999</x:v>
      </x:c>
      <x:c r="N24" s="49" t="n">
        <x:f>N19-N21-N22-N23</x:f>
        <x:v>-502.5120270179999</x:v>
      </x:c>
      <x:c r="O24" s="49" t="n">
        <x:f>O19-O21-O22-O23</x:f>
        <x:v>-500.1853527572001</x:v>
      </x:c>
      <x:c r="P24" s="49" t="n">
        <x:f>P19-P21-P22-P23</x:f>
        <x:v>-518.3292022935002</x:v>
      </x:c>
      <x:c r="Q24" s="49" t="n">
        <x:f>Q19-Q21-Q22-Q23</x:f>
        <x:v>-498.2734923180001</x:v>
      </x:c>
      <x:c r="R24" s="49" t="n">
        <x:f>R19-R21-R22-R23</x:f>
        <x:v>-500.23349311960004</x:v>
      </x:c>
      <x:c r="S24" s="49" t="n">
        <x:f>S19-S21-S22-S23</x:f>
        <x:v>-522.5785834065</x:v>
      </x:c>
      <x:c r="T24" s="49" t="n">
        <x:f>T19-T21-T22-T23</x:f>
        <x:v>-501.86585816760004</x:v>
      </x:c>
      <x:c r="U24" s="49" t="n">
        <x:f>U19-U21-U22-U23</x:f>
        <x:v>-521.3326228994999</x:v>
      </x:c>
      <x:c r="V24" s="49" t="n">
        <x:f>V19-V21-V22-V23</x:f>
        <x:v>-489.0574259180001</x:v>
      </x:c>
      <x:c r="W24" s="49" t="n">
        <x:f>W19-W21-W22-W23</x:f>
        <x:v>-492.94630754440004</x:v>
      </x:c>
      <x:c r="X24" s="49" t="n">
        <x:f>X19-X21-X22-X23</x:f>
        <x:v>-517.6528059235</x:v>
      </x:c>
      <x:c r="Y24" s="49" t="n">
        <x:f>Y19-Y21-Y22-Y23</x:f>
        <x:v>-469.831314786</x:v>
      </x:c>
    </x:row>
    <x:row r="25">
      <x:c r="A25" t="str">
        <x:v>EBITDA Margin %</x:v>
      </x:c>
      <x:c r="B25" s="50" t="n">
        <x:f>IF(B11=0,0,B24/B11)</x:f>
        <x:v>-2.722220128308918</x:v>
      </x:c>
      <x:c r="C25" s="50" t="n">
        <x:f>IF(C11=0,0,C24/C11)</x:f>
        <x:v>-2.7361898124431865</x:v>
      </x:c>
      <x:c r="D25" s="50" t="n">
        <x:f>IF(D11=0,0,D24/D11)</x:f>
        <x:v>-2.2422728886558123</x:v>
      </x:c>
      <x:c r="E25" s="50" t="n">
        <x:f>IF(E11=0,0,E24/E11)</x:f>
        <x:v>-2.6483624074461574</x:v>
      </x:c>
      <x:c r="F25" s="50" t="n">
        <x:f>IF(F11=0,0,F24/F11)</x:f>
        <x:v>-2.541713049736236</x:v>
      </x:c>
      <x:c r="G25" s="50" t="n">
        <x:f>IF(G11=0,0,G24/G11)</x:f>
        <x:v>-2.032824656852285</x:v>
      </x:c>
      <x:c r="H25" s="50" t="n">
        <x:f>IF(H11=0,0,H24/H11)</x:f>
        <x:v>-2.4400900759709114</x:v>
      </x:c>
      <x:c r="I25" s="50" t="n">
        <x:f>IF(I11=0,0,I24/I11)</x:f>
        <x:v>-2.493806496668116</x:v>
      </x:c>
      <x:c r="J25" s="50" t="n">
        <x:f>IF(J11=0,0,J24/J11)</x:f>
        <x:v>-2.085329557663637</x:v>
      </x:c>
      <x:c r="K25" s="50" t="n">
        <x:f>IF(K11=0,0,K24/K11)</x:f>
        <x:v>-2.48025687292606</x:v>
      </x:c>
      <x:c r="L25" s="50" t="n">
        <x:f>IF(L11=0,0,L24/L11)</x:f>
        <x:v>-2.432949324171006</x:v>
      </x:c>
      <x:c r="M25" s="50" t="n">
        <x:f>IF(M11=0,0,M24/M11)</x:f>
        <x:v>-1.9937871266188008</x:v>
      </x:c>
      <x:c r="N25" s="50" t="n">
        <x:f>IF(N11=0,0,N24/N11)</x:f>
        <x:v>-2.089705004748237</x:v>
      </x:c>
      <x:c r="O25" s="50" t="n">
        <x:f>IF(O11=0,0,O24/O11)</x:f>
        <x:v>-2.1165191143225415</x:v>
      </x:c>
      <x:c r="P25" s="50" t="n">
        <x:f>IF(P11=0,0,P24/P11)</x:f>
        <x:v>-1.7654266247333987</x:v>
      </x:c>
      <x:c r="Q25" s="50" t="n">
        <x:f>IF(Q11=0,0,Q24/Q11)</x:f>
        <x:v>-2.0871452596005238</x:v>
      </x:c>
      <x:c r="R25" s="50" t="n">
        <x:f>IF(R11=0,0,R24/R11)</x:f>
        <x:v>-2.020464898248753</x:v>
      </x:c>
      <x:c r="S25" s="50" t="n">
        <x:f>IF(S11=0,0,S24/S11)</x:f>
        <x:v>-1.6438362916133598</x:v>
      </x:c>
      <x:c r="T25" s="50" t="n">
        <x:f>IF(T11=0,0,T24/T11)</x:f>
        <x:v>-1.9755202625267236</x:v>
      </x:c>
      <x:c r="U25" s="50" t="n">
        <x:f>IF(U11=0,0,U24/U11)</x:f>
        <x:v>-1.6945611462506758</x:v>
      </x:c>
      <x:c r="V25" s="50" t="n">
        <x:f>IF(V11=0,0,V24/V11)</x:f>
        <x:v>-2.4845147604657813</x:v>
      </x:c>
      <x:c r="W25" s="50" t="n">
        <x:f>IF(W11=0,0,W24/W11)</x:f>
        <x:v>-2.4095175679473995</x:v>
      </x:c>
      <x:c r="X25" s="50" t="n">
        <x:f>IF(X11=0,0,X24/X11)</x:f>
        <x:v>-1.9384600697299232</x:v>
      </x:c>
      <x:c r="Y25" s="50" t="n">
        <x:f>IF(Y11=0,0,Y24/Y11)</x:f>
        <x:v>-2.9432655580370284</x:v>
      </x:c>
    </x:row>
    <x:row r="26">
      <x:c r="A26" t="str">
        <x:v>Inventory Purchases Cash</x:v>
      </x:c>
      <x:c r="B26" s="49" t="n">
        <x:f>SUMIFS('Inventory_Model'!$P$5:$P$524,'Inventory_Model'!$B$5:$B$524,B$4)</x:f>
        <x:v>349.6</x:v>
      </x:c>
      <x:c r="C26" s="49" t="n">
        <x:f>SUMIFS('Inventory_Model'!$P$5:$P$524,'Inventory_Model'!$B$5:$B$524,C$4)</x:f>
        <x:v>0</x:v>
      </x:c>
      <x:c r="D26" s="49" t="n">
        <x:f>SUMIFS('Inventory_Model'!$P$5:$P$524,'Inventory_Model'!$B$5:$B$524,D$4)</x:f>
        <x:v>349.6</x:v>
      </x:c>
      <x:c r="E26" s="49" t="n">
        <x:f>SUMIFS('Inventory_Model'!$P$5:$P$524,'Inventory_Model'!$B$5:$B$524,E$4)</x:f>
        <x:v>349.6</x:v>
      </x:c>
      <x:c r="F26" s="49" t="n">
        <x:f>SUMIFS('Inventory_Model'!$P$5:$P$524,'Inventory_Model'!$B$5:$B$524,F$4)</x:f>
        <x:v>0</x:v>
      </x:c>
      <x:c r="G26" s="49" t="n">
        <x:f>SUMIFS('Inventory_Model'!$P$5:$P$524,'Inventory_Model'!$B$5:$B$524,G$4)</x:f>
        <x:v>349.6</x:v>
      </x:c>
      <x:c r="H26" s="49" t="n">
        <x:f>SUMIFS('Inventory_Model'!$P$5:$P$524,'Inventory_Model'!$B$5:$B$524,H$4)</x:f>
        <x:v>0</x:v>
      </x:c>
      <x:c r="I26" s="49" t="n">
        <x:f>SUMIFS('Inventory_Model'!$P$5:$P$524,'Inventory_Model'!$B$5:$B$524,I$4)</x:f>
        <x:v>349.6</x:v>
      </x:c>
      <x:c r="J26" s="49" t="n">
        <x:f>SUMIFS('Inventory_Model'!$P$5:$P$524,'Inventory_Model'!$B$5:$B$524,J$4)</x:f>
        <x:v>0</x:v>
      </x:c>
      <x:c r="K26" s="49" t="n">
        <x:f>SUMIFS('Inventory_Model'!$P$5:$P$524,'Inventory_Model'!$B$5:$B$524,K$4)</x:f>
        <x:v>349.6</x:v>
      </x:c>
      <x:c r="L26" s="49" t="n">
        <x:f>SUMIFS('Inventory_Model'!$P$5:$P$524,'Inventory_Model'!$B$5:$B$524,L$4)</x:f>
        <x:v>0</x:v>
      </x:c>
      <x:c r="M26" s="49" t="n">
        <x:f>SUMIFS('Inventory_Model'!$P$5:$P$524,'Inventory_Model'!$B$5:$B$524,M$4)</x:f>
        <x:v>349.6</x:v>
      </x:c>
      <x:c r="N26" s="49" t="n">
        <x:f>SUMIFS('Inventory_Model'!$P$5:$P$524,'Inventory_Model'!$B$5:$B$524,N$4)</x:f>
        <x:v>0</x:v>
      </x:c>
      <x:c r="O26" s="49" t="n">
        <x:f>SUMIFS('Inventory_Model'!$P$5:$P$524,'Inventory_Model'!$B$5:$B$524,O$4)</x:f>
        <x:v>0</x:v>
      </x:c>
      <x:c r="P26" s="49" t="n">
        <x:f>SUMIFS('Inventory_Model'!$P$5:$P$524,'Inventory_Model'!$B$5:$B$524,P$4)</x:f>
        <x:v>0</x:v>
      </x:c>
      <x:c r="Q26" s="49" t="n">
        <x:f>SUMIFS('Inventory_Model'!$P$5:$P$524,'Inventory_Model'!$B$5:$B$524,Q$4)</x:f>
        <x:v>0</x:v>
      </x:c>
      <x:c r="R26" s="49" t="n">
        <x:f>SUMIFS('Inventory_Model'!$P$5:$P$524,'Inventory_Model'!$B$5:$B$524,R$4)</x:f>
        <x:v>0</x:v>
      </x:c>
      <x:c r="S26" s="49" t="n">
        <x:f>SUMIFS('Inventory_Model'!$P$5:$P$524,'Inventory_Model'!$B$5:$B$524,S$4)</x:f>
        <x:v>0</x:v>
      </x:c>
      <x:c r="T26" s="49" t="n">
        <x:f>SUMIFS('Inventory_Model'!$P$5:$P$524,'Inventory_Model'!$B$5:$B$524,T$4)</x:f>
        <x:v>0</x:v>
      </x:c>
      <x:c r="U26" s="49" t="n">
        <x:f>SUMIFS('Inventory_Model'!$P$5:$P$524,'Inventory_Model'!$B$5:$B$524,U$4)</x:f>
        <x:v>0</x:v>
      </x:c>
      <x:c r="V26" s="49" t="n">
        <x:f>SUMIFS('Inventory_Model'!$P$5:$P$524,'Inventory_Model'!$B$5:$B$524,V$4)</x:f>
        <x:v>0</x:v>
      </x:c>
      <x:c r="W26" s="49" t="n">
        <x:f>SUMIFS('Inventory_Model'!$P$5:$P$524,'Inventory_Model'!$B$5:$B$524,W$4)</x:f>
        <x:v>0</x:v>
      </x:c>
      <x:c r="X26" s="49" t="n">
        <x:f>SUMIFS('Inventory_Model'!$P$5:$P$524,'Inventory_Model'!$B$5:$B$524,X$4)</x:f>
        <x:v>48.6</x:v>
      </x:c>
      <x:c r="Y26" s="49" t="n">
        <x:f>SUMIFS('Inventory_Model'!$P$5:$P$524,'Inventory_Model'!$B$5:$B$524,Y$4)</x:f>
        <x:v>0</x:v>
      </x:c>
    </x:row>
    <x:row r="27">
      <x:c r="A27" t="str">
        <x:v>Capex / Tooling</x:v>
      </x:c>
      <x:c r="B27" s="49" t="n">
        <x:f>'Assumptions'!$B$21</x:f>
        <x:v>18</x:v>
      </x:c>
      <x:c r="C27" s="49" t="n">
        <x:f>'Assumptions'!$B$21</x:f>
        <x:v>18</x:v>
      </x:c>
      <x:c r="D27" s="49" t="n">
        <x:f>'Assumptions'!$B$21</x:f>
        <x:v>18</x:v>
      </x:c>
      <x:c r="E27" s="49" t="n">
        <x:f>'Assumptions'!$B$21</x:f>
        <x:v>18</x:v>
      </x:c>
      <x:c r="F27" s="49" t="n">
        <x:f>'Assumptions'!$B$21</x:f>
        <x:v>18</x:v>
      </x:c>
      <x:c r="G27" s="49" t="n">
        <x:f>'Assumptions'!$B$21</x:f>
        <x:v>18</x:v>
      </x:c>
      <x:c r="H27" s="49" t="n">
        <x:f>'Assumptions'!$B$21</x:f>
        <x:v>18</x:v>
      </x:c>
      <x:c r="I27" s="49" t="n">
        <x:f>'Assumptions'!$B$21</x:f>
        <x:v>18</x:v>
      </x:c>
      <x:c r="J27" s="49" t="n">
        <x:f>'Assumptions'!$B$21</x:f>
        <x:v>18</x:v>
      </x:c>
      <x:c r="K27" s="49" t="n">
        <x:f>'Assumptions'!$B$21</x:f>
        <x:v>18</x:v>
      </x:c>
      <x:c r="L27" s="49" t="n">
        <x:f>'Assumptions'!$B$21</x:f>
        <x:v>18</x:v>
      </x:c>
      <x:c r="M27" s="49" t="n">
        <x:f>'Assumptions'!$B$21</x:f>
        <x:v>18</x:v>
      </x:c>
      <x:c r="N27" s="49" t="n">
        <x:f>'Assumptions'!$B$21</x:f>
        <x:v>18</x:v>
      </x:c>
      <x:c r="O27" s="49" t="n">
        <x:f>'Assumptions'!$B$21</x:f>
        <x:v>18</x:v>
      </x:c>
      <x:c r="P27" s="49" t="n">
        <x:f>'Assumptions'!$B$21</x:f>
        <x:v>18</x:v>
      </x:c>
      <x:c r="Q27" s="49" t="n">
        <x:f>'Assumptions'!$B$21</x:f>
        <x:v>18</x:v>
      </x:c>
      <x:c r="R27" s="49" t="n">
        <x:f>'Assumptions'!$B$21</x:f>
        <x:v>18</x:v>
      </x:c>
      <x:c r="S27" s="49" t="n">
        <x:f>'Assumptions'!$B$21</x:f>
        <x:v>18</x:v>
      </x:c>
      <x:c r="T27" s="49" t="n">
        <x:f>'Assumptions'!$B$21</x:f>
        <x:v>18</x:v>
      </x:c>
      <x:c r="U27" s="49" t="n">
        <x:f>'Assumptions'!$B$21</x:f>
        <x:v>18</x:v>
      </x:c>
      <x:c r="V27" s="49" t="n">
        <x:f>'Assumptions'!$B$21</x:f>
        <x:v>18</x:v>
      </x:c>
      <x:c r="W27" s="49" t="n">
        <x:f>'Assumptions'!$B$21</x:f>
        <x:v>18</x:v>
      </x:c>
      <x:c r="X27" s="49" t="n">
        <x:f>'Assumptions'!$B$21</x:f>
        <x:v>18</x:v>
      </x:c>
      <x:c r="Y27" s="49" t="n">
        <x:f>'Assumptions'!$B$21</x:f>
        <x:v>18</x:v>
      </x:c>
    </x:row>
    <x:row r="28">
      <x:c r="A28" t="str">
        <x:v>Debt Interest</x:v>
      </x:c>
      <x:c r="B28" s="49" t="n">
        <x:f>'Assumptions'!$B$19*'Assumptions'!$B$20/12</x:f>
        <x:v>5.9375</x:v>
      </x:c>
      <x:c r="C28" s="49" t="n">
        <x:f>'Assumptions'!$B$19*'Assumptions'!$B$20/12</x:f>
        <x:v>5.9375</x:v>
      </x:c>
      <x:c r="D28" s="49" t="n">
        <x:f>'Assumptions'!$B$19*'Assumptions'!$B$20/12</x:f>
        <x:v>5.9375</x:v>
      </x:c>
      <x:c r="E28" s="49" t="n">
        <x:f>'Assumptions'!$B$19*'Assumptions'!$B$20/12</x:f>
        <x:v>5.9375</x:v>
      </x:c>
      <x:c r="F28" s="49" t="n">
        <x:f>'Assumptions'!$B$19*'Assumptions'!$B$20/12</x:f>
        <x:v>5.9375</x:v>
      </x:c>
      <x:c r="G28" s="49" t="n">
        <x:f>'Assumptions'!$B$19*'Assumptions'!$B$20/12</x:f>
        <x:v>5.9375</x:v>
      </x:c>
      <x:c r="H28" s="49" t="n">
        <x:f>'Assumptions'!$B$19*'Assumptions'!$B$20/12</x:f>
        <x:v>5.9375</x:v>
      </x:c>
      <x:c r="I28" s="49" t="n">
        <x:f>'Assumptions'!$B$19*'Assumptions'!$B$20/12</x:f>
        <x:v>5.9375</x:v>
      </x:c>
      <x:c r="J28" s="49" t="n">
        <x:f>'Assumptions'!$B$19*'Assumptions'!$B$20/12</x:f>
        <x:v>5.9375</x:v>
      </x:c>
      <x:c r="K28" s="49" t="n">
        <x:f>'Assumptions'!$B$19*'Assumptions'!$B$20/12</x:f>
        <x:v>5.9375</x:v>
      </x:c>
      <x:c r="L28" s="49" t="n">
        <x:f>'Assumptions'!$B$19*'Assumptions'!$B$20/12</x:f>
        <x:v>5.9375</x:v>
      </x:c>
      <x:c r="M28" s="49" t="n">
        <x:f>'Assumptions'!$B$19*'Assumptions'!$B$20/12</x:f>
        <x:v>5.9375</x:v>
      </x:c>
      <x:c r="N28" s="49" t="n">
        <x:f>'Assumptions'!$B$19*'Assumptions'!$B$20/12</x:f>
        <x:v>5.9375</x:v>
      </x:c>
      <x:c r="O28" s="49" t="n">
        <x:f>'Assumptions'!$B$19*'Assumptions'!$B$20/12</x:f>
        <x:v>5.9375</x:v>
      </x:c>
      <x:c r="P28" s="49" t="n">
        <x:f>'Assumptions'!$B$19*'Assumptions'!$B$20/12</x:f>
        <x:v>5.9375</x:v>
      </x:c>
      <x:c r="Q28" s="49" t="n">
        <x:f>'Assumptions'!$B$19*'Assumptions'!$B$20/12</x:f>
        <x:v>5.9375</x:v>
      </x:c>
      <x:c r="R28" s="49" t="n">
        <x:f>'Assumptions'!$B$19*'Assumptions'!$B$20/12</x:f>
        <x:v>5.9375</x:v>
      </x:c>
      <x:c r="S28" s="49" t="n">
        <x:f>'Assumptions'!$B$19*'Assumptions'!$B$20/12</x:f>
        <x:v>5.9375</x:v>
      </x:c>
      <x:c r="T28" s="49" t="n">
        <x:f>'Assumptions'!$B$19*'Assumptions'!$B$20/12</x:f>
        <x:v>5.9375</x:v>
      </x:c>
      <x:c r="U28" s="49" t="n">
        <x:f>'Assumptions'!$B$19*'Assumptions'!$B$20/12</x:f>
        <x:v>5.9375</x:v>
      </x:c>
      <x:c r="V28" s="49" t="n">
        <x:f>'Assumptions'!$B$19*'Assumptions'!$B$20/12</x:f>
        <x:v>5.9375</x:v>
      </x:c>
      <x:c r="W28" s="49" t="n">
        <x:f>'Assumptions'!$B$19*'Assumptions'!$B$20/12</x:f>
        <x:v>5.9375</x:v>
      </x:c>
      <x:c r="X28" s="49" t="n">
        <x:f>'Assumptions'!$B$19*'Assumptions'!$B$20/12</x:f>
        <x:v>5.9375</x:v>
      </x:c>
      <x:c r="Y28" s="49" t="n">
        <x:f>'Assumptions'!$B$19*'Assumptions'!$B$20/12</x:f>
        <x:v>5.9375</x:v>
      </x:c>
    </x:row>
    <x:row r="29">
      <x:c r="A29" t="str">
        <x:v>Cash Taxes</x:v>
      </x:c>
      <x:c r="B29" s="49" t="n">
        <x:f>MAX(0,B24)*'Assumptions'!$B$18</x:f>
        <x:v>0</x:v>
      </x:c>
      <x:c r="C29" s="49" t="n">
        <x:f>MAX(0,C24)*'Assumptions'!$B$18</x:f>
        <x:v>0</x:v>
      </x:c>
      <x:c r="D29" s="49" t="n">
        <x:f>MAX(0,D24)*'Assumptions'!$B$18</x:f>
        <x:v>0</x:v>
      </x:c>
      <x:c r="E29" s="49" t="n">
        <x:f>MAX(0,E24)*'Assumptions'!$B$18</x:f>
        <x:v>0</x:v>
      </x:c>
      <x:c r="F29" s="49" t="n">
        <x:f>MAX(0,F24)*'Assumptions'!$B$18</x:f>
        <x:v>0</x:v>
      </x:c>
      <x:c r="G29" s="49" t="n">
        <x:f>MAX(0,G24)*'Assumptions'!$B$18</x:f>
        <x:v>0</x:v>
      </x:c>
      <x:c r="H29" s="49" t="n">
        <x:f>MAX(0,H24)*'Assumptions'!$B$18</x:f>
        <x:v>0</x:v>
      </x:c>
      <x:c r="I29" s="49" t="n">
        <x:f>MAX(0,I24)*'Assumptions'!$B$18</x:f>
        <x:v>0</x:v>
      </x:c>
      <x:c r="J29" s="49" t="n">
        <x:f>MAX(0,J24)*'Assumptions'!$B$18</x:f>
        <x:v>0</x:v>
      </x:c>
      <x:c r="K29" s="49" t="n">
        <x:f>MAX(0,K24)*'Assumptions'!$B$18</x:f>
        <x:v>0</x:v>
      </x:c>
      <x:c r="L29" s="49" t="n">
        <x:f>MAX(0,L24)*'Assumptions'!$B$18</x:f>
        <x:v>0</x:v>
      </x:c>
      <x:c r="M29" s="49" t="n">
        <x:f>MAX(0,M24)*'Assumptions'!$B$18</x:f>
        <x:v>0</x:v>
      </x:c>
      <x:c r="N29" s="49" t="n">
        <x:f>MAX(0,N24)*'Assumptions'!$B$18</x:f>
        <x:v>0</x:v>
      </x:c>
      <x:c r="O29" s="49" t="n">
        <x:f>MAX(0,O24)*'Assumptions'!$B$18</x:f>
        <x:v>0</x:v>
      </x:c>
      <x:c r="P29" s="49" t="n">
        <x:f>MAX(0,P24)*'Assumptions'!$B$18</x:f>
        <x:v>0</x:v>
      </x:c>
      <x:c r="Q29" s="49" t="n">
        <x:f>MAX(0,Q24)*'Assumptions'!$B$18</x:f>
        <x:v>0</x:v>
      </x:c>
      <x:c r="R29" s="49" t="n">
        <x:f>MAX(0,R24)*'Assumptions'!$B$18</x:f>
        <x:v>0</x:v>
      </x:c>
      <x:c r="S29" s="49" t="n">
        <x:f>MAX(0,S24)*'Assumptions'!$B$18</x:f>
        <x:v>0</x:v>
      </x:c>
      <x:c r="T29" s="49" t="n">
        <x:f>MAX(0,T24)*'Assumptions'!$B$18</x:f>
        <x:v>0</x:v>
      </x:c>
      <x:c r="U29" s="49" t="n">
        <x:f>MAX(0,U24)*'Assumptions'!$B$18</x:f>
        <x:v>0</x:v>
      </x:c>
      <x:c r="V29" s="49" t="n">
        <x:f>MAX(0,V24)*'Assumptions'!$B$18</x:f>
        <x:v>0</x:v>
      </x:c>
      <x:c r="W29" s="49" t="n">
        <x:f>MAX(0,W24)*'Assumptions'!$B$18</x:f>
        <x:v>0</x:v>
      </x:c>
      <x:c r="X29" s="49" t="n">
        <x:f>MAX(0,X24)*'Assumptions'!$B$18</x:f>
        <x:v>0</x:v>
      </x:c>
      <x:c r="Y29" s="49" t="n">
        <x:f>MAX(0,Y24)*'Assumptions'!$B$18</x:f>
        <x:v>0</x:v>
      </x:c>
    </x:row>
    <x:row r="30">
      <x:c r="A30" t="str">
        <x:v>Net Cash Flow</x:v>
      </x:c>
      <x:c r="B30" s="49" t="n">
        <x:f>B24-B26-B27-B28-B29</x:f>
        <x:v>-818.1973594262001</x:v>
      </x:c>
      <x:c r="C30" s="49" t="n">
        <x:f>C24-C26-C27-C28-C29</x:f>
        <x:v>-470.71615570599994</x:v>
      </x:c>
      <x:c r="D30" s="49" t="n">
        <x:f>D24-D26-D27-D28-D29</x:f>
        <x:v>-836.875771125</x:v>
      </x:c>
      <x:c r="E30" s="49" t="n">
        <x:f>E24-E26-E27-E28-E29</x:f>
        <x:v>-826.6201190196</x:v>
      </x:c>
      <x:c r="F30" s="49" t="n">
        <x:f>F24-F26-F27-F28-F29</x:f>
        <x:v>-482.1162061982</x:v>
      </x:c>
      <x:c r="G30" s="49" t="n">
        <x:f>G24-G26-G27-G28-G29</x:f>
        <x:v>-852.1322523652998</x:v>
      </x:c>
      <x:c r="H30" s="49" t="n">
        <x:f>H24-H26-H27-H28-H29</x:f>
        <x:v>-491.03049041650013</x:v>
      </x:c>
      <x:c r="I30" s="49" t="n">
        <x:f>I24-I26-I27-I28-I29</x:f>
        <x:v>-843.3705315016</x:v>
      </x:c>
      <x:c r="J30" s="49" t="n">
        <x:f>J24-J26-J27-J28-J29</x:f>
        <x:v>-513.7332084086001</x:v>
      </x:c>
      <x:c r="K30" s="49" t="n">
        <x:f>K24-K26-K27-K28-K29</x:f>
        <x:v>-853.2498443758</x:v>
      </x:c>
      <x:c r="L30" s="49" t="n">
        <x:f>L24-L26-L27-L28-L29</x:f>
        <x:v>-510.2180793142</x:v>
      </x:c>
      <x:c r="M30" s="49" t="n">
        <x:f>M24-M26-M27-M28-M29</x:f>
        <x:v>-883.7807230665</x:v>
      </x:c>
      <x:c r="N30" s="49" t="n">
        <x:f>N24-N26-N27-N28-N29</x:f>
        <x:v>-526.4495270179999</x:v>
      </x:c>
      <x:c r="O30" s="49" t="n">
        <x:f>O24-O26-O27-O28-O29</x:f>
        <x:v>-524.1228527572001</x:v>
      </x:c>
      <x:c r="P30" s="49" t="n">
        <x:f>P24-P26-P27-P28-P29</x:f>
        <x:v>-542.2667022935002</x:v>
      </x:c>
      <x:c r="Q30" s="49" t="n">
        <x:f>Q24-Q26-Q27-Q28-Q29</x:f>
        <x:v>-522.2109923180001</x:v>
      </x:c>
      <x:c r="R30" s="49" t="n">
        <x:f>R24-R26-R27-R28-R29</x:f>
        <x:v>-524.1709931196001</x:v>
      </x:c>
      <x:c r="S30" s="49" t="n">
        <x:f>S24-S26-S27-S28-S29</x:f>
        <x:v>-546.5160834065</x:v>
      </x:c>
      <x:c r="T30" s="49" t="n">
        <x:f>T24-T26-T27-T28-T29</x:f>
        <x:v>-525.8033581676</x:v>
      </x:c>
      <x:c r="U30" s="49" t="n">
        <x:f>U24-U26-U27-U28-U29</x:f>
        <x:v>-545.2701228994999</x:v>
      </x:c>
      <x:c r="V30" s="49" t="n">
        <x:f>V24-V26-V27-V28-V29</x:f>
        <x:v>-512.994925918</x:v>
      </x:c>
      <x:c r="W30" s="49" t="n">
        <x:f>W24-W26-W27-W28-W29</x:f>
        <x:v>-516.8838075444</x:v>
      </x:c>
      <x:c r="X30" s="49" t="n">
        <x:f>X24-X26-X27-X28-X29</x:f>
        <x:v>-590.1903059235</x:v>
      </x:c>
      <x:c r="Y30" s="49" t="n">
        <x:f>Y24-Y26-Y27-Y28-Y29</x:f>
        <x:v>-493.768814786</x:v>
      </x:c>
    </x:row>
    <x:row r="31">
      <x:c r="A31" t="str">
        <x:v>Beginning Cash</x:v>
      </x:c>
      <x:c r="B31" s="49" t="n">
        <x:f>'Assumptions'!$B$18</x:f>
        <x:v>1650</x:v>
      </x:c>
      <x:c r="C31" s="49" t="n">
        <x:f>B32</x:f>
        <x:v>831.8026405737999</x:v>
      </x:c>
      <x:c r="D31" s="49" t="n">
        <x:f>C32</x:f>
        <x:v>361.0864848677999</x:v>
      </x:c>
      <x:c r="E31" s="49" t="n">
        <x:f>D32</x:f>
        <x:v>-475.7892862572001</x:v>
      </x:c>
      <x:c r="F31" s="49" t="n">
        <x:f>E32</x:f>
        <x:v>-1302.4094052768</x:v>
      </x:c>
      <x:c r="G31" s="49" t="n">
        <x:f>F32</x:f>
        <x:v>-1784.525611475</x:v>
      </x:c>
      <x:c r="H31" s="49" t="n">
        <x:f>G32</x:f>
        <x:v>-2636.6578638403</x:v>
      </x:c>
      <x:c r="I31" s="49" t="n">
        <x:f>H32</x:f>
        <x:v>-3127.6883542568</x:v>
      </x:c>
      <x:c r="J31" s="49" t="n">
        <x:f>I32</x:f>
        <x:v>-3971.0588857584</x:v>
      </x:c>
      <x:c r="K31" s="49" t="n">
        <x:f>J32</x:f>
        <x:v>-4484.792094167</x:v>
      </x:c>
      <x:c r="L31" s="49" t="n">
        <x:f>K32</x:f>
        <x:v>-5338.0419385427995</x:v>
      </x:c>
      <x:c r="M31" s="49" t="n">
        <x:f>L32</x:f>
        <x:v>-5848.260017856999</x:v>
      </x:c>
      <x:c r="N31" s="49" t="n">
        <x:f>M32</x:f>
        <x:v>-6732.0407409234995</x:v>
      </x:c>
      <x:c r="O31" s="49" t="n">
        <x:f>N32</x:f>
        <x:v>-7258.490267941499</x:v>
      </x:c>
      <x:c r="P31" s="49" t="n">
        <x:f>O32</x:f>
        <x:v>-7782.613120698699</x:v>
      </x:c>
      <x:c r="Q31" s="49" t="n">
        <x:f>P32</x:f>
        <x:v>-8324.8798229922</x:v>
      </x:c>
      <x:c r="R31" s="49" t="n">
        <x:f>Q32</x:f>
        <x:v>-8847.0908153102</x:v>
      </x:c>
      <x:c r="S31" s="49" t="n">
        <x:f>R32</x:f>
        <x:v>-9371.2618084298</x:v>
      </x:c>
      <x:c r="T31" s="49" t="n">
        <x:f>S32</x:f>
        <x:v>-9917.7778918363</x:v>
      </x:c>
      <x:c r="U31" s="49" t="n">
        <x:f>T32</x:f>
        <x:v>-10443.5812500039</x:v>
      </x:c>
      <x:c r="V31" s="49" t="n">
        <x:f>U32</x:f>
        <x:v>-10988.851372903398</x:v>
      </x:c>
      <x:c r="W31" s="49" t="n">
        <x:f>V32</x:f>
        <x:v>-11501.846298821398</x:v>
      </x:c>
      <x:c r="X31" s="49" t="n">
        <x:f>W32</x:f>
        <x:v>-12018.730106365798</x:v>
      </x:c>
      <x:c r="Y31" s="49" t="n">
        <x:f>X32</x:f>
        <x:v>-12608.920412289297</x:v>
      </x:c>
    </x:row>
    <x:row r="32">
      <x:c r="A32" t="str">
        <x:v>Ending Cash</x:v>
      </x:c>
      <x:c r="B32" s="49" t="n">
        <x:f>B31+B30</x:f>
        <x:v>831.8026405737999</x:v>
      </x:c>
      <x:c r="C32" s="49" t="n">
        <x:f>C31+C30</x:f>
        <x:v>361.0864848677999</x:v>
      </x:c>
      <x:c r="D32" s="49" t="n">
        <x:f>D31+D30</x:f>
        <x:v>-475.7892862572001</x:v>
      </x:c>
      <x:c r="E32" s="49" t="n">
        <x:f>E31+E30</x:f>
        <x:v>-1302.4094052768</x:v>
      </x:c>
      <x:c r="F32" s="49" t="n">
        <x:f>F31+F30</x:f>
        <x:v>-1784.525611475</x:v>
      </x:c>
      <x:c r="G32" s="49" t="n">
        <x:f>G31+G30</x:f>
        <x:v>-2636.6578638403</x:v>
      </x:c>
      <x:c r="H32" s="49" t="n">
        <x:f>H31+H30</x:f>
        <x:v>-3127.6883542568</x:v>
      </x:c>
      <x:c r="I32" s="49" t="n">
        <x:f>I31+I30</x:f>
        <x:v>-3971.0588857584</x:v>
      </x:c>
      <x:c r="J32" s="49" t="n">
        <x:f>J31+J30</x:f>
        <x:v>-4484.792094167</x:v>
      </x:c>
      <x:c r="K32" s="49" t="n">
        <x:f>K31+K30</x:f>
        <x:v>-5338.0419385427995</x:v>
      </x:c>
      <x:c r="L32" s="49" t="n">
        <x:f>L31+L30</x:f>
        <x:v>-5848.260017856999</x:v>
      </x:c>
      <x:c r="M32" s="49" t="n">
        <x:f>M31+M30</x:f>
        <x:v>-6732.0407409234995</x:v>
      </x:c>
      <x:c r="N32" s="49" t="n">
        <x:f>N31+N30</x:f>
        <x:v>-7258.490267941499</x:v>
      </x:c>
      <x:c r="O32" s="49" t="n">
        <x:f>O31+O30</x:f>
        <x:v>-7782.613120698699</x:v>
      </x:c>
      <x:c r="P32" s="49" t="n">
        <x:f>P31+P30</x:f>
        <x:v>-8324.8798229922</x:v>
      </x:c>
      <x:c r="Q32" s="49" t="n">
        <x:f>Q31+Q30</x:f>
        <x:v>-8847.0908153102</x:v>
      </x:c>
      <x:c r="R32" s="49" t="n">
        <x:f>R31+R30</x:f>
        <x:v>-9371.2618084298</x:v>
      </x:c>
      <x:c r="S32" s="49" t="n">
        <x:f>S31+S30</x:f>
        <x:v>-9917.7778918363</x:v>
      </x:c>
      <x:c r="T32" s="49" t="n">
        <x:f>T31+T30</x:f>
        <x:v>-10443.5812500039</x:v>
      </x:c>
      <x:c r="U32" s="49" t="n">
        <x:f>U31+U30</x:f>
        <x:v>-10988.851372903398</x:v>
      </x:c>
      <x:c r="V32" s="49" t="n">
        <x:f>V31+V30</x:f>
        <x:v>-11501.846298821398</x:v>
      </x:c>
      <x:c r="W32" s="49" t="n">
        <x:f>W31+W30</x:f>
        <x:v>-12018.730106365798</x:v>
      </x:c>
      <x:c r="X32" s="49" t="n">
        <x:f>X31+X30</x:f>
        <x:v>-12608.920412289297</x:v>
      </x:c>
      <x:c r="Y32" s="49" t="n">
        <x:f>Y31+Y30</x:f>
        <x:v>-13102.689227075298</x:v>
      </x:c>
    </x:row>
    <x:row r="33">
      <x:c r="A33" t="str">
        <x:v>Ending Inventory Units</x:v>
      </x:c>
      <x:c r="B33" s="51" t="n">
        <x:f>SUMIFS('Inventory_Model'!$L$5:$L$524,'Inventory_Model'!$B$5:$B$524,B$4)</x:f>
        <x:v>357661.53</x:v>
      </x:c>
      <x:c r="C33" s="51" t="n">
        <x:f>SUMIFS('Inventory_Model'!$L$5:$L$524,'Inventory_Model'!$B$5:$B$524,C$4)</x:f>
        <x:v>335980.55249999993</x:v>
      </x:c>
      <x:c r="D33" s="51" t="n">
        <x:f>SUMIFS('Inventory_Model'!$L$5:$L$524,'Inventory_Model'!$B$5:$B$524,D$4)</x:f>
        <x:v>535848.7275000002</x:v>
      </x:c>
      <x:c r="E33" s="51" t="n">
        <x:f>SUMIFS('Inventory_Model'!$L$5:$L$524,'Inventory_Model'!$B$5:$B$524,E$4)</x:f>
        <x:v>432981.5049999999</x:v>
      </x:c>
      <x:c r="F33" s="51" t="n">
        <x:f>SUMIFS('Inventory_Model'!$L$5:$L$524,'Inventory_Model'!$B$5:$B$524,F$4)</x:f>
        <x:v>497760.5199999999</x:v>
      </x:c>
      <x:c r="G33" s="51" t="n">
        <x:f>SUMIFS('Inventory_Model'!$L$5:$L$524,'Inventory_Model'!$B$5:$B$524,G$4)</x:f>
        <x:v>646900.1275</x:v>
      </x:c>
      <x:c r="H33" s="51" t="n">
        <x:f>SUMIFS('Inventory_Model'!$L$5:$L$524,'Inventory_Model'!$B$5:$B$524,H$4)</x:f>
        <x:v>560061.3525</x:v>
      </x:c>
      <x:c r="I33" s="51" t="n">
        <x:f>SUMIFS('Inventory_Model'!$L$5:$L$524,'Inventory_Model'!$B$5:$B$524,I$4)</x:f>
        <x:v>593928.3249999998</x:v>
      </x:c>
      <x:c r="J33" s="51" t="n">
        <x:f>SUMIFS('Inventory_Model'!$L$5:$L$524,'Inventory_Model'!$B$5:$B$524,J$4)</x:f>
        <x:v>780910.3599999999</x:v>
      </x:c>
      <x:c r="K33" s="51" t="n">
        <x:f>SUMIFS('Inventory_Model'!$L$5:$L$524,'Inventory_Model'!$B$5:$B$524,K$4)</x:f>
        <x:v>684231.8749999998</x:v>
      </x:c>
      <x:c r="L33" s="51" t="n">
        <x:f>SUMIFS('Inventory_Model'!$L$5:$L$524,'Inventory_Model'!$B$5:$B$524,L$4)</x:f>
        <x:v>687347.7499999999</x:v>
      </x:c>
      <x:c r="M33" s="51" t="n">
        <x:f>SUMIFS('Inventory_Model'!$L$5:$L$524,'Inventory_Model'!$B$5:$B$524,M$4)</x:f>
        <x:v>938418.2749999999</x:v>
      </x:c>
      <x:c r="N33" s="51" t="n">
        <x:f>SUMIFS('Inventory_Model'!$L$5:$L$524,'Inventory_Model'!$B$5:$B$524,N$4)</x:f>
        <x:v>740522.1099999998</x:v>
      </x:c>
      <x:c r="O33" s="51" t="n">
        <x:f>SUMIFS('Inventory_Model'!$L$5:$L$524,'Inventory_Model'!$B$5:$B$524,O$4)</x:f>
        <x:v>708931.1399999997</x:v>
      </x:c>
      <x:c r="P33" s="51" t="n">
        <x:f>SUMIFS('Inventory_Model'!$L$5:$L$524,'Inventory_Model'!$B$5:$B$524,P$4)</x:f>
        <x:v>842341.3124999997</x:v>
      </x:c>
      <x:c r="Q33" s="51" t="n">
        <x:f>SUMIFS('Inventory_Model'!$L$5:$L$524,'Inventory_Model'!$B$5:$B$524,Q$4)</x:f>
        <x:v>638735.3299999996</x:v>
      </x:c>
      <x:c r="R33" s="51" t="n">
        <x:f>SUMIFS('Inventory_Model'!$L$5:$L$524,'Inventory_Model'!$B$5:$B$524,R$4)</x:f>
        <x:v>606786.9549999998</x:v>
      </x:c>
      <x:c r="S33" s="51" t="n">
        <x:f>SUMIFS('Inventory_Model'!$L$5:$L$524,'Inventory_Model'!$B$5:$B$524,S$4)</x:f>
        <x:v>712412.1499999994</x:v>
      </x:c>
      <x:c r="T33" s="51" t="n">
        <x:f>SUMIFS('Inventory_Model'!$L$5:$L$524,'Inventory_Model'!$B$5:$B$524,T$4)</x:f>
        <x:v>532809.3349999998</x:v>
      </x:c>
      <x:c r="U33" s="51" t="n">
        <x:f>SUMIFS('Inventory_Model'!$L$5:$L$524,'Inventory_Model'!$B$5:$B$524,U$4)</x:f>
        <x:v>620343.6624999997</x:v>
      </x:c>
      <x:c r="V33" s="51" t="n">
        <x:f>SUMIFS('Inventory_Model'!$L$5:$L$524,'Inventory_Model'!$B$5:$B$524,V$4)</x:f>
        <x:v>463300.6399999999</x:v>
      </x:c>
      <x:c r="W33" s="51" t="n">
        <x:f>SUMIFS('Inventory_Model'!$L$5:$L$524,'Inventory_Model'!$B$5:$B$524,W$4)</x:f>
        <x:v>435661.94499999995</x:v>
      </x:c>
      <x:c r="X33" s="51" t="n">
        <x:f>SUMIFS('Inventory_Model'!$L$5:$L$524,'Inventory_Model'!$B$5:$B$524,X$4)</x:f>
        <x:v>522022.9249999999</x:v>
      </x:c>
      <x:c r="Y33" s="51" t="n">
        <x:f>SUMIFS('Inventory_Model'!$L$5:$L$524,'Inventory_Model'!$B$5:$B$524,Y$4)</x:f>
        <x:v>392851.4549999999</x:v>
      </x:c>
    </x:row>
    <x:row r="34">
      <x:c r="A34" t="str">
        <x:v>Stockout Risk SKU-Weeks</x:v>
      </x:c>
      <x:c r="B34" s="51" t="n">
        <x:f>COUNTIFS('Inventory_Model'!$B$5:$B$524,B$4,'Inventory_Model'!$N$5:$N$524,"Stockout Risk")</x:f>
        <x:v>0</x:v>
      </x:c>
      <x:c r="C34" s="51" t="n">
        <x:f>COUNTIFS('Inventory_Model'!$B$5:$B$524,C$4,'Inventory_Model'!$N$5:$N$524,"Stockout Risk")</x:f>
        <x:v>0</x:v>
      </x:c>
      <x:c r="D34" s="51" t="n">
        <x:f>COUNTIFS('Inventory_Model'!$B$5:$B$524,D$4,'Inventory_Model'!$N$5:$N$524,"Stockout Risk")</x:f>
        <x:v>0</x:v>
      </x:c>
      <x:c r="E34" s="51" t="n">
        <x:f>COUNTIFS('Inventory_Model'!$B$5:$B$524,E$4,'Inventory_Model'!$N$5:$N$524,"Stockout Risk")</x:f>
        <x:v>0</x:v>
      </x:c>
      <x:c r="F34" s="51" t="n">
        <x:f>COUNTIFS('Inventory_Model'!$B$5:$B$524,F$4,'Inventory_Model'!$N$5:$N$524,"Stockout Risk")</x:f>
        <x:v>0</x:v>
      </x:c>
      <x:c r="G34" s="51" t="n">
        <x:f>COUNTIFS('Inventory_Model'!$B$5:$B$524,G$4,'Inventory_Model'!$N$5:$N$524,"Stockout Risk")</x:f>
        <x:v>0</x:v>
      </x:c>
      <x:c r="H34" s="51" t="n">
        <x:f>COUNTIFS('Inventory_Model'!$B$5:$B$524,H$4,'Inventory_Model'!$N$5:$N$524,"Stockout Risk")</x:f>
        <x:v>0</x:v>
      </x:c>
      <x:c r="I34" s="51" t="n">
        <x:f>COUNTIFS('Inventory_Model'!$B$5:$B$524,I$4,'Inventory_Model'!$N$5:$N$524,"Stockout Risk")</x:f>
        <x:v>0</x:v>
      </x:c>
      <x:c r="J34" s="51" t="n">
        <x:f>COUNTIFS('Inventory_Model'!$B$5:$B$524,J$4,'Inventory_Model'!$N$5:$N$524,"Stockout Risk")</x:f>
        <x:v>0</x:v>
      </x:c>
      <x:c r="K34" s="51" t="n">
        <x:f>COUNTIFS('Inventory_Model'!$B$5:$B$524,K$4,'Inventory_Model'!$N$5:$N$524,"Stockout Risk")</x:f>
        <x:v>0</x:v>
      </x:c>
      <x:c r="L34" s="51" t="n">
        <x:f>COUNTIFS('Inventory_Model'!$B$5:$B$524,L$4,'Inventory_Model'!$N$5:$N$524,"Stockout Risk")</x:f>
        <x:v>0</x:v>
      </x:c>
      <x:c r="M34" s="51" t="n">
        <x:f>COUNTIFS('Inventory_Model'!$B$5:$B$524,M$4,'Inventory_Model'!$N$5:$N$524,"Stockout Risk")</x:f>
        <x:v>0</x:v>
      </x:c>
      <x:c r="N34" s="51" t="n">
        <x:f>COUNTIFS('Inventory_Model'!$B$5:$B$524,N$4,'Inventory_Model'!$N$5:$N$524,"Stockout Risk")</x:f>
        <x:v>0</x:v>
      </x:c>
      <x:c r="O34" s="51" t="n">
        <x:f>COUNTIFS('Inventory_Model'!$B$5:$B$524,O$4,'Inventory_Model'!$N$5:$N$524,"Stockout Risk")</x:f>
        <x:v>0</x:v>
      </x:c>
      <x:c r="P34" s="51" t="n">
        <x:f>COUNTIFS('Inventory_Model'!$B$5:$B$524,P$4,'Inventory_Model'!$N$5:$N$524,"Stockout Risk")</x:f>
        <x:v>0</x:v>
      </x:c>
      <x:c r="Q34" s="51" t="n">
        <x:f>COUNTIFS('Inventory_Model'!$B$5:$B$524,Q$4,'Inventory_Model'!$N$5:$N$524,"Stockout Risk")</x:f>
        <x:v>0</x:v>
      </x:c>
      <x:c r="R34" s="51" t="n">
        <x:f>COUNTIFS('Inventory_Model'!$B$5:$B$524,R$4,'Inventory_Model'!$N$5:$N$524,"Stockout Risk")</x:f>
        <x:v>0</x:v>
      </x:c>
      <x:c r="S34" s="51" t="n">
        <x:f>COUNTIFS('Inventory_Model'!$B$5:$B$524,S$4,'Inventory_Model'!$N$5:$N$524,"Stockout Risk")</x:f>
        <x:v>0</x:v>
      </x:c>
      <x:c r="T34" s="51" t="n">
        <x:f>COUNTIFS('Inventory_Model'!$B$5:$B$524,T$4,'Inventory_Model'!$N$5:$N$524,"Stockout Risk")</x:f>
        <x:v>0</x:v>
      </x:c>
      <x:c r="U34" s="51" t="n">
        <x:f>COUNTIFS('Inventory_Model'!$B$5:$B$524,U$4,'Inventory_Model'!$N$5:$N$524,"Stockout Risk")</x:f>
        <x:v>0</x:v>
      </x:c>
      <x:c r="V34" s="51" t="n">
        <x:f>COUNTIFS('Inventory_Model'!$B$5:$B$524,V$4,'Inventory_Model'!$N$5:$N$524,"Stockout Risk")</x:f>
        <x:v>0</x:v>
      </x:c>
      <x:c r="W34" s="51" t="n">
        <x:f>COUNTIFS('Inventory_Model'!$B$5:$B$524,W$4,'Inventory_Model'!$N$5:$N$524,"Stockout Risk")</x:f>
        <x:v>0</x:v>
      </x:c>
      <x:c r="X34" s="51" t="n">
        <x:f>COUNTIFS('Inventory_Model'!$B$5:$B$524,X$4,'Inventory_Model'!$N$5:$N$524,"Stockout Risk")</x:f>
        <x:v>0</x:v>
      </x:c>
      <x:c r="Y34" s="51" t="n">
        <x:f>COUNTIFS('Inventory_Model'!$B$5:$B$524,Y$4,'Inventory_Model'!$N$5:$N$524,"Stockout Risk")</x:f>
        <x:v>0</x:v>
      </x:c>
    </x:row>
  </x:sheetData>
  <x:mergeCells>
    <x:mergeCell ref="A1:AA1"/>
    <x:mergeCell ref="A2:AA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8" customHeight="1">
      <x:c r="A1" s="3" t="str">
        <x:v>Monthly Board Reporting</x:v>
      </x:c>
    </x:row>
    <x:row r="2">
      <x:c r="A2" s="6" t="str">
        <x:v>Board-ready monthly table fed by the weekly operating model. Use filters for period and month.</x:v>
      </x:c>
    </x:row>
    <x:row r="4">
      <x:c r="A4" s="11" t="str">
        <x:v>Month</x:v>
      </x:c>
      <x:c r="B4" s="12" t="str">
        <x:v>Month Label</x:v>
      </x:c>
      <x:c r="C4" s="12" t="str">
        <x:v>Period</x:v>
      </x:c>
      <x:c r="D4" s="12" t="str">
        <x:v>Units Sold</x:v>
      </x:c>
      <x:c r="E4" s="12" t="str">
        <x:v>Net Revenue $000s</x:v>
      </x:c>
      <x:c r="F4" s="12" t="str">
        <x:v>Gross Margin %</x:v>
      </x:c>
      <x:c r="G4" s="12" t="str">
        <x:v>Contribution Margin $000s</x:v>
      </x:c>
      <x:c r="H4" s="12" t="str">
        <x:v>Contribution Margin %</x:v>
      </x:c>
      <x:c r="I4" s="12" t="str">
        <x:v>Marketing $000s</x:v>
      </x:c>
      <x:c r="J4" s="12" t="str">
        <x:v>Payroll $000s</x:v>
      </x:c>
      <x:c r="K4" s="12" t="str">
        <x:v>Other Opex $000s</x:v>
      </x:c>
      <x:c r="L4" s="12" t="str">
        <x:v>EBITDA $000s</x:v>
      </x:c>
      <x:c r="M4" s="12" t="str">
        <x:v>EBITDA Margin %</x:v>
      </x:c>
      <x:c r="N4" s="12" t="str">
        <x:v>Net Cash Flow $000s</x:v>
      </x:c>
      <x:c r="O4" s="12" t="str">
        <x:v>Ending Cash $000s</x:v>
      </x:c>
      <x:c r="P4" s="12" t="str">
        <x:v>Ending Inventory Units</x:v>
      </x:c>
      <x:c r="Q4" s="12" t="str">
        <x:v>Stockout Risk SKU-Weeks</x:v>
      </x:c>
      <x:c r="R4" s="13" t="str">
        <x:v>Model Status</x:v>
      </x:c>
    </x:row>
    <x:row r="5">
      <x:c r="A5" s="32" t="n">
        <x:v>45658</x:v>
      </x:c>
      <x:c r="B5" t="str">
        <x:v>Jan 2025</x:v>
      </x:c>
      <x:c r="C5" t="str">
        <x:v>Actual</x:v>
      </x:c>
      <x:c r="D5" s="34" t="n">
        <x:f>'Financial_Model'!B7</x:f>
        <x:v>5531</x:v>
      </x:c>
      <x:c r="E5" s="38" t="n">
        <x:f>'Financial_Model'!B11</x:f>
        <x:v>163.34456379999997</x:v>
      </x:c>
      <x:c r="F5" s="28" t="n">
        <x:f>'Financial_Model'!B14</x:f>
        <x:v>0.5921831835091654</x:v>
      </x:c>
      <x:c r="G5" s="38" t="n">
        <x:f>'Financial_Model'!B19</x:f>
        <x:v>50.67258057379996</x:v>
      </x:c>
      <x:c r="H5" s="28" t="n">
        <x:f>'Financial_Model'!B20</x:f>
        <x:v>0.31021895920481174</x:v>
      </x:c>
      <x:c r="I5" s="38" t="n">
        <x:f>'Financial_Model'!B21</x:f>
        <x:v>108.24524</x:v>
      </x:c>
      <x:c r="J5" s="38" t="n">
        <x:f>'Financial_Model'!B22</x:f>
        <x:v>261.98720000000003</x:v>
      </x:c>
      <x:c r="K5" s="38" t="n">
        <x:f>'Financial_Model'!B23</x:f>
        <x:v>125.10000000000008</x:v>
      </x:c>
      <x:c r="L5" s="38" t="n">
        <x:f>'Financial_Model'!B24</x:f>
        <x:v>-444.65985942620017</x:v>
      </x:c>
      <x:c r="M5" s="38" t="n">
        <x:f>'Financial_Model'!B25</x:f>
        <x:v>-2.722220128308918</x:v>
      </x:c>
      <x:c r="N5" s="38" t="n">
        <x:f>'Financial_Model'!B30</x:f>
        <x:v>-818.1973594262001</x:v>
      </x:c>
      <x:c r="O5" s="38" t="n">
        <x:f>'Financial_Model'!B32</x:f>
        <x:v>831.8026405737999</x:v>
      </x:c>
      <x:c r="P5" s="34" t="n">
        <x:f>'Financial_Model'!B33</x:f>
        <x:v>357661.53</x:v>
      </x:c>
      <x:c r="Q5" s="34" t="n">
        <x:f>'Financial_Model'!B34</x:f>
        <x:v>0</x:v>
      </x:c>
      <x:c r="R5" t="str">
        <x:f>IF(Q5&gt;0,"Inventory Watch",IF(O5&lt;500,"Cash Watch","OK"))</x:f>
        <x:v>OK</x:v>
      </x:c>
    </x:row>
    <x:row r="6">
      <x:c r="A6" s="32" t="n">
        <x:v>45689</x:v>
      </x:c>
      <x:c r="B6" t="str">
        <x:v>Feb 2025</x:v>
      </x:c>
      <x:c r="C6" t="str">
        <x:v>Actual</x:v>
      </x:c>
      <x:c r="D6" s="34" t="n">
        <x:f>'Financial_Model'!C7</x:f>
        <x:v>5521</x:v>
      </x:c>
      <x:c r="E6" s="38" t="n">
        <x:f>'Financial_Model'!C11</x:f>
        <x:v>163.28496425</x:v>
      </x:c>
      <x:c r="F6" s="28" t="n">
        <x:f>'Financial_Model'!C14</x:f>
        <x:v>0.5935388766207236</x:v>
      </x:c>
      <x:c r="G6" s="38" t="n">
        <x:f>'Financial_Model'!C19</x:f>
        <x:v>50.92982429400003</x:v>
      </x:c>
      <x:c r="H6" s="28" t="n">
        <x:f>'Financial_Model'!C20</x:f>
        <x:v>0.311907618242321</x:v>
      </x:c>
      <x:c r="I6" s="38" t="n">
        <x:f>'Financial_Model'!C21</x:f>
        <x:v>107.83648000000002</x:v>
      </x:c>
      <x:c r="J6" s="38" t="n">
        <x:f>'Financial_Model'!C22</x:f>
        <x:v>263.872</x:v>
      </x:c>
      <x:c r="K6" s="38" t="n">
        <x:f>'Financial_Model'!C23</x:f>
        <x:v>125.99999999999994</x:v>
      </x:c>
      <x:c r="L6" s="38" t="n">
        <x:f>'Financial_Model'!C24</x:f>
        <x:v>-446.77865570599994</x:v>
      </x:c>
      <x:c r="M6" s="38" t="n">
        <x:f>'Financial_Model'!C25</x:f>
        <x:v>-2.7361898124431865</x:v>
      </x:c>
      <x:c r="N6" s="38" t="n">
        <x:f>'Financial_Model'!C30</x:f>
        <x:v>-470.71615570599994</x:v>
      </x:c>
      <x:c r="O6" s="38" t="n">
        <x:f>'Financial_Model'!C32</x:f>
        <x:v>361.0864848677999</x:v>
      </x:c>
      <x:c r="P6" s="34" t="n">
        <x:f>'Financial_Model'!C33</x:f>
        <x:v>335980.55249999993</x:v>
      </x:c>
      <x:c r="Q6" s="34" t="n">
        <x:f>'Financial_Model'!C34</x:f>
        <x:v>0</x:v>
      </x:c>
      <x:c r="R6" t="str">
        <x:f>IF(Q6&gt;0,"Inventory Watch",IF(O6&lt;500,"Cash Watch","OK"))</x:f>
        <x:v>Cash Watch</x:v>
      </x:c>
    </x:row>
    <x:row r="7">
      <x:c r="A7" s="32" t="n">
        <x:v>45717</x:v>
      </x:c>
      <x:c r="B7" t="str">
        <x:v>Mar 2025</x:v>
      </x:c>
      <x:c r="C7" t="str">
        <x:v>Actual</x:v>
      </x:c>
      <x:c r="D7" s="34" t="n">
        <x:f>'Financial_Model'!D7</x:f>
        <x:v>6958</x:v>
      </x:c>
      <x:c r="E7" s="38" t="n">
        <x:f>'Financial_Model'!D11</x:f>
        <x:v>206.63777075</x:v>
      </x:c>
      <x:c r="F7" s="28" t="n">
        <x:f>'Financial_Model'!D14</x:f>
        <x:v>0.5949481563984594</x:v>
      </x:c>
      <x:c r="G7" s="38" t="n">
        <x:f>'Financial_Model'!D19</x:f>
        <x:v>64.94582887499998</x:v>
      </x:c>
      <x:c r="H7" s="28" t="n">
        <x:f>'Financial_Model'!D20</x:f>
        <x:v>0.31429795549611533</x:v>
      </x:c>
      <x:c r="I7" s="38" t="n">
        <x:f>'Financial_Model'!D21</x:f>
        <x:v>135.6273</x:v>
      </x:c>
      <x:c r="J7" s="38" t="n">
        <x:f>'Financial_Model'!D22</x:f>
        <x:v>265.7568</x:v>
      </x:c>
      <x:c r="K7" s="38" t="n">
        <x:f>'Financial_Model'!D23</x:f>
        <x:v>126.89999999999998</x:v>
      </x:c>
      <x:c r="L7" s="38" t="n">
        <x:f>'Financial_Model'!D24</x:f>
        <x:v>-463.338271125</x:v>
      </x:c>
      <x:c r="M7" s="38" t="n">
        <x:f>'Financial_Model'!D25</x:f>
        <x:v>-2.2422728886558123</x:v>
      </x:c>
      <x:c r="N7" s="38" t="n">
        <x:f>'Financial_Model'!D30</x:f>
        <x:v>-836.875771125</x:v>
      </x:c>
      <x:c r="O7" s="38" t="n">
        <x:f>'Financial_Model'!D32</x:f>
        <x:v>-475.7892862572001</x:v>
      </x:c>
      <x:c r="P7" s="34" t="n">
        <x:f>'Financial_Model'!D33</x:f>
        <x:v>535848.7275000002</x:v>
      </x:c>
      <x:c r="Q7" s="34" t="n">
        <x:f>'Financial_Model'!D34</x:f>
        <x:v>0</x:v>
      </x:c>
      <x:c r="R7" t="str">
        <x:f>IF(Q7&gt;0,"Inventory Watch",IF(O7&lt;500,"Cash Watch","OK"))</x:f>
        <x:v>Cash Watch</x:v>
      </x:c>
    </x:row>
    <x:row r="8">
      <x:c r="A8" s="32" t="n">
        <x:v>45748</x:v>
      </x:c>
      <x:c r="B8" t="str">
        <x:v>Apr 2025</x:v>
      </x:c>
      <x:c r="C8" t="str">
        <x:v>Actual</x:v>
      </x:c>
      <x:c r="D8" s="34" t="n">
        <x:f>'Financial_Model'!E7</x:f>
        <x:v>5728</x:v>
      </x:c>
      <x:c r="E8" s="38" t="n">
        <x:f>'Financial_Model'!E11</x:f>
        <x:v>171.08029389999996</x:v>
      </x:c>
      <x:c r="F8" s="28" t="n">
        <x:f>'Financial_Model'!E14</x:f>
        <x:v>0.5955482748910568</x:v>
      </x:c>
      <x:c r="G8" s="38" t="n">
        <x:f>'Financial_Model'!E19</x:f>
        <x:v>54.080300980399976</x:v>
      </x:c>
      <x:c r="H8" s="28" t="n">
        <x:f>'Financial_Model'!E20</x:f>
        <x:v>0.3161106387390885</x:v>
      </x:c>
      <x:c r="I8" s="38" t="n">
        <x:f>'Financial_Model'!E21</x:f>
        <x:v>111.72132</x:v>
      </x:c>
      <x:c r="J8" s="38" t="n">
        <x:f>'Financial_Model'!E22</x:f>
        <x:v>267.6416</x:v>
      </x:c>
      <x:c r="K8" s="38" t="n">
        <x:f>'Financial_Model'!E23</x:f>
        <x:v>127.80000000000001</x:v>
      </x:c>
      <x:c r="L8" s="38" t="n">
        <x:f>'Financial_Model'!E24</x:f>
        <x:v>-453.08261901960003</x:v>
      </x:c>
      <x:c r="M8" s="38" t="n">
        <x:f>'Financial_Model'!E25</x:f>
        <x:v>-2.6483624074461574</x:v>
      </x:c>
      <x:c r="N8" s="38" t="n">
        <x:f>'Financial_Model'!E30</x:f>
        <x:v>-826.6201190196</x:v>
      </x:c>
      <x:c r="O8" s="38" t="n">
        <x:f>'Financial_Model'!E32</x:f>
        <x:v>-1302.4094052768</x:v>
      </x:c>
      <x:c r="P8" s="34" t="n">
        <x:f>'Financial_Model'!E33</x:f>
        <x:v>432981.5049999999</x:v>
      </x:c>
      <x:c r="Q8" s="34" t="n">
        <x:f>'Financial_Model'!E34</x:f>
        <x:v>0</x:v>
      </x:c>
      <x:c r="R8" t="str">
        <x:f>IF(Q8&gt;0,"Inventory Watch",IF(O8&lt;500,"Cash Watch","OK"))</x:f>
        <x:v>Cash Watch</x:v>
      </x:c>
    </x:row>
    <x:row r="9">
      <x:c r="A9" s="32" t="n">
        <x:v>45778</x:v>
      </x:c>
      <x:c r="B9" t="str">
        <x:v>May 2025</x:v>
      </x:c>
      <x:c r="C9" t="str">
        <x:v>Actual</x:v>
      </x:c>
      <x:c r="D9" s="34" t="n">
        <x:f>'Financial_Model'!F7</x:f>
        <x:v>5989</x:v>
      </x:c>
      <x:c r="E9" s="38" t="n">
        <x:f>'Financial_Model'!F11</x:f>
        <x:v>180.26374230000002</x:v>
      </x:c>
      <x:c r="F9" s="28" t="n">
        <x:f>'Financial_Model'!F14</x:f>
        <x:v>0.5954730603637315</x:v>
      </x:c>
      <x:c r="G9" s="38" t="n">
        <x:f>'Financial_Model'!F19</x:f>
        <x:v>57.24827380180004</x:v>
      </x:c>
      <x:c r="H9" s="28" t="n">
        <x:f>'Financial_Model'!F20</x:f>
        <x:v>0.317580635303387</x:v>
      </x:c>
      <x:c r="I9" s="38" t="n">
        <x:f>'Financial_Model'!F21</x:f>
        <x:v>117.20058</x:v>
      </x:c>
      <x:c r="J9" s="38" t="n">
        <x:f>'Financial_Model'!F22</x:f>
        <x:v>269.5264</x:v>
      </x:c>
      <x:c r="K9" s="38" t="n">
        <x:f>'Financial_Model'!F23</x:f>
        <x:v>128.70000000000005</x:v>
      </x:c>
      <x:c r="L9" s="38" t="n">
        <x:f>'Financial_Model'!F24</x:f>
        <x:v>-458.1787061982</x:v>
      </x:c>
      <x:c r="M9" s="38" t="n">
        <x:f>'Financial_Model'!F25</x:f>
        <x:v>-2.541713049736236</x:v>
      </x:c>
      <x:c r="N9" s="38" t="n">
        <x:f>'Financial_Model'!F30</x:f>
        <x:v>-482.1162061982</x:v>
      </x:c>
      <x:c r="O9" s="38" t="n">
        <x:f>'Financial_Model'!F32</x:f>
        <x:v>-1784.525611475</x:v>
      </x:c>
      <x:c r="P9" s="34" t="n">
        <x:f>'Financial_Model'!F33</x:f>
        <x:v>497760.5199999999</x:v>
      </x:c>
      <x:c r="Q9" s="34" t="n">
        <x:f>'Financial_Model'!F34</x:f>
        <x:v>0</x:v>
      </x:c>
      <x:c r="R9" t="str">
        <x:f>IF(Q9&gt;0,"Inventory Watch",IF(O9&lt;500,"Cash Watch","OK"))</x:f>
        <x:v>Cash Watch</x:v>
      </x:c>
    </x:row>
    <x:row r="10">
      <x:c r="A10" s="32" t="n">
        <x:v>45809</x:v>
      </x:c>
      <x:c r="B10" t="str">
        <x:v>Jun 2025</x:v>
      </x:c>
      <x:c r="C10" t="str">
        <x:v>Actual</x:v>
      </x:c>
      <x:c r="D10" s="34" t="n">
        <x:f>'Financial_Model'!G7</x:f>
        <x:v>7784</x:v>
      </x:c>
      <x:c r="E10" s="38" t="n">
        <x:f>'Financial_Model'!G11</x:f>
        <x:v>235.4333664500001</x:v>
      </x:c>
      <x:c r="F10" s="28" t="n">
        <x:f>'Financial_Model'!G14</x:f>
        <x:v>0.5952719810416665</x:v>
      </x:c>
      <x:c r="G10" s="38" t="n">
        <x:f>'Financial_Model'!G19</x:f>
        <x:v>74.96494763470018</x:v>
      </x:c>
      <x:c r="H10" s="28" t="n">
        <x:f>'Financial_Model'!G20</x:f>
        <x:v>0.31841258851735776</x:v>
      </x:c>
      <x:c r="I10" s="38" t="n">
        <x:f>'Financial_Model'!G21</x:f>
        <x:v>152.54850000000002</x:v>
      </x:c>
      <x:c r="J10" s="38" t="n">
        <x:f>'Financial_Model'!G22</x:f>
        <x:v>271.4112</x:v>
      </x:c>
      <x:c r="K10" s="38" t="n">
        <x:f>'Financial_Model'!G23</x:f>
        <x:v>129.59999999999997</x:v>
      </x:c>
      <x:c r="L10" s="38" t="n">
        <x:f>'Financial_Model'!G24</x:f>
        <x:v>-478.5947523652998</x:v>
      </x:c>
      <x:c r="M10" s="38" t="n">
        <x:f>'Financial_Model'!G25</x:f>
        <x:v>-2.032824656852285</x:v>
      </x:c>
      <x:c r="N10" s="38" t="n">
        <x:f>'Financial_Model'!G30</x:f>
        <x:v>-852.1322523652998</x:v>
      </x:c>
      <x:c r="O10" s="38" t="n">
        <x:f>'Financial_Model'!G32</x:f>
        <x:v>-2636.6578638403</x:v>
      </x:c>
      <x:c r="P10" s="34" t="n">
        <x:f>'Financial_Model'!G33</x:f>
        <x:v>646900.1275</x:v>
      </x:c>
      <x:c r="Q10" s="34" t="n">
        <x:f>'Financial_Model'!G34</x:f>
        <x:v>0</x:v>
      </x:c>
      <x:c r="R10" t="str">
        <x:f>IF(Q10&gt;0,"Inventory Watch",IF(O10&lt;500,"Cash Watch","OK"))</x:f>
        <x:v>Cash Watch</x:v>
      </x:c>
    </x:row>
    <x:row r="11">
      <x:c r="A11" s="32" t="n">
        <x:v>45839</x:v>
      </x:c>
      <x:c r="B11" t="str">
        <x:v>Jul 2025</x:v>
      </x:c>
      <x:c r="C11" t="str">
        <x:v>Actual</x:v>
      </x:c>
      <x:c r="D11" s="34" t="n">
        <x:f>'Financial_Model'!H7</x:f>
        <x:v>6335</x:v>
      </x:c>
      <x:c r="E11" s="38" t="n">
        <x:f>'Financial_Model'!H11</x:f>
        <x:v>191.42448674999997</x:v>
      </x:c>
      <x:c r="F11" s="28" t="n">
        <x:f>'Financial_Model'!H14</x:f>
        <x:v>0.5950565608608063</x:v>
      </x:c>
      <x:c r="G11" s="38" t="n">
        <x:f>'Financial_Model'!H19</x:f>
        <x:v>60.88044958349997</x:v>
      </x:c>
      <x:c r="H11" s="28" t="n">
        <x:f>'Financial_Model'!H20</x:f>
        <x:v>0.31803898559231725</x:v>
      </x:c>
      <x:c r="I11" s="38" t="n">
        <x:f>'Financial_Model'!H21</x:f>
        <x:v>124.17744</x:v>
      </x:c>
      <x:c r="J11" s="38" t="n">
        <x:f>'Financial_Model'!H22</x:f>
        <x:v>273.29600000000005</x:v>
      </x:c>
      <x:c r="K11" s="38" t="n">
        <x:f>'Financial_Model'!H23</x:f>
        <x:v>130.50000000000006</x:v>
      </x:c>
      <x:c r="L11" s="38" t="n">
        <x:f>'Financial_Model'!H24</x:f>
        <x:v>-467.09299041650013</x:v>
      </x:c>
      <x:c r="M11" s="38" t="n">
        <x:f>'Financial_Model'!H25</x:f>
        <x:v>-2.4400900759709114</x:v>
      </x:c>
      <x:c r="N11" s="38" t="n">
        <x:f>'Financial_Model'!H30</x:f>
        <x:v>-491.03049041650013</x:v>
      </x:c>
      <x:c r="O11" s="38" t="n">
        <x:f>'Financial_Model'!H32</x:f>
        <x:v>-3127.6883542568</x:v>
      </x:c>
      <x:c r="P11" s="34" t="n">
        <x:f>'Financial_Model'!H33</x:f>
        <x:v>560061.3525</x:v>
      </x:c>
      <x:c r="Q11" s="34" t="n">
        <x:f>'Financial_Model'!H34</x:f>
        <x:v>0</x:v>
      </x:c>
      <x:c r="R11" t="str">
        <x:f>IF(Q11&gt;0,"Inventory Watch",IF(O11&lt;500,"Cash Watch","OK"))</x:f>
        <x:v>Cash Watch</x:v>
      </x:c>
    </x:row>
    <x:row r="12">
      <x:c r="A12" s="32" t="n">
        <x:v>45870</x:v>
      </x:c>
      <x:c r="B12" t="str">
        <x:v>Aug 2025</x:v>
      </x:c>
      <x:c r="C12" t="str">
        <x:v>Actual</x:v>
      </x:c>
      <x:c r="D12" s="34" t="n">
        <x:f>'Financial_Model'!I7</x:f>
        <x:v>6282</x:v>
      </x:c>
      <x:c r="E12" s="38" t="n">
        <x:f>'Financial_Model'!I11</x:f>
        <x:v>188.39995489999998</x:v>
      </x:c>
      <x:c r="F12" s="28" t="n">
        <x:f>'Financial_Model'!I14</x:f>
        <x:v>0.5947801046952373</x:v>
      </x:c>
      <x:c r="G12" s="38" t="n">
        <x:f>'Financial_Model'!I19</x:f>
        <x:v>59.57176849839998</x:v>
      </x:c>
      <x:c r="H12" s="28" t="n">
        <x:f>'Financial_Model'!I20</x:f>
        <x:v>0.3161984222874142</x:v>
      </x:c>
      <x:c r="I12" s="38" t="n">
        <x:f>'Financial_Model'!I21</x:f>
        <x:v>122.82400000000001</x:v>
      </x:c>
      <x:c r="J12" s="38" t="n">
        <x:f>'Financial_Model'!I22</x:f>
        <x:v>275.18080000000003</x:v>
      </x:c>
      <x:c r="K12" s="38" t="n">
        <x:f>'Financial_Model'!I23</x:f>
        <x:v>131.39999999999998</x:v>
      </x:c>
      <x:c r="L12" s="38" t="n">
        <x:f>'Financial_Model'!I24</x:f>
        <x:v>-469.83303150160003</x:v>
      </x:c>
      <x:c r="M12" s="38" t="n">
        <x:f>'Financial_Model'!I25</x:f>
        <x:v>-2.493806496668116</x:v>
      </x:c>
      <x:c r="N12" s="38" t="n">
        <x:f>'Financial_Model'!I30</x:f>
        <x:v>-843.3705315016</x:v>
      </x:c>
      <x:c r="O12" s="38" t="n">
        <x:f>'Financial_Model'!I32</x:f>
        <x:v>-3971.0588857584</x:v>
      </x:c>
      <x:c r="P12" s="34" t="n">
        <x:f>'Financial_Model'!I33</x:f>
        <x:v>593928.3249999998</x:v>
      </x:c>
      <x:c r="Q12" s="34" t="n">
        <x:f>'Financial_Model'!I34</x:f>
        <x:v>0</x:v>
      </x:c>
      <x:c r="R12" t="str">
        <x:f>IF(Q12&gt;0,"Inventory Watch",IF(O12&lt;500,"Cash Watch","OK"))</x:f>
        <x:v>Cash Watch</x:v>
      </x:c>
    </x:row>
    <x:row r="13">
      <x:c r="A13" s="32" t="n">
        <x:v>45901</x:v>
      </x:c>
      <x:c r="B13" t="str">
        <x:v>Sep 2025</x:v>
      </x:c>
      <x:c r="C13" t="str">
        <x:v>Actual</x:v>
      </x:c>
      <x:c r="D13" s="34" t="n">
        <x:f>'Financial_Model'!J7</x:f>
        <x:v>7887</x:v>
      </x:c>
      <x:c r="E13" s="38" t="n">
        <x:f>'Financial_Model'!J11</x:f>
        <x:v>234.8768838999999</x:v>
      </x:c>
      <x:c r="F13" s="28" t="n">
        <x:f>'Financial_Model'!J14</x:f>
        <x:v>0.5940600521565416</x:v>
      </x:c>
      <x:c r="G13" s="38" t="n">
        <x:f>'Financial_Model'!J19</x:f>
        <x:v>73.73915159139993</x:v>
      </x:c>
      <x:c r="H13" s="28" t="n">
        <x:f>'Financial_Model'!J20</x:f>
        <x:v>0.31394810066875195</x:v>
      </x:c>
      <x:c r="I13" s="38" t="n">
        <x:f>'Financial_Model'!J21</x:f>
        <x:v>154.16926000000004</x:v>
      </x:c>
      <x:c r="J13" s="38" t="n">
        <x:f>'Financial_Model'!J22</x:f>
        <x:v>277.0656</x:v>
      </x:c>
      <x:c r="K13" s="38" t="n">
        <x:f>'Financial_Model'!J23</x:f>
        <x:v>132.3</x:v>
      </x:c>
      <x:c r="L13" s="38" t="n">
        <x:f>'Financial_Model'!J24</x:f>
        <x:v>-489.79570840860015</x:v>
      </x:c>
      <x:c r="M13" s="38" t="n">
        <x:f>'Financial_Model'!J25</x:f>
        <x:v>-2.085329557663637</x:v>
      </x:c>
      <x:c r="N13" s="38" t="n">
        <x:f>'Financial_Model'!J30</x:f>
        <x:v>-513.7332084086001</x:v>
      </x:c>
      <x:c r="O13" s="38" t="n">
        <x:f>'Financial_Model'!J32</x:f>
        <x:v>-4484.792094167</x:v>
      </x:c>
      <x:c r="P13" s="34" t="n">
        <x:f>'Financial_Model'!J33</x:f>
        <x:v>780910.3599999999</x:v>
      </x:c>
      <x:c r="Q13" s="34" t="n">
        <x:f>'Financial_Model'!J34</x:f>
        <x:v>0</x:v>
      </x:c>
      <x:c r="R13" t="str">
        <x:f>IF(Q13&gt;0,"Inventory Watch",IF(O13&lt;500,"Cash Watch","OK"))</x:f>
        <x:v>Cash Watch</x:v>
      </x:c>
    </x:row>
    <x:row r="14">
      <x:c r="A14" s="32" t="n">
        <x:v>45931</x:v>
      </x:c>
      <x:c r="B14" t="str">
        <x:v>Oct 2025</x:v>
      </x:c>
      <x:c r="C14" t="str">
        <x:v>Actual</x:v>
      </x:c>
      <x:c r="D14" s="34" t="n">
        <x:f>'Financial_Model'!K7</x:f>
        <x:v>6521</x:v>
      </x:c>
      <x:c r="E14" s="38" t="n">
        <x:f>'Financial_Model'!K11</x:f>
        <x:v>193.41236370000004</x:v>
      </x:c>
      <x:c r="F14" s="28" t="n">
        <x:f>'Financial_Model'!K14</x:f>
        <x:v>0.5922603473151187</x:v>
      </x:c>
      <x:c r="G14" s="38" t="n">
        <x:f>'Financial_Model'!K19</x:f>
        <x:v>60.202155624200074</x:v>
      </x:c>
      <x:c r="H14" s="28" t="n">
        <x:f>'Financial_Model'!K20</x:f>
        <x:v>0.3112632226426798</x:v>
      </x:c>
      <x:c r="I14" s="38" t="n">
        <x:f>'Financial_Model'!K21</x:f>
        <x:v>127.7641</x:v>
      </x:c>
      <x:c r="J14" s="38" t="n">
        <x:f>'Financial_Model'!K22</x:f>
        <x:v>278.9504</x:v>
      </x:c>
      <x:c r="K14" s="38" t="n">
        <x:f>'Financial_Model'!K23</x:f>
        <x:v>133.2</x:v>
      </x:c>
      <x:c r="L14" s="38" t="n">
        <x:f>'Financial_Model'!K24</x:f>
        <x:v>-479.7123443757999</x:v>
      </x:c>
      <x:c r="M14" s="38" t="n">
        <x:f>'Financial_Model'!K25</x:f>
        <x:v>-2.48025687292606</x:v>
      </x:c>
      <x:c r="N14" s="38" t="n">
        <x:f>'Financial_Model'!K30</x:f>
        <x:v>-853.2498443758</x:v>
      </x:c>
      <x:c r="O14" s="38" t="n">
        <x:f>'Financial_Model'!K32</x:f>
        <x:v>-5338.0419385427995</x:v>
      </x:c>
      <x:c r="P14" s="34" t="n">
        <x:f>'Financial_Model'!K33</x:f>
        <x:v>684231.8749999998</x:v>
      </x:c>
      <x:c r="Q14" s="34" t="n">
        <x:f>'Financial_Model'!K34</x:f>
        <x:v>0</x:v>
      </x:c>
      <x:c r="R14" t="str">
        <x:f>IF(Q14&gt;0,"Inventory Watch",IF(O14&lt;500,"Cash Watch","OK"))</x:f>
        <x:v>Cash Watch</x:v>
      </x:c>
    </x:row>
    <x:row r="15">
      <x:c r="A15" s="32" t="n">
        <x:v>45962</x:v>
      </x:c>
      <x:c r="B15" t="str">
        <x:v>Nov 2025</x:v>
      </x:c>
      <x:c r="C15" t="str">
        <x:v>Actual</x:v>
      </x:c>
      <x:c r="D15" s="34" t="n">
        <x:f>'Financial_Model'!L7</x:f>
        <x:v>6766</x:v>
      </x:c>
      <x:c r="E15" s="38" t="n">
        <x:f>'Financial_Model'!L11</x:f>
        <x:v>199.87287629999997</x:v>
      </x:c>
      <x:c r="F15" s="28" t="n">
        <x:f>'Financial_Model'!L14</x:f>
        <x:v>0.5900840498386325</x:v>
      </x:c>
      <x:c r="G15" s="38" t="n">
        <x:f>'Financial_Model'!L19</x:f>
        <x:v>61.60532068580001</x:v>
      </x:c>
      <x:c r="H15" s="28" t="n">
        <x:f>'Financial_Model'!L20</x:f>
        <x:v>0.3082225153618806</x:v>
      </x:c>
      <x:c r="I15" s="38" t="n">
        <x:f>'Financial_Model'!L21</x:f>
        <x:v>132.95069999999998</x:v>
      </x:c>
      <x:c r="J15" s="38" t="n">
        <x:f>'Financial_Model'!L22</x:f>
        <x:v>280.83520000000004</x:v>
      </x:c>
      <x:c r="K15" s="38" t="n">
        <x:f>'Financial_Model'!L23</x:f>
        <x:v>134.09999999999997</x:v>
      </x:c>
      <x:c r="L15" s="38" t="n">
        <x:f>'Financial_Model'!L24</x:f>
        <x:v>-486.2805793142</x:v>
      </x:c>
      <x:c r="M15" s="38" t="n">
        <x:f>'Financial_Model'!L25</x:f>
        <x:v>-2.432949324171006</x:v>
      </x:c>
      <x:c r="N15" s="38" t="n">
        <x:f>'Financial_Model'!L30</x:f>
        <x:v>-510.2180793142</x:v>
      </x:c>
      <x:c r="O15" s="38" t="n">
        <x:f>'Financial_Model'!L32</x:f>
        <x:v>-5848.260017856999</x:v>
      </x:c>
      <x:c r="P15" s="34" t="n">
        <x:f>'Financial_Model'!L33</x:f>
        <x:v>687347.7499999999</x:v>
      </x:c>
      <x:c r="Q15" s="34" t="n">
        <x:f>'Financial_Model'!L34</x:f>
        <x:v>0</x:v>
      </x:c>
      <x:c r="R15" t="str">
        <x:f>IF(Q15&gt;0,"Inventory Watch",IF(O15&lt;500,"Cash Watch","OK"))</x:f>
        <x:v>Cash Watch</x:v>
      </x:c>
    </x:row>
    <x:row r="16">
      <x:c r="A16" s="32" t="n">
        <x:v>45992</x:v>
      </x:c>
      <x:c r="B16" t="str">
        <x:v>Dec 2025</x:v>
      </x:c>
      <x:c r="C16" t="str">
        <x:v>Actual</x:v>
      </x:c>
      <x:c r="D16" s="34" t="n">
        <x:f>'Financial_Model'!M7</x:f>
        <x:v>8684</x:v>
      </x:c>
      <x:c r="E16" s="38" t="n">
        <x:f>'Financial_Model'!M11</x:f>
        <x:v>255.91660025000007</x:v>
      </x:c>
      <x:c r="F16" s="28" t="n">
        <x:f>'Financial_Model'!M14</x:f>
        <x:v>0.5890091541648635</x:v>
      </x:c>
      <x:c r="G16" s="38" t="n">
        <x:f>'Financial_Model'!M19</x:f>
        <x:v>78.46427693350006</x:v>
      </x:c>
      <x:c r="H16" s="28" t="n">
        <x:f>'Financial_Model'!M20</x:f>
        <x:v>0.30660096631812783</x:v>
      </x:c>
      <x:c r="I16" s="38" t="n">
        <x:f>'Financial_Model'!M21</x:f>
        <x:v>170.98750000000004</x:v>
      </x:c>
      <x:c r="J16" s="38" t="n">
        <x:f>'Financial_Model'!M22</x:f>
        <x:v>282.71999999999997</x:v>
      </x:c>
      <x:c r="K16" s="38" t="n">
        <x:f>'Financial_Model'!M23</x:f>
        <x:v>135</x:v>
      </x:c>
      <x:c r="L16" s="38" t="n">
        <x:f>'Financial_Model'!M24</x:f>
        <x:v>-510.2432230664999</x:v>
      </x:c>
      <x:c r="M16" s="38" t="n">
        <x:f>'Financial_Model'!M25</x:f>
        <x:v>-1.9937871266188008</x:v>
      </x:c>
      <x:c r="N16" s="38" t="n">
        <x:f>'Financial_Model'!M30</x:f>
        <x:v>-883.7807230665</x:v>
      </x:c>
      <x:c r="O16" s="38" t="n">
        <x:f>'Financial_Model'!M32</x:f>
        <x:v>-6732.0407409234995</x:v>
      </x:c>
      <x:c r="P16" s="34" t="n">
        <x:f>'Financial_Model'!M33</x:f>
        <x:v>938418.2749999999</x:v>
      </x:c>
      <x:c r="Q16" s="34" t="n">
        <x:f>'Financial_Model'!M34</x:f>
        <x:v>0</x:v>
      </x:c>
      <x:c r="R16" t="str">
        <x:f>IF(Q16&gt;0,"Inventory Watch",IF(O16&lt;500,"Cash Watch","OK"))</x:f>
        <x:v>Cash Watch</x:v>
      </x:c>
    </x:row>
    <x:row r="17">
      <x:c r="A17" s="32" t="n">
        <x:v>46023</x:v>
      </x:c>
      <x:c r="B17" t="str">
        <x:v>Jan 2026</x:v>
      </x:c>
      <x:c r="C17" t="str">
        <x:v>Forecast</x:v>
      </x:c>
      <x:c r="D17" s="34" t="n">
        <x:f>'Financial_Model'!N7</x:f>
        <x:v>8144</x:v>
      </x:c>
      <x:c r="E17" s="38" t="n">
        <x:f>'Financial_Model'!N11</x:f>
        <x:v>240.47031799999996</x:v>
      </x:c>
      <x:c r="F17" s="28" t="n">
        <x:f>'Financial_Model'!N14</x:f>
        <x:v>0.5920843752533317</x:v>
      </x:c>
      <x:c r="G17" s="38" t="n">
        <x:f>'Financial_Model'!N19</x:f>
        <x:v>74.57837298199999</x:v>
      </x:c>
      <x:c r="H17" s="28" t="n">
        <x:f>'Financial_Model'!N20</x:f>
        <x:v>0.3101354612172967</x:v>
      </x:c>
      <x:c r="I17" s="38" t="n">
        <x:f>'Financial_Model'!N21</x:f>
        <x:v>159.37039999999996</x:v>
      </x:c>
      <x:c r="J17" s="38" t="n">
        <x:f>'Financial_Model'!N22</x:f>
        <x:v>282.71999999999997</x:v>
      </x:c>
      <x:c r="K17" s="38" t="n">
        <x:f>'Financial_Model'!N23</x:f>
        <x:v>135</x:v>
      </x:c>
      <x:c r="L17" s="38" t="n">
        <x:f>'Financial_Model'!N24</x:f>
        <x:v>-502.5120270179999</x:v>
      </x:c>
      <x:c r="M17" s="38" t="n">
        <x:f>'Financial_Model'!N25</x:f>
        <x:v>-2.089705004748237</x:v>
      </x:c>
      <x:c r="N17" s="38" t="n">
        <x:f>'Financial_Model'!N30</x:f>
        <x:v>-526.4495270179999</x:v>
      </x:c>
      <x:c r="O17" s="38" t="n">
        <x:f>'Financial_Model'!N32</x:f>
        <x:v>-7258.490267941499</x:v>
      </x:c>
      <x:c r="P17" s="34" t="n">
        <x:f>'Financial_Model'!N33</x:f>
        <x:v>740522.1099999998</x:v>
      </x:c>
      <x:c r="Q17" s="34" t="n">
        <x:f>'Financial_Model'!N34</x:f>
        <x:v>0</x:v>
      </x:c>
      <x:c r="R17" t="str">
        <x:f>IF(Q17&gt;0,"Inventory Watch",IF(O17&lt;500,"Cash Watch","OK"))</x:f>
        <x:v>Cash Watch</x:v>
      </x:c>
    </x:row>
    <x:row r="18">
      <x:c r="A18" s="32" t="n">
        <x:v>46054</x:v>
      </x:c>
      <x:c r="B18" t="str">
        <x:v>Feb 2026</x:v>
      </x:c>
      <x:c r="C18" t="str">
        <x:v>Forecast</x:v>
      </x:c>
      <x:c r="D18" s="34" t="n">
        <x:f>'Financial_Model'!O7</x:f>
        <x:v>7992</x:v>
      </x:c>
      <x:c r="E18" s="38" t="n">
        <x:f>'Financial_Model'!O11</x:f>
        <x:v>236.3245147999999</x:v>
      </x:c>
      <x:c r="F18" s="28" t="n">
        <x:f>'Financial_Model'!O14</x:f>
        <x:v>0.5935338317258653</x:v>
      </x:c>
      <x:c r="G18" s="38" t="n">
        <x:f>'Financial_Model'!O19</x:f>
        <x:v>73.6876872427999</x:v>
      </x:c>
      <x:c r="H18" s="28" t="n">
        <x:f>'Financial_Model'!O20</x:f>
        <x:v>0.31180720842762066</x:v>
      </x:c>
      <x:c r="I18" s="38" t="n">
        <x:f>'Financial_Model'!O21</x:f>
        <x:v>156.15304000000003</x:v>
      </x:c>
      <x:c r="J18" s="38" t="n">
        <x:f>'Financial_Model'!O22</x:f>
        <x:v>282.71999999999997</x:v>
      </x:c>
      <x:c r="K18" s="38" t="n">
        <x:f>'Financial_Model'!O23</x:f>
        <x:v>135</x:v>
      </x:c>
      <x:c r="L18" s="38" t="n">
        <x:f>'Financial_Model'!O24</x:f>
        <x:v>-500.1853527572001</x:v>
      </x:c>
      <x:c r="M18" s="38" t="n">
        <x:f>'Financial_Model'!O25</x:f>
        <x:v>-2.1165191143225415</x:v>
      </x:c>
      <x:c r="N18" s="38" t="n">
        <x:f>'Financial_Model'!O30</x:f>
        <x:v>-524.1228527572001</x:v>
      </x:c>
      <x:c r="O18" s="38" t="n">
        <x:f>'Financial_Model'!O32</x:f>
        <x:v>-7782.613120698699</x:v>
      </x:c>
      <x:c r="P18" s="34" t="n">
        <x:f>'Financial_Model'!O33</x:f>
        <x:v>708931.1399999997</x:v>
      </x:c>
      <x:c r="Q18" s="34" t="n">
        <x:f>'Financial_Model'!O34</x:f>
        <x:v>0</x:v>
      </x:c>
      <x:c r="R18" t="str">
        <x:f>IF(Q18&gt;0,"Inventory Watch",IF(O18&lt;500,"Cash Watch","OK"))</x:f>
        <x:v>Cash Watch</x:v>
      </x:c>
    </x:row>
    <x:row r="19">
      <x:c r="A19" s="32" t="n">
        <x:v>46082</x:v>
      </x:c>
      <x:c r="B19" t="str">
        <x:v>Mar 2026</x:v>
      </x:c>
      <x:c r="C19" t="str">
        <x:v>Forecast</x:v>
      </x:c>
      <x:c r="D19" s="34" t="n">
        <x:f>'Financial_Model'!P7</x:f>
        <x:v>9890</x:v>
      </x:c>
      <x:c r="E19" s="38" t="n">
        <x:f>'Financial_Model'!P11</x:f>
        <x:v>293.5999689999998</x:v>
      </x:c>
      <x:c r="F19" s="28" t="n">
        <x:f>'Financial_Model'!P14</x:f>
        <x:v>0.594937968130371</x:v>
      </x:c>
      <x:c r="G19" s="38" t="n">
        <x:f>'Financial_Model'!P19</x:f>
        <x:v>92.2285977064998</x:v>
      </x:c>
      <x:c r="H19" s="28" t="n">
        <x:f>'Financial_Model'!P20</x:f>
        <x:v>0.3141301343478679</x:v>
      </x:c>
      <x:c r="I19" s="38" t="n">
        <x:f>'Financial_Model'!P21</x:f>
        <x:v>192.83780000000002</x:v>
      </x:c>
      <x:c r="J19" s="38" t="n">
        <x:f>'Financial_Model'!P22</x:f>
        <x:v>282.71999999999997</x:v>
      </x:c>
      <x:c r="K19" s="38" t="n">
        <x:f>'Financial_Model'!P23</x:f>
        <x:v>135</x:v>
      </x:c>
      <x:c r="L19" s="38" t="n">
        <x:f>'Financial_Model'!P24</x:f>
        <x:v>-518.3292022935002</x:v>
      </x:c>
      <x:c r="M19" s="38" t="n">
        <x:f>'Financial_Model'!P25</x:f>
        <x:v>-1.7654266247333987</x:v>
      </x:c>
      <x:c r="N19" s="38" t="n">
        <x:f>'Financial_Model'!P30</x:f>
        <x:v>-542.2667022935002</x:v>
      </x:c>
      <x:c r="O19" s="38" t="n">
        <x:f>'Financial_Model'!P32</x:f>
        <x:v>-8324.8798229922</x:v>
      </x:c>
      <x:c r="P19" s="34" t="n">
        <x:f>'Financial_Model'!P33</x:f>
        <x:v>842341.3124999997</x:v>
      </x:c>
      <x:c r="Q19" s="34" t="n">
        <x:f>'Financial_Model'!P34</x:f>
        <x:v>0</x:v>
      </x:c>
      <x:c r="R19" t="str">
        <x:f>IF(Q19&gt;0,"Inventory Watch",IF(O19&lt;500,"Cash Watch","OK"))</x:f>
        <x:v>Cash Watch</x:v>
      </x:c>
    </x:row>
    <x:row r="20">
      <x:c r="A20" s="32" t="n">
        <x:v>46113</x:v>
      </x:c>
      <x:c r="B20" t="str">
        <x:v>Apr 2026</x:v>
      </x:c>
      <x:c r="C20" t="str">
        <x:v>Forecast</x:v>
      </x:c>
      <x:c r="D20" s="34" t="n">
        <x:f>'Financial_Model'!Q7</x:f>
        <x:v>7992</x:v>
      </x:c>
      <x:c r="E20" s="38" t="n">
        <x:f>'Financial_Model'!Q11</x:f>
        <x:v>238.73445799999988</x:v>
      </x:c>
      <x:c r="F20" s="28" t="n">
        <x:f>'Financial_Model'!Q14</x:f>
        <x:v>0.5956484840575463</x:v>
      </x:c>
      <x:c r="G20" s="38" t="n">
        <x:f>'Financial_Model'!Q19</x:f>
        <x:v>75.45938768199989</x:v>
      </x:c>
      <x:c r="H20" s="28" t="n">
        <x:f>'Financial_Model'!Q20</x:f>
        <x:v>0.3160808385775627</x:v>
      </x:c>
      <x:c r="I20" s="38" t="n">
        <x:f>'Financial_Model'!Q21</x:f>
        <x:v>156.01288</x:v>
      </x:c>
      <x:c r="J20" s="38" t="n">
        <x:f>'Financial_Model'!Q22</x:f>
        <x:v>282.71999999999997</x:v>
      </x:c>
      <x:c r="K20" s="38" t="n">
        <x:f>'Financial_Model'!Q23</x:f>
        <x:v>135</x:v>
      </x:c>
      <x:c r="L20" s="38" t="n">
        <x:f>'Financial_Model'!Q24</x:f>
        <x:v>-498.2734923180001</x:v>
      </x:c>
      <x:c r="M20" s="38" t="n">
        <x:f>'Financial_Model'!Q25</x:f>
        <x:v>-2.0871452596005238</x:v>
      </x:c>
      <x:c r="N20" s="38" t="n">
        <x:f>'Financial_Model'!Q30</x:f>
        <x:v>-522.2109923180001</x:v>
      </x:c>
      <x:c r="O20" s="38" t="n">
        <x:f>'Financial_Model'!Q32</x:f>
        <x:v>-8847.0908153102</x:v>
      </x:c>
      <x:c r="P20" s="34" t="n">
        <x:f>'Financial_Model'!Q33</x:f>
        <x:v>638735.3299999996</x:v>
      </x:c>
      <x:c r="Q20" s="34" t="n">
        <x:f>'Financial_Model'!Q34</x:f>
        <x:v>0</x:v>
      </x:c>
      <x:c r="R20" t="str">
        <x:f>IF(Q20&gt;0,"Inventory Watch",IF(O20&lt;500,"Cash Watch","OK"))</x:f>
        <x:v>Cash Watch</x:v>
      </x:c>
    </x:row>
    <x:row r="21">
      <x:c r="A21" s="32" t="n">
        <x:v>46143</x:v>
      </x:c>
      <x:c r="B21" t="str">
        <x:v>May 2026</x:v>
      </x:c>
      <x:c r="C21" t="str">
        <x:v>Forecast</x:v>
      </x:c>
      <x:c r="D21" s="34" t="n">
        <x:f>'Financial_Model'!R7</x:f>
        <x:v>8228</x:v>
      </x:c>
      <x:c r="E21" s="38" t="n">
        <x:f>'Financial_Model'!R11</x:f>
        <x:v>247.5833623999999</x:v>
      </x:c>
      <x:c r="F21" s="28" t="n">
        <x:f>'Financial_Model'!R14</x:f>
        <x:v>0.5954647395159538</x:v>
      </x:c>
      <x:c r="G21" s="38" t="n">
        <x:f>'Financial_Model'!R19</x:f>
        <x:v>78.5995468803999</x:v>
      </x:c>
      <x:c r="H21" s="28" t="n">
        <x:f>'Financial_Model'!R20</x:f>
        <x:v>0.31746699826062275</x:v>
      </x:c>
      <x:c r="I21" s="38" t="n">
        <x:f>'Financial_Model'!R21</x:f>
        <x:v>161.11303999999998</x:v>
      </x:c>
      <x:c r="J21" s="38" t="n">
        <x:f>'Financial_Model'!R22</x:f>
        <x:v>282.71999999999997</x:v>
      </x:c>
      <x:c r="K21" s="38" t="n">
        <x:f>'Financial_Model'!R23</x:f>
        <x:v>135</x:v>
      </x:c>
      <x:c r="L21" s="38" t="n">
        <x:f>'Financial_Model'!R24</x:f>
        <x:v>-500.23349311960004</x:v>
      </x:c>
      <x:c r="M21" s="38" t="n">
        <x:f>'Financial_Model'!R25</x:f>
        <x:v>-2.020464898248753</x:v>
      </x:c>
      <x:c r="N21" s="38" t="n">
        <x:f>'Financial_Model'!R30</x:f>
        <x:v>-524.1709931196001</x:v>
      </x:c>
      <x:c r="O21" s="38" t="n">
        <x:f>'Financial_Model'!R32</x:f>
        <x:v>-9371.2618084298</x:v>
      </x:c>
      <x:c r="P21" s="34" t="n">
        <x:f>'Financial_Model'!R33</x:f>
        <x:v>606786.9549999998</x:v>
      </x:c>
      <x:c r="Q21" s="34" t="n">
        <x:f>'Financial_Model'!R34</x:f>
        <x:v>0</x:v>
      </x:c>
      <x:c r="R21" t="str">
        <x:f>IF(Q21&gt;0,"Inventory Watch",IF(O21&lt;500,"Cash Watch","OK"))</x:f>
        <x:v>Cash Watch</x:v>
      </x:c>
    </x:row>
    <x:row r="22">
      <x:c r="A22" s="32" t="n">
        <x:v>46174</x:v>
      </x:c>
      <x:c r="B22" t="str">
        <x:v>Jun 2026</x:v>
      </x:c>
      <x:c r="C22" t="str">
        <x:v>Forecast</x:v>
      </x:c>
      <x:c r="D22" s="34" t="n">
        <x:f>'Financial_Model'!S7</x:f>
        <x:v>10510</x:v>
      </x:c>
      <x:c r="E22" s="38" t="n">
        <x:f>'Financial_Model'!S11</x:f>
        <x:v>317.90184100000005</x:v>
      </x:c>
      <x:c r="F22" s="28" t="n">
        <x:f>'Financial_Model'!S14</x:f>
        <x:v>0.5953137622754441</x:v>
      </x:c>
      <x:c r="G22" s="38" t="n">
        <x:f>'Financial_Model'!S19</x:f>
        <x:v>101.22241659350006</x:v>
      </x:c>
      <x:c r="H22" s="28" t="n">
        <x:f>'Financial_Model'!S20</x:f>
        <x:v>0.31840777101224793</x:v>
      </x:c>
      <x:c r="I22" s="38" t="n">
        <x:f>'Financial_Model'!S21</x:f>
        <x:v>206.08100000000005</x:v>
      </x:c>
      <x:c r="J22" s="38" t="n">
        <x:f>'Financial_Model'!S22</x:f>
        <x:v>282.71999999999997</x:v>
      </x:c>
      <x:c r="K22" s="38" t="n">
        <x:f>'Financial_Model'!S23</x:f>
        <x:v>135</x:v>
      </x:c>
      <x:c r="L22" s="38" t="n">
        <x:f>'Financial_Model'!S24</x:f>
        <x:v>-522.5785834065</x:v>
      </x:c>
      <x:c r="M22" s="38" t="n">
        <x:f>'Financial_Model'!S25</x:f>
        <x:v>-1.6438362916133598</x:v>
      </x:c>
      <x:c r="N22" s="38" t="n">
        <x:f>'Financial_Model'!S30</x:f>
        <x:v>-546.5160834065</x:v>
      </x:c>
      <x:c r="O22" s="38" t="n">
        <x:f>'Financial_Model'!S32</x:f>
        <x:v>-9917.7778918363</x:v>
      </x:c>
      <x:c r="P22" s="34" t="n">
        <x:f>'Financial_Model'!S33</x:f>
        <x:v>712412.1499999994</x:v>
      </x:c>
      <x:c r="Q22" s="34" t="n">
        <x:f>'Financial_Model'!S34</x:f>
        <x:v>0</x:v>
      </x:c>
      <x:c r="R22" t="str">
        <x:f>IF(Q22&gt;0,"Inventory Watch",IF(O22&lt;500,"Cash Watch","OK"))</x:f>
        <x:v>Cash Watch</x:v>
      </x:c>
    </x:row>
    <x:row r="23">
      <x:c r="A23" s="32" t="n">
        <x:v>46204</x:v>
      </x:c>
      <x:c r="B23" t="str">
        <x:v>Jul 2026</x:v>
      </x:c>
      <x:c r="C23" t="str">
        <x:v>Forecast</x:v>
      </x:c>
      <x:c r="D23" s="34" t="n">
        <x:f>'Financial_Model'!T7</x:f>
        <x:v>8408</x:v>
      </x:c>
      <x:c r="E23" s="38" t="n">
        <x:f>'Financial_Model'!T11</x:f>
        <x:v>254.04237439999991</x:v>
      </x:c>
      <x:c r="F23" s="28" t="n">
        <x:f>'Financial_Model'!T14</x:f>
        <x:v>0.5950864486960172</x:v>
      </x:c>
      <x:c r="G23" s="38" t="n">
        <x:f>'Financial_Model'!T19</x:f>
        <x:v>80.77278183239993</x:v>
      </x:c>
      <x:c r="H23" s="28" t="n">
        <x:f>'Financial_Model'!T20</x:f>
        <x:v>0.3179500350017196</x:v>
      </x:c>
      <x:c r="I23" s="38" t="n">
        <x:f>'Financial_Model'!T21</x:f>
        <x:v>164.91864</x:v>
      </x:c>
      <x:c r="J23" s="38" t="n">
        <x:f>'Financial_Model'!T22</x:f>
        <x:v>282.71999999999997</x:v>
      </x:c>
      <x:c r="K23" s="38" t="n">
        <x:f>'Financial_Model'!T23</x:f>
        <x:v>135</x:v>
      </x:c>
      <x:c r="L23" s="38" t="n">
        <x:f>'Financial_Model'!T24</x:f>
        <x:v>-501.86585816760004</x:v>
      </x:c>
      <x:c r="M23" s="38" t="n">
        <x:f>'Financial_Model'!T25</x:f>
        <x:v>-1.9755202625267236</x:v>
      </x:c>
      <x:c r="N23" s="38" t="n">
        <x:f>'Financial_Model'!T30</x:f>
        <x:v>-525.8033581676</x:v>
      </x:c>
      <x:c r="O23" s="38" t="n">
        <x:f>'Financial_Model'!T32</x:f>
        <x:v>-10443.5812500039</x:v>
      </x:c>
      <x:c r="P23" s="34" t="n">
        <x:f>'Financial_Model'!T33</x:f>
        <x:v>532809.3349999998</x:v>
      </x:c>
      <x:c r="Q23" s="34" t="n">
        <x:f>'Financial_Model'!T34</x:f>
        <x:v>0</x:v>
      </x:c>
      <x:c r="R23" t="str">
        <x:f>IF(Q23&gt;0,"Inventory Watch",IF(O23&lt;500,"Cash Watch","OK"))</x:f>
        <x:v>Cash Watch</x:v>
      </x:c>
    </x:row>
    <x:row r="24">
      <x:c r="A24" s="32" t="n">
        <x:v>46235</x:v>
      </x:c>
      <x:c r="B24" t="str">
        <x:v>Aug 2026</x:v>
      </x:c>
      <x:c r="C24" t="str">
        <x:v>Forecast</x:v>
      </x:c>
      <x:c r="D24" s="34" t="n">
        <x:f>'Financial_Model'!U7</x:f>
        <x:v>10260</x:v>
      </x:c>
      <x:c r="E24" s="38" t="n">
        <x:f>'Financial_Model'!U11</x:f>
        <x:v>307.650523</x:v>
      </x:c>
      <x:c r="F24" s="28" t="n">
        <x:f>'Financial_Model'!U14</x:f>
        <x:v>0.5948662827399127</x:v>
      </x:c>
      <x:c r="G24" s="38" t="n">
        <x:f>'Financial_Model'!U19</x:f>
        <x:v>97.25837710050001</x:v>
      </x:c>
      <x:c r="H24" s="28" t="n">
        <x:f>'Financial_Model'!U20</x:f>
        <x:v>0.3161326564704069</x:v>
      </x:c>
      <x:c r="I24" s="38" t="n">
        <x:f>'Financial_Model'!U21</x:f>
        <x:v>200.871</x:v>
      </x:c>
      <x:c r="J24" s="38" t="n">
        <x:f>'Financial_Model'!U22</x:f>
        <x:v>282.71999999999997</x:v>
      </x:c>
      <x:c r="K24" s="38" t="n">
        <x:f>'Financial_Model'!U23</x:f>
        <x:v>135</x:v>
      </x:c>
      <x:c r="L24" s="38" t="n">
        <x:f>'Financial_Model'!U24</x:f>
        <x:v>-521.3326228994999</x:v>
      </x:c>
      <x:c r="M24" s="38" t="n">
        <x:f>'Financial_Model'!U25</x:f>
        <x:v>-1.6945611462506758</x:v>
      </x:c>
      <x:c r="N24" s="38" t="n">
        <x:f>'Financial_Model'!U30</x:f>
        <x:v>-545.2701228994999</x:v>
      </x:c>
      <x:c r="O24" s="38" t="n">
        <x:f>'Financial_Model'!U32</x:f>
        <x:v>-10988.851372903398</x:v>
      </x:c>
      <x:c r="P24" s="34" t="n">
        <x:f>'Financial_Model'!U33</x:f>
        <x:v>620343.6624999997</x:v>
      </x:c>
      <x:c r="Q24" s="34" t="n">
        <x:f>'Financial_Model'!U34</x:f>
        <x:v>0</x:v>
      </x:c>
      <x:c r="R24" t="str">
        <x:f>IF(Q24&gt;0,"Inventory Watch",IF(O24&lt;500,"Cash Watch","OK"))</x:f>
        <x:v>Cash Watch</x:v>
      </x:c>
    </x:row>
    <x:row r="25">
      <x:c r="A25" s="32" t="n">
        <x:v>46266</x:v>
      </x:c>
      <x:c r="B25" t="str">
        <x:v>Sep 2026</x:v>
      </x:c>
      <x:c r="C25" t="str">
        <x:v>Forecast</x:v>
      </x:c>
      <x:c r="D25" s="34" t="n">
        <x:f>'Financial_Model'!V7</x:f>
        <x:v>6868</x:v>
      </x:c>
      <x:c r="E25" s="38" t="n">
        <x:f>'Financial_Model'!V11</x:f>
        <x:v>196.84222999999994</x:v>
      </x:c>
      <x:c r="F25" s="28" t="n">
        <x:f>'Financial_Model'!V14</x:f>
        <x:v>0.5969899345277686</x:v>
      </x:c>
      <x:c r="G25" s="38" t="n">
        <x:f>'Financial_Model'!V19</x:f>
        <x:v>60.74913408199992</x:v>
      </x:c>
      <x:c r="H25" s="28" t="n">
        <x:f>'Financial_Model'!V20</x:f>
        <x:v>0.3086184000353986</x:v>
      </x:c>
      <x:c r="I25" s="38" t="n">
        <x:f>'Financial_Model'!V21</x:f>
        <x:v>132.08656000000005</x:v>
      </x:c>
      <x:c r="J25" s="38" t="n">
        <x:f>'Financial_Model'!V22</x:f>
        <x:v>282.71999999999997</x:v>
      </x:c>
      <x:c r="K25" s="38" t="n">
        <x:f>'Financial_Model'!V23</x:f>
        <x:v>135</x:v>
      </x:c>
      <x:c r="L25" s="38" t="n">
        <x:f>'Financial_Model'!V24</x:f>
        <x:v>-489.0574259180001</x:v>
      </x:c>
      <x:c r="M25" s="38" t="n">
        <x:f>'Financial_Model'!V25</x:f>
        <x:v>-2.4845147604657813</x:v>
      </x:c>
      <x:c r="N25" s="38" t="n">
        <x:f>'Financial_Model'!V30</x:f>
        <x:v>-512.994925918</x:v>
      </x:c>
      <x:c r="O25" s="38" t="n">
        <x:f>'Financial_Model'!V32</x:f>
        <x:v>-11501.846298821398</x:v>
      </x:c>
      <x:c r="P25" s="34" t="n">
        <x:f>'Financial_Model'!V33</x:f>
        <x:v>463300.6399999999</x:v>
      </x:c>
      <x:c r="Q25" s="34" t="n">
        <x:f>'Financial_Model'!V34</x:f>
        <x:v>0</x:v>
      </x:c>
      <x:c r="R25" t="str">
        <x:f>IF(Q25&gt;0,"Inventory Watch",IF(O25&lt;500,"Cash Watch","OK"))</x:f>
        <x:v>Cash Watch</x:v>
      </x:c>
    </x:row>
    <x:row r="26">
      <x:c r="A26" s="32" t="n">
        <x:v>46296</x:v>
      </x:c>
      <x:c r="B26" t="str">
        <x:v>Oct 2026</x:v>
      </x:c>
      <x:c r="C26" t="str">
        <x:v>Forecast</x:v>
      </x:c>
      <x:c r="D26" s="34" t="n">
        <x:f>'Financial_Model'!W7</x:f>
        <x:v>7136</x:v>
      </x:c>
      <x:c r="E26" s="38" t="n">
        <x:f>'Financial_Model'!W11</x:f>
        <x:v>204.58298959999996</x:v>
      </x:c>
      <x:c r="F26" s="28" t="n">
        <x:f>'Financial_Model'!W14</x:f>
        <x:v>0.5943310821575754</x:v>
      </x:c>
      <x:c r="G26" s="38" t="n">
        <x:f>'Financial_Model'!W19</x:f>
        <x:v>62.61321245559995</x:v>
      </x:c>
      <x:c r="H26" s="28" t="n">
        <x:f>'Financial_Model'!W20</x:f>
        <x:v>0.3060528765271302</x:v>
      </x:c>
      <x:c r="I26" s="38" t="n">
        <x:f>'Financial_Model'!W21</x:f>
        <x:v>137.83952</x:v>
      </x:c>
      <x:c r="J26" s="38" t="n">
        <x:f>'Financial_Model'!W22</x:f>
        <x:v>282.71999999999997</x:v>
      </x:c>
      <x:c r="K26" s="38" t="n">
        <x:f>'Financial_Model'!W23</x:f>
        <x:v>135</x:v>
      </x:c>
      <x:c r="L26" s="38" t="n">
        <x:f>'Financial_Model'!W24</x:f>
        <x:v>-492.94630754440004</x:v>
      </x:c>
      <x:c r="M26" s="38" t="n">
        <x:f>'Financial_Model'!W25</x:f>
        <x:v>-2.4095175679473995</x:v>
      </x:c>
      <x:c r="N26" s="38" t="n">
        <x:f>'Financial_Model'!W30</x:f>
        <x:v>-516.8838075444</x:v>
      </x:c>
      <x:c r="O26" s="38" t="n">
        <x:f>'Financial_Model'!W32</x:f>
        <x:v>-12018.730106365798</x:v>
      </x:c>
      <x:c r="P26" s="34" t="n">
        <x:f>'Financial_Model'!W33</x:f>
        <x:v>435661.94499999995</x:v>
      </x:c>
      <x:c r="Q26" s="34" t="n">
        <x:f>'Financial_Model'!W34</x:f>
        <x:v>0</x:v>
      </x:c>
      <x:c r="R26" t="str">
        <x:f>IF(Q26&gt;0,"Inventory Watch",IF(O26&lt;500,"Cash Watch","OK"))</x:f>
        <x:v>Cash Watch</x:v>
      </x:c>
    </x:row>
    <x:row r="27">
      <x:c r="A27" s="32" t="n">
        <x:v>46327</x:v>
      </x:c>
      <x:c r="B27" t="str">
        <x:v>Nov 2026</x:v>
      </x:c>
      <x:c r="C27" t="str">
        <x:v>Forecast</x:v>
      </x:c>
      <x:c r="D27" s="34" t="n">
        <x:f>'Financial_Model'!X7</x:f>
        <x:v>9310</x:v>
      </x:c>
      <x:c r="E27" s="38" t="n">
        <x:f>'Financial_Model'!X11</x:f>
        <x:v>267.0433165</x:v>
      </x:c>
      <x:c r="F27" s="28" t="n">
        <x:f>'Financial_Model'!X14</x:f>
        <x:v>0.5915550277402281</x:v>
      </x:c>
      <x:c r="G27" s="38" t="n">
        <x:f>'Financial_Model'!X19</x:f>
        <x:v>80.9951940765</x:v>
      </x:c>
      <x:c r="H27" s="28" t="n">
        <x:f>'Financial_Model'!X20</x:f>
        <x:v>0.3033035806252803</x:v>
      </x:c>
      <x:c r="I27" s="38" t="n">
        <x:f>'Financial_Model'!X21</x:f>
        <x:v>180.928</x:v>
      </x:c>
      <x:c r="J27" s="38" t="n">
        <x:f>'Financial_Model'!X22</x:f>
        <x:v>282.71999999999997</x:v>
      </x:c>
      <x:c r="K27" s="38" t="n">
        <x:f>'Financial_Model'!X23</x:f>
        <x:v>135</x:v>
      </x:c>
      <x:c r="L27" s="38" t="n">
        <x:f>'Financial_Model'!X24</x:f>
        <x:v>-517.6528059235</x:v>
      </x:c>
      <x:c r="M27" s="38" t="n">
        <x:f>'Financial_Model'!X25</x:f>
        <x:v>-1.9384600697299232</x:v>
      </x:c>
      <x:c r="N27" s="38" t="n">
        <x:f>'Financial_Model'!X30</x:f>
        <x:v>-590.1903059235</x:v>
      </x:c>
      <x:c r="O27" s="38" t="n">
        <x:f>'Financial_Model'!X32</x:f>
        <x:v>-12608.920412289297</x:v>
      </x:c>
      <x:c r="P27" s="34" t="n">
        <x:f>'Financial_Model'!X33</x:f>
        <x:v>522022.9249999999</x:v>
      </x:c>
      <x:c r="Q27" s="34" t="n">
        <x:f>'Financial_Model'!X34</x:f>
        <x:v>0</x:v>
      </x:c>
      <x:c r="R27" t="str">
        <x:f>IF(Q27&gt;0,"Inventory Watch",IF(O27&lt;500,"Cash Watch","OK"))</x:f>
        <x:v>Cash Watch</x:v>
      </x:c>
    </x:row>
    <x:row r="28">
      <x:c r="A28" s="32" t="n">
        <x:v>46357</x:v>
      </x:c>
      <x:c r="B28" t="str">
        <x:v>Dec 2026</x:v>
      </x:c>
      <x:c r="C28" t="str">
        <x:v>Forecast</x:v>
      </x:c>
      <x:c r="D28" s="34" t="n">
        <x:f>'Financial_Model'!Y7</x:f>
        <x:v>5584</x:v>
      </x:c>
      <x:c r="E28" s="38" t="n">
        <x:f>'Financial_Model'!Y11</x:f>
        <x:v>159.62926399999995</x:v>
      </x:c>
      <x:c r="F28" s="28" t="n">
        <x:f>'Financial_Model'!Y14</x:f>
        <x:v>0.6129962736657107</x:v>
      </x:c>
      <x:c r="G28" s="38" t="n">
        <x:f>'Financial_Model'!Y19</x:f>
        <x:v>51.78004521399995</x:v>
      </x:c>
      <x:c r="H28" s="28" t="n">
        <x:f>'Financial_Model'!Y20</x:f>
        <x:v>0.3243768962939024</x:v>
      </x:c>
      <x:c r="I28" s="38" t="n">
        <x:f>'Financial_Model'!Y21</x:f>
        <x:v>103.89135999999999</x:v>
      </x:c>
      <x:c r="J28" s="38" t="n">
        <x:f>'Financial_Model'!Y22</x:f>
        <x:v>282.71999999999997</x:v>
      </x:c>
      <x:c r="K28" s="38" t="n">
        <x:f>'Financial_Model'!Y23</x:f>
        <x:v>135</x:v>
      </x:c>
      <x:c r="L28" s="38" t="n">
        <x:f>'Financial_Model'!Y24</x:f>
        <x:v>-469.831314786</x:v>
      </x:c>
      <x:c r="M28" s="38" t="n">
        <x:f>'Financial_Model'!Y25</x:f>
        <x:v>-2.9432655580370284</x:v>
      </x:c>
      <x:c r="N28" s="38" t="n">
        <x:f>'Financial_Model'!Y30</x:f>
        <x:v>-493.768814786</x:v>
      </x:c>
      <x:c r="O28" s="38" t="n">
        <x:f>'Financial_Model'!Y32</x:f>
        <x:v>-13102.689227075298</x:v>
      </x:c>
      <x:c r="P28" s="34" t="n">
        <x:f>'Financial_Model'!Y33</x:f>
        <x:v>392851.4549999999</x:v>
      </x:c>
      <x:c r="Q28" s="34" t="n">
        <x:f>'Financial_Model'!Y34</x:f>
        <x:v>0</x:v>
      </x:c>
      <x:c r="R28" t="str">
        <x:f>IF(Q28&gt;0,"Inventory Watch",IF(O28&lt;500,"Cash Watch","OK"))</x:f>
        <x:v>Cash Watch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992c4228609d432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8" customHeight="1">
      <x:c r="A1" s="3" t="str">
        <x:v>Scenario Drivers</x:v>
      </x:c>
    </x:row>
    <x:row r="2">
      <x:c r="A2" s="6" t="str">
        <x:v>Scenario multipliers feed traffic, conversion, unit cost, shipping, opex, and pricing assumptions.</x:v>
      </x:c>
    </x:row>
    <x:row r="4">
      <x:c r="A4" s="11" t="str">
        <x:v>Scenario</x:v>
      </x:c>
      <x:c r="B4" s="12" t="str">
        <x:v>Traffic Mult.</x:v>
      </x:c>
      <x:c r="C4" s="12" t="str">
        <x:v>Conversion Mult.</x:v>
      </x:c>
      <x:c r="D4" s="12" t="str">
        <x:v>COGS Mult.</x:v>
      </x:c>
      <x:c r="E4" s="12" t="str">
        <x:v>Shipping Mult.</x:v>
      </x:c>
      <x:c r="F4" s="12" t="str">
        <x:v>Opex Mult.</x:v>
      </x:c>
      <x:c r="G4" s="12" t="str">
        <x:v>Marketing Efficiency</x:v>
      </x:c>
      <x:c r="H4" s="12" t="str">
        <x:v>Price Mult.</x:v>
      </x:c>
      <x:c r="I4" s="13" t="str">
        <x:v>Notes</x:v>
      </x:c>
    </x:row>
    <x:row r="5">
      <x:c r="A5" s="15" t="str">
        <x:v>Downside</x:v>
      </x:c>
      <x:c r="B5" s="31" t="n">
        <x:v>0.85</x:v>
      </x:c>
      <x:c r="C5" s="31" t="n">
        <x:v>0.93</x:v>
      </x:c>
      <x:c r="D5" s="31" t="n">
        <x:v>1.08</x:v>
      </x:c>
      <x:c r="E5" s="31" t="n">
        <x:v>1.08</x:v>
      </x:c>
      <x:c r="F5" s="31" t="n">
        <x:v>1.08</x:v>
      </x:c>
      <x:c r="G5" s="31" t="n">
        <x:v>0.92</x:v>
      </x:c>
      <x:c r="H5" s="31" t="n">
        <x:v>0.96</x:v>
      </x:c>
      <x:c r="I5" t="str">
        <x:v>Lower traffic/conversion, higher unit and shipping costs</x:v>
      </x:c>
    </x:row>
    <x:row r="6">
      <x:c r="A6" s="15" t="str">
        <x:v>Base</x:v>
      </x:c>
      <x:c r="B6" s="31" t="n">
        <x:v>1</x:v>
      </x:c>
      <x:c r="C6" s="31" t="n">
        <x:v>1</x:v>
      </x:c>
      <x:c r="D6" s="31" t="n">
        <x:v>1</x:v>
      </x:c>
      <x:c r="E6" s="31" t="n">
        <x:v>1</x:v>
      </x:c>
      <x:c r="F6" s="31" t="n">
        <x:v>1</x:v>
      </x:c>
      <x:c r="G6" s="31" t="n">
        <x:v>1</x:v>
      </x:c>
      <x:c r="H6" s="31" t="n">
        <x:v>1</x:v>
      </x:c>
      <x:c r="I6" t="str">
        <x:v>Management base case</x:v>
      </x:c>
    </x:row>
    <x:row r="7">
      <x:c r="A7" s="15" t="str">
        <x:v>Upside</x:v>
      </x:c>
      <x:c r="B7" s="31" t="n">
        <x:v>1.18</x:v>
      </x:c>
      <x:c r="C7" s="31" t="n">
        <x:v>1.06</x:v>
      </x:c>
      <x:c r="D7" s="31" t="n">
        <x:v>0.97</x:v>
      </x:c>
      <x:c r="E7" s="31" t="n">
        <x:v>0.96</x:v>
      </x:c>
      <x:c r="F7" s="31" t="n">
        <x:v>0.98</x:v>
      </x:c>
      <x:c r="G7" s="31" t="n">
        <x:v>1.08</x:v>
      </x:c>
      <x:c r="H7" s="31" t="n">
        <x:v>1.04</x:v>
      </x:c>
      <x:c r="I7" t="str">
        <x:v>Better traffic/conversion and modest operating leverage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982f267611e44d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8" customHeight="1">
      <x:c r="A1" s="3" t="str">
        <x:v>Sensitivity Analysis</x:v>
      </x:c>
    </x:row>
    <x:row r="2">
      <x:c r="A2" s="6" t="str">
        <x:v>Forecast-year EBITDA sensitivity to pricing and fully loaded unit cost multipliers.</x:v>
      </x:c>
    </x:row>
    <x:row r="4">
      <x:c r="A4" t="str">
        <x:v>FY Forecast EBITDA $000s</x:v>
      </x:c>
      <x:c r="B4" s="38" t="n">
        <x:f>SUMIFS('Monthly_Board'!$L$5:$L$28,'Monthly_Board'!$C$5:$C$28,"Forecast")</x:f>
        <x:v>-6034.7984861518</x:v>
      </x:c>
      <x:c r="C4" s="38"/>
      <x:c r="D4" s="38"/>
      <x:c r="E4" s="38"/>
      <x:c r="F4" s="38"/>
    </x:row>
    <x:row r="5">
      <x:c r="B5" s="38"/>
      <x:c r="C5" s="38"/>
      <x:c r="D5" s="38"/>
      <x:c r="E5" s="38"/>
      <x:c r="F5" s="38"/>
    </x:row>
    <x:row r="6">
      <x:c r="A6" s="11" t="str">
        <x:v>Price \ COGS</x:v>
      </x:c>
      <x:c r="B6" s="58" t="str">
        <x:v>90%</x:v>
      </x:c>
      <x:c r="C6" s="58" t="str">
        <x:v>95%</x:v>
      </x:c>
      <x:c r="D6" s="58" t="str">
        <x:v>100%</x:v>
      </x:c>
      <x:c r="E6" s="58" t="str">
        <x:v>105%</x:v>
      </x:c>
      <x:c r="F6" s="59" t="str">
        <x:v>110%</x:v>
      </x:c>
    </x:row>
    <x:row r="7">
      <x:c r="A7" s="55" t="str">
        <x:v>90%</x:v>
      </x:c>
      <x:c r="B7" s="38" t="n">
        <x:f>SUMIFS('Monthly_Board'!$L$5:$L$28,'Monthly_Board'!$C$5:$C$28,"Forecast")+(SUMIFS('Revenue_Model'!$V$5:$V$2084,'Revenue_Model'!$D$5:$D$2084,"Forecast")*0.9-SUMIFS('Revenue_Model'!$V$5:$V$2084,'Revenue_Model'!$D$5:$D$2084,"Forecast"))-(SUMIFS('Revenue_Model'!$W$5:$W$2084,'Revenue_Model'!$D$5:$D$2084,"Forecast")*0.9-SUMIFS('Revenue_Model'!$W$5:$W$2084,'Revenue_Model'!$D$5:$D$2084,"Forecast"))</x:f>
        <x:v>-6211.3298182218</x:v>
      </x:c>
      <x:c r="C7" s="38" t="n">
        <x:f>SUMIFS('Monthly_Board'!$L$5:$L$28,'Monthly_Board'!$C$5:$C$28,"Forecast")+(SUMIFS('Revenue_Model'!$V$5:$V$2084,'Revenue_Model'!$D$5:$D$2084,"Forecast")*0.9-SUMIFS('Revenue_Model'!$V$5:$V$2084,'Revenue_Model'!$D$5:$D$2084,"Forecast"))-(SUMIFS('Revenue_Model'!$W$5:$W$2084,'Revenue_Model'!$D$5:$D$2084,"Forecast")*0.95-SUMIFS('Revenue_Model'!$W$5:$W$2084,'Revenue_Model'!$D$5:$D$2084,"Forecast"))</x:f>
        <x:v>-6271.2844102218005</x:v>
      </x:c>
      <x:c r="D7" s="38" t="n">
        <x:f>SUMIFS('Monthly_Board'!$L$5:$L$28,'Monthly_Board'!$C$5:$C$28,"Forecast")+(SUMIFS('Revenue_Model'!$V$5:$V$2084,'Revenue_Model'!$D$5:$D$2084,"Forecast")*0.9-SUMIFS('Revenue_Model'!$V$5:$V$2084,'Revenue_Model'!$D$5:$D$2084,"Forecast"))-(SUMIFS('Revenue_Model'!$W$5:$W$2084,'Revenue_Model'!$D$5:$D$2084,"Forecast")*1-SUMIFS('Revenue_Model'!$W$5:$W$2084,'Revenue_Model'!$D$5:$D$2084,"Forecast"))</x:f>
        <x:v>-6331.239002221801</x:v>
      </x:c>
      <x:c r="E7" s="38" t="n">
        <x:f>SUMIFS('Monthly_Board'!$L$5:$L$28,'Monthly_Board'!$C$5:$C$28,"Forecast")+(SUMIFS('Revenue_Model'!$V$5:$V$2084,'Revenue_Model'!$D$5:$D$2084,"Forecast")*0.9-SUMIFS('Revenue_Model'!$V$5:$V$2084,'Revenue_Model'!$D$5:$D$2084,"Forecast"))-(SUMIFS('Revenue_Model'!$W$5:$W$2084,'Revenue_Model'!$D$5:$D$2084,"Forecast")*1.05-SUMIFS('Revenue_Model'!$W$5:$W$2084,'Revenue_Model'!$D$5:$D$2084,"Forecast"))</x:f>
        <x:v>-6391.193594221801</x:v>
      </x:c>
      <x:c r="F7" s="38" t="n">
        <x:f>SUMIFS('Monthly_Board'!$L$5:$L$28,'Monthly_Board'!$C$5:$C$28,"Forecast")+(SUMIFS('Revenue_Model'!$V$5:$V$2084,'Revenue_Model'!$D$5:$D$2084,"Forecast")*0.9-SUMIFS('Revenue_Model'!$V$5:$V$2084,'Revenue_Model'!$D$5:$D$2084,"Forecast"))-(SUMIFS('Revenue_Model'!$W$5:$W$2084,'Revenue_Model'!$D$5:$D$2084,"Forecast")*1.1-SUMIFS('Revenue_Model'!$W$5:$W$2084,'Revenue_Model'!$D$5:$D$2084,"Forecast"))</x:f>
        <x:v>-6451.148186221801</x:v>
      </x:c>
    </x:row>
    <x:row r="8">
      <x:c r="A8" s="56" t="str">
        <x:v>95%</x:v>
      </x:c>
      <x:c r="B8" s="38" t="n">
        <x:f>SUMIFS('Monthly_Board'!$L$5:$L$28,'Monthly_Board'!$C$5:$C$28,"Forecast")+(SUMIFS('Revenue_Model'!$V$5:$V$2084,'Revenue_Model'!$D$5:$D$2084,"Forecast")*0.95-SUMIFS('Revenue_Model'!$V$5:$V$2084,'Revenue_Model'!$D$5:$D$2084,"Forecast"))-(SUMIFS('Revenue_Model'!$W$5:$W$2084,'Revenue_Model'!$D$5:$D$2084,"Forecast")*0.9-SUMIFS('Revenue_Model'!$W$5:$W$2084,'Revenue_Model'!$D$5:$D$2084,"Forecast"))</x:f>
        <x:v>-6063.1095601868</x:v>
      </x:c>
      <x:c r="C8" s="38" t="n">
        <x:f>SUMIFS('Monthly_Board'!$L$5:$L$28,'Monthly_Board'!$C$5:$C$28,"Forecast")+(SUMIFS('Revenue_Model'!$V$5:$V$2084,'Revenue_Model'!$D$5:$D$2084,"Forecast")*0.95-SUMIFS('Revenue_Model'!$V$5:$V$2084,'Revenue_Model'!$D$5:$D$2084,"Forecast"))-(SUMIFS('Revenue_Model'!$W$5:$W$2084,'Revenue_Model'!$D$5:$D$2084,"Forecast")*0.95-SUMIFS('Revenue_Model'!$W$5:$W$2084,'Revenue_Model'!$D$5:$D$2084,"Forecast"))</x:f>
        <x:v>-6123.0641521868</x:v>
      </x:c>
      <x:c r="D8" s="38" t="n">
        <x:f>SUMIFS('Monthly_Board'!$L$5:$L$28,'Monthly_Board'!$C$5:$C$28,"Forecast")+(SUMIFS('Revenue_Model'!$V$5:$V$2084,'Revenue_Model'!$D$5:$D$2084,"Forecast")*0.95-SUMIFS('Revenue_Model'!$V$5:$V$2084,'Revenue_Model'!$D$5:$D$2084,"Forecast"))-(SUMIFS('Revenue_Model'!$W$5:$W$2084,'Revenue_Model'!$D$5:$D$2084,"Forecast")*1-SUMIFS('Revenue_Model'!$W$5:$W$2084,'Revenue_Model'!$D$5:$D$2084,"Forecast"))</x:f>
        <x:v>-6183.0187441868</x:v>
      </x:c>
      <x:c r="E8" s="38" t="n">
        <x:f>SUMIFS('Monthly_Board'!$L$5:$L$28,'Monthly_Board'!$C$5:$C$28,"Forecast")+(SUMIFS('Revenue_Model'!$V$5:$V$2084,'Revenue_Model'!$D$5:$D$2084,"Forecast")*0.95-SUMIFS('Revenue_Model'!$V$5:$V$2084,'Revenue_Model'!$D$5:$D$2084,"Forecast"))-(SUMIFS('Revenue_Model'!$W$5:$W$2084,'Revenue_Model'!$D$5:$D$2084,"Forecast")*1.05-SUMIFS('Revenue_Model'!$W$5:$W$2084,'Revenue_Model'!$D$5:$D$2084,"Forecast"))</x:f>
        <x:v>-6242.9733361868</x:v>
      </x:c>
      <x:c r="F8" s="38" t="n">
        <x:f>SUMIFS('Monthly_Board'!$L$5:$L$28,'Monthly_Board'!$C$5:$C$28,"Forecast")+(SUMIFS('Revenue_Model'!$V$5:$V$2084,'Revenue_Model'!$D$5:$D$2084,"Forecast")*0.95-SUMIFS('Revenue_Model'!$V$5:$V$2084,'Revenue_Model'!$D$5:$D$2084,"Forecast"))-(SUMIFS('Revenue_Model'!$W$5:$W$2084,'Revenue_Model'!$D$5:$D$2084,"Forecast")*1.1-SUMIFS('Revenue_Model'!$W$5:$W$2084,'Revenue_Model'!$D$5:$D$2084,"Forecast"))</x:f>
        <x:v>-6302.9279281868</x:v>
      </x:c>
    </x:row>
    <x:row r="9">
      <x:c r="A9" s="56" t="str">
        <x:v>100%</x:v>
      </x:c>
      <x:c r="B9" s="38" t="n">
        <x:f>SUMIFS('Monthly_Board'!$L$5:$L$28,'Monthly_Board'!$C$5:$C$28,"Forecast")+(SUMIFS('Revenue_Model'!$V$5:$V$2084,'Revenue_Model'!$D$5:$D$2084,"Forecast")*1-SUMIFS('Revenue_Model'!$V$5:$V$2084,'Revenue_Model'!$D$5:$D$2084,"Forecast"))-(SUMIFS('Revenue_Model'!$W$5:$W$2084,'Revenue_Model'!$D$5:$D$2084,"Forecast")*0.9-SUMIFS('Revenue_Model'!$W$5:$W$2084,'Revenue_Model'!$D$5:$D$2084,"Forecast"))</x:f>
        <x:v>-5914.8893021518</x:v>
      </x:c>
      <x:c r="C9" s="38" t="n">
        <x:f>SUMIFS('Monthly_Board'!$L$5:$L$28,'Monthly_Board'!$C$5:$C$28,"Forecast")+(SUMIFS('Revenue_Model'!$V$5:$V$2084,'Revenue_Model'!$D$5:$D$2084,"Forecast")*1-SUMIFS('Revenue_Model'!$V$5:$V$2084,'Revenue_Model'!$D$5:$D$2084,"Forecast"))-(SUMIFS('Revenue_Model'!$W$5:$W$2084,'Revenue_Model'!$D$5:$D$2084,"Forecast")*0.95-SUMIFS('Revenue_Model'!$W$5:$W$2084,'Revenue_Model'!$D$5:$D$2084,"Forecast"))</x:f>
        <x:v>-5974.8438941518</x:v>
      </x:c>
      <x:c r="D9" s="38" t="n">
        <x:f>SUMIFS('Monthly_Board'!$L$5:$L$28,'Monthly_Board'!$C$5:$C$28,"Forecast")+(SUMIFS('Revenue_Model'!$V$5:$V$2084,'Revenue_Model'!$D$5:$D$2084,"Forecast")*1-SUMIFS('Revenue_Model'!$V$5:$V$2084,'Revenue_Model'!$D$5:$D$2084,"Forecast"))-(SUMIFS('Revenue_Model'!$W$5:$W$2084,'Revenue_Model'!$D$5:$D$2084,"Forecast")*1-SUMIFS('Revenue_Model'!$W$5:$W$2084,'Revenue_Model'!$D$5:$D$2084,"Forecast"))</x:f>
        <x:v>-6034.7984861518</x:v>
      </x:c>
      <x:c r="E9" s="38" t="n">
        <x:f>SUMIFS('Monthly_Board'!$L$5:$L$28,'Monthly_Board'!$C$5:$C$28,"Forecast")+(SUMIFS('Revenue_Model'!$V$5:$V$2084,'Revenue_Model'!$D$5:$D$2084,"Forecast")*1-SUMIFS('Revenue_Model'!$V$5:$V$2084,'Revenue_Model'!$D$5:$D$2084,"Forecast"))-(SUMIFS('Revenue_Model'!$W$5:$W$2084,'Revenue_Model'!$D$5:$D$2084,"Forecast")*1.05-SUMIFS('Revenue_Model'!$W$5:$W$2084,'Revenue_Model'!$D$5:$D$2084,"Forecast"))</x:f>
        <x:v>-6094.7530781518</x:v>
      </x:c>
      <x:c r="F9" s="38" t="n">
        <x:f>SUMIFS('Monthly_Board'!$L$5:$L$28,'Monthly_Board'!$C$5:$C$28,"Forecast")+(SUMIFS('Revenue_Model'!$V$5:$V$2084,'Revenue_Model'!$D$5:$D$2084,"Forecast")*1-SUMIFS('Revenue_Model'!$V$5:$V$2084,'Revenue_Model'!$D$5:$D$2084,"Forecast"))-(SUMIFS('Revenue_Model'!$W$5:$W$2084,'Revenue_Model'!$D$5:$D$2084,"Forecast")*1.1-SUMIFS('Revenue_Model'!$W$5:$W$2084,'Revenue_Model'!$D$5:$D$2084,"Forecast"))</x:f>
        <x:v>-6154.7076701518</x:v>
      </x:c>
    </x:row>
    <x:row r="10">
      <x:c r="A10" s="56" t="str">
        <x:v>105%</x:v>
      </x:c>
      <x:c r="B10" s="38" t="n">
        <x:f>SUMIFS('Monthly_Board'!$L$5:$L$28,'Monthly_Board'!$C$5:$C$28,"Forecast")+(SUMIFS('Revenue_Model'!$V$5:$V$2084,'Revenue_Model'!$D$5:$D$2084,"Forecast")*1.05-SUMIFS('Revenue_Model'!$V$5:$V$2084,'Revenue_Model'!$D$5:$D$2084,"Forecast"))-(SUMIFS('Revenue_Model'!$W$5:$W$2084,'Revenue_Model'!$D$5:$D$2084,"Forecast")*0.9-SUMIFS('Revenue_Model'!$W$5:$W$2084,'Revenue_Model'!$D$5:$D$2084,"Forecast"))</x:f>
        <x:v>-5766.669044116799</x:v>
      </x:c>
      <x:c r="C10" s="38" t="n">
        <x:f>SUMIFS('Monthly_Board'!$L$5:$L$28,'Monthly_Board'!$C$5:$C$28,"Forecast")+(SUMIFS('Revenue_Model'!$V$5:$V$2084,'Revenue_Model'!$D$5:$D$2084,"Forecast")*1.05-SUMIFS('Revenue_Model'!$V$5:$V$2084,'Revenue_Model'!$D$5:$D$2084,"Forecast"))-(SUMIFS('Revenue_Model'!$W$5:$W$2084,'Revenue_Model'!$D$5:$D$2084,"Forecast")*0.95-SUMIFS('Revenue_Model'!$W$5:$W$2084,'Revenue_Model'!$D$5:$D$2084,"Forecast"))</x:f>
        <x:v>-5826.623636116799</x:v>
      </x:c>
      <x:c r="D10" s="38" t="n">
        <x:f>SUMIFS('Monthly_Board'!$L$5:$L$28,'Monthly_Board'!$C$5:$C$28,"Forecast")+(SUMIFS('Revenue_Model'!$V$5:$V$2084,'Revenue_Model'!$D$5:$D$2084,"Forecast")*1.05-SUMIFS('Revenue_Model'!$V$5:$V$2084,'Revenue_Model'!$D$5:$D$2084,"Forecast"))-(SUMIFS('Revenue_Model'!$W$5:$W$2084,'Revenue_Model'!$D$5:$D$2084,"Forecast")*1-SUMIFS('Revenue_Model'!$W$5:$W$2084,'Revenue_Model'!$D$5:$D$2084,"Forecast"))</x:f>
        <x:v>-5886.578228116799</x:v>
      </x:c>
      <x:c r="E10" s="38" t="n">
        <x:f>SUMIFS('Monthly_Board'!$L$5:$L$28,'Monthly_Board'!$C$5:$C$28,"Forecast")+(SUMIFS('Revenue_Model'!$V$5:$V$2084,'Revenue_Model'!$D$5:$D$2084,"Forecast")*1.05-SUMIFS('Revenue_Model'!$V$5:$V$2084,'Revenue_Model'!$D$5:$D$2084,"Forecast"))-(SUMIFS('Revenue_Model'!$W$5:$W$2084,'Revenue_Model'!$D$5:$D$2084,"Forecast")*1.05-SUMIFS('Revenue_Model'!$W$5:$W$2084,'Revenue_Model'!$D$5:$D$2084,"Forecast"))</x:f>
        <x:v>-5946.5328201167995</x:v>
      </x:c>
      <x:c r="F10" s="38" t="n">
        <x:f>SUMIFS('Monthly_Board'!$L$5:$L$28,'Monthly_Board'!$C$5:$C$28,"Forecast")+(SUMIFS('Revenue_Model'!$V$5:$V$2084,'Revenue_Model'!$D$5:$D$2084,"Forecast")*1.05-SUMIFS('Revenue_Model'!$V$5:$V$2084,'Revenue_Model'!$D$5:$D$2084,"Forecast"))-(SUMIFS('Revenue_Model'!$W$5:$W$2084,'Revenue_Model'!$D$5:$D$2084,"Forecast")*1.1-SUMIFS('Revenue_Model'!$W$5:$W$2084,'Revenue_Model'!$D$5:$D$2084,"Forecast"))</x:f>
        <x:v>-6006.4874121167995</x:v>
      </x:c>
    </x:row>
    <x:row r="11">
      <x:c r="A11" s="57" t="str">
        <x:v>110%</x:v>
      </x:c>
      <x:c r="B11" s="38" t="n">
        <x:f>SUMIFS('Monthly_Board'!$L$5:$L$28,'Monthly_Board'!$C$5:$C$28,"Forecast")+(SUMIFS('Revenue_Model'!$V$5:$V$2084,'Revenue_Model'!$D$5:$D$2084,"Forecast")*1.1-SUMIFS('Revenue_Model'!$V$5:$V$2084,'Revenue_Model'!$D$5:$D$2084,"Forecast"))-(SUMIFS('Revenue_Model'!$W$5:$W$2084,'Revenue_Model'!$D$5:$D$2084,"Forecast")*0.9-SUMIFS('Revenue_Model'!$W$5:$W$2084,'Revenue_Model'!$D$5:$D$2084,"Forecast"))</x:f>
        <x:v>-5618.448786081799</x:v>
      </x:c>
      <x:c r="C11" s="38" t="n">
        <x:f>SUMIFS('Monthly_Board'!$L$5:$L$28,'Monthly_Board'!$C$5:$C$28,"Forecast")+(SUMIFS('Revenue_Model'!$V$5:$V$2084,'Revenue_Model'!$D$5:$D$2084,"Forecast")*1.1-SUMIFS('Revenue_Model'!$V$5:$V$2084,'Revenue_Model'!$D$5:$D$2084,"Forecast"))-(SUMIFS('Revenue_Model'!$W$5:$W$2084,'Revenue_Model'!$D$5:$D$2084,"Forecast")*0.95-SUMIFS('Revenue_Model'!$W$5:$W$2084,'Revenue_Model'!$D$5:$D$2084,"Forecast"))</x:f>
        <x:v>-5678.403378081799</x:v>
      </x:c>
      <x:c r="D11" s="38" t="n">
        <x:f>SUMIFS('Monthly_Board'!$L$5:$L$28,'Monthly_Board'!$C$5:$C$28,"Forecast")+(SUMIFS('Revenue_Model'!$V$5:$V$2084,'Revenue_Model'!$D$5:$D$2084,"Forecast")*1.1-SUMIFS('Revenue_Model'!$V$5:$V$2084,'Revenue_Model'!$D$5:$D$2084,"Forecast"))-(SUMIFS('Revenue_Model'!$W$5:$W$2084,'Revenue_Model'!$D$5:$D$2084,"Forecast")*1-SUMIFS('Revenue_Model'!$W$5:$W$2084,'Revenue_Model'!$D$5:$D$2084,"Forecast"))</x:f>
        <x:v>-5738.357970081799</x:v>
      </x:c>
      <x:c r="E11" s="38" t="n">
        <x:f>SUMIFS('Monthly_Board'!$L$5:$L$28,'Monthly_Board'!$C$5:$C$28,"Forecast")+(SUMIFS('Revenue_Model'!$V$5:$V$2084,'Revenue_Model'!$D$5:$D$2084,"Forecast")*1.1-SUMIFS('Revenue_Model'!$V$5:$V$2084,'Revenue_Model'!$D$5:$D$2084,"Forecast"))-(SUMIFS('Revenue_Model'!$W$5:$W$2084,'Revenue_Model'!$D$5:$D$2084,"Forecast")*1.05-SUMIFS('Revenue_Model'!$W$5:$W$2084,'Revenue_Model'!$D$5:$D$2084,"Forecast"))</x:f>
        <x:v>-5798.312562081799</x:v>
      </x:c>
      <x:c r="F11" s="38" t="n">
        <x:f>SUMIFS('Monthly_Board'!$L$5:$L$28,'Monthly_Board'!$C$5:$C$28,"Forecast")+(SUMIFS('Revenue_Model'!$V$5:$V$2084,'Revenue_Model'!$D$5:$D$2084,"Forecast")*1.1-SUMIFS('Revenue_Model'!$V$5:$V$2084,'Revenue_Model'!$D$5:$D$2084,"Forecast"))-(SUMIFS('Revenue_Model'!$W$5:$W$2084,'Revenue_Model'!$D$5:$D$2084,"Forecast")*1.1-SUMIFS('Revenue_Model'!$W$5:$W$2084,'Revenue_Model'!$D$5:$D$2084,"Forecast"))</x:f>
        <x:v>-5858.267154081799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8" customHeight="1">
      <x:c r="A1" s="3" t="str">
        <x:v>Model Checks</x:v>
      </x:c>
    </x:row>
    <x:row r="2">
      <x:c r="A2" s="6" t="str">
        <x:v>Visible controls for scenario validity, mix totals, rollup tie-outs, and risk flags.</x:v>
      </x:c>
    </x:row>
    <x:row r="4">
      <x:c r="A4" s="11" t="str">
        <x:v>Check</x:v>
      </x:c>
      <x:c r="B4" s="12" t="str">
        <x:v>Actual</x:v>
      </x:c>
      <x:c r="C4" s="12" t="str">
        <x:v>Expected</x:v>
      </x:c>
      <x:c r="D4" s="12" t="str">
        <x:v>Difference</x:v>
      </x:c>
      <x:c r="E4" s="12" t="str">
        <x:v>Tolerance</x:v>
      </x:c>
      <x:c r="F4" s="12" t="str">
        <x:v>Status</x:v>
      </x:c>
      <x:c r="G4" s="12" t="str">
        <x:v>Where to Fix</x:v>
      </x:c>
      <x:c r="H4" s="13" t="str">
        <x:v>Notes</x:v>
      </x:c>
    </x:row>
    <x:row r="5">
      <x:c r="A5" t="str">
        <x:v>Scenario selector valid</x:v>
      </x:c>
      <x:c r="B5" s="39" t="n">
        <x:f>COUNTIF('Scenarios'!$A$5:$A$7,'Assumptions'!$B$10)</x:f>
        <x:v>1</x:v>
      </x:c>
      <x:c r="C5" s="39" t="n">
        <x:v>1</x:v>
      </x:c>
      <x:c r="D5" s="39" t="n">
        <x:f>B5-C5</x:f>
        <x:v>0</x:v>
      </x:c>
      <x:c r="E5" s="39" t="n">
        <x:v>0</x:v>
      </x:c>
      <x:c r="F5" t="str">
        <x:f>IF(ABS(D5)&lt;=E5,"OK","FAIL")</x:f>
        <x:v>OK</x:v>
      </x:c>
      <x:c r="G5" t="str">
        <x:v>Assumptions!B10</x:v>
      </x:c>
      <x:c r="H5" t="str">
        <x:v>Selector must match a scenario row</x:v>
      </x:c>
    </x:row>
    <x:row r="6">
      <x:c r="A6" t="str">
        <x:v>Channel mix totals to 100%</x:v>
      </x:c>
      <x:c r="B6" s="39" t="n">
        <x:f>SUM('Channel_Assumptions'!$C$5:$C$8)</x:f>
        <x:v>1</x:v>
      </x:c>
      <x:c r="C6" s="39" t="n">
        <x:v>1</x:v>
      </x:c>
      <x:c r="D6" s="39" t="n">
        <x:f>B6-C6</x:f>
        <x:v>0</x:v>
      </x:c>
      <x:c r="E6" s="39" t="n">
        <x:v>0.0001</x:v>
      </x:c>
      <x:c r="F6" t="str">
        <x:f>IF(ABS(D6)&lt;=E6,"OK","FAIL")</x:f>
        <x:v>OK</x:v>
      </x:c>
      <x:c r="G6" t="str">
        <x:v>Channel_Assumptions!C5:C8</x:v>
      </x:c>
      <x:c r="H6" t="str">
        <x:v>Traffic mix should sum to 100%</x:v>
      </x:c>
    </x:row>
    <x:row r="7">
      <x:c r="A7" t="str">
        <x:v>Geo mix totals to 100%</x:v>
      </x:c>
      <x:c r="B7" s="39" t="n">
        <x:f>SUM('Assumptions'!$B$32:$B$35)</x:f>
        <x:v>1.0000000000000002</x:v>
      </x:c>
      <x:c r="C7" s="39" t="n">
        <x:v>1</x:v>
      </x:c>
      <x:c r="D7" s="39" t="n">
        <x:f>B7-C7</x:f>
        <x:v>2.220446049250313e-16</x:v>
      </x:c>
      <x:c r="E7" s="39" t="n">
        <x:v>0.0001</x:v>
      </x:c>
      <x:c r="F7" t="str">
        <x:f>IF(ABS(D7)&lt;=E7,"OK","FAIL")</x:f>
        <x:v>OK</x:v>
      </x:c>
      <x:c r="G7" t="str">
        <x:v>Assumptions!B32:B35</x:v>
      </x:c>
      <x:c r="H7" t="str">
        <x:v>Geographic mix should sum to 100%</x:v>
      </x:c>
    </x:row>
    <x:row r="8">
      <x:c r="A8" t="str">
        <x:v>SKU traffic weights total to 100%</x:v>
      </x:c>
      <x:c r="B8" s="39" t="n">
        <x:f>SUM('SKU_Master'!$V$5:$V$9)</x:f>
        <x:v>1</x:v>
      </x:c>
      <x:c r="C8" s="39" t="n">
        <x:v>1</x:v>
      </x:c>
      <x:c r="D8" s="39" t="n">
        <x:f>B8-C8</x:f>
        <x:v>0</x:v>
      </x:c>
      <x:c r="E8" s="39" t="n">
        <x:v>0.0001</x:v>
      </x:c>
      <x:c r="F8" t="str">
        <x:f>IF(ABS(D8)&lt;=E8,"OK","FAIL")</x:f>
        <x:v>OK</x:v>
      </x:c>
      <x:c r="G8" t="str">
        <x:v>SKU_Master!V5:V9</x:v>
      </x:c>
      <x:c r="H8" t="str">
        <x:v>SKU demand allocation should sum to 100%</x:v>
      </x:c>
    </x:row>
    <x:row r="9">
      <x:c r="A9" t="str">
        <x:v>Monthly board revenue ties to detail</x:v>
      </x:c>
      <x:c r="B9" s="39" t="n">
        <x:f>SUM('Monthly_Board'!$E$5:$E$28)</x:f>
        <x:v>5348.35302795</x:v>
      </x:c>
      <x:c r="C9" s="39" t="n">
        <x:f>SUM('Revenue_Model'!$V$5:$V$2084)</x:f>
        <x:v>5348.353027950048</x:v>
      </x:c>
      <x:c r="D9" s="39" t="n">
        <x:f>B9-C9</x:f>
        <x:v>-4.8203219193965197e-11</x:v>
      </x:c>
      <x:c r="E9" s="39" t="n">
        <x:v>0.1</x:v>
      </x:c>
      <x:c r="F9" t="str">
        <x:f>IF(ABS(D9)&lt;=E9,"OK","FAIL")</x:f>
        <x:v>OK</x:v>
      </x:c>
      <x:c r="G9" t="str">
        <x:v>Monthly_Board / Revenue_Model</x:v>
      </x:c>
      <x:c r="H9" t="str">
        <x:v>Net revenue rollup</x:v>
      </x:c>
    </x:row>
    <x:row r="10">
      <x:c r="A10" t="str">
        <x:v>Monthly board EBITDA ties to financial model</x:v>
      </x:c>
      <x:c r="B10" s="39" t="n">
        <x:f>SUM('Monthly_Board'!$L$5:$L$28)</x:f>
        <x:v>-11682.3892270753</x:v>
      </x:c>
      <x:c r="C10" s="39" t="n">
        <x:f>SUM('Financial_Model'!$B$24:$Y$24)</x:f>
        <x:v>-11682.3892270753</x:v>
      </x:c>
      <x:c r="D10" s="39" t="n">
        <x:f>B10-C10</x:f>
        <x:v>0</x:v>
      </x:c>
      <x:c r="E10" s="39" t="n">
        <x:v>0.1</x:v>
      </x:c>
      <x:c r="F10" t="str">
        <x:f>IF(ABS(D10)&lt;=E10,"OK","FAIL")</x:f>
        <x:v>OK</x:v>
      </x:c>
      <x:c r="G10" t="str">
        <x:v>Financial_Model</x:v>
      </x:c>
      <x:c r="H10" t="str">
        <x:v>EBITDA rollup</x:v>
      </x:c>
    </x:row>
    <x:row r="11">
      <x:c r="A11" t="str">
        <x:v>No negative ending cash</x:v>
      </x:c>
      <x:c r="B11" s="39" t="n">
        <x:f>MIN('Financial_Model'!$B$32:$Y$32)</x:f>
        <x:v>-13102.689227075298</x:v>
      </x:c>
      <x:c r="C11" s="39" t="n">
        <x:v>0</x:v>
      </x:c>
      <x:c r="D11" s="39" t="n">
        <x:f>B11-C11</x:f>
        <x:v>-13102.689227075298</x:v>
      </x:c>
      <x:c r="E11" s="39" t="n">
        <x:v>0</x:v>
      </x:c>
      <x:c r="F11" t="str">
        <x:f>IF(B11&gt;=C11,"WATCH","OK")</x:f>
        <x:v>OK</x:v>
      </x:c>
      <x:c r="G11" t="str">
        <x:v>Financial_Model row 32</x:v>
      </x:c>
      <x:c r="H11" t="str">
        <x:v>Warning if ending cash falls below zero</x:v>
      </x:c>
    </x:row>
    <x:row r="12">
      <x:c r="A12" t="str">
        <x:v>Inventory stockout risk weeks</x:v>
      </x:c>
      <x:c r="B12" s="39" t="n">
        <x:f>SUM('Monthly_Board'!$Q$5:$Q$28)</x:f>
        <x:v>0</x:v>
      </x:c>
      <x:c r="C12" s="39" t="n">
        <x:v>0</x:v>
      </x:c>
      <x:c r="D12" s="39" t="n">
        <x:f>B12-C12</x:f>
        <x:v>0</x:v>
      </x:c>
      <x:c r="E12" s="39" t="n">
        <x:v>0</x:v>
      </x:c>
      <x:c r="F12" t="str">
        <x:f>IF(B12&gt;=C12,"WATCH","OK")</x:f>
        <x:v>WATCH</x:v>
      </x:c>
      <x:c r="G12" t="str">
        <x:v>Inventory_Model</x:v>
      </x:c>
      <x:c r="H12" t="str">
        <x:v>Warning if demand exceeds sellable inventory</x:v>
      </x:c>
    </x:row>
    <x:row r="14">
      <x:c r="A14" s="62" t="str">
        <x:v>MODEL STATUS</x:v>
      </x:c>
      <x:c r="B14" s="63" t="str">
        <x:f>IF(COUNTIF(F5:F10,"FAIL")&gt;0,"FAIL",IF(COUNTIF(F11:F12,"WATCH")&gt;0,"WATCH","PASS"))</x:f>
        <x:v>WATCH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4a7b412ca804fb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8" customHeight="1">
      <x:c r="A1" s="3" t="str">
        <x:v>Sources and Assumption Log</x:v>
      </x:c>
    </x:row>
    <x:row r="2">
      <x:c r="A2" s="6" t="str">
        <x:v>The current model uses illustrative placeholder assumptions because no live company exports were provided yet.</x:v>
      </x:c>
    </x:row>
    <x:row r="4">
      <x:c r="A4" s="11" t="str">
        <x:v>Item</x:v>
      </x:c>
      <x:c r="B4" s="12" t="str">
        <x:v>Value</x:v>
      </x:c>
      <x:c r="C4" s="12" t="str">
        <x:v>Units</x:v>
      </x:c>
      <x:c r="D4" s="12" t="str">
        <x:v>Period / As-of</x:v>
      </x:c>
      <x:c r="E4" s="12" t="str">
        <x:v>Source Type</x:v>
      </x:c>
      <x:c r="F4" s="12" t="str">
        <x:v>Source Name</x:v>
      </x:c>
      <x:c r="G4" s="12" t="str">
        <x:v>Ref</x:v>
      </x:c>
      <x:c r="H4" s="12" t="str">
        <x:v>Owner</x:v>
      </x:c>
      <x:c r="I4" s="12" t="str">
        <x:v>Notes</x:v>
      </x:c>
      <x:c r="J4" s="13" t="str">
        <x:v>Accessed / Refreshed</x:v>
      </x:c>
    </x:row>
    <x:row r="5">
      <x:c r="A5" t="str">
        <x:v>Historic actuals</x:v>
      </x:c>
      <x:c r="B5" t="str">
        <x:v>Seeded illustrative data</x:v>
      </x:c>
      <x:c r="C5" t="str">
        <x:v>$000s / units</x:v>
      </x:c>
      <x:c r="D5" t="str">
        <x:v>2025</x:v>
      </x:c>
      <x:c r="E5" t="str">
        <x:v>Assumption</x:v>
      </x:c>
      <x:c r="F5" t="str">
        <x:v>Codex generated placeholder</x:v>
      </x:c>
      <x:c r="G5" t="str">
        <x:v>Revenue_Model, Inventory_Model</x:v>
      </x:c>
      <x:c r="H5" t="str">
        <x:v>Management</x:v>
      </x:c>
      <x:c r="I5" t="str">
        <x:v>Replace with Shopify/Amazon/3PL/accounting exports</x:v>
      </x:c>
      <x:c r="J5" t="str">
        <x:v>2026-07-25</x:v>
      </x:c>
    </x:row>
    <x:row r="6">
      <x:c r="A6" t="str">
        <x:v>Forecast assumptions</x:v>
      </x:c>
      <x:c r="B6" t="str">
        <x:v>Base / Downside / Upside</x:v>
      </x:c>
      <x:c r="C6" t="str">
        <x:v>Multipliers</x:v>
      </x:c>
      <x:c r="D6" t="str">
        <x:v>2026</x:v>
      </x:c>
      <x:c r="E6" t="str">
        <x:v>Assumption</x:v>
      </x:c>
      <x:c r="F6" t="str">
        <x:v>Codex generated placeholder</x:v>
      </x:c>
      <x:c r="G6" t="str">
        <x:v>Scenarios</x:v>
      </x:c>
      <x:c r="H6" t="str">
        <x:v>Finance</x:v>
      </x:c>
      <x:c r="I6" t="str">
        <x:v>Editable scenario drivers</x:v>
      </x:c>
      <x:c r="J6" t="str">
        <x:v>2026-07-25</x:v>
      </x:c>
    </x:row>
    <x:row r="7">
      <x:c r="A7" t="str">
        <x:v>SKU prices</x:v>
      </x:c>
      <x:c r="B7" t="str">
        <x:v>$15-$65 range</x:v>
      </x:c>
      <x:c r="C7" t="str">
        <x:v>$</x:v>
      </x:c>
      <x:c r="D7" t="str">
        <x:v>Current</x:v>
      </x:c>
      <x:c r="E7" t="str">
        <x:v>User-directed assumption</x:v>
      </x:c>
      <x:c r="F7" t="str">
        <x:v>User prompt</x:v>
      </x:c>
      <x:c r="G7" t="str">
        <x:v>SKU_Master</x:v>
      </x:c>
      <x:c r="H7" t="str">
        <x:v>Product</x:v>
      </x:c>
      <x:c r="I7" t="str">
        <x:v>User requested random reasonable prices between $15 and $65</x:v>
      </x:c>
      <x:c r="J7" t="str">
        <x:v>2026-07-25</x:v>
      </x:c>
    </x:row>
    <x:row r="8">
      <x:c r="A8" t="str">
        <x:v>Manufacturing costs</x:v>
      </x:c>
      <x:c r="B8" t="str">
        <x:v>Reasonable physical goods estimates</x:v>
      </x:c>
      <x:c r="C8" t="str">
        <x:v>$/unit</x:v>
      </x:c>
      <x:c r="D8" t="str">
        <x:v>Current</x:v>
      </x:c>
      <x:c r="E8" t="str">
        <x:v>Assumption</x:v>
      </x:c>
      <x:c r="F8" t="str">
        <x:v>Codex generated placeholder</x:v>
      </x:c>
      <x:c r="G8" t="str">
        <x:v>SKU_Master</x:v>
      </x:c>
      <x:c r="H8" t="str">
        <x:v>Ops</x:v>
      </x:c>
      <x:c r="I8" t="str">
        <x:v>Replace with vendor quotes or ERP data</x:v>
      </x:c>
      <x:c r="J8" t="str">
        <x:v>2026-07-25</x:v>
      </x:c>
    </x:row>
    <x:row r="9">
      <x:c r="A9" t="str">
        <x:v>Channel fees</x:v>
      </x:c>
      <x:c r="B9" t="str">
        <x:v>Blended DTC/Amazon/Wholesale/TikTok defaults</x:v>
      </x:c>
      <x:c r="C9" t="str">
        <x:v>% / $</x:v>
      </x:c>
      <x:c r="D9" t="str">
        <x:v>Current</x:v>
      </x:c>
      <x:c r="E9" t="str">
        <x:v>Assumption</x:v>
      </x:c>
      <x:c r="F9" t="str">
        <x:v>Codex generated placeholder</x:v>
      </x:c>
      <x:c r="G9" t="str">
        <x:v>Channel_Assumptions</x:v>
      </x:c>
      <x:c r="H9" t="str">
        <x:v>Growth</x:v>
      </x:c>
      <x:c r="I9" t="str">
        <x:v>Replace with actual channel contracts and fee schedules</x:v>
      </x:c>
      <x:c r="J9" t="str">
        <x:v>2026-07-25</x:v>
      </x:c>
    </x:row>
    <x:row r="10">
      <x:c r="A10" t="str">
        <x:v>Warehousing</x:v>
      </x:c>
      <x:c r="B10" t="str">
        <x:v>3PL-style pick/pack/storage</x:v>
      </x:c>
      <x:c r="C10" t="str">
        <x:v>$/unit</x:v>
      </x:c>
      <x:c r="D10" t="str">
        <x:v>Current</x:v>
      </x:c>
      <x:c r="E10" t="str">
        <x:v>Assumption</x:v>
      </x:c>
      <x:c r="F10" t="str">
        <x:v>Codex generated placeholder</x:v>
      </x:c>
      <x:c r="G10" t="str">
        <x:v>Shipping_Warehouse</x:v>
      </x:c>
      <x:c r="H10" t="str">
        <x:v>Ops</x:v>
      </x:c>
      <x:c r="I10" t="str">
        <x:v>Replace with 3PL invoices</x:v>
      </x:c>
      <x:c r="J10" t="str">
        <x:v>2026-07-25</x:v>
      </x:c>
    </x:row>
    <x:row r="11">
      <x:c r="A11" t="str">
        <x:v>Marketing CPC</x:v>
      </x:c>
      <x:c r="B11" t="str">
        <x:v>Channel CPC assumptions</x:v>
      </x:c>
      <x:c r="C11" t="str">
        <x:v>$</x:v>
      </x:c>
      <x:c r="D11" t="str">
        <x:v>Current</x:v>
      </x:c>
      <x:c r="E11" t="str">
        <x:v>Assumption</x:v>
      </x:c>
      <x:c r="F11" t="str">
        <x:v>Codex generated placeholder</x:v>
      </x:c>
      <x:c r="G11" t="str">
        <x:v>Marketing</x:v>
      </x:c>
      <x:c r="H11" t="str">
        <x:v>Growth</x:v>
      </x:c>
      <x:c r="I11" t="str">
        <x:v>Replace with ad platform exports</x:v>
      </x:c>
      <x:c r="J11" t="str">
        <x:v>2026-07-25</x:v>
      </x:c>
    </x:row>
    <x:row r="12">
      <x:c r="A12" t="str">
        <x:v>Opex</x:v>
      </x:c>
      <x:c r="B12" t="str">
        <x:v>Monthly department budget</x:v>
      </x:c>
      <x:c r="C12" t="str">
        <x:v>$000s</x:v>
      </x:c>
      <x:c r="D12" t="str">
        <x:v>2025-2026</x:v>
      </x:c>
      <x:c r="E12" t="str">
        <x:v>Assumption</x:v>
      </x:c>
      <x:c r="F12" t="str">
        <x:v>Codex generated placeholder</x:v>
      </x:c>
      <x:c r="G12" t="str">
        <x:v>Headcount_Opex</x:v>
      </x:c>
      <x:c r="H12" t="str">
        <x:v>Finance</x:v>
      </x:c>
      <x:c r="I12" t="str">
        <x:v>Replace with payroll, AP, and GL data</x:v>
      </x:c>
      <x:c r="J12" t="str">
        <x:v>2026-07-25</x:v>
      </x:c>
    </x:row>
    <x:row r="13">
      <x:c r="A13" t="str">
        <x:v>Cash basis</x:v>
      </x:c>
      <x:c r="B13" t="str">
        <x:v>Cash-oriented model</x:v>
      </x:c>
      <x:c r="C13" t="str">
        <x:v>$000s</x:v>
      </x:c>
      <x:c r="D13" t="str">
        <x:v>2025-2026</x:v>
      </x:c>
      <x:c r="E13" t="str">
        <x:v>User-directed</x:v>
      </x:c>
      <x:c r="F13" t="str">
        <x:v>User prompt</x:v>
      </x:c>
      <x:c r="G13" t="str">
        <x:v>Financial_Model</x:v>
      </x:c>
      <x:c r="H13" t="str">
        <x:v>Finance</x:v>
      </x:c>
      <x:c r="I13" t="str">
        <x:v>Inventory purchases and cash expenses are visible in cash flow rows</x:v>
      </x:c>
      <x:c r="J13" t="str">
        <x:v>2026-07-25</x:v>
      </x:c>
    </x:row>
    <x:row r="14">
      <x:c r="A14" t="str">
        <x:v>Board reporting</x:v>
      </x:c>
      <x:c r="B14" t="str">
        <x:v>Monthly rollups</x:v>
      </x:c>
      <x:c r="C14" t="str">
        <x:v>$000s / KPI</x:v>
      </x:c>
      <x:c r="D14" t="str">
        <x:v>2025-2026</x:v>
      </x:c>
      <x:c r="E14" t="str">
        <x:v>User-directed</x:v>
      </x:c>
      <x:c r="F14" t="str">
        <x:v>User prompt</x:v>
      </x:c>
      <x:c r="G14" t="str">
        <x:v>Monthly_Board</x:v>
      </x:c>
      <x:c r="H14" t="str">
        <x:v>Finance</x:v>
      </x:c>
      <x:c r="I14" t="str">
        <x:v>Weekly model feeds monthly board table</x:v>
      </x:c>
      <x:c r="J14" t="str">
        <x:v>2026-07-25</x:v>
      </x:c>
    </x:row>
    <x:row r="15">
      <x:c r="A15" t="str">
        <x:v>Seasonality</x:v>
      </x:c>
      <x:c r="B15" t="str">
        <x:v>2 seasonal SKUs</x:v>
      </x:c>
      <x:c r="C15" t="str">
        <x:v>Demand multiplier</x:v>
      </x:c>
      <x:c r="D15" t="str">
        <x:v>2025-2026</x:v>
      </x:c>
      <x:c r="E15" t="str">
        <x:v>Assumption</x:v>
      </x:c>
      <x:c r="F15" t="str">
        <x:v>Codex generated placeholder</x:v>
      </x:c>
      <x:c r="G15" t="str">
        <x:v>Assumptions</x:v>
      </x:c>
      <x:c r="H15" t="str">
        <x:v>Product</x:v>
      </x:c>
      <x:c r="I15" t="str">
        <x:v>Summer and winter peaks selected for SunNest and EmberTrail</x:v>
      </x:c>
      <x:c r="J15" t="str">
        <x:v>2026-07-25</x:v>
      </x:c>
    </x:row>
    <x:row r="16">
      <x:c r="A16" t="str">
        <x:v>Discontinuation</x:v>
      </x:c>
      <x:c r="B16" t="str">
        <x:v>2 SKUs discontinued in forecast</x:v>
      </x:c>
      <x:c r="C16" t="str">
        <x:v>Date</x:v>
      </x:c>
      <x:c r="D16" t="str">
        <x:v>2026</x:v>
      </x:c>
      <x:c r="E16" t="str">
        <x:v>Assumption</x:v>
      </x:c>
      <x:c r="F16" t="str">
        <x:v>Codex generated placeholder</x:v>
      </x:c>
      <x:c r="G16" t="str">
        <x:v>SKU_Master</x:v>
      </x:c>
      <x:c r="H16" t="str">
        <x:v>Product</x:v>
      </x:c>
      <x:c r="I16" t="str">
        <x:v>SunNest and EmberTrail discontinue at different times</x:v>
      </x:c>
      <x:c r="J16" t="str">
        <x:v>2026-07-25</x:v>
      </x:c>
    </x:row>
    <x:row r="17">
      <x:c r="A17" t="str">
        <x:v>Inventory policy</x:v>
      </x:c>
      <x:c r="B17" t="str">
        <x:v>MOQ and safety stock</x:v>
      </x:c>
      <x:c r="C17" t="str">
        <x:v>Units / weeks</x:v>
      </x:c>
      <x:c r="D17" t="str">
        <x:v>2025-2026</x:v>
      </x:c>
      <x:c r="E17" t="str">
        <x:v>Assumption</x:v>
      </x:c>
      <x:c r="F17" t="str">
        <x:v>Codex generated placeholder</x:v>
      </x:c>
      <x:c r="G17" t="str">
        <x:v>Inventory_Model</x:v>
      </x:c>
      <x:c r="H17" t="str">
        <x:v>Ops</x:v>
      </x:c>
      <x:c r="I17" t="str">
        <x:v>Receipts are formula-driven and designed for planning, not PO execution</x:v>
      </x:c>
      <x:c r="J17" t="str">
        <x:v>2026-07-25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97544308b304e60"/>
  </x:tableParts>
</x:worksheet>
</file>